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192.168.12.215\02.영업부\02.영업업무\02.수출\4. 윤남식\견적리스트\"/>
    </mc:Choice>
  </mc:AlternateContent>
  <xr:revisionPtr revIDLastSave="0" documentId="13_ncr:1_{6928978D-282C-44B4-940C-8992A92E9BDF}" xr6:coauthVersionLast="47" xr6:coauthVersionMax="47" xr10:uidLastSave="{00000000-0000-0000-0000-000000000000}"/>
  <bookViews>
    <workbookView xWindow="-28920" yWindow="-120" windowWidth="29040" windowHeight="15840" activeTab="1" xr2:uid="{00000000-000D-0000-FFFF-FFFF00000000}"/>
  </bookViews>
  <sheets>
    <sheet name="Monthly Sales &amp; Order Plan" sheetId="13" r:id="rId1"/>
    <sheet name="Yoon namsik" sheetId="15" r:id="rId2"/>
  </sheets>
  <definedNames>
    <definedName name="_xlnm.Print_Area" localSheetId="0">'Monthly Sales &amp; Order Plan'!$A$1:$O$38</definedName>
    <definedName name="_xlnm.Print_Area" localSheetId="1">'Yoon namsik'!$A$1:$Q$26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4" i="13" l="1"/>
  <c r="C38" i="13"/>
  <c r="O11" i="13"/>
  <c r="H38" i="13"/>
  <c r="M36" i="13" l="1"/>
  <c r="G36" i="13"/>
  <c r="O13" i="13"/>
  <c r="L11" i="15"/>
  <c r="D38" i="13" l="1"/>
  <c r="E38" i="13"/>
  <c r="F38" i="13"/>
  <c r="G38" i="13"/>
  <c r="I38" i="13"/>
  <c r="J38" i="13"/>
  <c r="K38" i="13"/>
  <c r="L38" i="13"/>
  <c r="M38" i="13"/>
  <c r="N38" i="13"/>
  <c r="J23" i="13"/>
  <c r="O28" i="13"/>
  <c r="I23" i="13"/>
  <c r="D23" i="13"/>
  <c r="E23" i="13"/>
  <c r="F23" i="13"/>
  <c r="G23" i="13"/>
  <c r="H23" i="13"/>
  <c r="K23" i="13"/>
  <c r="L23" i="13"/>
  <c r="M23" i="13"/>
  <c r="N23" i="13"/>
  <c r="C23" i="13"/>
  <c r="J11" i="15" l="1"/>
  <c r="O36" i="13" l="1"/>
  <c r="O34" i="13"/>
  <c r="O32" i="13"/>
  <c r="O30" i="13"/>
  <c r="O38" i="13" s="1"/>
  <c r="O23" i="13" l="1"/>
</calcChain>
</file>

<file path=xl/sharedStrings.xml><?xml version="1.0" encoding="utf-8"?>
<sst xmlns="http://schemas.openxmlformats.org/spreadsheetml/2006/main" count="187" uniqueCount="152">
  <si>
    <t>TYPE</t>
  </si>
  <si>
    <t>SIZE</t>
  </si>
  <si>
    <t>-</t>
    <phoneticPr fontId="1" type="noConversion"/>
  </si>
  <si>
    <t>1. 수주계획</t>
    <phoneticPr fontId="1" type="noConversion"/>
  </si>
  <si>
    <t>(단위 : 원)</t>
    <phoneticPr fontId="1" type="noConversion"/>
  </si>
  <si>
    <t>구 분</t>
    <phoneticPr fontId="1" type="noConversion"/>
  </si>
  <si>
    <t>CUSTOMER</t>
    <phoneticPr fontId="1" type="noConversion"/>
  </si>
  <si>
    <t>PROJECT</t>
    <phoneticPr fontId="1" type="noConversion"/>
  </si>
  <si>
    <t>발주 수량</t>
    <phoneticPr fontId="1" type="noConversion"/>
  </si>
  <si>
    <t>예상 수주 총액</t>
    <phoneticPr fontId="1" type="noConversion"/>
  </si>
  <si>
    <t>수주 예상일자</t>
    <phoneticPr fontId="1" type="noConversion"/>
  </si>
  <si>
    <t>진행 상황</t>
    <phoneticPr fontId="1" type="noConversion"/>
  </si>
  <si>
    <t>활동 계획</t>
    <phoneticPr fontId="1" type="noConversion"/>
  </si>
  <si>
    <t>OIL &amp; GAS 
및 발전</t>
    <phoneticPr fontId="1" type="noConversion"/>
  </si>
  <si>
    <t>국제 M&amp;P</t>
    <phoneticPr fontId="1" type="noConversion"/>
  </si>
  <si>
    <t>통영LNG
(추가)</t>
    <phoneticPr fontId="1" type="noConversion"/>
  </si>
  <si>
    <t>CON, WW</t>
    <phoneticPr fontId="1" type="noConversion"/>
  </si>
  <si>
    <t>MANUAL</t>
    <phoneticPr fontId="1" type="noConversion"/>
  </si>
  <si>
    <t>DN80 ~
DN800</t>
    <phoneticPr fontId="1" type="noConversion"/>
  </si>
  <si>
    <t>2024년 8월</t>
    <phoneticPr fontId="1" type="noConversion"/>
  </si>
  <si>
    <t>EVIAN PROJECT</t>
    <phoneticPr fontId="1" type="noConversion"/>
  </si>
  <si>
    <t>CON, TOV</t>
    <phoneticPr fontId="1" type="noConversion"/>
  </si>
  <si>
    <t>DN100 ~
DN600</t>
    <phoneticPr fontId="1" type="noConversion"/>
  </si>
  <si>
    <t>DL E&amp;C</t>
    <phoneticPr fontId="1" type="noConversion"/>
  </si>
  <si>
    <t>발전</t>
    <phoneticPr fontId="1" type="noConversion"/>
  </si>
  <si>
    <t>HP VALVES</t>
    <phoneticPr fontId="1" type="noConversion"/>
  </si>
  <si>
    <t>MOV, 
MANUAL</t>
    <phoneticPr fontId="1" type="noConversion"/>
  </si>
  <si>
    <t>기타</t>
    <phoneticPr fontId="1" type="noConversion"/>
  </si>
  <si>
    <t>-</t>
    <phoneticPr fontId="1" type="noConversion"/>
  </si>
  <si>
    <t>MRO</t>
    <phoneticPr fontId="1" type="noConversion"/>
  </si>
  <si>
    <t>WW</t>
    <phoneticPr fontId="1" type="noConversion"/>
  </si>
  <si>
    <t>꾸준한 MRO견적 접수 중</t>
    <phoneticPr fontId="1" type="noConversion"/>
  </si>
  <si>
    <t>담당자에 꾸준히 연락해 물량 확보 예정</t>
    <phoneticPr fontId="1" type="noConversion"/>
  </si>
  <si>
    <t xml:space="preserve">수주 금액 합계 </t>
    <phoneticPr fontId="1" type="noConversion"/>
  </si>
  <si>
    <t>시장동향 &amp; 
영업전망</t>
    <phoneticPr fontId="1" type="noConversion"/>
  </si>
  <si>
    <t>SALES</t>
    <phoneticPr fontId="16" type="noConversion"/>
  </si>
  <si>
    <t>ORDERS</t>
    <phoneticPr fontId="16" type="noConversion"/>
  </si>
  <si>
    <t>TOTAL</t>
    <phoneticPr fontId="1" type="noConversion"/>
  </si>
  <si>
    <t>Unit : Million Won</t>
    <phoneticPr fontId="1" type="noConversion"/>
  </si>
  <si>
    <t>-</t>
  </si>
  <si>
    <r>
      <t xml:space="preserve">KITZ Canadian Stock Order </t>
    </r>
    <r>
      <rPr>
        <sz val="10"/>
        <rFont val="Arial Unicode MS"/>
        <family val="2"/>
        <charset val="129"/>
      </rPr>
      <t>수주</t>
    </r>
  </si>
  <si>
    <r>
      <t xml:space="preserve">KITZ Nisshin OilliO </t>
    </r>
    <r>
      <rPr>
        <sz val="10"/>
        <rFont val="Arial Unicode MS"/>
        <family val="2"/>
        <charset val="129"/>
      </rPr>
      <t>수주</t>
    </r>
  </si>
  <si>
    <t>KITZ IBD (B&amp;V)- Te Mihi Geothermal Power</t>
  </si>
  <si>
    <t>KITZ Dubai S.Chem SPCO, Sabic Sharq</t>
  </si>
  <si>
    <t>Moritani Toshiba Olkaria PJT</t>
  </si>
  <si>
    <t>Moritani Toshiba Nippon Steel Kansai Facotory PJT</t>
  </si>
  <si>
    <t>1. HP VALVES
- Rutenberg PJ</t>
  </si>
  <si>
    <r>
      <t>1. TC GULF -
Al-Taweelah A2 PJ(</t>
    </r>
    <r>
      <rPr>
        <sz val="10"/>
        <rFont val="돋움"/>
        <family val="3"/>
        <charset val="129"/>
      </rPr>
      <t>교체밸브</t>
    </r>
    <r>
      <rPr>
        <sz val="10"/>
        <rFont val="Arial"/>
        <family val="2"/>
      </rPr>
      <t>)</t>
    </r>
  </si>
  <si>
    <t xml:space="preserve">1. SWCC - RAK PJ
2. DL E&amp;C -
SHAHEEN(MOV)
</t>
    <phoneticPr fontId="1" type="noConversion"/>
  </si>
  <si>
    <t>1. GE POWER
- Hsinta Power</t>
    <phoneticPr fontId="1" type="noConversion"/>
  </si>
  <si>
    <t>-</t>
    <phoneticPr fontId="1" type="noConversion"/>
  </si>
  <si>
    <t>KITZ Japan (Kawasaki JINJO SHIPYARD)</t>
    <phoneticPr fontId="1" type="noConversion"/>
  </si>
  <si>
    <t># MONTHLY ORDER PLAN - 2024</t>
    <phoneticPr fontId="1" type="noConversion"/>
  </si>
  <si>
    <r>
      <t xml:space="preserve">1. </t>
    </r>
    <r>
      <rPr>
        <sz val="10"/>
        <color rgb="FFFF0000"/>
        <rFont val="돋움"/>
        <family val="3"/>
        <charset val="129"/>
      </rPr>
      <t>금화정수</t>
    </r>
    <r>
      <rPr>
        <sz val="10"/>
        <color rgb="FFFF0000"/>
        <rFont val="Arial"/>
        <family val="2"/>
      </rPr>
      <t xml:space="preserve"> - Shaheen PJ
(</t>
    </r>
    <r>
      <rPr>
        <sz val="10"/>
        <color rgb="FFFF0000"/>
        <rFont val="돋움"/>
        <family val="3"/>
        <charset val="129"/>
      </rPr>
      <t>수처리</t>
    </r>
    <r>
      <rPr>
        <sz val="10"/>
        <color rgb="FFFF0000"/>
        <rFont val="Arial"/>
        <family val="2"/>
      </rPr>
      <t>)(3-4</t>
    </r>
    <r>
      <rPr>
        <sz val="10"/>
        <color rgb="FFFF0000"/>
        <rFont val="돋움"/>
        <family val="3"/>
        <charset val="129"/>
      </rPr>
      <t>월</t>
    </r>
    <r>
      <rPr>
        <sz val="10"/>
        <color rgb="FFFF0000"/>
        <rFont val="Arial"/>
        <family val="2"/>
      </rPr>
      <t>)</t>
    </r>
  </si>
  <si>
    <r>
      <t xml:space="preserve">1. </t>
    </r>
    <r>
      <rPr>
        <sz val="10"/>
        <color rgb="FFFF0000"/>
        <rFont val="돋움"/>
        <family val="3"/>
        <charset val="129"/>
      </rPr>
      <t>국제</t>
    </r>
    <r>
      <rPr>
        <sz val="10"/>
        <color rgb="FFFF0000"/>
        <rFont val="Arial"/>
        <family val="2"/>
      </rPr>
      <t xml:space="preserve">M&amp;P - COSMOS PJ </t>
    </r>
    <r>
      <rPr>
        <sz val="10"/>
        <color rgb="FFFF0000"/>
        <rFont val="돋움"/>
        <family val="3"/>
        <charset val="129"/>
      </rPr>
      <t>및</t>
    </r>
    <r>
      <rPr>
        <sz val="10"/>
        <color rgb="FFFF0000"/>
        <rFont val="Arial"/>
        <family val="2"/>
      </rPr>
      <t xml:space="preserve"> N1 PJ(</t>
    </r>
    <r>
      <rPr>
        <sz val="10"/>
        <color rgb="FFFF0000"/>
        <rFont val="돋움"/>
        <family val="3"/>
        <charset val="129"/>
      </rPr>
      <t>추가품</t>
    </r>
    <r>
      <rPr>
        <sz val="10"/>
        <color rgb="FFFF0000"/>
        <rFont val="Arial"/>
        <family val="2"/>
      </rPr>
      <t>)</t>
    </r>
  </si>
  <si>
    <r>
      <rPr>
        <sz val="10"/>
        <rFont val="굴림"/>
        <family val="2"/>
        <charset val="129"/>
      </rPr>
      <t>한화오션</t>
    </r>
  </si>
  <si>
    <r>
      <t xml:space="preserve">MRO (ASK </t>
    </r>
    <r>
      <rPr>
        <sz val="10"/>
        <rFont val="Arial Unicode MS"/>
        <family val="2"/>
        <charset val="129"/>
      </rPr>
      <t>外</t>
    </r>
    <r>
      <rPr>
        <sz val="10"/>
        <rFont val="Arial"/>
        <family val="2"/>
      </rPr>
      <t>)</t>
    </r>
  </si>
  <si>
    <r>
      <t xml:space="preserve">1. </t>
    </r>
    <r>
      <rPr>
        <sz val="9"/>
        <rFont val="Arial Unicode MS"/>
        <family val="2"/>
        <charset val="129"/>
      </rPr>
      <t>한라</t>
    </r>
    <r>
      <rPr>
        <sz val="9"/>
        <rFont val="Arial"/>
        <family val="2"/>
      </rPr>
      <t xml:space="preserve"> IMS             2. MRO (ASK </t>
    </r>
    <r>
      <rPr>
        <sz val="9"/>
        <rFont val="Arial Unicode MS"/>
        <family val="2"/>
        <charset val="129"/>
      </rPr>
      <t>外</t>
    </r>
    <r>
      <rPr>
        <sz val="9"/>
        <rFont val="Arial"/>
        <family val="2"/>
      </rPr>
      <t>)</t>
    </r>
  </si>
  <si>
    <r>
      <t xml:space="preserve">1. Shaheen </t>
    </r>
    <r>
      <rPr>
        <sz val="10"/>
        <rFont val="돋움"/>
        <family val="3"/>
        <charset val="129"/>
      </rPr>
      <t>프로젝트</t>
    </r>
    <r>
      <rPr>
        <sz val="10"/>
        <rFont val="Arial"/>
        <family val="2"/>
      </rPr>
      <t xml:space="preserve"> </t>
    </r>
    <r>
      <rPr>
        <sz val="10"/>
        <rFont val="돋움"/>
        <family val="3"/>
        <charset val="129"/>
      </rPr>
      <t>수주</t>
    </r>
    <r>
      <rPr>
        <sz val="10"/>
        <rFont val="Arial"/>
        <family val="2"/>
      </rPr>
      <t xml:space="preserve"> </t>
    </r>
    <r>
      <rPr>
        <sz val="10"/>
        <rFont val="돋움"/>
        <family val="3"/>
        <charset val="129"/>
      </rPr>
      <t>예정</t>
    </r>
    <r>
      <rPr>
        <sz val="10"/>
        <rFont val="Arial"/>
        <family val="2"/>
      </rPr>
      <t xml:space="preserve"> (HEC </t>
    </r>
    <r>
      <rPr>
        <sz val="10"/>
        <rFont val="돋움"/>
        <family val="3"/>
        <charset val="129"/>
      </rPr>
      <t>및</t>
    </r>
    <r>
      <rPr>
        <sz val="10"/>
        <rFont val="Arial"/>
        <family val="2"/>
      </rPr>
      <t xml:space="preserve"> TOYO </t>
    </r>
    <r>
      <rPr>
        <sz val="10"/>
        <rFont val="돋움"/>
        <family val="3"/>
        <charset val="129"/>
      </rPr>
      <t>패키지</t>
    </r>
    <r>
      <rPr>
        <sz val="10"/>
        <rFont val="Arial"/>
        <family val="2"/>
      </rPr>
      <t>)</t>
    </r>
    <phoneticPr fontId="1" type="noConversion"/>
  </si>
  <si>
    <r>
      <t xml:space="preserve">1. Shaheen </t>
    </r>
    <r>
      <rPr>
        <sz val="10"/>
        <rFont val="돋움"/>
        <family val="3"/>
        <charset val="129"/>
      </rPr>
      <t>프로젝트</t>
    </r>
    <r>
      <rPr>
        <sz val="10"/>
        <rFont val="Arial"/>
        <family val="2"/>
      </rPr>
      <t xml:space="preserve"> </t>
    </r>
    <r>
      <rPr>
        <sz val="10"/>
        <rFont val="돋움"/>
        <family val="3"/>
        <charset val="129"/>
      </rPr>
      <t>수주</t>
    </r>
    <r>
      <rPr>
        <sz val="10"/>
        <rFont val="Arial"/>
        <family val="2"/>
      </rPr>
      <t xml:space="preserve"> </t>
    </r>
    <r>
      <rPr>
        <sz val="10"/>
        <rFont val="돋움"/>
        <family val="3"/>
        <charset val="129"/>
      </rPr>
      <t>예정</t>
    </r>
    <r>
      <rPr>
        <sz val="10"/>
        <rFont val="Arial"/>
        <family val="2"/>
      </rPr>
      <t xml:space="preserve"> (LOTTE </t>
    </r>
    <r>
      <rPr>
        <sz val="10"/>
        <rFont val="돋움"/>
        <family val="3"/>
        <charset val="129"/>
      </rPr>
      <t>패키지</t>
    </r>
    <r>
      <rPr>
        <sz val="10"/>
        <rFont val="Arial"/>
        <family val="2"/>
      </rPr>
      <t>)</t>
    </r>
    <phoneticPr fontId="1" type="noConversion"/>
  </si>
  <si>
    <r>
      <t xml:space="preserve">1. GE POWER - Chungchia
2. </t>
    </r>
    <r>
      <rPr>
        <sz val="10"/>
        <rFont val="돋움"/>
        <family val="3"/>
        <charset val="129"/>
      </rPr>
      <t>두산</t>
    </r>
    <r>
      <rPr>
        <sz val="10"/>
        <rFont val="Arial"/>
        <family val="2"/>
      </rPr>
      <t xml:space="preserve"> - </t>
    </r>
    <r>
      <rPr>
        <sz val="10"/>
        <rFont val="돋움"/>
        <family val="3"/>
        <charset val="129"/>
      </rPr>
      <t>보령</t>
    </r>
    <r>
      <rPr>
        <sz val="10"/>
        <rFont val="Arial"/>
        <family val="2"/>
      </rPr>
      <t xml:space="preserve"> </t>
    </r>
    <r>
      <rPr>
        <sz val="10"/>
        <rFont val="돋움"/>
        <family val="3"/>
        <charset val="129"/>
      </rPr>
      <t>신복합</t>
    </r>
    <r>
      <rPr>
        <sz val="10"/>
        <rFont val="Arial"/>
        <family val="2"/>
      </rPr>
      <t xml:space="preserve"> , </t>
    </r>
    <r>
      <rPr>
        <sz val="10"/>
        <rFont val="돋움"/>
        <family val="3"/>
        <charset val="129"/>
      </rPr>
      <t>카자흐스탄</t>
    </r>
    <r>
      <rPr>
        <sz val="10"/>
        <rFont val="Arial"/>
        <family val="2"/>
      </rPr>
      <t xml:space="preserve"> </t>
    </r>
    <r>
      <rPr>
        <sz val="10"/>
        <rFont val="돋움"/>
        <family val="3"/>
        <charset val="129"/>
      </rPr>
      <t>프로젝트</t>
    </r>
    <phoneticPr fontId="1" type="noConversion"/>
  </si>
  <si>
    <r>
      <rPr>
        <sz val="10"/>
        <color rgb="FFFF0000"/>
        <rFont val="돋움"/>
        <family val="3"/>
        <charset val="129"/>
      </rPr>
      <t>두산</t>
    </r>
    <r>
      <rPr>
        <sz val="10"/>
        <color rgb="FFFF0000"/>
        <rFont val="Arial"/>
        <family val="2"/>
      </rPr>
      <t xml:space="preserve"> - </t>
    </r>
    <r>
      <rPr>
        <sz val="10"/>
        <color rgb="FFFF0000"/>
        <rFont val="돋움"/>
        <family val="3"/>
        <charset val="129"/>
      </rPr>
      <t>국내</t>
    </r>
    <r>
      <rPr>
        <sz val="10"/>
        <color rgb="FFFF0000"/>
        <rFont val="Arial"/>
        <family val="2"/>
      </rPr>
      <t xml:space="preserve"> </t>
    </r>
    <r>
      <rPr>
        <sz val="10"/>
        <color rgb="FFFF0000"/>
        <rFont val="돋움"/>
        <family val="3"/>
        <charset val="129"/>
      </rPr>
      <t>복합</t>
    </r>
    <r>
      <rPr>
        <sz val="10"/>
        <color rgb="FFFF0000"/>
        <rFont val="Arial"/>
        <family val="2"/>
      </rPr>
      <t xml:space="preserve"> </t>
    </r>
    <r>
      <rPr>
        <sz val="10"/>
        <color rgb="FFFF0000"/>
        <rFont val="돋움"/>
        <family val="3"/>
        <charset val="129"/>
      </rPr>
      <t>화력</t>
    </r>
    <r>
      <rPr>
        <sz val="10"/>
        <color rgb="FFFF0000"/>
        <rFont val="Arial"/>
        <family val="2"/>
      </rPr>
      <t xml:space="preserve"> </t>
    </r>
    <r>
      <rPr>
        <sz val="10"/>
        <color rgb="FFFF0000"/>
        <rFont val="돋움"/>
        <family val="3"/>
        <charset val="129"/>
      </rPr>
      <t>발전</t>
    </r>
    <r>
      <rPr>
        <sz val="10"/>
        <color rgb="FFFF0000"/>
        <rFont val="Arial"/>
        <family val="2"/>
      </rPr>
      <t xml:space="preserve"> </t>
    </r>
    <r>
      <rPr>
        <sz val="10"/>
        <color rgb="FFFF0000"/>
        <rFont val="돋움"/>
        <family val="3"/>
        <charset val="129"/>
      </rPr>
      <t>프로젝트</t>
    </r>
    <r>
      <rPr>
        <sz val="10"/>
        <color rgb="FFFF0000"/>
        <rFont val="Arial"/>
        <family val="2"/>
      </rPr>
      <t xml:space="preserve"> </t>
    </r>
    <r>
      <rPr>
        <sz val="10"/>
        <color rgb="FFFF0000"/>
        <rFont val="돋움"/>
        <family val="3"/>
        <charset val="129"/>
      </rPr>
      <t>수주</t>
    </r>
    <r>
      <rPr>
        <sz val="10"/>
        <color rgb="FFFF0000"/>
        <rFont val="Arial"/>
        <family val="2"/>
      </rPr>
      <t xml:space="preserve"> (25</t>
    </r>
    <r>
      <rPr>
        <sz val="10"/>
        <color rgb="FFFF0000"/>
        <rFont val="돋움"/>
        <family val="3"/>
        <charset val="129"/>
      </rPr>
      <t>년</t>
    </r>
    <r>
      <rPr>
        <sz val="10"/>
        <color rgb="FFFF0000"/>
        <rFont val="Arial"/>
        <family val="2"/>
      </rPr>
      <t xml:space="preserve"> </t>
    </r>
    <r>
      <rPr>
        <sz val="10"/>
        <color rgb="FFFF0000"/>
        <rFont val="돋움"/>
        <family val="3"/>
        <charset val="129"/>
      </rPr>
      <t>납기</t>
    </r>
    <r>
      <rPr>
        <sz val="10"/>
        <color rgb="FFFF0000"/>
        <rFont val="Arial"/>
        <family val="2"/>
      </rPr>
      <t>)</t>
    </r>
    <phoneticPr fontId="1" type="noConversion"/>
  </si>
  <si>
    <r>
      <t xml:space="preserve">1. </t>
    </r>
    <r>
      <rPr>
        <sz val="10"/>
        <rFont val="돋움"/>
        <family val="3"/>
        <charset val="129"/>
      </rPr>
      <t>단품</t>
    </r>
    <r>
      <rPr>
        <sz val="10"/>
        <rFont val="Arial"/>
        <family val="2"/>
      </rPr>
      <t xml:space="preserve"> </t>
    </r>
    <r>
      <rPr>
        <sz val="10"/>
        <rFont val="돋움"/>
        <family val="3"/>
        <charset val="129"/>
      </rPr>
      <t>및</t>
    </r>
    <r>
      <rPr>
        <sz val="10"/>
        <rFont val="Arial"/>
        <family val="2"/>
      </rPr>
      <t xml:space="preserve"> MRO</t>
    </r>
    <r>
      <rPr>
        <sz val="10"/>
        <rFont val="돋움"/>
        <family val="3"/>
        <charset val="129"/>
      </rPr>
      <t>오더</t>
    </r>
    <phoneticPr fontId="1" type="noConversion"/>
  </si>
  <si>
    <r>
      <t xml:space="preserve">1. Hp valves -
vasiliok &amp; komotini PJ </t>
    </r>
    <r>
      <rPr>
        <sz val="10"/>
        <rFont val="돋움"/>
        <family val="3"/>
        <charset val="129"/>
      </rPr>
      <t xml:space="preserve">추가품
</t>
    </r>
    <r>
      <rPr>
        <sz val="10"/>
        <rFont val="Arial"/>
        <family val="2"/>
      </rPr>
      <t xml:space="preserve">2. </t>
    </r>
    <r>
      <rPr>
        <sz val="10"/>
        <rFont val="돋움"/>
        <family val="3"/>
        <charset val="129"/>
      </rPr>
      <t>미진</t>
    </r>
    <r>
      <rPr>
        <sz val="10"/>
        <rFont val="Arial"/>
        <family val="2"/>
      </rPr>
      <t xml:space="preserve"> </t>
    </r>
    <r>
      <rPr>
        <sz val="10"/>
        <rFont val="돋움"/>
        <family val="3"/>
        <charset val="129"/>
      </rPr>
      <t>단품</t>
    </r>
    <r>
      <rPr>
        <sz val="10"/>
        <rFont val="Arial"/>
        <family val="2"/>
      </rPr>
      <t xml:space="preserve"> </t>
    </r>
    <r>
      <rPr>
        <sz val="10"/>
        <rFont val="돋움"/>
        <family val="3"/>
        <charset val="129"/>
      </rPr>
      <t>및기타</t>
    </r>
    <r>
      <rPr>
        <sz val="10"/>
        <rFont val="Arial"/>
        <family val="2"/>
      </rPr>
      <t xml:space="preserve"> MRO </t>
    </r>
    <r>
      <rPr>
        <sz val="10"/>
        <rFont val="돋움"/>
        <family val="3"/>
        <charset val="129"/>
      </rPr>
      <t>오더</t>
    </r>
    <phoneticPr fontId="1" type="noConversion"/>
  </si>
  <si>
    <r>
      <t xml:space="preserve">1. </t>
    </r>
    <r>
      <rPr>
        <sz val="10"/>
        <rFont val="돋움"/>
        <family val="3"/>
        <charset val="129"/>
      </rPr>
      <t>국제</t>
    </r>
    <r>
      <rPr>
        <sz val="10"/>
        <rFont val="Arial"/>
        <family val="2"/>
      </rPr>
      <t xml:space="preserve">M&amp;P -
</t>
    </r>
    <r>
      <rPr>
        <sz val="10"/>
        <rFont val="돋움"/>
        <family val="3"/>
        <charset val="129"/>
      </rPr>
      <t>통영</t>
    </r>
    <r>
      <rPr>
        <sz val="10"/>
        <rFont val="Arial"/>
        <family val="2"/>
      </rPr>
      <t>LNG(</t>
    </r>
    <r>
      <rPr>
        <sz val="10"/>
        <rFont val="돋움"/>
        <family val="3"/>
        <charset val="129"/>
      </rPr>
      <t>추가</t>
    </r>
    <r>
      <rPr>
        <sz val="10"/>
        <rFont val="Arial"/>
        <family val="2"/>
      </rPr>
      <t>)</t>
    </r>
    <phoneticPr fontId="1" type="noConversion"/>
  </si>
  <si>
    <r>
      <t xml:space="preserve">1. </t>
    </r>
    <r>
      <rPr>
        <sz val="10"/>
        <color rgb="FFFF0000"/>
        <rFont val="돋움"/>
        <family val="3"/>
        <charset val="129"/>
      </rPr>
      <t>국제</t>
    </r>
    <r>
      <rPr>
        <sz val="10"/>
        <color rgb="FFFF0000"/>
        <rFont val="Arial"/>
        <family val="2"/>
      </rPr>
      <t>M&amp;P -
EVIAN PROJECT</t>
    </r>
    <phoneticPr fontId="1" type="noConversion"/>
  </si>
  <si>
    <r>
      <t xml:space="preserve">MRO (ASK </t>
    </r>
    <r>
      <rPr>
        <sz val="10"/>
        <rFont val="Arial Unicode MS"/>
        <family val="2"/>
        <charset val="129"/>
      </rPr>
      <t>外</t>
    </r>
    <r>
      <rPr>
        <sz val="10"/>
        <rFont val="Arial"/>
        <family val="2"/>
      </rPr>
      <t>)</t>
    </r>
    <phoneticPr fontId="1" type="noConversion"/>
  </si>
  <si>
    <r>
      <t xml:space="preserve">1. </t>
    </r>
    <r>
      <rPr>
        <sz val="9"/>
        <color rgb="FFFF0000"/>
        <rFont val="Arial Unicode MS"/>
        <family val="2"/>
        <charset val="129"/>
      </rPr>
      <t>한라</t>
    </r>
    <r>
      <rPr>
        <sz val="9"/>
        <color rgb="FFFF0000"/>
        <rFont val="Arial"/>
        <family val="2"/>
      </rPr>
      <t xml:space="preserve"> IMS (</t>
    </r>
    <r>
      <rPr>
        <sz val="9"/>
        <color rgb="FFFF0000"/>
        <rFont val="Arial Unicode MS"/>
        <family val="2"/>
        <charset val="129"/>
      </rPr>
      <t>분할</t>
    </r>
    <r>
      <rPr>
        <sz val="9"/>
        <color rgb="FFFF0000"/>
        <rFont val="Arial"/>
        <family val="2"/>
      </rPr>
      <t xml:space="preserve"> </t>
    </r>
    <r>
      <rPr>
        <sz val="9"/>
        <color rgb="FFFF0000"/>
        <rFont val="Arial Unicode MS"/>
        <family val="2"/>
        <charset val="129"/>
      </rPr>
      <t>출하</t>
    </r>
    <r>
      <rPr>
        <sz val="9"/>
        <color rgb="FFFF0000"/>
        <rFont val="Arial"/>
        <family val="2"/>
      </rPr>
      <t xml:space="preserve">)
</t>
    </r>
    <r>
      <rPr>
        <sz val="9"/>
        <rFont val="Arial"/>
        <family val="2"/>
      </rPr>
      <t xml:space="preserve">2. MRO (ASK </t>
    </r>
    <r>
      <rPr>
        <sz val="9"/>
        <rFont val="Arial Unicode MS"/>
        <family val="2"/>
        <charset val="129"/>
      </rPr>
      <t>外</t>
    </r>
    <r>
      <rPr>
        <sz val="9"/>
        <rFont val="Arial"/>
        <family val="2"/>
      </rPr>
      <t>)</t>
    </r>
    <r>
      <rPr>
        <sz val="9"/>
        <color rgb="FFFF0000"/>
        <rFont val="Arial"/>
        <family val="2"/>
      </rPr>
      <t xml:space="preserve">   3. </t>
    </r>
    <r>
      <rPr>
        <sz val="9"/>
        <color rgb="FFFF0000"/>
        <rFont val="Arial Unicode MS"/>
        <family val="2"/>
        <charset val="129"/>
      </rPr>
      <t>대한조선</t>
    </r>
    <r>
      <rPr>
        <sz val="9"/>
        <color rgb="FFFF0000"/>
        <rFont val="Arial"/>
        <family val="2"/>
      </rPr>
      <t xml:space="preserve"> (</t>
    </r>
    <r>
      <rPr>
        <sz val="9"/>
        <color rgb="FFFF0000"/>
        <rFont val="Arial Unicode MS"/>
        <family val="2"/>
        <charset val="129"/>
      </rPr>
      <t>분할</t>
    </r>
    <r>
      <rPr>
        <sz val="9"/>
        <color rgb="FFFF0000"/>
        <rFont val="Arial"/>
        <family val="2"/>
      </rPr>
      <t xml:space="preserve"> </t>
    </r>
    <r>
      <rPr>
        <sz val="9"/>
        <color rgb="FFFF0000"/>
        <rFont val="Arial Unicode MS"/>
        <family val="2"/>
        <charset val="129"/>
      </rPr>
      <t>출하</t>
    </r>
    <r>
      <rPr>
        <sz val="9"/>
        <color rgb="FFFF0000"/>
        <rFont val="Arial"/>
        <family val="2"/>
      </rPr>
      <t>)</t>
    </r>
    <phoneticPr fontId="1" type="noConversion"/>
  </si>
  <si>
    <r>
      <t xml:space="preserve">1. MRO (ASK </t>
    </r>
    <r>
      <rPr>
        <sz val="9"/>
        <color rgb="FFFF0000"/>
        <rFont val="Arial Unicode MS"/>
        <family val="2"/>
        <charset val="129"/>
      </rPr>
      <t>外</t>
    </r>
    <r>
      <rPr>
        <sz val="9"/>
        <color rgb="FFFF0000"/>
        <rFont val="Arial"/>
        <family val="2"/>
      </rPr>
      <t xml:space="preserve">)   2. </t>
    </r>
    <r>
      <rPr>
        <sz val="9"/>
        <color rgb="FFFF0000"/>
        <rFont val="Arial Unicode MS"/>
        <family val="2"/>
        <charset val="129"/>
      </rPr>
      <t>대한조선</t>
    </r>
    <r>
      <rPr>
        <sz val="9"/>
        <color rgb="FFFF0000"/>
        <rFont val="Arial"/>
        <family val="2"/>
      </rPr>
      <t xml:space="preserve"> (</t>
    </r>
    <r>
      <rPr>
        <sz val="9"/>
        <color rgb="FFFF0000"/>
        <rFont val="Arial Unicode MS"/>
        <family val="2"/>
        <charset val="129"/>
      </rPr>
      <t>분할</t>
    </r>
    <r>
      <rPr>
        <sz val="9"/>
        <color rgb="FFFF0000"/>
        <rFont val="Arial"/>
        <family val="2"/>
      </rPr>
      <t xml:space="preserve"> </t>
    </r>
    <r>
      <rPr>
        <sz val="9"/>
        <color rgb="FFFF0000"/>
        <rFont val="Arial Unicode MS"/>
        <family val="2"/>
        <charset val="129"/>
      </rPr>
      <t>출하</t>
    </r>
    <r>
      <rPr>
        <sz val="9"/>
        <color rgb="FFFF0000"/>
        <rFont val="Arial"/>
        <family val="2"/>
      </rPr>
      <t>)</t>
    </r>
    <phoneticPr fontId="1" type="noConversion"/>
  </si>
  <si>
    <r>
      <t>1.</t>
    </r>
    <r>
      <rPr>
        <sz val="10"/>
        <rFont val="맑은 고딕"/>
        <family val="2"/>
        <charset val="129"/>
      </rPr>
      <t>한성자동밸브</t>
    </r>
    <r>
      <rPr>
        <sz val="10"/>
        <rFont val="Arial"/>
        <family val="2"/>
      </rPr>
      <t xml:space="preserve"> - Shaheen 
2. </t>
    </r>
    <r>
      <rPr>
        <sz val="10"/>
        <rFont val="Arial Unicode MS"/>
        <family val="2"/>
        <charset val="129"/>
      </rPr>
      <t>한화오션</t>
    </r>
    <phoneticPr fontId="1" type="noConversion"/>
  </si>
  <si>
    <r>
      <t xml:space="preserve">1. </t>
    </r>
    <r>
      <rPr>
        <sz val="10"/>
        <color rgb="FFFF0000"/>
        <rFont val="굴림"/>
        <family val="2"/>
        <charset val="129"/>
      </rPr>
      <t xml:space="preserve">한화오션
</t>
    </r>
    <r>
      <rPr>
        <sz val="10"/>
        <color rgb="FFFF0000"/>
        <rFont val="Arial"/>
        <family val="2"/>
      </rPr>
      <t>2. SEPCOIII - JORF (25</t>
    </r>
    <r>
      <rPr>
        <sz val="10"/>
        <color rgb="FFFF0000"/>
        <rFont val="굴림"/>
        <family val="2"/>
        <charset val="129"/>
      </rPr>
      <t>년</t>
    </r>
    <r>
      <rPr>
        <sz val="10"/>
        <color rgb="FFFF0000"/>
        <rFont val="Arial"/>
        <family val="2"/>
      </rPr>
      <t xml:space="preserve"> </t>
    </r>
    <r>
      <rPr>
        <sz val="10"/>
        <color rgb="FFFF0000"/>
        <rFont val="굴림"/>
        <family val="2"/>
        <charset val="129"/>
      </rPr>
      <t>납품</t>
    </r>
    <r>
      <rPr>
        <sz val="10"/>
        <color rgb="FFFF0000"/>
        <rFont val="Arial"/>
        <family val="2"/>
      </rPr>
      <t>)</t>
    </r>
    <phoneticPr fontId="1" type="noConversion"/>
  </si>
  <si>
    <r>
      <rPr>
        <sz val="10"/>
        <color rgb="FFFF0000"/>
        <rFont val="굴림"/>
        <family val="3"/>
        <charset val="129"/>
      </rPr>
      <t xml:space="preserve">한화오션
</t>
    </r>
    <r>
      <rPr>
        <sz val="10"/>
        <color rgb="FFFF0000"/>
        <rFont val="Arial"/>
        <family val="2"/>
      </rPr>
      <t>(25</t>
    </r>
    <r>
      <rPr>
        <sz val="10"/>
        <color rgb="FFFF0000"/>
        <rFont val="굴림"/>
        <family val="3"/>
        <charset val="129"/>
      </rPr>
      <t>년</t>
    </r>
    <r>
      <rPr>
        <sz val="10"/>
        <color rgb="FFFF0000"/>
        <rFont val="Arial"/>
        <family val="2"/>
      </rPr>
      <t xml:space="preserve"> </t>
    </r>
    <r>
      <rPr>
        <sz val="10"/>
        <color rgb="FFFF0000"/>
        <rFont val="굴림"/>
        <family val="3"/>
        <charset val="129"/>
      </rPr>
      <t>납품</t>
    </r>
    <r>
      <rPr>
        <sz val="10"/>
        <color rgb="FFFF0000"/>
        <rFont val="Arial"/>
        <family val="2"/>
      </rPr>
      <t>)</t>
    </r>
    <phoneticPr fontId="1" type="noConversion"/>
  </si>
  <si>
    <r>
      <t xml:space="preserve">1. </t>
    </r>
    <r>
      <rPr>
        <sz val="10"/>
        <color rgb="FFFF0000"/>
        <rFont val="굴림"/>
        <family val="3"/>
        <charset val="129"/>
      </rPr>
      <t xml:space="preserve">한화오션
</t>
    </r>
    <r>
      <rPr>
        <sz val="10"/>
        <color rgb="FFFF0000"/>
        <rFont val="Arial"/>
        <family val="2"/>
      </rPr>
      <t xml:space="preserve">2. </t>
    </r>
    <r>
      <rPr>
        <sz val="10"/>
        <color rgb="FFFF0000"/>
        <rFont val="굴림"/>
        <family val="3"/>
        <charset val="129"/>
      </rPr>
      <t>한성자동밸브</t>
    </r>
    <r>
      <rPr>
        <sz val="10"/>
        <color rgb="FFFF0000"/>
        <rFont val="Arial"/>
        <family val="2"/>
      </rPr>
      <t xml:space="preserve">  - EVERGREEN (25</t>
    </r>
    <r>
      <rPr>
        <sz val="10"/>
        <color rgb="FFFF0000"/>
        <rFont val="굴림"/>
        <family val="3"/>
        <charset val="129"/>
      </rPr>
      <t>년</t>
    </r>
    <r>
      <rPr>
        <sz val="10"/>
        <color rgb="FFFF0000"/>
        <rFont val="Arial"/>
        <family val="2"/>
      </rPr>
      <t xml:space="preserve"> </t>
    </r>
    <r>
      <rPr>
        <sz val="10"/>
        <color rgb="FFFF0000"/>
        <rFont val="굴림"/>
        <family val="3"/>
        <charset val="129"/>
      </rPr>
      <t>납품</t>
    </r>
    <r>
      <rPr>
        <sz val="10"/>
        <color rgb="FFFF0000"/>
        <rFont val="Arial"/>
        <family val="2"/>
      </rPr>
      <t>)</t>
    </r>
    <phoneticPr fontId="1" type="noConversion"/>
  </si>
  <si>
    <r>
      <rPr>
        <b/>
        <sz val="11"/>
        <color theme="1"/>
        <rFont val="맑은 고딕"/>
        <family val="3"/>
        <charset val="129"/>
      </rPr>
      <t>담당자</t>
    </r>
    <r>
      <rPr>
        <b/>
        <sz val="11"/>
        <color theme="1"/>
        <rFont val="Arial"/>
        <family val="2"/>
      </rPr>
      <t xml:space="preserve"> / M</t>
    </r>
    <phoneticPr fontId="1" type="noConversion"/>
  </si>
  <si>
    <r>
      <rPr>
        <b/>
        <sz val="11"/>
        <color theme="1"/>
        <rFont val="맑은 고딕"/>
        <family val="3"/>
        <charset val="129"/>
      </rPr>
      <t>정성한</t>
    </r>
    <phoneticPr fontId="1" type="noConversion"/>
  </si>
  <si>
    <r>
      <rPr>
        <b/>
        <sz val="11"/>
        <color theme="1"/>
        <rFont val="맑은 고딕"/>
        <family val="3"/>
        <charset val="129"/>
      </rPr>
      <t>수주잔고</t>
    </r>
    <phoneticPr fontId="1" type="noConversion"/>
  </si>
  <si>
    <r>
      <rPr>
        <b/>
        <sz val="10"/>
        <color theme="1"/>
        <rFont val="맑은 고딕"/>
        <family val="3"/>
        <charset val="129"/>
      </rPr>
      <t>매출</t>
    </r>
    <r>
      <rPr>
        <b/>
        <sz val="10"/>
        <color theme="1"/>
        <rFont val="Arial"/>
        <family val="2"/>
      </rPr>
      <t xml:space="preserve"> </t>
    </r>
    <r>
      <rPr>
        <b/>
        <sz val="10"/>
        <color theme="1"/>
        <rFont val="맑은 고딕"/>
        <family val="3"/>
        <charset val="129"/>
      </rPr>
      <t>내역</t>
    </r>
    <phoneticPr fontId="1" type="noConversion"/>
  </si>
  <si>
    <r>
      <rPr>
        <b/>
        <sz val="11"/>
        <color theme="1"/>
        <rFont val="맑은 고딕"/>
        <family val="3"/>
        <charset val="129"/>
      </rPr>
      <t>수주예정</t>
    </r>
    <phoneticPr fontId="1" type="noConversion"/>
  </si>
  <si>
    <r>
      <rPr>
        <b/>
        <sz val="10"/>
        <color theme="1"/>
        <rFont val="맑은 고딕"/>
        <family val="3"/>
        <charset val="129"/>
      </rPr>
      <t>예상</t>
    </r>
    <r>
      <rPr>
        <b/>
        <sz val="10"/>
        <color theme="1"/>
        <rFont val="Arial"/>
        <family val="2"/>
      </rPr>
      <t xml:space="preserve"> </t>
    </r>
    <r>
      <rPr>
        <b/>
        <sz val="10"/>
        <color theme="1"/>
        <rFont val="맑은 고딕"/>
        <family val="3"/>
        <charset val="129"/>
      </rPr>
      <t>매출</t>
    </r>
    <r>
      <rPr>
        <b/>
        <sz val="10"/>
        <color theme="1"/>
        <rFont val="Arial"/>
        <family val="2"/>
      </rPr>
      <t xml:space="preserve"> </t>
    </r>
    <r>
      <rPr>
        <b/>
        <sz val="10"/>
        <color theme="1"/>
        <rFont val="맑은 고딕"/>
        <family val="3"/>
        <charset val="129"/>
      </rPr>
      <t>내역</t>
    </r>
    <phoneticPr fontId="1" type="noConversion"/>
  </si>
  <si>
    <r>
      <rPr>
        <b/>
        <sz val="11"/>
        <color theme="1"/>
        <rFont val="맑은 고딕"/>
        <family val="3"/>
        <charset val="129"/>
      </rPr>
      <t>서대식</t>
    </r>
    <phoneticPr fontId="1" type="noConversion"/>
  </si>
  <si>
    <r>
      <rPr>
        <b/>
        <sz val="11"/>
        <color theme="1"/>
        <rFont val="맑은 고딕"/>
        <family val="3"/>
        <charset val="129"/>
      </rPr>
      <t>윤남식</t>
    </r>
    <phoneticPr fontId="1" type="noConversion"/>
  </si>
  <si>
    <r>
      <rPr>
        <b/>
        <sz val="11"/>
        <color theme="1"/>
        <rFont val="맑은 고딕"/>
        <family val="3"/>
        <charset val="129"/>
      </rPr>
      <t>배우성</t>
    </r>
    <phoneticPr fontId="1" type="noConversion"/>
  </si>
  <si>
    <r>
      <rPr>
        <b/>
        <sz val="11"/>
        <color theme="1"/>
        <rFont val="맑은 고딕"/>
        <family val="3"/>
        <charset val="129"/>
      </rPr>
      <t>오석영</t>
    </r>
    <phoneticPr fontId="1" type="noConversion"/>
  </si>
  <si>
    <r>
      <t xml:space="preserve">NIGIRI </t>
    </r>
    <r>
      <rPr>
        <sz val="11"/>
        <color theme="1"/>
        <rFont val="맑은 고딕"/>
        <family val="2"/>
        <charset val="129"/>
      </rPr>
      <t>목표</t>
    </r>
    <phoneticPr fontId="1" type="noConversion"/>
  </si>
  <si>
    <r>
      <rPr>
        <b/>
        <sz val="11"/>
        <color theme="1"/>
        <rFont val="맑은 고딕"/>
        <family val="3"/>
        <charset val="129"/>
      </rPr>
      <t>담당자</t>
    </r>
    <r>
      <rPr>
        <b/>
        <sz val="11"/>
        <color theme="1"/>
        <rFont val="Arial"/>
        <family val="2"/>
      </rPr>
      <t xml:space="preserve"> / Month</t>
    </r>
    <phoneticPr fontId="1" type="noConversion"/>
  </si>
  <si>
    <r>
      <rPr>
        <b/>
        <sz val="11"/>
        <color theme="1"/>
        <rFont val="맑은 고딕"/>
        <family val="3"/>
        <charset val="129"/>
      </rPr>
      <t>정성한</t>
    </r>
    <phoneticPr fontId="1" type="noConversion"/>
  </si>
  <si>
    <r>
      <rPr>
        <b/>
        <sz val="10"/>
        <color theme="1"/>
        <rFont val="맑은 고딕"/>
        <family val="3"/>
        <charset val="129"/>
      </rPr>
      <t>수주</t>
    </r>
    <r>
      <rPr>
        <b/>
        <sz val="10"/>
        <color theme="1"/>
        <rFont val="Arial"/>
        <family val="2"/>
      </rPr>
      <t xml:space="preserve"> </t>
    </r>
    <r>
      <rPr>
        <b/>
        <sz val="10"/>
        <color theme="1"/>
        <rFont val="맑은 고딕"/>
        <family val="3"/>
        <charset val="129"/>
      </rPr>
      <t>내역</t>
    </r>
    <phoneticPr fontId="1" type="noConversion"/>
  </si>
  <si>
    <r>
      <rPr>
        <b/>
        <sz val="11"/>
        <color theme="1"/>
        <rFont val="맑은 고딕"/>
        <family val="3"/>
        <charset val="129"/>
      </rPr>
      <t>서대식</t>
    </r>
    <phoneticPr fontId="1" type="noConversion"/>
  </si>
  <si>
    <r>
      <rPr>
        <b/>
        <sz val="11"/>
        <color theme="1"/>
        <rFont val="맑은 고딕"/>
        <family val="3"/>
        <charset val="129"/>
      </rPr>
      <t>윤남식</t>
    </r>
    <phoneticPr fontId="1" type="noConversion"/>
  </si>
  <si>
    <r>
      <rPr>
        <b/>
        <sz val="11"/>
        <color theme="1"/>
        <rFont val="맑은 고딕"/>
        <family val="3"/>
        <charset val="129"/>
      </rPr>
      <t>배우성</t>
    </r>
    <phoneticPr fontId="1" type="noConversion"/>
  </si>
  <si>
    <r>
      <rPr>
        <b/>
        <sz val="11"/>
        <color theme="1"/>
        <rFont val="맑은 고딕"/>
        <family val="3"/>
        <charset val="129"/>
      </rPr>
      <t>오석영</t>
    </r>
    <phoneticPr fontId="1" type="noConversion"/>
  </si>
  <si>
    <r>
      <t xml:space="preserve">1. TC Gulf - </t>
    </r>
    <r>
      <rPr>
        <sz val="10"/>
        <color rgb="FFFF0000"/>
        <rFont val="돋움"/>
        <family val="3"/>
        <charset val="129"/>
      </rPr>
      <t>쿠웨이트</t>
    </r>
    <r>
      <rPr>
        <sz val="10"/>
        <color rgb="FFFF0000"/>
        <rFont val="Arial"/>
        <family val="2"/>
      </rPr>
      <t xml:space="preserve"> MRO</t>
    </r>
    <phoneticPr fontId="1" type="noConversion"/>
  </si>
  <si>
    <t>최소 수주 예상 금액</t>
    <phoneticPr fontId="1" type="noConversion"/>
  </si>
  <si>
    <r>
      <rPr>
        <sz val="10"/>
        <color rgb="FFFF0000"/>
        <rFont val="돋움"/>
        <family val="3"/>
        <charset val="129"/>
      </rPr>
      <t>예상</t>
    </r>
    <r>
      <rPr>
        <sz val="10"/>
        <color rgb="FFFF0000"/>
        <rFont val="Arial"/>
        <family val="2"/>
      </rPr>
      <t xml:space="preserve"> </t>
    </r>
    <r>
      <rPr>
        <sz val="10"/>
        <color rgb="FFFF0000"/>
        <rFont val="돋움"/>
        <family val="3"/>
        <charset val="129"/>
      </rPr>
      <t>수주</t>
    </r>
    <phoneticPr fontId="1" type="noConversion"/>
  </si>
  <si>
    <r>
      <t>1. Vanguard -
Barka 2 PJ
(</t>
    </r>
    <r>
      <rPr>
        <sz val="10"/>
        <color rgb="FFFF0000"/>
        <rFont val="돋움"/>
        <family val="3"/>
        <charset val="129"/>
      </rPr>
      <t>교체밸브</t>
    </r>
    <r>
      <rPr>
        <sz val="10"/>
        <color rgb="FFFF0000"/>
        <rFont val="Arial"/>
        <family val="2"/>
      </rPr>
      <t>)</t>
    </r>
    <phoneticPr fontId="1" type="noConversion"/>
  </si>
  <si>
    <t># MONTHLY SALES PLAN - 2025</t>
    <phoneticPr fontId="1" type="noConversion"/>
  </si>
  <si>
    <r>
      <t xml:space="preserve">1. HP Valves - Orot Rabin PJ (BE240026,27) </t>
    </r>
    <r>
      <rPr>
        <sz val="9"/>
        <rFont val="Arial Unicode MS"/>
        <family val="2"/>
        <charset val="129"/>
      </rPr>
      <t>납품</t>
    </r>
    <r>
      <rPr>
        <sz val="9"/>
        <rFont val="Arial"/>
        <family val="2"/>
      </rPr>
      <t xml:space="preserve">
2. W/S - T-5
(BE240032) </t>
    </r>
    <r>
      <rPr>
        <sz val="9"/>
        <rFont val="Arial Unicode MS"/>
        <family val="2"/>
        <charset val="129"/>
      </rPr>
      <t>납품</t>
    </r>
    <phoneticPr fontId="1" type="noConversion"/>
  </si>
  <si>
    <r>
      <t xml:space="preserve">1. HP Valves - Orot Rabin PJ (BE240026) </t>
    </r>
    <r>
      <rPr>
        <sz val="9"/>
        <rFont val="돋움"/>
        <family val="2"/>
        <charset val="129"/>
      </rPr>
      <t>납품</t>
    </r>
    <r>
      <rPr>
        <sz val="9"/>
        <rFont val="Arial"/>
        <family val="2"/>
      </rPr>
      <t xml:space="preserve">
2. DL E&amp;C - SHAHEEN PJ(BD230043) </t>
    </r>
    <r>
      <rPr>
        <sz val="9"/>
        <rFont val="Arial Unicode MS"/>
        <family val="2"/>
        <charset val="129"/>
      </rPr>
      <t>납품</t>
    </r>
    <phoneticPr fontId="1" type="noConversion"/>
  </si>
  <si>
    <t>단품 및 SPARE 예상 매출</t>
    <phoneticPr fontId="1" type="noConversion"/>
  </si>
  <si>
    <t>2025년 윤남식 선임 영업계획</t>
    <phoneticPr fontId="1" type="noConversion"/>
  </si>
  <si>
    <t>2025년 매출</t>
    <phoneticPr fontId="1" type="noConversion"/>
  </si>
  <si>
    <t>이전에 납품된 밸브에 대해, A/S가 필요하다는 연락을 접수하였지만 S/P 교체보다 COMPLETE VALVE 구매를 유도하여 수주를 받을예정</t>
    <phoneticPr fontId="1" type="noConversion"/>
  </si>
  <si>
    <t>제일밸브, W/S, VANGUARD 등</t>
    <phoneticPr fontId="1" type="noConversion"/>
  </si>
  <si>
    <t>OCI SE, G2 PJ</t>
    <phoneticPr fontId="1" type="noConversion"/>
  </si>
  <si>
    <t>MANUAL,
BARE</t>
    <phoneticPr fontId="1" type="noConversion"/>
  </si>
  <si>
    <t>DN1100</t>
    <phoneticPr fontId="1" type="noConversion"/>
  </si>
  <si>
    <t>CON, HP,
WW, TOV</t>
    <phoneticPr fontId="1" type="noConversion"/>
  </si>
  <si>
    <t>2024년 중~하반기 견적제출하였으며, 내년 상반기 기술검토예정이라는 연락을 접수</t>
    <phoneticPr fontId="1" type="noConversion"/>
  </si>
  <si>
    <t>2025년 9월</t>
    <phoneticPr fontId="1" type="noConversion"/>
  </si>
  <si>
    <t>2023년 예량견적 제출 및 2025년 실행 RFQ 접수예상</t>
    <phoneticPr fontId="1" type="noConversion"/>
  </si>
  <si>
    <t>2024년 1월 예량(예산용) 견적 제출 및 2025년 실행 RFQ 접수예상</t>
    <phoneticPr fontId="1" type="noConversion"/>
  </si>
  <si>
    <t>2. 2025년 시장동향 및 영업전망</t>
    <phoneticPr fontId="1" type="noConversion"/>
  </si>
  <si>
    <t>장흥바이오매스</t>
    <phoneticPr fontId="1" type="noConversion"/>
  </si>
  <si>
    <t>CON</t>
    <phoneticPr fontId="1" type="noConversion"/>
  </si>
  <si>
    <t>DN150~DN850</t>
    <phoneticPr fontId="1" type="noConversion"/>
  </si>
  <si>
    <t>2025년 6월</t>
    <phoneticPr fontId="1" type="noConversion"/>
  </si>
  <si>
    <t>2025년 1월</t>
    <phoneticPr fontId="1" type="noConversion"/>
  </si>
  <si>
    <t>국내안건인 만큼 실행 견적 시, 저렴한 금액으로 입찰하여 수주예정</t>
    <phoneticPr fontId="1" type="noConversion"/>
  </si>
  <si>
    <t>HP Valves - Rabigh PJ</t>
    <phoneticPr fontId="1" type="noConversion"/>
  </si>
  <si>
    <r>
      <t xml:space="preserve">HP Valves - NV Energy </t>
    </r>
    <r>
      <rPr>
        <sz val="9"/>
        <rFont val="맑은 고딕"/>
        <family val="2"/>
        <charset val="129"/>
      </rPr>
      <t>예정</t>
    </r>
    <phoneticPr fontId="1" type="noConversion"/>
  </si>
  <si>
    <r>
      <t xml:space="preserve">1. HP Valves - Orot Rabin PJ (BE240028,29) </t>
    </r>
    <r>
      <rPr>
        <sz val="9"/>
        <rFont val="Arial Unicode MS"/>
        <family val="2"/>
        <charset val="129"/>
      </rPr>
      <t>납품</t>
    </r>
    <r>
      <rPr>
        <sz val="9"/>
        <rFont val="Arial"/>
        <family val="2"/>
      </rPr>
      <t xml:space="preserve">
2. HP Valves - PAWNEE PJ </t>
    </r>
    <r>
      <rPr>
        <sz val="9"/>
        <rFont val="맑은 고딕"/>
        <family val="2"/>
        <charset val="129"/>
      </rPr>
      <t>납품</t>
    </r>
    <phoneticPr fontId="1" type="noConversion"/>
  </si>
  <si>
    <t>현대중공업터보기계 - 공주천연가스</t>
    <phoneticPr fontId="1" type="noConversion"/>
  </si>
  <si>
    <r>
      <t xml:space="preserve">1. OCI SE - </t>
    </r>
    <r>
      <rPr>
        <sz val="9"/>
        <rFont val="Arial Unicode MS"/>
        <family val="2"/>
        <charset val="129"/>
      </rPr>
      <t xml:space="preserve">새만금집단에너지 공사 </t>
    </r>
    <r>
      <rPr>
        <sz val="9"/>
        <rFont val="Arial"/>
        <family val="2"/>
      </rPr>
      <t>(</t>
    </r>
    <r>
      <rPr>
        <sz val="9"/>
        <rFont val="Arial Unicode MS"/>
        <family val="2"/>
        <charset val="129"/>
      </rPr>
      <t>밸브수리)</t>
    </r>
    <r>
      <rPr>
        <sz val="9"/>
        <rFont val="Arial"/>
        <family val="2"/>
      </rPr>
      <t xml:space="preserve">
2. </t>
    </r>
    <r>
      <rPr>
        <sz val="9"/>
        <rFont val="맑은 고딕"/>
        <family val="2"/>
        <charset val="129"/>
      </rPr>
      <t>한화에너지</t>
    </r>
    <r>
      <rPr>
        <sz val="9"/>
        <rFont val="Arial"/>
        <family val="2"/>
      </rPr>
      <t xml:space="preserve"> - G2 PJ(</t>
    </r>
    <r>
      <rPr>
        <sz val="9"/>
        <rFont val="맑은 고딕"/>
        <family val="2"/>
        <charset val="129"/>
      </rPr>
      <t>밸브수리</t>
    </r>
    <r>
      <rPr>
        <sz val="9"/>
        <rFont val="Arial"/>
        <family val="2"/>
      </rPr>
      <t>)</t>
    </r>
    <phoneticPr fontId="1" type="noConversion"/>
  </si>
  <si>
    <r>
      <t xml:space="preserve">1. HP Valves - Orot Rabin PJ (BE240029) </t>
    </r>
    <r>
      <rPr>
        <sz val="9"/>
        <rFont val="Arial Unicode MS"/>
        <family val="2"/>
        <charset val="129"/>
      </rPr>
      <t>납품</t>
    </r>
    <r>
      <rPr>
        <sz val="9"/>
        <rFont val="Arial"/>
        <family val="2"/>
      </rPr>
      <t xml:space="preserve">
2. W/S - SAIJO
(AV240007) </t>
    </r>
    <r>
      <rPr>
        <sz val="9"/>
        <rFont val="Arial Unicode MS"/>
        <family val="2"/>
        <charset val="129"/>
      </rPr>
      <t>납품</t>
    </r>
    <r>
      <rPr>
        <sz val="9"/>
        <rFont val="Arial"/>
        <family val="2"/>
      </rPr>
      <t xml:space="preserve">
3. </t>
    </r>
    <r>
      <rPr>
        <sz val="9"/>
        <rFont val="맑은 고딕"/>
        <family val="2"/>
        <charset val="129"/>
      </rPr>
      <t>금화</t>
    </r>
    <r>
      <rPr>
        <sz val="9"/>
        <rFont val="Arial"/>
        <family val="2"/>
      </rPr>
      <t xml:space="preserve">PSC
(PD240033) </t>
    </r>
    <r>
      <rPr>
        <sz val="9"/>
        <rFont val="맑은 고딕"/>
        <family val="2"/>
        <charset val="129"/>
      </rPr>
      <t>납품</t>
    </r>
    <phoneticPr fontId="1" type="noConversion"/>
  </si>
  <si>
    <t>HP Valves - Naughton Station</t>
    <phoneticPr fontId="1" type="noConversion"/>
  </si>
  <si>
    <r>
      <t xml:space="preserve">HP Valves - NV Energy </t>
    </r>
    <r>
      <rPr>
        <sz val="10"/>
        <rFont val="맑은 고딕"/>
        <family val="2"/>
        <charset val="129"/>
      </rPr>
      <t>납품</t>
    </r>
    <r>
      <rPr>
        <sz val="9"/>
        <rFont val="맑은 고딕"/>
        <family val="2"/>
        <charset val="129"/>
      </rPr>
      <t>예정</t>
    </r>
    <phoneticPr fontId="1" type="noConversion"/>
  </si>
  <si>
    <r>
      <t xml:space="preserve">GS POWER - </t>
    </r>
    <r>
      <rPr>
        <sz val="9"/>
        <rFont val="맑은 고딕"/>
        <family val="2"/>
        <charset val="129"/>
      </rPr>
      <t>안양열병합발전</t>
    </r>
    <r>
      <rPr>
        <sz val="9"/>
        <rFont val="Arial"/>
        <family val="2"/>
      </rPr>
      <t xml:space="preserve">
(BD240037 </t>
    </r>
    <r>
      <rPr>
        <sz val="9"/>
        <rFont val="맑은 고딕"/>
        <family val="2"/>
        <charset val="129"/>
      </rPr>
      <t>납품)</t>
    </r>
    <phoneticPr fontId="1" type="noConversion"/>
  </si>
  <si>
    <t>국제M&amp;P - Evian PJ 및 통영LNG 추가밸브</t>
    <phoneticPr fontId="1" type="noConversion"/>
  </si>
  <si>
    <t>2025년 09월</t>
    <phoneticPr fontId="1" type="noConversion"/>
  </si>
  <si>
    <t>NV ENERGY</t>
    <phoneticPr fontId="1" type="noConversion"/>
  </si>
  <si>
    <t>HP</t>
    <phoneticPr fontId="1" type="noConversion"/>
  </si>
  <si>
    <t>MANUAL
POV</t>
    <phoneticPr fontId="1" type="noConversion"/>
  </si>
  <si>
    <t>DN150~DN450</t>
    <phoneticPr fontId="1" type="noConversion"/>
  </si>
  <si>
    <t>2025년 1월 2일 파이널 견적 제출 및 기술내용 검토중</t>
    <phoneticPr fontId="1" type="noConversion"/>
  </si>
  <si>
    <t>기술검토완료 후, 1/10일 수주확정여부가 결정될 예정</t>
    <phoneticPr fontId="1" type="noConversion"/>
  </si>
  <si>
    <t>OCI, 한화에너지</t>
    <phoneticPr fontId="1" type="noConversion"/>
  </si>
  <si>
    <t>견적제출 후, 기술내용 검토중으로 확인이 됨. 
일부 교체밸브, S/P에 대해서는 고객 내부적으로 확인중</t>
    <phoneticPr fontId="1" type="noConversion"/>
  </si>
  <si>
    <t>RABIGH, Naughton Station, Heidelberg PJ 등</t>
    <phoneticPr fontId="1" type="noConversion"/>
  </si>
  <si>
    <t>MOV, 
MANUAL,
POV</t>
    <phoneticPr fontId="1" type="noConversion"/>
  </si>
  <si>
    <t>2025년 5월</t>
    <phoneticPr fontId="1" type="noConversion"/>
  </si>
  <si>
    <r>
      <t xml:space="preserve">DL E&amp;C - </t>
    </r>
    <r>
      <rPr>
        <sz val="9"/>
        <rFont val="맑은 고딕"/>
        <family val="2"/>
        <charset val="129"/>
      </rPr>
      <t>장흥바이오매스</t>
    </r>
    <phoneticPr fontId="1" type="noConversion"/>
  </si>
  <si>
    <t>1. 년 4-5회 한국 및 네덜란드 방문하여 지속적으로 친분을 쌓으며 관계를 강화하고 비즈니스 기회 확대예정
2. 신규 프로젝트보단 이전에 납품한 밸브의 MRO 오더가 많으며, 단가테이블을 토대로 신속한대응을 통해 고객신뢰도 강화할 예정</t>
    <phoneticPr fontId="1" type="noConversion"/>
  </si>
  <si>
    <t>현재 발전소에서 정부에 예산요청 및 승인대기중으로 수량, 사이즈 등의 변경으로 금액이 변경될수는 있으나 BD220015의 추가밸브로 수주100% 예상</t>
    <phoneticPr fontId="1" type="noConversion"/>
  </si>
  <si>
    <t>1. 국내 EPC
 1) SC&amp;T - FACILITY E PJ 수주하였으며, 올해 하반기 실행입찰 진행예정입니다. 
    O MON PJ, SEC PJ, UAE FAST TRACK 등 예량 견적에 대한 신속한 대응을 통해 당사에 우호적인 태도를 보이고 있습니다. 
    사우디 공사는 빠르게 진행되는 만큼 지속적인 확인 및 경쟁업체의 동향을 잘 확인하여 수주가 가능한 방향을 모색하도록 하겠습니다.
    (이전 방문시, 견적테이블 단가표를 만들어 향후 진행되는 모든 PJ에 대하여 해당 단가와 동일하게 적용해줄 것을 요구하였으며, 2024년 말 참고용 견적테이블을 제출하였습니다.)
 2) DL E&amp;C - 국제금속공업 이희용부장이 주기적으로 구매담당자를 만나는 것으로 알고 있습니다.
     다만, 제출된 금액에 대하여 확인하였을 때, 예량견적이지만 타업체에서 비해 금액이 아주 상당히 비싸다고 합니다.
     향후 진행하는 안건에 있어서는 이익률을 조금 조정하여 당사에 대한 이미지를 변화시킬 필요가 있을 것으로 사료됩니다.
 3) HEC &amp; HDEC - UL/FM, 최신 CERT 등 요구사항이 많으며, 당사에서 제출한 금액이 경쟁업체에 비해 상당히 비싼 것으로 확인이됩니다.
     남양주열병합, KGP PJ, LSP PJ, P2E PJ 등 다양한 예량 견적을 제출하였으며, TGPF4 PJT는 현대에서 수주, KGP PJ는 현대에서 수주할 가능성이 높다는 
     연락을 접수하였습니다. 다만, 해당안건은 2025년 수주가 힘들 것으로 예상되기에 수주계획에서 제외하였습니다.
 4) SK에코엔지니어링 - 용인집단에너지사업이 2024년 말 EPC WORK 진행예정이지만 2024년 실행 입찰 안건으로 보았을 때, 당사의 금액이 경쟁업체에 비해 10%이상 차이가 나기에 
    이익을 더 낮추지 않는 한 추후 수주가 힘들 것으로 예상이됩니다. 
2. 해외 고객
1) HP VALVES - 대부분 단납기를 요구하며, 경쟁업체 금액이 당사 MV / 0.75(1차제출견적기준) 수준으로 확인이 됩니다. 
   HP VALVES 에서도 한국에 년 4-5회 정도 방문하며, 지속적으로 친분을 쌓으며 관계를 강화하고 비즈니스 기회 확대할 예정입니다.
   신규공사도 있지만, 대부분의 실행안건이 교체밸브에 대한 문의가 많은 관계로 단가테이블을 토대로 신속한대응을 통해 고객신뢰도를 강화할 예정입니다.
2) WILD SHIPPING - 잦은 클레임으로 교체밸브에 대한 문의를 종종 받을것으로 예상되어, 상당히 비싼 금액으로 견적을 대응할 예정입니다.
3. 기타업체
1) 미진인터내셔날, 미진제이원 및 기타업체 - 소형밸브의 경우, 당사 재고품을 이용하여 대응을 하여 바디, 디스크 등 재고를 소진을 해보도록 하겠습니다.
2) 제일밸브, VANGUARD 등 - 간혹 MRO 및 단품에 대한 견적요청을 접수하며, 주기적으로 확인하여 물량을 해보도록 하겠습니다.</t>
    <phoneticPr fontId="1" type="noConversion"/>
  </si>
  <si>
    <t>2023년 10월 DL E&amp;C에서 수주(2026년 11월 준공목표예정)</t>
    <phoneticPr fontId="1" type="noConversion"/>
  </si>
  <si>
    <r>
      <rPr>
        <sz val="9"/>
        <rFont val="맑은 고딕"/>
        <family val="3"/>
        <charset val="129"/>
      </rPr>
      <t>단품</t>
    </r>
    <r>
      <rPr>
        <sz val="9"/>
        <rFont val="Arial"/>
        <family val="2"/>
      </rPr>
      <t xml:space="preserve"> </t>
    </r>
    <r>
      <rPr>
        <sz val="9"/>
        <rFont val="맑은 고딕"/>
        <family val="3"/>
        <charset val="129"/>
      </rPr>
      <t>및</t>
    </r>
    <r>
      <rPr>
        <sz val="9"/>
        <rFont val="Arial"/>
        <family val="2"/>
      </rPr>
      <t xml:space="preserve"> SPARE </t>
    </r>
    <r>
      <rPr>
        <sz val="9"/>
        <rFont val="맑은 고딕"/>
        <family val="3"/>
        <charset val="129"/>
      </rPr>
      <t>예상</t>
    </r>
    <r>
      <rPr>
        <sz val="9"/>
        <rFont val="Arial"/>
        <family val="2"/>
      </rPr>
      <t xml:space="preserve"> </t>
    </r>
    <r>
      <rPr>
        <sz val="9"/>
        <rFont val="맑은 고딕"/>
        <family val="3"/>
        <charset val="129"/>
      </rPr>
      <t>매출</t>
    </r>
    <phoneticPr fontId="1" type="noConversion"/>
  </si>
  <si>
    <t xml:space="preserve">2. 영업전망
 1) HP VALVES는 당사의 신속한 대응력에 만족하고 있어, 이를 강점으로 활용하여 수주 물량 확대를 추진할 계획입니다. 지속적인 교류를 통해 고객 요구를 면밀히 파악하고, 
    사전에 타겟 금액과 스펙을 확인하여 수주 성공률을 높이겠습니다. 현재도 단납기 요구 사항을 충족하기 단가 테이블 기반으로 대응하려고 노력하고 있습니다.
    HP VALVES 담당자와 지속적인 교류를 통해 수주를 확보할 예정입니다. 타업체대비 당사의 빠른 대응에 만족해하고 있기에, 신속 및 타켓금액을 사전에 확인하여 수주물량을 확보하도록 하겠습니다.
 2) 내수안건으로는 남양주열병합 PJ, FACILITY E PJ 를 제외한 예정된 큰 볼륨의 실행안건이 없어, 최대한 많은 프로젝트에 대한 수주확보를 통해 매출을 높여야 할것으로 사료됩니다.
    특히, 기존 고객과의 관계를 강화하며 안정적인 매출 기반을 다지고, 신속한 대응과 경쟁력 있는 제안으로 새로운 기회를 모색해야 할 것입니다.
 3) 국내 EPC의 다양한 예량 견적에 참여하고 있으나, 까다로운 스펙 요구나 가능성이 낮은 오더의 경우 과감히 포기하여, 보다 수주 가능성이 높은 프로젝트에 집중할 계획입니다.
     이를 통해 견적 과정에서의 비효율을 줄이고, 예가 견적에서도 BEST 견적으로 대응을 하여, 당사밸브의 비싼 이미지를 바꿀 필요가 있을 것으로 사료됩니다. 
</t>
    <phoneticPr fontId="1" type="noConversion"/>
  </si>
  <si>
    <r>
      <t xml:space="preserve">HP VALVES
- Heidelberg PJ </t>
    </r>
    <r>
      <rPr>
        <sz val="9"/>
        <rFont val="맑은 고딕"/>
        <family val="2"/>
        <charset val="129"/>
      </rPr>
      <t xml:space="preserve">외 </t>
    </r>
    <phoneticPr fontId="1" type="noConversion"/>
  </si>
  <si>
    <r>
      <t xml:space="preserve">OCI SE - </t>
    </r>
    <r>
      <rPr>
        <sz val="9"/>
        <rFont val="Arial Unicode MS"/>
        <family val="2"/>
        <charset val="129"/>
      </rPr>
      <t xml:space="preserve">새만금집단에너지 공사, </t>
    </r>
    <r>
      <rPr>
        <sz val="9"/>
        <rFont val="Arial"/>
        <family val="2"/>
      </rPr>
      <t xml:space="preserve">
</t>
    </r>
    <r>
      <rPr>
        <sz val="9"/>
        <rFont val="맑은 고딕"/>
        <family val="2"/>
        <charset val="129"/>
      </rPr>
      <t>한화에너지</t>
    </r>
    <r>
      <rPr>
        <sz val="9"/>
        <rFont val="Arial"/>
        <family val="2"/>
      </rPr>
      <t xml:space="preserve"> - G2 PJ </t>
    </r>
    <r>
      <rPr>
        <sz val="9"/>
        <rFont val="맑은 고딕"/>
        <family val="2"/>
        <charset val="129"/>
      </rPr>
      <t>수리밸브(예정)</t>
    </r>
    <phoneticPr fontId="1" type="noConversion"/>
  </si>
  <si>
    <r>
      <t xml:space="preserve">HP Valves - Naughton Station </t>
    </r>
    <r>
      <rPr>
        <sz val="10"/>
        <rFont val="맑은 고딕"/>
        <family val="2"/>
        <charset val="129"/>
      </rPr>
      <t>(예정)</t>
    </r>
    <phoneticPr fontId="1" type="noConversion"/>
  </si>
  <si>
    <r>
      <t>HP Valves - Rabigh PJ(</t>
    </r>
    <r>
      <rPr>
        <sz val="9"/>
        <rFont val="맑은 고딕"/>
        <family val="2"/>
        <charset val="129"/>
      </rPr>
      <t>예정)</t>
    </r>
    <phoneticPr fontId="1" type="noConversion"/>
  </si>
  <si>
    <r>
      <t>1. 목표 수주 &amp; 매출
  1) 수주 -</t>
    </r>
    <r>
      <rPr>
        <b/>
        <sz val="11"/>
        <color rgb="FFFF0000"/>
        <rFont val="맑은 고딕"/>
        <family val="3"/>
        <charset val="129"/>
        <scheme val="minor"/>
      </rPr>
      <t xml:space="preserve"> 15억</t>
    </r>
    <r>
      <rPr>
        <b/>
        <sz val="11"/>
        <color theme="1"/>
        <rFont val="맑은 고딕"/>
        <family val="3"/>
        <charset val="129"/>
        <scheme val="minor"/>
      </rPr>
      <t xml:space="preserve"> 
  2) 매출 - </t>
    </r>
    <r>
      <rPr>
        <b/>
        <sz val="11"/>
        <color rgb="FFFF0000"/>
        <rFont val="맑은 고딕"/>
        <family val="3"/>
        <charset val="129"/>
        <scheme val="minor"/>
      </rPr>
      <t xml:space="preserve">11억 </t>
    </r>
    <r>
      <rPr>
        <b/>
        <sz val="11"/>
        <rFont val="맑은 고딕"/>
        <family val="3"/>
        <charset val="129"/>
        <scheme val="minor"/>
      </rPr>
      <t>(확정 잔고 6.2억 + 25년 입찰 PJT 4.4억)</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</si>
</sst>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_ "/>
    <numFmt numFmtId="177" formatCode="&quot;₩&quot;#,##0_);[Red]\(&quot;₩&quot;#,##0\)"/>
  </numFmts>
  <fonts count="52" x14ac:knownFonts="1">
    <font>
      <sz val="11"/>
      <color theme="1"/>
      <name val="맑은 고딕"/>
      <family val="2"/>
      <charset val="129"/>
      <scheme val="minor"/>
    </font>
    <font>
      <sz val="8"/>
      <name val="맑은 고딕"/>
      <family val="2"/>
      <charset val="129"/>
      <scheme val="minor"/>
    </font>
    <font>
      <b/>
      <u/>
      <sz val="18"/>
      <color theme="1"/>
      <name val="맑은 고딕"/>
      <family val="3"/>
      <charset val="129"/>
      <scheme val="minor"/>
    </font>
    <font>
      <sz val="18"/>
      <color theme="1"/>
      <name val="맑은 고딕"/>
      <family val="3"/>
      <charset val="129"/>
      <scheme val="minor"/>
    </font>
    <font>
      <b/>
      <sz val="15"/>
      <color theme="1"/>
      <name val="맑은 고딕"/>
      <family val="3"/>
      <charset val="129"/>
      <scheme val="minor"/>
    </font>
    <font>
      <b/>
      <sz val="10"/>
      <color theme="1"/>
      <name val="맑은 고딕"/>
      <family val="3"/>
      <charset val="129"/>
      <scheme val="minor"/>
    </font>
    <font>
      <sz val="10"/>
      <color theme="1"/>
      <name val="맑은 고딕"/>
      <family val="3"/>
      <charset val="129"/>
      <scheme val="minor"/>
    </font>
    <font>
      <b/>
      <sz val="12"/>
      <color theme="1"/>
      <name val="맑은 고딕"/>
      <family val="3"/>
      <charset val="129"/>
      <scheme val="minor"/>
    </font>
    <font>
      <b/>
      <sz val="11"/>
      <color rgb="FFFF0000"/>
      <name val="맑은 고딕"/>
      <family val="3"/>
      <charset val="129"/>
      <scheme val="minor"/>
    </font>
    <font>
      <b/>
      <sz val="11"/>
      <color theme="1"/>
      <name val="맑은 고딕"/>
      <family val="3"/>
      <charset val="129"/>
      <scheme val="minor"/>
    </font>
    <font>
      <b/>
      <sz val="11"/>
      <name val="맑은 고딕"/>
      <family val="3"/>
      <charset val="129"/>
      <scheme val="minor"/>
    </font>
    <font>
      <sz val="11"/>
      <color theme="1"/>
      <name val="맑은 고딕"/>
      <family val="2"/>
      <charset val="129"/>
      <scheme val="minor"/>
    </font>
    <font>
      <b/>
      <sz val="10"/>
      <name val="맑은 고딕"/>
      <family val="3"/>
      <charset val="129"/>
      <scheme val="minor"/>
    </font>
    <font>
      <sz val="10"/>
      <name val="맑은 고딕"/>
      <family val="3"/>
      <charset val="129"/>
      <scheme val="minor"/>
    </font>
    <font>
      <sz val="11"/>
      <name val="맑은 고딕"/>
      <family val="3"/>
      <charset val="129"/>
      <scheme val="minor"/>
    </font>
    <font>
      <b/>
      <sz val="12"/>
      <color rgb="FFFF0000"/>
      <name val="맑은 고딕"/>
      <family val="3"/>
      <charset val="129"/>
      <scheme val="minor"/>
    </font>
    <font>
      <sz val="8"/>
      <name val="맑은 고딕"/>
      <family val="3"/>
      <charset val="129"/>
      <scheme val="minor"/>
    </font>
    <font>
      <sz val="11"/>
      <color theme="1"/>
      <name val="맑은 고딕"/>
      <family val="2"/>
      <charset val="128"/>
      <scheme val="minor"/>
    </font>
    <font>
      <sz val="10"/>
      <color rgb="FF0000FF"/>
      <name val="Arial"/>
      <family val="2"/>
    </font>
    <font>
      <sz val="10"/>
      <name val="Arial"/>
      <family val="2"/>
    </font>
    <font>
      <sz val="10"/>
      <name val="돋움"/>
      <family val="3"/>
      <charset val="129"/>
    </font>
    <font>
      <sz val="8"/>
      <name val="Arial"/>
      <family val="2"/>
    </font>
    <font>
      <sz val="10"/>
      <name val="Arial Unicode MS"/>
      <family val="2"/>
      <charset val="129"/>
    </font>
    <font>
      <sz val="9"/>
      <name val="Arial"/>
      <family val="2"/>
    </font>
    <font>
      <sz val="11"/>
      <color rgb="FF0000FF"/>
      <name val="Arial"/>
      <family val="2"/>
    </font>
    <font>
      <sz val="11"/>
      <color rgb="FFFF0000"/>
      <name val="Arial"/>
      <family val="2"/>
    </font>
    <font>
      <sz val="9"/>
      <name val="Arial Unicode MS"/>
      <family val="2"/>
      <charset val="129"/>
    </font>
    <font>
      <sz val="10"/>
      <name val="맑은 고딕"/>
      <family val="2"/>
      <charset val="129"/>
    </font>
    <font>
      <sz val="10"/>
      <name val="굴림"/>
      <family val="2"/>
      <charset val="129"/>
    </font>
    <font>
      <sz val="10"/>
      <color rgb="FFFF0000"/>
      <name val="Arial"/>
      <family val="2"/>
    </font>
    <font>
      <sz val="10"/>
      <color rgb="FFFF0000"/>
      <name val="돋움"/>
      <family val="3"/>
      <charset val="129"/>
    </font>
    <font>
      <sz val="10"/>
      <color rgb="FFFF0000"/>
      <name val="굴림"/>
      <family val="2"/>
      <charset val="129"/>
    </font>
    <font>
      <sz val="10"/>
      <color rgb="FFFF0000"/>
      <name val="굴림"/>
      <family val="3"/>
      <charset val="129"/>
    </font>
    <font>
      <sz val="9"/>
      <color rgb="FFFF0000"/>
      <name val="Arial"/>
      <family val="2"/>
    </font>
    <font>
      <sz val="9"/>
      <color rgb="FFFF0000"/>
      <name val="Arial Unicode MS"/>
      <family val="2"/>
      <charset val="129"/>
    </font>
    <font>
      <b/>
      <sz val="16"/>
      <color theme="1"/>
      <name val="Arial"/>
      <family val="2"/>
    </font>
    <font>
      <sz val="11"/>
      <color theme="1"/>
      <name val="Arial"/>
      <family val="2"/>
    </font>
    <font>
      <b/>
      <sz val="10"/>
      <color theme="1"/>
      <name val="Arial"/>
      <family val="2"/>
    </font>
    <font>
      <b/>
      <sz val="11"/>
      <color theme="1"/>
      <name val="Arial"/>
      <family val="2"/>
    </font>
    <font>
      <b/>
      <sz val="11"/>
      <color rgb="FFFF0000"/>
      <name val="Arial"/>
      <family val="2"/>
    </font>
    <font>
      <b/>
      <sz val="10"/>
      <name val="Arial"/>
      <family val="2"/>
    </font>
    <font>
      <b/>
      <u/>
      <sz val="10"/>
      <color theme="1"/>
      <name val="Arial"/>
      <family val="2"/>
    </font>
    <font>
      <sz val="10"/>
      <color theme="1"/>
      <name val="Arial"/>
      <family val="2"/>
    </font>
    <font>
      <sz val="9"/>
      <color theme="1"/>
      <name val="Arial"/>
      <family val="2"/>
    </font>
    <font>
      <b/>
      <sz val="11"/>
      <color rgb="FF0000FF"/>
      <name val="Arial"/>
      <family val="2"/>
    </font>
    <font>
      <b/>
      <sz val="11"/>
      <color theme="1"/>
      <name val="맑은 고딕"/>
      <family val="3"/>
      <charset val="129"/>
    </font>
    <font>
      <b/>
      <sz val="10"/>
      <color theme="1"/>
      <name val="맑은 고딕"/>
      <family val="3"/>
      <charset val="129"/>
    </font>
    <font>
      <sz val="11"/>
      <color theme="1"/>
      <name val="맑은 고딕"/>
      <family val="2"/>
      <charset val="129"/>
    </font>
    <font>
      <sz val="9"/>
      <name val="돋움"/>
      <family val="2"/>
      <charset val="129"/>
    </font>
    <font>
      <sz val="9"/>
      <name val="맑은 고딕"/>
      <family val="2"/>
      <charset val="129"/>
    </font>
    <font>
      <sz val="9"/>
      <name val="맑은 고딕"/>
      <family val="3"/>
      <charset val="129"/>
    </font>
    <font>
      <sz val="9"/>
      <name val="Arial"/>
      <family val="3"/>
      <charset val="129"/>
    </font>
  </fonts>
  <fills count="13">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E9EDF4"/>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style="thin">
        <color auto="1"/>
      </right>
      <top/>
      <bottom style="thin">
        <color auto="1"/>
      </bottom>
      <diagonal/>
    </border>
    <border>
      <left style="thin">
        <color indexed="64"/>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dashed">
        <color indexed="64"/>
      </bottom>
      <diagonal/>
    </border>
    <border>
      <left/>
      <right style="thin">
        <color indexed="64"/>
      </right>
      <top style="dashed">
        <color indexed="64"/>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style="medium">
        <color indexed="64"/>
      </right>
      <top style="dashed">
        <color indexed="64"/>
      </top>
      <bottom style="thin">
        <color indexed="64"/>
      </bottom>
      <diagonal/>
    </border>
    <border>
      <left style="thin">
        <color indexed="64"/>
      </left>
      <right style="medium">
        <color indexed="64"/>
      </right>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right style="thin">
        <color indexed="64"/>
      </right>
      <top/>
      <bottom style="dashed">
        <color indexed="64"/>
      </bottom>
      <diagonal/>
    </border>
    <border>
      <left style="thin">
        <color indexed="64"/>
      </left>
      <right style="thin">
        <color indexed="64"/>
      </right>
      <top/>
      <bottom style="dashed">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dashed">
        <color indexed="64"/>
      </bottom>
      <diagonal/>
    </border>
    <border>
      <left style="medium">
        <color indexed="64"/>
      </left>
      <right/>
      <top style="dashed">
        <color indexed="64"/>
      </top>
      <bottom style="medium">
        <color indexed="64"/>
      </bottom>
      <diagonal/>
    </border>
  </borders>
  <cellStyleXfs count="5">
    <xf numFmtId="0" fontId="0" fillId="0" borderId="0">
      <alignment vertical="center"/>
    </xf>
    <xf numFmtId="41" fontId="11" fillId="0" borderId="0" applyFont="0" applyFill="0" applyBorder="0" applyAlignment="0" applyProtection="0">
      <alignment vertical="center"/>
    </xf>
    <xf numFmtId="0" fontId="11" fillId="0" borderId="0">
      <alignment vertical="center"/>
    </xf>
    <xf numFmtId="41" fontId="17" fillId="0" borderId="0" applyFont="0" applyFill="0" applyBorder="0" applyAlignment="0" applyProtection="0">
      <alignment vertical="center"/>
    </xf>
    <xf numFmtId="41" fontId="11" fillId="0" borderId="0" applyFont="0" applyFill="0" applyBorder="0" applyAlignment="0" applyProtection="0">
      <alignment vertical="center"/>
    </xf>
  </cellStyleXfs>
  <cellXfs count="185">
    <xf numFmtId="0" fontId="0" fillId="0" borderId="0" xfId="0">
      <alignment vertical="center"/>
    </xf>
    <xf numFmtId="0" fontId="3" fillId="2" borderId="0" xfId="0" applyFont="1" applyFill="1">
      <alignment vertical="center"/>
    </xf>
    <xf numFmtId="0" fontId="4" fillId="2" borderId="0" xfId="0" applyFont="1" applyFill="1">
      <alignment vertical="center"/>
    </xf>
    <xf numFmtId="0" fontId="0" fillId="2" borderId="0" xfId="0" applyFill="1">
      <alignment vertical="center"/>
    </xf>
    <xf numFmtId="0" fontId="5" fillId="4" borderId="1" xfId="0" applyFont="1" applyFill="1" applyBorder="1" applyAlignment="1">
      <alignment horizontal="center" vertical="center"/>
    </xf>
    <xf numFmtId="0" fontId="6" fillId="2" borderId="0" xfId="0" applyFont="1" applyFill="1">
      <alignment vertical="center"/>
    </xf>
    <xf numFmtId="0" fontId="6" fillId="2" borderId="0" xfId="0" applyFont="1" applyFill="1" applyAlignment="1">
      <alignment horizontal="center" vertical="center"/>
    </xf>
    <xf numFmtId="0" fontId="0" fillId="2" borderId="0" xfId="0" applyFill="1" applyAlignment="1">
      <alignment vertical="center" shrinkToFit="1"/>
    </xf>
    <xf numFmtId="0" fontId="6" fillId="2" borderId="1" xfId="0" applyFont="1" applyFill="1" applyBorder="1" applyAlignment="1">
      <alignment vertical="center" wrapText="1"/>
    </xf>
    <xf numFmtId="0" fontId="2" fillId="2" borderId="0" xfId="0" applyFont="1" applyFill="1" applyAlignment="1">
      <alignment horizontal="left" vertical="center"/>
    </xf>
    <xf numFmtId="0" fontId="5" fillId="3" borderId="1" xfId="0" applyFont="1" applyFill="1" applyBorder="1" applyAlignment="1">
      <alignment horizontal="center" vertical="center"/>
    </xf>
    <xf numFmtId="0" fontId="0" fillId="2" borderId="0" xfId="0" applyFill="1" applyAlignment="1">
      <alignment horizontal="right" vertical="center"/>
    </xf>
    <xf numFmtId="176" fontId="6" fillId="2" borderId="1" xfId="0" applyNumberFormat="1" applyFont="1" applyFill="1" applyBorder="1" applyAlignment="1">
      <alignment horizontal="center" vertical="center" wrapText="1"/>
    </xf>
    <xf numFmtId="0" fontId="7" fillId="0" borderId="1" xfId="0" applyFont="1" applyBorder="1" applyAlignment="1">
      <alignment horizontal="right" vertical="center" inden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6" fillId="0" borderId="1" xfId="0" applyFont="1" applyBorder="1" applyAlignment="1">
      <alignment vertical="center" wrapText="1"/>
    </xf>
    <xf numFmtId="0" fontId="6" fillId="2" borderId="9" xfId="0" applyFont="1" applyFill="1" applyBorder="1" applyAlignment="1">
      <alignment horizontal="center" vertical="center" wrapText="1"/>
    </xf>
    <xf numFmtId="0" fontId="6" fillId="2" borderId="5" xfId="0" applyFont="1" applyFill="1" applyBorder="1" applyAlignment="1">
      <alignment horizontal="center" vertical="center"/>
    </xf>
    <xf numFmtId="0" fontId="0" fillId="2" borderId="11" xfId="0" applyFill="1" applyBorder="1">
      <alignment vertical="center"/>
    </xf>
    <xf numFmtId="0" fontId="2" fillId="2" borderId="0" xfId="0" applyFont="1" applyFill="1">
      <alignment vertical="center"/>
    </xf>
    <xf numFmtId="0" fontId="7" fillId="2" borderId="1" xfId="0" applyFont="1" applyFill="1" applyBorder="1">
      <alignment vertical="center"/>
    </xf>
    <xf numFmtId="0" fontId="0" fillId="2" borderId="11" xfId="0" applyFill="1" applyBorder="1" applyAlignment="1">
      <alignment horizontal="right" vertical="center"/>
    </xf>
    <xf numFmtId="41" fontId="0" fillId="2" borderId="0" xfId="1" applyFont="1" applyFill="1">
      <alignment vertical="center"/>
    </xf>
    <xf numFmtId="41" fontId="0" fillId="2" borderId="0" xfId="0" applyNumberFormat="1" applyFill="1">
      <alignment vertical="center"/>
    </xf>
    <xf numFmtId="41" fontId="19" fillId="0" borderId="33" xfId="3" applyFont="1" applyFill="1" applyBorder="1" applyAlignment="1">
      <alignment horizontal="left" vertical="center" wrapText="1" readingOrder="1"/>
    </xf>
    <xf numFmtId="41" fontId="25" fillId="0" borderId="34" xfId="3" applyFont="1" applyFill="1" applyBorder="1" applyAlignment="1">
      <alignment horizontal="center" vertical="center" wrapText="1" readingOrder="1"/>
    </xf>
    <xf numFmtId="41" fontId="25" fillId="0" borderId="36" xfId="3" applyFont="1" applyFill="1" applyBorder="1" applyAlignment="1">
      <alignment horizontal="center" vertical="center" wrapText="1" readingOrder="1"/>
    </xf>
    <xf numFmtId="41" fontId="29" fillId="12" borderId="16" xfId="3" applyFont="1" applyFill="1" applyBorder="1" applyAlignment="1">
      <alignment horizontal="center" vertical="center" wrapText="1" readingOrder="1"/>
    </xf>
    <xf numFmtId="41" fontId="19" fillId="12" borderId="33" xfId="3" applyFont="1" applyFill="1" applyBorder="1" applyAlignment="1">
      <alignment horizontal="left" vertical="center" wrapText="1" readingOrder="1"/>
    </xf>
    <xf numFmtId="41" fontId="19" fillId="12" borderId="33" xfId="3" quotePrefix="1" applyFont="1" applyFill="1" applyBorder="1" applyAlignment="1">
      <alignment horizontal="left" vertical="top" wrapText="1" readingOrder="1"/>
    </xf>
    <xf numFmtId="41" fontId="25" fillId="12" borderId="36" xfId="3" applyFont="1" applyFill="1" applyBorder="1" applyAlignment="1">
      <alignment horizontal="center" vertical="center" wrapText="1" readingOrder="1"/>
    </xf>
    <xf numFmtId="41" fontId="19" fillId="12" borderId="33" xfId="3" applyFont="1" applyFill="1" applyBorder="1" applyAlignment="1">
      <alignment horizontal="center" vertical="center" wrapText="1" readingOrder="1"/>
    </xf>
    <xf numFmtId="41" fontId="23" fillId="12" borderId="33" xfId="3" applyFont="1" applyFill="1" applyBorder="1" applyAlignment="1">
      <alignment horizontal="left" vertical="center" wrapText="1" readingOrder="1"/>
    </xf>
    <xf numFmtId="41" fontId="33" fillId="12" borderId="19" xfId="3" applyFont="1" applyFill="1" applyBorder="1" applyAlignment="1">
      <alignment horizontal="left" vertical="center" wrapText="1" readingOrder="1"/>
    </xf>
    <xf numFmtId="41" fontId="29" fillId="12" borderId="19" xfId="3" applyFont="1" applyFill="1" applyBorder="1" applyAlignment="1">
      <alignment horizontal="left" vertical="center" wrapText="1" readingOrder="1"/>
    </xf>
    <xf numFmtId="41" fontId="19" fillId="0" borderId="13" xfId="3" applyFont="1" applyFill="1" applyBorder="1" applyAlignment="1">
      <alignment horizontal="left" vertical="center" wrapText="1" readingOrder="1"/>
    </xf>
    <xf numFmtId="41" fontId="24" fillId="0" borderId="16" xfId="3" applyFont="1" applyFill="1" applyBorder="1" applyAlignment="1">
      <alignment horizontal="center" vertical="center" wrapText="1" readingOrder="1"/>
    </xf>
    <xf numFmtId="41" fontId="19" fillId="12" borderId="19" xfId="3" applyFont="1" applyFill="1" applyBorder="1" applyAlignment="1">
      <alignment horizontal="left" vertical="center" wrapText="1" readingOrder="1"/>
    </xf>
    <xf numFmtId="41" fontId="23" fillId="12" borderId="19" xfId="3" applyFont="1" applyFill="1" applyBorder="1" applyAlignment="1">
      <alignment horizontal="left" vertical="center" wrapText="1" readingOrder="1"/>
    </xf>
    <xf numFmtId="41" fontId="19" fillId="12" borderId="19" xfId="3" applyFont="1" applyFill="1" applyBorder="1" applyAlignment="1">
      <alignment horizontal="center" vertical="center" wrapText="1" readingOrder="1"/>
    </xf>
    <xf numFmtId="41" fontId="24" fillId="12" borderId="16" xfId="3" applyFont="1" applyFill="1" applyBorder="1" applyAlignment="1">
      <alignment horizontal="center" vertical="center" wrapText="1" readingOrder="1"/>
    </xf>
    <xf numFmtId="41" fontId="24" fillId="12" borderId="16" xfId="3" applyFont="1" applyFill="1" applyBorder="1" applyAlignment="1">
      <alignment horizontal="right" vertical="center" wrapText="1" readingOrder="1"/>
    </xf>
    <xf numFmtId="41" fontId="18" fillId="12" borderId="16" xfId="3" applyFont="1" applyFill="1" applyBorder="1" applyAlignment="1">
      <alignment horizontal="center" vertical="center" wrapText="1" readingOrder="1"/>
    </xf>
    <xf numFmtId="41" fontId="25" fillId="0" borderId="16" xfId="3" applyFont="1" applyFill="1" applyBorder="1" applyAlignment="1">
      <alignment horizontal="center" vertical="center" wrapText="1" readingOrder="1"/>
    </xf>
    <xf numFmtId="41" fontId="19" fillId="0" borderId="21" xfId="3" applyFont="1" applyFill="1" applyBorder="1" applyAlignment="1">
      <alignment horizontal="left" vertical="center" wrapText="1" readingOrder="1"/>
    </xf>
    <xf numFmtId="41" fontId="25" fillId="12" borderId="16" xfId="3" applyFont="1" applyFill="1" applyBorder="1" applyAlignment="1">
      <alignment horizontal="center" vertical="center" wrapText="1" readingOrder="1"/>
    </xf>
    <xf numFmtId="41" fontId="19" fillId="12" borderId="21" xfId="3" quotePrefix="1" applyFont="1" applyFill="1" applyBorder="1" applyAlignment="1">
      <alignment horizontal="left" vertical="top" wrapText="1" readingOrder="1"/>
    </xf>
    <xf numFmtId="41" fontId="19" fillId="12" borderId="21" xfId="3" applyFont="1" applyFill="1" applyBorder="1" applyAlignment="1">
      <alignment horizontal="left" vertical="center" wrapText="1" readingOrder="1"/>
    </xf>
    <xf numFmtId="41" fontId="25" fillId="0" borderId="13" xfId="3" applyFont="1" applyFill="1" applyBorder="1" applyAlignment="1">
      <alignment horizontal="center" vertical="center" wrapText="1" readingOrder="1"/>
    </xf>
    <xf numFmtId="41" fontId="29" fillId="0" borderId="13" xfId="3" applyFont="1" applyFill="1" applyBorder="1" applyAlignment="1">
      <alignment horizontal="left" vertical="center" wrapText="1" readingOrder="1"/>
    </xf>
    <xf numFmtId="41" fontId="25" fillId="12" borderId="13" xfId="3" applyFont="1" applyFill="1" applyBorder="1" applyAlignment="1">
      <alignment horizontal="center" vertical="center" wrapText="1" readingOrder="1"/>
    </xf>
    <xf numFmtId="0" fontId="35" fillId="0" borderId="0" xfId="2" applyFont="1">
      <alignment vertical="center"/>
    </xf>
    <xf numFmtId="0" fontId="36" fillId="0" borderId="0" xfId="2" applyFont="1">
      <alignment vertical="center"/>
    </xf>
    <xf numFmtId="0" fontId="37" fillId="0" borderId="0" xfId="2" applyFont="1" applyAlignment="1">
      <alignment horizontal="right"/>
    </xf>
    <xf numFmtId="0" fontId="38" fillId="0" borderId="23" xfId="2" applyFont="1" applyBorder="1" applyAlignment="1">
      <alignment horizontal="center" vertical="center" wrapText="1"/>
    </xf>
    <xf numFmtId="0" fontId="38" fillId="0" borderId="26" xfId="2" applyFont="1" applyBorder="1" applyAlignment="1">
      <alignment horizontal="center" vertical="center" wrapText="1"/>
    </xf>
    <xf numFmtId="0" fontId="38" fillId="7" borderId="24" xfId="2" applyFont="1" applyFill="1" applyBorder="1" applyAlignment="1">
      <alignment horizontal="center" vertical="center"/>
    </xf>
    <xf numFmtId="0" fontId="39" fillId="5" borderId="25" xfId="2" applyFont="1" applyFill="1" applyBorder="1" applyAlignment="1">
      <alignment horizontal="center" vertical="center"/>
    </xf>
    <xf numFmtId="0" fontId="38" fillId="5" borderId="27" xfId="2" applyFont="1" applyFill="1" applyBorder="1">
      <alignment vertical="center"/>
    </xf>
    <xf numFmtId="41" fontId="38" fillId="0" borderId="17" xfId="3" applyFont="1" applyBorder="1">
      <alignment vertical="center"/>
    </xf>
    <xf numFmtId="0" fontId="37" fillId="0" borderId="33" xfId="2" applyFont="1" applyBorder="1" applyAlignment="1">
      <alignment horizontal="left" vertical="center"/>
    </xf>
    <xf numFmtId="41" fontId="40" fillId="0" borderId="31" xfId="3" applyFont="1" applyBorder="1">
      <alignment vertical="center"/>
    </xf>
    <xf numFmtId="0" fontId="19" fillId="0" borderId="0" xfId="2" applyFont="1">
      <alignment vertical="center"/>
    </xf>
    <xf numFmtId="0" fontId="38" fillId="5" borderId="30" xfId="2" applyFont="1" applyFill="1" applyBorder="1">
      <alignment vertical="center"/>
    </xf>
    <xf numFmtId="41" fontId="38" fillId="0" borderId="32" xfId="3" applyFont="1" applyBorder="1">
      <alignment vertical="center"/>
    </xf>
    <xf numFmtId="0" fontId="37" fillId="0" borderId="28" xfId="2" applyFont="1" applyBorder="1" applyAlignment="1">
      <alignment horizontal="left" vertical="center" wrapText="1"/>
    </xf>
    <xf numFmtId="41" fontId="40" fillId="0" borderId="22" xfId="3" applyFont="1" applyBorder="1">
      <alignment vertical="center"/>
    </xf>
    <xf numFmtId="0" fontId="38" fillId="6" borderId="27" xfId="2" applyFont="1" applyFill="1" applyBorder="1">
      <alignment vertical="center"/>
    </xf>
    <xf numFmtId="41" fontId="41" fillId="0" borderId="31" xfId="3" applyFont="1" applyBorder="1" applyAlignment="1">
      <alignment horizontal="left" vertical="center"/>
    </xf>
    <xf numFmtId="0" fontId="42" fillId="0" borderId="0" xfId="2" applyFont="1" applyAlignment="1">
      <alignment horizontal="left" vertical="center"/>
    </xf>
    <xf numFmtId="0" fontId="38" fillId="6" borderId="30" xfId="2" applyFont="1" applyFill="1" applyBorder="1">
      <alignment vertical="center"/>
    </xf>
    <xf numFmtId="41" fontId="37" fillId="0" borderId="22" xfId="3" applyFont="1" applyBorder="1" applyAlignment="1">
      <alignment horizontal="left" vertical="center"/>
    </xf>
    <xf numFmtId="0" fontId="38" fillId="9" borderId="27" xfId="2" applyFont="1" applyFill="1" applyBorder="1">
      <alignment vertical="center"/>
    </xf>
    <xf numFmtId="41" fontId="37" fillId="0" borderId="31" xfId="3" applyFont="1" applyBorder="1" applyAlignment="1">
      <alignment horizontal="left" vertical="center"/>
    </xf>
    <xf numFmtId="0" fontId="38" fillId="9" borderId="35" xfId="2" applyFont="1" applyFill="1" applyBorder="1">
      <alignment vertical="center"/>
    </xf>
    <xf numFmtId="0" fontId="38" fillId="10" borderId="27" xfId="2" applyFont="1" applyFill="1" applyBorder="1">
      <alignment vertical="center"/>
    </xf>
    <xf numFmtId="0" fontId="38" fillId="10" borderId="35" xfId="2" applyFont="1" applyFill="1" applyBorder="1">
      <alignment vertical="center"/>
    </xf>
    <xf numFmtId="0" fontId="38" fillId="11" borderId="27" xfId="2" applyFont="1" applyFill="1" applyBorder="1">
      <alignment vertical="center"/>
    </xf>
    <xf numFmtId="0" fontId="38" fillId="11" borderId="35" xfId="2" applyFont="1" applyFill="1" applyBorder="1">
      <alignment vertical="center"/>
    </xf>
    <xf numFmtId="0" fontId="38" fillId="0" borderId="18" xfId="2" applyFont="1" applyBorder="1">
      <alignment vertical="center"/>
    </xf>
    <xf numFmtId="0" fontId="38" fillId="0" borderId="29" xfId="2" applyFont="1" applyBorder="1">
      <alignment vertical="center"/>
    </xf>
    <xf numFmtId="41" fontId="38" fillId="0" borderId="19" xfId="3" applyFont="1" applyBorder="1">
      <alignment vertical="center"/>
    </xf>
    <xf numFmtId="41" fontId="39" fillId="8" borderId="20" xfId="3" applyFont="1" applyFill="1" applyBorder="1">
      <alignment vertical="center"/>
    </xf>
    <xf numFmtId="41" fontId="36" fillId="0" borderId="0" xfId="3" applyFont="1" applyBorder="1">
      <alignment vertical="center"/>
    </xf>
    <xf numFmtId="41" fontId="36" fillId="5" borderId="0" xfId="3" applyFont="1" applyFill="1" applyBorder="1">
      <alignment vertical="center"/>
    </xf>
    <xf numFmtId="41" fontId="38" fillId="5" borderId="0" xfId="3" applyFont="1" applyFill="1" applyBorder="1">
      <alignment vertical="center"/>
    </xf>
    <xf numFmtId="41" fontId="38" fillId="0" borderId="0" xfId="3" applyFont="1" applyBorder="1">
      <alignment vertical="center"/>
    </xf>
    <xf numFmtId="41" fontId="43" fillId="0" borderId="0" xfId="3" applyFont="1">
      <alignment vertical="center"/>
    </xf>
    <xf numFmtId="41" fontId="36" fillId="0" borderId="0" xfId="3" applyFont="1">
      <alignment vertical="center"/>
    </xf>
    <xf numFmtId="0" fontId="38" fillId="6" borderId="24" xfId="2" applyFont="1" applyFill="1" applyBorder="1" applyAlignment="1">
      <alignment horizontal="center" vertical="center"/>
    </xf>
    <xf numFmtId="41" fontId="44" fillId="5" borderId="25" xfId="4" applyFont="1" applyFill="1" applyBorder="1" applyAlignment="1">
      <alignment horizontal="center" vertical="center"/>
    </xf>
    <xf numFmtId="41" fontId="38" fillId="0" borderId="17" xfId="4" applyFont="1" applyBorder="1">
      <alignment vertical="center"/>
    </xf>
    <xf numFmtId="41" fontId="37" fillId="0" borderId="15" xfId="4" applyFont="1" applyBorder="1" applyAlignment="1">
      <alignment horizontal="left" vertical="center"/>
    </xf>
    <xf numFmtId="41" fontId="37" fillId="0" borderId="20" xfId="4" applyFont="1" applyBorder="1" applyAlignment="1">
      <alignment horizontal="left" vertical="center"/>
    </xf>
    <xf numFmtId="3" fontId="38" fillId="0" borderId="19" xfId="2" applyNumberFormat="1" applyFont="1" applyBorder="1">
      <alignment vertical="center"/>
    </xf>
    <xf numFmtId="3" fontId="39" fillId="8" borderId="20" xfId="2" applyNumberFormat="1" applyFont="1" applyFill="1" applyBorder="1">
      <alignment vertical="center"/>
    </xf>
    <xf numFmtId="176" fontId="6" fillId="2" borderId="1" xfId="0" applyNumberFormat="1" applyFont="1" applyFill="1" applyBorder="1" applyAlignment="1">
      <alignment horizontal="center" vertical="center" wrapText="1" shrinkToFit="1"/>
    </xf>
    <xf numFmtId="41" fontId="29" fillId="0" borderId="19" xfId="3" applyFont="1" applyFill="1" applyBorder="1" applyAlignment="1">
      <alignment horizontal="left" vertical="center" wrapText="1" readingOrder="1"/>
    </xf>
    <xf numFmtId="41" fontId="20" fillId="0" borderId="21" xfId="3" applyFont="1" applyFill="1" applyBorder="1" applyAlignment="1">
      <alignment horizontal="left" vertical="center" wrapText="1" readingOrder="1"/>
    </xf>
    <xf numFmtId="41" fontId="21" fillId="12" borderId="21" xfId="3" applyFont="1" applyFill="1" applyBorder="1" applyAlignment="1">
      <alignment horizontal="left" vertical="center" wrapText="1" readingOrder="1"/>
    </xf>
    <xf numFmtId="41" fontId="19" fillId="12" borderId="21" xfId="3" applyFont="1" applyFill="1" applyBorder="1" applyAlignment="1">
      <alignment horizontal="center" vertical="center" wrapText="1" readingOrder="1"/>
    </xf>
    <xf numFmtId="41" fontId="23" fillId="12" borderId="21" xfId="3" applyFont="1" applyFill="1" applyBorder="1" applyAlignment="1">
      <alignment horizontal="left" vertical="center" wrapText="1" readingOrder="1"/>
    </xf>
    <xf numFmtId="41" fontId="30" fillId="0" borderId="13" xfId="3" applyFont="1" applyFill="1" applyBorder="1" applyAlignment="1">
      <alignment horizontal="left" vertical="center" wrapText="1" readingOrder="1"/>
    </xf>
    <xf numFmtId="0" fontId="38" fillId="5" borderId="23" xfId="2" applyFont="1" applyFill="1" applyBorder="1" applyAlignment="1">
      <alignment horizontal="center" vertical="center"/>
    </xf>
    <xf numFmtId="0" fontId="38" fillId="5" borderId="14" xfId="2" applyFont="1" applyFill="1" applyBorder="1" applyAlignment="1">
      <alignment horizontal="center" vertical="center"/>
    </xf>
    <xf numFmtId="0" fontId="38" fillId="5" borderId="18" xfId="2" applyFont="1" applyFill="1" applyBorder="1" applyAlignment="1">
      <alignment horizontal="center" vertical="center"/>
    </xf>
    <xf numFmtId="0" fontId="38" fillId="6" borderId="23" xfId="2" applyFont="1" applyFill="1" applyBorder="1" applyAlignment="1">
      <alignment horizontal="center" vertical="center"/>
    </xf>
    <xf numFmtId="0" fontId="38" fillId="6" borderId="14" xfId="2" applyFont="1" applyFill="1" applyBorder="1" applyAlignment="1">
      <alignment horizontal="center" vertical="center"/>
    </xf>
    <xf numFmtId="0" fontId="38" fillId="6" borderId="18" xfId="2" applyFont="1" applyFill="1" applyBorder="1" applyAlignment="1">
      <alignment horizontal="center" vertical="center"/>
    </xf>
    <xf numFmtId="0" fontId="38" fillId="11" borderId="23" xfId="2" applyFont="1" applyFill="1" applyBorder="1" applyAlignment="1">
      <alignment horizontal="center" vertical="center"/>
    </xf>
    <xf numFmtId="0" fontId="38" fillId="11" borderId="14" xfId="2" applyFont="1" applyFill="1" applyBorder="1" applyAlignment="1">
      <alignment horizontal="center" vertical="center"/>
    </xf>
    <xf numFmtId="0" fontId="38" fillId="11" borderId="18" xfId="2" applyFont="1" applyFill="1" applyBorder="1" applyAlignment="1">
      <alignment horizontal="center" vertical="center"/>
    </xf>
    <xf numFmtId="0" fontId="38" fillId="10" borderId="23" xfId="2" applyFont="1" applyFill="1" applyBorder="1" applyAlignment="1">
      <alignment horizontal="center" vertical="center"/>
    </xf>
    <xf numFmtId="0" fontId="38" fillId="10" borderId="14" xfId="2" applyFont="1" applyFill="1" applyBorder="1" applyAlignment="1">
      <alignment horizontal="center" vertical="center"/>
    </xf>
    <xf numFmtId="0" fontId="38" fillId="10" borderId="18" xfId="2" applyFont="1" applyFill="1" applyBorder="1" applyAlignment="1">
      <alignment horizontal="center" vertical="center"/>
    </xf>
    <xf numFmtId="0" fontId="38" fillId="9" borderId="23" xfId="2" applyFont="1" applyFill="1" applyBorder="1" applyAlignment="1">
      <alignment horizontal="center" vertical="center"/>
    </xf>
    <xf numFmtId="0" fontId="38" fillId="9" borderId="14" xfId="2" applyFont="1" applyFill="1" applyBorder="1" applyAlignment="1">
      <alignment horizontal="center" vertical="center"/>
    </xf>
    <xf numFmtId="0" fontId="38" fillId="9" borderId="18" xfId="2" applyFont="1" applyFill="1" applyBorder="1" applyAlignment="1">
      <alignment horizontal="center" vertical="center"/>
    </xf>
    <xf numFmtId="0" fontId="38" fillId="0" borderId="37" xfId="2" applyFont="1" applyBorder="1" applyAlignment="1">
      <alignment horizontal="center" vertical="center" wrapText="1"/>
    </xf>
    <xf numFmtId="0" fontId="38" fillId="0" borderId="38" xfId="2" applyFont="1" applyBorder="1" applyAlignment="1">
      <alignment horizontal="center" vertical="center" wrapText="1"/>
    </xf>
    <xf numFmtId="0" fontId="38" fillId="5" borderId="39" xfId="2" applyFont="1" applyFill="1" applyBorder="1" applyAlignment="1">
      <alignment horizontal="center" vertical="center"/>
    </xf>
    <xf numFmtId="0" fontId="38" fillId="5" borderId="27" xfId="2" applyFont="1" applyFill="1" applyBorder="1" applyAlignment="1">
      <alignment horizontal="center" vertical="center"/>
    </xf>
    <xf numFmtId="0" fontId="37" fillId="0" borderId="40" xfId="2" applyFont="1" applyBorder="1" applyAlignment="1">
      <alignment horizontal="center" vertical="center"/>
    </xf>
    <xf numFmtId="0" fontId="37" fillId="0" borderId="28" xfId="2" applyFont="1" applyBorder="1" applyAlignment="1">
      <alignment horizontal="center" vertical="center"/>
    </xf>
    <xf numFmtId="0" fontId="38" fillId="6" borderId="39" xfId="2" applyFont="1" applyFill="1" applyBorder="1" applyAlignment="1">
      <alignment horizontal="center" vertical="center"/>
    </xf>
    <xf numFmtId="0" fontId="38" fillId="6" borderId="27" xfId="2" applyFont="1" applyFill="1" applyBorder="1" applyAlignment="1">
      <alignment horizontal="center" vertical="center"/>
    </xf>
    <xf numFmtId="0" fontId="38" fillId="9" borderId="39" xfId="2" applyFont="1" applyFill="1" applyBorder="1" applyAlignment="1">
      <alignment horizontal="center" vertical="center"/>
    </xf>
    <xf numFmtId="0" fontId="38" fillId="9" borderId="27" xfId="2" applyFont="1" applyFill="1" applyBorder="1" applyAlignment="1">
      <alignment horizontal="center" vertical="center"/>
    </xf>
    <xf numFmtId="0" fontId="38" fillId="0" borderId="37" xfId="2" applyFont="1" applyBorder="1" applyAlignment="1">
      <alignment horizontal="center" vertical="center"/>
    </xf>
    <xf numFmtId="0" fontId="38" fillId="0" borderId="38" xfId="2" applyFont="1" applyBorder="1" applyAlignment="1">
      <alignment horizontal="center" vertical="center"/>
    </xf>
    <xf numFmtId="0" fontId="38" fillId="11" borderId="39" xfId="2" applyFont="1" applyFill="1" applyBorder="1" applyAlignment="1">
      <alignment horizontal="center" vertical="center"/>
    </xf>
    <xf numFmtId="0" fontId="38" fillId="11" borderId="27" xfId="2" applyFont="1" applyFill="1" applyBorder="1" applyAlignment="1">
      <alignment horizontal="center" vertical="center"/>
    </xf>
    <xf numFmtId="0" fontId="38" fillId="10" borderId="39" xfId="2" applyFont="1" applyFill="1" applyBorder="1" applyAlignment="1">
      <alignment horizontal="center" vertical="center"/>
    </xf>
    <xf numFmtId="0" fontId="38" fillId="10" borderId="27" xfId="2" applyFont="1" applyFill="1" applyBorder="1" applyAlignment="1">
      <alignment horizontal="center" vertical="center"/>
    </xf>
    <xf numFmtId="0" fontId="2" fillId="2" borderId="0" xfId="0" applyFont="1" applyFill="1" applyAlignment="1">
      <alignment horizontal="left"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1" xfId="0" applyFont="1" applyFill="1" applyBorder="1" applyAlignment="1">
      <alignment horizontal="center" vertical="center" wrapText="1"/>
    </xf>
    <xf numFmtId="177" fontId="12" fillId="2" borderId="1" xfId="0" applyNumberFormat="1" applyFont="1" applyFill="1" applyBorder="1" applyAlignment="1">
      <alignment horizontal="right" vertical="center"/>
    </xf>
    <xf numFmtId="177" fontId="13" fillId="2" borderId="2" xfId="0" applyNumberFormat="1" applyFont="1" applyFill="1" applyBorder="1" applyAlignment="1">
      <alignment horizontal="center" vertical="center" wrapText="1"/>
    </xf>
    <xf numFmtId="177" fontId="13" fillId="2" borderId="3" xfId="0" applyNumberFormat="1" applyFont="1" applyFill="1" applyBorder="1" applyAlignment="1">
      <alignment horizontal="center" vertical="center"/>
    </xf>
    <xf numFmtId="0" fontId="6" fillId="2" borderId="2" xfId="0" applyFont="1" applyFill="1" applyBorder="1" applyAlignment="1">
      <alignment horizontal="center" vertical="center" wrapText="1" shrinkToFit="1"/>
    </xf>
    <xf numFmtId="0" fontId="0" fillId="2" borderId="3" xfId="0" applyFill="1" applyBorder="1" applyAlignment="1">
      <alignment horizontal="center" vertical="center" wrapText="1" shrinkToFit="1"/>
    </xf>
    <xf numFmtId="0" fontId="13" fillId="2" borderId="2" xfId="0" applyFont="1" applyFill="1" applyBorder="1" applyAlignment="1">
      <alignment horizontal="center" vertical="center" shrinkToFit="1"/>
    </xf>
    <xf numFmtId="0" fontId="14" fillId="2" borderId="3" xfId="0" applyFont="1" applyFill="1" applyBorder="1" applyAlignment="1">
      <alignment horizontal="center" vertical="center" shrinkToFit="1"/>
    </xf>
    <xf numFmtId="0" fontId="0" fillId="2" borderId="13" xfId="0" applyFill="1" applyBorder="1" applyAlignment="1">
      <alignment horizontal="center" vertical="center" wrapText="1" shrinkToFit="1"/>
    </xf>
    <xf numFmtId="0" fontId="0" fillId="2" borderId="13" xfId="0" applyFill="1" applyBorder="1" applyAlignment="1">
      <alignment horizontal="center" vertical="center" shrinkToFit="1"/>
    </xf>
    <xf numFmtId="0" fontId="6" fillId="2" borderId="5"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3" xfId="0" applyFont="1" applyFill="1" applyBorder="1" applyAlignment="1">
      <alignment horizontal="center" vertical="center" wrapText="1" shrinkToFit="1"/>
    </xf>
    <xf numFmtId="0" fontId="6" fillId="2" borderId="9" xfId="0" applyFont="1" applyFill="1" applyBorder="1" applyAlignment="1">
      <alignment horizontal="center" vertical="center"/>
    </xf>
    <xf numFmtId="0" fontId="6" fillId="2" borderId="3" xfId="0" applyFont="1" applyFill="1" applyBorder="1" applyAlignment="1">
      <alignment horizontal="center" vertical="center" shrinkToFit="1"/>
    </xf>
    <xf numFmtId="41" fontId="13" fillId="2" borderId="2" xfId="1" applyFont="1" applyFill="1" applyBorder="1" applyAlignment="1">
      <alignment horizontal="center" vertical="center"/>
    </xf>
    <xf numFmtId="41" fontId="13" fillId="2" borderId="3" xfId="1" applyFont="1" applyFill="1" applyBorder="1" applyAlignment="1">
      <alignment horizontal="center" vertical="center"/>
    </xf>
    <xf numFmtId="41" fontId="13" fillId="2" borderId="1" xfId="1" applyFont="1" applyFill="1" applyBorder="1" applyAlignment="1">
      <alignment horizontal="center" vertical="center"/>
    </xf>
    <xf numFmtId="0" fontId="9" fillId="2" borderId="5"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9" xfId="0" applyBorder="1" applyAlignment="1">
      <alignment horizontal="center" vertical="center" wrapText="1"/>
    </xf>
    <xf numFmtId="0" fontId="9" fillId="2" borderId="6" xfId="0" applyFont="1" applyFill="1" applyBorder="1" applyAlignment="1">
      <alignment horizontal="left" vertical="top" wrapText="1"/>
    </xf>
    <xf numFmtId="0" fontId="9" fillId="2" borderId="7" xfId="0" applyFont="1" applyFill="1" applyBorder="1" applyAlignment="1">
      <alignment horizontal="left" vertical="top" wrapText="1"/>
    </xf>
    <xf numFmtId="0" fontId="9" fillId="2" borderId="8" xfId="0" applyFont="1" applyFill="1" applyBorder="1" applyAlignment="1">
      <alignment horizontal="left" vertical="top" wrapText="1"/>
    </xf>
    <xf numFmtId="0" fontId="9" fillId="2" borderId="10" xfId="0" applyFont="1" applyFill="1" applyBorder="1" applyAlignment="1">
      <alignment horizontal="left" vertical="top" wrapText="1"/>
    </xf>
    <xf numFmtId="0" fontId="9" fillId="2" borderId="11" xfId="0" applyFont="1" applyFill="1" applyBorder="1" applyAlignment="1">
      <alignment horizontal="left" vertical="top" wrapText="1"/>
    </xf>
    <xf numFmtId="0" fontId="9" fillId="2" borderId="12"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4" xfId="0" applyFont="1" applyFill="1" applyBorder="1" applyAlignment="1">
      <alignment horizontal="left" vertical="top" wrapText="1"/>
    </xf>
    <xf numFmtId="0" fontId="9" fillId="2" borderId="3" xfId="0" applyFont="1" applyFill="1" applyBorder="1" applyAlignment="1">
      <alignment horizontal="left" vertical="top" wrapText="1"/>
    </xf>
    <xf numFmtId="0" fontId="6" fillId="2" borderId="1" xfId="0" applyFont="1" applyFill="1" applyBorder="1" applyAlignment="1">
      <alignment horizontal="center" vertical="center"/>
    </xf>
    <xf numFmtId="41" fontId="13" fillId="2" borderId="1" xfId="1" applyFont="1" applyFill="1" applyBorder="1" applyAlignment="1">
      <alignment horizontal="center" vertical="center" wrapText="1" shrinkToFit="1"/>
    </xf>
    <xf numFmtId="0" fontId="13" fillId="2" borderId="1" xfId="0" applyFont="1" applyFill="1" applyBorder="1" applyAlignment="1">
      <alignment horizontal="center" vertical="center" shrinkToFit="1"/>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177" fontId="15" fillId="2" borderId="2" xfId="0" applyNumberFormat="1" applyFont="1" applyFill="1" applyBorder="1" applyAlignment="1">
      <alignment vertical="center" shrinkToFit="1"/>
    </xf>
    <xf numFmtId="177" fontId="15" fillId="2" borderId="3" xfId="0" applyNumberFormat="1" applyFont="1" applyFill="1" applyBorder="1" applyAlignment="1">
      <alignment vertical="center" shrinkToFit="1"/>
    </xf>
    <xf numFmtId="177" fontId="7" fillId="2" borderId="2" xfId="0" applyNumberFormat="1" applyFont="1" applyFill="1" applyBorder="1" applyAlignment="1">
      <alignment vertical="center" shrinkToFit="1"/>
    </xf>
    <xf numFmtId="177" fontId="7" fillId="2" borderId="3" xfId="0" applyNumberFormat="1" applyFont="1" applyFill="1" applyBorder="1" applyAlignment="1">
      <alignment vertical="center" shrinkToFit="1"/>
    </xf>
    <xf numFmtId="41" fontId="7" fillId="2" borderId="1" xfId="0" applyNumberFormat="1" applyFont="1" applyFill="1" applyBorder="1" applyAlignment="1">
      <alignment horizontal="right" vertical="center" indent="1"/>
    </xf>
    <xf numFmtId="0" fontId="7" fillId="2" borderId="1" xfId="0" applyFont="1" applyFill="1" applyBorder="1" applyAlignment="1">
      <alignment horizontal="right" vertical="center" inden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41" fontId="49" fillId="12" borderId="21" xfId="3" applyFont="1" applyFill="1" applyBorder="1" applyAlignment="1">
      <alignment horizontal="left" vertical="center" wrapText="1" readingOrder="1"/>
    </xf>
    <xf numFmtId="41" fontId="51" fillId="12" borderId="19" xfId="3" applyFont="1" applyFill="1" applyBorder="1" applyAlignment="1">
      <alignment horizontal="left" vertical="center" wrapText="1" readingOrder="1"/>
    </xf>
  </cellXfs>
  <cellStyles count="5">
    <cellStyle name="쉼표 [0]" xfId="1" builtinId="6"/>
    <cellStyle name="쉼표 [0] 2" xfId="3" xr:uid="{00000000-0005-0000-0000-000001000000}"/>
    <cellStyle name="쉼표 [0] 2 2" xfId="4" xr:uid="{00000000-0005-0000-0000-000002000000}"/>
    <cellStyle name="표준" xfId="0" builtinId="0"/>
    <cellStyle name="표준 2" xfId="2" xr:uid="{00000000-0005-0000-0000-000004000000}"/>
  </cellStyles>
  <dxfs count="0"/>
  <tableStyles count="0" defaultTableStyle="TableStyleMedium2" defaultPivotStyle="PivotStyleLight16"/>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P39"/>
  <sheetViews>
    <sheetView topLeftCell="A4" zoomScaleNormal="100" workbookViewId="0">
      <selection activeCell="N14" sqref="N14"/>
    </sheetView>
  </sheetViews>
  <sheetFormatPr defaultColWidth="9" defaultRowHeight="13.8" x14ac:dyDescent="0.4"/>
  <cols>
    <col min="1" max="2" width="9" style="54"/>
    <col min="3" max="15" width="12.59765625" style="54" customWidth="1"/>
    <col min="16" max="16" width="12" style="54" customWidth="1"/>
    <col min="17" max="16384" width="9" style="54"/>
  </cols>
  <sheetData>
    <row r="1" spans="1:15" ht="47.25" customHeight="1" thickBot="1" x14ac:dyDescent="0.3">
      <c r="A1" s="53" t="s">
        <v>95</v>
      </c>
      <c r="B1" s="53"/>
      <c r="N1" s="55"/>
      <c r="O1" s="55" t="s">
        <v>38</v>
      </c>
    </row>
    <row r="2" spans="1:15" ht="31.5" customHeight="1" thickBot="1" x14ac:dyDescent="0.45">
      <c r="A2" s="56" t="s">
        <v>73</v>
      </c>
      <c r="B2" s="57"/>
      <c r="C2" s="58">
        <v>1</v>
      </c>
      <c r="D2" s="58">
        <v>2</v>
      </c>
      <c r="E2" s="58">
        <v>3</v>
      </c>
      <c r="F2" s="58">
        <v>4</v>
      </c>
      <c r="G2" s="58">
        <v>5</v>
      </c>
      <c r="H2" s="58">
        <v>6</v>
      </c>
      <c r="I2" s="58">
        <v>7</v>
      </c>
      <c r="J2" s="58">
        <v>8</v>
      </c>
      <c r="K2" s="58">
        <v>9</v>
      </c>
      <c r="L2" s="58">
        <v>10</v>
      </c>
      <c r="M2" s="58">
        <v>11</v>
      </c>
      <c r="N2" s="58">
        <v>12</v>
      </c>
      <c r="O2" s="59" t="s">
        <v>35</v>
      </c>
    </row>
    <row r="3" spans="1:15" ht="25.5" customHeight="1" x14ac:dyDescent="0.4">
      <c r="A3" s="105" t="s">
        <v>74</v>
      </c>
      <c r="B3" s="60"/>
      <c r="C3" s="45"/>
      <c r="D3" s="45"/>
      <c r="E3" s="45"/>
      <c r="F3" s="45"/>
      <c r="G3" s="45"/>
      <c r="H3" s="45"/>
      <c r="I3" s="45"/>
      <c r="J3" s="45"/>
      <c r="K3" s="45"/>
      <c r="L3" s="45"/>
      <c r="M3" s="45"/>
      <c r="N3" s="45"/>
      <c r="O3" s="61"/>
    </row>
    <row r="4" spans="1:15" s="64" customFormat="1" ht="57.75" customHeight="1" x14ac:dyDescent="0.4">
      <c r="A4" s="106"/>
      <c r="B4" s="62"/>
      <c r="C4" s="26"/>
      <c r="D4" s="26"/>
      <c r="E4" s="26"/>
      <c r="F4" s="26"/>
      <c r="G4" s="26"/>
      <c r="H4" s="26"/>
      <c r="I4" s="26"/>
      <c r="J4" s="26"/>
      <c r="K4" s="26"/>
      <c r="L4" s="26"/>
      <c r="M4" s="26"/>
      <c r="N4" s="26"/>
      <c r="O4" s="63"/>
    </row>
    <row r="5" spans="1:15" ht="25.5" customHeight="1" x14ac:dyDescent="0.4">
      <c r="A5" s="106"/>
      <c r="B5" s="65"/>
      <c r="C5" s="50"/>
      <c r="D5" s="50"/>
      <c r="E5" s="50"/>
      <c r="F5" s="50"/>
      <c r="G5" s="50"/>
      <c r="H5" s="50"/>
      <c r="I5" s="50"/>
      <c r="J5" s="50"/>
      <c r="K5" s="27"/>
      <c r="L5" s="50"/>
      <c r="M5" s="50"/>
      <c r="N5" s="50"/>
      <c r="O5" s="66"/>
    </row>
    <row r="6" spans="1:15" s="64" customFormat="1" ht="60" customHeight="1" thickBot="1" x14ac:dyDescent="0.45">
      <c r="A6" s="107"/>
      <c r="B6" s="67"/>
      <c r="C6" s="46"/>
      <c r="D6" s="46"/>
      <c r="E6" s="46"/>
      <c r="F6" s="46"/>
      <c r="G6" s="46"/>
      <c r="H6" s="46"/>
      <c r="I6" s="46"/>
      <c r="J6" s="100"/>
      <c r="K6" s="100"/>
      <c r="L6" s="100"/>
      <c r="M6" s="46"/>
      <c r="N6" s="46"/>
      <c r="O6" s="68"/>
    </row>
    <row r="7" spans="1:15" ht="25.5" customHeight="1" x14ac:dyDescent="0.4">
      <c r="A7" s="108" t="s">
        <v>79</v>
      </c>
      <c r="B7" s="69"/>
      <c r="C7" s="47"/>
      <c r="D7" s="47"/>
      <c r="E7" s="47"/>
      <c r="F7" s="47"/>
      <c r="G7" s="47"/>
      <c r="H7" s="47"/>
      <c r="I7" s="47"/>
      <c r="J7" s="47"/>
      <c r="K7" s="47"/>
      <c r="L7" s="47"/>
      <c r="M7" s="47"/>
      <c r="N7" s="47"/>
      <c r="O7" s="61"/>
    </row>
    <row r="8" spans="1:15" s="71" customFormat="1" ht="72" customHeight="1" x14ac:dyDescent="0.4">
      <c r="A8" s="109"/>
      <c r="B8" s="62"/>
      <c r="C8" s="31"/>
      <c r="D8" s="30"/>
      <c r="E8" s="30"/>
      <c r="F8" s="30"/>
      <c r="G8" s="30"/>
      <c r="H8" s="30"/>
      <c r="I8" s="30"/>
      <c r="J8" s="30"/>
      <c r="K8" s="30"/>
      <c r="L8" s="30"/>
      <c r="M8" s="30"/>
      <c r="N8" s="30"/>
      <c r="O8" s="70"/>
    </row>
    <row r="9" spans="1:15" ht="25.5" customHeight="1" x14ac:dyDescent="0.4">
      <c r="A9" s="109"/>
      <c r="B9" s="72"/>
      <c r="C9" s="52"/>
      <c r="D9" s="52"/>
      <c r="E9" s="52"/>
      <c r="F9" s="52"/>
      <c r="G9" s="52"/>
      <c r="H9" s="52"/>
      <c r="I9" s="52"/>
      <c r="J9" s="52"/>
      <c r="K9" s="52"/>
      <c r="L9" s="52"/>
      <c r="M9" s="52"/>
      <c r="N9" s="52"/>
      <c r="O9" s="66"/>
    </row>
    <row r="10" spans="1:15" s="71" customFormat="1" ht="80.25" customHeight="1" thickBot="1" x14ac:dyDescent="0.45">
      <c r="A10" s="110"/>
      <c r="B10" s="67"/>
      <c r="C10" s="48"/>
      <c r="D10" s="49"/>
      <c r="E10" s="49"/>
      <c r="F10" s="49"/>
      <c r="G10" s="49"/>
      <c r="H10" s="49"/>
      <c r="I10" s="49"/>
      <c r="J10" s="49"/>
      <c r="K10" s="49"/>
      <c r="L10" s="49"/>
      <c r="M10" s="49"/>
      <c r="N10" s="49"/>
      <c r="O10" s="73"/>
    </row>
    <row r="11" spans="1:15" ht="25.5" customHeight="1" x14ac:dyDescent="0.4">
      <c r="A11" s="117" t="s">
        <v>80</v>
      </c>
      <c r="B11" s="74" t="s">
        <v>75</v>
      </c>
      <c r="C11" s="45">
        <v>140</v>
      </c>
      <c r="D11" s="45">
        <v>109</v>
      </c>
      <c r="E11" s="45">
        <v>172</v>
      </c>
      <c r="F11" s="45">
        <v>185</v>
      </c>
      <c r="G11" s="45">
        <v>10.7</v>
      </c>
      <c r="H11" s="45">
        <v>360</v>
      </c>
      <c r="I11" s="45">
        <v>30</v>
      </c>
      <c r="J11" s="45">
        <v>0</v>
      </c>
      <c r="K11" s="45">
        <v>0</v>
      </c>
      <c r="L11" s="45">
        <v>50</v>
      </c>
      <c r="M11" s="45">
        <v>0</v>
      </c>
      <c r="N11" s="45">
        <v>50</v>
      </c>
      <c r="O11" s="61">
        <f>SUM(C11:N11)</f>
        <v>1106.7</v>
      </c>
    </row>
    <row r="12" spans="1:15" s="71" customFormat="1" ht="80.25" customHeight="1" thickBot="1" x14ac:dyDescent="0.45">
      <c r="A12" s="118"/>
      <c r="B12" s="62" t="s">
        <v>76</v>
      </c>
      <c r="C12" s="34" t="s">
        <v>123</v>
      </c>
      <c r="D12" s="34" t="s">
        <v>96</v>
      </c>
      <c r="E12" s="34" t="s">
        <v>120</v>
      </c>
      <c r="F12" s="34" t="s">
        <v>97</v>
      </c>
      <c r="G12" s="34" t="s">
        <v>126</v>
      </c>
      <c r="H12" s="34" t="s">
        <v>125</v>
      </c>
      <c r="I12" s="34" t="s">
        <v>150</v>
      </c>
      <c r="J12" s="30"/>
      <c r="K12" s="30"/>
      <c r="L12" s="34" t="s">
        <v>149</v>
      </c>
      <c r="M12" s="30"/>
      <c r="N12" s="40" t="s">
        <v>148</v>
      </c>
      <c r="O12" s="75"/>
    </row>
    <row r="13" spans="1:15" ht="25.5" customHeight="1" x14ac:dyDescent="0.4">
      <c r="A13" s="118"/>
      <c r="B13" s="76" t="s">
        <v>77</v>
      </c>
      <c r="C13" s="28">
        <v>360</v>
      </c>
      <c r="D13" s="28">
        <v>30</v>
      </c>
      <c r="E13" s="28">
        <v>0</v>
      </c>
      <c r="F13" s="28">
        <v>0</v>
      </c>
      <c r="G13" s="28">
        <v>50</v>
      </c>
      <c r="H13" s="28">
        <v>100</v>
      </c>
      <c r="I13" s="28">
        <v>30</v>
      </c>
      <c r="J13" s="28">
        <v>50</v>
      </c>
      <c r="K13" s="28">
        <v>300</v>
      </c>
      <c r="L13" s="28">
        <v>100</v>
      </c>
      <c r="M13" s="28">
        <v>450</v>
      </c>
      <c r="N13" s="28">
        <v>30</v>
      </c>
      <c r="O13" s="66">
        <f>SUM(C13:N13)</f>
        <v>1500</v>
      </c>
    </row>
    <row r="14" spans="1:15" s="71" customFormat="1" ht="71.25" customHeight="1" thickBot="1" x14ac:dyDescent="0.45">
      <c r="A14" s="119"/>
      <c r="B14" s="67" t="s">
        <v>78</v>
      </c>
      <c r="C14" s="103" t="s">
        <v>119</v>
      </c>
      <c r="D14" s="49" t="s">
        <v>118</v>
      </c>
      <c r="E14" s="101"/>
      <c r="F14" s="101"/>
      <c r="G14" s="49" t="s">
        <v>124</v>
      </c>
      <c r="H14" s="103" t="s">
        <v>140</v>
      </c>
      <c r="I14" s="40" t="s">
        <v>98</v>
      </c>
      <c r="J14" s="40" t="s">
        <v>122</v>
      </c>
      <c r="K14" s="183" t="s">
        <v>121</v>
      </c>
      <c r="L14" s="183" t="s">
        <v>127</v>
      </c>
      <c r="M14" s="103" t="s">
        <v>147</v>
      </c>
      <c r="N14" s="184" t="s">
        <v>145</v>
      </c>
      <c r="O14" s="73"/>
    </row>
    <row r="15" spans="1:15" ht="25.5" customHeight="1" x14ac:dyDescent="0.4">
      <c r="A15" s="114" t="s">
        <v>81</v>
      </c>
      <c r="B15" s="77"/>
      <c r="C15" s="47"/>
      <c r="D15" s="47"/>
      <c r="E15" s="47"/>
      <c r="F15" s="47"/>
      <c r="G15" s="47"/>
      <c r="H15" s="47"/>
      <c r="I15" s="47"/>
      <c r="J15" s="47"/>
      <c r="K15" s="47"/>
      <c r="L15" s="47"/>
      <c r="M15" s="47"/>
      <c r="N15" s="47"/>
      <c r="O15" s="61"/>
    </row>
    <row r="16" spans="1:15" s="71" customFormat="1" ht="57.75" customHeight="1" x14ac:dyDescent="0.4">
      <c r="A16" s="115"/>
      <c r="B16" s="62"/>
      <c r="C16" s="33"/>
      <c r="D16" s="33"/>
      <c r="E16" s="33"/>
      <c r="F16" s="33"/>
      <c r="G16" s="33"/>
      <c r="H16" s="33"/>
      <c r="I16" s="34"/>
      <c r="J16" s="34"/>
      <c r="K16" s="34"/>
      <c r="L16" s="34"/>
      <c r="M16" s="34"/>
      <c r="N16" s="34"/>
      <c r="O16" s="75"/>
    </row>
    <row r="17" spans="1:16" ht="25.5" customHeight="1" x14ac:dyDescent="0.4">
      <c r="A17" s="115"/>
      <c r="B17" s="78"/>
      <c r="C17" s="32"/>
      <c r="D17" s="32"/>
      <c r="E17" s="32"/>
      <c r="F17" s="32"/>
      <c r="G17" s="32"/>
      <c r="H17" s="32"/>
      <c r="I17" s="32"/>
      <c r="J17" s="32"/>
      <c r="K17" s="32"/>
      <c r="L17" s="32"/>
      <c r="M17" s="32"/>
      <c r="N17" s="32"/>
      <c r="O17" s="66"/>
    </row>
    <row r="18" spans="1:16" s="71" customFormat="1" ht="58.5" customHeight="1" thickBot="1" x14ac:dyDescent="0.45">
      <c r="A18" s="116"/>
      <c r="B18" s="67"/>
      <c r="C18" s="102"/>
      <c r="D18" s="102"/>
      <c r="E18" s="102"/>
      <c r="F18" s="102"/>
      <c r="G18" s="102"/>
      <c r="H18" s="102"/>
      <c r="I18" s="103"/>
      <c r="J18" s="103"/>
      <c r="K18" s="103"/>
      <c r="L18" s="103"/>
      <c r="M18" s="103"/>
      <c r="N18" s="103"/>
      <c r="O18" s="73"/>
    </row>
    <row r="19" spans="1:16" ht="25.5" customHeight="1" x14ac:dyDescent="0.4">
      <c r="A19" s="111" t="s">
        <v>82</v>
      </c>
      <c r="B19" s="79"/>
      <c r="C19" s="45"/>
      <c r="D19" s="45"/>
      <c r="E19" s="45"/>
      <c r="F19" s="45"/>
      <c r="G19" s="45"/>
      <c r="H19" s="45"/>
      <c r="I19" s="45"/>
      <c r="J19" s="45"/>
      <c r="K19" s="45"/>
      <c r="L19" s="45"/>
      <c r="M19" s="45"/>
      <c r="N19" s="45"/>
      <c r="O19" s="61"/>
    </row>
    <row r="20" spans="1:16" s="71" customFormat="1" ht="42.75" customHeight="1" x14ac:dyDescent="0.4">
      <c r="A20" s="112"/>
      <c r="B20" s="62"/>
      <c r="C20" s="26"/>
      <c r="D20" s="26"/>
      <c r="E20" s="26"/>
      <c r="F20" s="26"/>
      <c r="G20" s="26"/>
      <c r="H20" s="26"/>
      <c r="I20" s="26"/>
      <c r="J20" s="26"/>
      <c r="K20" s="26"/>
      <c r="L20" s="26"/>
      <c r="M20" s="26"/>
      <c r="N20" s="26"/>
      <c r="O20" s="75"/>
    </row>
    <row r="21" spans="1:16" ht="25.5" customHeight="1" x14ac:dyDescent="0.4">
      <c r="A21" s="112"/>
      <c r="B21" s="80"/>
      <c r="C21" s="28"/>
      <c r="D21" s="28"/>
      <c r="E21" s="28"/>
      <c r="F21" s="28"/>
      <c r="G21" s="28"/>
      <c r="H21" s="28"/>
      <c r="I21" s="28"/>
      <c r="J21" s="28"/>
      <c r="K21" s="28"/>
      <c r="L21" s="28"/>
      <c r="M21" s="28"/>
      <c r="N21" s="28"/>
      <c r="O21" s="66"/>
    </row>
    <row r="22" spans="1:16" s="71" customFormat="1" ht="44.25" customHeight="1" thickBot="1" x14ac:dyDescent="0.45">
      <c r="A22" s="113"/>
      <c r="B22" s="67"/>
      <c r="C22" s="46"/>
      <c r="D22" s="46"/>
      <c r="E22" s="46"/>
      <c r="F22" s="46"/>
      <c r="G22" s="46"/>
      <c r="H22" s="46"/>
      <c r="I22" s="46"/>
      <c r="J22" s="46"/>
      <c r="K22" s="46"/>
      <c r="L22" s="46"/>
      <c r="M22" s="46"/>
      <c r="N22" s="46"/>
      <c r="O22" s="73"/>
    </row>
    <row r="23" spans="1:16" ht="29.25" customHeight="1" thickBot="1" x14ac:dyDescent="0.45">
      <c r="A23" s="81" t="s">
        <v>37</v>
      </c>
      <c r="B23" s="82"/>
      <c r="C23" s="83">
        <f t="shared" ref="C23:O23" si="0">SUM(C3:C21)</f>
        <v>500</v>
      </c>
      <c r="D23" s="83">
        <f t="shared" si="0"/>
        <v>139</v>
      </c>
      <c r="E23" s="83">
        <f t="shared" si="0"/>
        <v>172</v>
      </c>
      <c r="F23" s="83">
        <f t="shared" si="0"/>
        <v>185</v>
      </c>
      <c r="G23" s="83">
        <f t="shared" si="0"/>
        <v>60.7</v>
      </c>
      <c r="H23" s="83">
        <f t="shared" si="0"/>
        <v>460</v>
      </c>
      <c r="I23" s="83">
        <f t="shared" si="0"/>
        <v>60</v>
      </c>
      <c r="J23" s="83">
        <f t="shared" si="0"/>
        <v>50</v>
      </c>
      <c r="K23" s="83">
        <f t="shared" si="0"/>
        <v>300</v>
      </c>
      <c r="L23" s="83">
        <f t="shared" si="0"/>
        <v>150</v>
      </c>
      <c r="M23" s="83">
        <f t="shared" si="0"/>
        <v>450</v>
      </c>
      <c r="N23" s="83">
        <f t="shared" si="0"/>
        <v>80</v>
      </c>
      <c r="O23" s="84">
        <f t="shared" si="0"/>
        <v>2606.6999999999998</v>
      </c>
    </row>
    <row r="24" spans="1:16" ht="22.65" customHeight="1" x14ac:dyDescent="0.4">
      <c r="C24" s="85"/>
      <c r="D24" s="85"/>
      <c r="E24" s="85"/>
      <c r="F24" s="85"/>
      <c r="G24" s="85"/>
      <c r="H24" s="85"/>
      <c r="I24" s="85"/>
      <c r="J24" s="85"/>
      <c r="K24" s="85"/>
      <c r="L24" s="85"/>
      <c r="M24" s="85"/>
      <c r="N24" s="86" t="s">
        <v>83</v>
      </c>
      <c r="O24" s="87">
        <v>26367</v>
      </c>
      <c r="P24" s="54">
        <f>75+115+95</f>
        <v>285</v>
      </c>
    </row>
    <row r="25" spans="1:16" ht="12" customHeight="1" x14ac:dyDescent="0.4">
      <c r="C25" s="85"/>
      <c r="D25" s="85"/>
      <c r="E25" s="85"/>
      <c r="F25" s="85"/>
      <c r="G25" s="85"/>
      <c r="H25" s="85"/>
      <c r="I25" s="85"/>
      <c r="J25" s="85"/>
      <c r="K25" s="85"/>
      <c r="L25" s="85"/>
      <c r="M25" s="85"/>
      <c r="N25" s="85"/>
      <c r="O25" s="88"/>
    </row>
    <row r="26" spans="1:16" ht="43.5" customHeight="1" thickBot="1" x14ac:dyDescent="0.3">
      <c r="A26" s="53" t="s">
        <v>52</v>
      </c>
      <c r="B26" s="53"/>
      <c r="C26" s="89"/>
      <c r="D26" s="90"/>
      <c r="E26" s="90"/>
      <c r="F26" s="90"/>
      <c r="G26" s="90"/>
      <c r="H26" s="90"/>
      <c r="I26" s="90"/>
      <c r="J26" s="90"/>
      <c r="K26" s="90"/>
      <c r="L26" s="90"/>
      <c r="M26" s="90"/>
      <c r="N26" s="90"/>
      <c r="O26" s="55" t="s">
        <v>38</v>
      </c>
    </row>
    <row r="27" spans="1:16" ht="30.75" customHeight="1" thickBot="1" x14ac:dyDescent="0.45">
      <c r="A27" s="120" t="s">
        <v>84</v>
      </c>
      <c r="B27" s="121"/>
      <c r="C27" s="91">
        <v>1</v>
      </c>
      <c r="D27" s="91">
        <v>2</v>
      </c>
      <c r="E27" s="91">
        <v>3</v>
      </c>
      <c r="F27" s="91">
        <v>4</v>
      </c>
      <c r="G27" s="91">
        <v>5</v>
      </c>
      <c r="H27" s="91">
        <v>6</v>
      </c>
      <c r="I27" s="91">
        <v>7</v>
      </c>
      <c r="J27" s="91">
        <v>8</v>
      </c>
      <c r="K27" s="91">
        <v>9</v>
      </c>
      <c r="L27" s="91">
        <v>10</v>
      </c>
      <c r="M27" s="91">
        <v>11</v>
      </c>
      <c r="N27" s="91">
        <v>12</v>
      </c>
      <c r="O27" s="92" t="s">
        <v>36</v>
      </c>
    </row>
    <row r="28" spans="1:16" ht="22.65" customHeight="1" x14ac:dyDescent="0.4">
      <c r="A28" s="122" t="s">
        <v>85</v>
      </c>
      <c r="B28" s="123"/>
      <c r="C28" s="38">
        <v>7700</v>
      </c>
      <c r="D28" s="38">
        <v>1400</v>
      </c>
      <c r="E28" s="38">
        <v>500</v>
      </c>
      <c r="F28" s="38">
        <v>0</v>
      </c>
      <c r="G28" s="38">
        <v>0</v>
      </c>
      <c r="H28" s="38">
        <v>0</v>
      </c>
      <c r="I28" s="45">
        <v>400</v>
      </c>
      <c r="J28" s="45">
        <v>400</v>
      </c>
      <c r="K28" s="45">
        <v>100</v>
      </c>
      <c r="L28" s="45">
        <v>200</v>
      </c>
      <c r="M28" s="45">
        <v>100</v>
      </c>
      <c r="N28" s="45">
        <v>200</v>
      </c>
      <c r="O28" s="93">
        <f>SUM(C28:N28)</f>
        <v>11000</v>
      </c>
    </row>
    <row r="29" spans="1:16" s="71" customFormat="1" ht="85.5" customHeight="1" thickBot="1" x14ac:dyDescent="0.45">
      <c r="A29" s="124" t="s">
        <v>86</v>
      </c>
      <c r="B29" s="125"/>
      <c r="C29" s="37" t="s">
        <v>58</v>
      </c>
      <c r="D29" s="37" t="s">
        <v>59</v>
      </c>
      <c r="E29" s="37" t="s">
        <v>60</v>
      </c>
      <c r="F29" s="37"/>
      <c r="G29" s="37"/>
      <c r="H29" s="37"/>
      <c r="I29" s="51" t="s">
        <v>61</v>
      </c>
      <c r="J29" s="51" t="s">
        <v>61</v>
      </c>
      <c r="K29" s="51" t="s">
        <v>91</v>
      </c>
      <c r="L29" s="51" t="s">
        <v>61</v>
      </c>
      <c r="M29" s="104" t="s">
        <v>92</v>
      </c>
      <c r="N29" s="104" t="s">
        <v>92</v>
      </c>
      <c r="O29" s="94"/>
    </row>
    <row r="30" spans="1:16" ht="22.65" customHeight="1" x14ac:dyDescent="0.4">
      <c r="A30" s="126" t="s">
        <v>87</v>
      </c>
      <c r="B30" s="127"/>
      <c r="C30" s="42">
        <v>200</v>
      </c>
      <c r="D30" s="42">
        <v>200</v>
      </c>
      <c r="E30" s="42">
        <v>1100</v>
      </c>
      <c r="F30" s="42">
        <v>500</v>
      </c>
      <c r="G30" s="42">
        <v>700</v>
      </c>
      <c r="H30" s="42">
        <v>400</v>
      </c>
      <c r="I30" s="42">
        <v>400</v>
      </c>
      <c r="J30" s="47">
        <v>400</v>
      </c>
      <c r="K30" s="47">
        <v>300</v>
      </c>
      <c r="L30" s="47">
        <v>300</v>
      </c>
      <c r="M30" s="47">
        <v>300</v>
      </c>
      <c r="N30" s="47">
        <v>200</v>
      </c>
      <c r="O30" s="93">
        <f t="shared" ref="O30:O36" si="1">SUM(C30:N30)</f>
        <v>5000</v>
      </c>
    </row>
    <row r="31" spans="1:16" s="71" customFormat="1" ht="85.5" customHeight="1" thickBot="1" x14ac:dyDescent="0.45">
      <c r="A31" s="124" t="s">
        <v>86</v>
      </c>
      <c r="B31" s="125"/>
      <c r="C31" s="39" t="s">
        <v>40</v>
      </c>
      <c r="D31" s="39" t="s">
        <v>41</v>
      </c>
      <c r="E31" s="40" t="s">
        <v>42</v>
      </c>
      <c r="F31" s="39" t="s">
        <v>43</v>
      </c>
      <c r="G31" s="39" t="s">
        <v>51</v>
      </c>
      <c r="H31" s="39" t="s">
        <v>44</v>
      </c>
      <c r="I31" s="39" t="s">
        <v>45</v>
      </c>
      <c r="J31" s="99" t="s">
        <v>93</v>
      </c>
      <c r="K31" s="99" t="s">
        <v>93</v>
      </c>
      <c r="L31" s="99" t="s">
        <v>93</v>
      </c>
      <c r="M31" s="99" t="s">
        <v>93</v>
      </c>
      <c r="N31" s="99" t="s">
        <v>93</v>
      </c>
      <c r="O31" s="95"/>
    </row>
    <row r="32" spans="1:16" ht="22.65" customHeight="1" x14ac:dyDescent="0.4">
      <c r="A32" s="128" t="s">
        <v>88</v>
      </c>
      <c r="B32" s="129"/>
      <c r="C32" s="43" t="s">
        <v>39</v>
      </c>
      <c r="D32" s="42">
        <v>50</v>
      </c>
      <c r="E32" s="47">
        <v>1900</v>
      </c>
      <c r="F32" s="47">
        <v>780</v>
      </c>
      <c r="G32" s="42">
        <v>280</v>
      </c>
      <c r="H32" s="42">
        <v>150</v>
      </c>
      <c r="I32" s="42">
        <v>50</v>
      </c>
      <c r="J32" s="42">
        <v>160</v>
      </c>
      <c r="K32" s="47">
        <v>150</v>
      </c>
      <c r="L32" s="47">
        <v>150</v>
      </c>
      <c r="M32" s="47">
        <v>250</v>
      </c>
      <c r="N32" s="47">
        <v>180</v>
      </c>
      <c r="O32" s="93">
        <f t="shared" si="1"/>
        <v>4100</v>
      </c>
    </row>
    <row r="33" spans="1:15" s="71" customFormat="1" ht="85.5" customHeight="1" thickBot="1" x14ac:dyDescent="0.45">
      <c r="A33" s="124" t="s">
        <v>86</v>
      </c>
      <c r="B33" s="125"/>
      <c r="C33" s="39" t="s">
        <v>50</v>
      </c>
      <c r="D33" s="39" t="s">
        <v>62</v>
      </c>
      <c r="E33" s="36" t="s">
        <v>53</v>
      </c>
      <c r="F33" s="35" t="s">
        <v>48</v>
      </c>
      <c r="G33" s="39" t="s">
        <v>46</v>
      </c>
      <c r="H33" s="39" t="s">
        <v>47</v>
      </c>
      <c r="I33" s="39" t="s">
        <v>63</v>
      </c>
      <c r="J33" s="39" t="s">
        <v>64</v>
      </c>
      <c r="K33" s="36" t="s">
        <v>94</v>
      </c>
      <c r="L33" s="36" t="s">
        <v>65</v>
      </c>
      <c r="M33" s="36" t="s">
        <v>54</v>
      </c>
      <c r="N33" s="36" t="s">
        <v>49</v>
      </c>
      <c r="O33" s="95"/>
    </row>
    <row r="34" spans="1:15" ht="22.65" customHeight="1" x14ac:dyDescent="0.4">
      <c r="A34" s="134" t="s">
        <v>89</v>
      </c>
      <c r="B34" s="135"/>
      <c r="C34" s="42">
        <v>100</v>
      </c>
      <c r="D34" s="42">
        <v>100</v>
      </c>
      <c r="E34" s="42">
        <v>100</v>
      </c>
      <c r="F34" s="42">
        <v>300</v>
      </c>
      <c r="G34" s="47">
        <v>3000</v>
      </c>
      <c r="H34" s="47">
        <v>500</v>
      </c>
      <c r="I34" s="42">
        <v>100</v>
      </c>
      <c r="J34" s="42">
        <v>100</v>
      </c>
      <c r="K34" s="42">
        <v>100</v>
      </c>
      <c r="L34" s="42">
        <v>100</v>
      </c>
      <c r="M34" s="42">
        <v>100</v>
      </c>
      <c r="N34" s="42">
        <v>100</v>
      </c>
      <c r="O34" s="93">
        <f t="shared" si="1"/>
        <v>4700</v>
      </c>
    </row>
    <row r="35" spans="1:15" s="71" customFormat="1" ht="85.5" customHeight="1" thickBot="1" x14ac:dyDescent="0.45">
      <c r="A35" s="124" t="s">
        <v>86</v>
      </c>
      <c r="B35" s="125"/>
      <c r="C35" s="41" t="s">
        <v>66</v>
      </c>
      <c r="D35" s="41" t="s">
        <v>56</v>
      </c>
      <c r="E35" s="41" t="s">
        <v>56</v>
      </c>
      <c r="F35" s="40" t="s">
        <v>57</v>
      </c>
      <c r="G35" s="35" t="s">
        <v>67</v>
      </c>
      <c r="H35" s="35" t="s">
        <v>68</v>
      </c>
      <c r="I35" s="41" t="s">
        <v>66</v>
      </c>
      <c r="J35" s="41" t="s">
        <v>56</v>
      </c>
      <c r="K35" s="41" t="s">
        <v>56</v>
      </c>
      <c r="L35" s="41" t="s">
        <v>56</v>
      </c>
      <c r="M35" s="41" t="s">
        <v>56</v>
      </c>
      <c r="N35" s="41" t="s">
        <v>56</v>
      </c>
      <c r="O35" s="95"/>
    </row>
    <row r="36" spans="1:15" ht="22.65" customHeight="1" x14ac:dyDescent="0.4">
      <c r="A36" s="132" t="s">
        <v>90</v>
      </c>
      <c r="B36" s="133"/>
      <c r="C36" s="44">
        <v>1400</v>
      </c>
      <c r="D36" s="44">
        <v>100</v>
      </c>
      <c r="E36" s="44">
        <v>150</v>
      </c>
      <c r="F36" s="44">
        <v>100</v>
      </c>
      <c r="G36" s="29">
        <f>100+1300</f>
        <v>1400</v>
      </c>
      <c r="H36" s="29">
        <v>150</v>
      </c>
      <c r="I36" s="29">
        <v>150</v>
      </c>
      <c r="J36" s="29">
        <v>100</v>
      </c>
      <c r="K36" s="29">
        <v>100</v>
      </c>
      <c r="L36" s="29">
        <v>100</v>
      </c>
      <c r="M36" s="29">
        <f>100+600</f>
        <v>700</v>
      </c>
      <c r="N36" s="29">
        <v>750</v>
      </c>
      <c r="O36" s="93">
        <f t="shared" si="1"/>
        <v>5200</v>
      </c>
    </row>
    <row r="37" spans="1:15" s="71" customFormat="1" ht="66.75" customHeight="1" thickBot="1" x14ac:dyDescent="0.45">
      <c r="A37" s="124" t="s">
        <v>86</v>
      </c>
      <c r="B37" s="125"/>
      <c r="C37" s="39" t="s">
        <v>69</v>
      </c>
      <c r="D37" s="39" t="s">
        <v>55</v>
      </c>
      <c r="E37" s="39" t="s">
        <v>55</v>
      </c>
      <c r="F37" s="39" t="s">
        <v>55</v>
      </c>
      <c r="G37" s="36" t="s">
        <v>70</v>
      </c>
      <c r="H37" s="36" t="s">
        <v>71</v>
      </c>
      <c r="I37" s="36" t="s">
        <v>71</v>
      </c>
      <c r="J37" s="36" t="s">
        <v>71</v>
      </c>
      <c r="K37" s="36" t="s">
        <v>71</v>
      </c>
      <c r="L37" s="36" t="s">
        <v>71</v>
      </c>
      <c r="M37" s="36" t="s">
        <v>72</v>
      </c>
      <c r="N37" s="36" t="s">
        <v>71</v>
      </c>
      <c r="O37" s="95"/>
    </row>
    <row r="38" spans="1:15" ht="29.25" customHeight="1" thickBot="1" x14ac:dyDescent="0.45">
      <c r="A38" s="130" t="s">
        <v>37</v>
      </c>
      <c r="B38" s="131"/>
      <c r="C38" s="96">
        <f>SUM(C28:C36)</f>
        <v>9400</v>
      </c>
      <c r="D38" s="96">
        <f t="shared" ref="D38:N38" si="2">SUM(D28:D36)</f>
        <v>1850</v>
      </c>
      <c r="E38" s="96">
        <f t="shared" si="2"/>
        <v>3750</v>
      </c>
      <c r="F38" s="96">
        <f t="shared" si="2"/>
        <v>1680</v>
      </c>
      <c r="G38" s="96">
        <f t="shared" si="2"/>
        <v>5380</v>
      </c>
      <c r="H38" s="96">
        <f>SUM(H28:H36)</f>
        <v>1200</v>
      </c>
      <c r="I38" s="96">
        <f t="shared" si="2"/>
        <v>1100</v>
      </c>
      <c r="J38" s="96">
        <f t="shared" si="2"/>
        <v>1160</v>
      </c>
      <c r="K38" s="96">
        <f t="shared" si="2"/>
        <v>750</v>
      </c>
      <c r="L38" s="96">
        <f t="shared" si="2"/>
        <v>850</v>
      </c>
      <c r="M38" s="96">
        <f t="shared" si="2"/>
        <v>1450</v>
      </c>
      <c r="N38" s="96">
        <f t="shared" si="2"/>
        <v>1430</v>
      </c>
      <c r="O38" s="97">
        <f>SUM(O28:O36)</f>
        <v>30000</v>
      </c>
    </row>
    <row r="39" spans="1:15" ht="24" customHeight="1" x14ac:dyDescent="0.4"/>
  </sheetData>
  <mergeCells count="17">
    <mergeCell ref="A32:B32"/>
    <mergeCell ref="A38:B38"/>
    <mergeCell ref="A33:B33"/>
    <mergeCell ref="A35:B35"/>
    <mergeCell ref="A37:B37"/>
    <mergeCell ref="A36:B36"/>
    <mergeCell ref="A34:B34"/>
    <mergeCell ref="A27:B27"/>
    <mergeCell ref="A28:B28"/>
    <mergeCell ref="A29:B29"/>
    <mergeCell ref="A31:B31"/>
    <mergeCell ref="A30:B30"/>
    <mergeCell ref="A3:A6"/>
    <mergeCell ref="A7:A10"/>
    <mergeCell ref="A19:A22"/>
    <mergeCell ref="A15:A18"/>
    <mergeCell ref="A11:A14"/>
  </mergeCells>
  <phoneticPr fontId="1" type="noConversion"/>
  <pageMargins left="0.31496062992125984" right="0.31496062992125984" top="0.55118110236220474" bottom="0.55118110236220474" header="0.31496062992125984" footer="0.31496062992125984"/>
  <pageSetup paperSize="9" scale="70" orientation="landscape" verticalDpi="0" r:id="rId1"/>
  <rowBreaks count="2" manualBreakCount="2">
    <brk id="14" max="16383" man="1"/>
    <brk id="2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T22"/>
  <sheetViews>
    <sheetView tabSelected="1" zoomScale="90" zoomScaleNormal="90" workbookViewId="0">
      <pane xSplit="1" ySplit="3" topLeftCell="B4" activePane="bottomRight" state="frozen"/>
      <selection pane="topRight" activeCell="B1" sqref="B1"/>
      <selection pane="bottomLeft" activeCell="A4" sqref="A4"/>
      <selection pane="bottomRight" activeCell="Q7" sqref="Q7"/>
    </sheetView>
  </sheetViews>
  <sheetFormatPr defaultColWidth="9" defaultRowHeight="17.399999999999999" x14ac:dyDescent="0.4"/>
  <cols>
    <col min="1" max="1" width="12.09765625" style="3" customWidth="1"/>
    <col min="2" max="2" width="14.59765625" style="3" customWidth="1"/>
    <col min="3" max="3" width="7.09765625" style="3" customWidth="1"/>
    <col min="4" max="4" width="6.59765625" style="3" customWidth="1"/>
    <col min="5" max="5" width="10.3984375" style="3" customWidth="1"/>
    <col min="6" max="6" width="9.59765625" style="3" customWidth="1"/>
    <col min="7" max="8" width="2.8984375" style="3" customWidth="1"/>
    <col min="9" max="9" width="8" style="3" customWidth="1"/>
    <col min="10" max="10" width="6.59765625" style="3" customWidth="1"/>
    <col min="11" max="11" width="7.69921875" style="3" customWidth="1"/>
    <col min="12" max="12" width="7.59765625" style="3" customWidth="1"/>
    <col min="13" max="13" width="6.09765625" style="3" customWidth="1"/>
    <col min="14" max="14" width="4.69921875" style="3" customWidth="1"/>
    <col min="15" max="15" width="8" style="3" customWidth="1"/>
    <col min="16" max="16" width="22.19921875" style="3" customWidth="1"/>
    <col min="17" max="17" width="42.09765625" style="3" customWidth="1"/>
    <col min="18" max="19" width="9" style="3"/>
    <col min="20" max="20" width="13.59765625" style="3" bestFit="1" customWidth="1"/>
    <col min="21" max="16384" width="9" style="3"/>
  </cols>
  <sheetData>
    <row r="1" spans="1:20" s="1" customFormat="1" ht="37.5" customHeight="1" x14ac:dyDescent="0.4">
      <c r="A1" s="136" t="s">
        <v>99</v>
      </c>
      <c r="B1" s="136"/>
      <c r="C1" s="136"/>
      <c r="D1" s="136"/>
      <c r="E1" s="136"/>
      <c r="F1" s="136"/>
      <c r="G1" s="136"/>
      <c r="H1" s="136"/>
      <c r="I1" s="136"/>
      <c r="J1" s="136"/>
      <c r="K1" s="136"/>
      <c r="L1" s="136"/>
      <c r="M1" s="136"/>
      <c r="N1" s="136"/>
      <c r="O1" s="136"/>
      <c r="P1" s="21"/>
      <c r="Q1" s="9"/>
    </row>
    <row r="2" spans="1:20" ht="24" x14ac:dyDescent="0.4">
      <c r="A2" s="2" t="s">
        <v>3</v>
      </c>
      <c r="M2" s="23" t="s">
        <v>4</v>
      </c>
      <c r="N2" s="20"/>
      <c r="O2" s="20"/>
      <c r="Q2" s="11"/>
    </row>
    <row r="3" spans="1:20" ht="33" customHeight="1" x14ac:dyDescent="0.4">
      <c r="A3" s="10" t="s">
        <v>5</v>
      </c>
      <c r="B3" s="10" t="s">
        <v>6</v>
      </c>
      <c r="C3" s="137" t="s">
        <v>7</v>
      </c>
      <c r="D3" s="137"/>
      <c r="E3" s="137" t="s">
        <v>0</v>
      </c>
      <c r="F3" s="137"/>
      <c r="G3" s="138" t="s">
        <v>8</v>
      </c>
      <c r="H3" s="139"/>
      <c r="I3" s="10" t="s">
        <v>1</v>
      </c>
      <c r="J3" s="137" t="s">
        <v>9</v>
      </c>
      <c r="K3" s="137"/>
      <c r="L3" s="137" t="s">
        <v>100</v>
      </c>
      <c r="M3" s="137"/>
      <c r="N3" s="140" t="s">
        <v>10</v>
      </c>
      <c r="O3" s="137"/>
      <c r="P3" s="10" t="s">
        <v>11</v>
      </c>
      <c r="Q3" s="4" t="s">
        <v>12</v>
      </c>
      <c r="T3" s="24"/>
    </row>
    <row r="4" spans="1:20" ht="55.65" customHeight="1" x14ac:dyDescent="0.4">
      <c r="A4" s="148" t="s">
        <v>13</v>
      </c>
      <c r="B4" s="150" t="s">
        <v>14</v>
      </c>
      <c r="C4" s="144" t="s">
        <v>15</v>
      </c>
      <c r="D4" s="152"/>
      <c r="E4" s="16" t="s">
        <v>16</v>
      </c>
      <c r="F4" s="14" t="s">
        <v>17</v>
      </c>
      <c r="G4" s="146">
        <v>23</v>
      </c>
      <c r="H4" s="147"/>
      <c r="I4" s="15" t="s">
        <v>18</v>
      </c>
      <c r="J4" s="141">
        <v>160000000</v>
      </c>
      <c r="K4" s="141"/>
      <c r="L4" s="141">
        <v>0</v>
      </c>
      <c r="M4" s="141"/>
      <c r="N4" s="142" t="s">
        <v>108</v>
      </c>
      <c r="O4" s="143"/>
      <c r="P4" s="8" t="s">
        <v>110</v>
      </c>
      <c r="Q4" s="17" t="s">
        <v>142</v>
      </c>
      <c r="T4" s="25"/>
    </row>
    <row r="5" spans="1:20" ht="95.4" customHeight="1" x14ac:dyDescent="0.4">
      <c r="A5" s="149"/>
      <c r="B5" s="151"/>
      <c r="C5" s="144" t="s">
        <v>20</v>
      </c>
      <c r="D5" s="145"/>
      <c r="E5" s="14" t="s">
        <v>21</v>
      </c>
      <c r="F5" s="14" t="s">
        <v>17</v>
      </c>
      <c r="G5" s="146">
        <v>52</v>
      </c>
      <c r="H5" s="147"/>
      <c r="I5" s="15" t="s">
        <v>22</v>
      </c>
      <c r="J5" s="141">
        <v>110000000</v>
      </c>
      <c r="K5" s="141"/>
      <c r="L5" s="141">
        <v>0</v>
      </c>
      <c r="M5" s="141"/>
      <c r="N5" s="142" t="s">
        <v>128</v>
      </c>
      <c r="O5" s="143"/>
      <c r="P5" s="8" t="s">
        <v>109</v>
      </c>
      <c r="Q5" s="17" t="s">
        <v>117</v>
      </c>
    </row>
    <row r="6" spans="1:20" ht="78" x14ac:dyDescent="0.4">
      <c r="A6" s="150" t="s">
        <v>24</v>
      </c>
      <c r="B6" s="19" t="s">
        <v>25</v>
      </c>
      <c r="C6" s="144" t="s">
        <v>137</v>
      </c>
      <c r="D6" s="154"/>
      <c r="E6" s="98" t="s">
        <v>106</v>
      </c>
      <c r="F6" s="16" t="s">
        <v>138</v>
      </c>
      <c r="G6" s="155" t="s">
        <v>2</v>
      </c>
      <c r="H6" s="156"/>
      <c r="I6" s="15" t="s">
        <v>2</v>
      </c>
      <c r="J6" s="141">
        <v>680000000</v>
      </c>
      <c r="K6" s="141"/>
      <c r="L6" s="141">
        <v>100000000</v>
      </c>
      <c r="M6" s="141"/>
      <c r="N6" s="157" t="s">
        <v>139</v>
      </c>
      <c r="O6" s="157"/>
      <c r="P6" s="8" t="s">
        <v>107</v>
      </c>
      <c r="Q6" s="17" t="s">
        <v>141</v>
      </c>
    </row>
    <row r="7" spans="1:20" ht="78" customHeight="1" x14ac:dyDescent="0.4">
      <c r="A7" s="151"/>
      <c r="B7" s="19" t="s">
        <v>25</v>
      </c>
      <c r="C7" s="144" t="s">
        <v>129</v>
      </c>
      <c r="D7" s="154"/>
      <c r="E7" s="98" t="s">
        <v>130</v>
      </c>
      <c r="F7" s="16" t="s">
        <v>131</v>
      </c>
      <c r="G7" s="155">
        <v>65</v>
      </c>
      <c r="H7" s="156"/>
      <c r="I7" s="15" t="s">
        <v>132</v>
      </c>
      <c r="J7" s="141">
        <v>360000000</v>
      </c>
      <c r="K7" s="141"/>
      <c r="L7" s="141">
        <v>360000000</v>
      </c>
      <c r="M7" s="141"/>
      <c r="N7" s="157" t="s">
        <v>116</v>
      </c>
      <c r="O7" s="157"/>
      <c r="P7" s="8" t="s">
        <v>133</v>
      </c>
      <c r="Q7" s="17" t="s">
        <v>134</v>
      </c>
    </row>
    <row r="8" spans="1:20" ht="78" customHeight="1" x14ac:dyDescent="0.4">
      <c r="A8" s="153"/>
      <c r="B8" s="19" t="s">
        <v>23</v>
      </c>
      <c r="C8" s="144" t="s">
        <v>112</v>
      </c>
      <c r="D8" s="154"/>
      <c r="E8" s="98" t="s">
        <v>113</v>
      </c>
      <c r="F8" s="16" t="s">
        <v>26</v>
      </c>
      <c r="G8" s="155">
        <v>21</v>
      </c>
      <c r="H8" s="156"/>
      <c r="I8" s="15" t="s">
        <v>114</v>
      </c>
      <c r="J8" s="141">
        <v>100000000</v>
      </c>
      <c r="K8" s="141"/>
      <c r="L8" s="141">
        <v>0</v>
      </c>
      <c r="M8" s="141"/>
      <c r="N8" s="157" t="s">
        <v>115</v>
      </c>
      <c r="O8" s="157"/>
      <c r="P8" s="8" t="s">
        <v>144</v>
      </c>
      <c r="Q8" s="17" t="s">
        <v>117</v>
      </c>
    </row>
    <row r="9" spans="1:20" ht="75" customHeight="1" x14ac:dyDescent="0.4">
      <c r="A9" s="16" t="s">
        <v>29</v>
      </c>
      <c r="B9" s="16" t="s">
        <v>135</v>
      </c>
      <c r="C9" s="181" t="s">
        <v>103</v>
      </c>
      <c r="D9" s="182"/>
      <c r="E9" s="12" t="s">
        <v>30</v>
      </c>
      <c r="F9" s="16" t="s">
        <v>104</v>
      </c>
      <c r="G9" s="155">
        <v>3</v>
      </c>
      <c r="H9" s="156"/>
      <c r="I9" s="15" t="s">
        <v>105</v>
      </c>
      <c r="J9" s="141">
        <v>50000000</v>
      </c>
      <c r="K9" s="141"/>
      <c r="L9" s="141">
        <v>50000000</v>
      </c>
      <c r="M9" s="141"/>
      <c r="N9" s="171" t="s">
        <v>19</v>
      </c>
      <c r="O9" s="172"/>
      <c r="P9" s="8" t="s">
        <v>136</v>
      </c>
      <c r="Q9" s="17" t="s">
        <v>101</v>
      </c>
    </row>
    <row r="10" spans="1:20" ht="48" customHeight="1" x14ac:dyDescent="0.4">
      <c r="A10" s="18" t="s">
        <v>27</v>
      </c>
      <c r="B10" s="16" t="s">
        <v>102</v>
      </c>
      <c r="C10" s="170"/>
      <c r="D10" s="170"/>
      <c r="E10" s="12" t="s">
        <v>28</v>
      </c>
      <c r="F10" s="14" t="s">
        <v>28</v>
      </c>
      <c r="G10" s="155" t="s">
        <v>28</v>
      </c>
      <c r="H10" s="156"/>
      <c r="I10" s="15" t="s">
        <v>28</v>
      </c>
      <c r="J10" s="141">
        <v>60000000</v>
      </c>
      <c r="K10" s="141"/>
      <c r="L10" s="141">
        <v>60000000</v>
      </c>
      <c r="M10" s="141"/>
      <c r="N10" s="171" t="s">
        <v>28</v>
      </c>
      <c r="O10" s="172"/>
      <c r="P10" s="8" t="s">
        <v>31</v>
      </c>
      <c r="Q10" s="17" t="s">
        <v>32</v>
      </c>
    </row>
    <row r="11" spans="1:20" ht="42" customHeight="1" x14ac:dyDescent="0.4">
      <c r="A11" s="173" t="s">
        <v>33</v>
      </c>
      <c r="B11" s="174"/>
      <c r="C11" s="174"/>
      <c r="D11" s="174"/>
      <c r="E11" s="174"/>
      <c r="F11" s="174"/>
      <c r="G11" s="174"/>
      <c r="H11" s="174"/>
      <c r="I11" s="174"/>
      <c r="J11" s="175">
        <f>SUM(J4:K10)</f>
        <v>1520000000</v>
      </c>
      <c r="K11" s="176"/>
      <c r="L11" s="177">
        <f>SUM(L4:M10)</f>
        <v>570000000</v>
      </c>
      <c r="M11" s="178"/>
      <c r="N11" s="179"/>
      <c r="O11" s="180"/>
      <c r="P11" s="22"/>
      <c r="Q11" s="13"/>
    </row>
    <row r="12" spans="1:20" ht="18" customHeight="1" x14ac:dyDescent="0.4">
      <c r="A12" s="5"/>
      <c r="B12" s="5"/>
      <c r="C12" s="6"/>
      <c r="D12" s="6"/>
      <c r="E12" s="5"/>
      <c r="F12" s="5"/>
      <c r="G12" s="5"/>
      <c r="H12" s="6"/>
      <c r="I12" s="6"/>
      <c r="J12" s="6"/>
      <c r="K12" s="6"/>
      <c r="L12" s="6"/>
      <c r="M12" s="6"/>
      <c r="N12" s="6"/>
      <c r="O12" s="6"/>
      <c r="P12" s="5"/>
      <c r="Q12" s="6"/>
    </row>
    <row r="13" spans="1:20" ht="18.75" customHeight="1" x14ac:dyDescent="0.4">
      <c r="A13" s="2"/>
      <c r="B13" s="5"/>
      <c r="C13" s="5"/>
      <c r="D13" s="5"/>
      <c r="E13" s="5"/>
      <c r="F13" s="5"/>
      <c r="G13" s="5"/>
      <c r="H13" s="5"/>
      <c r="I13" s="5"/>
      <c r="J13" s="5"/>
      <c r="K13" s="5"/>
      <c r="L13" s="5"/>
      <c r="M13" s="11"/>
      <c r="N13" s="11"/>
      <c r="O13" s="11"/>
      <c r="Q13" s="11"/>
    </row>
    <row r="14" spans="1:20" ht="40.5" customHeight="1" x14ac:dyDescent="0.4">
      <c r="A14" s="2" t="s">
        <v>111</v>
      </c>
      <c r="B14" s="5"/>
      <c r="C14" s="5"/>
      <c r="D14" s="5"/>
      <c r="E14" s="5"/>
      <c r="F14" s="5"/>
      <c r="G14" s="5"/>
      <c r="H14" s="5"/>
      <c r="I14" s="5"/>
      <c r="J14" s="5"/>
      <c r="K14" s="5"/>
      <c r="L14" s="5"/>
      <c r="M14" s="5"/>
      <c r="N14" s="5"/>
      <c r="O14" s="5"/>
      <c r="P14" s="5"/>
      <c r="Q14" s="5"/>
    </row>
    <row r="15" spans="1:20" ht="52.35" customHeight="1" x14ac:dyDescent="0.4">
      <c r="A15" s="158" t="s">
        <v>34</v>
      </c>
      <c r="B15" s="167" t="s">
        <v>151</v>
      </c>
      <c r="C15" s="168"/>
      <c r="D15" s="168"/>
      <c r="E15" s="168"/>
      <c r="F15" s="168"/>
      <c r="G15" s="168"/>
      <c r="H15" s="168"/>
      <c r="I15" s="168"/>
      <c r="J15" s="168"/>
      <c r="K15" s="168"/>
      <c r="L15" s="168"/>
      <c r="M15" s="168"/>
      <c r="N15" s="168"/>
      <c r="O15" s="168"/>
      <c r="P15" s="168"/>
      <c r="Q15" s="169"/>
    </row>
    <row r="16" spans="1:20" ht="172.5" customHeight="1" x14ac:dyDescent="0.4">
      <c r="A16" s="159"/>
      <c r="B16" s="161" t="s">
        <v>143</v>
      </c>
      <c r="C16" s="162"/>
      <c r="D16" s="162"/>
      <c r="E16" s="162"/>
      <c r="F16" s="162"/>
      <c r="G16" s="162"/>
      <c r="H16" s="162"/>
      <c r="I16" s="162"/>
      <c r="J16" s="162"/>
      <c r="K16" s="162"/>
      <c r="L16" s="162"/>
      <c r="M16" s="162"/>
      <c r="N16" s="162"/>
      <c r="O16" s="162"/>
      <c r="P16" s="162"/>
      <c r="Q16" s="163"/>
    </row>
    <row r="17" spans="1:17" ht="221.4" customHeight="1" x14ac:dyDescent="0.4">
      <c r="A17" s="159"/>
      <c r="B17" s="164"/>
      <c r="C17" s="165"/>
      <c r="D17" s="165"/>
      <c r="E17" s="165"/>
      <c r="F17" s="165"/>
      <c r="G17" s="165"/>
      <c r="H17" s="165"/>
      <c r="I17" s="165"/>
      <c r="J17" s="165"/>
      <c r="K17" s="165"/>
      <c r="L17" s="165"/>
      <c r="M17" s="165"/>
      <c r="N17" s="165"/>
      <c r="O17" s="165"/>
      <c r="P17" s="165"/>
      <c r="Q17" s="166"/>
    </row>
    <row r="18" spans="1:17" ht="163.19999999999999" customHeight="1" x14ac:dyDescent="0.4">
      <c r="A18" s="160"/>
      <c r="B18" s="167" t="s">
        <v>146</v>
      </c>
      <c r="C18" s="168"/>
      <c r="D18" s="168"/>
      <c r="E18" s="168"/>
      <c r="F18" s="168"/>
      <c r="G18" s="168"/>
      <c r="H18" s="168"/>
      <c r="I18" s="168"/>
      <c r="J18" s="168"/>
      <c r="K18" s="168"/>
      <c r="L18" s="168"/>
      <c r="M18" s="168"/>
      <c r="N18" s="168"/>
      <c r="O18" s="168"/>
      <c r="P18" s="168"/>
      <c r="Q18" s="169"/>
    </row>
    <row r="21" spans="1:17" x14ac:dyDescent="0.4">
      <c r="I21" s="7"/>
    </row>
    <row r="22" spans="1:17" x14ac:dyDescent="0.4">
      <c r="I22" s="7"/>
    </row>
  </sheetData>
  <mergeCells count="53">
    <mergeCell ref="C9:D9"/>
    <mergeCell ref="A15:A18"/>
    <mergeCell ref="B16:Q17"/>
    <mergeCell ref="B15:Q15"/>
    <mergeCell ref="B18:Q18"/>
    <mergeCell ref="C10:D10"/>
    <mergeCell ref="G10:H10"/>
    <mergeCell ref="J10:K10"/>
    <mergeCell ref="N10:O10"/>
    <mergeCell ref="A11:I11"/>
    <mergeCell ref="J11:K11"/>
    <mergeCell ref="L11:M11"/>
    <mergeCell ref="N11:O11"/>
    <mergeCell ref="L10:M10"/>
    <mergeCell ref="G9:H9"/>
    <mergeCell ref="J9:K9"/>
    <mergeCell ref="L9:M9"/>
    <mergeCell ref="L6:M6"/>
    <mergeCell ref="N6:O6"/>
    <mergeCell ref="L7:M7"/>
    <mergeCell ref="N7:O7"/>
    <mergeCell ref="N8:O8"/>
    <mergeCell ref="N9:O9"/>
    <mergeCell ref="A6:A8"/>
    <mergeCell ref="C8:D8"/>
    <mergeCell ref="G8:H8"/>
    <mergeCell ref="J8:K8"/>
    <mergeCell ref="L8:M8"/>
    <mergeCell ref="C6:D6"/>
    <mergeCell ref="G6:H6"/>
    <mergeCell ref="J6:K6"/>
    <mergeCell ref="C7:D7"/>
    <mergeCell ref="G7:H7"/>
    <mergeCell ref="J7:K7"/>
    <mergeCell ref="A4:A5"/>
    <mergeCell ref="B4:B5"/>
    <mergeCell ref="C4:D4"/>
    <mergeCell ref="G4:H4"/>
    <mergeCell ref="J4:K4"/>
    <mergeCell ref="L4:M4"/>
    <mergeCell ref="N4:O4"/>
    <mergeCell ref="C5:D5"/>
    <mergeCell ref="G5:H5"/>
    <mergeCell ref="J5:K5"/>
    <mergeCell ref="L5:M5"/>
    <mergeCell ref="N5:O5"/>
    <mergeCell ref="A1:O1"/>
    <mergeCell ref="C3:D3"/>
    <mergeCell ref="E3:F3"/>
    <mergeCell ref="G3:H3"/>
    <mergeCell ref="J3:K3"/>
    <mergeCell ref="L3:M3"/>
    <mergeCell ref="N3:O3"/>
  </mergeCells>
  <phoneticPr fontId="1" type="noConversion"/>
  <pageMargins left="0.31496062992125984" right="0.31496062992125984" top="0.55118110236220474" bottom="0.55118110236220474" header="0.31496062992125984" footer="0.31496062992125984"/>
  <pageSetup paperSize="9" scale="70" orientation="landscape" verticalDpi="0" r:id="rId1"/>
  <rowBreaks count="1" manualBreakCount="1">
    <brk id="13" max="1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Monthly Sales &amp; Order Plan</vt:lpstr>
      <vt:lpstr>Yoon namsik</vt:lpstr>
      <vt:lpstr>'Monthly Sales &amp; Order Plan'!Print_Area</vt:lpstr>
      <vt:lpstr>'Yoon namsik'!Print_Area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정성한</dc:creator>
  <cp:lastModifiedBy>Yun, Namsik</cp:lastModifiedBy>
  <cp:lastPrinted>2024-02-01T22:45:30Z</cp:lastPrinted>
  <dcterms:created xsi:type="dcterms:W3CDTF">2021-12-14T00:49:01Z</dcterms:created>
  <dcterms:modified xsi:type="dcterms:W3CDTF">2025-01-03T05:08:28Z</dcterms:modified>
</cp:coreProperties>
</file>