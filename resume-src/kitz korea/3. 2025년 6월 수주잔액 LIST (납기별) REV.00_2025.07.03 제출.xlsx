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최지영\AppData\Local\Microsoft\Windows\INetCache\Content.Outlook\RAI2716N\"/>
    </mc:Choice>
  </mc:AlternateContent>
  <xr:revisionPtr revIDLastSave="0" documentId="13_ncr:1_{A99EE351-61E5-43AA-9504-9EB5F79DDF25}" xr6:coauthVersionLast="47" xr6:coauthVersionMax="47" xr10:uidLastSave="{00000000-0000-0000-0000-000000000000}"/>
  <bookViews>
    <workbookView xWindow="28680" yWindow="1185" windowWidth="29040" windowHeight="15840" tabRatio="738" xr2:uid="{0232DE11-4D14-444C-A674-A46BF8DF8EDE}"/>
  </bookViews>
  <sheets>
    <sheet name="6월 수주잔액 (수출)" sheetId="301" r:id="rId1"/>
    <sheet name="6월 수주잔액 (KITZ)" sheetId="302" r:id="rId2"/>
    <sheet name="6월 수주잔액 (KITZ PUR.)" sheetId="307" r:id="rId3"/>
    <sheet name="6월 수주잔액 (KITZ STOCK)" sheetId="310" r:id="rId4"/>
    <sheet name="6월 수주잔액 (내수)" sheetId="308" r:id="rId5"/>
    <sheet name="6월 수주잔액 (조선)" sheetId="309" r:id="rId6"/>
    <sheet name="6월 수주잔액 (한화오션)" sheetId="303" r:id="rId7"/>
  </sheets>
  <externalReferences>
    <externalReference r:id="rId8"/>
    <externalReference r:id="rId9"/>
    <externalReference r:id="rId10"/>
    <externalReference r:id="rId11"/>
  </externalReferences>
  <definedNames>
    <definedName name="_" localSheetId="2" hidden="1">[1]실행!#REF!</definedName>
    <definedName name="_" localSheetId="1" hidden="1">[1]실행!#REF!</definedName>
    <definedName name="_" localSheetId="4" hidden="1">[1]실행!#REF!</definedName>
    <definedName name="_" localSheetId="0" hidden="1">[1]실행!#REF!</definedName>
    <definedName name="_" localSheetId="5" hidden="1">[1]실행!#REF!</definedName>
    <definedName name="_" localSheetId="6" hidden="1">[1]실행!#REF!</definedName>
    <definedName name="_" hidden="1">[1]실행!#REF!</definedName>
    <definedName name="__" localSheetId="2" hidden="1">[1]실행!#REF!</definedName>
    <definedName name="__" localSheetId="1" hidden="1">[1]실행!#REF!</definedName>
    <definedName name="__" localSheetId="4" hidden="1">[1]실행!#REF!</definedName>
    <definedName name="__" localSheetId="0" hidden="1">[1]실행!#REF!</definedName>
    <definedName name="__" localSheetId="5" hidden="1">[1]실행!#REF!</definedName>
    <definedName name="__" localSheetId="6" hidden="1">[1]실행!#REF!</definedName>
    <definedName name="__" hidden="1">[1]실행!#REF!</definedName>
    <definedName name="___" localSheetId="2" hidden="1">[1]실행!#REF!</definedName>
    <definedName name="___" localSheetId="1" hidden="1">[1]실행!#REF!</definedName>
    <definedName name="___" localSheetId="4" hidden="1">[1]실행!#REF!</definedName>
    <definedName name="___" localSheetId="0" hidden="1">[1]실행!#REF!</definedName>
    <definedName name="___" localSheetId="5" hidden="1">[1]실행!#REF!</definedName>
    <definedName name="___" localSheetId="6" hidden="1">[1]실행!#REF!</definedName>
    <definedName name="___" hidden="1">[1]실행!#REF!</definedName>
    <definedName name="____" localSheetId="2" hidden="1">[1]실행!#REF!</definedName>
    <definedName name="____" localSheetId="1" hidden="1">[1]실행!#REF!</definedName>
    <definedName name="____" localSheetId="4" hidden="1">[1]실행!#REF!</definedName>
    <definedName name="____" localSheetId="0" hidden="1">[1]실행!#REF!</definedName>
    <definedName name="____" localSheetId="5" hidden="1">[1]실행!#REF!</definedName>
    <definedName name="____" localSheetId="6" hidden="1">[1]실행!#REF!</definedName>
    <definedName name="____" hidden="1">[1]실행!#REF!</definedName>
    <definedName name="__123Graph_A" hidden="1">[2]TTL!$G$31:$AU$31</definedName>
    <definedName name="__123Graph_B" hidden="1">[2]TTL!$G$32:$AU$32</definedName>
    <definedName name="__123Graph_C" hidden="1">[2]TTL!$G$37:$AU$37</definedName>
    <definedName name="__123Graph_D" hidden="1">[2]TTL!$G$38:$AU$38</definedName>
    <definedName name="__123Graph_X" hidden="1">[2]TTL!$G$6:$AU$6</definedName>
    <definedName name="_11_0_0_F" localSheetId="3" hidden="1">[1]실행!#REF!</definedName>
    <definedName name="_11_0_0_F" hidden="1">[1]실행!#REF!</definedName>
    <definedName name="_14_0_0_F" localSheetId="3" hidden="1">[1]실행!#REF!</definedName>
    <definedName name="_14_0_0_F" hidden="1">[1]실행!#REF!</definedName>
    <definedName name="_36_0_0_F" localSheetId="3" hidden="1">[1]실행!#REF!</definedName>
    <definedName name="_36_0_0_F" hidden="1">[1]실행!#REF!</definedName>
    <definedName name="_47_0_0_F" localSheetId="3" hidden="1">[3]실행!#REF!</definedName>
    <definedName name="_47_0_0_F" hidden="1">[3]실행!#REF!</definedName>
    <definedName name="_4F" hidden="1">[1]실행!#REF!</definedName>
    <definedName name="_5F" hidden="1">[1]실행!#REF!</definedName>
    <definedName name="_7F" hidden="1">[1]실행!#REF!</definedName>
    <definedName name="_9F" hidden="1">[1]실행!#REF!</definedName>
    <definedName name="_Fill" localSheetId="2" hidden="1">#REF!</definedName>
    <definedName name="_Fill" localSheetId="3" hidden="1">#REF!</definedName>
    <definedName name="_Fill" localSheetId="1" hidden="1">#REF!</definedName>
    <definedName name="_Fill" localSheetId="4" hidden="1">#REF!</definedName>
    <definedName name="_Fill" localSheetId="0" hidden="1">#REF!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2" hidden="1">'6월 수주잔액 (KITZ PUR.)'!$A$4:$W$20</definedName>
    <definedName name="_xlnm._FilterDatabase" localSheetId="3" hidden="1">'6월 수주잔액 (KITZ STOCK)'!$A$4:$X$7</definedName>
    <definedName name="_xlnm._FilterDatabase" localSheetId="1" hidden="1">'6월 수주잔액 (KITZ)'!$A$4:$W$23</definedName>
    <definedName name="_xlnm._FilterDatabase" localSheetId="4" hidden="1">'6월 수주잔액 (내수)'!$A$4:$W$44</definedName>
    <definedName name="_xlnm._FilterDatabase" localSheetId="0" hidden="1">'6월 수주잔액 (수출)'!$A$4:$W$51</definedName>
    <definedName name="_xlnm._FilterDatabase" localSheetId="5" hidden="1">'6월 수주잔액 (조선)'!$A$4:$W$56</definedName>
    <definedName name="_xlnm._FilterDatabase" localSheetId="6" hidden="1">'6월 수주잔액 (한화오션)'!$A$4:$W$445</definedName>
    <definedName name="_Key1" localSheetId="2" hidden="1">#REF!</definedName>
    <definedName name="_Key1" localSheetId="3" hidden="1">#REF!</definedName>
    <definedName name="_Key1" localSheetId="1" hidden="1">#REF!</definedName>
    <definedName name="_Key1" localSheetId="4" hidden="1">#REF!</definedName>
    <definedName name="_Key1" localSheetId="0" hidden="1">#REF!</definedName>
    <definedName name="_Key1" localSheetId="5" hidden="1">#REF!</definedName>
    <definedName name="_Key1" localSheetId="6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1" hidden="1">#REF!</definedName>
    <definedName name="_Key2" localSheetId="4" hidden="1">#REF!</definedName>
    <definedName name="_Key2" localSheetId="0" hidden="1">#REF!</definedName>
    <definedName name="_Key2" localSheetId="5" hidden="1">#REF!</definedName>
    <definedName name="_Key2" localSheetId="6" hidden="1">#REF!</definedName>
    <definedName name="_Key2" hidden="1">#REF!</definedName>
    <definedName name="_Order1" hidden="1">255</definedName>
    <definedName name="_Order2" hidden="1">255</definedName>
    <definedName name="_Parse_Out" localSheetId="2" hidden="1">'[4]#REF'!#REF!</definedName>
    <definedName name="_Parse_Out" localSheetId="1" hidden="1">'[4]#REF'!#REF!</definedName>
    <definedName name="_Parse_Out" localSheetId="4" hidden="1">'[4]#REF'!#REF!</definedName>
    <definedName name="_Parse_Out" localSheetId="0" hidden="1">'[4]#REF'!#REF!</definedName>
    <definedName name="_Parse_Out" localSheetId="5" hidden="1">'[4]#REF'!#REF!</definedName>
    <definedName name="_Parse_Out" localSheetId="6" hidden="1">'[4]#REF'!#REF!</definedName>
    <definedName name="_Parse_Out" hidden="1">'[4]#REF'!#REF!</definedName>
    <definedName name="_Regression_Out" hidden="1">#REF!</definedName>
    <definedName name="_Regression_X" hidden="1">#REF!</definedName>
    <definedName name="_Regression_Y" hidden="1">#REF!</definedName>
    <definedName name="_Sort" localSheetId="2" hidden="1">[4]집계표!#REF!</definedName>
    <definedName name="_Sort" localSheetId="1" hidden="1">[4]집계표!#REF!</definedName>
    <definedName name="_Sort" localSheetId="4" hidden="1">[4]집계표!#REF!</definedName>
    <definedName name="_Sort" localSheetId="0" hidden="1">[4]집계표!#REF!</definedName>
    <definedName name="_Sort" localSheetId="5" hidden="1">[4]집계표!#REF!</definedName>
    <definedName name="_Sort" localSheetId="6" hidden="1">[4]집계표!#REF!</definedName>
    <definedName name="_Sort" hidden="1">[4]집계표!#REF!</definedName>
    <definedName name="DDDDDDD" localSheetId="2" hidden="1">{#N/A,#N/A,FALSE,"현장 NCR 분석";#N/A,#N/A,FALSE,"현장품질감사";#N/A,#N/A,FALSE,"현장품질감사"}</definedName>
    <definedName name="DDDDDDD" localSheetId="3" hidden="1">{#N/A,#N/A,FALSE,"현장 NCR 분석";#N/A,#N/A,FALSE,"현장품질감사";#N/A,#N/A,FALSE,"현장품질감사"}</definedName>
    <definedName name="DDDDDDD" localSheetId="1" hidden="1">{#N/A,#N/A,FALSE,"현장 NCR 분석";#N/A,#N/A,FALSE,"현장품질감사";#N/A,#N/A,FALSE,"현장품질감사"}</definedName>
    <definedName name="DDDDDDD" localSheetId="4" hidden="1">{#N/A,#N/A,FALSE,"현장 NCR 분석";#N/A,#N/A,FALSE,"현장품질감사";#N/A,#N/A,FALSE,"현장품질감사"}</definedName>
    <definedName name="DDDDDDD" localSheetId="0" hidden="1">{#N/A,#N/A,FALSE,"현장 NCR 분석";#N/A,#N/A,FALSE,"현장품질감사";#N/A,#N/A,FALSE,"현장품질감사"}</definedName>
    <definedName name="DDDDDDD" localSheetId="5" hidden="1">{#N/A,#N/A,FALSE,"현장 NCR 분석";#N/A,#N/A,FALSE,"현장품질감사";#N/A,#N/A,FALSE,"현장품질감사"}</definedName>
    <definedName name="DDDDDDD" localSheetId="6" hidden="1">{#N/A,#N/A,FALSE,"현장 NCR 분석";#N/A,#N/A,FALSE,"현장품질감사";#N/A,#N/A,FALSE,"현장품질감사"}</definedName>
    <definedName name="DDDDDDD" hidden="1">{#N/A,#N/A,FALSE,"현장 NCR 분석";#N/A,#N/A,FALSE,"현장품질감사";#N/A,#N/A,FALSE,"현장품질감사"}</definedName>
    <definedName name="DDDDDDDDDDDDDDDDDDDDDDD" localSheetId="2" hidden="1">{#N/A,#N/A,FALSE,"토공2"}</definedName>
    <definedName name="DDDDDDDDDDDDDDDDDDDDDDD" localSheetId="3" hidden="1">{#N/A,#N/A,FALSE,"토공2"}</definedName>
    <definedName name="DDDDDDDDDDDDDDDDDDDDDDD" localSheetId="1" hidden="1">{#N/A,#N/A,FALSE,"토공2"}</definedName>
    <definedName name="DDDDDDDDDDDDDDDDDDDDDDD" localSheetId="4" hidden="1">{#N/A,#N/A,FALSE,"토공2"}</definedName>
    <definedName name="DDDDDDDDDDDDDDDDDDDDDDD" localSheetId="0" hidden="1">{#N/A,#N/A,FALSE,"토공2"}</definedName>
    <definedName name="DDDDDDDDDDDDDDDDDDDDDDD" localSheetId="5" hidden="1">{#N/A,#N/A,FALSE,"토공2"}</definedName>
    <definedName name="DDDDDDDDDDDDDDDDDDDDDDD" localSheetId="6" hidden="1">{#N/A,#N/A,FALSE,"토공2"}</definedName>
    <definedName name="DDDDDDDDDDDDDDDDDDDDDDD" hidden="1">{#N/A,#N/A,FALSE,"토공2"}</definedName>
    <definedName name="ds" hidden="1">{#N/A,#N/A,FALSE,"현장 NCR 분석";#N/A,#N/A,FALSE,"현장품질감사";#N/A,#N/A,FALSE,"현장품질감사"}</definedName>
    <definedName name="FFF" localSheetId="3" hidden="1">{#N/A,#N/A,TRUE,"SUMMARY";#N/A,#N/A,TRUE,"ISBL";#N/A,#N/A,TRUE,"OSBL";#N/A,#N/A,TRUE,"OFFSITE";#N/A,#N/A,TRUE,"STEAM"}</definedName>
    <definedName name="FFF" hidden="1">{#N/A,#N/A,TRUE,"SUMMARY";#N/A,#N/A,TRUE,"ISBL";#N/A,#N/A,TRUE,"OSBL";#N/A,#N/A,TRUE,"OFFSITE";#N/A,#N/A,TRUE,"STEAM"}</definedName>
    <definedName name="HTML_LastUpdate" hidden="1">"00-03-02"</definedName>
    <definedName name="HTML_LineAfter" hidden="1">FALSE</definedName>
    <definedName name="HTML_LineBefore" hidden="1">FALSE</definedName>
    <definedName name="HTML_Name" hidden="1">"류지균"</definedName>
    <definedName name="HTML_OBDlg2" hidden="1">TRUE</definedName>
    <definedName name="HTML_OBDlg4" hidden="1">TRUE</definedName>
    <definedName name="HTML_OS" hidden="1">0</definedName>
    <definedName name="HTML_PathFile" hidden="1">"C:\각종양식\Heat-calculation\류지균\MyHTML.htm"</definedName>
    <definedName name="HTML_Title" hidden="1">"류지균-H-CAL-R2"</definedName>
    <definedName name="PA" localSheetId="3" hidden="1">{#N/A,#N/A,TRUE,"FIELDOFF";#N/A,#N/A,TRUE,"SCAFF";#N/A,#N/A,TRUE,"CONSTEQP";#N/A,#N/A,TRUE,"FUELUBE";#N/A,#N/A,TRUE,"CONSUME";#N/A,#N/A,TRUE,"FIELDEXP";#N/A,#N/A,TRUE,"MANPLAN";#N/A,#N/A,TRUE,"EQPLAN"}</definedName>
    <definedName name="PA" hidden="1">{#N/A,#N/A,TRUE,"FIELDOFF";#N/A,#N/A,TRUE,"SCAFF";#N/A,#N/A,TRUE,"CONSTEQP";#N/A,#N/A,TRUE,"FUELUBE";#N/A,#N/A,TRUE,"CONSUME";#N/A,#N/A,TRUE,"FIELDEXP";#N/A,#N/A,TRUE,"MANPLAN";#N/A,#N/A,TRUE,"EQPLAN"}</definedName>
    <definedName name="_xlnm.Print_Area" localSheetId="2">'6월 수주잔액 (KITZ PUR.)'!$A$1:$Q$20</definedName>
    <definedName name="_xlnm.Print_Area" localSheetId="3">'6월 수주잔액 (KITZ STOCK)'!$A$1:$Q$7</definedName>
    <definedName name="_xlnm.Print_Area" localSheetId="1">'6월 수주잔액 (KITZ)'!$A$1:$Q$23</definedName>
    <definedName name="_xlnm.Print_Area" localSheetId="4">'6월 수주잔액 (내수)'!$A$1:$Q$44</definedName>
    <definedName name="_xlnm.Print_Area" localSheetId="0">'6월 수주잔액 (수출)'!$A$1:$Q$51</definedName>
    <definedName name="_xlnm.Print_Area" localSheetId="5">'6월 수주잔액 (조선)'!$A$1:$Q$56</definedName>
    <definedName name="_xlnm.Print_Area" localSheetId="6">'6월 수주잔액 (한화오션)'!$A$1:$Q$445</definedName>
    <definedName name="_xlnm.Print_Titles" localSheetId="2">'6월 수주잔액 (KITZ PUR.)'!$1:$4</definedName>
    <definedName name="_xlnm.Print_Titles" localSheetId="3">'6월 수주잔액 (KITZ STOCK)'!$1:$4</definedName>
    <definedName name="_xlnm.Print_Titles" localSheetId="1">'6월 수주잔액 (KITZ)'!$1:$4</definedName>
    <definedName name="_xlnm.Print_Titles" localSheetId="4">'6월 수주잔액 (내수)'!$1:$4</definedName>
    <definedName name="_xlnm.Print_Titles" localSheetId="0">'6월 수주잔액 (수출)'!$1:$4</definedName>
    <definedName name="_xlnm.Print_Titles" localSheetId="5">'6월 수주잔액 (조선)'!$1:$4</definedName>
    <definedName name="_xlnm.Print_Titles" localSheetId="6">'6월 수주잔액 (한화오션)'!$1:$4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rn.BIDSUM." localSheetId="3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DIRLABR." localSheetId="3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INDIRCOS." localSheetId="3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4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localSheetId="5" hidden="1">{#N/A,#N/A,FALSE,"사업총괄";#N/A,#N/A,FALSE,"장비사업";#N/A,#N/A,FALSE,"철구사업";#N/A,#N/A,FALSE,"준설사업"}</definedName>
    <definedName name="wrn.건설기계사업소._.상반기보고." localSheetId="6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2" hidden="1">{#N/A,#N/A,FALSE,"전력간선"}</definedName>
    <definedName name="wrn.교육청." localSheetId="3" hidden="1">{#N/A,#N/A,FALSE,"전력간선"}</definedName>
    <definedName name="wrn.교육청." localSheetId="1" hidden="1">{#N/A,#N/A,FALSE,"전력간선"}</definedName>
    <definedName name="wrn.교육청." localSheetId="4" hidden="1">{#N/A,#N/A,FALSE,"전력간선"}</definedName>
    <definedName name="wrn.교육청." localSheetId="0" hidden="1">{#N/A,#N/A,FALSE,"전력간선"}</definedName>
    <definedName name="wrn.교육청." localSheetId="5" hidden="1">{#N/A,#N/A,FALSE,"전력간선"}</definedName>
    <definedName name="wrn.교육청." localSheetId="6" hidden="1">{#N/A,#N/A,FALSE,"전력간선"}</definedName>
    <definedName name="wrn.교육청." hidden="1">{#N/A,#N/A,FALSE,"전력간선"}</definedName>
    <definedName name="wrn.구조2." localSheetId="2" hidden="1">{#N/A,#N/A,FALSE,"구조2"}</definedName>
    <definedName name="wrn.구조2." localSheetId="3" hidden="1">{#N/A,#N/A,FALSE,"구조2"}</definedName>
    <definedName name="wrn.구조2." localSheetId="1" hidden="1">{#N/A,#N/A,FALSE,"구조2"}</definedName>
    <definedName name="wrn.구조2." localSheetId="4" hidden="1">{#N/A,#N/A,FALSE,"구조2"}</definedName>
    <definedName name="wrn.구조2." localSheetId="0" hidden="1">{#N/A,#N/A,FALSE,"구조2"}</definedName>
    <definedName name="wrn.구조2." localSheetId="5" hidden="1">{#N/A,#N/A,FALSE,"구조2"}</definedName>
    <definedName name="wrn.구조2." localSheetId="6" hidden="1">{#N/A,#N/A,FALSE,"구조2"}</definedName>
    <definedName name="wrn.구조2." hidden="1">{#N/A,#N/A,FALSE,"구조2"}</definedName>
    <definedName name="wrn.배수1." localSheetId="2" hidden="1">{#N/A,#N/A,FALSE,"배수1"}</definedName>
    <definedName name="wrn.배수1." localSheetId="3" hidden="1">{#N/A,#N/A,FALSE,"배수1"}</definedName>
    <definedName name="wrn.배수1." localSheetId="1" hidden="1">{#N/A,#N/A,FALSE,"배수1"}</definedName>
    <definedName name="wrn.배수1." localSheetId="4" hidden="1">{#N/A,#N/A,FALSE,"배수1"}</definedName>
    <definedName name="wrn.배수1." localSheetId="0" hidden="1">{#N/A,#N/A,FALSE,"배수1"}</definedName>
    <definedName name="wrn.배수1." localSheetId="5" hidden="1">{#N/A,#N/A,FALSE,"배수1"}</definedName>
    <definedName name="wrn.배수1." localSheetId="6" hidden="1">{#N/A,#N/A,FALSE,"배수1"}</definedName>
    <definedName name="wrn.배수1." hidden="1">{#N/A,#N/A,FALSE,"배수1"}</definedName>
    <definedName name="wrn.배수2." localSheetId="2" hidden="1">{#N/A,#N/A,FALSE,"배수2"}</definedName>
    <definedName name="wrn.배수2." localSheetId="3" hidden="1">{#N/A,#N/A,FALSE,"배수2"}</definedName>
    <definedName name="wrn.배수2." localSheetId="1" hidden="1">{#N/A,#N/A,FALSE,"배수2"}</definedName>
    <definedName name="wrn.배수2." localSheetId="4" hidden="1">{#N/A,#N/A,FALSE,"배수2"}</definedName>
    <definedName name="wrn.배수2." localSheetId="0" hidden="1">{#N/A,#N/A,FALSE,"배수2"}</definedName>
    <definedName name="wrn.배수2." localSheetId="5" hidden="1">{#N/A,#N/A,FALSE,"배수2"}</definedName>
    <definedName name="wrn.배수2." localSheetId="6" hidden="1">{#N/A,#N/A,FALSE,"배수2"}</definedName>
    <definedName name="wrn.배수2." hidden="1">{#N/A,#N/A,FALSE,"배수2"}</definedName>
    <definedName name="wrn.변경예산." localSheetId="2" hidden="1">{#N/A,#N/A,FALSE,"변경관리예산";#N/A,#N/A,FALSE,"변경장비예산";#N/A,#N/A,FALSE,"변경준설예산";#N/A,#N/A,FALSE,"변경철구예산"}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localSheetId="1" hidden="1">{#N/A,#N/A,FALSE,"변경관리예산";#N/A,#N/A,FALSE,"변경장비예산";#N/A,#N/A,FALSE,"변경준설예산";#N/A,#N/A,FALSE,"변경철구예산"}</definedName>
    <definedName name="wrn.변경예산." localSheetId="4" hidden="1">{#N/A,#N/A,FALSE,"변경관리예산";#N/A,#N/A,FALSE,"변경장비예산";#N/A,#N/A,FALSE,"변경준설예산";#N/A,#N/A,FALSE,"변경철구예산"}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localSheetId="5" hidden="1">{#N/A,#N/A,FALSE,"변경관리예산";#N/A,#N/A,FALSE,"변경장비예산";#N/A,#N/A,FALSE,"변경준설예산";#N/A,#N/A,FALSE,"변경철구예산"}</definedName>
    <definedName name="wrn.변경예산." localSheetId="6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2" hidden="1">{#N/A,#N/A,FALSE,"부대1"}</definedName>
    <definedName name="wrn.부대1." localSheetId="3" hidden="1">{#N/A,#N/A,FALSE,"부대1"}</definedName>
    <definedName name="wrn.부대1." localSheetId="1" hidden="1">{#N/A,#N/A,FALSE,"부대1"}</definedName>
    <definedName name="wrn.부대1." localSheetId="4" hidden="1">{#N/A,#N/A,FALSE,"부대1"}</definedName>
    <definedName name="wrn.부대1." localSheetId="0" hidden="1">{#N/A,#N/A,FALSE,"부대1"}</definedName>
    <definedName name="wrn.부대1." localSheetId="5" hidden="1">{#N/A,#N/A,FALSE,"부대1"}</definedName>
    <definedName name="wrn.부대1." localSheetId="6" hidden="1">{#N/A,#N/A,FALSE,"부대1"}</definedName>
    <definedName name="wrn.부대1." hidden="1">{#N/A,#N/A,FALSE,"부대1"}</definedName>
    <definedName name="wrn.부대2." localSheetId="2" hidden="1">{#N/A,#N/A,FALSE,"부대2"}</definedName>
    <definedName name="wrn.부대2." localSheetId="3" hidden="1">{#N/A,#N/A,FALSE,"부대2"}</definedName>
    <definedName name="wrn.부대2." localSheetId="1" hidden="1">{#N/A,#N/A,FALSE,"부대2"}</definedName>
    <definedName name="wrn.부대2." localSheetId="4" hidden="1">{#N/A,#N/A,FALSE,"부대2"}</definedName>
    <definedName name="wrn.부대2." localSheetId="0" hidden="1">{#N/A,#N/A,FALSE,"부대2"}</definedName>
    <definedName name="wrn.부대2." localSheetId="5" hidden="1">{#N/A,#N/A,FALSE,"부대2"}</definedName>
    <definedName name="wrn.부대2." localSheetId="6" hidden="1">{#N/A,#N/A,FALSE,"부대2"}</definedName>
    <definedName name="wrn.부대2." hidden="1">{#N/A,#N/A,FALSE,"부대2"}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2" hidden="1">{#N/A,#N/A,FALSE,"속도"}</definedName>
    <definedName name="wrn.속도." localSheetId="3" hidden="1">{#N/A,#N/A,FALSE,"속도"}</definedName>
    <definedName name="wrn.속도." localSheetId="1" hidden="1">{#N/A,#N/A,FALSE,"속도"}</definedName>
    <definedName name="wrn.속도." localSheetId="4" hidden="1">{#N/A,#N/A,FALSE,"속도"}</definedName>
    <definedName name="wrn.속도." localSheetId="0" hidden="1">{#N/A,#N/A,FALSE,"속도"}</definedName>
    <definedName name="wrn.속도." localSheetId="5" hidden="1">{#N/A,#N/A,FALSE,"속도"}</definedName>
    <definedName name="wrn.속도." localSheetId="6" hidden="1">{#N/A,#N/A,FALSE,"속도"}</definedName>
    <definedName name="wrn.속도." hidden="1">{#N/A,#N/A,FALSE,"속도"}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4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localSheetId="5" hidden="1">{#N/A,#N/A,FALSE,"예상손익";#N/A,#N/A,FALSE,"관리분석";#N/A,#N/A,FALSE,"장비분석";#N/A,#N/A,FALSE,"준설분석";#N/A,#N/A,FALSE,"철구분석"}</definedName>
    <definedName name="wrn.예상손익." localSheetId="6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이정표." localSheetId="2" hidden="1">{#N/A,#N/A,FALSE,"이정표"}</definedName>
    <definedName name="wrn.이정표." localSheetId="3" hidden="1">{#N/A,#N/A,FALSE,"이정표"}</definedName>
    <definedName name="wrn.이정표." localSheetId="1" hidden="1">{#N/A,#N/A,FALSE,"이정표"}</definedName>
    <definedName name="wrn.이정표." localSheetId="4" hidden="1">{#N/A,#N/A,FALSE,"이정표"}</definedName>
    <definedName name="wrn.이정표." localSheetId="0" hidden="1">{#N/A,#N/A,FALSE,"이정표"}</definedName>
    <definedName name="wrn.이정표." localSheetId="5" hidden="1">{#N/A,#N/A,FALSE,"이정표"}</definedName>
    <definedName name="wrn.이정표." localSheetId="6" hidden="1">{#N/A,#N/A,FALSE,"이정표"}</definedName>
    <definedName name="wrn.이정표." hidden="1">{#N/A,#N/A,FALSE,"이정표"}</definedName>
    <definedName name="wrn.토공1." localSheetId="2" hidden="1">{#N/A,#N/A,FALSE,"구조1"}</definedName>
    <definedName name="wrn.토공1." localSheetId="3" hidden="1">{#N/A,#N/A,FALSE,"구조1"}</definedName>
    <definedName name="wrn.토공1." localSheetId="1" hidden="1">{#N/A,#N/A,FALSE,"구조1"}</definedName>
    <definedName name="wrn.토공1." localSheetId="4" hidden="1">{#N/A,#N/A,FALSE,"구조1"}</definedName>
    <definedName name="wrn.토공1." localSheetId="0" hidden="1">{#N/A,#N/A,FALSE,"구조1"}</definedName>
    <definedName name="wrn.토공1." localSheetId="5" hidden="1">{#N/A,#N/A,FALSE,"구조1"}</definedName>
    <definedName name="wrn.토공1." localSheetId="6" hidden="1">{#N/A,#N/A,FALSE,"구조1"}</definedName>
    <definedName name="wrn.토공1." hidden="1">{#N/A,#N/A,FALSE,"구조1"}</definedName>
    <definedName name="wrn.토공2." localSheetId="2" hidden="1">{#N/A,#N/A,FALSE,"토공2"}</definedName>
    <definedName name="wrn.토공2." localSheetId="3" hidden="1">{#N/A,#N/A,FALSE,"토공2"}</definedName>
    <definedName name="wrn.토공2." localSheetId="1" hidden="1">{#N/A,#N/A,FALSE,"토공2"}</definedName>
    <definedName name="wrn.토공2." localSheetId="4" hidden="1">{#N/A,#N/A,FALSE,"토공2"}</definedName>
    <definedName name="wrn.토공2." localSheetId="0" hidden="1">{#N/A,#N/A,FALSE,"토공2"}</definedName>
    <definedName name="wrn.토공2." localSheetId="5" hidden="1">{#N/A,#N/A,FALSE,"토공2"}</definedName>
    <definedName name="wrn.토공2." localSheetId="6" hidden="1">{#N/A,#N/A,FALSE,"토공2"}</definedName>
    <definedName name="wrn.토공2." hidden="1">{#N/A,#N/A,FALSE,"토공2"}</definedName>
    <definedName name="wrn.포장1." localSheetId="2" hidden="1">{#N/A,#N/A,FALSE,"포장1";#N/A,#N/A,FALSE,"포장1"}</definedName>
    <definedName name="wrn.포장1." localSheetId="3" hidden="1">{#N/A,#N/A,FALSE,"포장1";#N/A,#N/A,FALSE,"포장1"}</definedName>
    <definedName name="wrn.포장1." localSheetId="1" hidden="1">{#N/A,#N/A,FALSE,"포장1";#N/A,#N/A,FALSE,"포장1"}</definedName>
    <definedName name="wrn.포장1." localSheetId="4" hidden="1">{#N/A,#N/A,FALSE,"포장1";#N/A,#N/A,FALSE,"포장1"}</definedName>
    <definedName name="wrn.포장1." localSheetId="0" hidden="1">{#N/A,#N/A,FALSE,"포장1";#N/A,#N/A,FALSE,"포장1"}</definedName>
    <definedName name="wrn.포장1." localSheetId="5" hidden="1">{#N/A,#N/A,FALSE,"포장1";#N/A,#N/A,FALSE,"포장1"}</definedName>
    <definedName name="wrn.포장1." localSheetId="6" hidden="1">{#N/A,#N/A,FALSE,"포장1";#N/A,#N/A,FALSE,"포장1"}</definedName>
    <definedName name="wrn.포장1." hidden="1">{#N/A,#N/A,FALSE,"포장1";#N/A,#N/A,FALSE,"포장1"}</definedName>
    <definedName name="wrn.포장2." localSheetId="2" hidden="1">{#N/A,#N/A,FALSE,"포장2"}</definedName>
    <definedName name="wrn.포장2." localSheetId="3" hidden="1">{#N/A,#N/A,FALSE,"포장2"}</definedName>
    <definedName name="wrn.포장2." localSheetId="1" hidden="1">{#N/A,#N/A,FALSE,"포장2"}</definedName>
    <definedName name="wrn.포장2." localSheetId="4" hidden="1">{#N/A,#N/A,FALSE,"포장2"}</definedName>
    <definedName name="wrn.포장2." localSheetId="0" hidden="1">{#N/A,#N/A,FALSE,"포장2"}</definedName>
    <definedName name="wrn.포장2." localSheetId="5" hidden="1">{#N/A,#N/A,FALSE,"포장2"}</definedName>
    <definedName name="wrn.포장2." localSheetId="6" hidden="1">{#N/A,#N/A,FALSE,"포장2"}</definedName>
    <definedName name="wrn.포장2." hidden="1">{#N/A,#N/A,FALSE,"포장2"}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localSheetId="0" hidden="1">{#N/A,#N/A,FALSE,"현장 NCR 분석";#N/A,#N/A,FALSE,"현장품질감사";#N/A,#N/A,FALSE,"현장품질감사"}</definedName>
    <definedName name="wrn.현장._.NCR._.분석." localSheetId="5" hidden="1">{#N/A,#N/A,FALSE,"현장 NCR 분석";#N/A,#N/A,FALSE,"현장품질감사";#N/A,#N/A,FALSE,"현장품질감사"}</definedName>
    <definedName name="wrn.현장._.NCR._.분석." localSheetId="6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 localSheetId="3" hidden="1">{#N/A,#N/A,TRUE,"SUMMARY";#N/A,#N/A,TRUE,"ISBL";#N/A,#N/A,TRUE,"OSBL";#N/A,#N/A,TRUE,"OFFSITE";#N/A,#N/A,TRUE,"STEAM"}</definedName>
    <definedName name="ww" hidden="1">{#N/A,#N/A,TRUE,"SUMMARY";#N/A,#N/A,TRUE,"ISBL";#N/A,#N/A,TRUE,"OSBL";#N/A,#N/A,TRUE,"OFFSITE";#N/A,#N/A,TRUE,"STEAM"}</definedName>
    <definedName name="xmrrlwhrjs" localSheetId="2" hidden="1">{#N/A,#N/A,FALSE,"현장 NCR 분석";#N/A,#N/A,FALSE,"현장품질감사";#N/A,#N/A,FALSE,"현장품질감사"}</definedName>
    <definedName name="xmrrlwhrjs" localSheetId="3" hidden="1">{#N/A,#N/A,FALSE,"현장 NCR 분석";#N/A,#N/A,FALSE,"현장품질감사";#N/A,#N/A,FALSE,"현장품질감사"}</definedName>
    <definedName name="xmrrlwhrjs" localSheetId="1" hidden="1">{#N/A,#N/A,FALSE,"현장 NCR 분석";#N/A,#N/A,FALSE,"현장품질감사";#N/A,#N/A,FALSE,"현장품질감사"}</definedName>
    <definedName name="xmrrlwhrjs" localSheetId="4" hidden="1">{#N/A,#N/A,FALSE,"현장 NCR 분석";#N/A,#N/A,FALSE,"현장품질감사";#N/A,#N/A,FALSE,"현장품질감사"}</definedName>
    <definedName name="xmrrlwhrjs" localSheetId="0" hidden="1">{#N/A,#N/A,FALSE,"현장 NCR 분석";#N/A,#N/A,FALSE,"현장품질감사";#N/A,#N/A,FALSE,"현장품질감사"}</definedName>
    <definedName name="xmrrlwhrjs" localSheetId="5" hidden="1">{#N/A,#N/A,FALSE,"현장 NCR 분석";#N/A,#N/A,FALSE,"현장품질감사";#N/A,#N/A,FALSE,"현장품질감사"}</definedName>
    <definedName name="xmrrlwhrjs" localSheetId="6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ㄱ" localSheetId="2" hidden="1">{#N/A,#N/A,FALSE,"현장 NCR 분석";#N/A,#N/A,FALSE,"현장품질감사";#N/A,#N/A,FALSE,"현장품질감사"}</definedName>
    <definedName name="ㄱ" localSheetId="3" hidden="1">{#N/A,#N/A,FALSE,"현장 NCR 분석";#N/A,#N/A,FALSE,"현장품질감사";#N/A,#N/A,FALSE,"현장품질감사"}</definedName>
    <definedName name="ㄱ" localSheetId="1" hidden="1">{#N/A,#N/A,FALSE,"현장 NCR 분석";#N/A,#N/A,FALSE,"현장품질감사";#N/A,#N/A,FALSE,"현장품질감사"}</definedName>
    <definedName name="ㄱ" localSheetId="4" hidden="1">{#N/A,#N/A,FALSE,"현장 NCR 분석";#N/A,#N/A,FALSE,"현장품질감사";#N/A,#N/A,FALSE,"현장품질감사"}</definedName>
    <definedName name="ㄱ" localSheetId="0" hidden="1">{#N/A,#N/A,FALSE,"현장 NCR 분석";#N/A,#N/A,FALSE,"현장품질감사";#N/A,#N/A,FALSE,"현장품질감사"}</definedName>
    <definedName name="ㄱ" localSheetId="5" hidden="1">{#N/A,#N/A,FALSE,"현장 NCR 분석";#N/A,#N/A,FALSE,"현장품질감사";#N/A,#N/A,FALSE,"현장품질감사"}</definedName>
    <definedName name="ㄱ" localSheetId="6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리" localSheetId="2" hidden="1">{#N/A,#N/A,FALSE,"구조1"}</definedName>
    <definedName name="ㄱ리" localSheetId="3" hidden="1">{#N/A,#N/A,FALSE,"구조1"}</definedName>
    <definedName name="ㄱ리" localSheetId="1" hidden="1">{#N/A,#N/A,FALSE,"구조1"}</definedName>
    <definedName name="ㄱ리" localSheetId="4" hidden="1">{#N/A,#N/A,FALSE,"구조1"}</definedName>
    <definedName name="ㄱ리" localSheetId="0" hidden="1">{#N/A,#N/A,FALSE,"구조1"}</definedName>
    <definedName name="ㄱ리" localSheetId="5" hidden="1">{#N/A,#N/A,FALSE,"구조1"}</definedName>
    <definedName name="ㄱ리" localSheetId="6" hidden="1">{#N/A,#N/A,FALSE,"구조1"}</definedName>
    <definedName name="ㄱ리" hidden="1">{#N/A,#N/A,FALSE,"구조1"}</definedName>
    <definedName name="ㄱ홍" localSheetId="2" hidden="1">{#N/A,#N/A,FALSE,"현장 NCR 분석";#N/A,#N/A,FALSE,"현장품질감사";#N/A,#N/A,FALSE,"현장품질감사"}</definedName>
    <definedName name="ㄱ홍" localSheetId="3" hidden="1">{#N/A,#N/A,FALSE,"현장 NCR 분석";#N/A,#N/A,FALSE,"현장품질감사";#N/A,#N/A,FALSE,"현장품질감사"}</definedName>
    <definedName name="ㄱ홍" localSheetId="1" hidden="1">{#N/A,#N/A,FALSE,"현장 NCR 분석";#N/A,#N/A,FALSE,"현장품질감사";#N/A,#N/A,FALSE,"현장품질감사"}</definedName>
    <definedName name="ㄱ홍" localSheetId="4" hidden="1">{#N/A,#N/A,FALSE,"현장 NCR 분석";#N/A,#N/A,FALSE,"현장품질감사";#N/A,#N/A,FALSE,"현장품질감사"}</definedName>
    <definedName name="ㄱ홍" localSheetId="0" hidden="1">{#N/A,#N/A,FALSE,"현장 NCR 분석";#N/A,#N/A,FALSE,"현장품질감사";#N/A,#N/A,FALSE,"현장품질감사"}</definedName>
    <definedName name="ㄱ홍" localSheetId="5" hidden="1">{#N/A,#N/A,FALSE,"현장 NCR 분석";#N/A,#N/A,FALSE,"현장품질감사";#N/A,#N/A,FALSE,"현장품질감사"}</definedName>
    <definedName name="ㄱ홍" localSheetId="6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개요" hidden="1">[4]기안!#REF!</definedName>
    <definedName name="개요1" hidden="1">[4]기안!#REF!</definedName>
    <definedName name="개요2" hidden="1">[4]개산공사비!#REF!</definedName>
    <definedName name="검ㄴ" localSheetId="2" hidden="1">{#N/A,#N/A,FALSE,"이정표"}</definedName>
    <definedName name="검ㄴ" localSheetId="3" hidden="1">{#N/A,#N/A,FALSE,"이정표"}</definedName>
    <definedName name="검ㄴ" localSheetId="1" hidden="1">{#N/A,#N/A,FALSE,"이정표"}</definedName>
    <definedName name="검ㄴ" localSheetId="4" hidden="1">{#N/A,#N/A,FALSE,"이정표"}</definedName>
    <definedName name="검ㄴ" localSheetId="0" hidden="1">{#N/A,#N/A,FALSE,"이정표"}</definedName>
    <definedName name="검ㄴ" localSheetId="5" hidden="1">{#N/A,#N/A,FALSE,"이정표"}</definedName>
    <definedName name="검ㄴ" localSheetId="6" hidden="1">{#N/A,#N/A,FALSE,"이정표"}</definedName>
    <definedName name="검ㄴ" hidden="1">{#N/A,#N/A,FALSE,"이정표"}</definedName>
    <definedName name="고" localSheetId="2" hidden="1">{#N/A,#N/A,FALSE,"현장 NCR 분석";#N/A,#N/A,FALSE,"현장품질감사";#N/A,#N/A,FALSE,"현장품질감사"}</definedName>
    <definedName name="고" localSheetId="3" hidden="1">{#N/A,#N/A,FALSE,"현장 NCR 분석";#N/A,#N/A,FALSE,"현장품질감사";#N/A,#N/A,FALSE,"현장품질감사"}</definedName>
    <definedName name="고" localSheetId="1" hidden="1">{#N/A,#N/A,FALSE,"현장 NCR 분석";#N/A,#N/A,FALSE,"현장품질감사";#N/A,#N/A,FALSE,"현장품질감사"}</definedName>
    <definedName name="고" localSheetId="4" hidden="1">{#N/A,#N/A,FALSE,"현장 NCR 분석";#N/A,#N/A,FALSE,"현장품질감사";#N/A,#N/A,FALSE,"현장품질감사"}</definedName>
    <definedName name="고" localSheetId="0" hidden="1">{#N/A,#N/A,FALSE,"현장 NCR 분석";#N/A,#N/A,FALSE,"현장품질감사";#N/A,#N/A,FALSE,"현장품질감사"}</definedName>
    <definedName name="고" localSheetId="5" hidden="1">{#N/A,#N/A,FALSE,"현장 NCR 분석";#N/A,#N/A,FALSE,"현장품질감사";#N/A,#N/A,FALSE,"현장품질감사"}</definedName>
    <definedName name="고" localSheetId="6" hidden="1">{#N/A,#N/A,FALSE,"현장 NCR 분석";#N/A,#N/A,FALSE,"현장품질감사";#N/A,#N/A,FALSE,"현장품질감사"}</definedName>
    <definedName name="고" hidden="1">{#N/A,#N/A,FALSE,"현장 NCR 분석";#N/A,#N/A,FALSE,"현장품질감사";#N/A,#N/A,FALSE,"현장품질감사"}</definedName>
    <definedName name="곤ㅇ" localSheetId="2" hidden="1">{#N/A,#N/A,FALSE,"전력간선"}</definedName>
    <definedName name="곤ㅇ" localSheetId="3" hidden="1">{#N/A,#N/A,FALSE,"전력간선"}</definedName>
    <definedName name="곤ㅇ" localSheetId="1" hidden="1">{#N/A,#N/A,FALSE,"전력간선"}</definedName>
    <definedName name="곤ㅇ" localSheetId="4" hidden="1">{#N/A,#N/A,FALSE,"전력간선"}</definedName>
    <definedName name="곤ㅇ" localSheetId="0" hidden="1">{#N/A,#N/A,FALSE,"전력간선"}</definedName>
    <definedName name="곤ㅇ" localSheetId="5" hidden="1">{#N/A,#N/A,FALSE,"전력간선"}</definedName>
    <definedName name="곤ㅇ" localSheetId="6" hidden="1">{#N/A,#N/A,FALSE,"전력간선"}</definedName>
    <definedName name="곤ㅇ" hidden="1">{#N/A,#N/A,FALSE,"전력간선"}</definedName>
    <definedName name="곰" localSheetId="2" hidden="1">{#N/A,#N/A,FALSE,"구조1"}</definedName>
    <definedName name="곰" localSheetId="3" hidden="1">{#N/A,#N/A,FALSE,"구조1"}</definedName>
    <definedName name="곰" localSheetId="1" hidden="1">{#N/A,#N/A,FALSE,"구조1"}</definedName>
    <definedName name="곰" localSheetId="4" hidden="1">{#N/A,#N/A,FALSE,"구조1"}</definedName>
    <definedName name="곰" localSheetId="0" hidden="1">{#N/A,#N/A,FALSE,"구조1"}</definedName>
    <definedName name="곰" localSheetId="5" hidden="1">{#N/A,#N/A,FALSE,"구조1"}</definedName>
    <definedName name="곰" localSheetId="6" hidden="1">{#N/A,#N/A,FALSE,"구조1"}</definedName>
    <definedName name="곰" hidden="1">{#N/A,#N/A,FALSE,"구조1"}</definedName>
    <definedName name="구멍뚫기" localSheetId="2" hidden="1">{#N/A,#N/A,FALSE,"현장 NCR 분석";#N/A,#N/A,FALSE,"현장품질감사";#N/A,#N/A,FALSE,"현장품질감사"}</definedName>
    <definedName name="구멍뚫기" localSheetId="3" hidden="1">{#N/A,#N/A,FALSE,"현장 NCR 분석";#N/A,#N/A,FALSE,"현장품질감사";#N/A,#N/A,FALSE,"현장품질감사"}</definedName>
    <definedName name="구멍뚫기" localSheetId="1" hidden="1">{#N/A,#N/A,FALSE,"현장 NCR 분석";#N/A,#N/A,FALSE,"현장품질감사";#N/A,#N/A,FALSE,"현장품질감사"}</definedName>
    <definedName name="구멍뚫기" localSheetId="4" hidden="1">{#N/A,#N/A,FALSE,"현장 NCR 분석";#N/A,#N/A,FALSE,"현장품질감사";#N/A,#N/A,FALSE,"현장품질감사"}</definedName>
    <definedName name="구멍뚫기" localSheetId="0" hidden="1">{#N/A,#N/A,FALSE,"현장 NCR 분석";#N/A,#N/A,FALSE,"현장품질감사";#N/A,#N/A,FALSE,"현장품질감사"}</definedName>
    <definedName name="구멍뚫기" localSheetId="5" hidden="1">{#N/A,#N/A,FALSE,"현장 NCR 분석";#N/A,#N/A,FALSE,"현장품질감사";#N/A,#N/A,FALSE,"현장품질감사"}</definedName>
    <definedName name="구멍뚫기" localSheetId="6" hidden="1">{#N/A,#N/A,FALSE,"현장 NCR 분석";#N/A,#N/A,FALSE,"현장품질감사";#N/A,#N/A,FALSE,"현장품질감사"}</definedName>
    <definedName name="구멍뚫기" hidden="1">{#N/A,#N/A,FALSE,"현장 NCR 분석";#N/A,#N/A,FALSE,"현장품질감사";#N/A,#N/A,FALSE,"현장품질감사"}</definedName>
    <definedName name="균" localSheetId="2" hidden="1">{#N/A,#N/A,FALSE,"현장 NCR 분석";#N/A,#N/A,FALSE,"현장품질감사";#N/A,#N/A,FALSE,"현장품질감사"}</definedName>
    <definedName name="균" localSheetId="3" hidden="1">{#N/A,#N/A,FALSE,"현장 NCR 분석";#N/A,#N/A,FALSE,"현장품질감사";#N/A,#N/A,FALSE,"현장품질감사"}</definedName>
    <definedName name="균" localSheetId="1" hidden="1">{#N/A,#N/A,FALSE,"현장 NCR 분석";#N/A,#N/A,FALSE,"현장품질감사";#N/A,#N/A,FALSE,"현장품질감사"}</definedName>
    <definedName name="균" localSheetId="4" hidden="1">{#N/A,#N/A,FALSE,"현장 NCR 분석";#N/A,#N/A,FALSE,"현장품질감사";#N/A,#N/A,FALSE,"현장품질감사"}</definedName>
    <definedName name="균" localSheetId="0" hidden="1">{#N/A,#N/A,FALSE,"현장 NCR 분석";#N/A,#N/A,FALSE,"현장품질감사";#N/A,#N/A,FALSE,"현장품질감사"}</definedName>
    <definedName name="균" localSheetId="5" hidden="1">{#N/A,#N/A,FALSE,"현장 NCR 분석";#N/A,#N/A,FALSE,"현장품질감사";#N/A,#N/A,FALSE,"현장품질감사"}</definedName>
    <definedName name="균" localSheetId="6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2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localSheetId="1" hidden="1">{#N/A,#N/A,FALSE,"현장 NCR 분석";#N/A,#N/A,FALSE,"현장품질감사";#N/A,#N/A,FALSE,"현장품질감사"}</definedName>
    <definedName name="귱" localSheetId="4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localSheetId="5" hidden="1">{#N/A,#N/A,FALSE,"현장 NCR 분석";#N/A,#N/A,FALSE,"현장품질감사";#N/A,#N/A,FALSE,"현장품질감사"}</definedName>
    <definedName name="귱" localSheetId="6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ㄴㄴㄴㄴ" localSheetId="2" hidden="1">{#N/A,#N/A,FALSE,"현장 NCR 분석";#N/A,#N/A,FALSE,"현장품질감사";#N/A,#N/A,FALSE,"현장품질감사"}</definedName>
    <definedName name="ㄴㄴㄴㄴ" localSheetId="3" hidden="1">{#N/A,#N/A,FALSE,"현장 NCR 분석";#N/A,#N/A,FALSE,"현장품질감사";#N/A,#N/A,FALSE,"현장품질감사"}</definedName>
    <definedName name="ㄴㄴㄴㄴ" localSheetId="1" hidden="1">{#N/A,#N/A,FALSE,"현장 NCR 분석";#N/A,#N/A,FALSE,"현장품질감사";#N/A,#N/A,FALSE,"현장품질감사"}</definedName>
    <definedName name="ㄴㄴㄴㄴ" localSheetId="4" hidden="1">{#N/A,#N/A,FALSE,"현장 NCR 분석";#N/A,#N/A,FALSE,"현장품질감사";#N/A,#N/A,FALSE,"현장품질감사"}</definedName>
    <definedName name="ㄴㄴㄴㄴ" localSheetId="0" hidden="1">{#N/A,#N/A,FALSE,"현장 NCR 분석";#N/A,#N/A,FALSE,"현장품질감사";#N/A,#N/A,FALSE,"현장품질감사"}</definedName>
    <definedName name="ㄴㄴㄴㄴ" localSheetId="5" hidden="1">{#N/A,#N/A,FALSE,"현장 NCR 분석";#N/A,#N/A,FALSE,"현장품질감사";#N/A,#N/A,FALSE,"현장품질감사"}</definedName>
    <definedName name="ㄴㄴㄴㄴ" localSheetId="6" hidden="1">{#N/A,#N/A,FALSE,"현장 NCR 분석";#N/A,#N/A,FALSE,"현장품질감사";#N/A,#N/A,FALSE,"현장품질감사"}</definedName>
    <definedName name="ㄴㄴㄴㄴ" hidden="1">{#N/A,#N/A,FALSE,"현장 NCR 분석";#N/A,#N/A,FALSE,"현장품질감사";#N/A,#N/A,FALSE,"현장품질감사"}</definedName>
    <definedName name="ㄴㄺㄷ" localSheetId="2" hidden="1">{#N/A,#N/A,FALSE,"현장 NCR 분석";#N/A,#N/A,FALSE,"현장품질감사";#N/A,#N/A,FALSE,"현장품질감사"}</definedName>
    <definedName name="ㄴㄺㄷ" localSheetId="3" hidden="1">{#N/A,#N/A,FALSE,"현장 NCR 분석";#N/A,#N/A,FALSE,"현장품질감사";#N/A,#N/A,FALSE,"현장품질감사"}</definedName>
    <definedName name="ㄴㄺㄷ" localSheetId="1" hidden="1">{#N/A,#N/A,FALSE,"현장 NCR 분석";#N/A,#N/A,FALSE,"현장품질감사";#N/A,#N/A,FALSE,"현장품질감사"}</definedName>
    <definedName name="ㄴㄺㄷ" localSheetId="4" hidden="1">{#N/A,#N/A,FALSE,"현장 NCR 분석";#N/A,#N/A,FALSE,"현장품질감사";#N/A,#N/A,FALSE,"현장품질감사"}</definedName>
    <definedName name="ㄴㄺㄷ" localSheetId="0" hidden="1">{#N/A,#N/A,FALSE,"현장 NCR 분석";#N/A,#N/A,FALSE,"현장품질감사";#N/A,#N/A,FALSE,"현장품질감사"}</definedName>
    <definedName name="ㄴㄺㄷ" localSheetId="5" hidden="1">{#N/A,#N/A,FALSE,"현장 NCR 분석";#N/A,#N/A,FALSE,"현장품질감사";#N/A,#N/A,FALSE,"현장품질감사"}</definedName>
    <definedName name="ㄴㄺㄷ" localSheetId="6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ㅇㄹ" localSheetId="2" hidden="1">{#N/A,#N/A,FALSE,"전력간선"}</definedName>
    <definedName name="ㄴㅇㄹ" localSheetId="3" hidden="1">{#N/A,#N/A,FALSE,"전력간선"}</definedName>
    <definedName name="ㄴㅇㄹ" localSheetId="1" hidden="1">{#N/A,#N/A,FALSE,"전력간선"}</definedName>
    <definedName name="ㄴㅇㄹ" localSheetId="4" hidden="1">{#N/A,#N/A,FALSE,"전력간선"}</definedName>
    <definedName name="ㄴㅇㄹ" localSheetId="0" hidden="1">{#N/A,#N/A,FALSE,"전력간선"}</definedName>
    <definedName name="ㄴㅇㄹ" localSheetId="5" hidden="1">{#N/A,#N/A,FALSE,"전력간선"}</definedName>
    <definedName name="ㄴㅇㄹ" localSheetId="6" hidden="1">{#N/A,#N/A,FALSE,"전력간선"}</definedName>
    <definedName name="ㄴㅇㄹ" hidden="1">{#N/A,#N/A,FALSE,"전력간선"}</definedName>
    <definedName name="ㄴㅇㅎ" localSheetId="2" hidden="1">{#N/A,#N/A,FALSE,"현장 NCR 분석";#N/A,#N/A,FALSE,"현장품질감사";#N/A,#N/A,FALSE,"현장품질감사"}</definedName>
    <definedName name="ㄴㅇㅎ" localSheetId="3" hidden="1">{#N/A,#N/A,FALSE,"현장 NCR 분석";#N/A,#N/A,FALSE,"현장품질감사";#N/A,#N/A,FALSE,"현장품질감사"}</definedName>
    <definedName name="ㄴㅇㅎ" localSheetId="1" hidden="1">{#N/A,#N/A,FALSE,"현장 NCR 분석";#N/A,#N/A,FALSE,"현장품질감사";#N/A,#N/A,FALSE,"현장품질감사"}</definedName>
    <definedName name="ㄴㅇㅎ" localSheetId="4" hidden="1">{#N/A,#N/A,FALSE,"현장 NCR 분석";#N/A,#N/A,FALSE,"현장품질감사";#N/A,#N/A,FALSE,"현장품질감사"}</definedName>
    <definedName name="ㄴㅇㅎ" localSheetId="0" hidden="1">{#N/A,#N/A,FALSE,"현장 NCR 분석";#N/A,#N/A,FALSE,"현장품질감사";#N/A,#N/A,FALSE,"현장품질감사"}</definedName>
    <definedName name="ㄴㅇㅎ" localSheetId="5" hidden="1">{#N/A,#N/A,FALSE,"현장 NCR 분석";#N/A,#N/A,FALSE,"현장품질감사";#N/A,#N/A,FALSE,"현장품질감사"}</definedName>
    <definedName name="ㄴㅇㅎ" localSheetId="6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내역서" localSheetId="2" hidden="1">{#N/A,#N/A,FALSE,"현장 NCR 분석";#N/A,#N/A,FALSE,"현장품질감사";#N/A,#N/A,FALSE,"현장품질감사"}</definedName>
    <definedName name="내역서" localSheetId="3" hidden="1">{#N/A,#N/A,FALSE,"현장 NCR 분석";#N/A,#N/A,FALSE,"현장품질감사";#N/A,#N/A,FALSE,"현장품질감사"}</definedName>
    <definedName name="내역서" localSheetId="1" hidden="1">{#N/A,#N/A,FALSE,"현장 NCR 분석";#N/A,#N/A,FALSE,"현장품질감사";#N/A,#N/A,FALSE,"현장품질감사"}</definedName>
    <definedName name="내역서" localSheetId="4" hidden="1">{#N/A,#N/A,FALSE,"현장 NCR 분석";#N/A,#N/A,FALSE,"현장품질감사";#N/A,#N/A,FALSE,"현장품질감사"}</definedName>
    <definedName name="내역서" localSheetId="0" hidden="1">{#N/A,#N/A,FALSE,"현장 NCR 분석";#N/A,#N/A,FALSE,"현장품질감사";#N/A,#N/A,FALSE,"현장품질감사"}</definedName>
    <definedName name="내역서" localSheetId="5" hidden="1">{#N/A,#N/A,FALSE,"현장 NCR 분석";#N/A,#N/A,FALSE,"현장품질감사";#N/A,#N/A,FALSE,"현장품질감사"}</definedName>
    <definedName name="내역서" localSheetId="6" hidden="1">{#N/A,#N/A,FALSE,"현장 NCR 분석";#N/A,#N/A,FALSE,"현장품질감사";#N/A,#N/A,FALSE,"현장품질감사"}</definedName>
    <definedName name="내역서" hidden="1">{#N/A,#N/A,FALSE,"현장 NCR 분석";#N/A,#N/A,FALSE,"현장품질감사";#N/A,#N/A,FALSE,"현장품질감사"}</definedName>
    <definedName name="ㄷㄱ" localSheetId="2" hidden="1">{#N/A,#N/A,FALSE,"포장2"}</definedName>
    <definedName name="ㄷㄱ" localSheetId="3" hidden="1">{#N/A,#N/A,FALSE,"포장2"}</definedName>
    <definedName name="ㄷㄱ" localSheetId="1" hidden="1">{#N/A,#N/A,FALSE,"포장2"}</definedName>
    <definedName name="ㄷㄱ" localSheetId="4" hidden="1">{#N/A,#N/A,FALSE,"포장2"}</definedName>
    <definedName name="ㄷㄱ" localSheetId="0" hidden="1">{#N/A,#N/A,FALSE,"포장2"}</definedName>
    <definedName name="ㄷㄱ" localSheetId="5" hidden="1">{#N/A,#N/A,FALSE,"포장2"}</definedName>
    <definedName name="ㄷㄱ" localSheetId="6" hidden="1">{#N/A,#N/A,FALSE,"포장2"}</definedName>
    <definedName name="ㄷㄱ" hidden="1">{#N/A,#N/A,FALSE,"포장2"}</definedName>
    <definedName name="덕트" localSheetId="2" hidden="1">{#N/A,#N/A,FALSE,"현장 NCR 분석";#N/A,#N/A,FALSE,"현장품질감사";#N/A,#N/A,FALSE,"현장품질감사"}</definedName>
    <definedName name="덕트" localSheetId="3" hidden="1">{#N/A,#N/A,FALSE,"현장 NCR 분석";#N/A,#N/A,FALSE,"현장품질감사";#N/A,#N/A,FALSE,"현장품질감사"}</definedName>
    <definedName name="덕트" localSheetId="1" hidden="1">{#N/A,#N/A,FALSE,"현장 NCR 분석";#N/A,#N/A,FALSE,"현장품질감사";#N/A,#N/A,FALSE,"현장품질감사"}</definedName>
    <definedName name="덕트" localSheetId="4" hidden="1">{#N/A,#N/A,FALSE,"현장 NCR 분석";#N/A,#N/A,FALSE,"현장품질감사";#N/A,#N/A,FALSE,"현장품질감사"}</definedName>
    <definedName name="덕트" localSheetId="0" hidden="1">{#N/A,#N/A,FALSE,"현장 NCR 분석";#N/A,#N/A,FALSE,"현장품질감사";#N/A,#N/A,FALSE,"현장품질감사"}</definedName>
    <definedName name="덕트" localSheetId="5" hidden="1">{#N/A,#N/A,FALSE,"현장 NCR 분석";#N/A,#N/A,FALSE,"현장품질감사";#N/A,#N/A,FALSE,"현장품질감사"}</definedName>
    <definedName name="덕트" localSheetId="6" hidden="1">{#N/A,#N/A,FALSE,"현장 NCR 분석";#N/A,#N/A,FALSE,"현장품질감사";#N/A,#N/A,FALSE,"현장품질감사"}</definedName>
    <definedName name="덕트" hidden="1">{#N/A,#N/A,FALSE,"현장 NCR 분석";#N/A,#N/A,FALSE,"현장품질감사";#N/A,#N/A,FALSE,"현장품질감사"}</definedName>
    <definedName name="ㅁㅁ" localSheetId="2" hidden="1">{#N/A,#N/A,FALSE,"현장 NCR 분석";#N/A,#N/A,FALSE,"현장품질감사";#N/A,#N/A,FALSE,"현장품질감사"}</definedName>
    <definedName name="ㅁㅁ" localSheetId="3" hidden="1">{#N/A,#N/A,FALSE,"현장 NCR 분석";#N/A,#N/A,FALSE,"현장품질감사";#N/A,#N/A,FALSE,"현장품질감사"}</definedName>
    <definedName name="ㅁㅁ" localSheetId="1" hidden="1">{#N/A,#N/A,FALSE,"현장 NCR 분석";#N/A,#N/A,FALSE,"현장품질감사";#N/A,#N/A,FALSE,"현장품질감사"}</definedName>
    <definedName name="ㅁㅁ" localSheetId="4" hidden="1">{#N/A,#N/A,FALSE,"현장 NCR 분석";#N/A,#N/A,FALSE,"현장품질감사";#N/A,#N/A,FALSE,"현장품질감사"}</definedName>
    <definedName name="ㅁㅁ" localSheetId="0" hidden="1">{#N/A,#N/A,FALSE,"현장 NCR 분석";#N/A,#N/A,FALSE,"현장품질감사";#N/A,#N/A,FALSE,"현장품질감사"}</definedName>
    <definedName name="ㅁㅁ" localSheetId="5" hidden="1">{#N/A,#N/A,FALSE,"현장 NCR 분석";#N/A,#N/A,FALSE,"현장품질감사";#N/A,#N/A,FALSE,"현장품질감사"}</definedName>
    <definedName name="ㅁㅁ" localSheetId="6" hidden="1">{#N/A,#N/A,FALSE,"현장 NCR 분석";#N/A,#N/A,FALSE,"현장품질감사";#N/A,#N/A,FALSE,"현장품질감사"}</definedName>
    <definedName name="ㅁㅁ" hidden="1">{#N/A,#N/A,FALSE,"현장 NCR 분석";#N/A,#N/A,FALSE,"현장품질감사";#N/A,#N/A,FALSE,"현장품질감사"}</definedName>
    <definedName name="ㅁㅈㄷ" localSheetId="2" hidden="1">{#N/A,#N/A,FALSE,"배수1"}</definedName>
    <definedName name="ㅁㅈㄷ" localSheetId="3" hidden="1">{#N/A,#N/A,FALSE,"배수1"}</definedName>
    <definedName name="ㅁㅈㄷ" localSheetId="1" hidden="1">{#N/A,#N/A,FALSE,"배수1"}</definedName>
    <definedName name="ㅁㅈㄷ" localSheetId="4" hidden="1">{#N/A,#N/A,FALSE,"배수1"}</definedName>
    <definedName name="ㅁㅈㄷ" localSheetId="0" hidden="1">{#N/A,#N/A,FALSE,"배수1"}</definedName>
    <definedName name="ㅁㅈㄷ" localSheetId="5" hidden="1">{#N/A,#N/A,FALSE,"배수1"}</definedName>
    <definedName name="ㅁㅈㄷ" localSheetId="6" hidden="1">{#N/A,#N/A,FALSE,"배수1"}</definedName>
    <definedName name="ㅁㅈㄷ" hidden="1">{#N/A,#N/A,FALSE,"배수1"}</definedName>
    <definedName name="모" localSheetId="2" hidden="1">{#N/A,#N/A,FALSE,"현장 NCR 분석";#N/A,#N/A,FALSE,"현장품질감사";#N/A,#N/A,FALSE,"현장품질감사"}</definedName>
    <definedName name="모" localSheetId="3" hidden="1">{#N/A,#N/A,FALSE,"현장 NCR 분석";#N/A,#N/A,FALSE,"현장품질감사";#N/A,#N/A,FALSE,"현장품질감사"}</definedName>
    <definedName name="모" localSheetId="1" hidden="1">{#N/A,#N/A,FALSE,"현장 NCR 분석";#N/A,#N/A,FALSE,"현장품질감사";#N/A,#N/A,FALSE,"현장품질감사"}</definedName>
    <definedName name="모" localSheetId="4" hidden="1">{#N/A,#N/A,FALSE,"현장 NCR 분석";#N/A,#N/A,FALSE,"현장품질감사";#N/A,#N/A,FALSE,"현장품질감사"}</definedName>
    <definedName name="모" localSheetId="0" hidden="1">{#N/A,#N/A,FALSE,"현장 NCR 분석";#N/A,#N/A,FALSE,"현장품질감사";#N/A,#N/A,FALSE,"현장품질감사"}</definedName>
    <definedName name="모" localSheetId="5" hidden="1">{#N/A,#N/A,FALSE,"현장 NCR 분석";#N/A,#N/A,FALSE,"현장품질감사";#N/A,#N/A,FALSE,"현장품질감사"}</definedName>
    <definedName name="모" localSheetId="6" hidden="1">{#N/A,#N/A,FALSE,"현장 NCR 분석";#N/A,#N/A,FALSE,"현장품질감사";#N/A,#N/A,FALSE,"현장품질감사"}</definedName>
    <definedName name="모" hidden="1">{#N/A,#N/A,FALSE,"현장 NCR 분석";#N/A,#N/A,FALSE,"현장품질감사";#N/A,#N/A,FALSE,"현장품질감사"}</definedName>
    <definedName name="ㅂ" localSheetId="2" hidden="1">{#N/A,#N/A,FALSE,"현장 NCR 분석";#N/A,#N/A,FALSE,"현장품질감사";#N/A,#N/A,FALSE,"현장품질감사"}</definedName>
    <definedName name="ㅂ" localSheetId="3" hidden="1">{#N/A,#N/A,FALSE,"현장 NCR 분석";#N/A,#N/A,FALSE,"현장품질감사";#N/A,#N/A,FALSE,"현장품질감사"}</definedName>
    <definedName name="ㅂ" localSheetId="1" hidden="1">{#N/A,#N/A,FALSE,"현장 NCR 분석";#N/A,#N/A,FALSE,"현장품질감사";#N/A,#N/A,FALSE,"현장품질감사"}</definedName>
    <definedName name="ㅂ" localSheetId="4" hidden="1">{#N/A,#N/A,FALSE,"현장 NCR 분석";#N/A,#N/A,FALSE,"현장품질감사";#N/A,#N/A,FALSE,"현장품질감사"}</definedName>
    <definedName name="ㅂ" localSheetId="0" hidden="1">{#N/A,#N/A,FALSE,"현장 NCR 분석";#N/A,#N/A,FALSE,"현장품질감사";#N/A,#N/A,FALSE,"현장품질감사"}</definedName>
    <definedName name="ㅂ" localSheetId="5" hidden="1">{#N/A,#N/A,FALSE,"현장 NCR 분석";#N/A,#N/A,FALSE,"현장품질감사";#N/A,#N/A,FALSE,"현장품질감사"}</definedName>
    <definedName name="ㅂ" localSheetId="6" hidden="1">{#N/A,#N/A,FALSE,"현장 NCR 분석";#N/A,#N/A,FALSE,"현장품질감사";#N/A,#N/A,FALSE,"현장품질감사"}</definedName>
    <definedName name="ㅂ" hidden="1">{#N/A,#N/A,FALSE,"현장 NCR 분석";#N/A,#N/A,FALSE,"현장품질감사";#N/A,#N/A,FALSE,"현장품질감사"}</definedName>
    <definedName name="ㅂㅈㄷㄱ" localSheetId="2" hidden="1">{#N/A,#N/A,FALSE,"현장 NCR 분석";#N/A,#N/A,FALSE,"현장품질감사";#N/A,#N/A,FALSE,"현장품질감사"}</definedName>
    <definedName name="ㅂㅈㄷㄱ" localSheetId="3" hidden="1">{#N/A,#N/A,FALSE,"현장 NCR 분석";#N/A,#N/A,FALSE,"현장품질감사";#N/A,#N/A,FALSE,"현장품질감사"}</definedName>
    <definedName name="ㅂㅈㄷㄱ" localSheetId="1" hidden="1">{#N/A,#N/A,FALSE,"현장 NCR 분석";#N/A,#N/A,FALSE,"현장품질감사";#N/A,#N/A,FALSE,"현장품질감사"}</definedName>
    <definedName name="ㅂㅈㄷㄱ" localSheetId="4" hidden="1">{#N/A,#N/A,FALSE,"현장 NCR 분석";#N/A,#N/A,FALSE,"현장품질감사";#N/A,#N/A,FALSE,"현장품질감사"}</definedName>
    <definedName name="ㅂㅈㄷㄱ" localSheetId="0" hidden="1">{#N/A,#N/A,FALSE,"현장 NCR 분석";#N/A,#N/A,FALSE,"현장품질감사";#N/A,#N/A,FALSE,"현장품질감사"}</definedName>
    <definedName name="ㅂㅈㄷㄱ" localSheetId="5" hidden="1">{#N/A,#N/A,FALSE,"현장 NCR 분석";#N/A,#N/A,FALSE,"현장품질감사";#N/A,#N/A,FALSE,"현장품질감사"}</definedName>
    <definedName name="ㅂㅈㄷㄱ" localSheetId="6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변경개요" hidden="1">[4]개산공사비!#REF!</definedName>
    <definedName name="변경개요2" hidden="1">[4]개산공사비!#REF!</definedName>
    <definedName name="변경후개요" hidden="1">[4]개산공사비!#REF!</definedName>
    <definedName name="복ㅇ" localSheetId="2" hidden="1">{#N/A,#N/A,FALSE,"부대2"}</definedName>
    <definedName name="복ㅇ" localSheetId="3" hidden="1">{#N/A,#N/A,FALSE,"부대2"}</definedName>
    <definedName name="복ㅇ" localSheetId="1" hidden="1">{#N/A,#N/A,FALSE,"부대2"}</definedName>
    <definedName name="복ㅇ" localSheetId="4" hidden="1">{#N/A,#N/A,FALSE,"부대2"}</definedName>
    <definedName name="복ㅇ" localSheetId="0" hidden="1">{#N/A,#N/A,FALSE,"부대2"}</definedName>
    <definedName name="복ㅇ" localSheetId="5" hidden="1">{#N/A,#N/A,FALSE,"부대2"}</definedName>
    <definedName name="복ㅇ" localSheetId="6" hidden="1">{#N/A,#N/A,FALSE,"부대2"}</definedName>
    <definedName name="복ㅇ" hidden="1">{#N/A,#N/A,FALSE,"부대2"}</definedName>
    <definedName name="부손익" localSheetId="2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localSheetId="5" hidden="1">{#N/A,#N/A,FALSE,"현장 NCR 분석";#N/A,#N/A,FALSE,"현장품질감사";#N/A,#N/A,FALSE,"현장품질감사"}</definedName>
    <definedName name="부손익" localSheetId="6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쇼" localSheetId="2" hidden="1">{#N/A,#N/A,FALSE,"포장1";#N/A,#N/A,FALSE,"포장1"}</definedName>
    <definedName name="쇼" localSheetId="3" hidden="1">{#N/A,#N/A,FALSE,"포장1";#N/A,#N/A,FALSE,"포장1"}</definedName>
    <definedName name="쇼" localSheetId="1" hidden="1">{#N/A,#N/A,FALSE,"포장1";#N/A,#N/A,FALSE,"포장1"}</definedName>
    <definedName name="쇼" localSheetId="4" hidden="1">{#N/A,#N/A,FALSE,"포장1";#N/A,#N/A,FALSE,"포장1"}</definedName>
    <definedName name="쇼" localSheetId="0" hidden="1">{#N/A,#N/A,FALSE,"포장1";#N/A,#N/A,FALSE,"포장1"}</definedName>
    <definedName name="쇼" localSheetId="5" hidden="1">{#N/A,#N/A,FALSE,"포장1";#N/A,#N/A,FALSE,"포장1"}</definedName>
    <definedName name="쇼" localSheetId="6" hidden="1">{#N/A,#N/A,FALSE,"포장1";#N/A,#N/A,FALSE,"포장1"}</definedName>
    <definedName name="쇼" hidden="1">{#N/A,#N/A,FALSE,"포장1";#N/A,#N/A,FALSE,"포장1"}</definedName>
    <definedName name="쇼ㅓㄹ" localSheetId="2" hidden="1">{#N/A,#N/A,FALSE,"현장 NCR 분석";#N/A,#N/A,FALSE,"현장품질감사";#N/A,#N/A,FALSE,"현장품질감사"}</definedName>
    <definedName name="쇼ㅓㄹ" localSheetId="3" hidden="1">{#N/A,#N/A,FALSE,"현장 NCR 분석";#N/A,#N/A,FALSE,"현장품질감사";#N/A,#N/A,FALSE,"현장품질감사"}</definedName>
    <definedName name="쇼ㅓㄹ" localSheetId="1" hidden="1">{#N/A,#N/A,FALSE,"현장 NCR 분석";#N/A,#N/A,FALSE,"현장품질감사";#N/A,#N/A,FALSE,"현장품질감사"}</definedName>
    <definedName name="쇼ㅓㄹ" localSheetId="4" hidden="1">{#N/A,#N/A,FALSE,"현장 NCR 분석";#N/A,#N/A,FALSE,"현장품질감사";#N/A,#N/A,FALSE,"현장품질감사"}</definedName>
    <definedName name="쇼ㅓㄹ" localSheetId="0" hidden="1">{#N/A,#N/A,FALSE,"현장 NCR 분석";#N/A,#N/A,FALSE,"현장품질감사";#N/A,#N/A,FALSE,"현장품질감사"}</definedName>
    <definedName name="쇼ㅓㄹ" localSheetId="5" hidden="1">{#N/A,#N/A,FALSE,"현장 NCR 분석";#N/A,#N/A,FALSE,"현장품질감사";#N/A,#N/A,FALSE,"현장품질감사"}</definedName>
    <definedName name="쇼ㅓㄹ" localSheetId="6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ㅠㅁ" localSheetId="2" hidden="1">{#N/A,#N/A,FALSE,"현장 NCR 분석";#N/A,#N/A,FALSE,"현장품질감사";#N/A,#N/A,FALSE,"현장품질감사"}</definedName>
    <definedName name="수ㅠㅁ" localSheetId="3" hidden="1">{#N/A,#N/A,FALSE,"현장 NCR 분석";#N/A,#N/A,FALSE,"현장품질감사";#N/A,#N/A,FALSE,"현장품질감사"}</definedName>
    <definedName name="수ㅠㅁ" localSheetId="1" hidden="1">{#N/A,#N/A,FALSE,"현장 NCR 분석";#N/A,#N/A,FALSE,"현장품질감사";#N/A,#N/A,FALSE,"현장품질감사"}</definedName>
    <definedName name="수ㅠㅁ" localSheetId="4" hidden="1">{#N/A,#N/A,FALSE,"현장 NCR 분석";#N/A,#N/A,FALSE,"현장품질감사";#N/A,#N/A,FALSE,"현장품질감사"}</definedName>
    <definedName name="수ㅠㅁ" localSheetId="0" hidden="1">{#N/A,#N/A,FALSE,"현장 NCR 분석";#N/A,#N/A,FALSE,"현장품질감사";#N/A,#N/A,FALSE,"현장품질감사"}</definedName>
    <definedName name="수ㅠㅁ" localSheetId="5" hidden="1">{#N/A,#N/A,FALSE,"현장 NCR 분석";#N/A,#N/A,FALSE,"현장품질감사";#N/A,#N/A,FALSE,"현장품질감사"}</definedName>
    <definedName name="수ㅠㅁ" localSheetId="6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숱" localSheetId="2" hidden="1">{#N/A,#N/A,FALSE,"현장 NCR 분석";#N/A,#N/A,FALSE,"현장품질감사";#N/A,#N/A,FALSE,"현장품질감사"}</definedName>
    <definedName name="숱" localSheetId="3" hidden="1">{#N/A,#N/A,FALSE,"현장 NCR 분석";#N/A,#N/A,FALSE,"현장품질감사";#N/A,#N/A,FALSE,"현장품질감사"}</definedName>
    <definedName name="숱" localSheetId="1" hidden="1">{#N/A,#N/A,FALSE,"현장 NCR 분석";#N/A,#N/A,FALSE,"현장품질감사";#N/A,#N/A,FALSE,"현장품질감사"}</definedName>
    <definedName name="숱" localSheetId="4" hidden="1">{#N/A,#N/A,FALSE,"현장 NCR 분석";#N/A,#N/A,FALSE,"현장품질감사";#N/A,#N/A,FALSE,"현장품질감사"}</definedName>
    <definedName name="숱" localSheetId="0" hidden="1">{#N/A,#N/A,FALSE,"현장 NCR 분석";#N/A,#N/A,FALSE,"현장품질감사";#N/A,#N/A,FALSE,"현장품질감사"}</definedName>
    <definedName name="숱" localSheetId="5" hidden="1">{#N/A,#N/A,FALSE,"현장 NCR 분석";#N/A,#N/A,FALSE,"현장품질감사";#N/A,#N/A,FALSE,"현장품질감사"}</definedName>
    <definedName name="숱" localSheetId="6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ㅇㄹ" localSheetId="2" hidden="1">{#N/A,#N/A,FALSE,"현장 NCR 분석";#N/A,#N/A,FALSE,"현장품질감사";#N/A,#N/A,FALSE,"현장품질감사"}</definedName>
    <definedName name="ㅇㄹ" localSheetId="3" hidden="1">{#N/A,#N/A,FALSE,"현장 NCR 분석";#N/A,#N/A,FALSE,"현장품질감사";#N/A,#N/A,FALSE,"현장품질감사"}</definedName>
    <definedName name="ㅇㄹ" localSheetId="1" hidden="1">{#N/A,#N/A,FALSE,"현장 NCR 분석";#N/A,#N/A,FALSE,"현장품질감사";#N/A,#N/A,FALSE,"현장품질감사"}</definedName>
    <definedName name="ㅇㄹ" localSheetId="4" hidden="1">{#N/A,#N/A,FALSE,"현장 NCR 분석";#N/A,#N/A,FALSE,"현장품질감사";#N/A,#N/A,FALSE,"현장품질감사"}</definedName>
    <definedName name="ㅇㄹ" localSheetId="0" hidden="1">{#N/A,#N/A,FALSE,"현장 NCR 분석";#N/A,#N/A,FALSE,"현장품질감사";#N/A,#N/A,FALSE,"현장품질감사"}</definedName>
    <definedName name="ㅇㄹ" localSheetId="5" hidden="1">{#N/A,#N/A,FALSE,"현장 NCR 분석";#N/A,#N/A,FALSE,"현장품질감사";#N/A,#N/A,FALSE,"현장품질감사"}</definedName>
    <definedName name="ㅇㄹ" localSheetId="6" hidden="1">{#N/A,#N/A,FALSE,"현장 NCR 분석";#N/A,#N/A,FALSE,"현장품질감사";#N/A,#N/A,FALSE,"현장품질감사"}</definedName>
    <definedName name="ㅇㄹ" hidden="1">{#N/A,#N/A,FALSE,"현장 NCR 분석";#N/A,#N/A,FALSE,"현장품질감사";#N/A,#N/A,FALSE,"현장품질감사"}</definedName>
    <definedName name="ㅇㅎ" localSheetId="2" hidden="1">{#N/A,#N/A,FALSE,"부대1"}</definedName>
    <definedName name="ㅇㅎ" localSheetId="3" hidden="1">{#N/A,#N/A,FALSE,"부대1"}</definedName>
    <definedName name="ㅇㅎ" localSheetId="1" hidden="1">{#N/A,#N/A,FALSE,"부대1"}</definedName>
    <definedName name="ㅇㅎ" localSheetId="4" hidden="1">{#N/A,#N/A,FALSE,"부대1"}</definedName>
    <definedName name="ㅇㅎ" localSheetId="0" hidden="1">{#N/A,#N/A,FALSE,"부대1"}</definedName>
    <definedName name="ㅇㅎ" localSheetId="5" hidden="1">{#N/A,#N/A,FALSE,"부대1"}</definedName>
    <definedName name="ㅇㅎ" localSheetId="6" hidden="1">{#N/A,#N/A,FALSE,"부대1"}</definedName>
    <definedName name="ㅇㅎ" hidden="1">{#N/A,#N/A,FALSE,"부대1"}</definedName>
    <definedName name="ㅈ" localSheetId="2" hidden="1">{#N/A,#N/A,FALSE,"전력간선"}</definedName>
    <definedName name="ㅈ" localSheetId="3" hidden="1">{#N/A,#N/A,FALSE,"전력간선"}</definedName>
    <definedName name="ㅈ" localSheetId="1" hidden="1">{#N/A,#N/A,FALSE,"전력간선"}</definedName>
    <definedName name="ㅈ" localSheetId="4" hidden="1">{#N/A,#N/A,FALSE,"전력간선"}</definedName>
    <definedName name="ㅈ" localSheetId="0" hidden="1">{#N/A,#N/A,FALSE,"전력간선"}</definedName>
    <definedName name="ㅈ" localSheetId="5" hidden="1">{#N/A,#N/A,FALSE,"전력간선"}</definedName>
    <definedName name="ㅈ" localSheetId="6" hidden="1">{#N/A,#N/A,FALSE,"전력간선"}</definedName>
    <definedName name="ㅈ" hidden="1">{#N/A,#N/A,FALSE,"전력간선"}</definedName>
    <definedName name="작업" localSheetId="2" hidden="1">{#N/A,#N/A,FALSE,"구조1"}</definedName>
    <definedName name="작업" localSheetId="3" hidden="1">{#N/A,#N/A,FALSE,"구조1"}</definedName>
    <definedName name="작업" localSheetId="1" hidden="1">{#N/A,#N/A,FALSE,"구조1"}</definedName>
    <definedName name="작업" localSheetId="4" hidden="1">{#N/A,#N/A,FALSE,"구조1"}</definedName>
    <definedName name="작업" localSheetId="0" hidden="1">{#N/A,#N/A,FALSE,"구조1"}</definedName>
    <definedName name="작업" localSheetId="5" hidden="1">{#N/A,#N/A,FALSE,"구조1"}</definedName>
    <definedName name="작업" localSheetId="6" hidden="1">{#N/A,#N/A,FALSE,"구조1"}</definedName>
    <definedName name="작업" hidden="1">{#N/A,#N/A,FALSE,"구조1"}</definedName>
    <definedName name="정우속" localSheetId="2" hidden="1">{#N/A,#N/A,FALSE,"전력간선"}</definedName>
    <definedName name="정우속" localSheetId="3" hidden="1">{#N/A,#N/A,FALSE,"전력간선"}</definedName>
    <definedName name="정우속" localSheetId="1" hidden="1">{#N/A,#N/A,FALSE,"전력간선"}</definedName>
    <definedName name="정우속" localSheetId="4" hidden="1">{#N/A,#N/A,FALSE,"전력간선"}</definedName>
    <definedName name="정우속" localSheetId="0" hidden="1">{#N/A,#N/A,FALSE,"전력간선"}</definedName>
    <definedName name="정우속" localSheetId="5" hidden="1">{#N/A,#N/A,FALSE,"전력간선"}</definedName>
    <definedName name="정우속" localSheetId="6" hidden="1">{#N/A,#N/A,FALSE,"전력간선"}</definedName>
    <definedName name="정우속" hidden="1">{#N/A,#N/A,FALSE,"전력간선"}</definedName>
    <definedName name="죽어라" localSheetId="2" hidden="1">{#N/A,#N/A,FALSE,"현장 NCR 분석";#N/A,#N/A,FALSE,"현장품질감사";#N/A,#N/A,FALSE,"현장품질감사"}</definedName>
    <definedName name="죽어라" localSheetId="3" hidden="1">{#N/A,#N/A,FALSE,"현장 NCR 분석";#N/A,#N/A,FALSE,"현장품질감사";#N/A,#N/A,FALSE,"현장품질감사"}</definedName>
    <definedName name="죽어라" localSheetId="1" hidden="1">{#N/A,#N/A,FALSE,"현장 NCR 분석";#N/A,#N/A,FALSE,"현장품질감사";#N/A,#N/A,FALSE,"현장품질감사"}</definedName>
    <definedName name="죽어라" localSheetId="4" hidden="1">{#N/A,#N/A,FALSE,"현장 NCR 분석";#N/A,#N/A,FALSE,"현장품질감사";#N/A,#N/A,FALSE,"현장품질감사"}</definedName>
    <definedName name="죽어라" localSheetId="0" hidden="1">{#N/A,#N/A,FALSE,"현장 NCR 분석";#N/A,#N/A,FALSE,"현장품질감사";#N/A,#N/A,FALSE,"현장품질감사"}</definedName>
    <definedName name="죽어라" localSheetId="5" hidden="1">{#N/A,#N/A,FALSE,"현장 NCR 분석";#N/A,#N/A,FALSE,"현장품질감사";#N/A,#N/A,FALSE,"현장품질감사"}</definedName>
    <definedName name="죽어라" localSheetId="6" hidden="1">{#N/A,#N/A,FALSE,"현장 NCR 분석";#N/A,#N/A,FALSE,"현장품질감사";#N/A,#N/A,FALSE,"현장품질감사"}</definedName>
    <definedName name="죽어라" hidden="1">{#N/A,#N/A,FALSE,"현장 NCR 분석";#N/A,#N/A,FALSE,"현장품질감사";#N/A,#N/A,FALSE,"현장품질감사"}</definedName>
    <definedName name="ㅊㅇ" localSheetId="2" hidden="1">{#N/A,#N/A,FALSE,"현장 NCR 분석";#N/A,#N/A,FALSE,"현장품질감사";#N/A,#N/A,FALSE,"현장품질감사"}</definedName>
    <definedName name="ㅊㅇ" localSheetId="3" hidden="1">{#N/A,#N/A,FALSE,"현장 NCR 분석";#N/A,#N/A,FALSE,"현장품질감사";#N/A,#N/A,FALSE,"현장품질감사"}</definedName>
    <definedName name="ㅊㅇ" localSheetId="1" hidden="1">{#N/A,#N/A,FALSE,"현장 NCR 분석";#N/A,#N/A,FALSE,"현장품질감사";#N/A,#N/A,FALSE,"현장품질감사"}</definedName>
    <definedName name="ㅊㅇ" localSheetId="4" hidden="1">{#N/A,#N/A,FALSE,"현장 NCR 분석";#N/A,#N/A,FALSE,"현장품질감사";#N/A,#N/A,FALSE,"현장품질감사"}</definedName>
    <definedName name="ㅊㅇ" localSheetId="0" hidden="1">{#N/A,#N/A,FALSE,"현장 NCR 분석";#N/A,#N/A,FALSE,"현장품질감사";#N/A,#N/A,FALSE,"현장품질감사"}</definedName>
    <definedName name="ㅊㅇ" localSheetId="5" hidden="1">{#N/A,#N/A,FALSE,"현장 NCR 분석";#N/A,#N/A,FALSE,"현장품질감사";#N/A,#N/A,FALSE,"현장품질감사"}</definedName>
    <definedName name="ㅊㅇ" localSheetId="6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참석자" localSheetId="2" hidden="1">{#N/A,#N/A,FALSE,"현장 NCR 분석";#N/A,#N/A,FALSE,"현장품질감사";#N/A,#N/A,FALSE,"현장품질감사"}</definedName>
    <definedName name="참석자" localSheetId="3" hidden="1">{#N/A,#N/A,FALSE,"현장 NCR 분석";#N/A,#N/A,FALSE,"현장품질감사";#N/A,#N/A,FALSE,"현장품질감사"}</definedName>
    <definedName name="참석자" localSheetId="1" hidden="1">{#N/A,#N/A,FALSE,"현장 NCR 분석";#N/A,#N/A,FALSE,"현장품질감사";#N/A,#N/A,FALSE,"현장품질감사"}</definedName>
    <definedName name="참석자" localSheetId="4" hidden="1">{#N/A,#N/A,FALSE,"현장 NCR 분석";#N/A,#N/A,FALSE,"현장품질감사";#N/A,#N/A,FALSE,"현장품질감사"}</definedName>
    <definedName name="참석자" localSheetId="0" hidden="1">{#N/A,#N/A,FALSE,"현장 NCR 분석";#N/A,#N/A,FALSE,"현장품질감사";#N/A,#N/A,FALSE,"현장품질감사"}</definedName>
    <definedName name="참석자" localSheetId="5" hidden="1">{#N/A,#N/A,FALSE,"현장 NCR 분석";#N/A,#N/A,FALSE,"현장품질감사";#N/A,#N/A,FALSE,"현장품질감사"}</definedName>
    <definedName name="참석자" localSheetId="6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철콘" localSheetId="2" hidden="1">{#N/A,#N/A,FALSE,"전력간선"}</definedName>
    <definedName name="철콘" localSheetId="3" hidden="1">{#N/A,#N/A,FALSE,"전력간선"}</definedName>
    <definedName name="철콘" localSheetId="1" hidden="1">{#N/A,#N/A,FALSE,"전력간선"}</definedName>
    <definedName name="철콘" localSheetId="4" hidden="1">{#N/A,#N/A,FALSE,"전력간선"}</definedName>
    <definedName name="철콘" localSheetId="0" hidden="1">{#N/A,#N/A,FALSE,"전력간선"}</definedName>
    <definedName name="철콘" localSheetId="5" hidden="1">{#N/A,#N/A,FALSE,"전력간선"}</definedName>
    <definedName name="철콘" localSheetId="6" hidden="1">{#N/A,#N/A,FALSE,"전력간선"}</definedName>
    <definedName name="철콘" hidden="1">{#N/A,#N/A,FALSE,"전력간선"}</definedName>
    <definedName name="ㅋㅌ" localSheetId="2" hidden="1">{#N/A,#N/A,FALSE,"구조1"}</definedName>
    <definedName name="ㅋㅌ" localSheetId="3" hidden="1">{#N/A,#N/A,FALSE,"구조1"}</definedName>
    <definedName name="ㅋㅌ" localSheetId="1" hidden="1">{#N/A,#N/A,FALSE,"구조1"}</definedName>
    <definedName name="ㅋㅌ" localSheetId="4" hidden="1">{#N/A,#N/A,FALSE,"구조1"}</definedName>
    <definedName name="ㅋㅌ" localSheetId="0" hidden="1">{#N/A,#N/A,FALSE,"구조1"}</definedName>
    <definedName name="ㅋㅌ" localSheetId="5" hidden="1">{#N/A,#N/A,FALSE,"구조1"}</definedName>
    <definedName name="ㅋㅌ" localSheetId="6" hidden="1">{#N/A,#N/A,FALSE,"구조1"}</definedName>
    <definedName name="ㅋㅌ" hidden="1">{#N/A,#N/A,FALSE,"구조1"}</definedName>
    <definedName name="코어" localSheetId="2" hidden="1">{#N/A,#N/A,FALSE,"현장 NCR 분석";#N/A,#N/A,FALSE,"현장품질감사";#N/A,#N/A,FALSE,"현장품질감사"}</definedName>
    <definedName name="코어" localSheetId="3" hidden="1">{#N/A,#N/A,FALSE,"현장 NCR 분석";#N/A,#N/A,FALSE,"현장품질감사";#N/A,#N/A,FALSE,"현장품질감사"}</definedName>
    <definedName name="코어" localSheetId="1" hidden="1">{#N/A,#N/A,FALSE,"현장 NCR 분석";#N/A,#N/A,FALSE,"현장품질감사";#N/A,#N/A,FALSE,"현장품질감사"}</definedName>
    <definedName name="코어" localSheetId="4" hidden="1">{#N/A,#N/A,FALSE,"현장 NCR 분석";#N/A,#N/A,FALSE,"현장품질감사";#N/A,#N/A,FALSE,"현장품질감사"}</definedName>
    <definedName name="코어" localSheetId="0" hidden="1">{#N/A,#N/A,FALSE,"현장 NCR 분석";#N/A,#N/A,FALSE,"현장품질감사";#N/A,#N/A,FALSE,"현장품질감사"}</definedName>
    <definedName name="코어" localSheetId="5" hidden="1">{#N/A,#N/A,FALSE,"현장 NCR 분석";#N/A,#N/A,FALSE,"현장품질감사";#N/A,#N/A,FALSE,"현장품질감사"}</definedName>
    <definedName name="코어" localSheetId="6" hidden="1">{#N/A,#N/A,FALSE,"현장 NCR 분석";#N/A,#N/A,FALSE,"현장품질감사";#N/A,#N/A,FALSE,"현장품질감사"}</definedName>
    <definedName name="코어" hidden="1">{#N/A,#N/A,FALSE,"현장 NCR 분석";#N/A,#N/A,FALSE,"현장품질감사";#N/A,#N/A,FALSE,"현장품질감사"}</definedName>
    <definedName name="코어작업수량" localSheetId="2" hidden="1">{#N/A,#N/A,FALSE,"현장 NCR 분석";#N/A,#N/A,FALSE,"현장품질감사";#N/A,#N/A,FALSE,"현장품질감사"}</definedName>
    <definedName name="코어작업수량" localSheetId="3" hidden="1">{#N/A,#N/A,FALSE,"현장 NCR 분석";#N/A,#N/A,FALSE,"현장품질감사";#N/A,#N/A,FALSE,"현장품질감사"}</definedName>
    <definedName name="코어작업수량" localSheetId="1" hidden="1">{#N/A,#N/A,FALSE,"현장 NCR 분석";#N/A,#N/A,FALSE,"현장품질감사";#N/A,#N/A,FALSE,"현장품질감사"}</definedName>
    <definedName name="코어작업수량" localSheetId="4" hidden="1">{#N/A,#N/A,FALSE,"현장 NCR 분석";#N/A,#N/A,FALSE,"현장품질감사";#N/A,#N/A,FALSE,"현장품질감사"}</definedName>
    <definedName name="코어작업수량" localSheetId="0" hidden="1">{#N/A,#N/A,FALSE,"현장 NCR 분석";#N/A,#N/A,FALSE,"현장품질감사";#N/A,#N/A,FALSE,"현장품질감사"}</definedName>
    <definedName name="코어작업수량" localSheetId="5" hidden="1">{#N/A,#N/A,FALSE,"현장 NCR 분석";#N/A,#N/A,FALSE,"현장품질감사";#N/A,#N/A,FALSE,"현장품질감사"}</definedName>
    <definedName name="코어작업수량" localSheetId="6" hidden="1">{#N/A,#N/A,FALSE,"현장 NCR 분석";#N/A,#N/A,FALSE,"현장품질감사";#N/A,#N/A,FALSE,"현장품질감사"}</definedName>
    <definedName name="코어작업수량" hidden="1">{#N/A,#N/A,FALSE,"현장 NCR 분석";#N/A,#N/A,FALSE,"현장품질감사";#N/A,#N/A,FALSE,"현장품질감사"}</definedName>
    <definedName name="콩" localSheetId="2" hidden="1">{#N/A,#N/A,FALSE,"구조1"}</definedName>
    <definedName name="콩" localSheetId="3" hidden="1">{#N/A,#N/A,FALSE,"구조1"}</definedName>
    <definedName name="콩" localSheetId="1" hidden="1">{#N/A,#N/A,FALSE,"구조1"}</definedName>
    <definedName name="콩" localSheetId="4" hidden="1">{#N/A,#N/A,FALSE,"구조1"}</definedName>
    <definedName name="콩" localSheetId="0" hidden="1">{#N/A,#N/A,FALSE,"구조1"}</definedName>
    <definedName name="콩" localSheetId="5" hidden="1">{#N/A,#N/A,FALSE,"구조1"}</definedName>
    <definedName name="콩" localSheetId="6" hidden="1">{#N/A,#N/A,FALSE,"구조1"}</definedName>
    <definedName name="콩" hidden="1">{#N/A,#N/A,FALSE,"구조1"}</definedName>
    <definedName name="ㅌㅍ" localSheetId="2" hidden="1">{#N/A,#N/A,FALSE,"부대2"}</definedName>
    <definedName name="ㅌㅍ" localSheetId="3" hidden="1">{#N/A,#N/A,FALSE,"부대2"}</definedName>
    <definedName name="ㅌㅍ" localSheetId="1" hidden="1">{#N/A,#N/A,FALSE,"부대2"}</definedName>
    <definedName name="ㅌㅍ" localSheetId="4" hidden="1">{#N/A,#N/A,FALSE,"부대2"}</definedName>
    <definedName name="ㅌㅍ" localSheetId="0" hidden="1">{#N/A,#N/A,FALSE,"부대2"}</definedName>
    <definedName name="ㅌㅍ" localSheetId="5" hidden="1">{#N/A,#N/A,FALSE,"부대2"}</definedName>
    <definedName name="ㅌㅍ" localSheetId="6" hidden="1">{#N/A,#N/A,FALSE,"부대2"}</definedName>
    <definedName name="ㅌㅍ" hidden="1">{#N/A,#N/A,FALSE,"부대2"}</definedName>
    <definedName name="투찰가대비표현장" localSheetId="2" hidden="1">{#N/A,#N/A,FALSE,"현장 NCR 분석";#N/A,#N/A,FALSE,"현장품질감사";#N/A,#N/A,FALSE,"현장품질감사"}</definedName>
    <definedName name="투찰가대비표현장" localSheetId="3" hidden="1">{#N/A,#N/A,FALSE,"현장 NCR 분석";#N/A,#N/A,FALSE,"현장품질감사";#N/A,#N/A,FALSE,"현장품질감사"}</definedName>
    <definedName name="투찰가대비표현장" localSheetId="1" hidden="1">{#N/A,#N/A,FALSE,"현장 NCR 분석";#N/A,#N/A,FALSE,"현장품질감사";#N/A,#N/A,FALSE,"현장품질감사"}</definedName>
    <definedName name="투찰가대비표현장" localSheetId="4" hidden="1">{#N/A,#N/A,FALSE,"현장 NCR 분석";#N/A,#N/A,FALSE,"현장품질감사";#N/A,#N/A,FALSE,"현장품질감사"}</definedName>
    <definedName name="투찰가대비표현장" localSheetId="0" hidden="1">{#N/A,#N/A,FALSE,"현장 NCR 분석";#N/A,#N/A,FALSE,"현장품질감사";#N/A,#N/A,FALSE,"현장품질감사"}</definedName>
    <definedName name="투찰가대비표현장" localSheetId="5" hidden="1">{#N/A,#N/A,FALSE,"현장 NCR 분석";#N/A,#N/A,FALSE,"현장품질감사";#N/A,#N/A,FALSE,"현장품질감사"}</definedName>
    <definedName name="투찰가대비표현장" localSheetId="6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현장설명" localSheetId="2" hidden="1">{#N/A,#N/A,FALSE,"현장 NCR 분석";#N/A,#N/A,FALSE,"현장품질감사";#N/A,#N/A,FALSE,"현장품질감사"}</definedName>
    <definedName name="현장설명" localSheetId="3" hidden="1">{#N/A,#N/A,FALSE,"현장 NCR 분석";#N/A,#N/A,FALSE,"현장품질감사";#N/A,#N/A,FALSE,"현장품질감사"}</definedName>
    <definedName name="현장설명" localSheetId="1" hidden="1">{#N/A,#N/A,FALSE,"현장 NCR 분석";#N/A,#N/A,FALSE,"현장품질감사";#N/A,#N/A,FALSE,"현장품질감사"}</definedName>
    <definedName name="현장설명" localSheetId="4" hidden="1">{#N/A,#N/A,FALSE,"현장 NCR 분석";#N/A,#N/A,FALSE,"현장품질감사";#N/A,#N/A,FALSE,"현장품질감사"}</definedName>
    <definedName name="현장설명" localSheetId="0" hidden="1">{#N/A,#N/A,FALSE,"현장 NCR 분석";#N/A,#N/A,FALSE,"현장품질감사";#N/A,#N/A,FALSE,"현장품질감사"}</definedName>
    <definedName name="현장설명" localSheetId="5" hidden="1">{#N/A,#N/A,FALSE,"현장 NCR 분석";#N/A,#N/A,FALSE,"현장품질감사";#N/A,#N/A,FALSE,"현장품질감사"}</definedName>
    <definedName name="현장설명" localSheetId="6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2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localSheetId="1" hidden="1">{#N/A,#N/A,FALSE,"현장 NCR 분석";#N/A,#N/A,FALSE,"현장품질감사";#N/A,#N/A,FALSE,"현장품질감사"}</definedName>
    <definedName name="현장설명2" localSheetId="4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localSheetId="5" hidden="1">{#N/A,#N/A,FALSE,"현장 NCR 분석";#N/A,#N/A,FALSE,"현장품질감사";#N/A,#N/A,FALSE,"현장품질감사"}</definedName>
    <definedName name="현장설명2" localSheetId="6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ㅏㅓ" localSheetId="2" hidden="1">{#N/A,#N/A,FALSE,"구조2"}</definedName>
    <definedName name="ㅏㅓ" localSheetId="3" hidden="1">{#N/A,#N/A,FALSE,"구조2"}</definedName>
    <definedName name="ㅏㅓ" localSheetId="1" hidden="1">{#N/A,#N/A,FALSE,"구조2"}</definedName>
    <definedName name="ㅏㅓ" localSheetId="4" hidden="1">{#N/A,#N/A,FALSE,"구조2"}</definedName>
    <definedName name="ㅏㅓ" localSheetId="0" hidden="1">{#N/A,#N/A,FALSE,"구조2"}</definedName>
    <definedName name="ㅏㅓ" localSheetId="5" hidden="1">{#N/A,#N/A,FALSE,"구조2"}</definedName>
    <definedName name="ㅏㅓ" localSheetId="6" hidden="1">{#N/A,#N/A,FALSE,"구조2"}</definedName>
    <definedName name="ㅏㅓ" hidden="1">{#N/A,#N/A,FALSE,"구조2"}</definedName>
    <definedName name="ㅐ" localSheetId="2" hidden="1">{#N/A,#N/A,FALSE,"현장 NCR 분석";#N/A,#N/A,FALSE,"현장품질감사";#N/A,#N/A,FALSE,"현장품질감사"}</definedName>
    <definedName name="ㅐ" localSheetId="3" hidden="1">{#N/A,#N/A,FALSE,"현장 NCR 분석";#N/A,#N/A,FALSE,"현장품질감사";#N/A,#N/A,FALSE,"현장품질감사"}</definedName>
    <definedName name="ㅐ" localSheetId="1" hidden="1">{#N/A,#N/A,FALSE,"현장 NCR 분석";#N/A,#N/A,FALSE,"현장품질감사";#N/A,#N/A,FALSE,"현장품질감사"}</definedName>
    <definedName name="ㅐ" localSheetId="4" hidden="1">{#N/A,#N/A,FALSE,"현장 NCR 분석";#N/A,#N/A,FALSE,"현장품질감사";#N/A,#N/A,FALSE,"현장품질감사"}</definedName>
    <definedName name="ㅐ" localSheetId="0" hidden="1">{#N/A,#N/A,FALSE,"현장 NCR 분석";#N/A,#N/A,FALSE,"현장품질감사";#N/A,#N/A,FALSE,"현장품질감사"}</definedName>
    <definedName name="ㅐ" localSheetId="5" hidden="1">{#N/A,#N/A,FALSE,"현장 NCR 분석";#N/A,#N/A,FALSE,"현장품질감사";#N/A,#N/A,FALSE,"현장품질감사"}</definedName>
    <definedName name="ㅐ" localSheetId="6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ㅑㅕ" localSheetId="2" hidden="1">{#N/A,#N/A,FALSE,"이정표"}</definedName>
    <definedName name="ㅑㅕ" localSheetId="3" hidden="1">{#N/A,#N/A,FALSE,"이정표"}</definedName>
    <definedName name="ㅑㅕ" localSheetId="1" hidden="1">{#N/A,#N/A,FALSE,"이정표"}</definedName>
    <definedName name="ㅑㅕ" localSheetId="4" hidden="1">{#N/A,#N/A,FALSE,"이정표"}</definedName>
    <definedName name="ㅑㅕ" localSheetId="0" hidden="1">{#N/A,#N/A,FALSE,"이정표"}</definedName>
    <definedName name="ㅑㅕ" localSheetId="5" hidden="1">{#N/A,#N/A,FALSE,"이정표"}</definedName>
    <definedName name="ㅑㅕ" localSheetId="6" hidden="1">{#N/A,#N/A,FALSE,"이정표"}</definedName>
    <definedName name="ㅑㅕ" hidden="1">{#N/A,#N/A,FALSE,"이정표"}</definedName>
    <definedName name="ㅗ" localSheetId="2" hidden="1">{#N/A,#N/A,FALSE,"현장 NCR 분석";#N/A,#N/A,FALSE,"현장품질감사";#N/A,#N/A,FALSE,"현장품질감사"}</definedName>
    <definedName name="ㅗ" localSheetId="3" hidden="1">{#N/A,#N/A,FALSE,"현장 NCR 분석";#N/A,#N/A,FALSE,"현장품질감사";#N/A,#N/A,FALSE,"현장품질감사"}</definedName>
    <definedName name="ㅗ" localSheetId="1" hidden="1">{#N/A,#N/A,FALSE,"현장 NCR 분석";#N/A,#N/A,FALSE,"현장품질감사";#N/A,#N/A,FALSE,"현장품질감사"}</definedName>
    <definedName name="ㅗ" localSheetId="4" hidden="1">{#N/A,#N/A,FALSE,"현장 NCR 분석";#N/A,#N/A,FALSE,"현장품질감사";#N/A,#N/A,FALSE,"현장품질감사"}</definedName>
    <definedName name="ㅗ" localSheetId="0" hidden="1">{#N/A,#N/A,FALSE,"현장 NCR 분석";#N/A,#N/A,FALSE,"현장품질감사";#N/A,#N/A,FALSE,"현장품질감사"}</definedName>
    <definedName name="ㅗ" localSheetId="5" hidden="1">{#N/A,#N/A,FALSE,"현장 NCR 분석";#N/A,#N/A,FALSE,"현장품질감사";#N/A,#N/A,FALSE,"현장품질감사"}</definedName>
    <definedName name="ㅗ" localSheetId="6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2" hidden="1">{#N/A,#N/A,FALSE,"부대2"}</definedName>
    <definedName name="ㅗㅓ" localSheetId="3" hidden="1">{#N/A,#N/A,FALSE,"부대2"}</definedName>
    <definedName name="ㅗㅓ" localSheetId="1" hidden="1">{#N/A,#N/A,FALSE,"부대2"}</definedName>
    <definedName name="ㅗㅓ" localSheetId="4" hidden="1">{#N/A,#N/A,FALSE,"부대2"}</definedName>
    <definedName name="ㅗㅓ" localSheetId="0" hidden="1">{#N/A,#N/A,FALSE,"부대2"}</definedName>
    <definedName name="ㅗㅓ" localSheetId="5" hidden="1">{#N/A,#N/A,FALSE,"부대2"}</definedName>
    <definedName name="ㅗㅓ" localSheetId="6" hidden="1">{#N/A,#N/A,FALSE,"부대2"}</definedName>
    <definedName name="ㅗㅓ" hidden="1">{#N/A,#N/A,FALSE,"부대2"}</definedName>
    <definedName name="ㅗㅕ" localSheetId="2" hidden="1">{#N/A,#N/A,FALSE,"배수2"}</definedName>
    <definedName name="ㅗㅕ" localSheetId="3" hidden="1">{#N/A,#N/A,FALSE,"배수2"}</definedName>
    <definedName name="ㅗㅕ" localSheetId="1" hidden="1">{#N/A,#N/A,FALSE,"배수2"}</definedName>
    <definedName name="ㅗㅕ" localSheetId="4" hidden="1">{#N/A,#N/A,FALSE,"배수2"}</definedName>
    <definedName name="ㅗㅕ" localSheetId="0" hidden="1">{#N/A,#N/A,FALSE,"배수2"}</definedName>
    <definedName name="ㅗㅕ" localSheetId="5" hidden="1">{#N/A,#N/A,FALSE,"배수2"}</definedName>
    <definedName name="ㅗㅕ" localSheetId="6" hidden="1">{#N/A,#N/A,FALSE,"배수2"}</definedName>
    <definedName name="ㅗㅕ" hidden="1">{#N/A,#N/A,FALSE,"배수2"}</definedName>
    <definedName name="ㅛㅅ" localSheetId="2" hidden="1">{#N/A,#N/A,FALSE,"속도"}</definedName>
    <definedName name="ㅛㅅ" localSheetId="3" hidden="1">{#N/A,#N/A,FALSE,"속도"}</definedName>
    <definedName name="ㅛㅅ" localSheetId="1" hidden="1">{#N/A,#N/A,FALSE,"속도"}</definedName>
    <definedName name="ㅛㅅ" localSheetId="4" hidden="1">{#N/A,#N/A,FALSE,"속도"}</definedName>
    <definedName name="ㅛㅅ" localSheetId="0" hidden="1">{#N/A,#N/A,FALSE,"속도"}</definedName>
    <definedName name="ㅛㅅ" localSheetId="5" hidden="1">{#N/A,#N/A,FALSE,"속도"}</definedName>
    <definedName name="ㅛㅅ" localSheetId="6" hidden="1">{#N/A,#N/A,FALSE,"속도"}</definedName>
    <definedName name="ㅛㅅ" hidden="1">{#N/A,#N/A,FALSE,"속도"}</definedName>
    <definedName name="ㅛㅑㅐ" localSheetId="2" hidden="1">{#N/A,#N/A,FALSE,"구조1"}</definedName>
    <definedName name="ㅛㅑㅐ" localSheetId="3" hidden="1">{#N/A,#N/A,FALSE,"구조1"}</definedName>
    <definedName name="ㅛㅑㅐ" localSheetId="1" hidden="1">{#N/A,#N/A,FALSE,"구조1"}</definedName>
    <definedName name="ㅛㅑㅐ" localSheetId="4" hidden="1">{#N/A,#N/A,FALSE,"구조1"}</definedName>
    <definedName name="ㅛㅑㅐ" localSheetId="0" hidden="1">{#N/A,#N/A,FALSE,"구조1"}</definedName>
    <definedName name="ㅛㅑㅐ" localSheetId="5" hidden="1">{#N/A,#N/A,FALSE,"구조1"}</definedName>
    <definedName name="ㅛㅑㅐ" localSheetId="6" hidden="1">{#N/A,#N/A,FALSE,"구조1"}</definedName>
    <definedName name="ㅛㅑㅐ" hidden="1">{#N/A,#N/A,FALSE,"구조1"}</definedName>
    <definedName name="ㅜㅎㄹ" localSheetId="2" hidden="1">{#N/A,#N/A,FALSE,"부대2"}</definedName>
    <definedName name="ㅜㅎㄹ" localSheetId="3" hidden="1">{#N/A,#N/A,FALSE,"부대2"}</definedName>
    <definedName name="ㅜㅎㄹ" localSheetId="1" hidden="1">{#N/A,#N/A,FALSE,"부대2"}</definedName>
    <definedName name="ㅜㅎㄹ" localSheetId="4" hidden="1">{#N/A,#N/A,FALSE,"부대2"}</definedName>
    <definedName name="ㅜㅎㄹ" localSheetId="0" hidden="1">{#N/A,#N/A,FALSE,"부대2"}</definedName>
    <definedName name="ㅜㅎㄹ" localSheetId="5" hidden="1">{#N/A,#N/A,FALSE,"부대2"}</definedName>
    <definedName name="ㅜㅎㄹ" localSheetId="6" hidden="1">{#N/A,#N/A,FALSE,"부대2"}</definedName>
    <definedName name="ㅜㅎㄹ" hidden="1">{#N/A,#N/A,FALSE,"부대2"}</definedName>
    <definedName name="ㅜㅠ" localSheetId="2" hidden="1">{#N/A,#N/A,FALSE,"토공2"}</definedName>
    <definedName name="ㅜㅠ" localSheetId="3" hidden="1">{#N/A,#N/A,FALSE,"토공2"}</definedName>
    <definedName name="ㅜㅠ" localSheetId="1" hidden="1">{#N/A,#N/A,FALSE,"토공2"}</definedName>
    <definedName name="ㅜㅠ" localSheetId="4" hidden="1">{#N/A,#N/A,FALSE,"토공2"}</definedName>
    <definedName name="ㅜㅠ" localSheetId="0" hidden="1">{#N/A,#N/A,FALSE,"토공2"}</definedName>
    <definedName name="ㅜㅠ" localSheetId="5" hidden="1">{#N/A,#N/A,FALSE,"토공2"}</definedName>
    <definedName name="ㅜㅠ" localSheetId="6" hidden="1">{#N/A,#N/A,FALSE,"토공2"}</definedName>
    <definedName name="ㅜㅠ" hidden="1">{#N/A,#N/A,FALSE,"토공2"}</definedName>
    <definedName name="ㅜㅠㅍ" localSheetId="2" hidden="1">{#N/A,#N/A,FALSE,"전력간선"}</definedName>
    <definedName name="ㅜㅠㅍ" localSheetId="3" hidden="1">{#N/A,#N/A,FALSE,"전력간선"}</definedName>
    <definedName name="ㅜㅠㅍ" localSheetId="1" hidden="1">{#N/A,#N/A,FALSE,"전력간선"}</definedName>
    <definedName name="ㅜㅠㅍ" localSheetId="4" hidden="1">{#N/A,#N/A,FALSE,"전력간선"}</definedName>
    <definedName name="ㅜㅠㅍ" localSheetId="0" hidden="1">{#N/A,#N/A,FALSE,"전력간선"}</definedName>
    <definedName name="ㅜㅠㅍ" localSheetId="5" hidden="1">{#N/A,#N/A,FALSE,"전력간선"}</definedName>
    <definedName name="ㅜㅠㅍ" localSheetId="6" hidden="1">{#N/A,#N/A,FALSE,"전력간선"}</definedName>
    <definedName name="ㅜㅠㅍ" hidden="1">{#N/A,#N/A,FALSE,"전력간선"}</definedName>
    <definedName name="ㅣㅓㅏ" localSheetId="2" hidden="1">{#N/A,#N/A,FALSE,"전력간선"}</definedName>
    <definedName name="ㅣㅓㅏ" localSheetId="3" hidden="1">{#N/A,#N/A,FALSE,"전력간선"}</definedName>
    <definedName name="ㅣㅓㅏ" localSheetId="1" hidden="1">{#N/A,#N/A,FALSE,"전력간선"}</definedName>
    <definedName name="ㅣㅓㅏ" localSheetId="4" hidden="1">{#N/A,#N/A,FALSE,"전력간선"}</definedName>
    <definedName name="ㅣㅓㅏ" localSheetId="0" hidden="1">{#N/A,#N/A,FALSE,"전력간선"}</definedName>
    <definedName name="ㅣㅓㅏ" localSheetId="5" hidden="1">{#N/A,#N/A,FALSE,"전력간선"}</definedName>
    <definedName name="ㅣㅓㅏ" localSheetId="6" hidden="1">{#N/A,#N/A,FALSE,"전력간선"}</definedName>
    <definedName name="ㅣㅓㅏ" hidden="1">{#N/A,#N/A,FALSE,"전력간선"}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308" l="1"/>
  <c r="H7" i="310"/>
  <c r="I7" i="310"/>
  <c r="S1" i="310" s="1"/>
  <c r="K7" i="310" l="1"/>
  <c r="H50" i="301" l="1"/>
  <c r="H51" i="301"/>
  <c r="K49" i="301"/>
  <c r="I49" i="301"/>
  <c r="H49" i="301"/>
  <c r="K56" i="309"/>
  <c r="I20" i="307" l="1"/>
  <c r="I445" i="303" l="1"/>
  <c r="H445" i="303"/>
  <c r="I56" i="309"/>
  <c r="H56" i="309"/>
  <c r="H43" i="308"/>
  <c r="I43" i="308"/>
  <c r="K43" i="308"/>
  <c r="H20" i="307"/>
  <c r="I23" i="302"/>
  <c r="H23" i="302"/>
  <c r="K445" i="303" l="1"/>
  <c r="K20" i="307"/>
  <c r="K23" i="302"/>
  <c r="S1" i="307" l="1"/>
  <c r="S1" i="302" l="1"/>
</calcChain>
</file>

<file path=xl/sharedStrings.xml><?xml version="1.0" encoding="utf-8"?>
<sst xmlns="http://schemas.openxmlformats.org/spreadsheetml/2006/main" count="7422" uniqueCount="616">
  <si>
    <t>CUSTOMER</t>
    <phoneticPr fontId="5" type="noConversion"/>
  </si>
  <si>
    <t>PROJECT NAME</t>
    <phoneticPr fontId="5" type="noConversion"/>
  </si>
  <si>
    <t>PO.NO</t>
    <phoneticPr fontId="5" type="noConversion"/>
  </si>
  <si>
    <r>
      <t>수주잔액
受注</t>
    </r>
    <r>
      <rPr>
        <b/>
        <sz val="10"/>
        <color indexed="8"/>
        <rFont val="맑은 고딕"/>
        <family val="3"/>
        <charset val="128"/>
        <scheme val="minor"/>
      </rPr>
      <t>残</t>
    </r>
    <r>
      <rPr>
        <b/>
        <sz val="10"/>
        <color indexed="8"/>
        <rFont val="맑은 고딕"/>
        <family val="3"/>
        <charset val="129"/>
        <scheme val="minor"/>
      </rPr>
      <t xml:space="preserve">高 </t>
    </r>
    <phoneticPr fontId="5" type="noConversion"/>
  </si>
  <si>
    <t>SIZE</t>
    <phoneticPr fontId="5" type="noConversion"/>
  </si>
  <si>
    <t>Q'TY</t>
    <phoneticPr fontId="5" type="noConversion"/>
  </si>
  <si>
    <t>REMARK</t>
    <phoneticPr fontId="5" type="noConversion"/>
  </si>
  <si>
    <t>-</t>
    <phoneticPr fontId="5" type="noConversion"/>
  </si>
  <si>
    <t>ASK</t>
  </si>
  <si>
    <t>WILD SHIPPING</t>
  </si>
  <si>
    <t>PRODUCTION</t>
    <phoneticPr fontId="5" type="noConversion"/>
  </si>
  <si>
    <t>SALES</t>
    <phoneticPr fontId="5" type="noConversion"/>
  </si>
  <si>
    <t>GE POWER</t>
  </si>
  <si>
    <t>구분</t>
    <phoneticPr fontId="5" type="noConversion"/>
  </si>
  <si>
    <t>PRS NO.</t>
    <phoneticPr fontId="5" type="noConversion"/>
  </si>
  <si>
    <t>통화</t>
  </si>
  <si>
    <t>제품완성일
납기
納期</t>
    <phoneticPr fontId="5" type="noConversion"/>
  </si>
  <si>
    <t>제품발송일
납기
納期</t>
    <phoneticPr fontId="5" type="noConversion"/>
  </si>
  <si>
    <t>USD</t>
    <phoneticPr fontId="5" type="noConversion"/>
  </si>
  <si>
    <t>수출</t>
  </si>
  <si>
    <t>USD</t>
  </si>
  <si>
    <t>내수</t>
  </si>
  <si>
    <t>KRW</t>
    <phoneticPr fontId="5" type="noConversion"/>
  </si>
  <si>
    <t>KRW</t>
  </si>
  <si>
    <t>NA</t>
  </si>
  <si>
    <t>SUB-TOTAL</t>
    <phoneticPr fontId="5" type="noConversion"/>
  </si>
  <si>
    <t>KITZ</t>
  </si>
  <si>
    <t>REV.
NO.</t>
    <phoneticPr fontId="5" type="noConversion"/>
  </si>
  <si>
    <t>A</t>
  </si>
  <si>
    <t>B</t>
  </si>
  <si>
    <t>C</t>
  </si>
  <si>
    <t>한계
이익률
限界
利益率</t>
    <phoneticPr fontId="5" type="noConversion"/>
  </si>
  <si>
    <t>한계
이익액
限界利益額</t>
    <phoneticPr fontId="5" type="noConversion"/>
  </si>
  <si>
    <t>&lt;-환율 고정</t>
    <phoneticPr fontId="5" type="noConversion"/>
  </si>
  <si>
    <t>사업분야</t>
    <phoneticPr fontId="5" type="noConversion"/>
  </si>
  <si>
    <t>매출구분</t>
    <phoneticPr fontId="5" type="noConversion"/>
  </si>
  <si>
    <t>매출구분
2021</t>
    <phoneticPr fontId="5" type="noConversion"/>
  </si>
  <si>
    <t>서대식</t>
  </si>
  <si>
    <t>윤남식</t>
  </si>
  <si>
    <t>배우성</t>
  </si>
  <si>
    <t>정성한</t>
  </si>
  <si>
    <t>D</t>
  </si>
  <si>
    <t>진우ENG</t>
  </si>
  <si>
    <t>두산에너빌리티</t>
  </si>
  <si>
    <t/>
  </si>
  <si>
    <r>
      <rPr>
        <b/>
        <sz val="10"/>
        <rFont val="Malgun Gothic"/>
        <family val="2"/>
        <charset val="129"/>
      </rPr>
      <t>납기별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納期別</t>
    </r>
    <r>
      <rPr>
        <b/>
        <sz val="10"/>
        <rFont val="Arial"/>
        <family val="2"/>
      </rPr>
      <t>)</t>
    </r>
    <phoneticPr fontId="5" type="noConversion"/>
  </si>
  <si>
    <t>HP VALVES</t>
  </si>
  <si>
    <t>BS230035</t>
  </si>
  <si>
    <t>2579</t>
  </si>
  <si>
    <t>KITZ PUR.</t>
  </si>
  <si>
    <t>INA SC</t>
  </si>
  <si>
    <t>F</t>
  </si>
  <si>
    <t>VALMATIC</t>
  </si>
  <si>
    <t>Maran Gas (174,000CBM LNG Carrier)</t>
  </si>
  <si>
    <t>한화오션</t>
  </si>
  <si>
    <t>포스코이앤씨</t>
  </si>
  <si>
    <t>음성천연가스발전소 1호기 파워블럭 EPC</t>
  </si>
  <si>
    <t>MC230024</t>
  </si>
  <si>
    <t>2023BS0335</t>
  </si>
  <si>
    <t>TC GULF</t>
  </si>
  <si>
    <t>SEC SHUQAIQ</t>
  </si>
  <si>
    <t>INA AVP</t>
  </si>
  <si>
    <t>ANA</t>
  </si>
  <si>
    <t>Ruwais Refinery Expansion Package-7 Marine Facilities</t>
  </si>
  <si>
    <t>POHES123120034</t>
  </si>
  <si>
    <t>BD230043</t>
  </si>
  <si>
    <t>DL E&amp;C</t>
  </si>
  <si>
    <t>SHAHEEN PROJECT (PACKAGE-1)</t>
  </si>
  <si>
    <t>SH1-2300-4107-001</t>
  </si>
  <si>
    <t>Chung Chia 600MW GTCC Power Project</t>
  </si>
  <si>
    <t>4102509891</t>
  </si>
  <si>
    <t>EM240001</t>
  </si>
  <si>
    <t>Chung Chia 600MW GTCC Power Proj</t>
  </si>
  <si>
    <t>현대엔지니어링</t>
  </si>
  <si>
    <t>PO-SH1-2000-4107-001</t>
  </si>
  <si>
    <t>H</t>
  </si>
  <si>
    <t>KITZ (HEAD OFFICE PLANT)</t>
  </si>
  <si>
    <t>BD240006</t>
  </si>
  <si>
    <t>S-OIL Shaheen BDEU &amp; C4 HDT Project</t>
  </si>
  <si>
    <t>21-055-SH1-2121-4107-001-00</t>
  </si>
  <si>
    <t>KITZ (AMERICA)</t>
  </si>
  <si>
    <t>이두나</t>
  </si>
  <si>
    <t>Toyo Egineering Korea Limited</t>
  </si>
  <si>
    <t>담당자</t>
    <phoneticPr fontId="5" type="noConversion"/>
  </si>
  <si>
    <t>이상훈</t>
  </si>
  <si>
    <t>BS240022</t>
  </si>
  <si>
    <t>2581</t>
  </si>
  <si>
    <t>BS240023</t>
  </si>
  <si>
    <t>2582</t>
  </si>
  <si>
    <t>BE240001</t>
  </si>
  <si>
    <t>PE240024</t>
  </si>
  <si>
    <t>RS240019</t>
  </si>
  <si>
    <t>BD240004</t>
  </si>
  <si>
    <t>김혜진</t>
  </si>
  <si>
    <t>BE240029</t>
  </si>
  <si>
    <t>Orot Rabin Unit 5 &amp; Unit 6</t>
  </si>
  <si>
    <t>P242002 / 20231376</t>
  </si>
  <si>
    <t>MORITANI</t>
  </si>
  <si>
    <t>KITZ (Head Office Plant)</t>
  </si>
  <si>
    <t>E</t>
  </si>
  <si>
    <t>QEWC</t>
  </si>
  <si>
    <t>N</t>
  </si>
  <si>
    <t>BS240050</t>
  </si>
  <si>
    <t>2585</t>
  </si>
  <si>
    <t>WALEED AL-MASOOD</t>
  </si>
  <si>
    <t>BE240041</t>
  </si>
  <si>
    <t>FIELD PIPELINES &amp; SITRA STORAGE EXPANSION PROJECT</t>
  </si>
  <si>
    <t>1073113149</t>
  </si>
  <si>
    <t>BS240058</t>
  </si>
  <si>
    <t>2375</t>
  </si>
  <si>
    <t>M</t>
  </si>
  <si>
    <t>PE240049</t>
  </si>
  <si>
    <t>PMP</t>
  </si>
  <si>
    <t>4500416130</t>
  </si>
  <si>
    <t>BE240046</t>
  </si>
  <si>
    <t>Rabigh 2 IPP</t>
  </si>
  <si>
    <t>1073176143</t>
  </si>
  <si>
    <t>GS POWER</t>
  </si>
  <si>
    <t>BD240039</t>
  </si>
  <si>
    <t>JEDDAH SOUTH PJT</t>
  </si>
  <si>
    <t>PO-L2403-14-CC-A</t>
  </si>
  <si>
    <t>BE240052</t>
  </si>
  <si>
    <t>香港 Lamma Power Station Extension unit 13 GTCC</t>
  </si>
  <si>
    <t>WSK241112-0BV-P0</t>
  </si>
  <si>
    <t>RS240040</t>
  </si>
  <si>
    <t>AZN O&amp;M COMPANY WLL</t>
  </si>
  <si>
    <t>AL-ZOUR NORTH PHASE 1 - IWPP</t>
  </si>
  <si>
    <t>4500007076</t>
  </si>
  <si>
    <t>KITZ (National Sales Division)</t>
  </si>
  <si>
    <t>Jebel Ali M Station</t>
  </si>
  <si>
    <t>2546s AS PR FOR F-EXTENSION MC098 MC198</t>
  </si>
  <si>
    <t>BE250001</t>
  </si>
  <si>
    <t>NV Energy, Valmy Power Plant Units 1 &amp; 2(MANUAL)</t>
  </si>
  <si>
    <t>BE250002</t>
  </si>
  <si>
    <t>NV Energy, Valmy Power Plant Units 1 &amp; 2(Automated Valves)</t>
  </si>
  <si>
    <t>BE250004</t>
  </si>
  <si>
    <t>KITZ (Yokohama Sales Office Tokyo Branch)</t>
  </si>
  <si>
    <t>6D</t>
  </si>
  <si>
    <t>1021644608</t>
  </si>
  <si>
    <t>BE250005</t>
  </si>
  <si>
    <t>KITZ Okayama Sales Office Chouoku Regional Office</t>
  </si>
  <si>
    <t>1021649494</t>
  </si>
  <si>
    <t>BD250003</t>
  </si>
  <si>
    <t>TANJUNG JATI B UNIT PJT</t>
  </si>
  <si>
    <t>002/ATP-BW/I/2025</t>
  </si>
  <si>
    <t>BD250006</t>
  </si>
  <si>
    <t>안양 ST Cooling Tower Riser Valve 예비품 구매</t>
  </si>
  <si>
    <t>25-CM-0124</t>
  </si>
  <si>
    <t>P250165 / 20250036</t>
  </si>
  <si>
    <t>P250166 / 20250037</t>
  </si>
  <si>
    <t>Aramco Asia</t>
  </si>
  <si>
    <t>Manifa Gas Facilities Project</t>
  </si>
  <si>
    <t>BE250008</t>
  </si>
  <si>
    <t>Chiba-Sodegaura Power</t>
  </si>
  <si>
    <t>4LX-H124-00000002B</t>
  </si>
  <si>
    <t>BE250009</t>
  </si>
  <si>
    <t>Qatar Energy LNG</t>
  </si>
  <si>
    <t>4500425057</t>
  </si>
  <si>
    <t>Cirebon 2, 1x 1000MW Coal Fired Power Plant</t>
  </si>
  <si>
    <t>KITZ (INA PLANT)</t>
  </si>
  <si>
    <t>INA Depo SC(SC Production Control)</t>
  </si>
  <si>
    <t>BD250007</t>
  </si>
  <si>
    <t>안동 복합 BOP용 Butterfly Manual Valve</t>
  </si>
  <si>
    <t>BD250008</t>
  </si>
  <si>
    <t>AROMATICS PJT</t>
  </si>
  <si>
    <t>PO 2025046</t>
  </si>
  <si>
    <t>PD250004</t>
  </si>
  <si>
    <t>SAFI ENERGY PJT</t>
  </si>
  <si>
    <t>PO864911</t>
  </si>
  <si>
    <t>BD250009</t>
  </si>
  <si>
    <t>SEC JEDDAH</t>
  </si>
  <si>
    <t>PO-L2412-27-CC-A</t>
  </si>
  <si>
    <t>BD250010</t>
  </si>
  <si>
    <t>미진인터내셔날</t>
  </si>
  <si>
    <t>깨끗한 나라 청주 공장</t>
  </si>
  <si>
    <t>MJS-20250225-033</t>
  </si>
  <si>
    <t>BD250011</t>
  </si>
  <si>
    <t>뉴모션</t>
  </si>
  <si>
    <t>SHAHEEN PROJECT (FLARE PCKG)</t>
  </si>
  <si>
    <t>PO-SH1-2130-2003-001</t>
  </si>
  <si>
    <t>서지훈</t>
  </si>
  <si>
    <t>FLEX CONSTELLATION DSME 2470</t>
  </si>
  <si>
    <t>BS250013</t>
  </si>
  <si>
    <t>LA MURALLA 4 DSME 3026</t>
  </si>
  <si>
    <t>#P00890</t>
  </si>
  <si>
    <t>BS250014</t>
  </si>
  <si>
    <t>5511</t>
  </si>
  <si>
    <t>BS250017</t>
  </si>
  <si>
    <t>2586</t>
  </si>
  <si>
    <t>BE250013</t>
  </si>
  <si>
    <t>XUCB (NGR Cedar Bayon)</t>
  </si>
  <si>
    <t>WSK250221-0BV-R1_PO</t>
  </si>
  <si>
    <t>26440-67040</t>
  </si>
  <si>
    <t>AP250010</t>
  </si>
  <si>
    <t>MC250006</t>
  </si>
  <si>
    <t>CIREBON 2, 1x1000MW COAL FIRED POWER</t>
  </si>
  <si>
    <t>26440-67030</t>
  </si>
  <si>
    <t>BE250010</t>
  </si>
  <si>
    <t>3073002796</t>
  </si>
  <si>
    <t>BE250011</t>
  </si>
  <si>
    <t>Yanpet Petrochemical Plant Replacement Valves</t>
  </si>
  <si>
    <t>1073319396</t>
  </si>
  <si>
    <t>EM250002</t>
  </si>
  <si>
    <t>1073326323</t>
  </si>
  <si>
    <t>BD250012</t>
  </si>
  <si>
    <t>RAS GIRTAS POWER</t>
  </si>
  <si>
    <t>PO-RGPC-2382-JH</t>
  </si>
  <si>
    <t>PD250006</t>
  </si>
  <si>
    <t>DEWA JEBEL ALI</t>
  </si>
  <si>
    <t>SS/5289/25</t>
  </si>
  <si>
    <t>PD250007</t>
  </si>
  <si>
    <t>안양 ST DH HPU 계통 밸브 유압 액츄에이터 예비품 구매</t>
  </si>
  <si>
    <t>25-CM-0407</t>
  </si>
  <si>
    <t>나래에너지서비스</t>
  </si>
  <si>
    <t>PD250009</t>
  </si>
  <si>
    <t>PO-L2502-03-CC-B</t>
  </si>
  <si>
    <t>BS250025</t>
  </si>
  <si>
    <t>JWV2502-1315</t>
  </si>
  <si>
    <t>FLEX COURAGEOUS DSME 2471</t>
  </si>
  <si>
    <t>UNIVERSAL CREATOR DSME 5447</t>
  </si>
  <si>
    <t>J</t>
  </si>
  <si>
    <t>MARAN GAS</t>
  </si>
  <si>
    <t>NAKILAT</t>
  </si>
  <si>
    <t>VLGC</t>
  </si>
  <si>
    <t>ASAYD</t>
  </si>
  <si>
    <t>G</t>
  </si>
  <si>
    <t>BS250019</t>
  </si>
  <si>
    <t>케이라인 조인트 벤처 174000CBM 엘엔지캐리어</t>
  </si>
  <si>
    <t>2593</t>
  </si>
  <si>
    <t>BS250020</t>
  </si>
  <si>
    <t>2594</t>
  </si>
  <si>
    <t>BS250023</t>
  </si>
  <si>
    <t>2595</t>
  </si>
  <si>
    <t>BS250024</t>
  </si>
  <si>
    <t>2587</t>
  </si>
  <si>
    <t>BS250026</t>
  </si>
  <si>
    <t>2588</t>
  </si>
  <si>
    <t>BS250027</t>
  </si>
  <si>
    <t>2589</t>
  </si>
  <si>
    <t>BS250028</t>
  </si>
  <si>
    <t>2590</t>
  </si>
  <si>
    <t>BS250029</t>
  </si>
  <si>
    <t>2591</t>
  </si>
  <si>
    <t>BS250030</t>
  </si>
  <si>
    <t>2592</t>
  </si>
  <si>
    <t>PE250011</t>
  </si>
  <si>
    <t>VALMET</t>
  </si>
  <si>
    <t>MIRFA</t>
  </si>
  <si>
    <t>1969189</t>
  </si>
  <si>
    <t>EUR</t>
  </si>
  <si>
    <t>BE250014</t>
  </si>
  <si>
    <t>Wadd Al-Shaml project</t>
  </si>
  <si>
    <t>P250875</t>
  </si>
  <si>
    <t>BE250016</t>
  </si>
  <si>
    <t>E25-82C TEOK-C2 Sublimator</t>
  </si>
  <si>
    <t>FP25-05757</t>
  </si>
  <si>
    <t>BE250017</t>
  </si>
  <si>
    <t>GTG</t>
  </si>
  <si>
    <t>41910-98020</t>
  </si>
  <si>
    <t>PE250013</t>
  </si>
  <si>
    <t>MC250013</t>
  </si>
  <si>
    <t>4507824805</t>
  </si>
  <si>
    <t>PE250017</t>
  </si>
  <si>
    <t>EUR</t>
    <phoneticPr fontId="5" type="noConversion"/>
  </si>
  <si>
    <t>BE250015</t>
  </si>
  <si>
    <t>Deepwater Conqueror</t>
  </si>
  <si>
    <t>3073002827</t>
  </si>
  <si>
    <t>KP250035</t>
  </si>
  <si>
    <t>1073364968</t>
  </si>
  <si>
    <t>KP250038</t>
  </si>
  <si>
    <t>1073372757</t>
  </si>
  <si>
    <t>INA FCB</t>
  </si>
  <si>
    <t>PD250011</t>
  </si>
  <si>
    <t>HAI ANH JSC PJT</t>
  </si>
  <si>
    <t>C250402</t>
  </si>
  <si>
    <t>PD250013</t>
  </si>
  <si>
    <t>SHUAIBAH 3 IWP PROJECT</t>
  </si>
  <si>
    <t xml:space="preserve"> PO.2023004046</t>
  </si>
  <si>
    <t>BD250014</t>
  </si>
  <si>
    <t>P5P17HS-01</t>
  </si>
  <si>
    <t>BD250015</t>
  </si>
  <si>
    <t>Sharqiyah PJT</t>
  </si>
  <si>
    <t>2025006758</t>
  </si>
  <si>
    <t>BD250016</t>
  </si>
  <si>
    <t>PO.2023004046</t>
  </si>
  <si>
    <t>PD250014</t>
  </si>
  <si>
    <t>한성자동밸브</t>
  </si>
  <si>
    <t>SHAHEEN PROJECT _ 2 years recommended Spare Part (Optional Price)</t>
  </si>
  <si>
    <t>BS250032</t>
  </si>
  <si>
    <t>VEGA DREAM NAMURA 331</t>
  </si>
  <si>
    <t>FB25081312</t>
  </si>
  <si>
    <t>PS250034</t>
  </si>
  <si>
    <t>JWV2502-2811</t>
  </si>
  <si>
    <t>EM250003</t>
  </si>
  <si>
    <t>HYUNDAI S102</t>
  </si>
  <si>
    <t>JWV2410-2913</t>
  </si>
  <si>
    <t>BS250034</t>
  </si>
  <si>
    <t>MURWAB DSME 2251</t>
  </si>
  <si>
    <t>HF-250207177</t>
  </si>
  <si>
    <t>BS250035</t>
  </si>
  <si>
    <t>WOODSIDE ROGERS DSME 2288</t>
  </si>
  <si>
    <t>FB25091803</t>
  </si>
  <si>
    <t>PS250037</t>
  </si>
  <si>
    <t>BS250036</t>
  </si>
  <si>
    <t>BW PAVILION ARANDA DSME 2489</t>
  </si>
  <si>
    <t>FB25082342</t>
  </si>
  <si>
    <t>PS250040</t>
  </si>
  <si>
    <t>BS250039</t>
  </si>
  <si>
    <t>HD한국조선해양</t>
  </si>
  <si>
    <t>YM1590</t>
  </si>
  <si>
    <t>DCI1590V15</t>
  </si>
  <si>
    <t>BS250040</t>
  </si>
  <si>
    <t>YM1591</t>
  </si>
  <si>
    <t>DCI1591V15</t>
  </si>
  <si>
    <t>BS250041</t>
  </si>
  <si>
    <t>YM1636</t>
  </si>
  <si>
    <t>DCI1636V15</t>
  </si>
  <si>
    <t>BS250042</t>
  </si>
  <si>
    <t>YM1637</t>
  </si>
  <si>
    <t>DCI163７V15</t>
  </si>
  <si>
    <t>BS250043</t>
  </si>
  <si>
    <t>HILI DSME 5455</t>
  </si>
  <si>
    <t>NC-2504-0267</t>
  </si>
  <si>
    <t>BS250044</t>
  </si>
  <si>
    <t>OOCL CHICAGO CSBC 789</t>
  </si>
  <si>
    <t>A-25035594</t>
  </si>
  <si>
    <t>BS250045</t>
  </si>
  <si>
    <t>HOUSTON VOYAGER DSME 5450</t>
  </si>
  <si>
    <t>FB25052141</t>
  </si>
  <si>
    <t>PS250045</t>
  </si>
  <si>
    <t>K</t>
  </si>
  <si>
    <t>BS250031</t>
  </si>
  <si>
    <t>2596</t>
  </si>
  <si>
    <t>BS250033</t>
  </si>
  <si>
    <t>2376</t>
  </si>
  <si>
    <t>BS250037</t>
  </si>
  <si>
    <t>2602</t>
  </si>
  <si>
    <t>BS250038</t>
  </si>
  <si>
    <t>2603</t>
  </si>
  <si>
    <t>BS250046</t>
  </si>
  <si>
    <t>5512</t>
  </si>
  <si>
    <t>BS250047</t>
  </si>
  <si>
    <t>5513</t>
  </si>
  <si>
    <t>PE230043</t>
  </si>
  <si>
    <t>-</t>
  </si>
  <si>
    <t>QATAR ENERGY</t>
  </si>
  <si>
    <t>PE250019</t>
  </si>
  <si>
    <t>CFP (SULFUR &amp; HHI UNIT)</t>
  </si>
  <si>
    <t>P-4-12-25</t>
  </si>
  <si>
    <t>RS250005</t>
  </si>
  <si>
    <t>PE250021</t>
  </si>
  <si>
    <t>RAS Abu Fonatas B Station</t>
  </si>
  <si>
    <t>450826</t>
  </si>
  <si>
    <t>PE250022</t>
  </si>
  <si>
    <t>FP25-05797</t>
  </si>
  <si>
    <t>PE250023</t>
  </si>
  <si>
    <t>VAPCO</t>
  </si>
  <si>
    <t>Vung Ang2 Thermal Power Plant Project</t>
  </si>
  <si>
    <t>GAC-PUR-50006</t>
  </si>
  <si>
    <t>BE250022</t>
  </si>
  <si>
    <t>Darajat　U3</t>
  </si>
  <si>
    <t>WSK250221-0BV_R3-PO</t>
  </si>
  <si>
    <t>BE250023</t>
  </si>
  <si>
    <t>HONG KONG-LAMMA UNIT-13 COMBINED CYCLE POWER PLANT</t>
  </si>
  <si>
    <t>WSK2502070BV-R3-PO</t>
  </si>
  <si>
    <t>BE250024</t>
  </si>
  <si>
    <t>Orot Rabin Unit 5 &amp; Unit 6-Spare Parts</t>
  </si>
  <si>
    <t>P251280 / 20250672</t>
  </si>
  <si>
    <t>MC250018</t>
  </si>
  <si>
    <t>PE250024</t>
  </si>
  <si>
    <t>MHPS TRF CCPP, Japan</t>
  </si>
  <si>
    <t>PE250025</t>
  </si>
  <si>
    <t>P-6-15-25</t>
  </si>
  <si>
    <t>RS250007</t>
  </si>
  <si>
    <t>P-6-15-2025</t>
  </si>
  <si>
    <t>RS250009</t>
  </si>
  <si>
    <t>Ras Abu Fontas B Station</t>
  </si>
  <si>
    <t>451065</t>
  </si>
  <si>
    <t>MC250019</t>
  </si>
  <si>
    <t xml:space="preserve">KITZ </t>
  </si>
  <si>
    <t>BE250018</t>
  </si>
  <si>
    <t>SATORP</t>
  </si>
  <si>
    <t>JUBAIL</t>
  </si>
  <si>
    <t>9000017117</t>
  </si>
  <si>
    <t>BE250019</t>
  </si>
  <si>
    <t>1021755274</t>
  </si>
  <si>
    <t>BE250020</t>
  </si>
  <si>
    <t>30710006558</t>
  </si>
  <si>
    <t>BE250021</t>
  </si>
  <si>
    <t>BE250025</t>
  </si>
  <si>
    <t>DS25-04-01 JSW</t>
  </si>
  <si>
    <t>1021763562</t>
  </si>
  <si>
    <t>BE250026</t>
  </si>
  <si>
    <t>1021763576</t>
  </si>
  <si>
    <t>ANA ENG</t>
  </si>
  <si>
    <t>HKC</t>
  </si>
  <si>
    <t>KP250043</t>
  </si>
  <si>
    <t>1073401478</t>
  </si>
  <si>
    <t>KP250046</t>
  </si>
  <si>
    <t>1073428361</t>
  </si>
  <si>
    <t>KP250047</t>
  </si>
  <si>
    <t>1073435714</t>
  </si>
  <si>
    <t>KP250048</t>
  </si>
  <si>
    <t>1073444405</t>
  </si>
  <si>
    <t>KP250049</t>
  </si>
  <si>
    <t>1073449977</t>
  </si>
  <si>
    <t>KP250051</t>
  </si>
  <si>
    <t>1073452221</t>
  </si>
  <si>
    <t>KP250052</t>
  </si>
  <si>
    <t>H-20250528-00</t>
  </si>
  <si>
    <t>KP250053</t>
  </si>
  <si>
    <t>KITZ Chino Plant</t>
  </si>
  <si>
    <t>CS250529-01</t>
  </si>
  <si>
    <t>PD250015</t>
  </si>
  <si>
    <t>공감글로벌</t>
  </si>
  <si>
    <t>NGHI SON 2 POWER PLANT SPARE</t>
  </si>
  <si>
    <t>G250425</t>
  </si>
  <si>
    <t>PD250016</t>
  </si>
  <si>
    <t>WTTCO 6300</t>
  </si>
  <si>
    <t>OVK2505121</t>
  </si>
  <si>
    <t>BD250017</t>
  </si>
  <si>
    <t>위례 O&amp;M - 25년 위례사업소 기계파트 일반 소모</t>
  </si>
  <si>
    <t>CTR250500060</t>
  </si>
  <si>
    <t>RS250008</t>
  </si>
  <si>
    <t>BD250018</t>
  </si>
  <si>
    <t>CIREBON INDONESIA</t>
  </si>
  <si>
    <t>PO.25057/SERIO/CE/V/2025</t>
  </si>
  <si>
    <t>BD250019</t>
  </si>
  <si>
    <t>GS E&amp;C</t>
  </si>
  <si>
    <t>동북아 LNG HUB 터미널 1단계 1차 EPCC</t>
  </si>
  <si>
    <t>조선</t>
  </si>
  <si>
    <t>BS250048</t>
  </si>
  <si>
    <t>MITAKE MHI 2281</t>
  </si>
  <si>
    <t>MOJ25042401</t>
  </si>
  <si>
    <t>BS250049</t>
  </si>
  <si>
    <t>YUYO SPIRITS MHI 2240</t>
  </si>
  <si>
    <t>FB25086966</t>
  </si>
  <si>
    <t>BS250050</t>
  </si>
  <si>
    <t>NORA MAERSK CSK 745</t>
  </si>
  <si>
    <t>FB25082161</t>
  </si>
  <si>
    <t>PS250048</t>
  </si>
  <si>
    <t>UNIVERSAL VICTOR DSME 5448</t>
  </si>
  <si>
    <t>D-25005146</t>
  </si>
  <si>
    <t>PS250049</t>
  </si>
  <si>
    <t>LEGEND PROSPERITY MHI 2314</t>
  </si>
  <si>
    <t>FB25109689</t>
  </si>
  <si>
    <t>EM250004</t>
  </si>
  <si>
    <t>LAUREL PRIME MHI 2331</t>
  </si>
  <si>
    <t>JH-25040002</t>
  </si>
  <si>
    <t>BS250052</t>
  </si>
  <si>
    <t>AN-250424004</t>
  </si>
  <si>
    <t>PS250052</t>
  </si>
  <si>
    <t>SIDR DSME 5461</t>
  </si>
  <si>
    <t>25CF12417</t>
  </si>
  <si>
    <t>PS250053</t>
  </si>
  <si>
    <t>PETRONAS SPARE</t>
  </si>
  <si>
    <t>WPS/0067/05/2025</t>
  </si>
  <si>
    <t>EM250005</t>
  </si>
  <si>
    <t>TORRENS MHI 2196</t>
  </si>
  <si>
    <t>FB25116354</t>
  </si>
  <si>
    <t>PS250054</t>
  </si>
  <si>
    <t>DSME 5461</t>
  </si>
  <si>
    <t>MSL25051904</t>
  </si>
  <si>
    <t>BS250053</t>
  </si>
  <si>
    <t>H2572 60K LPGC</t>
  </si>
  <si>
    <t>DLI2572V13</t>
  </si>
  <si>
    <t>BS250054</t>
  </si>
  <si>
    <t>H2573 60K LPGC</t>
  </si>
  <si>
    <t>DLI2573V13</t>
  </si>
  <si>
    <t>BS250055</t>
  </si>
  <si>
    <t>H2574 60K LPGC</t>
  </si>
  <si>
    <t>DLI2574V13</t>
  </si>
  <si>
    <t>BS250056</t>
  </si>
  <si>
    <t>H2575 60K LPGC</t>
  </si>
  <si>
    <t>DLI2575V13</t>
  </si>
  <si>
    <t>BS250057</t>
  </si>
  <si>
    <t>HN3516 88,000 LPCG</t>
  </si>
  <si>
    <t>DLH3516V15</t>
  </si>
  <si>
    <t>BS250058</t>
  </si>
  <si>
    <t>HN3517 88,000 LPCG</t>
  </si>
  <si>
    <t>DLH3517V15</t>
  </si>
  <si>
    <t>BS250059</t>
  </si>
  <si>
    <t>HN3518 88,000 LPCG</t>
  </si>
  <si>
    <t>DLH3518V15</t>
  </si>
  <si>
    <t>BS250060</t>
  </si>
  <si>
    <t>ESSHU MARU MHI 2298</t>
  </si>
  <si>
    <t>FB25128975</t>
  </si>
  <si>
    <t>PS250055</t>
  </si>
  <si>
    <t>MARAN GAS VERGINA DSME 2414</t>
  </si>
  <si>
    <t>BK2505140O</t>
  </si>
  <si>
    <t>Q</t>
  </si>
  <si>
    <t>L</t>
  </si>
  <si>
    <t>I</t>
  </si>
  <si>
    <t>BS250051</t>
  </si>
  <si>
    <t>5514</t>
  </si>
  <si>
    <r>
      <t>6월 수주잔액 (受注</t>
    </r>
    <r>
      <rPr>
        <b/>
        <u val="double"/>
        <sz val="28"/>
        <color rgb="FF000000"/>
        <rFont val="새굴림"/>
        <family val="1"/>
        <charset val="129"/>
      </rPr>
      <t>残</t>
    </r>
    <r>
      <rPr>
        <b/>
        <u val="double"/>
        <sz val="28"/>
        <color rgb="FF000000"/>
        <rFont val="맑은 고딕"/>
        <family val="3"/>
        <charset val="129"/>
        <scheme val="minor"/>
      </rPr>
      <t>高)</t>
    </r>
    <phoneticPr fontId="5" type="noConversion"/>
  </si>
  <si>
    <t>PE250027</t>
  </si>
  <si>
    <t>GE Vernova</t>
  </si>
  <si>
    <t>Hsinta CCPP Unit 1-3 EM45</t>
  </si>
  <si>
    <t>C00PHB50QM821</t>
  </si>
  <si>
    <t>PE250028</t>
  </si>
  <si>
    <t>안양 2-2호기 ANYANG POWER PLANT</t>
  </si>
  <si>
    <t>4102518895 / 0</t>
  </si>
  <si>
    <t>PE250029</t>
  </si>
  <si>
    <t>NOMAC</t>
  </si>
  <si>
    <t>Shuaiba three water Development Project Co.</t>
  </si>
  <si>
    <t>8700001312</t>
  </si>
  <si>
    <t>BE250031</t>
  </si>
  <si>
    <t>Yanai-3 in Japan</t>
  </si>
  <si>
    <t>WSK250307-0BV_R4-PO</t>
  </si>
  <si>
    <t>BE250027</t>
  </si>
  <si>
    <t>KITZ (National Slaes Division)</t>
  </si>
  <si>
    <t>SS365</t>
  </si>
  <si>
    <t>1021775649</t>
  </si>
  <si>
    <t>BE250028</t>
  </si>
  <si>
    <t>SS366</t>
  </si>
  <si>
    <t>1021775653</t>
  </si>
  <si>
    <t>BE250029</t>
  </si>
  <si>
    <t>SS367</t>
  </si>
  <si>
    <t>1021775658</t>
  </si>
  <si>
    <t>BE250030</t>
  </si>
  <si>
    <t>SS368</t>
  </si>
  <si>
    <t>1021775661</t>
  </si>
  <si>
    <t>KP250055</t>
  </si>
  <si>
    <t>1073460499</t>
  </si>
  <si>
    <t>KP250056</t>
  </si>
  <si>
    <t>1073474074</t>
  </si>
  <si>
    <t>KP250057</t>
  </si>
  <si>
    <t>1073482851</t>
  </si>
  <si>
    <t>KP250058</t>
  </si>
  <si>
    <t>1073482006</t>
  </si>
  <si>
    <t>KP250059</t>
  </si>
  <si>
    <t>1073487343</t>
  </si>
  <si>
    <t>담당자</t>
  </si>
  <si>
    <t>KITZ STOCK</t>
  </si>
  <si>
    <t>KI250011</t>
  </si>
  <si>
    <t>1073468873</t>
  </si>
  <si>
    <t>O</t>
  </si>
  <si>
    <t>KZ250004</t>
  </si>
  <si>
    <t>202506270001</t>
  </si>
  <si>
    <t>RS250011</t>
  </si>
  <si>
    <t>POWN250307182</t>
  </si>
  <si>
    <t>PD250017</t>
  </si>
  <si>
    <t>RAS GIRTAS POWER COMPANY</t>
  </si>
  <si>
    <t>PO-SG-SF-255-CJ</t>
  </si>
  <si>
    <t>RS250012</t>
  </si>
  <si>
    <t>EM250006</t>
  </si>
  <si>
    <t>현대중공업터보기계</t>
  </si>
  <si>
    <t>공주천연가스발전</t>
  </si>
  <si>
    <t>추후통보</t>
  </si>
  <si>
    <t>PD250018</t>
  </si>
  <si>
    <t>삼성물산</t>
  </si>
  <si>
    <t>Mandatory Spare Parts for MOV (Butterfly Valve)</t>
  </si>
  <si>
    <t>AMOS-SCT-SITE-PO-SP016</t>
  </si>
  <si>
    <t>PD250019</t>
  </si>
  <si>
    <t>Shuaibah3 IWP Project</t>
  </si>
  <si>
    <t>2025009348</t>
  </si>
  <si>
    <t>BD250021</t>
  </si>
  <si>
    <t>PO-20259697</t>
  </si>
  <si>
    <t>BS250061</t>
  </si>
  <si>
    <t>DSME 2479</t>
  </si>
  <si>
    <t>FB25119044-1</t>
  </si>
  <si>
    <t>PS250056</t>
  </si>
  <si>
    <t>FB25119044</t>
  </si>
  <si>
    <t>BS250062</t>
  </si>
  <si>
    <t>ZAYNAH DSME 5461</t>
  </si>
  <si>
    <t>MLS25051314</t>
  </si>
  <si>
    <t>PS250063</t>
  </si>
  <si>
    <t>HF-250592523</t>
  </si>
  <si>
    <t>PS250064</t>
  </si>
  <si>
    <t>ENERGY PACIFIC DSME 2483</t>
  </si>
  <si>
    <t>HF-250592475</t>
  </si>
  <si>
    <t>BS250063</t>
  </si>
  <si>
    <t>한국조선해양</t>
  </si>
  <si>
    <t>EPS CAPITAL 3471 AFSS</t>
  </si>
  <si>
    <t>DLH3471V14</t>
  </si>
  <si>
    <t>BS250064</t>
  </si>
  <si>
    <t>EPS CAPITAL 3468 AFSS</t>
  </si>
  <si>
    <t>DLH3468V14</t>
  </si>
  <si>
    <t>BS250065</t>
  </si>
  <si>
    <t>UNIVERSAL WINNER DSME 5445</t>
  </si>
  <si>
    <t>D-25003028</t>
  </si>
  <si>
    <t>EM250007</t>
  </si>
  <si>
    <t>ALANOOD S101</t>
  </si>
  <si>
    <t>HF-250546433</t>
  </si>
  <si>
    <t>PS250065</t>
  </si>
  <si>
    <t>DSME 2447</t>
  </si>
  <si>
    <t>JWV2506-1613</t>
  </si>
  <si>
    <t>EM250008</t>
  </si>
  <si>
    <t>MORNING CELINE 1499</t>
  </si>
  <si>
    <t>FB25068549</t>
  </si>
  <si>
    <t>PS250066</t>
  </si>
  <si>
    <t>HD-25061203</t>
  </si>
  <si>
    <t>AP250013</t>
  </si>
  <si>
    <t>2530 2544 GEAR AS</t>
  </si>
  <si>
    <t>4388-93 WD133 WD134 EXT</t>
  </si>
  <si>
    <t>AP250014</t>
  </si>
  <si>
    <t>2585-2586 IG022-026 GEAR</t>
  </si>
  <si>
    <t>38</t>
  </si>
  <si>
    <t>14</t>
  </si>
  <si>
    <t>33</t>
  </si>
  <si>
    <t>10</t>
  </si>
  <si>
    <t>V</t>
  </si>
  <si>
    <t>T</t>
  </si>
  <si>
    <t>8</t>
  </si>
  <si>
    <t>P</t>
  </si>
  <si>
    <t>PS250058</t>
  </si>
  <si>
    <t>H4389</t>
  </si>
  <si>
    <t>PS250059</t>
  </si>
  <si>
    <t>H4390</t>
  </si>
  <si>
    <t>PS250060</t>
  </si>
  <si>
    <t>H4391</t>
  </si>
  <si>
    <t>PS250061</t>
  </si>
  <si>
    <t>H4392</t>
  </si>
  <si>
    <t>PS250062</t>
  </si>
  <si>
    <t>H4393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</si>
</sst>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mm&quot;월&quot;\ dd&quot;일&quot;"/>
    <numFmt numFmtId="177" formatCode="_-* #,##0.00_-;\-* #,##0.00_-;_-* &quot;-&quot;_-;_-@_-"/>
    <numFmt numFmtId="178" formatCode="m&quot;/&quot;d"/>
    <numFmt numFmtId="179" formatCode="&quot;₩&quot;#,##0_);[Red]\(&quot;₩&quot;#,##0\)"/>
    <numFmt numFmtId="180" formatCode="_-[$$-409]* #,##0.00_ ;_-[$$-409]* \-#,##0.00\ ;_-[$$-409]* &quot;-&quot;??_ ;_-@_ "/>
    <numFmt numFmtId="181" formatCode="_-[$₩-412]* #,##0_-;\-[$₩-412]* #,##0_-;_-[$₩-412]* &quot;-&quot;??_-;_-@_-"/>
    <numFmt numFmtId="182" formatCode="_-[$€-2]\ * #,##0.00_-;\-[$€-2]\ * #,##0.00_-;_-[$€-2]\ * &quot;-&quot;??_-;_-@_-"/>
    <numFmt numFmtId="183" formatCode="_-[$₩-412]* #,##0.00_-;\-[$₩-412]* #,##0.00_-;_-[$₩-412]* &quot;-&quot;??_-;_-@_-"/>
    <numFmt numFmtId="184" formatCode="_-[$£-809]* #,##0.00_-;\-[$£-809]* #,##0.00_-;_-[$£-809]* &quot;-&quot;??_-;_-@_-"/>
  </numFmts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 val="double"/>
      <sz val="28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8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1"/>
      <name val="돋움"/>
      <family val="2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u/>
      <sz val="8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u val="double"/>
      <sz val="28"/>
      <color rgb="FF000000"/>
      <name val="새굴림"/>
      <family val="1"/>
      <charset val="129"/>
    </font>
    <font>
      <b/>
      <u val="double"/>
      <sz val="28"/>
      <color rgb="FF00000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u val="double"/>
      <sz val="10"/>
      <color indexed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name val="Arial"/>
      <family val="2"/>
      <charset val="129"/>
    </font>
    <font>
      <b/>
      <sz val="10"/>
      <name val="Malgun Gothic"/>
      <family val="2"/>
      <charset val="129"/>
    </font>
    <font>
      <b/>
      <sz val="10"/>
      <name val="Arial"/>
      <family val="2"/>
    </font>
    <font>
      <b/>
      <u val="double"/>
      <sz val="8"/>
      <color indexed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6" fillId="2" borderId="0" xfId="3" applyFont="1" applyFill="1" applyAlignment="1">
      <alignment horizontal="center" vertical="center"/>
    </xf>
    <xf numFmtId="176" fontId="7" fillId="0" borderId="0" xfId="3" applyNumberFormat="1" applyFont="1" applyAlignment="1">
      <alignment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vertical="center" shrinkToFit="1"/>
    </xf>
    <xf numFmtId="14" fontId="8" fillId="0" borderId="0" xfId="3" applyNumberFormat="1" applyFont="1" applyAlignment="1">
      <alignment vertical="center"/>
    </xf>
    <xf numFmtId="14" fontId="8" fillId="0" borderId="0" xfId="3" applyNumberFormat="1" applyFont="1" applyAlignment="1">
      <alignment vertical="center" shrinkToFit="1"/>
    </xf>
    <xf numFmtId="14" fontId="8" fillId="0" borderId="0" xfId="3" applyNumberFormat="1" applyFont="1" applyAlignment="1">
      <alignment horizontal="right" vertical="center" shrinkToFit="1"/>
    </xf>
    <xf numFmtId="177" fontId="7" fillId="0" borderId="0" xfId="1" applyNumberFormat="1" applyFont="1" applyAlignment="1"/>
    <xf numFmtId="0" fontId="8" fillId="0" borderId="1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 shrinkToFit="1"/>
    </xf>
    <xf numFmtId="0" fontId="16" fillId="3" borderId="0" xfId="4" applyFont="1" applyFill="1" applyAlignment="1">
      <alignment horizontal="center" vertical="center"/>
    </xf>
    <xf numFmtId="14" fontId="16" fillId="4" borderId="0" xfId="4" applyNumberFormat="1" applyFont="1" applyFill="1" applyAlignment="1">
      <alignment horizontal="center" vertical="center"/>
    </xf>
    <xf numFmtId="0" fontId="8" fillId="0" borderId="0" xfId="3" applyFont="1" applyAlignment="1">
      <alignment horizontal="right" vertical="center"/>
    </xf>
    <xf numFmtId="9" fontId="6" fillId="0" borderId="0" xfId="2" applyFont="1" applyBorder="1" applyAlignment="1">
      <alignment horizontal="right" vertical="center"/>
    </xf>
    <xf numFmtId="0" fontId="8" fillId="2" borderId="2" xfId="3" applyFont="1" applyFill="1" applyBorder="1" applyAlignment="1">
      <alignment horizontal="center" vertical="center"/>
    </xf>
    <xf numFmtId="0" fontId="8" fillId="0" borderId="3" xfId="1" applyNumberFormat="1" applyFont="1" applyFill="1" applyBorder="1" applyAlignment="1">
      <alignment horizontal="center" vertical="center" shrinkToFit="1"/>
    </xf>
    <xf numFmtId="14" fontId="8" fillId="0" borderId="3" xfId="3" quotePrefix="1" applyNumberFormat="1" applyFont="1" applyBorder="1" applyAlignment="1">
      <alignment horizontal="center" vertical="center" shrinkToFit="1"/>
    </xf>
    <xf numFmtId="41" fontId="15" fillId="0" borderId="3" xfId="1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horizontal="right" vertical="center"/>
    </xf>
    <xf numFmtId="0" fontId="8" fillId="0" borderId="1" xfId="1" applyNumberFormat="1" applyFont="1" applyFill="1" applyBorder="1" applyAlignment="1">
      <alignment horizontal="center" vertical="center" wrapText="1"/>
    </xf>
    <xf numFmtId="9" fontId="8" fillId="0" borderId="0" xfId="2" applyFont="1" applyAlignment="1">
      <alignment horizontal="center" vertical="center"/>
    </xf>
    <xf numFmtId="0" fontId="8" fillId="0" borderId="1" xfId="3" applyFont="1" applyBorder="1" applyAlignment="1">
      <alignment horizontal="center" vertical="center" shrinkToFit="1"/>
    </xf>
    <xf numFmtId="0" fontId="8" fillId="0" borderId="3" xfId="1" applyNumberFormat="1" applyFont="1" applyFill="1" applyBorder="1" applyAlignment="1">
      <alignment horizontal="center" vertical="center" wrapText="1" shrinkToFit="1"/>
    </xf>
    <xf numFmtId="0" fontId="8" fillId="0" borderId="3" xfId="1" applyNumberFormat="1" applyFont="1" applyFill="1" applyBorder="1" applyAlignment="1">
      <alignment horizontal="right" vertical="center"/>
    </xf>
    <xf numFmtId="0" fontId="15" fillId="0" borderId="1" xfId="3" applyFont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right" vertical="center"/>
    </xf>
    <xf numFmtId="41" fontId="19" fillId="5" borderId="3" xfId="1" applyFont="1" applyFill="1" applyBorder="1" applyAlignment="1">
      <alignment horizontal="center" vertical="center" shrinkToFit="1"/>
    </xf>
    <xf numFmtId="14" fontId="19" fillId="5" borderId="3" xfId="1" applyNumberFormat="1" applyFont="1" applyFill="1" applyBorder="1" applyAlignment="1">
      <alignment vertical="center"/>
    </xf>
    <xf numFmtId="180" fontId="15" fillId="0" borderId="1" xfId="1" applyNumberFormat="1" applyFont="1" applyFill="1" applyBorder="1" applyAlignment="1">
      <alignment horizontal="center" vertical="center"/>
    </xf>
    <xf numFmtId="0" fontId="24" fillId="0" borderId="3" xfId="1" applyNumberFormat="1" applyFont="1" applyFill="1" applyBorder="1" applyAlignment="1">
      <alignment horizontal="center" vertical="center" shrinkToFit="1"/>
    </xf>
    <xf numFmtId="9" fontId="6" fillId="0" borderId="0" xfId="2" applyFont="1" applyBorder="1" applyAlignment="1">
      <alignment horizontal="right" vertical="center" shrinkToFit="1"/>
    </xf>
    <xf numFmtId="181" fontId="13" fillId="0" borderId="3" xfId="1" applyNumberFormat="1" applyFont="1" applyFill="1" applyBorder="1" applyAlignment="1">
      <alignment horizontal="right" vertical="center" shrinkToFit="1"/>
    </xf>
    <xf numFmtId="179" fontId="19" fillId="5" borderId="3" xfId="1" applyNumberFormat="1" applyFont="1" applyFill="1" applyBorder="1" applyAlignment="1">
      <alignment horizontal="right" vertical="center" shrinkToFit="1"/>
    </xf>
    <xf numFmtId="9" fontId="8" fillId="0" borderId="0" xfId="2" applyFont="1" applyAlignment="1">
      <alignment horizontal="center" vertical="center" shrinkToFit="1"/>
    </xf>
    <xf numFmtId="41" fontId="8" fillId="0" borderId="3" xfId="1" applyFont="1" applyFill="1" applyBorder="1" applyAlignment="1">
      <alignment horizontal="right" vertical="center"/>
    </xf>
    <xf numFmtId="41" fontId="25" fillId="0" borderId="0" xfId="1" applyFont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41" fontId="8" fillId="0" borderId="0" xfId="1" applyFont="1" applyAlignment="1">
      <alignment horizontal="center" vertical="center"/>
    </xf>
    <xf numFmtId="41" fontId="8" fillId="0" borderId="0" xfId="1" applyFont="1" applyAlignment="1">
      <alignment vertical="center"/>
    </xf>
    <xf numFmtId="0" fontId="17" fillId="0" borderId="0" xfId="3" applyFont="1"/>
    <xf numFmtId="41" fontId="6" fillId="0" borderId="0" xfId="1" applyFont="1" applyBorder="1" applyAlignment="1">
      <alignment horizontal="center" vertical="center"/>
    </xf>
    <xf numFmtId="41" fontId="6" fillId="0" borderId="0" xfId="1" applyFont="1" applyBorder="1" applyAlignment="1">
      <alignment horizontal="right" vertical="center"/>
    </xf>
    <xf numFmtId="41" fontId="8" fillId="2" borderId="2" xfId="1" applyFont="1" applyFill="1" applyBorder="1" applyAlignment="1">
      <alignment horizontal="center" vertical="center"/>
    </xf>
    <xf numFmtId="0" fontId="27" fillId="2" borderId="2" xfId="3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center" vertical="center" wrapText="1"/>
    </xf>
    <xf numFmtId="0" fontId="27" fillId="0" borderId="1" xfId="3" applyFont="1" applyBorder="1" applyAlignment="1">
      <alignment horizontal="center" vertical="center"/>
    </xf>
    <xf numFmtId="41" fontId="8" fillId="0" borderId="1" xfId="3" applyNumberFormat="1" applyFont="1" applyBorder="1" applyAlignment="1">
      <alignment horizontal="center" vertical="center"/>
    </xf>
    <xf numFmtId="9" fontId="8" fillId="0" borderId="3" xfId="2" applyFont="1" applyFill="1" applyBorder="1" applyAlignment="1">
      <alignment horizontal="center" vertical="center"/>
    </xf>
    <xf numFmtId="42" fontId="19" fillId="5" borderId="3" xfId="1" applyNumberFormat="1" applyFont="1" applyFill="1" applyBorder="1" applyAlignment="1">
      <alignment horizontal="center" vertical="center"/>
    </xf>
    <xf numFmtId="41" fontId="6" fillId="5" borderId="3" xfId="1" applyFont="1" applyFill="1" applyBorder="1" applyAlignment="1">
      <alignment horizontal="center" vertical="center" shrinkToFit="1"/>
    </xf>
    <xf numFmtId="178" fontId="8" fillId="0" borderId="1" xfId="3" applyNumberFormat="1" applyFont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shrinkToFit="1"/>
    </xf>
    <xf numFmtId="9" fontId="23" fillId="2" borderId="2" xfId="2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 shrinkToFit="1"/>
    </xf>
    <xf numFmtId="14" fontId="6" fillId="2" borderId="2" xfId="3" applyNumberFormat="1" applyFont="1" applyFill="1" applyBorder="1" applyAlignment="1">
      <alignment horizontal="center" vertical="center" wrapText="1"/>
    </xf>
    <xf numFmtId="14" fontId="6" fillId="2" borderId="2" xfId="3" applyNumberFormat="1" applyFont="1" applyFill="1" applyBorder="1" applyAlignment="1">
      <alignment horizontal="center" vertical="center" shrinkToFit="1"/>
    </xf>
    <xf numFmtId="179" fontId="17" fillId="5" borderId="3" xfId="1" applyNumberFormat="1" applyFont="1" applyFill="1" applyBorder="1" applyAlignment="1">
      <alignment horizontal="right" vertical="center"/>
    </xf>
    <xf numFmtId="14" fontId="19" fillId="5" borderId="3" xfId="1" applyNumberFormat="1" applyFont="1" applyFill="1" applyBorder="1" applyAlignment="1">
      <alignment horizontal="center" vertical="center"/>
    </xf>
    <xf numFmtId="14" fontId="6" fillId="5" borderId="3" xfId="1" applyNumberFormat="1" applyFont="1" applyFill="1" applyBorder="1" applyAlignment="1">
      <alignment horizontal="center" vertical="center" shrinkToFit="1"/>
    </xf>
    <xf numFmtId="14" fontId="6" fillId="5" borderId="3" xfId="1" applyNumberFormat="1" applyFont="1" applyFill="1" applyBorder="1" applyAlignment="1">
      <alignment vertical="center" shrinkToFit="1"/>
    </xf>
    <xf numFmtId="41" fontId="6" fillId="2" borderId="2" xfId="1" applyFont="1" applyFill="1" applyBorder="1" applyAlignment="1">
      <alignment horizontal="center" vertical="center" wrapText="1"/>
    </xf>
    <xf numFmtId="0" fontId="3" fillId="0" borderId="0" xfId="3" applyFont="1" applyAlignment="1">
      <alignment horizontal="center" vertical="center"/>
    </xf>
    <xf numFmtId="42" fontId="14" fillId="0" borderId="3" xfId="1" applyNumberFormat="1" applyFont="1" applyFill="1" applyBorder="1" applyAlignment="1">
      <alignment horizontal="right" vertical="center" shrinkToFit="1"/>
    </xf>
    <xf numFmtId="0" fontId="15" fillId="0" borderId="1" xfId="1" applyNumberFormat="1" applyFont="1" applyFill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/>
    </xf>
    <xf numFmtId="41" fontId="31" fillId="0" borderId="0" xfId="1" applyFont="1" applyAlignment="1">
      <alignment horizontal="center" vertical="center"/>
    </xf>
    <xf numFmtId="178" fontId="15" fillId="0" borderId="1" xfId="1" applyNumberFormat="1" applyFont="1" applyFill="1" applyBorder="1" applyAlignment="1">
      <alignment horizontal="center" vertical="center"/>
    </xf>
    <xf numFmtId="41" fontId="27" fillId="0" borderId="1" xfId="1" applyFont="1" applyFill="1" applyBorder="1" applyAlignment="1">
      <alignment horizontal="center" vertical="center" wrapText="1"/>
    </xf>
    <xf numFmtId="42" fontId="15" fillId="0" borderId="1" xfId="11" applyFont="1" applyFill="1" applyBorder="1" applyAlignment="1">
      <alignment horizontal="center" vertical="center"/>
    </xf>
    <xf numFmtId="180" fontId="15" fillId="0" borderId="3" xfId="8" applyNumberFormat="1" applyFont="1" applyFill="1" applyBorder="1" applyAlignment="1">
      <alignment horizontal="center" vertical="center"/>
    </xf>
    <xf numFmtId="14" fontId="8" fillId="0" borderId="1" xfId="3" quotePrefix="1" applyNumberFormat="1" applyFont="1" applyBorder="1" applyAlignment="1">
      <alignment horizontal="center" vertical="center" shrinkToFit="1"/>
    </xf>
    <xf numFmtId="0" fontId="15" fillId="0" borderId="1" xfId="8" applyNumberFormat="1" applyFont="1" applyFill="1" applyBorder="1" applyAlignment="1">
      <alignment horizontal="center" vertical="center" shrinkToFit="1"/>
    </xf>
    <xf numFmtId="180" fontId="15" fillId="0" borderId="1" xfId="8" applyNumberFormat="1" applyFont="1" applyFill="1" applyBorder="1" applyAlignment="1">
      <alignment horizontal="center" vertical="center"/>
    </xf>
    <xf numFmtId="181" fontId="13" fillId="0" borderId="1" xfId="1" applyNumberFormat="1" applyFont="1" applyFill="1" applyBorder="1" applyAlignment="1">
      <alignment horizontal="right" vertical="center" shrinkToFit="1"/>
    </xf>
    <xf numFmtId="179" fontId="17" fillId="5" borderId="3" xfId="1" applyNumberFormat="1" applyFont="1" applyFill="1" applyBorder="1" applyAlignment="1">
      <alignment horizontal="right" vertical="center" shrinkToFit="1"/>
    </xf>
    <xf numFmtId="181" fontId="19" fillId="5" borderId="3" xfId="1" applyNumberFormat="1" applyFont="1" applyFill="1" applyBorder="1" applyAlignment="1">
      <alignment vertical="center" shrinkToFit="1"/>
    </xf>
    <xf numFmtId="41" fontId="6" fillId="5" borderId="3" xfId="1" applyFont="1" applyFill="1" applyBorder="1" applyAlignment="1">
      <alignment horizontal="right" vertical="center" shrinkToFit="1"/>
    </xf>
    <xf numFmtId="41" fontId="19" fillId="5" borderId="3" xfId="1" applyFont="1" applyFill="1" applyBorder="1" applyAlignment="1">
      <alignment horizontal="right" vertical="center" shrinkToFit="1"/>
    </xf>
    <xf numFmtId="180" fontId="15" fillId="0" borderId="3" xfId="1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 shrinkToFit="1"/>
    </xf>
    <xf numFmtId="0" fontId="7" fillId="0" borderId="0" xfId="3" applyFont="1"/>
    <xf numFmtId="14" fontId="8" fillId="0" borderId="1" xfId="3" quotePrefix="1" applyNumberFormat="1" applyFont="1" applyBorder="1" applyAlignment="1">
      <alignment horizontal="center" vertical="center" wrapText="1"/>
    </xf>
    <xf numFmtId="9" fontId="8" fillId="0" borderId="0" xfId="2" applyFont="1" applyAlignment="1">
      <alignment vertical="center"/>
    </xf>
    <xf numFmtId="9" fontId="8" fillId="0" borderId="0" xfId="2" applyFont="1" applyAlignment="1">
      <alignment vertical="center" shrinkToFit="1"/>
    </xf>
    <xf numFmtId="41" fontId="8" fillId="0" borderId="0" xfId="3" applyNumberFormat="1" applyFont="1" applyAlignment="1">
      <alignment horizontal="center" vertical="center"/>
    </xf>
    <xf numFmtId="41" fontId="8" fillId="0" borderId="0" xfId="1" applyFont="1" applyFill="1" applyAlignment="1">
      <alignment horizontal="right" vertical="center"/>
    </xf>
    <xf numFmtId="41" fontId="8" fillId="0" borderId="0" xfId="1" applyFont="1" applyFill="1" applyAlignment="1">
      <alignment vertical="center"/>
    </xf>
    <xf numFmtId="9" fontId="8" fillId="0" borderId="0" xfId="2" applyFont="1" applyFill="1" applyAlignment="1">
      <alignment horizontal="center" vertical="center"/>
    </xf>
    <xf numFmtId="9" fontId="8" fillId="0" borderId="0" xfId="2" applyFont="1" applyFill="1" applyAlignment="1">
      <alignment horizontal="center" vertical="center" shrinkToFit="1"/>
    </xf>
    <xf numFmtId="14" fontId="8" fillId="0" borderId="0" xfId="1" applyNumberFormat="1" applyFont="1" applyFill="1" applyAlignment="1">
      <alignment vertical="center"/>
    </xf>
    <xf numFmtId="14" fontId="8" fillId="0" borderId="0" xfId="1" applyNumberFormat="1" applyFont="1" applyFill="1" applyAlignment="1">
      <alignment vertical="center" shrinkToFit="1"/>
    </xf>
    <xf numFmtId="14" fontId="8" fillId="0" borderId="0" xfId="1" applyNumberFormat="1" applyFont="1" applyFill="1" applyAlignment="1">
      <alignment horizontal="right" vertical="center" shrinkToFit="1"/>
    </xf>
    <xf numFmtId="41" fontId="8" fillId="0" borderId="0" xfId="1" applyFont="1" applyFill="1" applyAlignment="1">
      <alignment horizontal="center" vertical="center"/>
    </xf>
    <xf numFmtId="14" fontId="8" fillId="4" borderId="3" xfId="3" quotePrefix="1" applyNumberFormat="1" applyFont="1" applyFill="1" applyBorder="1" applyAlignment="1">
      <alignment horizontal="center" vertical="center" shrinkToFit="1"/>
    </xf>
    <xf numFmtId="178" fontId="6" fillId="5" borderId="4" xfId="3" applyNumberFormat="1" applyFont="1" applyFill="1" applyBorder="1" applyAlignment="1">
      <alignment horizontal="center" vertical="center"/>
    </xf>
    <xf numFmtId="14" fontId="19" fillId="5" borderId="1" xfId="1" applyNumberFormat="1" applyFont="1" applyFill="1" applyBorder="1" applyAlignment="1">
      <alignment vertical="center"/>
    </xf>
    <xf numFmtId="14" fontId="6" fillId="5" borderId="1" xfId="1" applyNumberFormat="1" applyFont="1" applyFill="1" applyBorder="1" applyAlignment="1">
      <alignment vertical="center" shrinkToFit="1"/>
    </xf>
    <xf numFmtId="9" fontId="8" fillId="0" borderId="1" xfId="2" applyFont="1" applyFill="1" applyBorder="1" applyAlignment="1">
      <alignment horizontal="center" vertical="center" wrapText="1"/>
    </xf>
    <xf numFmtId="180" fontId="13" fillId="0" borderId="1" xfId="0" applyNumberFormat="1" applyFont="1" applyBorder="1" applyAlignment="1">
      <alignment horizontal="right" vertical="center" shrinkToFit="1"/>
    </xf>
    <xf numFmtId="178" fontId="8" fillId="0" borderId="1" xfId="3" applyNumberFormat="1" applyFont="1" applyBorder="1" applyAlignment="1">
      <alignment horizontal="center" vertical="center" wrapText="1"/>
    </xf>
    <xf numFmtId="14" fontId="8" fillId="4" borderId="1" xfId="3" quotePrefix="1" applyNumberFormat="1" applyFont="1" applyFill="1" applyBorder="1" applyAlignment="1">
      <alignment horizontal="center" vertical="center" shrinkToFit="1"/>
    </xf>
    <xf numFmtId="14" fontId="15" fillId="0" borderId="3" xfId="1" applyNumberFormat="1" applyFont="1" applyFill="1" applyBorder="1" applyAlignment="1">
      <alignment horizontal="center" vertical="center" shrinkToFit="1"/>
    </xf>
    <xf numFmtId="42" fontId="19" fillId="5" borderId="3" xfId="1" applyNumberFormat="1" applyFont="1" applyFill="1" applyBorder="1" applyAlignment="1">
      <alignment vertical="center"/>
    </xf>
    <xf numFmtId="0" fontId="8" fillId="0" borderId="3" xfId="3" applyFont="1" applyBorder="1" applyAlignment="1">
      <alignment horizontal="center" vertical="center"/>
    </xf>
    <xf numFmtId="178" fontId="8" fillId="0" borderId="3" xfId="3" applyNumberFormat="1" applyFont="1" applyBorder="1" applyAlignment="1">
      <alignment horizontal="center" vertical="center"/>
    </xf>
    <xf numFmtId="0" fontId="8" fillId="0" borderId="3" xfId="1" applyNumberFormat="1" applyFont="1" applyFill="1" applyBorder="1" applyAlignment="1">
      <alignment horizontal="center" vertical="center" wrapText="1"/>
    </xf>
    <xf numFmtId="179" fontId="13" fillId="0" borderId="3" xfId="0" applyNumberFormat="1" applyFont="1" applyBorder="1" applyAlignment="1">
      <alignment horizontal="right" vertical="center" shrinkToFit="1"/>
    </xf>
    <xf numFmtId="9" fontId="8" fillId="0" borderId="3" xfId="2" applyFont="1" applyFill="1" applyBorder="1" applyAlignment="1">
      <alignment horizontal="center" vertical="center" wrapText="1"/>
    </xf>
    <xf numFmtId="49" fontId="15" fillId="0" borderId="3" xfId="1" applyNumberFormat="1" applyFont="1" applyFill="1" applyBorder="1" applyAlignment="1">
      <alignment horizontal="center" vertical="center" shrinkToFit="1"/>
    </xf>
    <xf numFmtId="0" fontId="15" fillId="0" borderId="3" xfId="1" applyNumberFormat="1" applyFont="1" applyFill="1" applyBorder="1" applyAlignment="1">
      <alignment horizontal="center" vertical="center" shrinkToFit="1"/>
    </xf>
    <xf numFmtId="14" fontId="8" fillId="0" borderId="3" xfId="3" quotePrefix="1" applyNumberFormat="1" applyFont="1" applyBorder="1" applyAlignment="1">
      <alignment horizontal="center" vertical="center" wrapText="1"/>
    </xf>
    <xf numFmtId="0" fontId="10" fillId="0" borderId="3" xfId="2" applyNumberFormat="1" applyFont="1" applyFill="1" applyBorder="1" applyAlignment="1">
      <alignment horizontal="center" vertical="center" shrinkToFit="1"/>
    </xf>
    <xf numFmtId="178" fontId="11" fillId="0" borderId="3" xfId="3" applyNumberFormat="1" applyFont="1" applyBorder="1" applyAlignment="1">
      <alignment horizontal="center" vertical="center" wrapText="1"/>
    </xf>
    <xf numFmtId="178" fontId="8" fillId="0" borderId="3" xfId="3" applyNumberFormat="1" applyFont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 shrinkToFit="1"/>
    </xf>
    <xf numFmtId="181" fontId="14" fillId="0" borderId="1" xfId="0" applyNumberFormat="1" applyFont="1" applyBorder="1" applyAlignment="1">
      <alignment horizontal="right" vertical="center" shrinkToFit="1"/>
    </xf>
    <xf numFmtId="0" fontId="15" fillId="0" borderId="3" xfId="3" applyFont="1" applyBorder="1" applyAlignment="1">
      <alignment horizontal="center" vertical="center"/>
    </xf>
    <xf numFmtId="0" fontId="8" fillId="0" borderId="3" xfId="8" applyNumberFormat="1" applyFont="1" applyFill="1" applyBorder="1" applyAlignment="1">
      <alignment horizontal="center" vertical="center" shrinkToFit="1"/>
    </xf>
    <xf numFmtId="0" fontId="8" fillId="0" borderId="3" xfId="8" applyNumberFormat="1" applyFont="1" applyFill="1" applyBorder="1" applyAlignment="1">
      <alignment horizontal="center" vertical="center" wrapText="1"/>
    </xf>
    <xf numFmtId="26" fontId="10" fillId="0" borderId="1" xfId="2" applyNumberFormat="1" applyFont="1" applyFill="1" applyBorder="1" applyAlignment="1">
      <alignment horizontal="right" vertical="center" shrinkToFit="1"/>
    </xf>
    <xf numFmtId="14" fontId="24" fillId="0" borderId="3" xfId="1" applyNumberFormat="1" applyFont="1" applyFill="1" applyBorder="1" applyAlignment="1">
      <alignment horizontal="center" vertical="center" shrinkToFit="1"/>
    </xf>
    <xf numFmtId="181" fontId="14" fillId="0" borderId="3" xfId="1" applyNumberFormat="1" applyFont="1" applyFill="1" applyBorder="1" applyAlignment="1">
      <alignment horizontal="right" vertical="center" shrinkToFit="1"/>
    </xf>
    <xf numFmtId="181" fontId="13" fillId="0" borderId="1" xfId="0" applyNumberFormat="1" applyFont="1" applyBorder="1" applyAlignment="1">
      <alignment horizontal="right" vertical="center" shrinkToFit="1"/>
    </xf>
    <xf numFmtId="0" fontId="8" fillId="0" borderId="3" xfId="8" applyNumberFormat="1" applyFont="1" applyFill="1" applyBorder="1" applyAlignment="1">
      <alignment horizontal="center" vertical="center" wrapText="1" shrinkToFit="1"/>
    </xf>
    <xf numFmtId="0" fontId="15" fillId="0" borderId="3" xfId="8" applyNumberFormat="1" applyFont="1" applyFill="1" applyBorder="1" applyAlignment="1">
      <alignment horizontal="center" vertical="center" shrinkToFit="1"/>
    </xf>
    <xf numFmtId="178" fontId="15" fillId="0" borderId="3" xfId="1" applyNumberFormat="1" applyFont="1" applyFill="1" applyBorder="1" applyAlignment="1">
      <alignment horizontal="center" vertical="center"/>
    </xf>
    <xf numFmtId="178" fontId="6" fillId="5" borderId="1" xfId="3" applyNumberFormat="1" applyFont="1" applyFill="1" applyBorder="1" applyAlignment="1">
      <alignment horizontal="center" vertical="center"/>
    </xf>
    <xf numFmtId="41" fontId="19" fillId="5" borderId="1" xfId="1" applyFont="1" applyFill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/>
    </xf>
    <xf numFmtId="9" fontId="15" fillId="0" borderId="3" xfId="2" applyFont="1" applyFill="1" applyBorder="1" applyAlignment="1">
      <alignment horizontal="center" vertical="center"/>
    </xf>
    <xf numFmtId="180" fontId="13" fillId="0" borderId="3" xfId="0" applyNumberFormat="1" applyFont="1" applyBorder="1" applyAlignment="1">
      <alignment horizontal="right" vertical="center" shrinkToFit="1"/>
    </xf>
    <xf numFmtId="49" fontId="8" fillId="0" borderId="3" xfId="3" applyNumberFormat="1" applyFont="1" applyBorder="1" applyAlignment="1">
      <alignment horizontal="center" vertical="center"/>
    </xf>
    <xf numFmtId="181" fontId="14" fillId="0" borderId="3" xfId="0" applyNumberFormat="1" applyFont="1" applyBorder="1" applyAlignment="1">
      <alignment horizontal="right" vertical="center" shrinkToFit="1"/>
    </xf>
    <xf numFmtId="14" fontId="8" fillId="4" borderId="3" xfId="3" quotePrefix="1" applyNumberFormat="1" applyFont="1" applyFill="1" applyBorder="1" applyAlignment="1">
      <alignment horizontal="center" vertical="center" wrapText="1"/>
    </xf>
    <xf numFmtId="0" fontId="11" fillId="0" borderId="3" xfId="8" applyNumberFormat="1" applyFont="1" applyFill="1" applyBorder="1" applyAlignment="1">
      <alignment horizontal="center" vertical="center" wrapText="1" shrinkToFit="1"/>
    </xf>
    <xf numFmtId="181" fontId="13" fillId="0" borderId="1" xfId="0" applyNumberFormat="1" applyFont="1" applyBorder="1" applyAlignment="1">
      <alignment horizontal="left" vertical="center" shrinkToFit="1"/>
    </xf>
    <xf numFmtId="180" fontId="14" fillId="0" borderId="1" xfId="0" applyNumberFormat="1" applyFont="1" applyBorder="1" applyAlignment="1">
      <alignment horizontal="right" vertical="center" shrinkToFit="1"/>
    </xf>
    <xf numFmtId="180" fontId="14" fillId="0" borderId="3" xfId="1" applyNumberFormat="1" applyFont="1" applyFill="1" applyBorder="1" applyAlignment="1">
      <alignment horizontal="right" vertical="center" shrinkToFit="1"/>
    </xf>
    <xf numFmtId="0" fontId="6" fillId="0" borderId="3" xfId="3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right" vertical="center" shrinkToFit="1"/>
    </xf>
    <xf numFmtId="0" fontId="32" fillId="0" borderId="1" xfId="3" applyFont="1" applyBorder="1" applyAlignment="1">
      <alignment horizontal="center" vertical="center" shrinkToFit="1"/>
    </xf>
    <xf numFmtId="179" fontId="33" fillId="0" borderId="3" xfId="0" applyNumberFormat="1" applyFont="1" applyBorder="1" applyAlignment="1">
      <alignment horizontal="right" vertical="center" shrinkToFit="1"/>
    </xf>
    <xf numFmtId="180" fontId="20" fillId="6" borderId="1" xfId="0" applyNumberFormat="1" applyFont="1" applyFill="1" applyBorder="1" applyAlignment="1">
      <alignment horizontal="right" vertical="center" shrinkToFit="1"/>
    </xf>
    <xf numFmtId="14" fontId="19" fillId="5" borderId="2" xfId="1" applyNumberFormat="1" applyFont="1" applyFill="1" applyBorder="1" applyAlignment="1">
      <alignment horizontal="center" vertical="center"/>
    </xf>
    <xf numFmtId="0" fontId="8" fillId="0" borderId="0" xfId="3" applyFont="1"/>
    <xf numFmtId="14" fontId="19" fillId="5" borderId="2" xfId="1" applyNumberFormat="1" applyFont="1" applyFill="1" applyBorder="1" applyAlignment="1">
      <alignment vertical="center"/>
    </xf>
    <xf numFmtId="14" fontId="6" fillId="5" borderId="2" xfId="1" applyNumberFormat="1" applyFont="1" applyFill="1" applyBorder="1" applyAlignment="1">
      <alignment vertical="center" shrinkToFit="1"/>
    </xf>
    <xf numFmtId="41" fontId="6" fillId="5" borderId="2" xfId="1" applyFont="1" applyFill="1" applyBorder="1" applyAlignment="1">
      <alignment vertical="center" shrinkToFit="1"/>
    </xf>
    <xf numFmtId="41" fontId="6" fillId="5" borderId="3" xfId="1" applyFont="1" applyFill="1" applyBorder="1" applyAlignment="1">
      <alignment vertical="center" shrinkToFit="1"/>
    </xf>
    <xf numFmtId="42" fontId="19" fillId="5" borderId="2" xfId="1" applyNumberFormat="1" applyFont="1" applyFill="1" applyBorder="1" applyAlignment="1">
      <alignment vertical="center"/>
    </xf>
    <xf numFmtId="179" fontId="17" fillId="5" borderId="1" xfId="1" applyNumberFormat="1" applyFont="1" applyFill="1" applyBorder="1" applyAlignment="1">
      <alignment horizontal="right" vertical="center"/>
    </xf>
    <xf numFmtId="178" fontId="6" fillId="5" borderId="9" xfId="3" applyNumberFormat="1" applyFont="1" applyFill="1" applyBorder="1" applyAlignment="1">
      <alignment horizontal="center" vertical="center"/>
    </xf>
    <xf numFmtId="181" fontId="20" fillId="6" borderId="1" xfId="1" applyNumberFormat="1" applyFont="1" applyFill="1" applyBorder="1" applyAlignment="1">
      <alignment horizontal="right" vertical="center" shrinkToFit="1"/>
    </xf>
    <xf numFmtId="180" fontId="20" fillId="6" borderId="3" xfId="0" applyNumberFormat="1" applyFont="1" applyFill="1" applyBorder="1" applyAlignment="1">
      <alignment horizontal="right" vertical="center" shrinkToFit="1"/>
    </xf>
    <xf numFmtId="179" fontId="17" fillId="5" borderId="1" xfId="1" applyNumberFormat="1" applyFont="1" applyFill="1" applyBorder="1" applyAlignment="1">
      <alignment horizontal="right" vertical="center" shrinkToFit="1"/>
    </xf>
    <xf numFmtId="41" fontId="6" fillId="5" borderId="1" xfId="1" applyFont="1" applyFill="1" applyBorder="1" applyAlignment="1">
      <alignment horizontal="right" vertical="center" shrinkToFit="1"/>
    </xf>
    <xf numFmtId="41" fontId="19" fillId="5" borderId="1" xfId="1" applyFont="1" applyFill="1" applyBorder="1" applyAlignment="1">
      <alignment horizontal="right" vertical="center" shrinkToFit="1"/>
    </xf>
    <xf numFmtId="42" fontId="19" fillId="5" borderId="1" xfId="1" applyNumberFormat="1" applyFont="1" applyFill="1" applyBorder="1" applyAlignment="1">
      <alignment horizontal="center" vertical="center"/>
    </xf>
    <xf numFmtId="181" fontId="19" fillId="5" borderId="1" xfId="1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82" fontId="13" fillId="0" borderId="1" xfId="0" applyNumberFormat="1" applyFont="1" applyBorder="1" applyAlignment="1">
      <alignment horizontal="right" vertical="center" shrinkToFit="1"/>
    </xf>
    <xf numFmtId="180" fontId="33" fillId="0" borderId="1" xfId="0" applyNumberFormat="1" applyFont="1" applyBorder="1" applyAlignment="1">
      <alignment horizontal="right" vertical="center" shrinkToFit="1"/>
    </xf>
    <xf numFmtId="183" fontId="13" fillId="0" borderId="1" xfId="0" applyNumberFormat="1" applyFont="1" applyBorder="1" applyAlignment="1">
      <alignment horizontal="right" vertical="center" shrinkToFit="1"/>
    </xf>
    <xf numFmtId="178" fontId="34" fillId="5" borderId="1" xfId="3" applyNumberFormat="1" applyFont="1" applyFill="1" applyBorder="1" applyAlignment="1">
      <alignment horizontal="center" vertical="center"/>
    </xf>
    <xf numFmtId="0" fontId="7" fillId="0" borderId="1" xfId="3" applyFont="1" applyBorder="1"/>
    <xf numFmtId="0" fontId="34" fillId="6" borderId="9" xfId="3" applyFont="1" applyFill="1" applyBorder="1" applyAlignment="1">
      <alignment horizontal="center" vertical="center" wrapText="1"/>
    </xf>
    <xf numFmtId="182" fontId="34" fillId="6" borderId="1" xfId="2" applyNumberFormat="1" applyFont="1" applyFill="1" applyBorder="1" applyAlignment="1">
      <alignment horizontal="right" vertical="center" shrinkToFit="1"/>
    </xf>
    <xf numFmtId="41" fontId="8" fillId="0" borderId="1" xfId="1" applyFont="1" applyFill="1" applyBorder="1" applyAlignment="1"/>
    <xf numFmtId="0" fontId="8" fillId="0" borderId="1" xfId="3" applyFont="1" applyBorder="1"/>
    <xf numFmtId="14" fontId="19" fillId="5" borderId="15" xfId="1" applyNumberFormat="1" applyFont="1" applyFill="1" applyBorder="1" applyAlignment="1">
      <alignment vertical="center"/>
    </xf>
    <xf numFmtId="14" fontId="6" fillId="5" borderId="15" xfId="1" applyNumberFormat="1" applyFont="1" applyFill="1" applyBorder="1" applyAlignment="1">
      <alignment vertical="center" shrinkToFit="1"/>
    </xf>
    <xf numFmtId="41" fontId="6" fillId="5" borderId="15" xfId="1" applyFont="1" applyFill="1" applyBorder="1" applyAlignment="1">
      <alignment vertical="center" shrinkToFit="1"/>
    </xf>
    <xf numFmtId="42" fontId="19" fillId="5" borderId="15" xfId="1" applyNumberFormat="1" applyFont="1" applyFill="1" applyBorder="1" applyAlignment="1">
      <alignment vertical="center"/>
    </xf>
    <xf numFmtId="178" fontId="6" fillId="5" borderId="3" xfId="3" applyNumberFormat="1" applyFont="1" applyFill="1" applyBorder="1" applyAlignment="1">
      <alignment horizontal="center" vertical="center"/>
    </xf>
    <xf numFmtId="180" fontId="20" fillId="6" borderId="3" xfId="4" applyNumberFormat="1" applyFont="1" applyFill="1" applyBorder="1" applyAlignment="1">
      <alignment horizontal="right" vertical="center" shrinkToFit="1"/>
    </xf>
    <xf numFmtId="0" fontId="15" fillId="0" borderId="1" xfId="3" applyFont="1" applyBorder="1" applyAlignment="1">
      <alignment horizontal="center" vertical="center" shrinkToFit="1"/>
    </xf>
    <xf numFmtId="0" fontId="8" fillId="0" borderId="1" xfId="1" applyNumberFormat="1" applyFont="1" applyFill="1" applyBorder="1" applyAlignment="1">
      <alignment horizontal="center" vertical="center" wrapText="1" shrinkToFit="1"/>
    </xf>
    <xf numFmtId="180" fontId="13" fillId="0" borderId="1" xfId="4" applyNumberFormat="1" applyFont="1" applyBorder="1" applyAlignment="1">
      <alignment horizontal="right" vertical="center" shrinkToFit="1"/>
    </xf>
    <xf numFmtId="42" fontId="14" fillId="0" borderId="1" xfId="1" applyNumberFormat="1" applyFont="1" applyFill="1" applyBorder="1" applyAlignment="1">
      <alignment horizontal="right" vertical="center" shrinkToFit="1"/>
    </xf>
    <xf numFmtId="14" fontId="24" fillId="3" borderId="1" xfId="1" applyNumberFormat="1" applyFont="1" applyFill="1" applyBorder="1" applyAlignment="1">
      <alignment horizontal="center" vertical="center" shrinkToFit="1"/>
    </xf>
    <xf numFmtId="0" fontId="24" fillId="0" borderId="1" xfId="1" applyNumberFormat="1" applyFont="1" applyFill="1" applyBorder="1" applyAlignment="1">
      <alignment horizontal="center" vertical="center" shrinkToFit="1"/>
    </xf>
    <xf numFmtId="41" fontId="15" fillId="0" borderId="1" xfId="1" applyFont="1" applyFill="1" applyBorder="1" applyAlignment="1">
      <alignment horizontal="center" vertical="center"/>
    </xf>
    <xf numFmtId="14" fontId="24" fillId="0" borderId="1" xfId="1" applyNumberFormat="1" applyFont="1" applyFill="1" applyBorder="1" applyAlignment="1">
      <alignment horizontal="center" vertical="center" shrinkToFit="1"/>
    </xf>
    <xf numFmtId="181" fontId="13" fillId="0" borderId="3" xfId="0" applyNumberFormat="1" applyFont="1" applyBorder="1" applyAlignment="1">
      <alignment horizontal="right" vertical="center" shrinkToFit="1"/>
    </xf>
    <xf numFmtId="181" fontId="14" fillId="0" borderId="1" xfId="1" applyNumberFormat="1" applyFont="1" applyFill="1" applyBorder="1" applyAlignment="1">
      <alignment horizontal="right" vertical="center" shrinkToFit="1"/>
    </xf>
    <xf numFmtId="0" fontId="10" fillId="0" borderId="1" xfId="2" applyNumberFormat="1" applyFont="1" applyFill="1" applyBorder="1" applyAlignment="1">
      <alignment horizontal="center" vertical="center" shrinkToFit="1"/>
    </xf>
    <xf numFmtId="184" fontId="8" fillId="0" borderId="0" xfId="1" applyNumberFormat="1" applyFont="1" applyFill="1" applyAlignment="1">
      <alignment vertical="center"/>
    </xf>
    <xf numFmtId="0" fontId="28" fillId="0" borderId="0" xfId="0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178" fontId="17" fillId="5" borderId="10" xfId="3" applyNumberFormat="1" applyFont="1" applyFill="1" applyBorder="1" applyAlignment="1">
      <alignment horizontal="center" vertical="center"/>
    </xf>
    <xf numFmtId="178" fontId="17" fillId="5" borderId="11" xfId="3" applyNumberFormat="1" applyFont="1" applyFill="1" applyBorder="1" applyAlignment="1">
      <alignment horizontal="center" vertical="center"/>
    </xf>
    <xf numFmtId="178" fontId="17" fillId="5" borderId="12" xfId="3" applyNumberFormat="1" applyFont="1" applyFill="1" applyBorder="1" applyAlignment="1">
      <alignment horizontal="center" vertical="center"/>
    </xf>
    <xf numFmtId="178" fontId="17" fillId="5" borderId="13" xfId="3" applyNumberFormat="1" applyFont="1" applyFill="1" applyBorder="1" applyAlignment="1">
      <alignment horizontal="center" vertical="center"/>
    </xf>
    <xf numFmtId="178" fontId="17" fillId="5" borderId="0" xfId="3" applyNumberFormat="1" applyFont="1" applyFill="1" applyAlignment="1">
      <alignment horizontal="center" vertical="center"/>
    </xf>
    <xf numFmtId="178" fontId="17" fillId="5" borderId="14" xfId="3" applyNumberFormat="1" applyFont="1" applyFill="1" applyBorder="1" applyAlignment="1">
      <alignment horizontal="center" vertical="center"/>
    </xf>
    <xf numFmtId="178" fontId="17" fillId="5" borderId="5" xfId="3" applyNumberFormat="1" applyFont="1" applyFill="1" applyBorder="1" applyAlignment="1">
      <alignment horizontal="center" vertical="center"/>
    </xf>
    <xf numFmtId="178" fontId="17" fillId="5" borderId="6" xfId="3" applyNumberFormat="1" applyFont="1" applyFill="1" applyBorder="1" applyAlignment="1">
      <alignment horizontal="center" vertical="center"/>
    </xf>
    <xf numFmtId="178" fontId="17" fillId="5" borderId="4" xfId="3" applyNumberFormat="1" applyFont="1" applyFill="1" applyBorder="1" applyAlignment="1">
      <alignment horizontal="center" vertical="center"/>
    </xf>
    <xf numFmtId="179" fontId="17" fillId="5" borderId="2" xfId="1" applyNumberFormat="1" applyFont="1" applyFill="1" applyBorder="1" applyAlignment="1">
      <alignment horizontal="center" vertical="center"/>
    </xf>
    <xf numFmtId="179" fontId="17" fillId="5" borderId="15" xfId="1" applyNumberFormat="1" applyFont="1" applyFill="1" applyBorder="1" applyAlignment="1">
      <alignment horizontal="center" vertical="center"/>
    </xf>
    <xf numFmtId="179" fontId="17" fillId="5" borderId="3" xfId="1" applyNumberFormat="1" applyFont="1" applyFill="1" applyBorder="1" applyAlignment="1">
      <alignment horizontal="center" vertical="center"/>
    </xf>
    <xf numFmtId="179" fontId="19" fillId="5" borderId="2" xfId="1" applyNumberFormat="1" applyFont="1" applyFill="1" applyBorder="1" applyAlignment="1">
      <alignment horizontal="center" vertical="center" shrinkToFit="1"/>
    </xf>
    <xf numFmtId="179" fontId="19" fillId="5" borderId="15" xfId="1" applyNumberFormat="1" applyFont="1" applyFill="1" applyBorder="1" applyAlignment="1">
      <alignment horizontal="center" vertical="center" shrinkToFit="1"/>
    </xf>
    <xf numFmtId="179" fontId="19" fillId="5" borderId="3" xfId="1" applyNumberFormat="1" applyFont="1" applyFill="1" applyBorder="1" applyAlignment="1">
      <alignment horizontal="center" vertical="center" shrinkToFit="1"/>
    </xf>
    <xf numFmtId="178" fontId="17" fillId="5" borderId="7" xfId="3" applyNumberFormat="1" applyFont="1" applyFill="1" applyBorder="1" applyAlignment="1">
      <alignment horizontal="center" vertical="center"/>
    </xf>
    <xf numFmtId="178" fontId="17" fillId="5" borderId="8" xfId="3" applyNumberFormat="1" applyFont="1" applyFill="1" applyBorder="1" applyAlignment="1">
      <alignment horizontal="center" vertical="center"/>
    </xf>
    <xf numFmtId="178" fontId="17" fillId="5" borderId="9" xfId="3" applyNumberFormat="1" applyFont="1" applyFill="1" applyBorder="1" applyAlignment="1">
      <alignment horizontal="center" vertical="center"/>
    </xf>
    <xf numFmtId="178" fontId="19" fillId="5" borderId="10" xfId="3" applyNumberFormat="1" applyFont="1" applyFill="1" applyBorder="1" applyAlignment="1">
      <alignment horizontal="center" vertical="center"/>
    </xf>
    <xf numFmtId="178" fontId="19" fillId="5" borderId="11" xfId="3" applyNumberFormat="1" applyFont="1" applyFill="1" applyBorder="1" applyAlignment="1">
      <alignment horizontal="center" vertical="center"/>
    </xf>
    <xf numFmtId="178" fontId="19" fillId="5" borderId="12" xfId="3" applyNumberFormat="1" applyFont="1" applyFill="1" applyBorder="1" applyAlignment="1">
      <alignment horizontal="center" vertical="center"/>
    </xf>
    <xf numFmtId="178" fontId="19" fillId="5" borderId="5" xfId="3" applyNumberFormat="1" applyFont="1" applyFill="1" applyBorder="1" applyAlignment="1">
      <alignment horizontal="center" vertical="center"/>
    </xf>
    <xf numFmtId="178" fontId="19" fillId="5" borderId="6" xfId="3" applyNumberFormat="1" applyFont="1" applyFill="1" applyBorder="1" applyAlignment="1">
      <alignment horizontal="center" vertical="center"/>
    </xf>
    <xf numFmtId="178" fontId="19" fillId="5" borderId="4" xfId="3" applyNumberFormat="1" applyFont="1" applyFill="1" applyBorder="1" applyAlignment="1">
      <alignment horizontal="center" vertical="center"/>
    </xf>
    <xf numFmtId="179" fontId="17" fillId="5" borderId="2" xfId="1" applyNumberFormat="1" applyFont="1" applyFill="1" applyBorder="1" applyAlignment="1">
      <alignment horizontal="center" vertical="center" shrinkToFit="1"/>
    </xf>
    <xf numFmtId="179" fontId="17" fillId="5" borderId="3" xfId="1" applyNumberFormat="1" applyFont="1" applyFill="1" applyBorder="1" applyAlignment="1">
      <alignment horizontal="center" vertical="center" shrinkToFit="1"/>
    </xf>
    <xf numFmtId="178" fontId="19" fillId="5" borderId="7" xfId="3" applyNumberFormat="1" applyFont="1" applyFill="1" applyBorder="1" applyAlignment="1">
      <alignment horizontal="center" vertical="center"/>
    </xf>
    <xf numFmtId="178" fontId="19" fillId="5" borderId="8" xfId="3" applyNumberFormat="1" applyFont="1" applyFill="1" applyBorder="1" applyAlignment="1">
      <alignment horizontal="center" vertical="center"/>
    </xf>
    <xf numFmtId="178" fontId="19" fillId="5" borderId="9" xfId="3" applyNumberFormat="1" applyFont="1" applyFill="1" applyBorder="1" applyAlignment="1">
      <alignment horizontal="center" vertical="center"/>
    </xf>
  </cellXfs>
  <cellStyles count="12">
    <cellStyle name="백분율" xfId="2" builtinId="5"/>
    <cellStyle name="백분율 2" xfId="10" xr:uid="{3F7345DC-8F3F-49D2-B9C5-DCD80D22A2FF}"/>
    <cellStyle name="쉼표 [0]" xfId="1" builtinId="6"/>
    <cellStyle name="쉼표 [0] 11 3" xfId="7" xr:uid="{DA8BFB98-9751-4AF1-8ED4-B4592930F716}"/>
    <cellStyle name="쉼표 [0] 17 3 2" xfId="6" xr:uid="{EFB4C8D5-0062-463D-BE4C-7D5106CCC684}"/>
    <cellStyle name="쉼표 [0] 2 10" xfId="8" xr:uid="{E0A06889-C7C5-40E4-95F0-40A007C894B7}"/>
    <cellStyle name="쉼표 [0] 2 7" xfId="9" xr:uid="{A20AF8C2-468E-44BB-B357-6B2AB2285949}"/>
    <cellStyle name="통화 [0] 2" xfId="11" xr:uid="{4F335EE1-F6DE-44BC-B788-1E4F7712D6AD}"/>
    <cellStyle name="표준" xfId="0" builtinId="0"/>
    <cellStyle name="표준 2" xfId="4" xr:uid="{3F42DD5E-2A76-446A-8327-76C360808414}"/>
    <cellStyle name="표준 56 10" xfId="5" xr:uid="{D3C3B4D8-2349-4EF0-8D1A-F0BD96CB7261}"/>
    <cellStyle name="표준_2월분(12년)" xfId="3" xr:uid="{B0502C85-3AE2-4F4D-AB43-5B39AC386110}"/>
  </cellStyles>
  <dxfs count="2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numFmt numFmtId="185" formatCode="_-\$* #,##0.00_ ;_-\$* \-#,##0.00\ ;_-\$* &quot;-&quot;??_ ;_-@_ "/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186" formatCode="&quot;₩&quot;#,##0"/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186" formatCode="&quot;₩&quot;#,##0"/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186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186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186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186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font>
        <color rgb="FF0000FF"/>
      </font>
    </dxf>
    <dxf>
      <numFmt numFmtId="186" formatCode="&quot;₩&quot;#,##0"/>
    </dxf>
    <dxf>
      <numFmt numFmtId="186" formatCode="&quot;₩&quot;#,##0"/>
    </dxf>
    <dxf>
      <numFmt numFmtId="186" formatCode="&quot;₩&quot;#,##0"/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186" formatCode="&quot;₩&quot;#,##0"/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186" formatCode="&quot;₩&quot;#,##0"/>
    </dxf>
    <dxf>
      <font>
        <color rgb="FF0000FF"/>
      </font>
    </dxf>
    <dxf>
      <numFmt numFmtId="32" formatCode="_-&quot;₩&quot;* #,##0_-;\-&quot;₩&quot;* #,##0_-;_-&quot;₩&quot;* &quot;-&quot;_-;_-@_-"/>
      <fill>
        <patternFill>
          <bgColor rgb="FF00B050"/>
        </patternFill>
      </fill>
    </dxf>
    <dxf>
      <numFmt numFmtId="186" formatCode="&quot;₩&quot;#,##0"/>
    </dxf>
    <dxf>
      <numFmt numFmtId="186" formatCode="&quot;₩&quot;#,##0"/>
    </dxf>
    <dxf>
      <numFmt numFmtId="186" formatCode="&quot;₩&quot;#,##0"/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ba07gx8cr3\&#47196;&#52972;%20&#46356;&#49828;&#53356;%20(c)\MyDocument\&#35211;&#31309;\&#55129;&#47561;&#51060;\07&#50900;\&#54620;&#44397;&#52404;&#45824;\&#44033;&#54788;&#51109;\&#54788;&#51109;\&#44277;&#51452;&#45824;&#54617;&#44368;\&#49328;&#50629;&#44284;&#54617;&#44288;\&#44148;&#5262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&#49900;&#44221;&#49453;\My%20Documents\Jebel%20Ali%20KII\MOB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93;&#44540;\&#49340;&#49457;\Project2001\&#45236;&#49552;&#51648;&#44396;\&#49688;&#47049;\&#44032;&#49884;&#49444;&#4427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tech001\shareddocs\&#49340;&#49457;&#50644;&#51648;&#45768;&#50612;&#47553;&#44288;&#47144;\6&#45800;&#44228;\&#51089;&#50629;&#54028;&#51068;\6&#45800;&#44228;&#47932;&#47049;&#51089;&#50629;\101027\5,6%20Line%20Duct%20&#45800;&#44032;%20&#45236;&#50669;%20&#48143;%20&#49688;&#47049;%20&#49328;&#52636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"/>
      <sheetName val="동별집계"/>
      <sheetName val="공종집계"/>
      <sheetName val="현장안"/>
      <sheetName val="내역(한신APT)"/>
      <sheetName val="Reference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h-013211-2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550A"/>
      <sheetName val="600A"/>
      <sheetName val="650A"/>
      <sheetName val="700A"/>
      <sheetName val="750A"/>
      <sheetName val="800A"/>
      <sheetName val="850A"/>
      <sheetName val="900A"/>
      <sheetName val="950A"/>
      <sheetName val="1000A"/>
      <sheetName val="1050A"/>
      <sheetName val="1100A"/>
      <sheetName val="1200A"/>
      <sheetName val="1300A"/>
      <sheetName val="1400A"/>
      <sheetName val="1500A"/>
      <sheetName val="1600A"/>
      <sheetName val="1700A"/>
      <sheetName val="1800A"/>
      <sheetName val="1900A"/>
      <sheetName val="1950A"/>
      <sheetName val="2000A"/>
      <sheetName val="2100A"/>
      <sheetName val="2250A"/>
      <sheetName val="2500A"/>
      <sheetName val="A7"/>
      <sheetName val="MOBIL"/>
      <sheetName val="Reference"/>
      <sheetName val="Eq. Mobilization"/>
      <sheetName val="COVER"/>
      <sheetName val="영업2"/>
      <sheetName val="영업3"/>
      <sheetName val="Sheet1"/>
      <sheetName val="DRUM"/>
      <sheetName val="대비표"/>
      <sheetName val="집계표(OPTION)"/>
    </sheetNames>
    <sheetDataSet>
      <sheetData sheetId="0" refreshError="1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버팀보"/>
      <sheetName val="수량산출"/>
      <sheetName val="수량집계"/>
      <sheetName val="SK판넬"/>
      <sheetName val="H-PILE"/>
      <sheetName val="1호맨홀가감수량"/>
      <sheetName val="가시설(TYPE-A)"/>
      <sheetName val="1-1평균터파기고(1)"/>
      <sheetName val="1호맨홀수량산출"/>
      <sheetName val="실행"/>
      <sheetName val="일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,6 Line Duct 단가 내역 및 수량 산출서"/>
      <sheetName val="계약변경요청서"/>
      <sheetName val="분뇨"/>
      <sheetName val="#REF"/>
      <sheetName val="노임"/>
      <sheetName val="자재단가"/>
      <sheetName val="정부노임단가"/>
      <sheetName val="MOTOR"/>
      <sheetName val="CODE"/>
      <sheetName val="내역서"/>
      <sheetName val="집계표"/>
      <sheetName val="건축공사"/>
      <sheetName val="내역"/>
      <sheetName val="현장관리비 산출내역"/>
      <sheetName val="지급자재"/>
      <sheetName val="소야공정계획표"/>
      <sheetName val="관리,공감"/>
      <sheetName val="요율"/>
      <sheetName val="자재대"/>
      <sheetName val="일위대가"/>
      <sheetName val="저"/>
      <sheetName val="SG"/>
      <sheetName val="견적대비표"/>
      <sheetName val="5.전사투자계획종함안"/>
      <sheetName val="45,46"/>
      <sheetName val="3.공통공사대비"/>
      <sheetName val="연결임시"/>
      <sheetName val="실행"/>
      <sheetName val="기안"/>
      <sheetName val="개산공사비"/>
      <sheetName val="6호기"/>
      <sheetName val="일위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C9B8-6191-4AE9-9E41-553682706249}">
  <sheetPr>
    <tabColor rgb="FF00B050"/>
    <pageSetUpPr fitToPage="1"/>
  </sheetPr>
  <dimension ref="A1:AR63"/>
  <sheetViews>
    <sheetView tabSelected="1" view="pageBreakPreview" zoomScale="70" zoomScaleNormal="100" zoomScaleSheetLayoutView="70" workbookViewId="0">
      <pane xSplit="4" ySplit="4" topLeftCell="E15" activePane="bottomRight" state="frozen"/>
      <selection activeCell="E39" sqref="E39"/>
      <selection pane="topRight" activeCell="E39" sqref="E39"/>
      <selection pane="bottomLeft" activeCell="E39" sqref="E39"/>
      <selection pane="bottomRight" activeCell="N66" sqref="N66"/>
    </sheetView>
  </sheetViews>
  <sheetFormatPr defaultColWidth="10" defaultRowHeight="13.5" outlineLevelCol="1"/>
  <cols>
    <col min="1" max="1" width="8.25" style="4" customWidth="1"/>
    <col min="2" max="2" width="12.5" style="4" bestFit="1" customWidth="1"/>
    <col min="3" max="3" width="6.25" style="4" customWidth="1"/>
    <col min="4" max="4" width="17" style="3" customWidth="1"/>
    <col min="5" max="5" width="24.875" style="11" customWidth="1"/>
    <col min="6" max="6" width="18.75" style="4" customWidth="1"/>
    <col min="7" max="7" width="5.125" style="4" bestFit="1" customWidth="1"/>
    <col min="8" max="8" width="16.25" style="14" customWidth="1"/>
    <col min="9" max="9" width="17.875" style="3" customWidth="1"/>
    <col min="10" max="10" width="6.75" style="22" customWidth="1"/>
    <col min="11" max="11" width="14.5" style="35" customWidth="1"/>
    <col min="12" max="13" width="12.625" style="6" customWidth="1"/>
    <col min="14" max="14" width="7.75" style="7" customWidth="1"/>
    <col min="15" max="15" width="5.375" style="8" customWidth="1"/>
    <col min="16" max="16" width="5.375" style="8" hidden="1" customWidth="1"/>
    <col min="17" max="17" width="12.375" style="4" customWidth="1"/>
    <col min="18" max="18" width="17.625" style="3" customWidth="1" outlineLevel="1"/>
    <col min="19" max="19" width="11.75" style="4" customWidth="1" outlineLevel="1"/>
    <col min="20" max="20" width="9.625" style="39" customWidth="1" outlineLevel="1"/>
    <col min="21" max="21" width="8.25" style="1" customWidth="1" outlineLevel="1"/>
    <col min="22" max="22" width="8.25" style="38" customWidth="1" outlineLevel="1"/>
    <col min="23" max="23" width="8.125" style="39" customWidth="1" outlineLevel="1"/>
    <col min="24" max="44" width="10" style="1"/>
    <col min="45" max="16384" width="10" style="1" outlineLevel="1"/>
  </cols>
  <sheetData>
    <row r="1" spans="1:23" ht="41.25">
      <c r="A1" s="192" t="s">
        <v>495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65"/>
      <c r="S1" s="69"/>
      <c r="T1" s="37"/>
      <c r="W1" s="37"/>
    </row>
    <row r="2" spans="1:23" ht="17.25" customHeight="1">
      <c r="A2" s="191" t="s">
        <v>45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2">
        <v>45838</v>
      </c>
      <c r="S2" s="3"/>
      <c r="W2" s="40"/>
    </row>
    <row r="3" spans="1:23" ht="18" customHeight="1">
      <c r="E3" s="5"/>
      <c r="F3" s="3"/>
      <c r="G3" s="3"/>
      <c r="J3" s="15"/>
      <c r="K3" s="32"/>
      <c r="L3" s="12" t="s">
        <v>10</v>
      </c>
      <c r="M3" s="13" t="s">
        <v>11</v>
      </c>
      <c r="R3" s="9">
        <v>1000</v>
      </c>
      <c r="S3" s="41" t="s">
        <v>33</v>
      </c>
      <c r="T3" s="42"/>
      <c r="W3" s="43"/>
    </row>
    <row r="4" spans="1:23" ht="54.75" customHeight="1">
      <c r="A4" s="53" t="s">
        <v>13</v>
      </c>
      <c r="B4" s="53" t="s">
        <v>14</v>
      </c>
      <c r="C4" s="54" t="s">
        <v>27</v>
      </c>
      <c r="D4" s="53" t="s">
        <v>0</v>
      </c>
      <c r="E4" s="55" t="s">
        <v>1</v>
      </c>
      <c r="F4" s="53" t="s">
        <v>2</v>
      </c>
      <c r="G4" s="53" t="s">
        <v>15</v>
      </c>
      <c r="H4" s="54" t="s">
        <v>3</v>
      </c>
      <c r="I4" s="64" t="s">
        <v>3</v>
      </c>
      <c r="J4" s="56" t="s">
        <v>31</v>
      </c>
      <c r="K4" s="57" t="s">
        <v>32</v>
      </c>
      <c r="L4" s="58" t="s">
        <v>16</v>
      </c>
      <c r="M4" s="58" t="s">
        <v>17</v>
      </c>
      <c r="N4" s="59" t="s">
        <v>4</v>
      </c>
      <c r="O4" s="59" t="s">
        <v>5</v>
      </c>
      <c r="P4" s="59"/>
      <c r="Q4" s="53" t="s">
        <v>6</v>
      </c>
      <c r="R4" s="16" t="s">
        <v>7</v>
      </c>
      <c r="S4" s="16" t="s">
        <v>6</v>
      </c>
      <c r="T4" s="44" t="s">
        <v>34</v>
      </c>
      <c r="U4" s="16" t="s">
        <v>35</v>
      </c>
      <c r="V4" s="45" t="s">
        <v>36</v>
      </c>
      <c r="W4" s="44" t="s">
        <v>83</v>
      </c>
    </row>
    <row r="5" spans="1:23" s="84" customFormat="1" ht="27" customHeight="1">
      <c r="A5" s="120" t="s">
        <v>19</v>
      </c>
      <c r="B5" s="17" t="s">
        <v>343</v>
      </c>
      <c r="C5" s="17" t="s">
        <v>28</v>
      </c>
      <c r="D5" s="17" t="s">
        <v>59</v>
      </c>
      <c r="E5" s="17" t="s">
        <v>63</v>
      </c>
      <c r="F5" s="17" t="s">
        <v>64</v>
      </c>
      <c r="G5" s="144" t="s">
        <v>20</v>
      </c>
      <c r="H5" s="165">
        <v>21000</v>
      </c>
      <c r="I5" s="145">
        <v>21000000</v>
      </c>
      <c r="J5" s="49">
        <v>0.7</v>
      </c>
      <c r="K5" s="145">
        <v>16169999.999999998</v>
      </c>
      <c r="L5" s="18">
        <v>45384</v>
      </c>
      <c r="M5" s="18">
        <v>45398</v>
      </c>
      <c r="N5" s="112" t="s">
        <v>7</v>
      </c>
      <c r="O5" s="31">
        <v>12</v>
      </c>
      <c r="P5" s="105"/>
      <c r="Q5" s="19"/>
      <c r="R5" s="20"/>
      <c r="S5" s="46"/>
      <c r="T5" s="48"/>
      <c r="U5" s="10" t="s">
        <v>19</v>
      </c>
      <c r="V5" s="47" t="s">
        <v>19</v>
      </c>
      <c r="W5" s="46" t="s">
        <v>38</v>
      </c>
    </row>
    <row r="6" spans="1:23" s="84" customFormat="1" ht="27" customHeight="1">
      <c r="A6" s="26" t="s">
        <v>19</v>
      </c>
      <c r="B6" s="107" t="s">
        <v>89</v>
      </c>
      <c r="C6" s="108" t="s">
        <v>110</v>
      </c>
      <c r="D6" s="17" t="s">
        <v>12</v>
      </c>
      <c r="E6" s="17" t="s">
        <v>72</v>
      </c>
      <c r="F6" s="109">
        <v>4102509891</v>
      </c>
      <c r="G6" s="21" t="s">
        <v>20</v>
      </c>
      <c r="H6" s="102">
        <v>88575</v>
      </c>
      <c r="I6" s="110">
        <v>88575000</v>
      </c>
      <c r="J6" s="111">
        <v>0.6</v>
      </c>
      <c r="K6" s="145">
        <v>53145000</v>
      </c>
      <c r="L6" s="18">
        <v>45586</v>
      </c>
      <c r="M6" s="18">
        <v>45596</v>
      </c>
      <c r="N6" s="112" t="s">
        <v>7</v>
      </c>
      <c r="O6" s="113">
        <v>120</v>
      </c>
      <c r="P6" s="19"/>
      <c r="Q6" s="19"/>
      <c r="R6" s="27"/>
      <c r="S6" s="46"/>
      <c r="T6" s="46"/>
      <c r="U6" s="10" t="s">
        <v>19</v>
      </c>
      <c r="V6" s="47" t="s">
        <v>19</v>
      </c>
      <c r="W6" s="46" t="s">
        <v>40</v>
      </c>
    </row>
    <row r="7" spans="1:23" s="84" customFormat="1" ht="27" customHeight="1">
      <c r="A7" s="26" t="s">
        <v>19</v>
      </c>
      <c r="B7" s="107" t="s">
        <v>89</v>
      </c>
      <c r="C7" s="108" t="s">
        <v>110</v>
      </c>
      <c r="D7" s="17" t="s">
        <v>12</v>
      </c>
      <c r="E7" s="17" t="s">
        <v>72</v>
      </c>
      <c r="F7" s="109">
        <v>4102509891</v>
      </c>
      <c r="G7" s="21" t="s">
        <v>20</v>
      </c>
      <c r="H7" s="102">
        <v>1140</v>
      </c>
      <c r="I7" s="110">
        <v>1140000</v>
      </c>
      <c r="J7" s="111">
        <v>0.6</v>
      </c>
      <c r="K7" s="145">
        <v>684000</v>
      </c>
      <c r="L7" s="18">
        <v>45586</v>
      </c>
      <c r="M7" s="18">
        <v>45596</v>
      </c>
      <c r="N7" s="112" t="s">
        <v>7</v>
      </c>
      <c r="O7" s="113">
        <v>3</v>
      </c>
      <c r="P7" s="19"/>
      <c r="Q7" s="19"/>
      <c r="R7" s="27"/>
      <c r="S7" s="46"/>
      <c r="T7" s="46"/>
      <c r="U7" s="10" t="s">
        <v>19</v>
      </c>
      <c r="V7" s="47" t="s">
        <v>19</v>
      </c>
      <c r="W7" s="46" t="s">
        <v>40</v>
      </c>
    </row>
    <row r="8" spans="1:23" s="84" customFormat="1" ht="27" customHeight="1">
      <c r="A8" s="26" t="s">
        <v>19</v>
      </c>
      <c r="B8" s="107" t="s">
        <v>71</v>
      </c>
      <c r="C8" s="108" t="s">
        <v>51</v>
      </c>
      <c r="D8" s="17" t="s">
        <v>12</v>
      </c>
      <c r="E8" s="17" t="s">
        <v>72</v>
      </c>
      <c r="F8" s="109" t="s">
        <v>70</v>
      </c>
      <c r="G8" s="21" t="s">
        <v>20</v>
      </c>
      <c r="H8" s="102">
        <v>42260</v>
      </c>
      <c r="I8" s="110">
        <v>42260000</v>
      </c>
      <c r="J8" s="111">
        <v>0.6</v>
      </c>
      <c r="K8" s="145">
        <v>25356000</v>
      </c>
      <c r="L8" s="18">
        <v>45586</v>
      </c>
      <c r="M8" s="18">
        <v>45596</v>
      </c>
      <c r="N8" s="112" t="s">
        <v>7</v>
      </c>
      <c r="O8" s="113">
        <v>37</v>
      </c>
      <c r="P8" s="19"/>
      <c r="Q8" s="19"/>
      <c r="R8" s="27"/>
      <c r="S8" s="46"/>
      <c r="T8" s="46"/>
      <c r="U8" s="10" t="s">
        <v>19</v>
      </c>
      <c r="V8" s="47" t="s">
        <v>19</v>
      </c>
      <c r="W8" s="46" t="s">
        <v>40</v>
      </c>
    </row>
    <row r="9" spans="1:23" s="84" customFormat="1" ht="27" customHeight="1">
      <c r="A9" s="26" t="s">
        <v>19</v>
      </c>
      <c r="B9" s="107" t="s">
        <v>71</v>
      </c>
      <c r="C9" s="108" t="s">
        <v>51</v>
      </c>
      <c r="D9" s="17" t="s">
        <v>12</v>
      </c>
      <c r="E9" s="17" t="s">
        <v>72</v>
      </c>
      <c r="F9" s="109" t="s">
        <v>70</v>
      </c>
      <c r="G9" s="21" t="s">
        <v>20</v>
      </c>
      <c r="H9" s="102">
        <v>1940</v>
      </c>
      <c r="I9" s="110">
        <v>1940000</v>
      </c>
      <c r="J9" s="111">
        <v>0.6</v>
      </c>
      <c r="K9" s="145">
        <v>1164000</v>
      </c>
      <c r="L9" s="18">
        <v>45586</v>
      </c>
      <c r="M9" s="18">
        <v>45596</v>
      </c>
      <c r="N9" s="112" t="s">
        <v>7</v>
      </c>
      <c r="O9" s="113">
        <v>2</v>
      </c>
      <c r="P9" s="19"/>
      <c r="Q9" s="19"/>
      <c r="R9" s="27"/>
      <c r="S9" s="46"/>
      <c r="T9" s="46"/>
      <c r="U9" s="10" t="s">
        <v>19</v>
      </c>
      <c r="V9" s="47" t="s">
        <v>19</v>
      </c>
      <c r="W9" s="46" t="s">
        <v>40</v>
      </c>
    </row>
    <row r="10" spans="1:23" s="84" customFormat="1" ht="27" customHeight="1">
      <c r="A10" s="26" t="s">
        <v>19</v>
      </c>
      <c r="B10" s="107" t="s">
        <v>90</v>
      </c>
      <c r="C10" s="108" t="s">
        <v>51</v>
      </c>
      <c r="D10" s="17" t="s">
        <v>12</v>
      </c>
      <c r="E10" s="17" t="s">
        <v>69</v>
      </c>
      <c r="F10" s="109" t="s">
        <v>70</v>
      </c>
      <c r="G10" s="21" t="s">
        <v>20</v>
      </c>
      <c r="H10" s="102">
        <v>1290</v>
      </c>
      <c r="I10" s="110">
        <v>1290000</v>
      </c>
      <c r="J10" s="111">
        <v>0.6</v>
      </c>
      <c r="K10" s="145">
        <v>774000</v>
      </c>
      <c r="L10" s="18">
        <v>45586</v>
      </c>
      <c r="M10" s="18">
        <v>45596</v>
      </c>
      <c r="N10" s="112" t="s">
        <v>7</v>
      </c>
      <c r="O10" s="113">
        <v>48</v>
      </c>
      <c r="P10" s="19"/>
      <c r="Q10" s="19"/>
      <c r="R10" s="27"/>
      <c r="S10" s="46"/>
      <c r="T10" s="46"/>
      <c r="U10" s="10" t="s">
        <v>19</v>
      </c>
      <c r="V10" s="47" t="s">
        <v>19</v>
      </c>
      <c r="W10" s="46" t="s">
        <v>84</v>
      </c>
    </row>
    <row r="11" spans="1:23" s="84" customFormat="1" ht="27" customHeight="1">
      <c r="A11" s="103" t="s">
        <v>19</v>
      </c>
      <c r="B11" s="107" t="s">
        <v>91</v>
      </c>
      <c r="C11" s="108" t="s">
        <v>41</v>
      </c>
      <c r="D11" s="17" t="s">
        <v>12</v>
      </c>
      <c r="E11" s="17" t="s">
        <v>69</v>
      </c>
      <c r="F11" s="109" t="s">
        <v>70</v>
      </c>
      <c r="G11" s="21" t="s">
        <v>20</v>
      </c>
      <c r="H11" s="102">
        <v>1450</v>
      </c>
      <c r="I11" s="110">
        <v>1450000</v>
      </c>
      <c r="J11" s="111">
        <v>0.6</v>
      </c>
      <c r="K11" s="145">
        <v>870000</v>
      </c>
      <c r="L11" s="18">
        <v>45586</v>
      </c>
      <c r="M11" s="18">
        <v>45596</v>
      </c>
      <c r="N11" s="112" t="s">
        <v>7</v>
      </c>
      <c r="O11" s="113">
        <v>6</v>
      </c>
      <c r="P11" s="19"/>
      <c r="Q11" s="19"/>
      <c r="R11" s="27"/>
      <c r="S11" s="46"/>
      <c r="T11" s="46"/>
      <c r="U11" s="10" t="s">
        <v>19</v>
      </c>
      <c r="V11" s="47" t="s">
        <v>19</v>
      </c>
      <c r="W11" s="46" t="s">
        <v>84</v>
      </c>
    </row>
    <row r="12" spans="1:23" s="84" customFormat="1" ht="27" customHeight="1">
      <c r="A12" s="103" t="s">
        <v>19</v>
      </c>
      <c r="B12" s="107" t="s">
        <v>94</v>
      </c>
      <c r="C12" s="108" t="s">
        <v>41</v>
      </c>
      <c r="D12" s="17" t="s">
        <v>46</v>
      </c>
      <c r="E12" s="24" t="s">
        <v>95</v>
      </c>
      <c r="F12" s="109" t="s">
        <v>96</v>
      </c>
      <c r="G12" s="21" t="s">
        <v>20</v>
      </c>
      <c r="H12" s="102">
        <v>20600</v>
      </c>
      <c r="I12" s="110">
        <v>20600000</v>
      </c>
      <c r="J12" s="101">
        <v>0.4</v>
      </c>
      <c r="K12" s="145">
        <v>10382400</v>
      </c>
      <c r="L12" s="18">
        <v>45700</v>
      </c>
      <c r="M12" s="114">
        <v>45706</v>
      </c>
      <c r="N12" s="112" t="s">
        <v>7</v>
      </c>
      <c r="O12" s="113">
        <v>20</v>
      </c>
      <c r="P12" s="113"/>
      <c r="Q12" s="19"/>
      <c r="R12" s="20"/>
      <c r="S12" s="46"/>
      <c r="T12" s="21"/>
      <c r="U12" s="10" t="s">
        <v>19</v>
      </c>
      <c r="V12" s="47" t="s">
        <v>19</v>
      </c>
      <c r="W12" s="46" t="s">
        <v>38</v>
      </c>
    </row>
    <row r="13" spans="1:23" s="84" customFormat="1" ht="27" customHeight="1">
      <c r="A13" s="26" t="s">
        <v>19</v>
      </c>
      <c r="B13" s="107" t="s">
        <v>94</v>
      </c>
      <c r="C13" s="108" t="s">
        <v>41</v>
      </c>
      <c r="D13" s="17" t="s">
        <v>46</v>
      </c>
      <c r="E13" s="24" t="s">
        <v>95</v>
      </c>
      <c r="F13" s="109" t="s">
        <v>96</v>
      </c>
      <c r="G13" s="21" t="s">
        <v>20</v>
      </c>
      <c r="H13" s="102">
        <v>20600</v>
      </c>
      <c r="I13" s="110">
        <v>20600000</v>
      </c>
      <c r="J13" s="101">
        <v>0.4</v>
      </c>
      <c r="K13" s="145">
        <v>10382400</v>
      </c>
      <c r="L13" s="18">
        <v>45723</v>
      </c>
      <c r="M13" s="114">
        <v>45737</v>
      </c>
      <c r="N13" s="112" t="s">
        <v>7</v>
      </c>
      <c r="O13" s="113">
        <v>20</v>
      </c>
      <c r="P13" s="113"/>
      <c r="Q13" s="19"/>
      <c r="R13" s="20"/>
      <c r="S13" s="46"/>
      <c r="T13" s="21"/>
      <c r="U13" s="10" t="s">
        <v>19</v>
      </c>
      <c r="V13" s="47" t="s">
        <v>19</v>
      </c>
      <c r="W13" s="46" t="s">
        <v>38</v>
      </c>
    </row>
    <row r="14" spans="1:23" s="84" customFormat="1" ht="27" customHeight="1">
      <c r="A14" s="26" t="s">
        <v>19</v>
      </c>
      <c r="B14" s="108" t="s">
        <v>111</v>
      </c>
      <c r="C14" s="108" t="s">
        <v>28</v>
      </c>
      <c r="D14" s="24" t="s">
        <v>345</v>
      </c>
      <c r="E14" s="116" t="s">
        <v>112</v>
      </c>
      <c r="F14" s="163" t="s">
        <v>113</v>
      </c>
      <c r="G14" s="21" t="s">
        <v>20</v>
      </c>
      <c r="H14" s="102">
        <v>3000</v>
      </c>
      <c r="I14" s="110">
        <v>3000000</v>
      </c>
      <c r="J14" s="49">
        <v>0.9</v>
      </c>
      <c r="K14" s="145">
        <v>3240000</v>
      </c>
      <c r="L14" s="18">
        <v>45646</v>
      </c>
      <c r="M14" s="18">
        <v>45742</v>
      </c>
      <c r="N14" s="112" t="s">
        <v>7</v>
      </c>
      <c r="O14" s="31">
        <v>2</v>
      </c>
      <c r="P14" s="19"/>
      <c r="Q14" s="19"/>
      <c r="R14" s="20"/>
      <c r="S14" s="46"/>
      <c r="T14" s="48"/>
      <c r="U14" s="10" t="s">
        <v>19</v>
      </c>
      <c r="V14" s="47" t="s">
        <v>19</v>
      </c>
      <c r="W14" s="46" t="s">
        <v>37</v>
      </c>
    </row>
    <row r="15" spans="1:23" s="84" customFormat="1" ht="27" customHeight="1">
      <c r="A15" s="26" t="s">
        <v>19</v>
      </c>
      <c r="B15" s="17" t="s">
        <v>193</v>
      </c>
      <c r="C15" s="17" t="s">
        <v>29</v>
      </c>
      <c r="D15" s="17" t="s">
        <v>97</v>
      </c>
      <c r="E15" s="17" t="s">
        <v>158</v>
      </c>
      <c r="F15" s="17" t="s">
        <v>192</v>
      </c>
      <c r="G15" s="23" t="s">
        <v>20</v>
      </c>
      <c r="H15" s="102">
        <v>500</v>
      </c>
      <c r="I15" s="110">
        <v>500000</v>
      </c>
      <c r="J15" s="49">
        <v>0.6</v>
      </c>
      <c r="K15" s="145">
        <v>360000</v>
      </c>
      <c r="L15" s="18">
        <v>45775</v>
      </c>
      <c r="M15" s="18">
        <v>45776</v>
      </c>
      <c r="N15" s="112" t="s">
        <v>7</v>
      </c>
      <c r="O15" s="31">
        <v>8</v>
      </c>
      <c r="P15" s="19"/>
      <c r="Q15" s="19"/>
      <c r="R15" s="20"/>
      <c r="S15" s="46"/>
      <c r="T15" s="48"/>
      <c r="U15" s="10" t="s">
        <v>19</v>
      </c>
      <c r="V15" s="47" t="s">
        <v>19</v>
      </c>
      <c r="W15" s="46" t="s">
        <v>38</v>
      </c>
    </row>
    <row r="16" spans="1:23" s="84" customFormat="1" ht="27" customHeight="1">
      <c r="A16" s="103" t="s">
        <v>19</v>
      </c>
      <c r="B16" s="107" t="s">
        <v>121</v>
      </c>
      <c r="C16" s="108" t="s">
        <v>29</v>
      </c>
      <c r="D16" s="17" t="s">
        <v>9</v>
      </c>
      <c r="E16" s="118" t="s">
        <v>122</v>
      </c>
      <c r="F16" s="109" t="s">
        <v>123</v>
      </c>
      <c r="G16" s="21" t="s">
        <v>20</v>
      </c>
      <c r="H16" s="102">
        <v>5400</v>
      </c>
      <c r="I16" s="110">
        <v>5400000</v>
      </c>
      <c r="J16" s="111">
        <v>0.4</v>
      </c>
      <c r="K16" s="145">
        <v>2160000</v>
      </c>
      <c r="L16" s="18">
        <v>45786</v>
      </c>
      <c r="M16" s="18">
        <v>45793</v>
      </c>
      <c r="N16" s="112" t="s">
        <v>7</v>
      </c>
      <c r="O16" s="31">
        <v>2</v>
      </c>
      <c r="P16" s="19"/>
      <c r="Q16" s="19"/>
      <c r="R16" s="27"/>
      <c r="S16" s="46"/>
      <c r="T16" s="21"/>
      <c r="U16" s="10" t="s">
        <v>19</v>
      </c>
      <c r="V16" s="47" t="s">
        <v>19</v>
      </c>
      <c r="W16" s="46" t="s">
        <v>84</v>
      </c>
    </row>
    <row r="17" spans="1:23" s="84" customFormat="1" ht="27" customHeight="1">
      <c r="A17" s="83" t="s">
        <v>19</v>
      </c>
      <c r="B17" s="107" t="s">
        <v>124</v>
      </c>
      <c r="C17" s="108" t="s">
        <v>28</v>
      </c>
      <c r="D17" s="17" t="s">
        <v>125</v>
      </c>
      <c r="E17" s="17" t="s">
        <v>126</v>
      </c>
      <c r="F17" s="109" t="s">
        <v>127</v>
      </c>
      <c r="G17" s="21" t="s">
        <v>20</v>
      </c>
      <c r="H17" s="102">
        <v>74250</v>
      </c>
      <c r="I17" s="110">
        <v>74250000</v>
      </c>
      <c r="J17" s="101">
        <v>0.7</v>
      </c>
      <c r="K17" s="145">
        <v>62369999.999999993</v>
      </c>
      <c r="L17" s="18">
        <v>45791</v>
      </c>
      <c r="M17" s="18">
        <v>45818</v>
      </c>
      <c r="N17" s="112" t="s">
        <v>7</v>
      </c>
      <c r="O17" s="113">
        <v>8</v>
      </c>
      <c r="P17" s="19"/>
      <c r="Q17" s="19"/>
      <c r="R17" s="27"/>
      <c r="S17" s="46"/>
      <c r="T17" s="46"/>
      <c r="U17" s="10" t="s">
        <v>19</v>
      </c>
      <c r="V17" s="47" t="s">
        <v>19</v>
      </c>
      <c r="W17" s="46" t="s">
        <v>37</v>
      </c>
    </row>
    <row r="18" spans="1:23" s="84" customFormat="1" ht="27" customHeight="1">
      <c r="A18" s="26" t="s">
        <v>19</v>
      </c>
      <c r="B18" s="107" t="s">
        <v>131</v>
      </c>
      <c r="C18" s="108" t="s">
        <v>99</v>
      </c>
      <c r="D18" s="17" t="s">
        <v>46</v>
      </c>
      <c r="E18" s="24" t="s">
        <v>132</v>
      </c>
      <c r="F18" s="109" t="s">
        <v>148</v>
      </c>
      <c r="G18" s="21" t="s">
        <v>20</v>
      </c>
      <c r="H18" s="102">
        <v>40080</v>
      </c>
      <c r="I18" s="110">
        <v>40080000</v>
      </c>
      <c r="J18" s="101">
        <v>0.3</v>
      </c>
      <c r="K18" s="145">
        <v>15150240</v>
      </c>
      <c r="L18" s="18">
        <v>45819</v>
      </c>
      <c r="M18" s="114">
        <v>45821</v>
      </c>
      <c r="N18" s="112" t="s">
        <v>7</v>
      </c>
      <c r="O18" s="113">
        <v>13</v>
      </c>
      <c r="P18" s="113"/>
      <c r="Q18" s="19"/>
      <c r="R18" s="20"/>
      <c r="S18" s="46"/>
      <c r="T18" s="21"/>
      <c r="U18" s="10" t="s">
        <v>19</v>
      </c>
      <c r="V18" s="47" t="s">
        <v>19</v>
      </c>
      <c r="W18" s="46" t="s">
        <v>38</v>
      </c>
    </row>
    <row r="19" spans="1:23" s="84" customFormat="1" ht="27" customHeight="1">
      <c r="A19" s="26" t="s">
        <v>19</v>
      </c>
      <c r="B19" s="107" t="s">
        <v>369</v>
      </c>
      <c r="C19" s="108" t="s">
        <v>30</v>
      </c>
      <c r="D19" s="17" t="s">
        <v>9</v>
      </c>
      <c r="E19" s="117" t="s">
        <v>370</v>
      </c>
      <c r="F19" s="109" t="s">
        <v>44</v>
      </c>
      <c r="G19" s="21" t="s">
        <v>20</v>
      </c>
      <c r="H19" s="102">
        <v>1500</v>
      </c>
      <c r="I19" s="110">
        <v>1500000</v>
      </c>
      <c r="J19" s="111">
        <v>0.4</v>
      </c>
      <c r="K19" s="145">
        <v>600000</v>
      </c>
      <c r="L19" s="18">
        <v>45821</v>
      </c>
      <c r="M19" s="18">
        <v>45825</v>
      </c>
      <c r="N19" s="112" t="s">
        <v>7</v>
      </c>
      <c r="O19" s="31">
        <v>1</v>
      </c>
      <c r="P19" s="19"/>
      <c r="Q19" s="19"/>
      <c r="R19" s="20"/>
      <c r="S19" s="46"/>
      <c r="T19" s="21"/>
      <c r="U19" s="10" t="s">
        <v>19</v>
      </c>
      <c r="V19" s="47" t="s">
        <v>19</v>
      </c>
      <c r="W19" s="46" t="s">
        <v>84</v>
      </c>
    </row>
    <row r="20" spans="1:23" s="84" customFormat="1" ht="27" customHeight="1">
      <c r="A20" s="26" t="s">
        <v>19</v>
      </c>
      <c r="B20" s="107" t="s">
        <v>260</v>
      </c>
      <c r="C20" s="108" t="s">
        <v>28</v>
      </c>
      <c r="D20" s="17" t="s">
        <v>150</v>
      </c>
      <c r="E20" s="117" t="s">
        <v>151</v>
      </c>
      <c r="F20" s="109" t="s">
        <v>261</v>
      </c>
      <c r="G20" s="21" t="s">
        <v>20</v>
      </c>
      <c r="H20" s="102">
        <v>200</v>
      </c>
      <c r="I20" s="110">
        <v>200000</v>
      </c>
      <c r="J20" s="111">
        <v>0.5</v>
      </c>
      <c r="K20" s="145">
        <v>100000</v>
      </c>
      <c r="L20" s="18">
        <v>45827</v>
      </c>
      <c r="M20" s="18">
        <v>45831</v>
      </c>
      <c r="N20" s="112" t="s">
        <v>7</v>
      </c>
      <c r="O20" s="31">
        <v>1</v>
      </c>
      <c r="P20" s="105"/>
      <c r="Q20" s="19"/>
      <c r="R20" s="20"/>
      <c r="S20" s="46"/>
      <c r="T20" s="21"/>
      <c r="U20" s="10" t="s">
        <v>19</v>
      </c>
      <c r="V20" s="47" t="s">
        <v>19</v>
      </c>
      <c r="W20" s="46" t="s">
        <v>84</v>
      </c>
    </row>
    <row r="21" spans="1:23" s="84" customFormat="1" ht="27" customHeight="1">
      <c r="A21" s="26" t="s">
        <v>19</v>
      </c>
      <c r="B21" s="107" t="s">
        <v>262</v>
      </c>
      <c r="C21" s="108" t="s">
        <v>28</v>
      </c>
      <c r="D21" s="17" t="s">
        <v>150</v>
      </c>
      <c r="E21" s="17" t="s">
        <v>151</v>
      </c>
      <c r="F21" s="109">
        <v>4507824805</v>
      </c>
      <c r="G21" s="21" t="s">
        <v>20</v>
      </c>
      <c r="H21" s="102">
        <v>480</v>
      </c>
      <c r="I21" s="110">
        <v>480000</v>
      </c>
      <c r="J21" s="111">
        <v>0.5</v>
      </c>
      <c r="K21" s="145">
        <v>240000</v>
      </c>
      <c r="L21" s="18">
        <v>45827</v>
      </c>
      <c r="M21" s="18">
        <v>45831</v>
      </c>
      <c r="N21" s="112" t="s">
        <v>7</v>
      </c>
      <c r="O21" s="113">
        <v>4</v>
      </c>
      <c r="P21" s="19"/>
      <c r="Q21" s="19"/>
      <c r="R21" s="27"/>
      <c r="S21" s="46"/>
      <c r="T21" s="46"/>
      <c r="U21" s="10" t="s">
        <v>19</v>
      </c>
      <c r="V21" s="47" t="s">
        <v>19</v>
      </c>
      <c r="W21" s="46" t="s">
        <v>84</v>
      </c>
    </row>
    <row r="22" spans="1:23" s="84" customFormat="1" ht="27" customHeight="1">
      <c r="A22" s="117" t="s">
        <v>19</v>
      </c>
      <c r="B22" s="107" t="s">
        <v>133</v>
      </c>
      <c r="C22" s="108" t="s">
        <v>29</v>
      </c>
      <c r="D22" s="17" t="s">
        <v>46</v>
      </c>
      <c r="E22" s="24" t="s">
        <v>134</v>
      </c>
      <c r="F22" s="109" t="s">
        <v>149</v>
      </c>
      <c r="G22" s="21" t="s">
        <v>20</v>
      </c>
      <c r="H22" s="102">
        <v>15000</v>
      </c>
      <c r="I22" s="110">
        <v>15000000</v>
      </c>
      <c r="J22" s="111">
        <v>0.3</v>
      </c>
      <c r="K22" s="145">
        <v>5670000</v>
      </c>
      <c r="L22" s="18">
        <v>45818</v>
      </c>
      <c r="M22" s="114">
        <v>45832</v>
      </c>
      <c r="N22" s="112" t="s">
        <v>7</v>
      </c>
      <c r="O22" s="113">
        <v>2</v>
      </c>
      <c r="P22" s="113"/>
      <c r="Q22" s="19"/>
      <c r="R22" s="20"/>
      <c r="S22" s="46"/>
      <c r="T22" s="21"/>
      <c r="U22" s="10" t="s">
        <v>19</v>
      </c>
      <c r="V22" s="47" t="s">
        <v>19</v>
      </c>
      <c r="W22" s="46" t="s">
        <v>38</v>
      </c>
    </row>
    <row r="23" spans="1:23" s="84" customFormat="1" ht="27" customHeight="1">
      <c r="A23" s="26" t="s">
        <v>19</v>
      </c>
      <c r="B23" s="107" t="s">
        <v>245</v>
      </c>
      <c r="C23" s="108" t="s">
        <v>28</v>
      </c>
      <c r="D23" s="17" t="s">
        <v>246</v>
      </c>
      <c r="E23" s="117" t="s">
        <v>247</v>
      </c>
      <c r="F23" s="109" t="s">
        <v>248</v>
      </c>
      <c r="G23" s="21" t="s">
        <v>249</v>
      </c>
      <c r="H23" s="164">
        <v>393957.74000000017</v>
      </c>
      <c r="I23" s="110">
        <v>512145062.00000024</v>
      </c>
      <c r="J23" s="111">
        <v>0.7</v>
      </c>
      <c r="K23" s="145">
        <v>275770418.00000012</v>
      </c>
      <c r="L23" s="18">
        <v>45823</v>
      </c>
      <c r="M23" s="18">
        <v>45832</v>
      </c>
      <c r="N23" s="112" t="s">
        <v>7</v>
      </c>
      <c r="O23" s="31">
        <v>272</v>
      </c>
      <c r="P23" s="19"/>
      <c r="Q23" s="19"/>
      <c r="R23" s="20"/>
      <c r="S23" s="46"/>
      <c r="T23" s="21"/>
      <c r="U23" s="10" t="s">
        <v>19</v>
      </c>
      <c r="V23" s="47" t="s">
        <v>19</v>
      </c>
      <c r="W23" s="46" t="s">
        <v>37</v>
      </c>
    </row>
    <row r="24" spans="1:23" s="84" customFormat="1" ht="27" customHeight="1">
      <c r="A24" s="103" t="s">
        <v>19</v>
      </c>
      <c r="B24" s="107" t="s">
        <v>155</v>
      </c>
      <c r="C24" s="108" t="s">
        <v>29</v>
      </c>
      <c r="D24" s="17" t="s">
        <v>156</v>
      </c>
      <c r="E24" s="118" t="s">
        <v>24</v>
      </c>
      <c r="F24" s="109" t="s">
        <v>157</v>
      </c>
      <c r="G24" s="21" t="s">
        <v>20</v>
      </c>
      <c r="H24" s="102">
        <v>1335.5</v>
      </c>
      <c r="I24" s="110">
        <v>1335500</v>
      </c>
      <c r="J24" s="111">
        <v>0.84</v>
      </c>
      <c r="K24" s="145">
        <v>1420672.848</v>
      </c>
      <c r="L24" s="18">
        <v>45818</v>
      </c>
      <c r="M24" s="18">
        <v>45833</v>
      </c>
      <c r="N24" s="112" t="s">
        <v>7</v>
      </c>
      <c r="O24" s="31">
        <v>1</v>
      </c>
      <c r="P24" s="19"/>
      <c r="Q24" s="19"/>
      <c r="R24" s="27"/>
      <c r="S24" s="46"/>
      <c r="T24" s="21"/>
      <c r="U24" s="10" t="s">
        <v>19</v>
      </c>
      <c r="V24" s="47" t="s">
        <v>19</v>
      </c>
      <c r="W24" s="46" t="s">
        <v>37</v>
      </c>
    </row>
    <row r="25" spans="1:23" s="84" customFormat="1" ht="27" customHeight="1">
      <c r="A25" s="120" t="s">
        <v>19</v>
      </c>
      <c r="B25" s="107" t="s">
        <v>194</v>
      </c>
      <c r="C25" s="108" t="s">
        <v>29</v>
      </c>
      <c r="D25" s="17" t="s">
        <v>97</v>
      </c>
      <c r="E25" s="117" t="s">
        <v>195</v>
      </c>
      <c r="F25" s="109" t="s">
        <v>196</v>
      </c>
      <c r="G25" s="21" t="s">
        <v>20</v>
      </c>
      <c r="H25" s="102">
        <v>31061</v>
      </c>
      <c r="I25" s="110">
        <v>31061000</v>
      </c>
      <c r="J25" s="111">
        <v>0.6</v>
      </c>
      <c r="K25" s="145">
        <v>22363920</v>
      </c>
      <c r="L25" s="18">
        <v>45828</v>
      </c>
      <c r="M25" s="18">
        <v>45838</v>
      </c>
      <c r="N25" s="112" t="s">
        <v>7</v>
      </c>
      <c r="O25" s="31">
        <v>3</v>
      </c>
      <c r="P25" s="19"/>
      <c r="Q25" s="19"/>
      <c r="R25" s="20"/>
      <c r="S25" s="46"/>
      <c r="T25" s="21"/>
      <c r="U25" s="10" t="s">
        <v>19</v>
      </c>
      <c r="V25" s="47" t="s">
        <v>19</v>
      </c>
      <c r="W25" s="46" t="s">
        <v>38</v>
      </c>
    </row>
    <row r="26" spans="1:23" s="84" customFormat="1" ht="27" customHeight="1">
      <c r="A26" s="26" t="s">
        <v>19</v>
      </c>
      <c r="B26" s="107" t="s">
        <v>378</v>
      </c>
      <c r="C26" s="108" t="s">
        <v>29</v>
      </c>
      <c r="D26" s="17" t="s">
        <v>97</v>
      </c>
      <c r="E26" s="117" t="s">
        <v>195</v>
      </c>
      <c r="F26" s="109" t="s">
        <v>196</v>
      </c>
      <c r="G26" s="21" t="s">
        <v>20</v>
      </c>
      <c r="H26" s="102">
        <v>39492.720000000001</v>
      </c>
      <c r="I26" s="110">
        <v>39492720</v>
      </c>
      <c r="J26" s="111">
        <v>0.25</v>
      </c>
      <c r="K26" s="145">
        <v>13062217.140000001</v>
      </c>
      <c r="L26" s="18">
        <v>45835</v>
      </c>
      <c r="M26" s="18">
        <v>45838</v>
      </c>
      <c r="N26" s="112" t="s">
        <v>7</v>
      </c>
      <c r="O26" s="31">
        <v>5</v>
      </c>
      <c r="P26" s="105"/>
      <c r="Q26" s="19"/>
      <c r="R26" s="20"/>
      <c r="S26" s="46"/>
      <c r="T26" s="21"/>
      <c r="U26" s="10" t="s">
        <v>19</v>
      </c>
      <c r="V26" s="47" t="s">
        <v>19</v>
      </c>
      <c r="W26" s="46" t="s">
        <v>38</v>
      </c>
    </row>
    <row r="27" spans="1:23" s="84" customFormat="1" ht="27" customHeight="1">
      <c r="A27" s="26" t="s">
        <v>19</v>
      </c>
      <c r="B27" s="107" t="s">
        <v>496</v>
      </c>
      <c r="C27" s="108" t="s">
        <v>29</v>
      </c>
      <c r="D27" s="17" t="s">
        <v>497</v>
      </c>
      <c r="E27" s="17" t="s">
        <v>498</v>
      </c>
      <c r="F27" s="109" t="s">
        <v>499</v>
      </c>
      <c r="G27" s="21" t="s">
        <v>20</v>
      </c>
      <c r="H27" s="102">
        <v>780</v>
      </c>
      <c r="I27" s="110">
        <v>780000</v>
      </c>
      <c r="J27" s="111">
        <v>0</v>
      </c>
      <c r="K27" s="145">
        <v>0</v>
      </c>
      <c r="L27" s="18">
        <v>45849</v>
      </c>
      <c r="M27" s="18">
        <v>45850</v>
      </c>
      <c r="N27" s="112" t="s">
        <v>7</v>
      </c>
      <c r="O27" s="113">
        <v>4</v>
      </c>
      <c r="P27" s="19"/>
      <c r="Q27" s="19"/>
      <c r="R27" s="27"/>
      <c r="S27" s="46"/>
      <c r="T27" s="46"/>
      <c r="U27" s="10" t="s">
        <v>19</v>
      </c>
      <c r="V27" s="47" t="s">
        <v>19</v>
      </c>
      <c r="W27" s="46" t="s">
        <v>180</v>
      </c>
    </row>
    <row r="28" spans="1:23" s="84" customFormat="1" ht="27" customHeight="1">
      <c r="A28" s="117" t="s">
        <v>19</v>
      </c>
      <c r="B28" s="107" t="s">
        <v>346</v>
      </c>
      <c r="C28" s="108" t="s">
        <v>29</v>
      </c>
      <c r="D28" s="17" t="s">
        <v>104</v>
      </c>
      <c r="E28" s="17" t="s">
        <v>347</v>
      </c>
      <c r="F28" s="109" t="s">
        <v>348</v>
      </c>
      <c r="G28" s="21" t="s">
        <v>20</v>
      </c>
      <c r="H28" s="102">
        <v>10847.999999999998</v>
      </c>
      <c r="I28" s="110">
        <v>10847999.999999998</v>
      </c>
      <c r="J28" s="111">
        <v>0.7</v>
      </c>
      <c r="K28" s="145">
        <v>7593599.9999999981</v>
      </c>
      <c r="L28" s="18">
        <v>45848</v>
      </c>
      <c r="M28" s="18">
        <v>45853</v>
      </c>
      <c r="N28" s="112" t="s">
        <v>7</v>
      </c>
      <c r="O28" s="113">
        <v>50</v>
      </c>
      <c r="P28" s="19"/>
      <c r="Q28" s="19"/>
      <c r="R28" s="27"/>
      <c r="S28" s="46"/>
      <c r="T28" s="46"/>
      <c r="U28" s="10" t="s">
        <v>19</v>
      </c>
      <c r="V28" s="47" t="s">
        <v>19</v>
      </c>
      <c r="W28" s="46" t="s">
        <v>93</v>
      </c>
    </row>
    <row r="29" spans="1:23" s="84" customFormat="1" ht="27" customHeight="1">
      <c r="A29" s="26" t="s">
        <v>19</v>
      </c>
      <c r="B29" s="107" t="s">
        <v>349</v>
      </c>
      <c r="C29" s="108" t="s">
        <v>28</v>
      </c>
      <c r="D29" s="17" t="s">
        <v>104</v>
      </c>
      <c r="E29" s="24" t="s">
        <v>347</v>
      </c>
      <c r="F29" s="109" t="s">
        <v>348</v>
      </c>
      <c r="G29" s="21" t="s">
        <v>20</v>
      </c>
      <c r="H29" s="102">
        <v>34762</v>
      </c>
      <c r="I29" s="110">
        <v>34762000</v>
      </c>
      <c r="J29" s="111">
        <v>0.6</v>
      </c>
      <c r="K29" s="145">
        <v>20857200</v>
      </c>
      <c r="L29" s="18">
        <v>45848</v>
      </c>
      <c r="M29" s="114">
        <v>45853</v>
      </c>
      <c r="N29" s="112" t="s">
        <v>7</v>
      </c>
      <c r="O29" s="113">
        <v>9</v>
      </c>
      <c r="P29" s="113"/>
      <c r="Q29" s="19"/>
      <c r="R29" s="20"/>
      <c r="S29" s="46"/>
      <c r="T29" s="21"/>
      <c r="U29" s="10" t="s">
        <v>19</v>
      </c>
      <c r="V29" s="47" t="s">
        <v>19</v>
      </c>
      <c r="W29" s="46" t="s">
        <v>93</v>
      </c>
    </row>
    <row r="30" spans="1:23" s="84" customFormat="1" ht="27" customHeight="1">
      <c r="A30" s="103" t="s">
        <v>19</v>
      </c>
      <c r="B30" s="17" t="s">
        <v>371</v>
      </c>
      <c r="C30" s="17" t="s">
        <v>28</v>
      </c>
      <c r="D30" s="17" t="s">
        <v>104</v>
      </c>
      <c r="E30" s="17" t="s">
        <v>347</v>
      </c>
      <c r="F30" s="17" t="s">
        <v>372</v>
      </c>
      <c r="G30" s="23" t="s">
        <v>20</v>
      </c>
      <c r="H30" s="102">
        <v>2633</v>
      </c>
      <c r="I30" s="110">
        <v>2633000</v>
      </c>
      <c r="J30" s="49">
        <v>0.5</v>
      </c>
      <c r="K30" s="145">
        <v>1316500</v>
      </c>
      <c r="L30" s="18">
        <v>45863</v>
      </c>
      <c r="M30" s="18">
        <v>45870</v>
      </c>
      <c r="N30" s="112" t="s">
        <v>7</v>
      </c>
      <c r="O30" s="31">
        <v>16</v>
      </c>
      <c r="P30" s="105"/>
      <c r="Q30" s="19"/>
      <c r="R30" s="20"/>
      <c r="S30" s="46"/>
      <c r="T30" s="48"/>
      <c r="U30" s="10" t="s">
        <v>19</v>
      </c>
      <c r="V30" s="47" t="s">
        <v>19</v>
      </c>
      <c r="W30" s="46" t="s">
        <v>93</v>
      </c>
    </row>
    <row r="31" spans="1:23" s="84" customFormat="1" ht="27" customHeight="1">
      <c r="A31" s="103" t="s">
        <v>19</v>
      </c>
      <c r="B31" s="107" t="s">
        <v>373</v>
      </c>
      <c r="C31" s="108" t="s">
        <v>28</v>
      </c>
      <c r="D31" s="17" t="s">
        <v>104</v>
      </c>
      <c r="E31" s="117" t="s">
        <v>347</v>
      </c>
      <c r="F31" s="109" t="s">
        <v>374</v>
      </c>
      <c r="G31" s="21" t="s">
        <v>20</v>
      </c>
      <c r="H31" s="102">
        <v>10297</v>
      </c>
      <c r="I31" s="110">
        <v>10297000</v>
      </c>
      <c r="J31" s="111">
        <v>0.7</v>
      </c>
      <c r="K31" s="145">
        <v>7207900</v>
      </c>
      <c r="L31" s="18">
        <v>45863</v>
      </c>
      <c r="M31" s="18">
        <v>45870</v>
      </c>
      <c r="N31" s="112" t="s">
        <v>7</v>
      </c>
      <c r="O31" s="31">
        <v>3</v>
      </c>
      <c r="P31" s="105"/>
      <c r="Q31" s="19"/>
      <c r="R31" s="20"/>
      <c r="S31" s="46"/>
      <c r="T31" s="21"/>
      <c r="U31" s="10" t="s">
        <v>19</v>
      </c>
      <c r="V31" s="47" t="s">
        <v>19</v>
      </c>
      <c r="W31" s="46" t="s">
        <v>93</v>
      </c>
    </row>
    <row r="32" spans="1:23" s="84" customFormat="1" ht="27" customHeight="1">
      <c r="A32" s="26" t="s">
        <v>19</v>
      </c>
      <c r="B32" s="17" t="s">
        <v>250</v>
      </c>
      <c r="C32" s="17" t="s">
        <v>29</v>
      </c>
      <c r="D32" s="17" t="s">
        <v>46</v>
      </c>
      <c r="E32" s="17" t="s">
        <v>251</v>
      </c>
      <c r="F32" s="17" t="s">
        <v>252</v>
      </c>
      <c r="G32" s="23" t="s">
        <v>20</v>
      </c>
      <c r="H32" s="102">
        <v>1520</v>
      </c>
      <c r="I32" s="110">
        <v>1520000</v>
      </c>
      <c r="J32" s="68">
        <v>0.5</v>
      </c>
      <c r="K32" s="145">
        <v>836000</v>
      </c>
      <c r="L32" s="18">
        <v>45859</v>
      </c>
      <c r="M32" s="18">
        <v>45873</v>
      </c>
      <c r="N32" s="112" t="s">
        <v>7</v>
      </c>
      <c r="O32" s="31">
        <v>1</v>
      </c>
      <c r="P32" s="105"/>
      <c r="Q32" s="19"/>
      <c r="R32" s="20"/>
      <c r="S32" s="46"/>
      <c r="T32" s="48"/>
      <c r="U32" s="10" t="s">
        <v>19</v>
      </c>
      <c r="V32" s="47" t="s">
        <v>19</v>
      </c>
      <c r="W32" s="46" t="s">
        <v>38</v>
      </c>
    </row>
    <row r="33" spans="1:23" s="84" customFormat="1" ht="27" customHeight="1">
      <c r="A33" s="26" t="s">
        <v>19</v>
      </c>
      <c r="B33" s="107" t="s">
        <v>350</v>
      </c>
      <c r="C33" s="108" t="s">
        <v>28</v>
      </c>
      <c r="D33" s="17" t="s">
        <v>100</v>
      </c>
      <c r="E33" s="24" t="s">
        <v>351</v>
      </c>
      <c r="F33" s="109" t="s">
        <v>352</v>
      </c>
      <c r="G33" s="21" t="s">
        <v>20</v>
      </c>
      <c r="H33" s="102">
        <v>4000</v>
      </c>
      <c r="I33" s="110">
        <v>4000000</v>
      </c>
      <c r="J33" s="101">
        <v>0.9</v>
      </c>
      <c r="K33" s="145">
        <v>3600000</v>
      </c>
      <c r="L33" s="18">
        <v>45838</v>
      </c>
      <c r="M33" s="114">
        <v>45876</v>
      </c>
      <c r="N33" s="112" t="s">
        <v>7</v>
      </c>
      <c r="O33" s="113">
        <v>4</v>
      </c>
      <c r="P33" s="113"/>
      <c r="Q33" s="19"/>
      <c r="R33" s="20"/>
      <c r="S33" s="46"/>
      <c r="T33" s="21"/>
      <c r="U33" s="10" t="s">
        <v>19</v>
      </c>
      <c r="V33" s="47" t="s">
        <v>19</v>
      </c>
      <c r="W33" s="46" t="s">
        <v>37</v>
      </c>
    </row>
    <row r="34" spans="1:23" s="84" customFormat="1" ht="27" customHeight="1">
      <c r="A34" s="83" t="s">
        <v>19</v>
      </c>
      <c r="B34" s="108" t="s">
        <v>353</v>
      </c>
      <c r="C34" s="108" t="s">
        <v>28</v>
      </c>
      <c r="D34" s="24" t="s">
        <v>52</v>
      </c>
      <c r="E34" s="116" t="s">
        <v>24</v>
      </c>
      <c r="F34" s="117" t="s">
        <v>354</v>
      </c>
      <c r="G34" s="21" t="s">
        <v>20</v>
      </c>
      <c r="H34" s="164">
        <v>1575</v>
      </c>
      <c r="I34" s="110">
        <v>1575000</v>
      </c>
      <c r="J34" s="49">
        <v>0.5</v>
      </c>
      <c r="K34" s="145">
        <v>787500</v>
      </c>
      <c r="L34" s="18">
        <v>45877</v>
      </c>
      <c r="M34" s="18">
        <v>45884</v>
      </c>
      <c r="N34" s="112" t="s">
        <v>7</v>
      </c>
      <c r="O34" s="31">
        <v>50</v>
      </c>
      <c r="P34" s="19"/>
      <c r="Q34" s="19"/>
      <c r="R34" s="20"/>
      <c r="S34" s="46"/>
      <c r="T34" s="48"/>
      <c r="U34" s="10" t="s">
        <v>19</v>
      </c>
      <c r="V34" s="47" t="s">
        <v>19</v>
      </c>
      <c r="W34" s="46" t="s">
        <v>37</v>
      </c>
    </row>
    <row r="35" spans="1:23" s="84" customFormat="1" ht="27" customHeight="1">
      <c r="A35" s="103" t="s">
        <v>19</v>
      </c>
      <c r="B35" s="107" t="s">
        <v>253</v>
      </c>
      <c r="C35" s="108" t="s">
        <v>29</v>
      </c>
      <c r="D35" s="17" t="s">
        <v>52</v>
      </c>
      <c r="E35" s="117" t="s">
        <v>254</v>
      </c>
      <c r="F35" s="109" t="s">
        <v>255</v>
      </c>
      <c r="G35" s="21" t="s">
        <v>20</v>
      </c>
      <c r="H35" s="102">
        <v>68000</v>
      </c>
      <c r="I35" s="143">
        <v>68000000</v>
      </c>
      <c r="J35" s="111">
        <v>0.3</v>
      </c>
      <c r="K35" s="145">
        <v>27009600</v>
      </c>
      <c r="L35" s="18">
        <v>45874</v>
      </c>
      <c r="M35" s="18">
        <v>45885</v>
      </c>
      <c r="N35" s="112" t="s">
        <v>7</v>
      </c>
      <c r="O35" s="31">
        <v>8</v>
      </c>
      <c r="P35" s="105"/>
      <c r="Q35" s="19"/>
      <c r="R35" s="20"/>
      <c r="S35" s="46"/>
      <c r="T35" s="21"/>
      <c r="U35" s="10" t="s">
        <v>19</v>
      </c>
      <c r="V35" s="47" t="s">
        <v>19</v>
      </c>
      <c r="W35" s="46" t="s">
        <v>37</v>
      </c>
    </row>
    <row r="36" spans="1:23" s="84" customFormat="1" ht="27" customHeight="1">
      <c r="A36" s="26" t="s">
        <v>19</v>
      </c>
      <c r="B36" s="107" t="s">
        <v>375</v>
      </c>
      <c r="C36" s="108" t="s">
        <v>28</v>
      </c>
      <c r="D36" s="17" t="s">
        <v>100</v>
      </c>
      <c r="E36" s="117" t="s">
        <v>376</v>
      </c>
      <c r="F36" s="109" t="s">
        <v>377</v>
      </c>
      <c r="G36" s="21" t="s">
        <v>20</v>
      </c>
      <c r="H36" s="102">
        <v>8000</v>
      </c>
      <c r="I36" s="110">
        <v>8000000</v>
      </c>
      <c r="J36" s="111">
        <v>0.7</v>
      </c>
      <c r="K36" s="145">
        <v>5600000</v>
      </c>
      <c r="L36" s="18">
        <v>45863</v>
      </c>
      <c r="M36" s="18">
        <v>45894</v>
      </c>
      <c r="N36" s="112" t="s">
        <v>7</v>
      </c>
      <c r="O36" s="31">
        <v>2</v>
      </c>
      <c r="P36" s="105" t="s">
        <v>44</v>
      </c>
      <c r="Q36" s="19"/>
      <c r="R36" s="20"/>
      <c r="S36" s="46"/>
      <c r="T36" s="21"/>
      <c r="U36" s="10" t="s">
        <v>19</v>
      </c>
      <c r="V36" s="47" t="s">
        <v>19</v>
      </c>
      <c r="W36" s="46" t="s">
        <v>37</v>
      </c>
    </row>
    <row r="37" spans="1:23" s="84" customFormat="1" ht="27" customHeight="1">
      <c r="A37" s="17" t="s">
        <v>19</v>
      </c>
      <c r="B37" s="107" t="s">
        <v>500</v>
      </c>
      <c r="C37" s="108" t="s">
        <v>29</v>
      </c>
      <c r="D37" s="17" t="s">
        <v>12</v>
      </c>
      <c r="E37" s="17" t="s">
        <v>501</v>
      </c>
      <c r="F37" s="109" t="s">
        <v>502</v>
      </c>
      <c r="G37" s="21" t="s">
        <v>23</v>
      </c>
      <c r="H37" s="166">
        <v>11500000</v>
      </c>
      <c r="I37" s="110">
        <v>11500000</v>
      </c>
      <c r="J37" s="111">
        <v>0.5</v>
      </c>
      <c r="K37" s="145">
        <v>5750000</v>
      </c>
      <c r="L37" s="18">
        <v>45915</v>
      </c>
      <c r="M37" s="18">
        <v>45916</v>
      </c>
      <c r="N37" s="112" t="s">
        <v>7</v>
      </c>
      <c r="O37" s="113">
        <v>3</v>
      </c>
      <c r="P37" s="19"/>
      <c r="Q37" s="19"/>
      <c r="R37" s="27"/>
      <c r="S37" s="46"/>
      <c r="T37" s="46"/>
      <c r="U37" s="10" t="s">
        <v>19</v>
      </c>
      <c r="V37" s="47" t="s">
        <v>19</v>
      </c>
      <c r="W37" s="46" t="s">
        <v>40</v>
      </c>
    </row>
    <row r="38" spans="1:23" s="84" customFormat="1" ht="27" customHeight="1">
      <c r="A38" s="26" t="s">
        <v>19</v>
      </c>
      <c r="B38" s="107" t="s">
        <v>256</v>
      </c>
      <c r="C38" s="108" t="s">
        <v>28</v>
      </c>
      <c r="D38" s="17" t="s">
        <v>97</v>
      </c>
      <c r="E38" s="117" t="s">
        <v>257</v>
      </c>
      <c r="F38" s="109" t="s">
        <v>258</v>
      </c>
      <c r="G38" s="21" t="s">
        <v>20</v>
      </c>
      <c r="H38" s="102">
        <v>20387</v>
      </c>
      <c r="I38" s="110">
        <v>20387000</v>
      </c>
      <c r="J38" s="111">
        <v>0.85</v>
      </c>
      <c r="K38" s="145">
        <v>22943529.800000001</v>
      </c>
      <c r="L38" s="18">
        <v>45906</v>
      </c>
      <c r="M38" s="18">
        <v>45936</v>
      </c>
      <c r="N38" s="112" t="s">
        <v>7</v>
      </c>
      <c r="O38" s="31">
        <v>5</v>
      </c>
      <c r="P38" s="105" t="s">
        <v>44</v>
      </c>
      <c r="Q38" s="19"/>
      <c r="R38" s="20"/>
      <c r="S38" s="46"/>
      <c r="T38" s="21"/>
      <c r="U38" s="10" t="s">
        <v>19</v>
      </c>
      <c r="V38" s="47" t="s">
        <v>19</v>
      </c>
      <c r="W38" s="46" t="s">
        <v>37</v>
      </c>
    </row>
    <row r="39" spans="1:23" s="84" customFormat="1" ht="27" customHeight="1">
      <c r="A39" s="103" t="s">
        <v>19</v>
      </c>
      <c r="B39" s="17" t="s">
        <v>259</v>
      </c>
      <c r="C39" s="17" t="s">
        <v>28</v>
      </c>
      <c r="D39" s="17" t="s">
        <v>97</v>
      </c>
      <c r="E39" s="17" t="s">
        <v>257</v>
      </c>
      <c r="F39" s="17" t="s">
        <v>258</v>
      </c>
      <c r="G39" s="23" t="s">
        <v>20</v>
      </c>
      <c r="H39" s="140">
        <v>4500</v>
      </c>
      <c r="I39" s="110">
        <v>4500000</v>
      </c>
      <c r="J39" s="49">
        <v>0.85</v>
      </c>
      <c r="K39" s="145">
        <v>5064300</v>
      </c>
      <c r="L39" s="18">
        <v>45906</v>
      </c>
      <c r="M39" s="18">
        <v>45936</v>
      </c>
      <c r="N39" s="112" t="s">
        <v>7</v>
      </c>
      <c r="O39" s="31">
        <v>10</v>
      </c>
      <c r="P39" s="105"/>
      <c r="Q39" s="19"/>
      <c r="R39" s="20"/>
      <c r="S39" s="46"/>
      <c r="T39" s="48"/>
      <c r="U39" s="10" t="s">
        <v>19</v>
      </c>
      <c r="V39" s="47" t="s">
        <v>19</v>
      </c>
      <c r="W39" s="46" t="s">
        <v>37</v>
      </c>
    </row>
    <row r="40" spans="1:23" s="84" customFormat="1" ht="27" customHeight="1">
      <c r="A40" s="83" t="s">
        <v>19</v>
      </c>
      <c r="B40" s="107" t="s">
        <v>355</v>
      </c>
      <c r="C40" s="108" t="s">
        <v>28</v>
      </c>
      <c r="D40" s="17" t="s">
        <v>356</v>
      </c>
      <c r="E40" s="118" t="s">
        <v>357</v>
      </c>
      <c r="F40" s="109" t="s">
        <v>358</v>
      </c>
      <c r="G40" s="21" t="s">
        <v>20</v>
      </c>
      <c r="H40" s="102">
        <v>7600</v>
      </c>
      <c r="I40" s="134">
        <v>7600000</v>
      </c>
      <c r="J40" s="111">
        <v>0.8</v>
      </c>
      <c r="K40" s="145">
        <v>6080000</v>
      </c>
      <c r="L40" s="18">
        <v>45930</v>
      </c>
      <c r="M40" s="18">
        <v>45936</v>
      </c>
      <c r="N40" s="112" t="s">
        <v>7</v>
      </c>
      <c r="O40" s="31">
        <v>3</v>
      </c>
      <c r="P40" s="19"/>
      <c r="Q40" s="19"/>
      <c r="R40" s="27"/>
      <c r="S40" s="46"/>
      <c r="T40" s="21"/>
      <c r="U40" s="10" t="s">
        <v>19</v>
      </c>
      <c r="V40" s="47" t="s">
        <v>19</v>
      </c>
      <c r="W40" s="46" t="s">
        <v>93</v>
      </c>
    </row>
    <row r="41" spans="1:23" s="84" customFormat="1" ht="27" customHeight="1">
      <c r="A41" s="120" t="s">
        <v>19</v>
      </c>
      <c r="B41" s="107" t="s">
        <v>365</v>
      </c>
      <c r="C41" s="108" t="s">
        <v>29</v>
      </c>
      <c r="D41" s="17" t="s">
        <v>46</v>
      </c>
      <c r="E41" s="117" t="s">
        <v>366</v>
      </c>
      <c r="F41" s="109" t="s">
        <v>367</v>
      </c>
      <c r="G41" s="21" t="s">
        <v>20</v>
      </c>
      <c r="H41" s="102">
        <v>17980</v>
      </c>
      <c r="I41" s="110">
        <v>17980000</v>
      </c>
      <c r="J41" s="111">
        <v>0.4</v>
      </c>
      <c r="K41" s="145">
        <v>9061920</v>
      </c>
      <c r="L41" s="18">
        <v>45935</v>
      </c>
      <c r="M41" s="18">
        <v>45966</v>
      </c>
      <c r="N41" s="112" t="s">
        <v>7</v>
      </c>
      <c r="O41" s="31">
        <v>14</v>
      </c>
      <c r="P41" s="19"/>
      <c r="Q41" s="19"/>
      <c r="R41" s="20"/>
      <c r="S41" s="46"/>
      <c r="T41" s="21"/>
      <c r="U41" s="10" t="s">
        <v>19</v>
      </c>
      <c r="V41" s="47" t="s">
        <v>19</v>
      </c>
      <c r="W41" s="46" t="s">
        <v>38</v>
      </c>
    </row>
    <row r="42" spans="1:23" s="84" customFormat="1" ht="27" customHeight="1">
      <c r="A42" s="103" t="s">
        <v>19</v>
      </c>
      <c r="B42" s="107" t="s">
        <v>368</v>
      </c>
      <c r="C42" s="108" t="s">
        <v>28</v>
      </c>
      <c r="D42" s="17" t="s">
        <v>46</v>
      </c>
      <c r="E42" s="117" t="s">
        <v>366</v>
      </c>
      <c r="F42" s="109" t="s">
        <v>367</v>
      </c>
      <c r="G42" s="21" t="s">
        <v>20</v>
      </c>
      <c r="H42" s="102">
        <v>4000</v>
      </c>
      <c r="I42" s="110">
        <v>4000000</v>
      </c>
      <c r="J42" s="111">
        <v>0.4</v>
      </c>
      <c r="K42" s="145">
        <v>2016000</v>
      </c>
      <c r="L42" s="18">
        <v>45935</v>
      </c>
      <c r="M42" s="18">
        <v>45966</v>
      </c>
      <c r="N42" s="112" t="s">
        <v>7</v>
      </c>
      <c r="O42" s="31">
        <v>1</v>
      </c>
      <c r="P42" s="19"/>
      <c r="Q42" s="19"/>
      <c r="R42" s="20"/>
      <c r="S42" s="46"/>
      <c r="T42" s="21"/>
      <c r="U42" s="10" t="s">
        <v>19</v>
      </c>
      <c r="V42" s="47" t="s">
        <v>19</v>
      </c>
      <c r="W42" s="46" t="s">
        <v>38</v>
      </c>
    </row>
    <row r="43" spans="1:23" s="84" customFormat="1" ht="27" customHeight="1">
      <c r="A43" s="103" t="s">
        <v>19</v>
      </c>
      <c r="B43" s="107" t="s">
        <v>503</v>
      </c>
      <c r="C43" s="108" t="s">
        <v>28</v>
      </c>
      <c r="D43" s="17" t="s">
        <v>504</v>
      </c>
      <c r="E43" s="17" t="s">
        <v>505</v>
      </c>
      <c r="F43" s="109" t="s">
        <v>506</v>
      </c>
      <c r="G43" s="21" t="s">
        <v>20</v>
      </c>
      <c r="H43" s="102">
        <v>34071.300000000003</v>
      </c>
      <c r="I43" s="110">
        <v>34071300</v>
      </c>
      <c r="J43" s="111">
        <v>0.3</v>
      </c>
      <c r="K43" s="145">
        <v>10221390</v>
      </c>
      <c r="L43" s="18">
        <v>45991</v>
      </c>
      <c r="M43" s="18">
        <v>45999</v>
      </c>
      <c r="N43" s="112" t="s">
        <v>7</v>
      </c>
      <c r="O43" s="113">
        <v>4</v>
      </c>
      <c r="P43" s="19"/>
      <c r="Q43" s="19"/>
      <c r="R43" s="27"/>
      <c r="S43" s="46"/>
      <c r="T43" s="46"/>
      <c r="U43" s="10" t="s">
        <v>19</v>
      </c>
      <c r="V43" s="47" t="s">
        <v>19</v>
      </c>
      <c r="W43" s="46" t="s">
        <v>93</v>
      </c>
    </row>
    <row r="44" spans="1:23" s="84" customFormat="1" ht="27" customHeight="1">
      <c r="A44" s="26" t="s">
        <v>19</v>
      </c>
      <c r="B44" s="107" t="s">
        <v>189</v>
      </c>
      <c r="C44" s="108" t="s">
        <v>29</v>
      </c>
      <c r="D44" s="17" t="s">
        <v>9</v>
      </c>
      <c r="E44" s="117" t="s">
        <v>190</v>
      </c>
      <c r="F44" s="109" t="s">
        <v>191</v>
      </c>
      <c r="G44" s="21" t="s">
        <v>20</v>
      </c>
      <c r="H44" s="102">
        <v>1800</v>
      </c>
      <c r="I44" s="110">
        <v>1800000</v>
      </c>
      <c r="J44" s="111">
        <v>0.3</v>
      </c>
      <c r="K44" s="145">
        <v>540000</v>
      </c>
      <c r="L44" s="18">
        <v>45992</v>
      </c>
      <c r="M44" s="18">
        <v>46001</v>
      </c>
      <c r="N44" s="112" t="s">
        <v>7</v>
      </c>
      <c r="O44" s="31">
        <v>3</v>
      </c>
      <c r="P44" s="19"/>
      <c r="Q44" s="19"/>
      <c r="R44" s="20"/>
      <c r="S44" s="46"/>
      <c r="T44" s="21"/>
      <c r="U44" s="10" t="s">
        <v>19</v>
      </c>
      <c r="V44" s="47" t="s">
        <v>19</v>
      </c>
      <c r="W44" s="46" t="s">
        <v>84</v>
      </c>
    </row>
    <row r="45" spans="1:23" s="84" customFormat="1" ht="27" customHeight="1">
      <c r="A45" s="26" t="s">
        <v>19</v>
      </c>
      <c r="B45" s="107" t="s">
        <v>359</v>
      </c>
      <c r="C45" s="108" t="s">
        <v>29</v>
      </c>
      <c r="D45" s="17" t="s">
        <v>9</v>
      </c>
      <c r="E45" s="117" t="s">
        <v>360</v>
      </c>
      <c r="F45" s="109" t="s">
        <v>361</v>
      </c>
      <c r="G45" s="21" t="s">
        <v>20</v>
      </c>
      <c r="H45" s="102">
        <v>2709</v>
      </c>
      <c r="I45" s="110">
        <v>2709000</v>
      </c>
      <c r="J45" s="111">
        <v>0.35</v>
      </c>
      <c r="K45" s="145">
        <v>948149.99999999988</v>
      </c>
      <c r="L45" s="18">
        <v>46069</v>
      </c>
      <c r="M45" s="18">
        <v>46073</v>
      </c>
      <c r="N45" s="112" t="s">
        <v>7</v>
      </c>
      <c r="O45" s="31">
        <v>1</v>
      </c>
      <c r="P45" s="19"/>
      <c r="Q45" s="19"/>
      <c r="R45" s="20"/>
      <c r="S45" s="46"/>
      <c r="T45" s="21"/>
      <c r="U45" s="10" t="s">
        <v>19</v>
      </c>
      <c r="V45" s="47" t="s">
        <v>19</v>
      </c>
      <c r="W45" s="46" t="s">
        <v>84</v>
      </c>
    </row>
    <row r="46" spans="1:23" s="84" customFormat="1" ht="27" customHeight="1">
      <c r="A46" s="26" t="s">
        <v>19</v>
      </c>
      <c r="B46" s="17" t="s">
        <v>362</v>
      </c>
      <c r="C46" s="17" t="s">
        <v>29</v>
      </c>
      <c r="D46" s="17" t="s">
        <v>9</v>
      </c>
      <c r="E46" s="17" t="s">
        <v>363</v>
      </c>
      <c r="F46" s="17" t="s">
        <v>364</v>
      </c>
      <c r="G46" s="23" t="s">
        <v>20</v>
      </c>
      <c r="H46" s="102">
        <v>65064</v>
      </c>
      <c r="I46" s="110">
        <v>65064000</v>
      </c>
      <c r="J46" s="49">
        <v>0.35</v>
      </c>
      <c r="K46" s="145">
        <v>22772400</v>
      </c>
      <c r="L46" s="18">
        <v>46174</v>
      </c>
      <c r="M46" s="18">
        <v>46181</v>
      </c>
      <c r="N46" s="112" t="s">
        <v>7</v>
      </c>
      <c r="O46" s="31">
        <v>24</v>
      </c>
      <c r="P46" s="19"/>
      <c r="Q46" s="19"/>
      <c r="R46" s="20"/>
      <c r="S46" s="46"/>
      <c r="T46" s="48"/>
      <c r="U46" s="10" t="s">
        <v>19</v>
      </c>
      <c r="V46" s="47" t="s">
        <v>19</v>
      </c>
      <c r="W46" s="46" t="s">
        <v>84</v>
      </c>
    </row>
    <row r="47" spans="1:23" s="84" customFormat="1" ht="27" customHeight="1">
      <c r="A47" s="83" t="s">
        <v>19</v>
      </c>
      <c r="B47" s="108" t="s">
        <v>152</v>
      </c>
      <c r="C47" s="108" t="s">
        <v>28</v>
      </c>
      <c r="D47" s="24" t="s">
        <v>9</v>
      </c>
      <c r="E47" s="116" t="s">
        <v>153</v>
      </c>
      <c r="F47" s="117" t="s">
        <v>154</v>
      </c>
      <c r="G47" s="21" t="s">
        <v>20</v>
      </c>
      <c r="H47" s="102">
        <v>137854</v>
      </c>
      <c r="I47" s="110">
        <v>137854000</v>
      </c>
      <c r="J47" s="49">
        <v>0.4</v>
      </c>
      <c r="K47" s="145">
        <v>55141600</v>
      </c>
      <c r="L47" s="18">
        <v>46583</v>
      </c>
      <c r="M47" s="18">
        <v>46615</v>
      </c>
      <c r="N47" s="112" t="s">
        <v>7</v>
      </c>
      <c r="O47" s="31">
        <v>170</v>
      </c>
      <c r="P47" s="19"/>
      <c r="Q47" s="19"/>
      <c r="R47" s="20"/>
      <c r="S47" s="46"/>
      <c r="T47" s="48"/>
      <c r="U47" s="10" t="s">
        <v>19</v>
      </c>
      <c r="V47" s="47" t="s">
        <v>19</v>
      </c>
      <c r="W47" s="46" t="s">
        <v>40</v>
      </c>
    </row>
    <row r="48" spans="1:23" s="84" customFormat="1" ht="27" customHeight="1">
      <c r="A48" s="26" t="s">
        <v>19</v>
      </c>
      <c r="B48" s="107" t="s">
        <v>507</v>
      </c>
      <c r="C48" s="108" t="s">
        <v>28</v>
      </c>
      <c r="D48" s="17" t="s">
        <v>9</v>
      </c>
      <c r="E48" s="17" t="s">
        <v>508</v>
      </c>
      <c r="F48" s="109" t="s">
        <v>509</v>
      </c>
      <c r="G48" s="21" t="s">
        <v>20</v>
      </c>
      <c r="H48" s="102">
        <v>15448</v>
      </c>
      <c r="I48" s="110">
        <v>15448000</v>
      </c>
      <c r="J48" s="111">
        <v>0.3</v>
      </c>
      <c r="K48" s="145">
        <v>4634400</v>
      </c>
      <c r="L48" s="18">
        <v>47095</v>
      </c>
      <c r="M48" s="18">
        <v>47107</v>
      </c>
      <c r="N48" s="112" t="s">
        <v>7</v>
      </c>
      <c r="O48" s="113">
        <v>34</v>
      </c>
      <c r="P48" s="19"/>
      <c r="Q48" s="19"/>
      <c r="R48" s="27"/>
      <c r="S48" s="46"/>
      <c r="T48" s="46"/>
      <c r="U48" s="10" t="s">
        <v>19</v>
      </c>
      <c r="V48" s="47" t="s">
        <v>19</v>
      </c>
      <c r="W48" s="46" t="s">
        <v>84</v>
      </c>
    </row>
    <row r="49" spans="1:23" s="84" customFormat="1" ht="36.75" customHeight="1">
      <c r="A49" s="193" t="s">
        <v>25</v>
      </c>
      <c r="B49" s="194"/>
      <c r="C49" s="194"/>
      <c r="D49" s="194"/>
      <c r="E49" s="194"/>
      <c r="F49" s="195"/>
      <c r="G49" s="167" t="s">
        <v>18</v>
      </c>
      <c r="H49" s="146">
        <f>SUMIF(G5:G48, "USD", H5:H48)</f>
        <v>864982.52</v>
      </c>
      <c r="I49" s="202">
        <f>SUM(I5:I48)</f>
        <v>1388627582.0000002</v>
      </c>
      <c r="J49" s="149"/>
      <c r="K49" s="205">
        <f>SUM(K5:K48)</f>
        <v>741417257.78800011</v>
      </c>
      <c r="L49" s="149"/>
      <c r="M49" s="149"/>
      <c r="N49" s="150"/>
      <c r="O49" s="151"/>
      <c r="P49" s="131"/>
      <c r="Q49" s="153"/>
      <c r="R49" s="168"/>
      <c r="S49" s="168"/>
      <c r="T49" s="168"/>
      <c r="U49" s="168"/>
      <c r="V49" s="168"/>
      <c r="W49" s="168"/>
    </row>
    <row r="50" spans="1:23" s="84" customFormat="1" ht="36.75" customHeight="1">
      <c r="A50" s="196"/>
      <c r="B50" s="197"/>
      <c r="C50" s="197"/>
      <c r="D50" s="197"/>
      <c r="E50" s="197"/>
      <c r="F50" s="198"/>
      <c r="G50" s="169" t="s">
        <v>263</v>
      </c>
      <c r="H50" s="170">
        <f>SUMIF(G4:G48, "EUR", H4:H48)</f>
        <v>393957.74000000017</v>
      </c>
      <c r="I50" s="203"/>
      <c r="J50" s="173"/>
      <c r="K50" s="206"/>
      <c r="L50" s="173"/>
      <c r="M50" s="173"/>
      <c r="N50" s="174"/>
      <c r="O50" s="175"/>
      <c r="P50" s="28"/>
      <c r="Q50" s="176"/>
      <c r="R50" s="168"/>
      <c r="S50" s="168"/>
      <c r="T50" s="168"/>
      <c r="U50" s="168"/>
      <c r="V50" s="168"/>
      <c r="W50" s="168"/>
    </row>
    <row r="51" spans="1:23" s="148" customFormat="1" ht="28.5" customHeight="1">
      <c r="A51" s="199"/>
      <c r="B51" s="200"/>
      <c r="C51" s="200"/>
      <c r="D51" s="200"/>
      <c r="E51" s="200"/>
      <c r="F51" s="201"/>
      <c r="G51" s="169" t="s">
        <v>22</v>
      </c>
      <c r="H51" s="170">
        <f>SUMIF(G5:G48, "KRW", H5:H48)</f>
        <v>11500000</v>
      </c>
      <c r="I51" s="204"/>
      <c r="J51" s="29"/>
      <c r="K51" s="207"/>
      <c r="L51" s="29"/>
      <c r="M51" s="29"/>
      <c r="N51" s="63"/>
      <c r="O51" s="152"/>
      <c r="P51" s="28"/>
      <c r="Q51" s="106"/>
      <c r="R51" s="171"/>
      <c r="S51" s="172"/>
      <c r="T51" s="172"/>
      <c r="U51" s="172"/>
      <c r="V51" s="172"/>
      <c r="W51" s="172"/>
    </row>
    <row r="52" spans="1:23">
      <c r="A52" s="3"/>
      <c r="B52" s="3"/>
      <c r="C52" s="3"/>
      <c r="E52" s="5"/>
      <c r="F52" s="3"/>
      <c r="G52" s="3"/>
      <c r="I52" s="90"/>
      <c r="J52" s="86"/>
      <c r="K52" s="87"/>
      <c r="S52" s="3"/>
      <c r="W52" s="40"/>
    </row>
    <row r="53" spans="1:23">
      <c r="A53" s="3"/>
      <c r="B53" s="3"/>
      <c r="C53" s="3"/>
      <c r="E53" s="5"/>
      <c r="F53" s="3"/>
      <c r="G53" s="3"/>
      <c r="I53" s="90"/>
      <c r="J53" s="86"/>
      <c r="K53" s="87"/>
      <c r="S53" s="3"/>
      <c r="W53" s="40"/>
    </row>
    <row r="54" spans="1:23">
      <c r="A54" s="3"/>
      <c r="B54" s="3"/>
      <c r="C54" s="3"/>
      <c r="E54" s="5"/>
      <c r="F54" s="3"/>
      <c r="G54" s="3"/>
      <c r="I54" s="90"/>
      <c r="J54" s="86"/>
      <c r="K54" s="87"/>
      <c r="S54" s="3"/>
      <c r="W54" s="40"/>
    </row>
    <row r="55" spans="1:23">
      <c r="A55" s="3"/>
      <c r="B55" s="3"/>
      <c r="C55" s="3"/>
      <c r="E55" s="5"/>
      <c r="F55" s="3"/>
      <c r="G55" s="3"/>
      <c r="I55" s="90"/>
      <c r="J55" s="86"/>
      <c r="K55" s="87"/>
      <c r="S55" s="3"/>
      <c r="W55" s="40"/>
    </row>
    <row r="56" spans="1:23">
      <c r="A56" s="3"/>
      <c r="B56" s="3"/>
      <c r="C56" s="3"/>
      <c r="E56" s="5"/>
      <c r="F56" s="3"/>
      <c r="G56" s="3"/>
      <c r="I56" s="90"/>
      <c r="J56" s="86"/>
      <c r="K56" s="87"/>
      <c r="S56" s="3"/>
      <c r="W56" s="40"/>
    </row>
    <row r="57" spans="1:23">
      <c r="A57" s="3"/>
      <c r="B57" s="3"/>
      <c r="C57" s="3"/>
      <c r="E57" s="5"/>
      <c r="F57" s="3"/>
      <c r="G57" s="3"/>
      <c r="I57" s="90"/>
      <c r="J57" s="86"/>
      <c r="K57" s="87"/>
      <c r="S57" s="3"/>
      <c r="W57" s="40"/>
    </row>
    <row r="58" spans="1:23">
      <c r="I58" s="190"/>
    </row>
    <row r="59" spans="1:23">
      <c r="I59" s="90"/>
    </row>
    <row r="60" spans="1:23">
      <c r="I60" s="90"/>
    </row>
    <row r="61" spans="1:23" s="22" customFormat="1">
      <c r="A61" s="4"/>
      <c r="B61" s="4"/>
      <c r="C61" s="4"/>
      <c r="D61" s="3"/>
      <c r="E61" s="11"/>
      <c r="F61" s="4"/>
      <c r="G61" s="4"/>
      <c r="H61" s="14"/>
      <c r="I61" s="90"/>
      <c r="K61" s="35"/>
      <c r="L61" s="6"/>
      <c r="M61" s="6"/>
      <c r="N61" s="7"/>
      <c r="O61" s="8"/>
      <c r="P61" s="8"/>
      <c r="Q61" s="4"/>
      <c r="R61" s="3"/>
      <c r="S61" s="4"/>
      <c r="T61" s="39"/>
      <c r="U61" s="1"/>
      <c r="V61" s="38"/>
      <c r="W61" s="39"/>
    </row>
    <row r="62" spans="1:23" s="22" customFormat="1">
      <c r="A62" s="4"/>
      <c r="B62" s="4"/>
      <c r="C62" s="4"/>
      <c r="D62" s="3"/>
      <c r="E62" s="11"/>
      <c r="F62" s="4"/>
      <c r="G62" s="4"/>
      <c r="H62" s="14"/>
      <c r="I62" s="90"/>
      <c r="K62" s="35"/>
      <c r="L62" s="6"/>
      <c r="M62" s="6"/>
      <c r="N62" s="7"/>
      <c r="O62" s="8"/>
      <c r="P62" s="8"/>
      <c r="Q62" s="4"/>
      <c r="R62" s="3"/>
      <c r="S62" s="4"/>
      <c r="T62" s="39"/>
      <c r="U62" s="1"/>
      <c r="V62" s="38"/>
      <c r="W62" s="39"/>
    </row>
    <row r="63" spans="1:23" s="22" customFormat="1">
      <c r="A63" s="4"/>
      <c r="B63" s="4"/>
      <c r="C63" s="4"/>
      <c r="D63" s="3"/>
      <c r="E63" s="11"/>
      <c r="F63" s="4"/>
      <c r="G63" s="4"/>
      <c r="H63" s="14"/>
      <c r="I63" s="90"/>
      <c r="K63" s="35"/>
      <c r="L63" s="6"/>
      <c r="M63" s="6"/>
      <c r="N63" s="7"/>
      <c r="O63" s="8"/>
      <c r="P63" s="8"/>
      <c r="Q63" s="4"/>
      <c r="R63" s="3"/>
      <c r="S63" s="4"/>
      <c r="T63" s="39"/>
      <c r="U63" s="1"/>
      <c r="V63" s="38"/>
      <c r="W63" s="39"/>
    </row>
  </sheetData>
  <autoFilter ref="A4:W51" xr:uid="{00000000-0001-0000-0500-000000000000}"/>
  <mergeCells count="5">
    <mergeCell ref="A2:Q2"/>
    <mergeCell ref="A1:Q1"/>
    <mergeCell ref="A49:F51"/>
    <mergeCell ref="I49:I51"/>
    <mergeCell ref="K49:K51"/>
  </mergeCells>
  <phoneticPr fontId="4" type="noConversion"/>
  <conditionalFormatting sqref="B14">
    <cfRule type="duplicateValues" dxfId="218" priority="17"/>
  </conditionalFormatting>
  <conditionalFormatting sqref="B15">
    <cfRule type="duplicateValues" dxfId="217" priority="16"/>
  </conditionalFormatting>
  <conditionalFormatting sqref="B19">
    <cfRule type="duplicateValues" dxfId="216" priority="66"/>
  </conditionalFormatting>
  <conditionalFormatting sqref="B20">
    <cfRule type="duplicateValues" dxfId="215" priority="64"/>
  </conditionalFormatting>
  <conditionalFormatting sqref="B21">
    <cfRule type="duplicateValues" dxfId="214" priority="60"/>
  </conditionalFormatting>
  <conditionalFormatting sqref="B23">
    <cfRule type="duplicateValues" dxfId="213" priority="55"/>
  </conditionalFormatting>
  <conditionalFormatting sqref="B24">
    <cfRule type="duplicateValues" dxfId="212" priority="58"/>
  </conditionalFormatting>
  <conditionalFormatting sqref="B26">
    <cfRule type="duplicateValues" dxfId="211" priority="52"/>
  </conditionalFormatting>
  <conditionalFormatting sqref="B27">
    <cfRule type="duplicateValues" dxfId="210" priority="50"/>
  </conditionalFormatting>
  <conditionalFormatting sqref="B34">
    <cfRule type="duplicateValues" dxfId="209" priority="36"/>
  </conditionalFormatting>
  <conditionalFormatting sqref="B35">
    <cfRule type="duplicateValues" dxfId="208" priority="35"/>
  </conditionalFormatting>
  <conditionalFormatting sqref="B36">
    <cfRule type="duplicateValues" dxfId="207" priority="31"/>
  </conditionalFormatting>
  <conditionalFormatting sqref="B38:B39">
    <cfRule type="duplicateValues" dxfId="206" priority="26"/>
  </conditionalFormatting>
  <conditionalFormatting sqref="B40">
    <cfRule type="duplicateValues" dxfId="205" priority="29"/>
  </conditionalFormatting>
  <conditionalFormatting sqref="B42">
    <cfRule type="duplicateValues" dxfId="204" priority="23"/>
  </conditionalFormatting>
  <conditionalFormatting sqref="B43">
    <cfRule type="duplicateValues" dxfId="203" priority="21"/>
  </conditionalFormatting>
  <conditionalFormatting sqref="B44 B29">
    <cfRule type="duplicateValues" dxfId="202" priority="68"/>
  </conditionalFormatting>
  <conditionalFormatting sqref="B52:B1048576 B1 B3:B4">
    <cfRule type="duplicateValues" dxfId="201" priority="664"/>
    <cfRule type="duplicateValues" dxfId="200" priority="660"/>
  </conditionalFormatting>
  <conditionalFormatting sqref="F14">
    <cfRule type="duplicateValues" dxfId="199" priority="9"/>
  </conditionalFormatting>
  <conditionalFormatting sqref="F15">
    <cfRule type="duplicateValues" dxfId="198" priority="15"/>
  </conditionalFormatting>
  <conditionalFormatting sqref="F19">
    <cfRule type="duplicateValues" dxfId="197" priority="67"/>
  </conditionalFormatting>
  <conditionalFormatting sqref="F20">
    <cfRule type="duplicateValues" dxfId="196" priority="63"/>
  </conditionalFormatting>
  <conditionalFormatting sqref="F21">
    <cfRule type="duplicateValues" dxfId="195" priority="59"/>
  </conditionalFormatting>
  <conditionalFormatting sqref="F23">
    <cfRule type="duplicateValues" dxfId="194" priority="54"/>
  </conditionalFormatting>
  <conditionalFormatting sqref="F24">
    <cfRule type="duplicateValues" dxfId="193" priority="57"/>
  </conditionalFormatting>
  <conditionalFormatting sqref="F26">
    <cfRule type="duplicateValues" dxfId="192" priority="51"/>
  </conditionalFormatting>
  <conditionalFormatting sqref="F27">
    <cfRule type="duplicateValues" dxfId="191" priority="49"/>
  </conditionalFormatting>
  <conditionalFormatting sqref="F34">
    <cfRule type="duplicateValues" dxfId="190" priority="37"/>
  </conditionalFormatting>
  <conditionalFormatting sqref="F35">
    <cfRule type="duplicateValues" dxfId="189" priority="34"/>
  </conditionalFormatting>
  <conditionalFormatting sqref="F36">
    <cfRule type="duplicateValues" dxfId="188" priority="30"/>
  </conditionalFormatting>
  <conditionalFormatting sqref="F38:F39">
    <cfRule type="duplicateValues" dxfId="187" priority="25"/>
  </conditionalFormatting>
  <conditionalFormatting sqref="F40">
    <cfRule type="duplicateValues" dxfId="186" priority="28"/>
  </conditionalFormatting>
  <conditionalFormatting sqref="F42">
    <cfRule type="duplicateValues" dxfId="185" priority="22"/>
  </conditionalFormatting>
  <conditionalFormatting sqref="F43">
    <cfRule type="duplicateValues" dxfId="184" priority="20"/>
  </conditionalFormatting>
  <conditionalFormatting sqref="F44 F29">
    <cfRule type="duplicateValues" dxfId="183" priority="69"/>
  </conditionalFormatting>
  <conditionalFormatting sqref="G3:I48 K4:K48">
    <cfRule type="expression" dxfId="182" priority="47">
      <formula>$G3="USD"</formula>
    </cfRule>
  </conditionalFormatting>
  <conditionalFormatting sqref="G52:I1048576">
    <cfRule type="expression" dxfId="181" priority="120">
      <formula>$G52="USD"</formula>
    </cfRule>
  </conditionalFormatting>
  <conditionalFormatting sqref="H14:H15">
    <cfRule type="expression" dxfId="180" priority="14">
      <formula>$G14="KRW"</formula>
    </cfRule>
  </conditionalFormatting>
  <conditionalFormatting sqref="H19:H27">
    <cfRule type="expression" dxfId="179" priority="62">
      <formula>$G19="KRW"</formula>
    </cfRule>
  </conditionalFormatting>
  <conditionalFormatting sqref="H29">
    <cfRule type="expression" dxfId="178" priority="45">
      <formula>$G29="KRW"</formula>
    </cfRule>
  </conditionalFormatting>
  <conditionalFormatting sqref="H49">
    <cfRule type="expression" dxfId="177" priority="3">
      <formula>$O49="KRW"</formula>
    </cfRule>
  </conditionalFormatting>
  <conditionalFormatting sqref="H49:H51">
    <cfRule type="expression" dxfId="176" priority="2">
      <formula>$G49="USD"</formula>
    </cfRule>
  </conditionalFormatting>
  <conditionalFormatting sqref="H50:H51">
    <cfRule type="expression" dxfId="175" priority="1">
      <formula>$G50="KRW"</formula>
    </cfRule>
  </conditionalFormatting>
  <conditionalFormatting sqref="H5:I13 K5:K48 H45:I48">
    <cfRule type="expression" dxfId="174" priority="4">
      <formula>$O5="KRW"</formula>
    </cfRule>
  </conditionalFormatting>
  <conditionalFormatting sqref="H16:I18">
    <cfRule type="expression" dxfId="173" priority="46">
      <formula>$O16="KRW"</formula>
    </cfRule>
  </conditionalFormatting>
  <conditionalFormatting sqref="H28:I28">
    <cfRule type="expression" dxfId="172" priority="43">
      <formula>$O28="KRW"</formula>
    </cfRule>
  </conditionalFormatting>
  <conditionalFormatting sqref="H30:I33">
    <cfRule type="expression" dxfId="171" priority="18">
      <formula>$O30="KRW"</formula>
    </cfRule>
  </conditionalFormatting>
  <conditionalFormatting sqref="I5 I31:I44">
    <cfRule type="expression" dxfId="170" priority="10">
      <formula>$O5="KRW"</formula>
    </cfRule>
  </conditionalFormatting>
  <conditionalFormatting sqref="I11:I29">
    <cfRule type="expression" dxfId="169" priority="42">
      <formula>$O11="KRW"</formula>
    </cfRule>
  </conditionalFormatting>
  <conditionalFormatting sqref="I35 H34:H44">
    <cfRule type="expression" dxfId="168" priority="33">
      <formula>$G34="KRW"</formula>
    </cfRule>
  </conditionalFormatting>
  <conditionalFormatting sqref="K5:K48">
    <cfRule type="expression" dxfId="167" priority="8">
      <formula>$Q5="KRW"</formula>
    </cfRule>
  </conditionalFormatting>
  <conditionalFormatting sqref="L1">
    <cfRule type="cellIs" dxfId="166" priority="645" operator="lessThanOrEqual">
      <formula>$R$2</formula>
    </cfRule>
  </conditionalFormatting>
  <conditionalFormatting sqref="L3:L48">
    <cfRule type="cellIs" dxfId="165" priority="65" operator="lessThanOrEqual">
      <formula>$R$2</formula>
    </cfRule>
  </conditionalFormatting>
  <conditionalFormatting sqref="L5:L48">
    <cfRule type="cellIs" dxfId="164" priority="40" operator="lessThanOrEqual">
      <formula>$N$2</formula>
    </cfRule>
  </conditionalFormatting>
  <conditionalFormatting sqref="M5">
    <cfRule type="cellIs" dxfId="163" priority="7" operator="lessThanOrEqual">
      <formula>$S$2</formula>
    </cfRule>
    <cfRule type="cellIs" dxfId="162" priority="6" operator="lessThanOrEqual">
      <formula>$O$2</formula>
    </cfRule>
  </conditionalFormatting>
  <conditionalFormatting sqref="M14:M15 M34:M44">
    <cfRule type="cellIs" dxfId="161" priority="12" operator="lessThanOrEqual">
      <formula>$S$2</formula>
    </cfRule>
    <cfRule type="cellIs" dxfId="160" priority="11" operator="lessThanOrEqual">
      <formula>$O$2</formula>
    </cfRule>
  </conditionalFormatting>
  <conditionalFormatting sqref="M19:M29">
    <cfRule type="cellIs" dxfId="159" priority="38" operator="lessThanOrEqual">
      <formula>$O$2</formula>
    </cfRule>
    <cfRule type="cellIs" dxfId="158" priority="39" operator="lessThanOrEqual">
      <formula>$S$2</formula>
    </cfRule>
  </conditionalFormatting>
  <conditionalFormatting sqref="T15">
    <cfRule type="containsText" dxfId="157" priority="13" operator="containsText" text="NO">
      <formula>NOT(ISERROR(SEARCH("NO",T15)))</formula>
    </cfRule>
  </conditionalFormatting>
  <conditionalFormatting sqref="T20:T21 T26:T27">
    <cfRule type="containsText" dxfId="156" priority="48" operator="containsText" text="NO">
      <formula>NOT(ISERROR(SEARCH("NO",T20)))</formula>
    </cfRule>
  </conditionalFormatting>
  <conditionalFormatting sqref="T23:T24">
    <cfRule type="containsText" dxfId="155" priority="61" operator="containsText" text="NO">
      <formula>NOT(ISERROR(SEARCH("NO",T23)))</formula>
    </cfRule>
  </conditionalFormatting>
  <conditionalFormatting sqref="T29">
    <cfRule type="containsText" dxfId="154" priority="41" operator="containsText" text="NO">
      <formula>NOT(ISERROR(SEARCH("NO",T29)))</formula>
    </cfRule>
  </conditionalFormatting>
  <conditionalFormatting sqref="T35:T36 T42:T44">
    <cfRule type="containsText" dxfId="153" priority="19" operator="containsText" text="NO">
      <formula>NOT(ISERROR(SEARCH("NO",T35)))</formula>
    </cfRule>
  </conditionalFormatting>
  <conditionalFormatting sqref="T38:T40">
    <cfRule type="containsText" dxfId="152" priority="32" operator="containsText" text="NO">
      <formula>NOT(ISERROR(SEARCH("NO",T38)))</formula>
    </cfRule>
  </conditionalFormatting>
  <conditionalFormatting sqref="T5:U5">
    <cfRule type="containsText" dxfId="151" priority="5" operator="containsText" text="NO">
      <formula>NOT(ISERROR(SEARCH("NO",T5)))</formula>
    </cfRule>
  </conditionalFormatting>
  <conditionalFormatting sqref="T22:U22">
    <cfRule type="containsText" dxfId="150" priority="56" operator="containsText" text="NO">
      <formula>NOT(ISERROR(SEARCH("NO",T22)))</formula>
    </cfRule>
  </conditionalFormatting>
  <conditionalFormatting sqref="T25:U25">
    <cfRule type="containsText" dxfId="149" priority="53" operator="containsText" text="NO">
      <formula>NOT(ISERROR(SEARCH("NO",T25)))</formula>
    </cfRule>
  </conditionalFormatting>
  <conditionalFormatting sqref="T28:U28">
    <cfRule type="containsText" dxfId="148" priority="44" operator="containsText" text="NO">
      <formula>NOT(ISERROR(SEARCH("NO",T28)))</formula>
    </cfRule>
  </conditionalFormatting>
  <conditionalFormatting sqref="T37:U37">
    <cfRule type="containsText" dxfId="147" priority="27" operator="containsText" text="NO">
      <formula>NOT(ISERROR(SEARCH("NO",T37)))</formula>
    </cfRule>
  </conditionalFormatting>
  <conditionalFormatting sqref="T41:U41">
    <cfRule type="containsText" dxfId="146" priority="24" operator="containsText" text="NO">
      <formula>NOT(ISERROR(SEARCH("NO",T41)))</formula>
    </cfRule>
  </conditionalFormatting>
  <printOptions horizontalCentered="1"/>
  <pageMargins left="0.27559055118110237" right="0.27559055118110237" top="0.55118110236220474" bottom="0.47244094488188981" header="0.43307086614173229" footer="0.27559055118110237"/>
  <pageSetup paperSize="9" scale="45" fitToHeight="0" orientation="portrait" r:id="rId1"/>
  <headerFooter alignWithMargins="0">
    <oddFooter>&amp;L양식-영업-18(0)&amp;C(주)키츠코리아&amp;RA4(210X297)mm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CC8B-A940-432B-8042-77396D567C6A}">
  <sheetPr>
    <tabColor rgb="FF00B050"/>
    <pageSetUpPr fitToPage="1"/>
  </sheetPr>
  <dimension ref="A1:AR32"/>
  <sheetViews>
    <sheetView view="pageBreakPreview" zoomScale="70" zoomScaleNormal="100" zoomScaleSheetLayoutView="70" workbookViewId="0">
      <pane xSplit="4" ySplit="4" topLeftCell="E10" activePane="bottomRight" state="frozen"/>
      <selection activeCell="G164" sqref="G164"/>
      <selection pane="topRight" activeCell="G164" sqref="G164"/>
      <selection pane="bottomLeft" activeCell="G164" sqref="G164"/>
      <selection pane="bottomRight" activeCell="F31" sqref="F31"/>
    </sheetView>
  </sheetViews>
  <sheetFormatPr defaultColWidth="10" defaultRowHeight="13.5" outlineLevelCol="1"/>
  <cols>
    <col min="1" max="1" width="8.25" style="4" customWidth="1"/>
    <col min="2" max="2" width="12.5" style="4" bestFit="1" customWidth="1"/>
    <col min="3" max="3" width="6.25" style="4" customWidth="1"/>
    <col min="4" max="4" width="17" style="3" customWidth="1"/>
    <col min="5" max="5" width="24.875" style="11" customWidth="1"/>
    <col min="6" max="6" width="18.75" style="4" customWidth="1"/>
    <col min="7" max="7" width="5.125" style="4" bestFit="1" customWidth="1"/>
    <col min="8" max="8" width="16.25" style="14" customWidth="1"/>
    <col min="9" max="9" width="17.875" style="3" customWidth="1"/>
    <col min="10" max="10" width="6.75" style="22" customWidth="1"/>
    <col min="11" max="11" width="14.5" style="35" customWidth="1"/>
    <col min="12" max="13" width="12.625" style="6" customWidth="1"/>
    <col min="14" max="14" width="7.75" style="7" customWidth="1"/>
    <col min="15" max="15" width="5.375" style="8" customWidth="1"/>
    <col min="16" max="16" width="5.375" style="8" hidden="1" customWidth="1"/>
    <col min="17" max="17" width="12.375" style="4" customWidth="1"/>
    <col min="18" max="18" width="17.625" style="3" customWidth="1" outlineLevel="1"/>
    <col min="19" max="19" width="11.75" style="4" customWidth="1" outlineLevel="1"/>
    <col min="20" max="20" width="9.625" style="39" customWidth="1" outlineLevel="1"/>
    <col min="21" max="21" width="8.25" style="1" customWidth="1" outlineLevel="1"/>
    <col min="22" max="22" width="8.25" style="38" customWidth="1" outlineLevel="1"/>
    <col min="23" max="23" width="8.125" style="39" customWidth="1" outlineLevel="1"/>
    <col min="24" max="44" width="10" style="1"/>
    <col min="45" max="16384" width="10" style="1" outlineLevel="1"/>
  </cols>
  <sheetData>
    <row r="1" spans="1:23" ht="41.25">
      <c r="A1" s="192" t="s">
        <v>495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65"/>
      <c r="S1" s="69" t="e">
        <f>SUBTOTAL(9,#REF!)</f>
        <v>#REF!</v>
      </c>
      <c r="T1" s="37"/>
      <c r="W1" s="37"/>
    </row>
    <row r="2" spans="1:23" ht="17.25" customHeight="1">
      <c r="A2" s="191" t="s">
        <v>45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2">
        <v>45838</v>
      </c>
      <c r="S2" s="3"/>
      <c r="W2" s="40"/>
    </row>
    <row r="3" spans="1:23" ht="18" customHeight="1">
      <c r="E3" s="5"/>
      <c r="F3" s="3"/>
      <c r="G3" s="3"/>
      <c r="J3" s="15"/>
      <c r="K3" s="32"/>
      <c r="L3" s="12" t="s">
        <v>10</v>
      </c>
      <c r="M3" s="13" t="s">
        <v>11</v>
      </c>
      <c r="R3" s="9">
        <v>1000</v>
      </c>
      <c r="S3" s="41" t="s">
        <v>33</v>
      </c>
      <c r="T3" s="42"/>
      <c r="W3" s="43"/>
    </row>
    <row r="4" spans="1:23" ht="54.75" customHeight="1">
      <c r="A4" s="53" t="s">
        <v>13</v>
      </c>
      <c r="B4" s="53" t="s">
        <v>14</v>
      </c>
      <c r="C4" s="54" t="s">
        <v>27</v>
      </c>
      <c r="D4" s="53" t="s">
        <v>0</v>
      </c>
      <c r="E4" s="55" t="s">
        <v>1</v>
      </c>
      <c r="F4" s="53" t="s">
        <v>2</v>
      </c>
      <c r="G4" s="53" t="s">
        <v>15</v>
      </c>
      <c r="H4" s="54" t="s">
        <v>3</v>
      </c>
      <c r="I4" s="64" t="s">
        <v>3</v>
      </c>
      <c r="J4" s="56" t="s">
        <v>31</v>
      </c>
      <c r="K4" s="57" t="s">
        <v>32</v>
      </c>
      <c r="L4" s="58" t="s">
        <v>16</v>
      </c>
      <c r="M4" s="58" t="s">
        <v>17</v>
      </c>
      <c r="N4" s="59" t="s">
        <v>4</v>
      </c>
      <c r="O4" s="59" t="s">
        <v>5</v>
      </c>
      <c r="P4" s="59"/>
      <c r="Q4" s="53" t="s">
        <v>6</v>
      </c>
      <c r="R4" s="16" t="s">
        <v>7</v>
      </c>
      <c r="S4" s="16" t="s">
        <v>6</v>
      </c>
      <c r="T4" s="44" t="s">
        <v>34</v>
      </c>
      <c r="U4" s="16" t="s">
        <v>35</v>
      </c>
      <c r="V4" s="45" t="s">
        <v>36</v>
      </c>
      <c r="W4" s="44" t="s">
        <v>83</v>
      </c>
    </row>
    <row r="5" spans="1:23" s="84" customFormat="1" ht="24.75" customHeight="1">
      <c r="A5" s="120" t="s">
        <v>26</v>
      </c>
      <c r="B5" s="107" t="s">
        <v>105</v>
      </c>
      <c r="C5" s="108" t="s">
        <v>29</v>
      </c>
      <c r="D5" s="17" t="s">
        <v>76</v>
      </c>
      <c r="E5" s="24" t="s">
        <v>106</v>
      </c>
      <c r="F5" s="109" t="s">
        <v>107</v>
      </c>
      <c r="G5" s="109" t="s">
        <v>20</v>
      </c>
      <c r="H5" s="134">
        <v>20498.900000000001</v>
      </c>
      <c r="I5" s="66">
        <v>20498900</v>
      </c>
      <c r="J5" s="111">
        <v>0.5</v>
      </c>
      <c r="K5" s="33">
        <v>10249450</v>
      </c>
      <c r="L5" s="18">
        <v>45792</v>
      </c>
      <c r="M5" s="18">
        <v>45809</v>
      </c>
      <c r="N5" s="31" t="s">
        <v>344</v>
      </c>
      <c r="O5" s="31">
        <v>2</v>
      </c>
      <c r="P5" s="113" t="s">
        <v>44</v>
      </c>
      <c r="Q5" s="19"/>
      <c r="R5" s="20"/>
      <c r="S5" s="46"/>
      <c r="T5" s="46"/>
      <c r="U5" s="10" t="s">
        <v>19</v>
      </c>
      <c r="V5" s="47" t="s">
        <v>379</v>
      </c>
      <c r="W5" s="46" t="s">
        <v>37</v>
      </c>
    </row>
    <row r="6" spans="1:23" s="84" customFormat="1" ht="25.5" customHeight="1">
      <c r="A6" s="26" t="s">
        <v>26</v>
      </c>
      <c r="B6" s="107" t="s">
        <v>114</v>
      </c>
      <c r="C6" s="108" t="s">
        <v>28</v>
      </c>
      <c r="D6" s="17" t="s">
        <v>98</v>
      </c>
      <c r="E6" s="24" t="s">
        <v>115</v>
      </c>
      <c r="F6" s="109" t="s">
        <v>116</v>
      </c>
      <c r="G6" s="21" t="s">
        <v>20</v>
      </c>
      <c r="H6" s="102">
        <v>389000</v>
      </c>
      <c r="I6" s="66">
        <v>389000000</v>
      </c>
      <c r="J6" s="111">
        <v>0.4</v>
      </c>
      <c r="K6" s="33">
        <v>155600000</v>
      </c>
      <c r="L6" s="74">
        <v>45828</v>
      </c>
      <c r="M6" s="18">
        <v>45870</v>
      </c>
      <c r="N6" s="31" t="s">
        <v>344</v>
      </c>
      <c r="O6" s="31">
        <v>1</v>
      </c>
      <c r="P6" s="67" t="s">
        <v>37</v>
      </c>
      <c r="Q6" s="19"/>
      <c r="R6" s="20"/>
      <c r="S6" s="46"/>
      <c r="T6" s="46"/>
      <c r="U6" s="10" t="s">
        <v>19</v>
      </c>
      <c r="V6" s="47" t="s">
        <v>379</v>
      </c>
      <c r="W6" s="46" t="s">
        <v>37</v>
      </c>
    </row>
    <row r="7" spans="1:23" s="84" customFormat="1" ht="25.5" customHeight="1">
      <c r="A7" s="26" t="s">
        <v>26</v>
      </c>
      <c r="B7" s="107" t="s">
        <v>380</v>
      </c>
      <c r="C7" s="108" t="s">
        <v>29</v>
      </c>
      <c r="D7" s="17" t="s">
        <v>381</v>
      </c>
      <c r="E7" s="24" t="s">
        <v>382</v>
      </c>
      <c r="F7" s="109" t="s">
        <v>383</v>
      </c>
      <c r="G7" s="21" t="s">
        <v>20</v>
      </c>
      <c r="H7" s="102">
        <v>2066</v>
      </c>
      <c r="I7" s="66">
        <v>2066000</v>
      </c>
      <c r="J7" s="111">
        <v>0.8</v>
      </c>
      <c r="K7" s="33">
        <v>1652800</v>
      </c>
      <c r="L7" s="74">
        <v>45874</v>
      </c>
      <c r="M7" s="18">
        <v>45879</v>
      </c>
      <c r="N7" s="31" t="s">
        <v>344</v>
      </c>
      <c r="O7" s="31">
        <v>2</v>
      </c>
      <c r="P7" s="67" t="s">
        <v>44</v>
      </c>
      <c r="Q7" s="19"/>
      <c r="R7" s="20"/>
      <c r="S7" s="46"/>
      <c r="T7" s="46"/>
      <c r="U7" s="10" t="s">
        <v>19</v>
      </c>
      <c r="V7" s="47" t="s">
        <v>379</v>
      </c>
      <c r="W7" s="46" t="s">
        <v>37</v>
      </c>
    </row>
    <row r="8" spans="1:23" s="84" customFormat="1" ht="25.5" customHeight="1">
      <c r="A8" s="26" t="s">
        <v>26</v>
      </c>
      <c r="B8" s="107" t="s">
        <v>197</v>
      </c>
      <c r="C8" s="108" t="s">
        <v>30</v>
      </c>
      <c r="D8" s="17" t="s">
        <v>80</v>
      </c>
      <c r="E8" s="24" t="s">
        <v>24</v>
      </c>
      <c r="F8" s="109" t="s">
        <v>198</v>
      </c>
      <c r="G8" s="21" t="s">
        <v>20</v>
      </c>
      <c r="H8" s="102">
        <v>23547.599999999999</v>
      </c>
      <c r="I8" s="66">
        <v>23547600</v>
      </c>
      <c r="J8" s="111">
        <v>0.55000000000000004</v>
      </c>
      <c r="K8" s="33">
        <v>12951180.000000002</v>
      </c>
      <c r="L8" s="74">
        <v>45828</v>
      </c>
      <c r="M8" s="18">
        <v>45884</v>
      </c>
      <c r="N8" s="31" t="s">
        <v>344</v>
      </c>
      <c r="O8" s="31">
        <v>3</v>
      </c>
      <c r="P8" s="67" t="s">
        <v>44</v>
      </c>
      <c r="Q8" s="19"/>
      <c r="R8" s="20"/>
      <c r="S8" s="46"/>
      <c r="T8" s="46"/>
      <c r="U8" s="10" t="s">
        <v>19</v>
      </c>
      <c r="V8" s="47" t="s">
        <v>379</v>
      </c>
      <c r="W8" s="46" t="s">
        <v>37</v>
      </c>
    </row>
    <row r="9" spans="1:23" s="84" customFormat="1" ht="24.75" customHeight="1">
      <c r="A9" s="52" t="s">
        <v>26</v>
      </c>
      <c r="B9" s="108" t="s">
        <v>388</v>
      </c>
      <c r="C9" s="108" t="s">
        <v>28</v>
      </c>
      <c r="D9" s="121" t="s">
        <v>52</v>
      </c>
      <c r="E9" s="121" t="s">
        <v>24</v>
      </c>
      <c r="F9" s="122" t="s">
        <v>354</v>
      </c>
      <c r="G9" s="23" t="s">
        <v>20</v>
      </c>
      <c r="H9" s="123">
        <v>32072.000000000004</v>
      </c>
      <c r="I9" s="66">
        <v>32072000.000000004</v>
      </c>
      <c r="J9" s="111">
        <v>0.4</v>
      </c>
      <c r="K9" s="33">
        <v>12828800.000000002</v>
      </c>
      <c r="L9" s="114">
        <v>45877</v>
      </c>
      <c r="M9" s="114">
        <v>45884</v>
      </c>
      <c r="N9" s="31" t="s">
        <v>344</v>
      </c>
      <c r="O9" s="31">
        <v>58</v>
      </c>
      <c r="P9" s="107" t="s">
        <v>37</v>
      </c>
      <c r="Q9" s="19"/>
      <c r="R9" s="20"/>
      <c r="S9" s="46"/>
      <c r="T9" s="46"/>
      <c r="U9" s="10" t="s">
        <v>19</v>
      </c>
      <c r="V9" s="47" t="s">
        <v>379</v>
      </c>
      <c r="W9" s="46" t="s">
        <v>37</v>
      </c>
    </row>
    <row r="10" spans="1:23" s="84" customFormat="1" ht="24.75" customHeight="1">
      <c r="A10" s="52" t="s">
        <v>26</v>
      </c>
      <c r="B10" s="108" t="s">
        <v>139</v>
      </c>
      <c r="C10" s="108" t="s">
        <v>29</v>
      </c>
      <c r="D10" s="121" t="s">
        <v>140</v>
      </c>
      <c r="E10" s="121" t="s">
        <v>137</v>
      </c>
      <c r="F10" s="122" t="s">
        <v>141</v>
      </c>
      <c r="G10" s="23" t="s">
        <v>20</v>
      </c>
      <c r="H10" s="123">
        <v>84337.78</v>
      </c>
      <c r="I10" s="66">
        <v>84337780</v>
      </c>
      <c r="J10" s="111">
        <v>0.5</v>
      </c>
      <c r="K10" s="33">
        <v>42168890</v>
      </c>
      <c r="L10" s="114">
        <v>45870</v>
      </c>
      <c r="M10" s="114">
        <v>45889</v>
      </c>
      <c r="N10" s="31" t="s">
        <v>344</v>
      </c>
      <c r="O10" s="31">
        <v>2</v>
      </c>
      <c r="P10" s="107" t="s">
        <v>44</v>
      </c>
      <c r="Q10" s="19"/>
      <c r="R10" s="20"/>
      <c r="S10" s="46"/>
      <c r="T10" s="46"/>
      <c r="U10" s="10" t="s">
        <v>19</v>
      </c>
      <c r="V10" s="47" t="s">
        <v>379</v>
      </c>
      <c r="W10" s="46" t="s">
        <v>37</v>
      </c>
    </row>
    <row r="11" spans="1:23" s="84" customFormat="1" ht="25.5" customHeight="1">
      <c r="A11" s="52" t="s">
        <v>26</v>
      </c>
      <c r="B11" s="108" t="s">
        <v>384</v>
      </c>
      <c r="C11" s="108" t="s">
        <v>29</v>
      </c>
      <c r="D11" s="121" t="s">
        <v>159</v>
      </c>
      <c r="E11" s="121" t="s">
        <v>24</v>
      </c>
      <c r="F11" s="122" t="s">
        <v>385</v>
      </c>
      <c r="G11" s="23" t="s">
        <v>20</v>
      </c>
      <c r="H11" s="123">
        <v>8824</v>
      </c>
      <c r="I11" s="66">
        <v>8824000</v>
      </c>
      <c r="J11" s="111">
        <v>0.5</v>
      </c>
      <c r="K11" s="33">
        <v>4412000</v>
      </c>
      <c r="L11" s="85">
        <v>45862</v>
      </c>
      <c r="M11" s="114">
        <v>45897</v>
      </c>
      <c r="N11" s="31" t="s">
        <v>344</v>
      </c>
      <c r="O11" s="31">
        <v>4</v>
      </c>
      <c r="P11" s="10" t="s">
        <v>44</v>
      </c>
      <c r="Q11" s="19"/>
      <c r="R11" s="20"/>
      <c r="S11" s="46"/>
      <c r="T11" s="46"/>
      <c r="U11" s="10" t="s">
        <v>19</v>
      </c>
      <c r="V11" s="47" t="s">
        <v>379</v>
      </c>
      <c r="W11" s="46" t="s">
        <v>37</v>
      </c>
    </row>
    <row r="12" spans="1:23" s="84" customFormat="1" ht="25.5" customHeight="1">
      <c r="A12" s="52" t="s">
        <v>26</v>
      </c>
      <c r="B12" s="108" t="s">
        <v>135</v>
      </c>
      <c r="C12" s="108" t="s">
        <v>29</v>
      </c>
      <c r="D12" s="121" t="s">
        <v>136</v>
      </c>
      <c r="E12" s="121" t="s">
        <v>137</v>
      </c>
      <c r="F12" s="122" t="s">
        <v>138</v>
      </c>
      <c r="G12" s="23" t="s">
        <v>20</v>
      </c>
      <c r="H12" s="123">
        <v>177885.03</v>
      </c>
      <c r="I12" s="66">
        <v>177885030</v>
      </c>
      <c r="J12" s="111">
        <v>0.5</v>
      </c>
      <c r="K12" s="33">
        <v>88942515</v>
      </c>
      <c r="L12" s="85">
        <v>45879</v>
      </c>
      <c r="M12" s="114">
        <v>45902</v>
      </c>
      <c r="N12" s="31" t="s">
        <v>344</v>
      </c>
      <c r="O12" s="31">
        <v>3</v>
      </c>
      <c r="P12" s="10" t="s">
        <v>37</v>
      </c>
      <c r="Q12" s="19"/>
      <c r="R12" s="20"/>
      <c r="S12" s="46"/>
      <c r="T12" s="46"/>
      <c r="U12" s="10" t="s">
        <v>19</v>
      </c>
      <c r="V12" s="47" t="s">
        <v>379</v>
      </c>
      <c r="W12" s="46" t="s">
        <v>37</v>
      </c>
    </row>
    <row r="13" spans="1:23" s="84" customFormat="1" ht="24.75" customHeight="1">
      <c r="A13" s="52" t="s">
        <v>26</v>
      </c>
      <c r="B13" s="108" t="s">
        <v>202</v>
      </c>
      <c r="C13" s="108" t="s">
        <v>28</v>
      </c>
      <c r="D13" s="121" t="s">
        <v>98</v>
      </c>
      <c r="E13" s="121" t="s">
        <v>129</v>
      </c>
      <c r="F13" s="122" t="s">
        <v>203</v>
      </c>
      <c r="G13" s="23" t="s">
        <v>20</v>
      </c>
      <c r="H13" s="123">
        <v>64649</v>
      </c>
      <c r="I13" s="66">
        <v>64649000</v>
      </c>
      <c r="J13" s="111">
        <v>0.5</v>
      </c>
      <c r="K13" s="33">
        <v>32324500</v>
      </c>
      <c r="L13" s="114">
        <v>45868</v>
      </c>
      <c r="M13" s="114">
        <v>45905</v>
      </c>
      <c r="N13" s="31" t="s">
        <v>344</v>
      </c>
      <c r="O13" s="31">
        <v>1</v>
      </c>
      <c r="P13" s="107" t="s">
        <v>37</v>
      </c>
      <c r="Q13" s="19"/>
      <c r="R13" s="20"/>
      <c r="S13" s="46"/>
      <c r="T13" s="46"/>
      <c r="U13" s="10" t="s">
        <v>19</v>
      </c>
      <c r="V13" s="47" t="s">
        <v>379</v>
      </c>
      <c r="W13" s="46" t="s">
        <v>37</v>
      </c>
    </row>
    <row r="14" spans="1:23" s="84" customFormat="1" ht="24.75" customHeight="1">
      <c r="A14" s="26" t="s">
        <v>26</v>
      </c>
      <c r="B14" s="107" t="s">
        <v>264</v>
      </c>
      <c r="C14" s="108" t="s">
        <v>29</v>
      </c>
      <c r="D14" s="17" t="s">
        <v>80</v>
      </c>
      <c r="E14" s="24" t="s">
        <v>265</v>
      </c>
      <c r="F14" s="109" t="s">
        <v>266</v>
      </c>
      <c r="G14" s="21" t="s">
        <v>20</v>
      </c>
      <c r="H14" s="102">
        <v>23202.799999999999</v>
      </c>
      <c r="I14" s="66">
        <v>23202800</v>
      </c>
      <c r="J14" s="111">
        <v>0.6</v>
      </c>
      <c r="K14" s="33">
        <v>13921680</v>
      </c>
      <c r="L14" s="18">
        <v>45910</v>
      </c>
      <c r="M14" s="18">
        <v>45924</v>
      </c>
      <c r="N14" s="31" t="s">
        <v>344</v>
      </c>
      <c r="O14" s="31">
        <v>8</v>
      </c>
      <c r="P14" s="113" t="s">
        <v>44</v>
      </c>
      <c r="Q14" s="19"/>
      <c r="R14" s="20"/>
      <c r="S14" s="46"/>
      <c r="T14" s="46"/>
      <c r="U14" s="10" t="s">
        <v>19</v>
      </c>
      <c r="V14" s="47" t="s">
        <v>379</v>
      </c>
      <c r="W14" s="46" t="s">
        <v>37</v>
      </c>
    </row>
    <row r="15" spans="1:23" s="84" customFormat="1" ht="24.75" customHeight="1">
      <c r="A15" s="52" t="s">
        <v>26</v>
      </c>
      <c r="B15" s="108" t="s">
        <v>510</v>
      </c>
      <c r="C15" s="108" t="s">
        <v>28</v>
      </c>
      <c r="D15" s="121" t="s">
        <v>511</v>
      </c>
      <c r="E15" s="121" t="s">
        <v>512</v>
      </c>
      <c r="F15" s="122" t="s">
        <v>513</v>
      </c>
      <c r="G15" s="23" t="s">
        <v>20</v>
      </c>
      <c r="H15" s="123">
        <v>1403.3</v>
      </c>
      <c r="I15" s="66">
        <v>1403300</v>
      </c>
      <c r="J15" s="111">
        <v>0.6</v>
      </c>
      <c r="K15" s="33">
        <v>841980</v>
      </c>
      <c r="L15" s="114">
        <v>45915</v>
      </c>
      <c r="M15" s="114">
        <v>45933</v>
      </c>
      <c r="N15" s="31" t="s">
        <v>344</v>
      </c>
      <c r="O15" s="31">
        <v>1</v>
      </c>
      <c r="P15" s="107" t="s">
        <v>37</v>
      </c>
      <c r="Q15" s="19"/>
      <c r="R15" s="20"/>
      <c r="S15" s="46"/>
      <c r="T15" s="46"/>
      <c r="U15" s="10" t="s">
        <v>19</v>
      </c>
      <c r="V15" s="47" t="s">
        <v>379</v>
      </c>
      <c r="W15" s="46" t="s">
        <v>37</v>
      </c>
    </row>
    <row r="16" spans="1:23" s="84" customFormat="1" ht="25.5" customHeight="1">
      <c r="A16" s="26" t="s">
        <v>26</v>
      </c>
      <c r="B16" s="107" t="s">
        <v>514</v>
      </c>
      <c r="C16" s="108" t="s">
        <v>28</v>
      </c>
      <c r="D16" s="17" t="s">
        <v>511</v>
      </c>
      <c r="E16" s="24" t="s">
        <v>515</v>
      </c>
      <c r="F16" s="109" t="s">
        <v>516</v>
      </c>
      <c r="G16" s="21" t="s">
        <v>20</v>
      </c>
      <c r="H16" s="102">
        <v>1403.3</v>
      </c>
      <c r="I16" s="66">
        <v>1403300</v>
      </c>
      <c r="J16" s="111">
        <v>0.6</v>
      </c>
      <c r="K16" s="33">
        <v>841980</v>
      </c>
      <c r="L16" s="74">
        <v>45915</v>
      </c>
      <c r="M16" s="18">
        <v>45933</v>
      </c>
      <c r="N16" s="31" t="s">
        <v>344</v>
      </c>
      <c r="O16" s="31">
        <v>1</v>
      </c>
      <c r="P16" s="67"/>
      <c r="Q16" s="19"/>
      <c r="R16" s="20"/>
      <c r="S16" s="46"/>
      <c r="T16" s="46"/>
      <c r="U16" s="10" t="s">
        <v>19</v>
      </c>
      <c r="V16" s="47" t="s">
        <v>379</v>
      </c>
      <c r="W16" s="46" t="s">
        <v>37</v>
      </c>
    </row>
    <row r="17" spans="1:23" s="84" customFormat="1" ht="25.5" customHeight="1">
      <c r="A17" s="52" t="s">
        <v>26</v>
      </c>
      <c r="B17" s="108" t="s">
        <v>517</v>
      </c>
      <c r="C17" s="108" t="s">
        <v>28</v>
      </c>
      <c r="D17" s="121" t="s">
        <v>511</v>
      </c>
      <c r="E17" s="121" t="s">
        <v>518</v>
      </c>
      <c r="F17" s="122" t="s">
        <v>519</v>
      </c>
      <c r="G17" s="23" t="s">
        <v>20</v>
      </c>
      <c r="H17" s="123">
        <v>1403.3</v>
      </c>
      <c r="I17" s="66">
        <v>1403300</v>
      </c>
      <c r="J17" s="111">
        <v>0.6</v>
      </c>
      <c r="K17" s="33">
        <v>841980</v>
      </c>
      <c r="L17" s="85">
        <v>45915</v>
      </c>
      <c r="M17" s="114">
        <v>45933</v>
      </c>
      <c r="N17" s="31" t="s">
        <v>344</v>
      </c>
      <c r="O17" s="31">
        <v>1</v>
      </c>
      <c r="P17" s="10"/>
      <c r="Q17" s="19"/>
      <c r="R17" s="20"/>
      <c r="S17" s="46"/>
      <c r="T17" s="46"/>
      <c r="U17" s="10" t="s">
        <v>19</v>
      </c>
      <c r="V17" s="47" t="s">
        <v>379</v>
      </c>
      <c r="W17" s="46" t="s">
        <v>37</v>
      </c>
    </row>
    <row r="18" spans="1:23" s="84" customFormat="1" ht="24.75" customHeight="1">
      <c r="A18" s="52" t="s">
        <v>26</v>
      </c>
      <c r="B18" s="108" t="s">
        <v>520</v>
      </c>
      <c r="C18" s="108" t="s">
        <v>28</v>
      </c>
      <c r="D18" s="121" t="s">
        <v>511</v>
      </c>
      <c r="E18" s="121" t="s">
        <v>521</v>
      </c>
      <c r="F18" s="122" t="s">
        <v>522</v>
      </c>
      <c r="G18" s="23" t="s">
        <v>20</v>
      </c>
      <c r="H18" s="123">
        <v>1403.3</v>
      </c>
      <c r="I18" s="66">
        <v>1403300</v>
      </c>
      <c r="J18" s="111">
        <v>0.6</v>
      </c>
      <c r="K18" s="33">
        <v>841980</v>
      </c>
      <c r="L18" s="114">
        <v>45915</v>
      </c>
      <c r="M18" s="114">
        <v>45933</v>
      </c>
      <c r="N18" s="31" t="s">
        <v>344</v>
      </c>
      <c r="O18" s="31">
        <v>1</v>
      </c>
      <c r="P18" s="107"/>
      <c r="Q18" s="19"/>
      <c r="R18" s="20"/>
      <c r="S18" s="46"/>
      <c r="T18" s="46"/>
      <c r="U18" s="10" t="s">
        <v>19</v>
      </c>
      <c r="V18" s="47" t="s">
        <v>379</v>
      </c>
      <c r="W18" s="46" t="s">
        <v>37</v>
      </c>
    </row>
    <row r="19" spans="1:23" s="84" customFormat="1" ht="25.5" customHeight="1">
      <c r="A19" s="52" t="s">
        <v>26</v>
      </c>
      <c r="B19" s="108" t="s">
        <v>386</v>
      </c>
      <c r="C19" s="108" t="s">
        <v>28</v>
      </c>
      <c r="D19" s="121" t="s">
        <v>80</v>
      </c>
      <c r="E19" s="121" t="s">
        <v>24</v>
      </c>
      <c r="F19" s="122" t="s">
        <v>387</v>
      </c>
      <c r="G19" s="23" t="s">
        <v>20</v>
      </c>
      <c r="H19" s="123">
        <v>94631.999999999985</v>
      </c>
      <c r="I19" s="66">
        <v>94631999.999999985</v>
      </c>
      <c r="J19" s="111">
        <v>0.5</v>
      </c>
      <c r="K19" s="33">
        <v>47315999.999999993</v>
      </c>
      <c r="L19" s="85">
        <v>45910</v>
      </c>
      <c r="M19" s="114">
        <v>45945</v>
      </c>
      <c r="N19" s="31" t="s">
        <v>344</v>
      </c>
      <c r="O19" s="31">
        <v>10</v>
      </c>
      <c r="P19" s="10" t="s">
        <v>37</v>
      </c>
      <c r="Q19" s="19"/>
      <c r="R19" s="20"/>
      <c r="S19" s="46"/>
      <c r="T19" s="46"/>
      <c r="U19" s="10" t="s">
        <v>19</v>
      </c>
      <c r="V19" s="47" t="s">
        <v>379</v>
      </c>
      <c r="W19" s="46" t="s">
        <v>37</v>
      </c>
    </row>
    <row r="20" spans="1:23" s="84" customFormat="1" ht="25.5" customHeight="1">
      <c r="A20" s="26" t="s">
        <v>26</v>
      </c>
      <c r="B20" s="107" t="s">
        <v>389</v>
      </c>
      <c r="C20" s="108" t="s">
        <v>29</v>
      </c>
      <c r="D20" s="17" t="s">
        <v>128</v>
      </c>
      <c r="E20" s="24" t="s">
        <v>390</v>
      </c>
      <c r="F20" s="109" t="s">
        <v>391</v>
      </c>
      <c r="G20" s="21" t="s">
        <v>20</v>
      </c>
      <c r="H20" s="102">
        <v>24230.5</v>
      </c>
      <c r="I20" s="66">
        <v>24230500</v>
      </c>
      <c r="J20" s="111">
        <v>0.55000000000000004</v>
      </c>
      <c r="K20" s="33">
        <v>13326775.000000002</v>
      </c>
      <c r="L20" s="74">
        <v>45945</v>
      </c>
      <c r="M20" s="18">
        <v>45976</v>
      </c>
      <c r="N20" s="31" t="s">
        <v>344</v>
      </c>
      <c r="O20" s="31">
        <v>7</v>
      </c>
      <c r="P20" s="67" t="s">
        <v>44</v>
      </c>
      <c r="Q20" s="19"/>
      <c r="R20" s="20"/>
      <c r="S20" s="46"/>
      <c r="T20" s="46"/>
      <c r="U20" s="10" t="s">
        <v>19</v>
      </c>
      <c r="V20" s="47" t="s">
        <v>379</v>
      </c>
      <c r="W20" s="46" t="s">
        <v>180</v>
      </c>
    </row>
    <row r="21" spans="1:23" s="84" customFormat="1" ht="25.5" customHeight="1">
      <c r="A21" s="52" t="s">
        <v>26</v>
      </c>
      <c r="B21" s="108" t="s">
        <v>199</v>
      </c>
      <c r="C21" s="108" t="s">
        <v>29</v>
      </c>
      <c r="D21" s="121" t="s">
        <v>98</v>
      </c>
      <c r="E21" s="121" t="s">
        <v>200</v>
      </c>
      <c r="F21" s="122" t="s">
        <v>201</v>
      </c>
      <c r="G21" s="23" t="s">
        <v>20</v>
      </c>
      <c r="H21" s="123">
        <v>1057728.9000000001</v>
      </c>
      <c r="I21" s="66">
        <v>1057728900.0000001</v>
      </c>
      <c r="J21" s="111">
        <v>0.4</v>
      </c>
      <c r="K21" s="33">
        <v>423091560.00000006</v>
      </c>
      <c r="L21" s="114">
        <v>45930</v>
      </c>
      <c r="M21" s="114">
        <v>45991</v>
      </c>
      <c r="N21" s="31" t="s">
        <v>344</v>
      </c>
      <c r="O21" s="31">
        <v>18</v>
      </c>
      <c r="P21" s="107" t="s">
        <v>37</v>
      </c>
      <c r="Q21" s="19"/>
      <c r="R21" s="20"/>
      <c r="S21" s="46"/>
      <c r="T21" s="46"/>
      <c r="U21" s="10" t="s">
        <v>19</v>
      </c>
      <c r="V21" s="47" t="s">
        <v>379</v>
      </c>
      <c r="W21" s="46" t="s">
        <v>37</v>
      </c>
    </row>
    <row r="22" spans="1:23" s="84" customFormat="1" ht="25.5" customHeight="1">
      <c r="A22" s="52" t="s">
        <v>26</v>
      </c>
      <c r="B22" s="108" t="s">
        <v>392</v>
      </c>
      <c r="C22" s="108" t="s">
        <v>29</v>
      </c>
      <c r="D22" s="121" t="s">
        <v>128</v>
      </c>
      <c r="E22" s="121" t="s">
        <v>390</v>
      </c>
      <c r="F22" s="122" t="s">
        <v>393</v>
      </c>
      <c r="G22" s="23" t="s">
        <v>20</v>
      </c>
      <c r="H22" s="123">
        <v>24230.5</v>
      </c>
      <c r="I22" s="66">
        <v>24230500</v>
      </c>
      <c r="J22" s="111">
        <v>0.55000000000000004</v>
      </c>
      <c r="K22" s="33">
        <v>13326775.000000002</v>
      </c>
      <c r="L22" s="114">
        <v>45962</v>
      </c>
      <c r="M22" s="114">
        <v>46006</v>
      </c>
      <c r="N22" s="31" t="s">
        <v>344</v>
      </c>
      <c r="O22" s="31">
        <v>7</v>
      </c>
      <c r="P22" s="107" t="s">
        <v>37</v>
      </c>
      <c r="Q22" s="19"/>
      <c r="R22" s="20"/>
      <c r="S22" s="46"/>
      <c r="T22" s="46"/>
      <c r="U22" s="10" t="s">
        <v>19</v>
      </c>
      <c r="V22" s="47" t="s">
        <v>379</v>
      </c>
      <c r="W22" s="46" t="s">
        <v>37</v>
      </c>
    </row>
    <row r="23" spans="1:23" s="84" customFormat="1" ht="36" customHeight="1">
      <c r="A23" s="208" t="s">
        <v>25</v>
      </c>
      <c r="B23" s="209"/>
      <c r="C23" s="209"/>
      <c r="D23" s="209"/>
      <c r="E23" s="209"/>
      <c r="F23" s="210"/>
      <c r="G23" s="130" t="s">
        <v>18</v>
      </c>
      <c r="H23" s="146">
        <f>SUM(H5:H22)</f>
        <v>2032518.2100000004</v>
      </c>
      <c r="I23" s="154">
        <f>SUM(I5:I22)</f>
        <v>2032518210</v>
      </c>
      <c r="J23" s="61"/>
      <c r="K23" s="34">
        <f>SUM(K5:K22)</f>
        <v>875480845</v>
      </c>
      <c r="L23" s="61"/>
      <c r="M23" s="61"/>
      <c r="N23" s="62"/>
      <c r="O23" s="51"/>
      <c r="P23" s="28"/>
      <c r="Q23" s="50"/>
      <c r="R23" s="20"/>
      <c r="S23" s="46"/>
      <c r="T23" s="46"/>
      <c r="U23" s="10"/>
      <c r="V23" s="47"/>
      <c r="W23" s="46"/>
    </row>
    <row r="24" spans="1:23" ht="36" customHeight="1">
      <c r="A24" s="3"/>
      <c r="B24" s="3"/>
      <c r="C24" s="3"/>
      <c r="E24" s="5"/>
      <c r="F24" s="3"/>
      <c r="G24" s="3"/>
      <c r="I24" s="90"/>
      <c r="J24" s="86"/>
      <c r="K24" s="87"/>
      <c r="S24" s="3"/>
      <c r="W24" s="40"/>
    </row>
    <row r="25" spans="1:23">
      <c r="A25" s="3"/>
      <c r="B25" s="3"/>
      <c r="C25" s="3"/>
      <c r="E25" s="5"/>
      <c r="F25" s="3"/>
      <c r="G25" s="3"/>
      <c r="I25" s="90"/>
      <c r="J25" s="86"/>
      <c r="K25" s="87"/>
      <c r="S25" s="3"/>
      <c r="W25" s="40"/>
    </row>
    <row r="26" spans="1:23">
      <c r="A26" s="3"/>
      <c r="B26" s="3"/>
      <c r="C26" s="3"/>
      <c r="E26" s="5"/>
      <c r="F26" s="3"/>
      <c r="G26" s="3"/>
      <c r="I26" s="90"/>
      <c r="J26" s="86"/>
      <c r="K26" s="87"/>
      <c r="S26" s="3"/>
      <c r="W26" s="40"/>
    </row>
    <row r="27" spans="1:23">
      <c r="I27" s="90"/>
    </row>
    <row r="28" spans="1:23">
      <c r="I28" s="90"/>
    </row>
    <row r="29" spans="1:23">
      <c r="I29" s="90"/>
    </row>
    <row r="30" spans="1:23" s="22" customFormat="1">
      <c r="A30" s="4"/>
      <c r="B30" s="4"/>
      <c r="C30" s="4"/>
      <c r="D30" s="3"/>
      <c r="E30" s="11"/>
      <c r="F30" s="4"/>
      <c r="G30" s="4"/>
      <c r="H30" s="14"/>
      <c r="I30" s="90"/>
      <c r="K30" s="35"/>
      <c r="L30" s="6"/>
      <c r="M30" s="6"/>
      <c r="N30" s="7"/>
      <c r="O30" s="8"/>
      <c r="P30" s="8"/>
      <c r="Q30" s="4"/>
      <c r="R30" s="3"/>
      <c r="S30" s="4"/>
      <c r="T30" s="39"/>
      <c r="U30" s="1"/>
      <c r="V30" s="38"/>
      <c r="W30" s="39"/>
    </row>
    <row r="31" spans="1:23" s="22" customFormat="1">
      <c r="A31" s="4"/>
      <c r="B31" s="4"/>
      <c r="C31" s="4"/>
      <c r="D31" s="3"/>
      <c r="E31" s="11"/>
      <c r="F31" s="4"/>
      <c r="G31" s="4"/>
      <c r="H31" s="14"/>
      <c r="I31" s="90"/>
      <c r="K31" s="35"/>
      <c r="L31" s="6"/>
      <c r="M31" s="6"/>
      <c r="N31" s="7"/>
      <c r="O31" s="8"/>
      <c r="P31" s="8"/>
      <c r="Q31" s="4"/>
      <c r="R31" s="3"/>
      <c r="S31" s="4"/>
      <c r="T31" s="39"/>
      <c r="U31" s="1"/>
      <c r="V31" s="38"/>
      <c r="W31" s="39"/>
    </row>
    <row r="32" spans="1:23" s="22" customFormat="1">
      <c r="A32" s="4"/>
      <c r="B32" s="4"/>
      <c r="C32" s="4"/>
      <c r="D32" s="3"/>
      <c r="E32" s="11"/>
      <c r="F32" s="4"/>
      <c r="G32" s="4"/>
      <c r="H32" s="14"/>
      <c r="I32" s="90"/>
      <c r="K32" s="35"/>
      <c r="L32" s="6"/>
      <c r="M32" s="6"/>
      <c r="N32" s="7"/>
      <c r="O32" s="8"/>
      <c r="P32" s="8"/>
      <c r="Q32" s="4"/>
      <c r="R32" s="3"/>
      <c r="S32" s="4"/>
      <c r="T32" s="39"/>
      <c r="U32" s="1"/>
      <c r="V32" s="38"/>
      <c r="W32" s="39"/>
    </row>
  </sheetData>
  <autoFilter ref="A4:W23" xr:uid="{00000000-0001-0000-0500-000000000000}">
    <sortState xmlns:xlrd2="http://schemas.microsoft.com/office/spreadsheetml/2017/richdata2" ref="A5:W23">
      <sortCondition ref="M4:M23"/>
    </sortState>
  </autoFilter>
  <mergeCells count="3">
    <mergeCell ref="A1:Q1"/>
    <mergeCell ref="A2:Q2"/>
    <mergeCell ref="A23:F23"/>
  </mergeCells>
  <phoneticPr fontId="4" type="noConversion"/>
  <conditionalFormatting sqref="B5">
    <cfRule type="duplicateValues" dxfId="145" priority="35"/>
  </conditionalFormatting>
  <conditionalFormatting sqref="B9">
    <cfRule type="duplicateValues" dxfId="144" priority="33"/>
  </conditionalFormatting>
  <conditionalFormatting sqref="B13">
    <cfRule type="duplicateValues" dxfId="143" priority="13"/>
  </conditionalFormatting>
  <conditionalFormatting sqref="B15">
    <cfRule type="duplicateValues" dxfId="142" priority="21"/>
  </conditionalFormatting>
  <conditionalFormatting sqref="B18">
    <cfRule type="duplicateValues" dxfId="141" priority="42"/>
  </conditionalFormatting>
  <conditionalFormatting sqref="B24:B1048576 B1 B3:B4">
    <cfRule type="duplicateValues" dxfId="140" priority="343"/>
    <cfRule type="duplicateValues" dxfId="139" priority="347"/>
  </conditionalFormatting>
  <conditionalFormatting sqref="B6:C6">
    <cfRule type="duplicateValues" dxfId="138" priority="3"/>
  </conditionalFormatting>
  <conditionalFormatting sqref="B7:C8">
    <cfRule type="duplicateValues" dxfId="137" priority="25"/>
  </conditionalFormatting>
  <conditionalFormatting sqref="B11:C12">
    <cfRule type="duplicateValues" dxfId="136" priority="11"/>
  </conditionalFormatting>
  <conditionalFormatting sqref="B16:C17">
    <cfRule type="duplicateValues" dxfId="135" priority="18"/>
  </conditionalFormatting>
  <conditionalFormatting sqref="B19:C22">
    <cfRule type="duplicateValues" dxfId="134" priority="669"/>
  </conditionalFormatting>
  <conditionalFormatting sqref="F5">
    <cfRule type="duplicateValues" dxfId="133" priority="36"/>
  </conditionalFormatting>
  <conditionalFormatting sqref="F9">
    <cfRule type="duplicateValues" dxfId="132" priority="34"/>
  </conditionalFormatting>
  <conditionalFormatting sqref="F13">
    <cfRule type="duplicateValues" dxfId="131" priority="14"/>
  </conditionalFormatting>
  <conditionalFormatting sqref="F15">
    <cfRule type="duplicateValues" dxfId="130" priority="22"/>
  </conditionalFormatting>
  <conditionalFormatting sqref="F18">
    <cfRule type="duplicateValues" dxfId="129" priority="43"/>
  </conditionalFormatting>
  <conditionalFormatting sqref="G3:I22 K4:K22 G24:I1048576">
    <cfRule type="expression" dxfId="128" priority="31">
      <formula>$G3="USD"</formula>
    </cfRule>
  </conditionalFormatting>
  <conditionalFormatting sqref="H5">
    <cfRule type="expression" dxfId="127" priority="26">
      <formula>$G5="KRW"</formula>
    </cfRule>
  </conditionalFormatting>
  <conditionalFormatting sqref="H9:H10 H13:H15">
    <cfRule type="expression" dxfId="126" priority="19">
      <formula>$G9="KRW"</formula>
    </cfRule>
  </conditionalFormatting>
  <conditionalFormatting sqref="H18">
    <cfRule type="expression" dxfId="125" priority="37">
      <formula>$G18="KRW"</formula>
    </cfRule>
  </conditionalFormatting>
  <conditionalFormatting sqref="H23">
    <cfRule type="expression" dxfId="124" priority="39">
      <formula>$G23="USD"</formula>
    </cfRule>
    <cfRule type="expression" dxfId="123" priority="38">
      <formula>$O23="KRW"</formula>
    </cfRule>
  </conditionalFormatting>
  <conditionalFormatting sqref="H6:I6 H19:I22">
    <cfRule type="expression" dxfId="122" priority="1">
      <formula>$G6="KRW"</formula>
    </cfRule>
    <cfRule type="expression" dxfId="121" priority="2">
      <formula>$N6="KRW"</formula>
    </cfRule>
  </conditionalFormatting>
  <conditionalFormatting sqref="H7:I8">
    <cfRule type="expression" dxfId="120" priority="23">
      <formula>$G7="KRW"</formula>
    </cfRule>
    <cfRule type="expression" dxfId="119" priority="24">
      <formula>$N7="KRW"</formula>
    </cfRule>
  </conditionalFormatting>
  <conditionalFormatting sqref="H11:I12">
    <cfRule type="expression" dxfId="118" priority="9">
      <formula>$G11="KRW"</formula>
    </cfRule>
    <cfRule type="expression" dxfId="117" priority="10">
      <formula>$N11="KRW"</formula>
    </cfRule>
  </conditionalFormatting>
  <conditionalFormatting sqref="H16:I17">
    <cfRule type="expression" dxfId="116" priority="17">
      <formula>$N16="KRW"</formula>
    </cfRule>
    <cfRule type="expression" dxfId="115" priority="16">
      <formula>$G16="KRW"</formula>
    </cfRule>
  </conditionalFormatting>
  <conditionalFormatting sqref="I5:I22">
    <cfRule type="expression" dxfId="114" priority="4">
      <formula>$O5="KRW"</formula>
    </cfRule>
  </conditionalFormatting>
  <conditionalFormatting sqref="K5:K22">
    <cfRule type="expression" dxfId="113" priority="15">
      <formula>$Q5="KRW"</formula>
    </cfRule>
  </conditionalFormatting>
  <conditionalFormatting sqref="L1">
    <cfRule type="cellIs" dxfId="112" priority="323" operator="lessThanOrEqual">
      <formula>$R$2</formula>
    </cfRule>
  </conditionalFormatting>
  <conditionalFormatting sqref="L3:L5 L10 L14:L15">
    <cfRule type="cellIs" dxfId="111" priority="30" operator="lessThanOrEqual">
      <formula>$R$2</formula>
    </cfRule>
  </conditionalFormatting>
  <conditionalFormatting sqref="L5 L10 L14:L15">
    <cfRule type="cellIs" dxfId="110" priority="27" operator="lessThanOrEqual">
      <formula>$N$2</formula>
    </cfRule>
  </conditionalFormatting>
  <conditionalFormatting sqref="M5 M9:M10 M13:M15 M18">
    <cfRule type="cellIs" dxfId="109" priority="29" operator="lessThanOrEqual">
      <formula>$O$2</formula>
    </cfRule>
    <cfRule type="cellIs" dxfId="108" priority="28" operator="lessThanOrEqual">
      <formula>$S$2</formula>
    </cfRule>
  </conditionalFormatting>
  <conditionalFormatting sqref="T5:T8">
    <cfRule type="containsText" dxfId="107" priority="32" operator="containsText" text="NO">
      <formula>NOT(ISERROR(SEARCH("NO",T5)))</formula>
    </cfRule>
  </conditionalFormatting>
  <conditionalFormatting sqref="T11:T12">
    <cfRule type="containsText" dxfId="106" priority="12" operator="containsText" text="NO">
      <formula>NOT(ISERROR(SEARCH("NO",T11)))</formula>
    </cfRule>
  </conditionalFormatting>
  <conditionalFormatting sqref="T15:T17">
    <cfRule type="containsText" dxfId="105" priority="20" operator="containsText" text="NO">
      <formula>NOT(ISERROR(SEARCH("NO",T15)))</formula>
    </cfRule>
  </conditionalFormatting>
  <conditionalFormatting sqref="T19:T22">
    <cfRule type="containsText" dxfId="104" priority="8" operator="containsText" text="NO">
      <formula>NOT(ISERROR(SEARCH("NO",T19)))</formula>
    </cfRule>
  </conditionalFormatting>
  <printOptions horizontalCentered="1"/>
  <pageMargins left="0.27559055118110237" right="0.27559055118110237" top="0.55118110236220474" bottom="0.47244094488188981" header="0.43307086614173229" footer="0.27559055118110237"/>
  <pageSetup paperSize="9" scale="45" fitToHeight="0" orientation="portrait" r:id="rId1"/>
  <headerFooter alignWithMargins="0">
    <oddFooter>&amp;L양식-영업-18(0)&amp;C(주)키츠코리아&amp;RA4(210X297)mm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69A7-7F1A-4BEF-A1B5-2168B0AF9F35}">
  <sheetPr>
    <tabColor rgb="FF00B050"/>
    <pageSetUpPr fitToPage="1"/>
  </sheetPr>
  <dimension ref="A1:AR34"/>
  <sheetViews>
    <sheetView view="pageBreakPreview" zoomScale="70" zoomScaleNormal="100" zoomScaleSheetLayoutView="70" workbookViewId="0">
      <pane xSplit="4" ySplit="4" topLeftCell="E15" activePane="bottomRight" state="frozen"/>
      <selection activeCell="G837" sqref="A837:XFD837"/>
      <selection pane="topRight" activeCell="G837" sqref="A837:XFD837"/>
      <selection pane="bottomLeft" activeCell="G837" sqref="A837:XFD837"/>
      <selection pane="bottomRight" activeCell="A20" sqref="A20:F20"/>
    </sheetView>
  </sheetViews>
  <sheetFormatPr defaultColWidth="10" defaultRowHeight="13.5" outlineLevelCol="1"/>
  <cols>
    <col min="1" max="1" width="8.25" style="4" customWidth="1"/>
    <col min="2" max="2" width="12.5" style="4" bestFit="1" customWidth="1"/>
    <col min="3" max="3" width="6.25" style="4" customWidth="1"/>
    <col min="4" max="4" width="17" style="3" customWidth="1"/>
    <col min="5" max="5" width="24.875" style="11" customWidth="1"/>
    <col min="6" max="6" width="18.75" style="4" customWidth="1"/>
    <col min="7" max="7" width="5.125" style="4" bestFit="1" customWidth="1"/>
    <col min="8" max="8" width="16.25" style="14" customWidth="1"/>
    <col min="9" max="9" width="17.875" style="3" customWidth="1"/>
    <col min="10" max="10" width="6.75" style="22" customWidth="1"/>
    <col min="11" max="11" width="14.5" style="35" customWidth="1"/>
    <col min="12" max="13" width="12.625" style="6" customWidth="1"/>
    <col min="14" max="14" width="7.75" style="7" customWidth="1"/>
    <col min="15" max="15" width="5.375" style="8" customWidth="1"/>
    <col min="16" max="16" width="5.375" style="8" hidden="1" customWidth="1"/>
    <col min="17" max="17" width="12.375" style="4" customWidth="1"/>
    <col min="18" max="18" width="17.625" style="3" customWidth="1" outlineLevel="1"/>
    <col min="19" max="19" width="11.75" style="4" customWidth="1" outlineLevel="1"/>
    <col min="20" max="20" width="9.625" style="39" customWidth="1" outlineLevel="1"/>
    <col min="21" max="21" width="8.25" style="1" customWidth="1" outlineLevel="1"/>
    <col min="22" max="22" width="8.25" style="38" customWidth="1" outlineLevel="1"/>
    <col min="23" max="23" width="8.125" style="39" customWidth="1" outlineLevel="1"/>
    <col min="24" max="44" width="10" style="1"/>
    <col min="45" max="16384" width="10" style="1" outlineLevel="1"/>
  </cols>
  <sheetData>
    <row r="1" spans="1:23" ht="41.25">
      <c r="A1" s="192" t="s">
        <v>495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65"/>
      <c r="S1" s="69" t="e">
        <f>SUBTOTAL(9,#REF!)</f>
        <v>#REF!</v>
      </c>
      <c r="T1" s="37"/>
      <c r="W1" s="37"/>
    </row>
    <row r="2" spans="1:23" ht="17.25" customHeight="1">
      <c r="A2" s="191" t="s">
        <v>45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2">
        <v>45838</v>
      </c>
      <c r="S2" s="3"/>
      <c r="W2" s="40"/>
    </row>
    <row r="3" spans="1:23" ht="18" customHeight="1">
      <c r="E3" s="5"/>
      <c r="F3" s="3"/>
      <c r="G3" s="3"/>
      <c r="J3" s="15"/>
      <c r="K3" s="32"/>
      <c r="L3" s="12" t="s">
        <v>10</v>
      </c>
      <c r="M3" s="13" t="s">
        <v>11</v>
      </c>
      <c r="R3" s="9">
        <v>1000</v>
      </c>
      <c r="S3" s="41" t="s">
        <v>33</v>
      </c>
      <c r="T3" s="42"/>
      <c r="W3" s="43"/>
    </row>
    <row r="4" spans="1:23" ht="54.75" customHeight="1">
      <c r="A4" s="53" t="s">
        <v>13</v>
      </c>
      <c r="B4" s="53" t="s">
        <v>14</v>
      </c>
      <c r="C4" s="54" t="s">
        <v>27</v>
      </c>
      <c r="D4" s="53" t="s">
        <v>0</v>
      </c>
      <c r="E4" s="55" t="s">
        <v>1</v>
      </c>
      <c r="F4" s="53" t="s">
        <v>2</v>
      </c>
      <c r="G4" s="53" t="s">
        <v>15</v>
      </c>
      <c r="H4" s="54" t="s">
        <v>3</v>
      </c>
      <c r="I4" s="64" t="s">
        <v>3</v>
      </c>
      <c r="J4" s="56" t="s">
        <v>31</v>
      </c>
      <c r="K4" s="57" t="s">
        <v>32</v>
      </c>
      <c r="L4" s="58" t="s">
        <v>16</v>
      </c>
      <c r="M4" s="58" t="s">
        <v>17</v>
      </c>
      <c r="N4" s="59" t="s">
        <v>4</v>
      </c>
      <c r="O4" s="59" t="s">
        <v>5</v>
      </c>
      <c r="P4" s="59"/>
      <c r="Q4" s="53" t="s">
        <v>6</v>
      </c>
      <c r="R4" s="16" t="s">
        <v>7</v>
      </c>
      <c r="S4" s="16" t="s">
        <v>6</v>
      </c>
      <c r="T4" s="44" t="s">
        <v>34</v>
      </c>
      <c r="U4" s="16" t="s">
        <v>35</v>
      </c>
      <c r="V4" s="45" t="s">
        <v>36</v>
      </c>
      <c r="W4" s="44" t="s">
        <v>83</v>
      </c>
    </row>
    <row r="5" spans="1:23" s="84" customFormat="1" ht="24.75" customHeight="1">
      <c r="A5" s="26" t="s">
        <v>49</v>
      </c>
      <c r="B5" s="107" t="s">
        <v>267</v>
      </c>
      <c r="C5" s="108" t="s">
        <v>28</v>
      </c>
      <c r="D5" s="17" t="s">
        <v>61</v>
      </c>
      <c r="E5" s="24" t="s">
        <v>44</v>
      </c>
      <c r="F5" s="109" t="s">
        <v>268</v>
      </c>
      <c r="G5" s="21" t="s">
        <v>20</v>
      </c>
      <c r="H5" s="102">
        <v>433.6</v>
      </c>
      <c r="I5" s="66">
        <v>433600</v>
      </c>
      <c r="J5" s="111">
        <v>0.1</v>
      </c>
      <c r="K5" s="33">
        <v>43360</v>
      </c>
      <c r="L5" s="18">
        <v>45821</v>
      </c>
      <c r="M5" s="124">
        <v>45821</v>
      </c>
      <c r="N5" s="31" t="s">
        <v>344</v>
      </c>
      <c r="O5" s="113">
        <v>1</v>
      </c>
      <c r="P5" s="105" t="s">
        <v>44</v>
      </c>
      <c r="Q5" s="19" t="s">
        <v>395</v>
      </c>
      <c r="R5" s="20"/>
      <c r="S5" s="46"/>
      <c r="T5" s="46"/>
      <c r="U5" s="10" t="s">
        <v>19</v>
      </c>
      <c r="V5" s="47" t="s">
        <v>49</v>
      </c>
      <c r="W5" s="46" t="s">
        <v>81</v>
      </c>
    </row>
    <row r="6" spans="1:23" s="84" customFormat="1" ht="24.75" customHeight="1">
      <c r="A6" s="26" t="s">
        <v>49</v>
      </c>
      <c r="B6" s="107" t="s">
        <v>531</v>
      </c>
      <c r="C6" s="108" t="s">
        <v>28</v>
      </c>
      <c r="D6" s="17" t="s">
        <v>271</v>
      </c>
      <c r="E6" s="24" t="s">
        <v>44</v>
      </c>
      <c r="F6" s="109" t="s">
        <v>532</v>
      </c>
      <c r="G6" s="21" t="s">
        <v>20</v>
      </c>
      <c r="H6" s="102">
        <v>76835.399999999994</v>
      </c>
      <c r="I6" s="66">
        <v>76835400</v>
      </c>
      <c r="J6" s="111">
        <v>0.1</v>
      </c>
      <c r="K6" s="33">
        <v>7683540</v>
      </c>
      <c r="L6" s="124">
        <v>45841</v>
      </c>
      <c r="M6" s="124">
        <v>45841</v>
      </c>
      <c r="N6" s="31" t="s">
        <v>344</v>
      </c>
      <c r="O6" s="113">
        <v>4426</v>
      </c>
      <c r="P6" s="105"/>
      <c r="Q6" s="19" t="s">
        <v>394</v>
      </c>
      <c r="R6" s="20"/>
      <c r="S6" s="46"/>
      <c r="T6" s="46"/>
      <c r="U6" s="10" t="s">
        <v>19</v>
      </c>
      <c r="V6" s="47" t="s">
        <v>49</v>
      </c>
      <c r="W6" s="46" t="s">
        <v>81</v>
      </c>
    </row>
    <row r="7" spans="1:23" s="84" customFormat="1" ht="24.75" customHeight="1">
      <c r="A7" s="26" t="s">
        <v>49</v>
      </c>
      <c r="B7" s="107" t="s">
        <v>410</v>
      </c>
      <c r="C7" s="108" t="s">
        <v>28</v>
      </c>
      <c r="D7" s="17" t="s">
        <v>411</v>
      </c>
      <c r="E7" s="24" t="s">
        <v>44</v>
      </c>
      <c r="F7" s="109" t="s">
        <v>412</v>
      </c>
      <c r="G7" s="21" t="s">
        <v>20</v>
      </c>
      <c r="H7" s="102">
        <v>2098.66</v>
      </c>
      <c r="I7" s="66">
        <v>2098660</v>
      </c>
      <c r="J7" s="111">
        <v>0.1</v>
      </c>
      <c r="K7" s="33">
        <v>209866</v>
      </c>
      <c r="L7" s="124">
        <v>45852</v>
      </c>
      <c r="M7" s="124">
        <v>45852</v>
      </c>
      <c r="N7" s="31" t="s">
        <v>344</v>
      </c>
      <c r="O7" s="113">
        <v>2</v>
      </c>
      <c r="P7" s="105" t="s">
        <v>44</v>
      </c>
      <c r="Q7" s="19" t="s">
        <v>395</v>
      </c>
      <c r="R7" s="20"/>
      <c r="S7" s="46"/>
      <c r="T7" s="46"/>
      <c r="U7" s="10" t="s">
        <v>19</v>
      </c>
      <c r="V7" s="47" t="s">
        <v>49</v>
      </c>
      <c r="W7" s="46" t="s">
        <v>81</v>
      </c>
    </row>
    <row r="8" spans="1:23" s="84" customFormat="1" ht="24.75" customHeight="1">
      <c r="A8" s="26" t="s">
        <v>49</v>
      </c>
      <c r="B8" s="107" t="s">
        <v>402</v>
      </c>
      <c r="C8" s="108" t="s">
        <v>28</v>
      </c>
      <c r="D8" s="17" t="s">
        <v>160</v>
      </c>
      <c r="E8" s="24" t="s">
        <v>44</v>
      </c>
      <c r="F8" s="109" t="s">
        <v>403</v>
      </c>
      <c r="G8" s="21" t="s">
        <v>20</v>
      </c>
      <c r="H8" s="102">
        <v>5461</v>
      </c>
      <c r="I8" s="66">
        <v>5461000</v>
      </c>
      <c r="J8" s="111">
        <v>0.1</v>
      </c>
      <c r="K8" s="33">
        <v>546100</v>
      </c>
      <c r="L8" s="18">
        <v>45854</v>
      </c>
      <c r="M8" s="124">
        <v>45854</v>
      </c>
      <c r="N8" s="31" t="s">
        <v>344</v>
      </c>
      <c r="O8" s="113">
        <v>100</v>
      </c>
      <c r="P8" s="105" t="s">
        <v>44</v>
      </c>
      <c r="Q8" s="19" t="s">
        <v>394</v>
      </c>
      <c r="R8" s="20"/>
      <c r="S8" s="46"/>
      <c r="T8" s="46"/>
      <c r="U8" s="10" t="s">
        <v>19</v>
      </c>
      <c r="V8" s="47" t="s">
        <v>49</v>
      </c>
      <c r="W8" s="46" t="s">
        <v>81</v>
      </c>
    </row>
    <row r="9" spans="1:23" s="84" customFormat="1" ht="24.75" customHeight="1">
      <c r="A9" s="26" t="s">
        <v>49</v>
      </c>
      <c r="B9" s="107" t="s">
        <v>527</v>
      </c>
      <c r="C9" s="108" t="s">
        <v>28</v>
      </c>
      <c r="D9" s="17" t="s">
        <v>61</v>
      </c>
      <c r="E9" s="24" t="s">
        <v>44</v>
      </c>
      <c r="F9" s="109" t="s">
        <v>528</v>
      </c>
      <c r="G9" s="21" t="s">
        <v>20</v>
      </c>
      <c r="H9" s="102">
        <v>249.33</v>
      </c>
      <c r="I9" s="66">
        <v>249330</v>
      </c>
      <c r="J9" s="111">
        <v>0.1</v>
      </c>
      <c r="K9" s="33">
        <v>24933</v>
      </c>
      <c r="L9" s="18">
        <v>45855</v>
      </c>
      <c r="M9" s="124">
        <v>45855</v>
      </c>
      <c r="N9" s="31" t="s">
        <v>344</v>
      </c>
      <c r="O9" s="113">
        <v>1</v>
      </c>
      <c r="P9" s="105"/>
      <c r="Q9" s="19" t="s">
        <v>394</v>
      </c>
      <c r="R9" s="20"/>
      <c r="S9" s="46"/>
      <c r="T9" s="46"/>
      <c r="U9" s="10" t="s">
        <v>19</v>
      </c>
      <c r="V9" s="47" t="s">
        <v>49</v>
      </c>
      <c r="W9" s="46" t="s">
        <v>81</v>
      </c>
    </row>
    <row r="10" spans="1:23" s="84" customFormat="1" ht="24.75" customHeight="1">
      <c r="A10" s="26" t="s">
        <v>49</v>
      </c>
      <c r="B10" s="107" t="s">
        <v>408</v>
      </c>
      <c r="C10" s="108" t="s">
        <v>28</v>
      </c>
      <c r="D10" s="17" t="s">
        <v>61</v>
      </c>
      <c r="E10" s="24" t="s">
        <v>44</v>
      </c>
      <c r="F10" s="109" t="s">
        <v>409</v>
      </c>
      <c r="G10" s="21" t="s">
        <v>20</v>
      </c>
      <c r="H10" s="102">
        <v>8679.68</v>
      </c>
      <c r="I10" s="66">
        <v>8679680</v>
      </c>
      <c r="J10" s="111">
        <v>0.1</v>
      </c>
      <c r="K10" s="33">
        <v>867968</v>
      </c>
      <c r="L10" s="124">
        <v>45856</v>
      </c>
      <c r="M10" s="124">
        <v>45856</v>
      </c>
      <c r="N10" s="31" t="s">
        <v>344</v>
      </c>
      <c r="O10" s="113">
        <v>16</v>
      </c>
      <c r="P10" s="105" t="s">
        <v>44</v>
      </c>
      <c r="Q10" s="19" t="s">
        <v>395</v>
      </c>
      <c r="R10" s="20"/>
      <c r="S10" s="46"/>
      <c r="T10" s="46"/>
      <c r="U10" s="10" t="s">
        <v>19</v>
      </c>
      <c r="V10" s="47" t="s">
        <v>49</v>
      </c>
      <c r="W10" s="46" t="s">
        <v>81</v>
      </c>
    </row>
    <row r="11" spans="1:23" s="84" customFormat="1" ht="24.75" customHeight="1">
      <c r="A11" s="26" t="s">
        <v>49</v>
      </c>
      <c r="B11" s="107" t="s">
        <v>398</v>
      </c>
      <c r="C11" s="108" t="s">
        <v>28</v>
      </c>
      <c r="D11" s="17" t="s">
        <v>61</v>
      </c>
      <c r="E11" s="24" t="s">
        <v>44</v>
      </c>
      <c r="F11" s="109" t="s">
        <v>399</v>
      </c>
      <c r="G11" s="21" t="s">
        <v>20</v>
      </c>
      <c r="H11" s="102">
        <v>1734.4</v>
      </c>
      <c r="I11" s="66">
        <v>1734400</v>
      </c>
      <c r="J11" s="111">
        <v>0.1</v>
      </c>
      <c r="K11" s="33">
        <v>173440</v>
      </c>
      <c r="L11" s="124">
        <v>45861</v>
      </c>
      <c r="M11" s="124">
        <v>45861</v>
      </c>
      <c r="N11" s="31" t="s">
        <v>344</v>
      </c>
      <c r="O11" s="113">
        <v>4</v>
      </c>
      <c r="P11" s="105"/>
      <c r="Q11" s="19" t="s">
        <v>395</v>
      </c>
      <c r="R11" s="20"/>
      <c r="S11" s="46"/>
      <c r="T11" s="46"/>
      <c r="U11" s="10" t="s">
        <v>19</v>
      </c>
      <c r="V11" s="47" t="s">
        <v>49</v>
      </c>
      <c r="W11" s="46" t="s">
        <v>81</v>
      </c>
    </row>
    <row r="12" spans="1:23" s="84" customFormat="1" ht="24.75" customHeight="1">
      <c r="A12" s="26" t="s">
        <v>49</v>
      </c>
      <c r="B12" s="107" t="s">
        <v>269</v>
      </c>
      <c r="C12" s="108" t="s">
        <v>28</v>
      </c>
      <c r="D12" s="17" t="s">
        <v>61</v>
      </c>
      <c r="E12" s="24" t="s">
        <v>44</v>
      </c>
      <c r="F12" s="109" t="s">
        <v>270</v>
      </c>
      <c r="G12" s="21" t="s">
        <v>20</v>
      </c>
      <c r="H12" s="102">
        <v>1039.56</v>
      </c>
      <c r="I12" s="66">
        <v>1039560</v>
      </c>
      <c r="J12" s="111">
        <v>0.1</v>
      </c>
      <c r="K12" s="33">
        <v>103956</v>
      </c>
      <c r="L12" s="124">
        <v>45866</v>
      </c>
      <c r="M12" s="124">
        <v>45866</v>
      </c>
      <c r="N12" s="31" t="s">
        <v>344</v>
      </c>
      <c r="O12" s="113">
        <v>2</v>
      </c>
      <c r="P12" s="105"/>
      <c r="Q12" s="19" t="s">
        <v>395</v>
      </c>
      <c r="R12" s="20"/>
      <c r="S12" s="46"/>
      <c r="T12" s="46"/>
      <c r="U12" s="10" t="s">
        <v>19</v>
      </c>
      <c r="V12" s="47" t="s">
        <v>49</v>
      </c>
      <c r="W12" s="46" t="s">
        <v>81</v>
      </c>
    </row>
    <row r="13" spans="1:23" s="84" customFormat="1" ht="24.75" customHeight="1">
      <c r="A13" s="26" t="s">
        <v>49</v>
      </c>
      <c r="B13" s="107" t="s">
        <v>406</v>
      </c>
      <c r="C13" s="108" t="s">
        <v>28</v>
      </c>
      <c r="D13" s="17" t="s">
        <v>50</v>
      </c>
      <c r="E13" s="24" t="s">
        <v>44</v>
      </c>
      <c r="F13" s="109" t="s">
        <v>407</v>
      </c>
      <c r="G13" s="21" t="s">
        <v>20</v>
      </c>
      <c r="H13" s="102">
        <v>1078.6600000000001</v>
      </c>
      <c r="I13" s="66">
        <v>1078660</v>
      </c>
      <c r="J13" s="111">
        <v>0.1</v>
      </c>
      <c r="K13" s="33">
        <v>107866</v>
      </c>
      <c r="L13" s="124">
        <v>45867</v>
      </c>
      <c r="M13" s="124">
        <v>45867</v>
      </c>
      <c r="N13" s="31" t="s">
        <v>344</v>
      </c>
      <c r="O13" s="113">
        <v>1</v>
      </c>
      <c r="P13" s="105" t="s">
        <v>44</v>
      </c>
      <c r="Q13" s="19" t="s">
        <v>394</v>
      </c>
      <c r="R13" s="20"/>
      <c r="S13" s="46"/>
      <c r="T13" s="46"/>
      <c r="U13" s="10" t="s">
        <v>19</v>
      </c>
      <c r="V13" s="47" t="s">
        <v>49</v>
      </c>
      <c r="W13" s="46" t="s">
        <v>81</v>
      </c>
    </row>
    <row r="14" spans="1:23" s="84" customFormat="1" ht="24.75" customHeight="1">
      <c r="A14" s="26" t="s">
        <v>49</v>
      </c>
      <c r="B14" s="107" t="s">
        <v>404</v>
      </c>
      <c r="C14" s="108" t="s">
        <v>28</v>
      </c>
      <c r="D14" s="17" t="s">
        <v>61</v>
      </c>
      <c r="E14" s="24" t="s">
        <v>44</v>
      </c>
      <c r="F14" s="109" t="s">
        <v>405</v>
      </c>
      <c r="G14" s="21" t="s">
        <v>20</v>
      </c>
      <c r="H14" s="102">
        <v>2168</v>
      </c>
      <c r="I14" s="66">
        <v>2168000</v>
      </c>
      <c r="J14" s="111">
        <v>0.1</v>
      </c>
      <c r="K14" s="33">
        <v>216800</v>
      </c>
      <c r="L14" s="124">
        <v>45875</v>
      </c>
      <c r="M14" s="124">
        <v>45875</v>
      </c>
      <c r="N14" s="31" t="s">
        <v>344</v>
      </c>
      <c r="O14" s="113">
        <v>5</v>
      </c>
      <c r="P14" s="105" t="s">
        <v>44</v>
      </c>
      <c r="Q14" s="19" t="s">
        <v>395</v>
      </c>
      <c r="R14" s="20"/>
      <c r="S14" s="46"/>
      <c r="T14" s="46"/>
      <c r="U14" s="10" t="s">
        <v>19</v>
      </c>
      <c r="V14" s="47" t="s">
        <v>49</v>
      </c>
      <c r="W14" s="46" t="s">
        <v>81</v>
      </c>
    </row>
    <row r="15" spans="1:23" s="84" customFormat="1" ht="24.75" customHeight="1">
      <c r="A15" s="26" t="s">
        <v>49</v>
      </c>
      <c r="B15" s="107" t="s">
        <v>396</v>
      </c>
      <c r="C15" s="108" t="s">
        <v>28</v>
      </c>
      <c r="D15" s="17" t="s">
        <v>50</v>
      </c>
      <c r="E15" s="24" t="s">
        <v>44</v>
      </c>
      <c r="F15" s="109" t="s">
        <v>397</v>
      </c>
      <c r="G15" s="21" t="s">
        <v>20</v>
      </c>
      <c r="H15" s="102">
        <v>68597.759999999995</v>
      </c>
      <c r="I15" s="66">
        <v>68597760</v>
      </c>
      <c r="J15" s="111">
        <v>0.1</v>
      </c>
      <c r="K15" s="33">
        <v>6859776</v>
      </c>
      <c r="L15" s="124">
        <v>45877</v>
      </c>
      <c r="M15" s="124">
        <v>45877</v>
      </c>
      <c r="N15" s="31" t="s">
        <v>344</v>
      </c>
      <c r="O15" s="113">
        <v>5</v>
      </c>
      <c r="P15" s="105"/>
      <c r="Q15" s="19" t="s">
        <v>394</v>
      </c>
      <c r="R15" s="20"/>
      <c r="S15" s="46"/>
      <c r="T15" s="46"/>
      <c r="U15" s="10" t="s">
        <v>19</v>
      </c>
      <c r="V15" s="47" t="s">
        <v>49</v>
      </c>
      <c r="W15" s="46" t="s">
        <v>81</v>
      </c>
    </row>
    <row r="16" spans="1:23" s="84" customFormat="1" ht="24.75" customHeight="1">
      <c r="A16" s="26" t="s">
        <v>49</v>
      </c>
      <c r="B16" s="107" t="s">
        <v>400</v>
      </c>
      <c r="C16" s="108" t="s">
        <v>28</v>
      </c>
      <c r="D16" s="17" t="s">
        <v>50</v>
      </c>
      <c r="E16" s="24" t="s">
        <v>44</v>
      </c>
      <c r="F16" s="109" t="s">
        <v>401</v>
      </c>
      <c r="G16" s="21" t="s">
        <v>20</v>
      </c>
      <c r="H16" s="102">
        <v>4719.12</v>
      </c>
      <c r="I16" s="66">
        <v>4719120</v>
      </c>
      <c r="J16" s="111">
        <v>0.1</v>
      </c>
      <c r="K16" s="33">
        <v>471912</v>
      </c>
      <c r="L16" s="124">
        <v>45890</v>
      </c>
      <c r="M16" s="124">
        <v>45890</v>
      </c>
      <c r="N16" s="31" t="s">
        <v>344</v>
      </c>
      <c r="O16" s="113">
        <v>2</v>
      </c>
      <c r="P16" s="105" t="s">
        <v>44</v>
      </c>
      <c r="Q16" s="19" t="s">
        <v>394</v>
      </c>
      <c r="R16" s="20"/>
      <c r="S16" s="46"/>
      <c r="T16" s="46"/>
      <c r="U16" s="10" t="s">
        <v>19</v>
      </c>
      <c r="V16" s="47" t="s">
        <v>49</v>
      </c>
      <c r="W16" s="46" t="s">
        <v>81</v>
      </c>
    </row>
    <row r="17" spans="1:25" s="84" customFormat="1" ht="24.75" customHeight="1">
      <c r="A17" s="26" t="s">
        <v>49</v>
      </c>
      <c r="B17" s="107" t="s">
        <v>525</v>
      </c>
      <c r="C17" s="108" t="s">
        <v>28</v>
      </c>
      <c r="D17" s="17" t="s">
        <v>61</v>
      </c>
      <c r="E17" s="24" t="s">
        <v>44</v>
      </c>
      <c r="F17" s="109" t="s">
        <v>526</v>
      </c>
      <c r="G17" s="21" t="s">
        <v>20</v>
      </c>
      <c r="H17" s="102">
        <v>3029.15</v>
      </c>
      <c r="I17" s="66">
        <v>3029150</v>
      </c>
      <c r="J17" s="111">
        <v>0.1</v>
      </c>
      <c r="K17" s="33">
        <v>302915</v>
      </c>
      <c r="L17" s="124">
        <v>45895</v>
      </c>
      <c r="M17" s="124">
        <v>45895</v>
      </c>
      <c r="N17" s="31" t="s">
        <v>344</v>
      </c>
      <c r="O17" s="113">
        <v>6</v>
      </c>
      <c r="P17" s="105"/>
      <c r="Q17" s="19" t="s">
        <v>395</v>
      </c>
      <c r="R17" s="20"/>
      <c r="S17" s="46"/>
      <c r="T17" s="46"/>
      <c r="U17" s="10" t="s">
        <v>19</v>
      </c>
      <c r="V17" s="47" t="s">
        <v>49</v>
      </c>
      <c r="W17" s="46" t="s">
        <v>81</v>
      </c>
    </row>
    <row r="18" spans="1:25" s="84" customFormat="1" ht="24.75" customHeight="1">
      <c r="A18" s="26" t="s">
        <v>49</v>
      </c>
      <c r="B18" s="107" t="s">
        <v>529</v>
      </c>
      <c r="C18" s="108" t="s">
        <v>28</v>
      </c>
      <c r="D18" s="17" t="s">
        <v>61</v>
      </c>
      <c r="E18" s="24" t="s">
        <v>44</v>
      </c>
      <c r="F18" s="109" t="s">
        <v>530</v>
      </c>
      <c r="G18" s="21" t="s">
        <v>20</v>
      </c>
      <c r="H18" s="102">
        <v>10388.25</v>
      </c>
      <c r="I18" s="66">
        <v>10388250</v>
      </c>
      <c r="J18" s="111">
        <v>0.1</v>
      </c>
      <c r="K18" s="33">
        <v>1038825</v>
      </c>
      <c r="L18" s="124">
        <v>45901</v>
      </c>
      <c r="M18" s="124">
        <v>45901</v>
      </c>
      <c r="N18" s="31" t="s">
        <v>344</v>
      </c>
      <c r="O18" s="113">
        <v>21</v>
      </c>
      <c r="P18" s="105"/>
      <c r="Q18" s="19" t="s">
        <v>395</v>
      </c>
      <c r="R18" s="20"/>
      <c r="S18" s="46"/>
      <c r="T18" s="46"/>
      <c r="U18" s="10" t="s">
        <v>19</v>
      </c>
      <c r="V18" s="47" t="s">
        <v>49</v>
      </c>
      <c r="W18" s="46" t="s">
        <v>81</v>
      </c>
    </row>
    <row r="19" spans="1:25" s="84" customFormat="1" ht="24.75" customHeight="1">
      <c r="A19" s="26" t="s">
        <v>49</v>
      </c>
      <c r="B19" s="107" t="s">
        <v>523</v>
      </c>
      <c r="C19" s="108" t="s">
        <v>28</v>
      </c>
      <c r="D19" s="17" t="s">
        <v>50</v>
      </c>
      <c r="E19" s="24" t="s">
        <v>44</v>
      </c>
      <c r="F19" s="109" t="s">
        <v>524</v>
      </c>
      <c r="G19" s="21" t="s">
        <v>20</v>
      </c>
      <c r="H19" s="102">
        <v>8035.96</v>
      </c>
      <c r="I19" s="66">
        <v>8035960</v>
      </c>
      <c r="J19" s="111">
        <v>0.1</v>
      </c>
      <c r="K19" s="33">
        <v>803596</v>
      </c>
      <c r="L19" s="124">
        <v>45911</v>
      </c>
      <c r="M19" s="124">
        <v>45911</v>
      </c>
      <c r="N19" s="31" t="s">
        <v>344</v>
      </c>
      <c r="O19" s="113">
        <v>4</v>
      </c>
      <c r="P19" s="105"/>
      <c r="Q19" s="19" t="s">
        <v>394</v>
      </c>
      <c r="R19" s="20"/>
      <c r="S19" s="46"/>
      <c r="T19" s="46"/>
      <c r="U19" s="10" t="s">
        <v>19</v>
      </c>
      <c r="V19" s="47" t="s">
        <v>49</v>
      </c>
      <c r="W19" s="46" t="s">
        <v>81</v>
      </c>
    </row>
    <row r="20" spans="1:25" s="84" customFormat="1" ht="36.75" customHeight="1">
      <c r="A20" s="208" t="s">
        <v>25</v>
      </c>
      <c r="B20" s="209"/>
      <c r="C20" s="209"/>
      <c r="D20" s="209"/>
      <c r="E20" s="209"/>
      <c r="F20" s="210"/>
      <c r="G20" s="130" t="s">
        <v>18</v>
      </c>
      <c r="H20" s="146">
        <f>SUM(H5:H19)</f>
        <v>194548.52999999997</v>
      </c>
      <c r="I20" s="154">
        <f>SUM(I5:I19)</f>
        <v>194548530</v>
      </c>
      <c r="J20" s="61"/>
      <c r="K20" s="34">
        <f>SUM(K5:K19)</f>
        <v>19454853</v>
      </c>
      <c r="L20" s="61"/>
      <c r="M20" s="61"/>
      <c r="N20" s="61"/>
      <c r="O20" s="51"/>
      <c r="P20" s="28"/>
      <c r="Q20" s="50"/>
      <c r="R20" s="20"/>
      <c r="S20" s="46"/>
      <c r="T20" s="46"/>
      <c r="U20" s="10"/>
      <c r="V20" s="47"/>
      <c r="W20" s="46"/>
    </row>
    <row r="21" spans="1:25" ht="24.75" customHeight="1">
      <c r="A21" s="88"/>
      <c r="B21" s="88"/>
      <c r="C21" s="88"/>
      <c r="H21" s="89"/>
      <c r="I21" s="90"/>
      <c r="J21" s="91"/>
      <c r="K21" s="92"/>
      <c r="L21" s="93"/>
      <c r="M21" s="93"/>
      <c r="N21" s="94"/>
      <c r="O21" s="95"/>
      <c r="P21" s="95"/>
      <c r="Q21" s="96"/>
    </row>
    <row r="22" spans="1:25">
      <c r="A22" s="3"/>
      <c r="B22" s="3"/>
      <c r="C22" s="3"/>
      <c r="E22" s="5"/>
      <c r="F22" s="3"/>
      <c r="G22" s="3"/>
      <c r="I22" s="90"/>
      <c r="J22" s="86"/>
      <c r="K22" s="87"/>
      <c r="S22" s="3"/>
      <c r="W22" s="40"/>
    </row>
    <row r="23" spans="1:25">
      <c r="A23" s="3"/>
      <c r="B23" s="3"/>
      <c r="C23" s="3"/>
      <c r="E23" s="5"/>
      <c r="F23" s="3"/>
      <c r="G23" s="3"/>
      <c r="I23" s="90"/>
      <c r="J23" s="86"/>
      <c r="K23" s="87"/>
      <c r="S23" s="3"/>
      <c r="W23" s="40"/>
    </row>
    <row r="24" spans="1:25">
      <c r="A24" s="3"/>
      <c r="B24" s="3"/>
      <c r="C24" s="3"/>
      <c r="E24" s="5"/>
      <c r="F24" s="3"/>
      <c r="G24" s="3"/>
      <c r="I24" s="90"/>
      <c r="J24" s="86"/>
      <c r="K24" s="87"/>
      <c r="S24" s="3"/>
      <c r="W24" s="40"/>
    </row>
    <row r="25" spans="1:25">
      <c r="A25" s="3"/>
      <c r="B25" s="3"/>
      <c r="C25" s="3"/>
      <c r="E25" s="5"/>
      <c r="F25" s="3"/>
      <c r="G25" s="3"/>
      <c r="I25" s="90"/>
      <c r="J25" s="86"/>
      <c r="K25" s="87"/>
      <c r="S25" s="3"/>
      <c r="W25" s="40"/>
    </row>
    <row r="26" spans="1:25">
      <c r="A26" s="3"/>
      <c r="B26" s="3"/>
      <c r="C26" s="3"/>
      <c r="E26" s="5"/>
      <c r="F26" s="3"/>
      <c r="G26" s="3"/>
      <c r="I26" s="90"/>
      <c r="J26" s="86"/>
      <c r="K26" s="87"/>
      <c r="S26" s="3"/>
      <c r="W26" s="40"/>
    </row>
    <row r="27" spans="1:25">
      <c r="A27" s="3"/>
      <c r="B27" s="3"/>
      <c r="C27" s="3"/>
      <c r="E27" s="5"/>
      <c r="F27" s="3"/>
      <c r="G27" s="3"/>
      <c r="I27" s="90"/>
      <c r="J27" s="86"/>
      <c r="K27" s="87"/>
      <c r="S27" s="3"/>
      <c r="W27" s="40"/>
    </row>
    <row r="28" spans="1:25">
      <c r="A28" s="3"/>
      <c r="B28" s="3"/>
      <c r="C28" s="3"/>
      <c r="E28" s="5"/>
      <c r="F28" s="3"/>
      <c r="G28" s="3"/>
      <c r="I28" s="90"/>
      <c r="J28" s="86"/>
      <c r="K28" s="87"/>
      <c r="S28" s="3"/>
      <c r="W28" s="40"/>
    </row>
    <row r="29" spans="1:25">
      <c r="I29" s="90"/>
    </row>
    <row r="30" spans="1:25">
      <c r="I30" s="90"/>
    </row>
    <row r="31" spans="1:25">
      <c r="I31" s="90"/>
    </row>
    <row r="32" spans="1:25" s="22" customFormat="1">
      <c r="A32" s="4"/>
      <c r="B32" s="4"/>
      <c r="C32" s="4"/>
      <c r="D32" s="3"/>
      <c r="E32" s="11"/>
      <c r="F32" s="4"/>
      <c r="G32" s="4"/>
      <c r="H32" s="14"/>
      <c r="I32" s="90"/>
      <c r="K32" s="35"/>
      <c r="L32" s="6"/>
      <c r="M32" s="6"/>
      <c r="N32" s="7"/>
      <c r="O32" s="8"/>
      <c r="P32" s="8"/>
      <c r="Q32" s="4"/>
      <c r="R32" s="3"/>
      <c r="S32" s="4"/>
      <c r="T32" s="39"/>
      <c r="U32" s="1"/>
      <c r="V32" s="38"/>
      <c r="W32" s="39"/>
      <c r="X32" s="1"/>
      <c r="Y32" s="1"/>
    </row>
    <row r="33" spans="1:25" s="22" customFormat="1">
      <c r="A33" s="4"/>
      <c r="B33" s="4"/>
      <c r="C33" s="4"/>
      <c r="D33" s="3"/>
      <c r="E33" s="11"/>
      <c r="F33" s="4"/>
      <c r="G33" s="4"/>
      <c r="H33" s="14"/>
      <c r="I33" s="90"/>
      <c r="K33" s="35"/>
      <c r="L33" s="6"/>
      <c r="M33" s="6"/>
      <c r="N33" s="7"/>
      <c r="O33" s="8"/>
      <c r="P33" s="8"/>
      <c r="Q33" s="4"/>
      <c r="R33" s="3"/>
      <c r="S33" s="4"/>
      <c r="T33" s="39"/>
      <c r="U33" s="1"/>
      <c r="V33" s="38"/>
      <c r="W33" s="39"/>
      <c r="X33" s="1"/>
      <c r="Y33" s="1"/>
    </row>
    <row r="34" spans="1:25" s="22" customFormat="1">
      <c r="A34" s="4"/>
      <c r="B34" s="4"/>
      <c r="C34" s="4"/>
      <c r="D34" s="3"/>
      <c r="E34" s="11"/>
      <c r="F34" s="4"/>
      <c r="G34" s="4"/>
      <c r="H34" s="14"/>
      <c r="I34" s="90"/>
      <c r="K34" s="35"/>
      <c r="L34" s="6"/>
      <c r="M34" s="6"/>
      <c r="N34" s="7"/>
      <c r="O34" s="8"/>
      <c r="P34" s="8"/>
      <c r="Q34" s="4"/>
      <c r="R34" s="3"/>
      <c r="S34" s="4"/>
      <c r="T34" s="39"/>
      <c r="U34" s="1"/>
      <c r="V34" s="38"/>
      <c r="W34" s="39"/>
      <c r="X34" s="1"/>
      <c r="Y34" s="1"/>
    </row>
  </sheetData>
  <autoFilter ref="A4:W20" xr:uid="{00000000-0001-0000-0500-000000000000}">
    <sortState xmlns:xlrd2="http://schemas.microsoft.com/office/spreadsheetml/2017/richdata2" ref="A5:W20">
      <sortCondition ref="M4:M20"/>
    </sortState>
  </autoFilter>
  <mergeCells count="3">
    <mergeCell ref="A1:Q1"/>
    <mergeCell ref="A2:Q2"/>
    <mergeCell ref="A20:F20"/>
  </mergeCells>
  <phoneticPr fontId="4" type="noConversion"/>
  <conditionalFormatting sqref="B10:B12">
    <cfRule type="duplicateValues" dxfId="103" priority="5"/>
  </conditionalFormatting>
  <conditionalFormatting sqref="B13">
    <cfRule type="duplicateValues" dxfId="102" priority="3"/>
  </conditionalFormatting>
  <conditionalFormatting sqref="B21:B1048576 B1 B3:B4">
    <cfRule type="duplicateValues" dxfId="101" priority="281"/>
    <cfRule type="duplicateValues" dxfId="100" priority="284"/>
  </conditionalFormatting>
  <conditionalFormatting sqref="F10:F12">
    <cfRule type="duplicateValues" dxfId="99" priority="6"/>
  </conditionalFormatting>
  <conditionalFormatting sqref="F13">
    <cfRule type="duplicateValues" dxfId="98" priority="4"/>
  </conditionalFormatting>
  <conditionalFormatting sqref="G3:I19 K4:K19 G21:I1048576">
    <cfRule type="expression" dxfId="97" priority="9">
      <formula>$G3="USD"</formula>
    </cfRule>
  </conditionalFormatting>
  <conditionalFormatting sqref="H5:H19">
    <cfRule type="expression" dxfId="96" priority="2">
      <formula>$G5="KRW"</formula>
    </cfRule>
  </conditionalFormatting>
  <conditionalFormatting sqref="H20">
    <cfRule type="expression" dxfId="95" priority="10">
      <formula>$G20="USD"</formula>
    </cfRule>
  </conditionalFormatting>
  <conditionalFormatting sqref="I5:I19 H20">
    <cfRule type="expression" dxfId="94" priority="1">
      <formula>$O5="KRW"</formula>
    </cfRule>
  </conditionalFormatting>
  <conditionalFormatting sqref="K5:K19">
    <cfRule type="expression" dxfId="93" priority="7">
      <formula>$Q5="KRW"</formula>
    </cfRule>
  </conditionalFormatting>
  <conditionalFormatting sqref="L1">
    <cfRule type="cellIs" dxfId="92" priority="256" operator="lessThanOrEqual">
      <formula>$R$2</formula>
    </cfRule>
  </conditionalFormatting>
  <conditionalFormatting sqref="L3:L4">
    <cfRule type="cellIs" dxfId="91" priority="67" operator="lessThanOrEqual">
      <formula>$R$2</formula>
    </cfRule>
  </conditionalFormatting>
  <printOptions horizontalCentered="1"/>
  <pageMargins left="0.27559055118110237" right="0.27559055118110237" top="0.55118110236220474" bottom="0.47244094488188981" header="0.43307086614173229" footer="0.27559055118110237"/>
  <pageSetup paperSize="9" scale="45" fitToHeight="0" orientation="portrait" r:id="rId1"/>
  <headerFooter alignWithMargins="0">
    <oddFooter>&amp;L양식-영업-18(0)&amp;C(주)키츠코리아&amp;RA4(210X297)mm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985A-0D52-42DA-B15D-5E024886A8FF}">
  <sheetPr>
    <tabColor rgb="FF00B050"/>
    <pageSetUpPr fitToPage="1"/>
  </sheetPr>
  <dimension ref="A1:AR17"/>
  <sheetViews>
    <sheetView view="pageBreakPreview" zoomScale="70" zoomScaleNormal="100" zoomScaleSheetLayoutView="70" workbookViewId="0">
      <pane xSplit="4" ySplit="4" topLeftCell="E5" activePane="bottomRight" state="frozen"/>
      <selection activeCell="R982" sqref="R982:R983"/>
      <selection pane="topRight" activeCell="R982" sqref="R982:R983"/>
      <selection pane="bottomLeft" activeCell="R982" sqref="R982:R983"/>
      <selection pane="bottomRight" activeCell="L37" sqref="L37"/>
    </sheetView>
  </sheetViews>
  <sheetFormatPr defaultColWidth="10" defaultRowHeight="13.5" outlineLevelCol="1"/>
  <cols>
    <col min="1" max="1" width="8.25" style="4" customWidth="1"/>
    <col min="2" max="2" width="12.5" style="4" bestFit="1" customWidth="1"/>
    <col min="3" max="3" width="6.25" style="4" customWidth="1"/>
    <col min="4" max="4" width="17" style="3" customWidth="1"/>
    <col min="5" max="5" width="24.875" style="11" customWidth="1"/>
    <col min="6" max="6" width="18.75" style="4" customWidth="1"/>
    <col min="7" max="7" width="5.125" style="4" bestFit="1" customWidth="1"/>
    <col min="8" max="8" width="16.25" style="14" customWidth="1"/>
    <col min="9" max="9" width="17.875" style="3" customWidth="1"/>
    <col min="10" max="10" width="6.75" style="22" customWidth="1"/>
    <col min="11" max="11" width="14.5" style="35" customWidth="1"/>
    <col min="12" max="13" width="12.625" style="6" customWidth="1"/>
    <col min="14" max="14" width="7.75" style="7" customWidth="1"/>
    <col min="15" max="15" width="5.375" style="8" customWidth="1"/>
    <col min="16" max="16" width="5.375" style="8" hidden="1" customWidth="1"/>
    <col min="17" max="17" width="12.375" style="4" customWidth="1"/>
    <col min="18" max="18" width="17.625" style="3" customWidth="1" outlineLevel="1"/>
    <col min="19" max="19" width="11.75" style="4" customWidth="1" outlineLevel="1"/>
    <col min="20" max="20" width="9.625" style="39" customWidth="1" outlineLevel="1"/>
    <col min="21" max="21" width="8.25" style="1" customWidth="1" outlineLevel="1"/>
    <col min="22" max="22" width="8.25" style="38" customWidth="1" outlineLevel="1"/>
    <col min="23" max="23" width="8.125" style="39" customWidth="1" outlineLevel="1"/>
    <col min="24" max="24" width="10" style="1" outlineLevel="1" collapsed="1"/>
    <col min="25" max="44" width="10" style="1"/>
    <col min="45" max="16384" width="10" style="1" outlineLevel="1"/>
  </cols>
  <sheetData>
    <row r="1" spans="1:23" ht="41.25">
      <c r="A1" s="192" t="s">
        <v>495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65"/>
      <c r="S1" s="69">
        <f>SUBTOTAL(9,I5:I7)</f>
        <v>9998200</v>
      </c>
      <c r="T1" s="37"/>
      <c r="W1" s="37"/>
    </row>
    <row r="2" spans="1:23" ht="17.25" customHeight="1">
      <c r="A2" s="191" t="s">
        <v>45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2">
        <v>45838</v>
      </c>
      <c r="S2" s="3"/>
      <c r="W2" s="40"/>
    </row>
    <row r="3" spans="1:23" ht="18" customHeight="1">
      <c r="E3" s="5"/>
      <c r="F3" s="3"/>
      <c r="G3" s="3"/>
      <c r="J3" s="15"/>
      <c r="K3" s="32"/>
      <c r="L3" s="12" t="s">
        <v>10</v>
      </c>
      <c r="M3" s="13" t="s">
        <v>11</v>
      </c>
      <c r="R3" s="9">
        <v>1000</v>
      </c>
      <c r="S3" s="41" t="s">
        <v>33</v>
      </c>
      <c r="T3" s="42"/>
      <c r="W3" s="43"/>
    </row>
    <row r="4" spans="1:23" ht="54.75" customHeight="1">
      <c r="A4" s="53" t="s">
        <v>13</v>
      </c>
      <c r="B4" s="53" t="s">
        <v>14</v>
      </c>
      <c r="C4" s="54" t="s">
        <v>27</v>
      </c>
      <c r="D4" s="53" t="s">
        <v>0</v>
      </c>
      <c r="E4" s="55" t="s">
        <v>1</v>
      </c>
      <c r="F4" s="53" t="s">
        <v>2</v>
      </c>
      <c r="G4" s="53" t="s">
        <v>15</v>
      </c>
      <c r="H4" s="54" t="s">
        <v>3</v>
      </c>
      <c r="I4" s="64" t="s">
        <v>3</v>
      </c>
      <c r="J4" s="56" t="s">
        <v>31</v>
      </c>
      <c r="K4" s="57" t="s">
        <v>32</v>
      </c>
      <c r="L4" s="58" t="s">
        <v>16</v>
      </c>
      <c r="M4" s="58" t="s">
        <v>17</v>
      </c>
      <c r="N4" s="59" t="s">
        <v>4</v>
      </c>
      <c r="O4" s="59" t="s">
        <v>5</v>
      </c>
      <c r="P4" s="59"/>
      <c r="Q4" s="53" t="s">
        <v>6</v>
      </c>
      <c r="R4" s="16" t="s">
        <v>7</v>
      </c>
      <c r="S4" s="16" t="s">
        <v>6</v>
      </c>
      <c r="T4" s="44" t="s">
        <v>34</v>
      </c>
      <c r="U4" s="16" t="s">
        <v>35</v>
      </c>
      <c r="V4" s="45" t="s">
        <v>36</v>
      </c>
      <c r="W4" s="44" t="s">
        <v>533</v>
      </c>
    </row>
    <row r="5" spans="1:23" s="84" customFormat="1" ht="24.75" customHeight="1">
      <c r="A5" s="179" t="s">
        <v>534</v>
      </c>
      <c r="B5" s="10" t="s">
        <v>535</v>
      </c>
      <c r="C5" s="52" t="s">
        <v>28</v>
      </c>
      <c r="D5" s="83" t="s">
        <v>271</v>
      </c>
      <c r="E5" s="180" t="s">
        <v>44</v>
      </c>
      <c r="F5" s="21" t="s">
        <v>536</v>
      </c>
      <c r="G5" s="21" t="s">
        <v>20</v>
      </c>
      <c r="H5" s="181">
        <v>3204.8999999999996</v>
      </c>
      <c r="I5" s="182">
        <v>3204899.9999999995</v>
      </c>
      <c r="J5" s="101">
        <v>0.35</v>
      </c>
      <c r="K5" s="77">
        <v>1121714.9999999998</v>
      </c>
      <c r="L5" s="74">
        <v>45835</v>
      </c>
      <c r="M5" s="183">
        <v>45838</v>
      </c>
      <c r="N5" s="184" t="s">
        <v>344</v>
      </c>
      <c r="O5" s="67">
        <v>3</v>
      </c>
      <c r="P5" s="67" t="s">
        <v>537</v>
      </c>
      <c r="Q5" s="185"/>
      <c r="R5" s="20"/>
      <c r="S5" s="46"/>
      <c r="T5" s="46"/>
      <c r="U5" s="10" t="s">
        <v>19</v>
      </c>
      <c r="V5" s="47" t="s">
        <v>534</v>
      </c>
      <c r="W5" s="46" t="s">
        <v>84</v>
      </c>
    </row>
    <row r="6" spans="1:23" s="84" customFormat="1" ht="24.75" customHeight="1">
      <c r="A6" s="179" t="s">
        <v>534</v>
      </c>
      <c r="B6" s="10" t="s">
        <v>538</v>
      </c>
      <c r="C6" s="52" t="s">
        <v>28</v>
      </c>
      <c r="D6" s="83" t="s">
        <v>271</v>
      </c>
      <c r="E6" s="180" t="s">
        <v>44</v>
      </c>
      <c r="F6" s="21" t="s">
        <v>536</v>
      </c>
      <c r="G6" s="21" t="s">
        <v>20</v>
      </c>
      <c r="H6" s="181">
        <v>1794.2</v>
      </c>
      <c r="I6" s="182">
        <v>1794200</v>
      </c>
      <c r="J6" s="101">
        <v>0.35</v>
      </c>
      <c r="K6" s="77">
        <v>627970</v>
      </c>
      <c r="L6" s="186">
        <v>45856</v>
      </c>
      <c r="M6" s="186">
        <v>45859</v>
      </c>
      <c r="N6" s="184" t="s">
        <v>344</v>
      </c>
      <c r="O6" s="67">
        <v>1</v>
      </c>
      <c r="P6" s="67" t="s">
        <v>537</v>
      </c>
      <c r="Q6" s="185"/>
      <c r="R6" s="20"/>
      <c r="S6" s="46"/>
      <c r="T6" s="46"/>
      <c r="U6" s="10" t="s">
        <v>19</v>
      </c>
      <c r="V6" s="47" t="s">
        <v>534</v>
      </c>
      <c r="W6" s="46" t="s">
        <v>84</v>
      </c>
    </row>
    <row r="7" spans="1:23" s="84" customFormat="1" ht="36.75" customHeight="1">
      <c r="A7" s="208" t="s">
        <v>25</v>
      </c>
      <c r="B7" s="209"/>
      <c r="C7" s="209"/>
      <c r="D7" s="209"/>
      <c r="E7" s="209"/>
      <c r="F7" s="210"/>
      <c r="G7" s="177" t="s">
        <v>18</v>
      </c>
      <c r="H7" s="178">
        <f>SUMIF($G$5:$G$6,$G7,$H$5:$H$6)</f>
        <v>4999.0999999999995</v>
      </c>
      <c r="I7" s="60">
        <f>SUM(I5:I6)</f>
        <v>4999100</v>
      </c>
      <c r="J7" s="61"/>
      <c r="K7" s="34">
        <f>SUM(K5:K6)</f>
        <v>1749684.9999999998</v>
      </c>
      <c r="L7" s="61"/>
      <c r="M7" s="61"/>
      <c r="N7" s="62"/>
      <c r="O7" s="51"/>
      <c r="P7" s="28"/>
      <c r="Q7" s="50"/>
      <c r="R7" s="20"/>
      <c r="S7" s="46"/>
      <c r="T7" s="46"/>
      <c r="U7" s="10"/>
      <c r="V7" s="47"/>
      <c r="W7" s="46"/>
    </row>
    <row r="8" spans="1:23">
      <c r="A8" s="88"/>
      <c r="B8" s="88"/>
      <c r="C8" s="88"/>
      <c r="H8" s="89"/>
      <c r="I8" s="90"/>
      <c r="J8" s="91"/>
      <c r="K8" s="92"/>
      <c r="L8" s="93"/>
      <c r="M8" s="93"/>
      <c r="N8" s="94"/>
      <c r="O8" s="95"/>
      <c r="P8" s="95"/>
      <c r="Q8" s="96"/>
    </row>
    <row r="9" spans="1:23">
      <c r="A9" s="3"/>
      <c r="B9" s="3"/>
      <c r="C9" s="3"/>
      <c r="E9" s="5"/>
      <c r="F9" s="3"/>
      <c r="G9" s="3"/>
      <c r="H9" s="89"/>
      <c r="I9" s="90"/>
      <c r="J9" s="86"/>
      <c r="K9" s="87"/>
      <c r="S9" s="3"/>
      <c r="W9" s="40"/>
    </row>
    <row r="10" spans="1:23">
      <c r="A10" s="3"/>
      <c r="B10" s="3"/>
      <c r="C10" s="3"/>
      <c r="E10" s="5"/>
      <c r="F10" s="3"/>
      <c r="G10" s="3"/>
      <c r="H10" s="89"/>
      <c r="I10" s="90"/>
      <c r="J10" s="86"/>
      <c r="K10" s="87"/>
      <c r="S10" s="3"/>
      <c r="W10" s="40"/>
    </row>
    <row r="11" spans="1:23">
      <c r="A11" s="3"/>
      <c r="B11" s="3"/>
      <c r="C11" s="3"/>
      <c r="E11" s="5"/>
      <c r="F11" s="3"/>
      <c r="G11" s="3"/>
      <c r="H11" s="89"/>
      <c r="I11" s="90"/>
      <c r="J11" s="86"/>
      <c r="K11" s="87"/>
      <c r="S11" s="3"/>
      <c r="W11" s="40"/>
    </row>
    <row r="12" spans="1:23">
      <c r="A12" s="3"/>
      <c r="B12" s="3"/>
      <c r="C12" s="3"/>
      <c r="E12" s="5"/>
      <c r="F12" s="3"/>
      <c r="G12" s="3"/>
      <c r="H12" s="89"/>
      <c r="I12" s="90"/>
      <c r="J12" s="86"/>
      <c r="K12" s="87"/>
      <c r="S12" s="3"/>
      <c r="W12" s="40"/>
    </row>
    <row r="13" spans="1:23">
      <c r="A13" s="3"/>
      <c r="B13" s="3"/>
      <c r="C13" s="3"/>
      <c r="E13" s="5"/>
      <c r="F13" s="3"/>
      <c r="G13" s="3"/>
      <c r="H13" s="89"/>
      <c r="I13" s="90"/>
      <c r="J13" s="86"/>
      <c r="K13" s="87"/>
      <c r="S13" s="3"/>
      <c r="W13" s="40"/>
    </row>
    <row r="14" spans="1:23">
      <c r="A14" s="3"/>
      <c r="B14" s="3"/>
      <c r="C14" s="3"/>
      <c r="E14" s="5"/>
      <c r="F14" s="3"/>
      <c r="G14" s="3"/>
      <c r="I14" s="40"/>
      <c r="J14" s="86"/>
      <c r="K14" s="87"/>
      <c r="S14" s="3"/>
      <c r="W14" s="40"/>
    </row>
    <row r="15" spans="1:23">
      <c r="A15" s="3"/>
      <c r="B15" s="3"/>
      <c r="C15" s="3"/>
      <c r="E15" s="5"/>
      <c r="F15" s="3"/>
      <c r="G15" s="3"/>
      <c r="I15" s="40"/>
      <c r="J15" s="86"/>
      <c r="K15" s="87"/>
      <c r="S15" s="3"/>
      <c r="W15" s="40"/>
    </row>
    <row r="16" spans="1:23">
      <c r="I16" s="40"/>
    </row>
    <row r="17" spans="9:9">
      <c r="I17" s="40"/>
    </row>
  </sheetData>
  <autoFilter ref="A4:X7" xr:uid="{00000000-0001-0000-0500-000000000000}">
    <sortState xmlns:xlrd2="http://schemas.microsoft.com/office/spreadsheetml/2017/richdata2" ref="A5:X7">
      <sortCondition ref="M4:M7"/>
    </sortState>
  </autoFilter>
  <mergeCells count="3">
    <mergeCell ref="A1:Q1"/>
    <mergeCell ref="A2:Q2"/>
    <mergeCell ref="A7:F7"/>
  </mergeCells>
  <phoneticPr fontId="4" type="noConversion"/>
  <conditionalFormatting sqref="B8:B1048576 B1 B3:B4">
    <cfRule type="duplicateValues" dxfId="90" priority="11"/>
    <cfRule type="duplicateValues" dxfId="89" priority="12"/>
  </conditionalFormatting>
  <conditionalFormatting sqref="G3:I6 G8:I1048576">
    <cfRule type="expression" dxfId="88" priority="6">
      <formula>$G3="USD"</formula>
    </cfRule>
  </conditionalFormatting>
  <conditionalFormatting sqref="H5:H6">
    <cfRule type="expression" dxfId="87" priority="7">
      <formula>$G5="KRW"</formula>
    </cfRule>
  </conditionalFormatting>
  <conditionalFormatting sqref="H7">
    <cfRule type="expression" dxfId="86" priority="5">
      <formula>$O7="KRW"</formula>
    </cfRule>
    <cfRule type="expression" dxfId="85" priority="8">
      <formula>$G7="USD"</formula>
    </cfRule>
  </conditionalFormatting>
  <conditionalFormatting sqref="I5:I6">
    <cfRule type="expression" dxfId="84" priority="4">
      <formula>$O5="KRW"</formula>
    </cfRule>
  </conditionalFormatting>
  <conditionalFormatting sqref="K4:K6">
    <cfRule type="expression" dxfId="83" priority="3">
      <formula>$G4="USD"</formula>
    </cfRule>
  </conditionalFormatting>
  <conditionalFormatting sqref="K5:K6">
    <cfRule type="expression" dxfId="82" priority="2">
      <formula>$Q5="KRW"</formula>
    </cfRule>
  </conditionalFormatting>
  <conditionalFormatting sqref="L1 L3:L4">
    <cfRule type="cellIs" dxfId="81" priority="10" operator="lessThanOrEqual">
      <formula>$R$2</formula>
    </cfRule>
  </conditionalFormatting>
  <conditionalFormatting sqref="L5">
    <cfRule type="cellIs" dxfId="80" priority="1" operator="lessThan">
      <formula>$R$2</formula>
    </cfRule>
  </conditionalFormatting>
  <printOptions horizontalCentered="1"/>
  <pageMargins left="0.39370078740157483" right="0.27559055118110237" top="0.55118110236220474" bottom="0.47244094488188981" header="0.43307086614173229" footer="0.27559055118110237"/>
  <pageSetup paperSize="9" scale="44" fitToHeight="0" orientation="portrait" r:id="rId1"/>
  <headerFooter alignWithMargins="0">
    <oddFooter>&amp;L양식-영업-18(0)&amp;C(주)키츠코리아&amp;RA4(210X297)mm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29E-36F1-4C0A-BF19-87720042D050}">
  <sheetPr>
    <tabColor rgb="FF00B050"/>
    <pageSetUpPr fitToPage="1"/>
  </sheetPr>
  <dimension ref="A1:AR58"/>
  <sheetViews>
    <sheetView view="pageBreakPreview" zoomScale="70" zoomScaleNormal="100" zoomScaleSheetLayoutView="70" workbookViewId="0">
      <pane xSplit="4" ySplit="4" topLeftCell="E20" activePane="bottomRight" state="frozen"/>
      <selection activeCell="G164" sqref="G164"/>
      <selection pane="topRight" activeCell="G164" sqref="G164"/>
      <selection pane="bottomLeft" activeCell="G164" sqref="G164"/>
      <selection pane="bottomRight" activeCell="O16" sqref="O16"/>
    </sheetView>
  </sheetViews>
  <sheetFormatPr defaultColWidth="10" defaultRowHeight="13.5" outlineLevelCol="1"/>
  <cols>
    <col min="1" max="1" width="8.25" style="4" customWidth="1"/>
    <col min="2" max="2" width="12.5" style="4" bestFit="1" customWidth="1"/>
    <col min="3" max="3" width="6.25" style="4" customWidth="1"/>
    <col min="4" max="4" width="17" style="3" customWidth="1"/>
    <col min="5" max="5" width="24.875" style="11" customWidth="1"/>
    <col min="6" max="6" width="19.625" style="4" customWidth="1"/>
    <col min="7" max="7" width="5.125" style="4" bestFit="1" customWidth="1"/>
    <col min="8" max="8" width="16.25" style="14" customWidth="1"/>
    <col min="9" max="9" width="17.875" style="3" customWidth="1"/>
    <col min="10" max="10" width="6.75" style="22" customWidth="1"/>
    <col min="11" max="11" width="14.5" style="35" customWidth="1"/>
    <col min="12" max="13" width="12.625" style="6" customWidth="1"/>
    <col min="14" max="14" width="7.75" style="7" customWidth="1"/>
    <col min="15" max="15" width="5.375" style="8" customWidth="1"/>
    <col min="16" max="16" width="5.375" style="8" hidden="1" customWidth="1"/>
    <col min="17" max="17" width="12.375" style="4" customWidth="1"/>
    <col min="18" max="18" width="17.625" style="3" customWidth="1" outlineLevel="1"/>
    <col min="19" max="19" width="11.75" style="4" customWidth="1" outlineLevel="1"/>
    <col min="20" max="20" width="9.625" style="39" customWidth="1" outlineLevel="1"/>
    <col min="21" max="21" width="8.25" style="1" customWidth="1" outlineLevel="1"/>
    <col min="22" max="22" width="8.25" style="38" customWidth="1" outlineLevel="1"/>
    <col min="23" max="23" width="8.125" style="39" customWidth="1" outlineLevel="1"/>
    <col min="24" max="44" width="10" style="1"/>
    <col min="45" max="16384" width="10" style="1" outlineLevel="1"/>
  </cols>
  <sheetData>
    <row r="1" spans="1:23" ht="41.25">
      <c r="A1" s="192" t="s">
        <v>495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65"/>
      <c r="S1" s="69"/>
      <c r="T1" s="37"/>
      <c r="W1" s="37"/>
    </row>
    <row r="2" spans="1:23" ht="17.25" customHeight="1">
      <c r="A2" s="191" t="s">
        <v>45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2">
        <v>45838</v>
      </c>
      <c r="S2" s="3"/>
      <c r="W2" s="40"/>
    </row>
    <row r="3" spans="1:23" ht="18" customHeight="1">
      <c r="E3" s="5"/>
      <c r="F3" s="3"/>
      <c r="G3" s="3"/>
      <c r="J3" s="15"/>
      <c r="K3" s="32"/>
      <c r="L3" s="12" t="s">
        <v>10</v>
      </c>
      <c r="M3" s="13" t="s">
        <v>11</v>
      </c>
      <c r="R3" s="9">
        <v>1000</v>
      </c>
      <c r="S3" s="41" t="s">
        <v>33</v>
      </c>
      <c r="T3" s="42"/>
      <c r="W3" s="43"/>
    </row>
    <row r="4" spans="1:23" ht="54.75" customHeight="1">
      <c r="A4" s="53" t="s">
        <v>13</v>
      </c>
      <c r="B4" s="53" t="s">
        <v>14</v>
      </c>
      <c r="C4" s="54" t="s">
        <v>27</v>
      </c>
      <c r="D4" s="53" t="s">
        <v>0</v>
      </c>
      <c r="E4" s="55" t="s">
        <v>1</v>
      </c>
      <c r="F4" s="53" t="s">
        <v>2</v>
      </c>
      <c r="G4" s="53" t="s">
        <v>15</v>
      </c>
      <c r="H4" s="54" t="s">
        <v>3</v>
      </c>
      <c r="I4" s="64" t="s">
        <v>3</v>
      </c>
      <c r="J4" s="56" t="s">
        <v>31</v>
      </c>
      <c r="K4" s="57" t="s">
        <v>32</v>
      </c>
      <c r="L4" s="58" t="s">
        <v>16</v>
      </c>
      <c r="M4" s="58" t="s">
        <v>17</v>
      </c>
      <c r="N4" s="59" t="s">
        <v>4</v>
      </c>
      <c r="O4" s="59" t="s">
        <v>5</v>
      </c>
      <c r="P4" s="59"/>
      <c r="Q4" s="53" t="s">
        <v>6</v>
      </c>
      <c r="R4" s="16" t="s">
        <v>7</v>
      </c>
      <c r="S4" s="16" t="s">
        <v>6</v>
      </c>
      <c r="T4" s="44" t="s">
        <v>34</v>
      </c>
      <c r="U4" s="16" t="s">
        <v>35</v>
      </c>
      <c r="V4" s="45" t="s">
        <v>36</v>
      </c>
      <c r="W4" s="44" t="s">
        <v>83</v>
      </c>
    </row>
    <row r="5" spans="1:23" s="84" customFormat="1" ht="24.75" customHeight="1">
      <c r="A5" s="26" t="s">
        <v>21</v>
      </c>
      <c r="B5" s="107" t="s">
        <v>92</v>
      </c>
      <c r="C5" s="108" t="s">
        <v>101</v>
      </c>
      <c r="D5" s="17" t="s">
        <v>73</v>
      </c>
      <c r="E5" s="118" t="s">
        <v>67</v>
      </c>
      <c r="F5" s="109" t="s">
        <v>74</v>
      </c>
      <c r="G5" s="21" t="s">
        <v>23</v>
      </c>
      <c r="H5" s="119">
        <v>1190826000</v>
      </c>
      <c r="I5" s="125">
        <v>1190826000</v>
      </c>
      <c r="J5" s="111">
        <v>0.2</v>
      </c>
      <c r="K5" s="33">
        <v>238165200</v>
      </c>
      <c r="L5" s="18">
        <v>45726</v>
      </c>
      <c r="M5" s="97">
        <v>45736</v>
      </c>
      <c r="N5" s="115" t="s">
        <v>344</v>
      </c>
      <c r="O5" s="31">
        <v>11</v>
      </c>
      <c r="P5" s="19" t="s">
        <v>44</v>
      </c>
      <c r="Q5" s="19"/>
      <c r="R5" s="25"/>
      <c r="S5" s="46"/>
      <c r="T5" s="21"/>
      <c r="U5" s="10" t="s">
        <v>21</v>
      </c>
      <c r="V5" s="47" t="s">
        <v>21</v>
      </c>
      <c r="W5" s="46" t="s">
        <v>40</v>
      </c>
    </row>
    <row r="6" spans="1:23" s="84" customFormat="1" ht="23.25" customHeight="1">
      <c r="A6" s="26" t="s">
        <v>21</v>
      </c>
      <c r="B6" s="107" t="s">
        <v>92</v>
      </c>
      <c r="C6" s="108" t="s">
        <v>101</v>
      </c>
      <c r="D6" s="17" t="s">
        <v>73</v>
      </c>
      <c r="E6" s="24" t="s">
        <v>67</v>
      </c>
      <c r="F6" s="109" t="s">
        <v>74</v>
      </c>
      <c r="G6" s="21" t="s">
        <v>23</v>
      </c>
      <c r="H6" s="119">
        <v>633494000</v>
      </c>
      <c r="I6" s="125">
        <v>633494000</v>
      </c>
      <c r="J6" s="133">
        <v>0.2</v>
      </c>
      <c r="K6" s="33">
        <v>126698800</v>
      </c>
      <c r="L6" s="18">
        <v>45726</v>
      </c>
      <c r="M6" s="114">
        <v>45736</v>
      </c>
      <c r="N6" s="115" t="s">
        <v>344</v>
      </c>
      <c r="O6" s="31">
        <v>6</v>
      </c>
      <c r="P6" s="105" t="s">
        <v>44</v>
      </c>
      <c r="Q6" s="19"/>
      <c r="R6" s="20"/>
      <c r="S6" s="46"/>
      <c r="T6" s="21"/>
      <c r="U6" s="10" t="s">
        <v>21</v>
      </c>
      <c r="V6" s="47" t="s">
        <v>21</v>
      </c>
      <c r="W6" s="46" t="s">
        <v>40</v>
      </c>
    </row>
    <row r="7" spans="1:23" s="84" customFormat="1" ht="23.25" customHeight="1">
      <c r="A7" s="26" t="s">
        <v>21</v>
      </c>
      <c r="B7" s="107" t="s">
        <v>92</v>
      </c>
      <c r="C7" s="108" t="s">
        <v>101</v>
      </c>
      <c r="D7" s="17" t="s">
        <v>73</v>
      </c>
      <c r="E7" s="24" t="s">
        <v>67</v>
      </c>
      <c r="F7" s="109" t="s">
        <v>74</v>
      </c>
      <c r="G7" s="109" t="s">
        <v>23</v>
      </c>
      <c r="H7" s="119">
        <v>1312292000</v>
      </c>
      <c r="I7" s="125">
        <v>1312292000</v>
      </c>
      <c r="J7" s="133">
        <v>0.2</v>
      </c>
      <c r="K7" s="33">
        <v>262458400</v>
      </c>
      <c r="L7" s="18">
        <v>45726</v>
      </c>
      <c r="M7" s="18">
        <v>45736</v>
      </c>
      <c r="N7" s="115" t="s">
        <v>344</v>
      </c>
      <c r="O7" s="115">
        <v>22</v>
      </c>
      <c r="P7" s="19" t="s">
        <v>44</v>
      </c>
      <c r="Q7" s="19"/>
      <c r="R7" s="20"/>
      <c r="S7" s="46"/>
      <c r="T7" s="21"/>
      <c r="U7" s="10" t="s">
        <v>21</v>
      </c>
      <c r="V7" s="47" t="s">
        <v>21</v>
      </c>
      <c r="W7" s="46" t="s">
        <v>39</v>
      </c>
    </row>
    <row r="8" spans="1:23" s="84" customFormat="1" ht="24.75" customHeight="1">
      <c r="A8" s="26" t="s">
        <v>21</v>
      </c>
      <c r="B8" s="107" t="s">
        <v>92</v>
      </c>
      <c r="C8" s="108" t="s">
        <v>101</v>
      </c>
      <c r="D8" s="17" t="s">
        <v>73</v>
      </c>
      <c r="E8" s="24" t="s">
        <v>67</v>
      </c>
      <c r="F8" s="109" t="s">
        <v>74</v>
      </c>
      <c r="G8" s="21" t="s">
        <v>23</v>
      </c>
      <c r="H8" s="126">
        <v>454240000</v>
      </c>
      <c r="I8" s="187">
        <v>454240000</v>
      </c>
      <c r="J8" s="133">
        <v>0.2</v>
      </c>
      <c r="K8" s="33">
        <v>90848000</v>
      </c>
      <c r="L8" s="18">
        <v>45726</v>
      </c>
      <c r="M8" s="114">
        <v>45736</v>
      </c>
      <c r="N8" s="115" t="s">
        <v>344</v>
      </c>
      <c r="O8" s="115">
        <v>1</v>
      </c>
      <c r="P8" s="113" t="s">
        <v>44</v>
      </c>
      <c r="Q8" s="19"/>
      <c r="R8" s="20"/>
      <c r="S8" s="46"/>
      <c r="T8" s="21"/>
      <c r="U8" s="10" t="s">
        <v>21</v>
      </c>
      <c r="V8" s="47" t="s">
        <v>21</v>
      </c>
      <c r="W8" s="46" t="s">
        <v>39</v>
      </c>
    </row>
    <row r="9" spans="1:23" s="84" customFormat="1" ht="24.75" customHeight="1">
      <c r="A9" s="26" t="s">
        <v>21</v>
      </c>
      <c r="B9" s="107" t="s">
        <v>65</v>
      </c>
      <c r="C9" s="108" t="s">
        <v>51</v>
      </c>
      <c r="D9" s="17" t="s">
        <v>66</v>
      </c>
      <c r="E9" s="24" t="s">
        <v>67</v>
      </c>
      <c r="F9" s="135" t="s">
        <v>68</v>
      </c>
      <c r="G9" s="21" t="s">
        <v>23</v>
      </c>
      <c r="H9" s="136">
        <v>117964000</v>
      </c>
      <c r="I9" s="125">
        <v>117964000</v>
      </c>
      <c r="J9" s="111">
        <v>0.3</v>
      </c>
      <c r="K9" s="33">
        <v>35389200</v>
      </c>
      <c r="L9" s="18">
        <v>45768</v>
      </c>
      <c r="M9" s="114">
        <v>45777</v>
      </c>
      <c r="N9" s="115" t="s">
        <v>344</v>
      </c>
      <c r="O9" s="31">
        <v>5</v>
      </c>
      <c r="P9" s="19"/>
      <c r="Q9" s="19"/>
      <c r="R9" s="20"/>
      <c r="S9" s="46"/>
      <c r="T9" s="21"/>
      <c r="U9" s="10" t="s">
        <v>21</v>
      </c>
      <c r="V9" s="47" t="s">
        <v>21</v>
      </c>
      <c r="W9" s="46" t="s">
        <v>40</v>
      </c>
    </row>
    <row r="10" spans="1:23" s="84" customFormat="1" ht="24.75" customHeight="1">
      <c r="A10" s="26" t="s">
        <v>21</v>
      </c>
      <c r="B10" s="107" t="s">
        <v>272</v>
      </c>
      <c r="C10" s="108" t="s">
        <v>28</v>
      </c>
      <c r="D10" s="17" t="s">
        <v>8</v>
      </c>
      <c r="E10" s="24" t="s">
        <v>273</v>
      </c>
      <c r="F10" s="109" t="s">
        <v>274</v>
      </c>
      <c r="G10" s="21" t="s">
        <v>23</v>
      </c>
      <c r="H10" s="119">
        <v>4280000</v>
      </c>
      <c r="I10" s="188">
        <v>4280000</v>
      </c>
      <c r="J10" s="133">
        <v>0.6</v>
      </c>
      <c r="K10" s="33">
        <v>2568000</v>
      </c>
      <c r="L10" s="18">
        <v>45803</v>
      </c>
      <c r="M10" s="114">
        <v>45810</v>
      </c>
      <c r="N10" s="115" t="s">
        <v>344</v>
      </c>
      <c r="O10" s="31">
        <v>18</v>
      </c>
      <c r="P10" s="105"/>
      <c r="Q10" s="19"/>
      <c r="R10" s="20"/>
      <c r="S10" s="46"/>
      <c r="T10" s="21"/>
      <c r="U10" s="10" t="s">
        <v>21</v>
      </c>
      <c r="V10" s="47" t="s">
        <v>21</v>
      </c>
      <c r="W10" s="46" t="s">
        <v>180</v>
      </c>
    </row>
    <row r="11" spans="1:23" s="84" customFormat="1" ht="23.25" customHeight="1">
      <c r="A11" s="26" t="s">
        <v>21</v>
      </c>
      <c r="B11" s="107" t="s">
        <v>142</v>
      </c>
      <c r="C11" s="108" t="s">
        <v>29</v>
      </c>
      <c r="D11" s="17" t="s">
        <v>8</v>
      </c>
      <c r="E11" s="24" t="s">
        <v>143</v>
      </c>
      <c r="F11" s="108" t="s">
        <v>144</v>
      </c>
      <c r="G11" s="21" t="s">
        <v>23</v>
      </c>
      <c r="H11" s="119">
        <v>26350000</v>
      </c>
      <c r="I11" s="125">
        <v>26350000</v>
      </c>
      <c r="J11" s="111">
        <v>0.55000000000000004</v>
      </c>
      <c r="K11" s="33">
        <v>14492500.000000002</v>
      </c>
      <c r="L11" s="18">
        <v>45813</v>
      </c>
      <c r="M11" s="114">
        <v>45814</v>
      </c>
      <c r="N11" s="115" t="s">
        <v>344</v>
      </c>
      <c r="O11" s="31">
        <v>5</v>
      </c>
      <c r="P11" s="105"/>
      <c r="Q11" s="19"/>
      <c r="R11" s="20"/>
      <c r="S11" s="46"/>
      <c r="T11" s="21"/>
      <c r="U11" s="10" t="s">
        <v>21</v>
      </c>
      <c r="V11" s="47" t="s">
        <v>21</v>
      </c>
      <c r="W11" s="46" t="s">
        <v>39</v>
      </c>
    </row>
    <row r="12" spans="1:23" s="84" customFormat="1" ht="23.25" customHeight="1">
      <c r="A12" s="26" t="s">
        <v>21</v>
      </c>
      <c r="B12" s="107" t="s">
        <v>163</v>
      </c>
      <c r="C12" s="108" t="s">
        <v>29</v>
      </c>
      <c r="D12" s="17" t="s">
        <v>62</v>
      </c>
      <c r="E12" s="24" t="s">
        <v>164</v>
      </c>
      <c r="F12" s="109" t="s">
        <v>165</v>
      </c>
      <c r="G12" s="109" t="s">
        <v>23</v>
      </c>
      <c r="H12" s="119">
        <v>8220000</v>
      </c>
      <c r="I12" s="125">
        <v>8220000</v>
      </c>
      <c r="J12" s="133">
        <v>0.6</v>
      </c>
      <c r="K12" s="33">
        <v>4932000</v>
      </c>
      <c r="L12" s="18">
        <v>45813</v>
      </c>
      <c r="M12" s="114">
        <v>45814</v>
      </c>
      <c r="N12" s="115" t="s">
        <v>344</v>
      </c>
      <c r="O12" s="31">
        <v>2</v>
      </c>
      <c r="P12" s="105"/>
      <c r="Q12" s="19"/>
      <c r="R12" s="20"/>
      <c r="S12" s="46"/>
      <c r="T12" s="21"/>
      <c r="U12" s="10" t="s">
        <v>21</v>
      </c>
      <c r="V12" s="47" t="s">
        <v>21</v>
      </c>
      <c r="W12" s="46" t="s">
        <v>39</v>
      </c>
    </row>
    <row r="13" spans="1:23" s="84" customFormat="1" ht="23.25" customHeight="1">
      <c r="A13" s="26" t="s">
        <v>21</v>
      </c>
      <c r="B13" s="107" t="s">
        <v>275</v>
      </c>
      <c r="C13" s="108" t="s">
        <v>51</v>
      </c>
      <c r="D13" s="17" t="s">
        <v>43</v>
      </c>
      <c r="E13" s="24" t="s">
        <v>276</v>
      </c>
      <c r="F13" s="109" t="s">
        <v>277</v>
      </c>
      <c r="G13" s="109" t="s">
        <v>23</v>
      </c>
      <c r="H13" s="119">
        <v>49808000</v>
      </c>
      <c r="I13" s="125">
        <v>49808000</v>
      </c>
      <c r="J13" s="133">
        <v>0</v>
      </c>
      <c r="K13" s="33">
        <v>0</v>
      </c>
      <c r="L13" s="18">
        <v>45821</v>
      </c>
      <c r="M13" s="114">
        <v>45824</v>
      </c>
      <c r="N13" s="115" t="s">
        <v>344</v>
      </c>
      <c r="O13" s="31">
        <v>185</v>
      </c>
      <c r="P13" s="105"/>
      <c r="Q13" s="19"/>
      <c r="R13" s="20"/>
      <c r="S13" s="46"/>
      <c r="T13" s="21"/>
      <c r="U13" s="10" t="s">
        <v>21</v>
      </c>
      <c r="V13" s="47" t="s">
        <v>21</v>
      </c>
      <c r="W13" s="46" t="s">
        <v>180</v>
      </c>
    </row>
    <row r="14" spans="1:23" s="84" customFormat="1" ht="23.25" customHeight="1">
      <c r="A14" s="26" t="s">
        <v>21</v>
      </c>
      <c r="B14" s="107" t="s">
        <v>77</v>
      </c>
      <c r="C14" s="108" t="s">
        <v>491</v>
      </c>
      <c r="D14" s="17" t="s">
        <v>82</v>
      </c>
      <c r="E14" s="24" t="s">
        <v>78</v>
      </c>
      <c r="F14" s="109" t="s">
        <v>79</v>
      </c>
      <c r="G14" s="109" t="s">
        <v>23</v>
      </c>
      <c r="H14" s="119">
        <v>230026000</v>
      </c>
      <c r="I14" s="125">
        <v>230026000</v>
      </c>
      <c r="J14" s="133">
        <v>0.2</v>
      </c>
      <c r="K14" s="33">
        <v>46005200</v>
      </c>
      <c r="L14" s="18">
        <v>45821</v>
      </c>
      <c r="M14" s="114">
        <v>45828</v>
      </c>
      <c r="N14" s="115" t="s">
        <v>344</v>
      </c>
      <c r="O14" s="31">
        <v>7</v>
      </c>
      <c r="P14" s="105" t="s">
        <v>44</v>
      </c>
      <c r="Q14" s="19"/>
      <c r="R14" s="20"/>
      <c r="S14" s="46"/>
      <c r="T14" s="21"/>
      <c r="U14" s="10" t="s">
        <v>21</v>
      </c>
      <c r="V14" s="47" t="s">
        <v>21</v>
      </c>
      <c r="W14" s="46" t="s">
        <v>40</v>
      </c>
    </row>
    <row r="15" spans="1:23" s="84" customFormat="1" ht="23.25" customHeight="1">
      <c r="A15" s="26" t="s">
        <v>21</v>
      </c>
      <c r="B15" s="107" t="s">
        <v>145</v>
      </c>
      <c r="C15" s="108" t="s">
        <v>29</v>
      </c>
      <c r="D15" s="17" t="s">
        <v>117</v>
      </c>
      <c r="E15" s="24" t="s">
        <v>146</v>
      </c>
      <c r="F15" s="108" t="s">
        <v>147</v>
      </c>
      <c r="G15" s="109" t="s">
        <v>23</v>
      </c>
      <c r="H15" s="119">
        <v>18945000</v>
      </c>
      <c r="I15" s="125">
        <v>18945000</v>
      </c>
      <c r="J15" s="111">
        <v>0.4</v>
      </c>
      <c r="K15" s="33">
        <v>7578000</v>
      </c>
      <c r="L15" s="18">
        <v>45823</v>
      </c>
      <c r="M15" s="137">
        <v>45828</v>
      </c>
      <c r="N15" s="115" t="s">
        <v>344</v>
      </c>
      <c r="O15" s="115">
        <v>3</v>
      </c>
      <c r="P15" s="19"/>
      <c r="Q15" s="19"/>
      <c r="R15" s="20"/>
      <c r="S15" s="46"/>
      <c r="T15" s="21"/>
      <c r="U15" s="10" t="s">
        <v>21</v>
      </c>
      <c r="V15" s="47" t="s">
        <v>21</v>
      </c>
      <c r="W15" s="46" t="s">
        <v>39</v>
      </c>
    </row>
    <row r="16" spans="1:23" s="84" customFormat="1" ht="24.75" customHeight="1">
      <c r="A16" s="26" t="s">
        <v>21</v>
      </c>
      <c r="B16" s="107" t="s">
        <v>285</v>
      </c>
      <c r="C16" s="108" t="s">
        <v>30</v>
      </c>
      <c r="D16" s="17" t="s">
        <v>286</v>
      </c>
      <c r="E16" s="24" t="s">
        <v>287</v>
      </c>
      <c r="F16" s="109" t="s">
        <v>539</v>
      </c>
      <c r="G16" s="21" t="s">
        <v>23</v>
      </c>
      <c r="H16" s="136">
        <v>1240000</v>
      </c>
      <c r="I16" s="125">
        <v>1240000</v>
      </c>
      <c r="J16" s="133">
        <v>0.1</v>
      </c>
      <c r="K16" s="33">
        <v>124000</v>
      </c>
      <c r="L16" s="18">
        <v>45841</v>
      </c>
      <c r="M16" s="114">
        <v>45842</v>
      </c>
      <c r="N16" s="115" t="s">
        <v>344</v>
      </c>
      <c r="O16" s="31">
        <v>19</v>
      </c>
      <c r="P16" s="105"/>
      <c r="Q16" s="19"/>
      <c r="R16" s="20"/>
      <c r="S16" s="46"/>
      <c r="T16" s="21"/>
      <c r="U16" s="10" t="s">
        <v>21</v>
      </c>
      <c r="V16" s="47" t="s">
        <v>21</v>
      </c>
      <c r="W16" s="46" t="s">
        <v>39</v>
      </c>
    </row>
    <row r="17" spans="1:23" s="84" customFormat="1" ht="23.25" customHeight="1">
      <c r="A17" s="26" t="s">
        <v>21</v>
      </c>
      <c r="B17" s="107" t="s">
        <v>413</v>
      </c>
      <c r="C17" s="108" t="s">
        <v>28</v>
      </c>
      <c r="D17" s="17" t="s">
        <v>414</v>
      </c>
      <c r="E17" s="24" t="s">
        <v>415</v>
      </c>
      <c r="F17" s="108" t="s">
        <v>416</v>
      </c>
      <c r="G17" s="21" t="s">
        <v>23</v>
      </c>
      <c r="H17" s="119">
        <v>3575600</v>
      </c>
      <c r="I17" s="125">
        <v>3575600</v>
      </c>
      <c r="J17" s="111">
        <v>0.5</v>
      </c>
      <c r="K17" s="33">
        <v>1787800</v>
      </c>
      <c r="L17" s="18">
        <v>45828</v>
      </c>
      <c r="M17" s="137">
        <v>45831</v>
      </c>
      <c r="N17" s="115" t="s">
        <v>344</v>
      </c>
      <c r="O17" s="31">
        <v>23</v>
      </c>
      <c r="P17" s="105"/>
      <c r="Q17" s="19"/>
      <c r="R17" s="20"/>
      <c r="S17" s="46"/>
      <c r="T17" s="21"/>
      <c r="U17" s="10" t="s">
        <v>21</v>
      </c>
      <c r="V17" s="47" t="s">
        <v>21</v>
      </c>
      <c r="W17" s="46" t="s">
        <v>38</v>
      </c>
    </row>
    <row r="18" spans="1:23" s="84" customFormat="1" ht="24" customHeight="1">
      <c r="A18" s="26" t="s">
        <v>21</v>
      </c>
      <c r="B18" s="107" t="s">
        <v>207</v>
      </c>
      <c r="C18" s="108" t="s">
        <v>29</v>
      </c>
      <c r="D18" s="121" t="s">
        <v>62</v>
      </c>
      <c r="E18" s="138" t="s">
        <v>208</v>
      </c>
      <c r="F18" s="108" t="s">
        <v>209</v>
      </c>
      <c r="G18" s="21" t="s">
        <v>23</v>
      </c>
      <c r="H18" s="119">
        <v>6000000</v>
      </c>
      <c r="I18" s="125">
        <v>6000000</v>
      </c>
      <c r="J18" s="111">
        <v>0.5</v>
      </c>
      <c r="K18" s="33">
        <v>3000000</v>
      </c>
      <c r="L18" s="18">
        <v>45825</v>
      </c>
      <c r="M18" s="18">
        <v>45832</v>
      </c>
      <c r="N18" s="115" t="s">
        <v>344</v>
      </c>
      <c r="O18" s="31">
        <v>2</v>
      </c>
      <c r="P18" s="105"/>
      <c r="Q18" s="19"/>
      <c r="R18" s="20"/>
      <c r="S18" s="46"/>
      <c r="T18" s="21"/>
      <c r="U18" s="10" t="s">
        <v>21</v>
      </c>
      <c r="V18" s="47" t="s">
        <v>21</v>
      </c>
      <c r="W18" s="46" t="s">
        <v>39</v>
      </c>
    </row>
    <row r="19" spans="1:23" s="84" customFormat="1" ht="24" customHeight="1">
      <c r="A19" s="26" t="s">
        <v>21</v>
      </c>
      <c r="B19" s="107" t="s">
        <v>169</v>
      </c>
      <c r="C19" s="108" t="s">
        <v>28</v>
      </c>
      <c r="D19" s="17" t="s">
        <v>62</v>
      </c>
      <c r="E19" s="127" t="s">
        <v>170</v>
      </c>
      <c r="F19" s="109" t="s">
        <v>171</v>
      </c>
      <c r="G19" s="109" t="s">
        <v>23</v>
      </c>
      <c r="H19" s="119">
        <v>20000000</v>
      </c>
      <c r="I19" s="125">
        <v>20000000</v>
      </c>
      <c r="J19" s="111">
        <v>0.5</v>
      </c>
      <c r="K19" s="33">
        <v>10000000</v>
      </c>
      <c r="L19" s="18">
        <v>45828</v>
      </c>
      <c r="M19" s="18">
        <v>45835</v>
      </c>
      <c r="N19" s="115" t="s">
        <v>344</v>
      </c>
      <c r="O19" s="31">
        <v>2</v>
      </c>
      <c r="P19" s="105"/>
      <c r="Q19" s="19"/>
      <c r="R19" s="27"/>
      <c r="S19" s="46"/>
      <c r="T19" s="21"/>
      <c r="U19" s="10" t="s">
        <v>21</v>
      </c>
      <c r="V19" s="47" t="s">
        <v>21</v>
      </c>
      <c r="W19" s="46" t="s">
        <v>39</v>
      </c>
    </row>
    <row r="20" spans="1:23" s="84" customFormat="1" ht="23.25" customHeight="1">
      <c r="A20" s="26" t="s">
        <v>21</v>
      </c>
      <c r="B20" s="107" t="s">
        <v>57</v>
      </c>
      <c r="C20" s="108" t="s">
        <v>28</v>
      </c>
      <c r="D20" s="17" t="s">
        <v>55</v>
      </c>
      <c r="E20" s="118" t="s">
        <v>56</v>
      </c>
      <c r="F20" s="109" t="s">
        <v>58</v>
      </c>
      <c r="G20" s="21" t="s">
        <v>23</v>
      </c>
      <c r="H20" s="119">
        <v>10000000</v>
      </c>
      <c r="I20" s="125">
        <v>10000000</v>
      </c>
      <c r="J20" s="111">
        <v>0.48</v>
      </c>
      <c r="K20" s="33">
        <v>4800000</v>
      </c>
      <c r="L20" s="18">
        <v>45828</v>
      </c>
      <c r="M20" s="114">
        <v>45838</v>
      </c>
      <c r="N20" s="115" t="s">
        <v>344</v>
      </c>
      <c r="O20" s="31">
        <v>1</v>
      </c>
      <c r="P20" s="105"/>
      <c r="Q20" s="19"/>
      <c r="R20" s="27"/>
      <c r="S20" s="46"/>
      <c r="T20" s="21"/>
      <c r="U20" s="10" t="s">
        <v>21</v>
      </c>
      <c r="V20" s="47" t="s">
        <v>21</v>
      </c>
      <c r="W20" s="46" t="s">
        <v>40</v>
      </c>
    </row>
    <row r="21" spans="1:23" s="84" customFormat="1" ht="24.75" customHeight="1">
      <c r="A21" s="26" t="s">
        <v>21</v>
      </c>
      <c r="B21" s="132" t="s">
        <v>283</v>
      </c>
      <c r="C21" s="132" t="s">
        <v>28</v>
      </c>
      <c r="D21" s="132" t="s">
        <v>43</v>
      </c>
      <c r="E21" s="132" t="s">
        <v>276</v>
      </c>
      <c r="F21" s="132" t="s">
        <v>284</v>
      </c>
      <c r="G21" s="163" t="s">
        <v>23</v>
      </c>
      <c r="H21" s="139">
        <v>7992000</v>
      </c>
      <c r="I21" s="125">
        <v>7992000</v>
      </c>
      <c r="J21" s="133">
        <v>0</v>
      </c>
      <c r="K21" s="33">
        <v>0</v>
      </c>
      <c r="L21" s="18">
        <v>45836</v>
      </c>
      <c r="M21" s="114">
        <v>45838</v>
      </c>
      <c r="N21" s="115" t="s">
        <v>344</v>
      </c>
      <c r="O21" s="115">
        <v>4</v>
      </c>
      <c r="P21" s="113" t="s">
        <v>44</v>
      </c>
      <c r="Q21" s="19"/>
      <c r="R21" s="20"/>
      <c r="S21" s="46"/>
      <c r="T21" s="21"/>
      <c r="U21" s="10" t="s">
        <v>21</v>
      </c>
      <c r="V21" s="47" t="s">
        <v>21</v>
      </c>
      <c r="W21" s="46" t="s">
        <v>84</v>
      </c>
    </row>
    <row r="22" spans="1:23" s="84" customFormat="1" ht="23.25" customHeight="1">
      <c r="A22" s="26" t="s">
        <v>21</v>
      </c>
      <c r="B22" s="107" t="s">
        <v>166</v>
      </c>
      <c r="C22" s="108" t="s">
        <v>29</v>
      </c>
      <c r="D22" s="17" t="s">
        <v>62</v>
      </c>
      <c r="E22" s="24" t="s">
        <v>167</v>
      </c>
      <c r="F22" s="108" t="s">
        <v>168</v>
      </c>
      <c r="G22" s="109" t="s">
        <v>23</v>
      </c>
      <c r="H22" s="119">
        <v>107060000</v>
      </c>
      <c r="I22" s="125">
        <v>107060000</v>
      </c>
      <c r="J22" s="111">
        <v>0.5</v>
      </c>
      <c r="K22" s="33">
        <v>53530000</v>
      </c>
      <c r="L22" s="18">
        <v>45831</v>
      </c>
      <c r="M22" s="137">
        <v>45841</v>
      </c>
      <c r="N22" s="115" t="s">
        <v>344</v>
      </c>
      <c r="O22" s="31">
        <v>6</v>
      </c>
      <c r="P22" s="105"/>
      <c r="Q22" s="19"/>
      <c r="R22" s="20"/>
      <c r="S22" s="46"/>
      <c r="T22" s="21"/>
      <c r="U22" s="10" t="s">
        <v>21</v>
      </c>
      <c r="V22" s="47" t="s">
        <v>21</v>
      </c>
      <c r="W22" s="46" t="s">
        <v>180</v>
      </c>
    </row>
    <row r="23" spans="1:23" s="84" customFormat="1" ht="24.75" customHeight="1">
      <c r="A23" s="26" t="s">
        <v>21</v>
      </c>
      <c r="B23" s="107" t="s">
        <v>214</v>
      </c>
      <c r="C23" s="108" t="s">
        <v>29</v>
      </c>
      <c r="D23" s="17" t="s">
        <v>62</v>
      </c>
      <c r="E23" s="24" t="s">
        <v>60</v>
      </c>
      <c r="F23" s="109" t="s">
        <v>215</v>
      </c>
      <c r="G23" s="21" t="s">
        <v>23</v>
      </c>
      <c r="H23" s="126">
        <v>14220000</v>
      </c>
      <c r="I23" s="125">
        <v>14220000</v>
      </c>
      <c r="J23" s="111">
        <v>0.6</v>
      </c>
      <c r="K23" s="33">
        <v>8532000</v>
      </c>
      <c r="L23" s="18">
        <v>45835</v>
      </c>
      <c r="M23" s="18">
        <v>45842</v>
      </c>
      <c r="N23" s="115" t="s">
        <v>344</v>
      </c>
      <c r="O23" s="31">
        <v>6</v>
      </c>
      <c r="P23" s="19"/>
      <c r="Q23" s="19"/>
      <c r="R23" s="20"/>
      <c r="S23" s="46"/>
      <c r="T23" s="21"/>
      <c r="U23" s="10" t="s">
        <v>21</v>
      </c>
      <c r="V23" s="47" t="s">
        <v>21</v>
      </c>
      <c r="W23" s="46" t="s">
        <v>40</v>
      </c>
    </row>
    <row r="24" spans="1:23" s="84" customFormat="1" ht="24" customHeight="1">
      <c r="A24" s="26" t="s">
        <v>21</v>
      </c>
      <c r="B24" s="107" t="s">
        <v>204</v>
      </c>
      <c r="C24" s="108" t="s">
        <v>28</v>
      </c>
      <c r="D24" s="17" t="s">
        <v>62</v>
      </c>
      <c r="E24" s="24" t="s">
        <v>205</v>
      </c>
      <c r="F24" s="109" t="s">
        <v>206</v>
      </c>
      <c r="G24" s="21" t="s">
        <v>23</v>
      </c>
      <c r="H24" s="119">
        <v>41700000</v>
      </c>
      <c r="I24" s="125">
        <v>41700000</v>
      </c>
      <c r="J24" s="111">
        <v>0.6</v>
      </c>
      <c r="K24" s="33">
        <v>25020000</v>
      </c>
      <c r="L24" s="18">
        <v>45841</v>
      </c>
      <c r="M24" s="97">
        <v>45848</v>
      </c>
      <c r="N24" s="115" t="s">
        <v>344</v>
      </c>
      <c r="O24" s="115">
        <v>2</v>
      </c>
      <c r="P24" s="19"/>
      <c r="Q24" s="19"/>
      <c r="R24" s="20"/>
      <c r="S24" s="46"/>
      <c r="T24" s="21"/>
      <c r="U24" s="10" t="s">
        <v>21</v>
      </c>
      <c r="V24" s="47" t="s">
        <v>21</v>
      </c>
      <c r="W24" s="46" t="s">
        <v>39</v>
      </c>
    </row>
    <row r="25" spans="1:23" s="84" customFormat="1" ht="24.75" customHeight="1">
      <c r="A25" s="26" t="s">
        <v>21</v>
      </c>
      <c r="B25" s="107" t="s">
        <v>417</v>
      </c>
      <c r="C25" s="108" t="s">
        <v>28</v>
      </c>
      <c r="D25" s="17" t="s">
        <v>8</v>
      </c>
      <c r="E25" s="24" t="s">
        <v>418</v>
      </c>
      <c r="F25" s="109" t="s">
        <v>419</v>
      </c>
      <c r="G25" s="21" t="s">
        <v>23</v>
      </c>
      <c r="H25" s="119">
        <v>8000000</v>
      </c>
      <c r="I25" s="125">
        <v>8000000</v>
      </c>
      <c r="J25" s="133">
        <v>0.6</v>
      </c>
      <c r="K25" s="33">
        <v>4800000</v>
      </c>
      <c r="L25" s="18">
        <v>45845</v>
      </c>
      <c r="M25" s="114">
        <v>45850</v>
      </c>
      <c r="N25" s="115" t="s">
        <v>344</v>
      </c>
      <c r="O25" s="31">
        <v>8</v>
      </c>
      <c r="P25" s="105"/>
      <c r="Q25" s="19"/>
      <c r="R25" s="20"/>
      <c r="S25" s="46"/>
      <c r="T25" s="21"/>
      <c r="U25" s="10" t="s">
        <v>21</v>
      </c>
      <c r="V25" s="47" t="s">
        <v>21</v>
      </c>
      <c r="W25" s="46" t="s">
        <v>39</v>
      </c>
    </row>
    <row r="26" spans="1:23" s="84" customFormat="1" ht="24" customHeight="1">
      <c r="A26" s="26" t="s">
        <v>21</v>
      </c>
      <c r="B26" s="107" t="s">
        <v>161</v>
      </c>
      <c r="C26" s="108" t="s">
        <v>41</v>
      </c>
      <c r="D26" s="17" t="s">
        <v>43</v>
      </c>
      <c r="E26" s="24" t="s">
        <v>162</v>
      </c>
      <c r="F26" s="109">
        <v>2025001560</v>
      </c>
      <c r="G26" s="21" t="s">
        <v>23</v>
      </c>
      <c r="H26" s="119">
        <v>64980000</v>
      </c>
      <c r="I26" s="125">
        <v>64980000</v>
      </c>
      <c r="J26" s="133">
        <v>0.22</v>
      </c>
      <c r="K26" s="33">
        <v>14295600</v>
      </c>
      <c r="L26" s="18">
        <v>45843</v>
      </c>
      <c r="M26" s="114">
        <v>45853</v>
      </c>
      <c r="N26" s="115" t="s">
        <v>344</v>
      </c>
      <c r="O26" s="31">
        <v>24</v>
      </c>
      <c r="P26" s="105"/>
      <c r="Q26" s="19"/>
      <c r="R26" s="20"/>
      <c r="S26" s="46"/>
      <c r="T26" s="21"/>
      <c r="U26" s="10" t="s">
        <v>21</v>
      </c>
      <c r="V26" s="47" t="s">
        <v>21</v>
      </c>
      <c r="W26" s="46" t="s">
        <v>39</v>
      </c>
    </row>
    <row r="27" spans="1:23" s="84" customFormat="1" ht="24.75" customHeight="1">
      <c r="A27" s="26" t="s">
        <v>21</v>
      </c>
      <c r="B27" s="107" t="s">
        <v>540</v>
      </c>
      <c r="C27" s="108" t="s">
        <v>28</v>
      </c>
      <c r="D27" s="17" t="s">
        <v>62</v>
      </c>
      <c r="E27" s="24" t="s">
        <v>60</v>
      </c>
      <c r="F27" s="109" t="s">
        <v>541</v>
      </c>
      <c r="G27" s="21" t="s">
        <v>23</v>
      </c>
      <c r="H27" s="119">
        <v>2340000</v>
      </c>
      <c r="I27" s="125">
        <v>2340000</v>
      </c>
      <c r="J27" s="133">
        <v>0.6</v>
      </c>
      <c r="K27" s="33">
        <v>1404000</v>
      </c>
      <c r="L27" s="18">
        <v>45850</v>
      </c>
      <c r="M27" s="114">
        <v>45855</v>
      </c>
      <c r="N27" s="115" t="s">
        <v>344</v>
      </c>
      <c r="O27" s="31">
        <v>8</v>
      </c>
      <c r="P27" s="105"/>
      <c r="Q27" s="19"/>
      <c r="R27" s="20"/>
      <c r="S27" s="46"/>
      <c r="T27" s="21"/>
      <c r="U27" s="10" t="s">
        <v>21</v>
      </c>
      <c r="V27" s="47" t="s">
        <v>21</v>
      </c>
      <c r="W27" s="46" t="s">
        <v>38</v>
      </c>
    </row>
    <row r="28" spans="1:23" s="84" customFormat="1" ht="24.75" customHeight="1">
      <c r="A28" s="26" t="s">
        <v>21</v>
      </c>
      <c r="B28" s="10" t="s">
        <v>554</v>
      </c>
      <c r="C28" s="52" t="s">
        <v>28</v>
      </c>
      <c r="D28" s="83" t="s">
        <v>43</v>
      </c>
      <c r="E28" s="180" t="s">
        <v>555</v>
      </c>
      <c r="F28" s="21" t="s">
        <v>556</v>
      </c>
      <c r="G28" s="21" t="s">
        <v>23</v>
      </c>
      <c r="H28" s="119">
        <v>3600000</v>
      </c>
      <c r="I28" s="125">
        <v>3600000</v>
      </c>
      <c r="J28" s="133">
        <v>0.4</v>
      </c>
      <c r="K28" s="33">
        <v>1440000</v>
      </c>
      <c r="L28" s="18">
        <v>45854</v>
      </c>
      <c r="M28" s="114">
        <v>45856</v>
      </c>
      <c r="N28" s="115" t="s">
        <v>344</v>
      </c>
      <c r="O28" s="31">
        <v>2</v>
      </c>
      <c r="P28" s="105"/>
      <c r="Q28" s="19"/>
      <c r="R28" s="20"/>
      <c r="S28" s="46"/>
      <c r="T28" s="21"/>
      <c r="U28" s="10" t="s">
        <v>21</v>
      </c>
      <c r="V28" s="47" t="s">
        <v>21</v>
      </c>
      <c r="W28" s="46" t="s">
        <v>38</v>
      </c>
    </row>
    <row r="29" spans="1:23" s="84" customFormat="1" ht="24.75" customHeight="1">
      <c r="A29" s="26" t="s">
        <v>21</v>
      </c>
      <c r="B29" s="107" t="s">
        <v>118</v>
      </c>
      <c r="C29" s="108" t="s">
        <v>28</v>
      </c>
      <c r="D29" s="17" t="s">
        <v>62</v>
      </c>
      <c r="E29" s="24" t="s">
        <v>119</v>
      </c>
      <c r="F29" s="108" t="s">
        <v>120</v>
      </c>
      <c r="G29" s="21" t="s">
        <v>23</v>
      </c>
      <c r="H29" s="119">
        <v>431200000</v>
      </c>
      <c r="I29" s="125">
        <v>431200000</v>
      </c>
      <c r="J29" s="111">
        <v>0.4</v>
      </c>
      <c r="K29" s="33">
        <v>172480000</v>
      </c>
      <c r="L29" s="18">
        <v>45853</v>
      </c>
      <c r="M29" s="114">
        <v>45858</v>
      </c>
      <c r="N29" s="115" t="s">
        <v>344</v>
      </c>
      <c r="O29" s="31">
        <v>1</v>
      </c>
      <c r="P29" s="19"/>
      <c r="Q29" s="19"/>
      <c r="R29" s="20"/>
      <c r="S29" s="46"/>
      <c r="T29" s="21"/>
      <c r="U29" s="10" t="s">
        <v>21</v>
      </c>
      <c r="V29" s="47" t="s">
        <v>21</v>
      </c>
      <c r="W29" s="46" t="s">
        <v>40</v>
      </c>
    </row>
    <row r="30" spans="1:23" s="84" customFormat="1" ht="23.25" customHeight="1">
      <c r="A30" s="26" t="s">
        <v>21</v>
      </c>
      <c r="B30" s="107" t="s">
        <v>172</v>
      </c>
      <c r="C30" s="108" t="s">
        <v>30</v>
      </c>
      <c r="D30" s="17" t="s">
        <v>173</v>
      </c>
      <c r="E30" s="24" t="s">
        <v>174</v>
      </c>
      <c r="F30" s="108" t="s">
        <v>175</v>
      </c>
      <c r="G30" s="109" t="s">
        <v>23</v>
      </c>
      <c r="H30" s="119">
        <v>37571000</v>
      </c>
      <c r="I30" s="125">
        <v>37571000</v>
      </c>
      <c r="J30" s="111">
        <v>0.3</v>
      </c>
      <c r="K30" s="33">
        <v>11271300</v>
      </c>
      <c r="L30" s="18">
        <v>45863</v>
      </c>
      <c r="M30" s="114">
        <v>45866</v>
      </c>
      <c r="N30" s="115" t="s">
        <v>344</v>
      </c>
      <c r="O30" s="31">
        <v>1</v>
      </c>
      <c r="P30" s="19"/>
      <c r="Q30" s="19"/>
      <c r="R30" s="20"/>
      <c r="S30" s="46"/>
      <c r="T30" s="21"/>
      <c r="U30" s="10" t="s">
        <v>21</v>
      </c>
      <c r="V30" s="47" t="s">
        <v>21</v>
      </c>
      <c r="W30" s="46" t="s">
        <v>39</v>
      </c>
    </row>
    <row r="31" spans="1:23" s="84" customFormat="1" ht="23.25" customHeight="1">
      <c r="A31" s="26" t="s">
        <v>21</v>
      </c>
      <c r="B31" s="107" t="s">
        <v>210</v>
      </c>
      <c r="C31" s="108" t="s">
        <v>28</v>
      </c>
      <c r="D31" s="17" t="s">
        <v>117</v>
      </c>
      <c r="E31" s="24" t="s">
        <v>211</v>
      </c>
      <c r="F31" s="109" t="s">
        <v>212</v>
      </c>
      <c r="G31" s="109" t="s">
        <v>23</v>
      </c>
      <c r="H31" s="126">
        <v>180000000</v>
      </c>
      <c r="I31" s="125">
        <v>180000000</v>
      </c>
      <c r="J31" s="111">
        <v>0.44</v>
      </c>
      <c r="K31" s="33">
        <v>79200000</v>
      </c>
      <c r="L31" s="18">
        <v>45865</v>
      </c>
      <c r="M31" s="18">
        <v>45873</v>
      </c>
      <c r="N31" s="115" t="s">
        <v>344</v>
      </c>
      <c r="O31" s="31">
        <v>3</v>
      </c>
      <c r="P31" s="19"/>
      <c r="Q31" s="19"/>
      <c r="R31" s="20"/>
      <c r="S31" s="46"/>
      <c r="T31" s="21"/>
      <c r="U31" s="10" t="s">
        <v>21</v>
      </c>
      <c r="V31" s="47" t="s">
        <v>21</v>
      </c>
      <c r="W31" s="46" t="s">
        <v>180</v>
      </c>
    </row>
    <row r="32" spans="1:23" s="84" customFormat="1" ht="23.25" customHeight="1">
      <c r="A32" s="26" t="s">
        <v>21</v>
      </c>
      <c r="B32" s="107" t="s">
        <v>280</v>
      </c>
      <c r="C32" s="108" t="s">
        <v>41</v>
      </c>
      <c r="D32" s="17" t="s">
        <v>43</v>
      </c>
      <c r="E32" s="24" t="s">
        <v>281</v>
      </c>
      <c r="F32" s="109" t="s">
        <v>282</v>
      </c>
      <c r="G32" s="109" t="s">
        <v>23</v>
      </c>
      <c r="H32" s="119">
        <v>4011000</v>
      </c>
      <c r="I32" s="125">
        <v>4011000</v>
      </c>
      <c r="J32" s="133">
        <v>0.39</v>
      </c>
      <c r="K32" s="33">
        <v>1564290</v>
      </c>
      <c r="L32" s="18">
        <v>45889</v>
      </c>
      <c r="M32" s="114">
        <v>45894</v>
      </c>
      <c r="N32" s="115" t="s">
        <v>344</v>
      </c>
      <c r="O32" s="31">
        <v>1</v>
      </c>
      <c r="P32" s="105"/>
      <c r="Q32" s="19"/>
      <c r="R32" s="20"/>
      <c r="S32" s="46"/>
      <c r="T32" s="21"/>
      <c r="U32" s="10" t="s">
        <v>21</v>
      </c>
      <c r="V32" s="47" t="s">
        <v>21</v>
      </c>
      <c r="W32" s="46" t="s">
        <v>84</v>
      </c>
    </row>
    <row r="33" spans="1:23" s="84" customFormat="1" ht="24.75" customHeight="1">
      <c r="A33" s="26" t="s">
        <v>21</v>
      </c>
      <c r="B33" s="107" t="s">
        <v>424</v>
      </c>
      <c r="C33" s="108" t="s">
        <v>29</v>
      </c>
      <c r="D33" s="17" t="s">
        <v>62</v>
      </c>
      <c r="E33" s="24" t="s">
        <v>425</v>
      </c>
      <c r="F33" s="109" t="s">
        <v>426</v>
      </c>
      <c r="G33" s="21" t="s">
        <v>23</v>
      </c>
      <c r="H33" s="119">
        <v>1500000</v>
      </c>
      <c r="I33" s="125">
        <v>1500000</v>
      </c>
      <c r="J33" s="133">
        <v>0.6</v>
      </c>
      <c r="K33" s="33">
        <v>900000</v>
      </c>
      <c r="L33" s="18">
        <v>45889</v>
      </c>
      <c r="M33" s="114">
        <v>45896</v>
      </c>
      <c r="N33" s="115" t="s">
        <v>344</v>
      </c>
      <c r="O33" s="31">
        <v>10</v>
      </c>
      <c r="P33" s="105"/>
      <c r="Q33" s="19"/>
      <c r="R33" s="20"/>
      <c r="S33" s="46"/>
      <c r="T33" s="21"/>
      <c r="U33" s="10" t="s">
        <v>21</v>
      </c>
      <c r="V33" s="47" t="s">
        <v>21</v>
      </c>
      <c r="W33" s="46" t="s">
        <v>39</v>
      </c>
    </row>
    <row r="34" spans="1:23" s="84" customFormat="1" ht="24.75" customHeight="1">
      <c r="A34" s="26" t="s">
        <v>21</v>
      </c>
      <c r="B34" s="107" t="s">
        <v>176</v>
      </c>
      <c r="C34" s="108" t="s">
        <v>28</v>
      </c>
      <c r="D34" s="17" t="s">
        <v>177</v>
      </c>
      <c r="E34" s="24" t="s">
        <v>178</v>
      </c>
      <c r="F34" s="109" t="s">
        <v>179</v>
      </c>
      <c r="G34" s="21" t="s">
        <v>23</v>
      </c>
      <c r="H34" s="119">
        <v>133882428.57142855</v>
      </c>
      <c r="I34" s="125">
        <v>133882428.57142855</v>
      </c>
      <c r="J34" s="133">
        <v>0.2</v>
      </c>
      <c r="K34" s="33">
        <v>26776485.714285713</v>
      </c>
      <c r="L34" s="18">
        <v>45882</v>
      </c>
      <c r="M34" s="18">
        <v>45898</v>
      </c>
      <c r="N34" s="115" t="s">
        <v>344</v>
      </c>
      <c r="O34" s="31">
        <v>17</v>
      </c>
      <c r="P34" s="105"/>
      <c r="Q34" s="19"/>
      <c r="R34" s="20"/>
      <c r="S34" s="46"/>
      <c r="T34" s="21"/>
      <c r="U34" s="10" t="s">
        <v>21</v>
      </c>
      <c r="V34" s="47" t="s">
        <v>21</v>
      </c>
      <c r="W34" s="46" t="s">
        <v>40</v>
      </c>
    </row>
    <row r="35" spans="1:23" s="84" customFormat="1" ht="24.75" customHeight="1">
      <c r="A35" s="26" t="s">
        <v>21</v>
      </c>
      <c r="B35" s="107" t="s">
        <v>420</v>
      </c>
      <c r="C35" s="108" t="s">
        <v>28</v>
      </c>
      <c r="D35" s="17" t="s">
        <v>213</v>
      </c>
      <c r="E35" s="24" t="s">
        <v>421</v>
      </c>
      <c r="F35" s="109" t="s">
        <v>422</v>
      </c>
      <c r="G35" s="21" t="s">
        <v>23</v>
      </c>
      <c r="H35" s="119">
        <v>960000</v>
      </c>
      <c r="I35" s="125">
        <v>960000</v>
      </c>
      <c r="J35" s="133">
        <v>0.65</v>
      </c>
      <c r="K35" s="33">
        <v>624000</v>
      </c>
      <c r="L35" s="18">
        <v>45932</v>
      </c>
      <c r="M35" s="114">
        <v>45951</v>
      </c>
      <c r="N35" s="115" t="s">
        <v>344</v>
      </c>
      <c r="O35" s="31">
        <v>2</v>
      </c>
      <c r="P35" s="105"/>
      <c r="Q35" s="19"/>
      <c r="R35" s="20"/>
      <c r="S35" s="46"/>
      <c r="T35" s="21"/>
      <c r="U35" s="10" t="s">
        <v>21</v>
      </c>
      <c r="V35" s="47" t="s">
        <v>21</v>
      </c>
      <c r="W35" s="46" t="s">
        <v>40</v>
      </c>
    </row>
    <row r="36" spans="1:23" s="84" customFormat="1" ht="24.75" customHeight="1">
      <c r="A36" s="26" t="s">
        <v>21</v>
      </c>
      <c r="B36" s="107" t="s">
        <v>423</v>
      </c>
      <c r="C36" s="108" t="s">
        <v>28</v>
      </c>
      <c r="D36" s="17" t="s">
        <v>213</v>
      </c>
      <c r="E36" s="24" t="s">
        <v>421</v>
      </c>
      <c r="F36" s="109" t="s">
        <v>422</v>
      </c>
      <c r="G36" s="21" t="s">
        <v>23</v>
      </c>
      <c r="H36" s="140">
        <v>1210000</v>
      </c>
      <c r="I36" s="141">
        <v>1210000</v>
      </c>
      <c r="J36" s="133">
        <v>0.65</v>
      </c>
      <c r="K36" s="33">
        <v>786500</v>
      </c>
      <c r="L36" s="18">
        <v>45932</v>
      </c>
      <c r="M36" s="114">
        <v>45951</v>
      </c>
      <c r="N36" s="115" t="s">
        <v>344</v>
      </c>
      <c r="O36" s="31">
        <v>55</v>
      </c>
      <c r="P36" s="105"/>
      <c r="Q36" s="19"/>
      <c r="R36" s="20"/>
      <c r="S36" s="46"/>
      <c r="T36" s="21"/>
      <c r="U36" s="10" t="s">
        <v>21</v>
      </c>
      <c r="V36" s="47" t="s">
        <v>21</v>
      </c>
      <c r="W36" s="46" t="s">
        <v>39</v>
      </c>
    </row>
    <row r="37" spans="1:23" s="84" customFormat="1" ht="24.75" customHeight="1">
      <c r="A37" s="26" t="s">
        <v>21</v>
      </c>
      <c r="B37" s="107" t="s">
        <v>557</v>
      </c>
      <c r="C37" s="108" t="s">
        <v>30</v>
      </c>
      <c r="D37" s="17" t="s">
        <v>62</v>
      </c>
      <c r="E37" s="24" t="s">
        <v>60</v>
      </c>
      <c r="F37" s="109" t="s">
        <v>558</v>
      </c>
      <c r="G37" s="21" t="s">
        <v>23</v>
      </c>
      <c r="H37" s="119">
        <v>15960000</v>
      </c>
      <c r="I37" s="125">
        <v>15960000</v>
      </c>
      <c r="J37" s="133">
        <v>0.5</v>
      </c>
      <c r="K37" s="33">
        <v>7980000</v>
      </c>
      <c r="L37" s="18">
        <v>45950</v>
      </c>
      <c r="M37" s="114">
        <v>45955</v>
      </c>
      <c r="N37" s="115" t="s">
        <v>344</v>
      </c>
      <c r="O37" s="31">
        <v>6</v>
      </c>
      <c r="P37" s="105"/>
      <c r="Q37" s="19"/>
      <c r="R37" s="20"/>
      <c r="S37" s="46"/>
      <c r="T37" s="21"/>
      <c r="U37" s="10" t="s">
        <v>21</v>
      </c>
      <c r="V37" s="47" t="s">
        <v>21</v>
      </c>
      <c r="W37" s="46" t="s">
        <v>180</v>
      </c>
    </row>
    <row r="38" spans="1:23" s="84" customFormat="1" ht="24.75" customHeight="1">
      <c r="A38" s="26" t="s">
        <v>21</v>
      </c>
      <c r="B38" s="107" t="s">
        <v>550</v>
      </c>
      <c r="C38" s="108" t="s">
        <v>30</v>
      </c>
      <c r="D38" s="17" t="s">
        <v>551</v>
      </c>
      <c r="E38" s="24" t="s">
        <v>552</v>
      </c>
      <c r="F38" s="108" t="s">
        <v>553</v>
      </c>
      <c r="G38" s="21" t="s">
        <v>20</v>
      </c>
      <c r="H38" s="119">
        <v>13550</v>
      </c>
      <c r="I38" s="125">
        <v>13550000</v>
      </c>
      <c r="J38" s="111">
        <v>0.6</v>
      </c>
      <c r="K38" s="33">
        <v>8130000</v>
      </c>
      <c r="L38" s="18">
        <v>45960</v>
      </c>
      <c r="M38" s="114">
        <v>45976</v>
      </c>
      <c r="N38" s="115"/>
      <c r="O38" s="31">
        <v>6</v>
      </c>
      <c r="P38" s="19"/>
      <c r="Q38" s="19"/>
      <c r="R38" s="20"/>
      <c r="S38" s="46"/>
      <c r="T38" s="21"/>
      <c r="U38" s="10" t="s">
        <v>21</v>
      </c>
      <c r="V38" s="47" t="s">
        <v>21</v>
      </c>
      <c r="W38" s="46" t="s">
        <v>40</v>
      </c>
    </row>
    <row r="39" spans="1:23" s="84" customFormat="1" ht="24.75" customHeight="1">
      <c r="A39" s="26" t="s">
        <v>21</v>
      </c>
      <c r="B39" s="107" t="s">
        <v>427</v>
      </c>
      <c r="C39" s="108" t="s">
        <v>29</v>
      </c>
      <c r="D39" s="17" t="s">
        <v>428</v>
      </c>
      <c r="E39" s="24" t="s">
        <v>429</v>
      </c>
      <c r="F39" s="109" t="s">
        <v>44</v>
      </c>
      <c r="G39" s="21" t="s">
        <v>23</v>
      </c>
      <c r="H39" s="119">
        <v>249714000</v>
      </c>
      <c r="I39" s="125">
        <v>249714000</v>
      </c>
      <c r="J39" s="133">
        <v>0.15</v>
      </c>
      <c r="K39" s="33">
        <v>37457100</v>
      </c>
      <c r="L39" s="18">
        <v>46001</v>
      </c>
      <c r="M39" s="114">
        <v>46021</v>
      </c>
      <c r="N39" s="115" t="s">
        <v>344</v>
      </c>
      <c r="O39" s="31">
        <v>38</v>
      </c>
      <c r="P39" s="105"/>
      <c r="Q39" s="19"/>
      <c r="R39" s="20"/>
      <c r="S39" s="46"/>
      <c r="T39" s="21"/>
      <c r="U39" s="10" t="s">
        <v>21</v>
      </c>
      <c r="V39" s="47" t="s">
        <v>21</v>
      </c>
      <c r="W39" s="46" t="s">
        <v>39</v>
      </c>
    </row>
    <row r="40" spans="1:23" s="84" customFormat="1" ht="24.75" customHeight="1">
      <c r="A40" s="26" t="s">
        <v>21</v>
      </c>
      <c r="B40" s="107" t="s">
        <v>542</v>
      </c>
      <c r="C40" s="108" t="s">
        <v>28</v>
      </c>
      <c r="D40" s="17" t="s">
        <v>62</v>
      </c>
      <c r="E40" s="24" t="s">
        <v>543</v>
      </c>
      <c r="F40" s="109" t="s">
        <v>544</v>
      </c>
      <c r="G40" s="21" t="s">
        <v>23</v>
      </c>
      <c r="H40" s="126">
        <v>211483000</v>
      </c>
      <c r="I40" s="125">
        <v>211483000</v>
      </c>
      <c r="J40" s="111">
        <v>0.5</v>
      </c>
      <c r="K40" s="33">
        <v>105741500</v>
      </c>
      <c r="L40" s="18">
        <v>46006</v>
      </c>
      <c r="M40" s="114">
        <v>46037</v>
      </c>
      <c r="N40" s="115" t="s">
        <v>344</v>
      </c>
      <c r="O40" s="31">
        <v>168</v>
      </c>
      <c r="P40" s="105"/>
      <c r="Q40" s="19"/>
      <c r="R40" s="20"/>
      <c r="S40" s="46"/>
      <c r="T40" s="21"/>
      <c r="U40" s="10" t="s">
        <v>21</v>
      </c>
      <c r="V40" s="47" t="s">
        <v>21</v>
      </c>
      <c r="W40" s="46" t="s">
        <v>40</v>
      </c>
    </row>
    <row r="41" spans="1:23" s="84" customFormat="1" ht="24.75" customHeight="1">
      <c r="A41" s="26" t="s">
        <v>21</v>
      </c>
      <c r="B41" s="107" t="s">
        <v>545</v>
      </c>
      <c r="C41" s="108" t="s">
        <v>28</v>
      </c>
      <c r="D41" s="17" t="s">
        <v>62</v>
      </c>
      <c r="E41" s="24" t="s">
        <v>543</v>
      </c>
      <c r="F41" s="108" t="s">
        <v>544</v>
      </c>
      <c r="G41" s="21" t="s">
        <v>23</v>
      </c>
      <c r="H41" s="119">
        <v>188517000</v>
      </c>
      <c r="I41" s="125">
        <v>188517000</v>
      </c>
      <c r="J41" s="111">
        <v>0.5</v>
      </c>
      <c r="K41" s="33">
        <v>94258500</v>
      </c>
      <c r="L41" s="18">
        <v>46006</v>
      </c>
      <c r="M41" s="114">
        <v>46037</v>
      </c>
      <c r="N41" s="115" t="s">
        <v>344</v>
      </c>
      <c r="O41" s="31">
        <v>254</v>
      </c>
      <c r="P41" s="19"/>
      <c r="Q41" s="19"/>
      <c r="R41" s="20"/>
      <c r="S41" s="46"/>
      <c r="T41" s="21"/>
      <c r="U41" s="10" t="s">
        <v>21</v>
      </c>
      <c r="V41" s="47" t="s">
        <v>21</v>
      </c>
      <c r="W41" s="46" t="s">
        <v>40</v>
      </c>
    </row>
    <row r="42" spans="1:23" s="84" customFormat="1" ht="24.75" customHeight="1">
      <c r="A42" s="26" t="s">
        <v>21</v>
      </c>
      <c r="B42" s="107" t="s">
        <v>546</v>
      </c>
      <c r="C42" s="108" t="s">
        <v>28</v>
      </c>
      <c r="D42" s="17" t="s">
        <v>547</v>
      </c>
      <c r="E42" s="24" t="s">
        <v>548</v>
      </c>
      <c r="F42" s="108" t="s">
        <v>549</v>
      </c>
      <c r="G42" s="21" t="s">
        <v>23</v>
      </c>
      <c r="H42" s="119">
        <v>220000000</v>
      </c>
      <c r="I42" s="125">
        <v>220000000</v>
      </c>
      <c r="J42" s="111">
        <v>0.2</v>
      </c>
      <c r="K42" s="33">
        <v>44000000</v>
      </c>
      <c r="L42" s="18">
        <v>46022</v>
      </c>
      <c r="M42" s="114">
        <v>46053</v>
      </c>
      <c r="N42" s="115" t="s">
        <v>344</v>
      </c>
      <c r="O42" s="31">
        <v>4</v>
      </c>
      <c r="P42" s="19"/>
      <c r="Q42" s="19"/>
      <c r="R42" s="20"/>
      <c r="S42" s="46"/>
      <c r="T42" s="21"/>
      <c r="U42" s="10" t="s">
        <v>21</v>
      </c>
      <c r="V42" s="47" t="s">
        <v>21</v>
      </c>
      <c r="W42" s="46" t="s">
        <v>39</v>
      </c>
    </row>
    <row r="43" spans="1:23" s="84" customFormat="1" ht="27.75" customHeight="1">
      <c r="A43" s="211" t="s">
        <v>25</v>
      </c>
      <c r="B43" s="212"/>
      <c r="C43" s="212"/>
      <c r="D43" s="212"/>
      <c r="E43" s="212"/>
      <c r="F43" s="213"/>
      <c r="G43" s="155" t="s">
        <v>22</v>
      </c>
      <c r="H43" s="156">
        <f>SUMIF($G$5:$G$42,$G43,$H$5:$H$42)</f>
        <v>6013161028.5714283</v>
      </c>
      <c r="I43" s="217">
        <f>SUM(I5:I42)</f>
        <v>6026711028.5714283</v>
      </c>
      <c r="J43" s="149"/>
      <c r="K43" s="205">
        <f>SUM(K5:K42)</f>
        <v>1549038375.7142856</v>
      </c>
      <c r="L43" s="149"/>
      <c r="M43" s="149"/>
      <c r="N43" s="150"/>
      <c r="O43" s="150"/>
      <c r="P43" s="147"/>
      <c r="Q43" s="153"/>
      <c r="R43" s="20"/>
      <c r="S43" s="46"/>
      <c r="T43" s="46"/>
      <c r="U43" s="10"/>
      <c r="V43" s="47"/>
      <c r="W43" s="46"/>
    </row>
    <row r="44" spans="1:23" s="84" customFormat="1" ht="27.75" customHeight="1">
      <c r="A44" s="214"/>
      <c r="B44" s="215"/>
      <c r="C44" s="215"/>
      <c r="D44" s="215"/>
      <c r="E44" s="215"/>
      <c r="F44" s="216"/>
      <c r="G44" s="98" t="s">
        <v>18</v>
      </c>
      <c r="H44" s="157">
        <f>SUMIF($G$5:$G$42,$G44,$H$5:$H$42)</f>
        <v>13550</v>
      </c>
      <c r="I44" s="218"/>
      <c r="J44" s="29"/>
      <c r="K44" s="207"/>
      <c r="L44" s="29"/>
      <c r="M44" s="29"/>
      <c r="N44" s="63"/>
      <c r="O44" s="63"/>
      <c r="P44" s="61"/>
      <c r="Q44" s="106"/>
      <c r="R44" s="20"/>
      <c r="S44" s="46"/>
      <c r="T44" s="46"/>
      <c r="U44" s="10"/>
      <c r="V44" s="47"/>
      <c r="W44" s="46"/>
    </row>
    <row r="45" spans="1:23">
      <c r="A45" s="88"/>
      <c r="B45" s="88"/>
      <c r="C45" s="88"/>
      <c r="H45" s="89"/>
      <c r="I45" s="90"/>
      <c r="J45" s="91"/>
      <c r="K45" s="92"/>
      <c r="L45" s="93"/>
      <c r="M45" s="93"/>
      <c r="N45" s="94"/>
      <c r="O45" s="95"/>
      <c r="P45" s="95"/>
      <c r="Q45" s="96"/>
    </row>
    <row r="46" spans="1:23">
      <c r="A46" s="3"/>
      <c r="B46" s="3"/>
      <c r="C46" s="3"/>
      <c r="E46" s="5"/>
      <c r="F46" s="3"/>
      <c r="G46" s="3"/>
      <c r="I46" s="90"/>
      <c r="J46" s="86"/>
      <c r="K46" s="87"/>
      <c r="S46" s="3"/>
      <c r="W46" s="40"/>
    </row>
    <row r="47" spans="1:23">
      <c r="A47" s="3"/>
      <c r="B47" s="3"/>
      <c r="C47" s="3"/>
      <c r="E47" s="5"/>
      <c r="F47" s="3"/>
      <c r="G47" s="3"/>
      <c r="I47" s="90"/>
      <c r="J47" s="86"/>
      <c r="K47" s="87"/>
      <c r="S47" s="3"/>
      <c r="W47" s="40"/>
    </row>
    <row r="48" spans="1:23">
      <c r="A48" s="3"/>
      <c r="B48" s="3"/>
      <c r="C48" s="3"/>
      <c r="E48" s="5"/>
      <c r="F48" s="3"/>
      <c r="G48" s="3"/>
      <c r="I48" s="90"/>
      <c r="J48" s="86"/>
      <c r="K48" s="87"/>
      <c r="S48" s="3"/>
      <c r="W48" s="40"/>
    </row>
    <row r="49" spans="1:25">
      <c r="A49" s="3"/>
      <c r="B49" s="3"/>
      <c r="C49" s="3"/>
      <c r="E49" s="5"/>
      <c r="F49" s="3"/>
      <c r="G49" s="3"/>
      <c r="I49" s="90"/>
      <c r="J49" s="86"/>
      <c r="K49" s="87"/>
      <c r="S49" s="3"/>
      <c r="W49" s="40"/>
    </row>
    <row r="50" spans="1:25">
      <c r="A50" s="3"/>
      <c r="B50" s="3"/>
      <c r="C50" s="3"/>
      <c r="E50" s="5"/>
      <c r="F50" s="3"/>
      <c r="G50" s="3"/>
      <c r="I50" s="90"/>
      <c r="J50" s="86"/>
      <c r="K50" s="87"/>
      <c r="S50" s="3"/>
      <c r="W50" s="40"/>
    </row>
    <row r="51" spans="1:25">
      <c r="A51" s="3"/>
      <c r="B51" s="3"/>
      <c r="C51" s="3"/>
      <c r="E51" s="5"/>
      <c r="F51" s="3"/>
      <c r="G51" s="3"/>
      <c r="I51" s="90"/>
      <c r="J51" s="86"/>
      <c r="K51" s="87"/>
      <c r="S51" s="3"/>
      <c r="W51" s="40"/>
    </row>
    <row r="52" spans="1:25">
      <c r="A52" s="3"/>
      <c r="B52" s="3"/>
      <c r="C52" s="3"/>
      <c r="E52" s="5"/>
      <c r="F52" s="3"/>
      <c r="G52" s="3"/>
      <c r="I52" s="90"/>
      <c r="J52" s="86"/>
      <c r="K52" s="87"/>
      <c r="S52" s="3"/>
      <c r="W52" s="40"/>
    </row>
    <row r="53" spans="1:25">
      <c r="I53" s="90"/>
    </row>
    <row r="54" spans="1:25">
      <c r="I54" s="90"/>
    </row>
    <row r="55" spans="1:25">
      <c r="I55" s="90"/>
    </row>
    <row r="56" spans="1:25" s="22" customFormat="1">
      <c r="A56" s="4"/>
      <c r="B56" s="4"/>
      <c r="C56" s="4"/>
      <c r="D56" s="3"/>
      <c r="E56" s="11"/>
      <c r="F56" s="4"/>
      <c r="G56" s="4"/>
      <c r="H56" s="14"/>
      <c r="I56" s="90"/>
      <c r="K56" s="35"/>
      <c r="L56" s="6"/>
      <c r="M56" s="6"/>
      <c r="N56" s="7"/>
      <c r="O56" s="8"/>
      <c r="P56" s="8"/>
      <c r="Q56" s="4"/>
      <c r="R56" s="3"/>
      <c r="S56" s="4"/>
      <c r="T56" s="39"/>
      <c r="U56" s="1"/>
      <c r="V56" s="38"/>
      <c r="W56" s="39"/>
      <c r="X56" s="1"/>
      <c r="Y56" s="1"/>
    </row>
    <row r="57" spans="1:25" s="22" customFormat="1">
      <c r="A57" s="4"/>
      <c r="B57" s="4"/>
      <c r="C57" s="4"/>
      <c r="D57" s="3"/>
      <c r="E57" s="11"/>
      <c r="F57" s="4"/>
      <c r="G57" s="4"/>
      <c r="H57" s="14"/>
      <c r="I57" s="90"/>
      <c r="K57" s="35"/>
      <c r="L57" s="6"/>
      <c r="M57" s="6"/>
      <c r="N57" s="7"/>
      <c r="O57" s="8"/>
      <c r="P57" s="8"/>
      <c r="Q57" s="4"/>
      <c r="R57" s="3"/>
      <c r="S57" s="4"/>
      <c r="T57" s="39"/>
      <c r="U57" s="1"/>
      <c r="V57" s="38"/>
      <c r="W57" s="39"/>
      <c r="X57" s="1"/>
      <c r="Y57" s="1"/>
    </row>
    <row r="58" spans="1:25" s="22" customFormat="1">
      <c r="A58" s="4"/>
      <c r="B58" s="4"/>
      <c r="C58" s="4"/>
      <c r="D58" s="3"/>
      <c r="E58" s="11"/>
      <c r="F58" s="4"/>
      <c r="G58" s="4"/>
      <c r="H58" s="14"/>
      <c r="I58" s="90"/>
      <c r="K58" s="35"/>
      <c r="L58" s="6"/>
      <c r="M58" s="6"/>
      <c r="N58" s="7"/>
      <c r="O58" s="8"/>
      <c r="P58" s="8"/>
      <c r="Q58" s="4"/>
      <c r="R58" s="3"/>
      <c r="S58" s="4"/>
      <c r="T58" s="39"/>
      <c r="U58" s="1"/>
      <c r="V58" s="38"/>
      <c r="W58" s="39"/>
      <c r="X58" s="1"/>
      <c r="Y58" s="1"/>
    </row>
  </sheetData>
  <autoFilter ref="A4:W44" xr:uid="{00000000-0001-0000-0500-000000000000}">
    <sortState xmlns:xlrd2="http://schemas.microsoft.com/office/spreadsheetml/2017/richdata2" ref="A5:W44">
      <sortCondition ref="M4:M44"/>
    </sortState>
  </autoFilter>
  <mergeCells count="5">
    <mergeCell ref="A1:Q1"/>
    <mergeCell ref="A2:Q2"/>
    <mergeCell ref="A43:F44"/>
    <mergeCell ref="I43:I44"/>
    <mergeCell ref="K43:K44"/>
  </mergeCells>
  <phoneticPr fontId="4" type="noConversion"/>
  <conditionalFormatting sqref="B6">
    <cfRule type="duplicateValues" dxfId="79" priority="62"/>
  </conditionalFormatting>
  <conditionalFormatting sqref="B7">
    <cfRule type="duplicateValues" dxfId="78" priority="71"/>
  </conditionalFormatting>
  <conditionalFormatting sqref="B8">
    <cfRule type="duplicateValues" dxfId="77" priority="54"/>
  </conditionalFormatting>
  <conditionalFormatting sqref="B9">
    <cfRule type="duplicateValues" dxfId="76" priority="49"/>
  </conditionalFormatting>
  <conditionalFormatting sqref="B10">
    <cfRule type="duplicateValues" dxfId="75" priority="46"/>
  </conditionalFormatting>
  <conditionalFormatting sqref="B11">
    <cfRule type="duplicateValues" dxfId="74" priority="52"/>
  </conditionalFormatting>
  <conditionalFormatting sqref="B12:B13">
    <cfRule type="duplicateValues" dxfId="73" priority="50"/>
  </conditionalFormatting>
  <conditionalFormatting sqref="B14:B15">
    <cfRule type="duplicateValues" dxfId="72" priority="35"/>
  </conditionalFormatting>
  <conditionalFormatting sqref="B16">
    <cfRule type="duplicateValues" dxfId="71" priority="37"/>
  </conditionalFormatting>
  <conditionalFormatting sqref="B17">
    <cfRule type="duplicateValues" dxfId="70" priority="42"/>
  </conditionalFormatting>
  <conditionalFormatting sqref="B18">
    <cfRule type="duplicateValues" dxfId="69" priority="26"/>
  </conditionalFormatting>
  <conditionalFormatting sqref="B20">
    <cfRule type="duplicateValues" dxfId="68" priority="18"/>
  </conditionalFormatting>
  <conditionalFormatting sqref="B21">
    <cfRule type="duplicateValues" dxfId="67" priority="16"/>
  </conditionalFormatting>
  <conditionalFormatting sqref="B22">
    <cfRule type="duplicateValues" dxfId="66" priority="63"/>
  </conditionalFormatting>
  <conditionalFormatting sqref="B23">
    <cfRule type="duplicateValues" dxfId="65" priority="60"/>
  </conditionalFormatting>
  <conditionalFormatting sqref="B24">
    <cfRule type="duplicateValues" dxfId="64" priority="25"/>
  </conditionalFormatting>
  <conditionalFormatting sqref="B25">
    <cfRule type="duplicateValues" dxfId="63" priority="65"/>
  </conditionalFormatting>
  <conditionalFormatting sqref="B26">
    <cfRule type="duplicateValues" dxfId="62" priority="27"/>
  </conditionalFormatting>
  <conditionalFormatting sqref="B27">
    <cfRule type="duplicateValues" dxfId="61" priority="66"/>
  </conditionalFormatting>
  <conditionalFormatting sqref="B28">
    <cfRule type="duplicateValues" dxfId="60" priority="11"/>
  </conditionalFormatting>
  <conditionalFormatting sqref="B29">
    <cfRule type="duplicateValues" dxfId="59" priority="57"/>
  </conditionalFormatting>
  <conditionalFormatting sqref="B30">
    <cfRule type="duplicateValues" dxfId="58" priority="69"/>
  </conditionalFormatting>
  <conditionalFormatting sqref="B31">
    <cfRule type="duplicateValues" dxfId="57" priority="70"/>
  </conditionalFormatting>
  <conditionalFormatting sqref="B32">
    <cfRule type="duplicateValues" dxfId="56" priority="40"/>
  </conditionalFormatting>
  <conditionalFormatting sqref="B33">
    <cfRule type="duplicateValues" dxfId="55" priority="39"/>
  </conditionalFormatting>
  <conditionalFormatting sqref="B34:B42">
    <cfRule type="duplicateValues" dxfId="54" priority="670"/>
  </conditionalFormatting>
  <conditionalFormatting sqref="B45:B1048576 B1 B3:B4">
    <cfRule type="duplicateValues" dxfId="53" priority="539"/>
    <cfRule type="duplicateValues" dxfId="52" priority="542"/>
  </conditionalFormatting>
  <conditionalFormatting sqref="B28:F28">
    <cfRule type="expression" dxfId="51" priority="13">
      <formula>$I28="O"</formula>
    </cfRule>
    <cfRule type="expression" dxfId="50" priority="12">
      <formula>$I28="-"</formula>
    </cfRule>
  </conditionalFormatting>
  <conditionalFormatting sqref="F6">
    <cfRule type="duplicateValues" dxfId="49" priority="61"/>
  </conditionalFormatting>
  <conditionalFormatting sqref="F8">
    <cfRule type="duplicateValues" dxfId="48" priority="53"/>
  </conditionalFormatting>
  <conditionalFormatting sqref="F9">
    <cfRule type="duplicateValues" dxfId="47" priority="48"/>
  </conditionalFormatting>
  <conditionalFormatting sqref="F10">
    <cfRule type="duplicateValues" dxfId="46" priority="47"/>
  </conditionalFormatting>
  <conditionalFormatting sqref="F11">
    <cfRule type="duplicateValues" dxfId="45" priority="51"/>
  </conditionalFormatting>
  <conditionalFormatting sqref="F16">
    <cfRule type="duplicateValues" dxfId="44" priority="36"/>
  </conditionalFormatting>
  <conditionalFormatting sqref="F17">
    <cfRule type="duplicateValues" dxfId="43" priority="41"/>
  </conditionalFormatting>
  <conditionalFormatting sqref="F20">
    <cfRule type="duplicateValues" dxfId="42" priority="17"/>
  </conditionalFormatting>
  <conditionalFormatting sqref="F24">
    <cfRule type="duplicateValues" dxfId="41" priority="24"/>
  </conditionalFormatting>
  <conditionalFormatting sqref="F25">
    <cfRule type="duplicateValues" dxfId="40" priority="64"/>
  </conditionalFormatting>
  <conditionalFormatting sqref="F26">
    <cfRule type="duplicateValues" dxfId="39" priority="28"/>
  </conditionalFormatting>
  <conditionalFormatting sqref="F27">
    <cfRule type="duplicateValues" dxfId="38" priority="67"/>
  </conditionalFormatting>
  <conditionalFormatting sqref="F28">
    <cfRule type="duplicateValues" dxfId="37" priority="10"/>
  </conditionalFormatting>
  <conditionalFormatting sqref="F29">
    <cfRule type="duplicateValues" dxfId="36" priority="58"/>
  </conditionalFormatting>
  <conditionalFormatting sqref="F33">
    <cfRule type="duplicateValues" dxfId="35" priority="38"/>
  </conditionalFormatting>
  <conditionalFormatting sqref="F34:F42">
    <cfRule type="duplicateValues" dxfId="34" priority="675"/>
  </conditionalFormatting>
  <conditionalFormatting sqref="G8:H11 G16:H18 H19">
    <cfRule type="expression" dxfId="33" priority="19">
      <formula>$G8="USD"</formula>
    </cfRule>
  </conditionalFormatting>
  <conditionalFormatting sqref="G28:H28">
    <cfRule type="expression" dxfId="32" priority="9">
      <formula>$S28="USD"</formula>
    </cfRule>
    <cfRule type="expression" dxfId="31" priority="8">
      <formula>$I28="O"</formula>
    </cfRule>
    <cfRule type="expression" dxfId="30" priority="7">
      <formula>$I28="-"</formula>
    </cfRule>
    <cfRule type="expression" dxfId="29" priority="6">
      <formula>$S28="KRW"</formula>
    </cfRule>
  </conditionalFormatting>
  <conditionalFormatting sqref="G3:I5 K4:K42 G6:H6 I6:I42 H7 G20:H21 H22 G23:H27 G29:H29 H30:H32 G33:H42 G45:I1048576">
    <cfRule type="expression" dxfId="28" priority="33">
      <formula>$G3="USD"</formula>
    </cfRule>
  </conditionalFormatting>
  <conditionalFormatting sqref="H5:H27 I10 H29:H44">
    <cfRule type="expression" dxfId="27" priority="1">
      <formula>$O5="KRW"</formula>
    </cfRule>
  </conditionalFormatting>
  <conditionalFormatting sqref="H12:H15">
    <cfRule type="expression" dxfId="26" priority="34">
      <formula>$G12="USD"</formula>
    </cfRule>
  </conditionalFormatting>
  <conditionalFormatting sqref="H43:H44">
    <cfRule type="expression" dxfId="25" priority="45">
      <formula>$G43="USD"</formula>
    </cfRule>
  </conditionalFormatting>
  <conditionalFormatting sqref="I5:I42 K5:K42">
    <cfRule type="expression" dxfId="24" priority="5">
      <formula>$Q5="KRW"</formula>
    </cfRule>
  </conditionalFormatting>
  <conditionalFormatting sqref="L1">
    <cfRule type="cellIs" dxfId="23" priority="510" operator="lessThanOrEqual">
      <formula>$R$2</formula>
    </cfRule>
  </conditionalFormatting>
  <conditionalFormatting sqref="L3:L6">
    <cfRule type="cellIs" dxfId="22" priority="15" operator="lessThanOrEqual">
      <formula>$R$2</formula>
    </cfRule>
  </conditionalFormatting>
  <conditionalFormatting sqref="L5:L6">
    <cfRule type="cellIs" dxfId="21" priority="14" operator="lessThanOrEqual">
      <formula>$N$2</formula>
    </cfRule>
  </conditionalFormatting>
  <conditionalFormatting sqref="L8:L42">
    <cfRule type="cellIs" dxfId="20" priority="32" operator="lessThanOrEqual">
      <formula>$R$2</formula>
    </cfRule>
    <cfRule type="cellIs" dxfId="19" priority="31" operator="lessThanOrEqual">
      <formula>$N$2</formula>
    </cfRule>
  </conditionalFormatting>
  <conditionalFormatting sqref="M5:M42">
    <cfRule type="cellIs" dxfId="18" priority="3" operator="lessThanOrEqual">
      <formula>$S$2</formula>
    </cfRule>
    <cfRule type="cellIs" dxfId="17" priority="2" operator="lessThanOrEqual">
      <formula>$O$2</formula>
    </cfRule>
  </conditionalFormatting>
  <conditionalFormatting sqref="T5:U6">
    <cfRule type="containsText" dxfId="16" priority="59" operator="containsText" text="NO">
      <formula>NOT(ISERROR(SEARCH("NO",T5)))</formula>
    </cfRule>
  </conditionalFormatting>
  <conditionalFormatting sqref="U6:U42 T7:T42">
    <cfRule type="containsText" dxfId="15" priority="4" operator="containsText" text="NO">
      <formula>NOT(ISERROR(SEARCH("NO",T6)))</formula>
    </cfRule>
  </conditionalFormatting>
  <printOptions horizontalCentered="1"/>
  <pageMargins left="0.27559055118110237" right="0.27559055118110237" top="0.55118110236220474" bottom="0.47244094488188981" header="0.43307086614173229" footer="0.27559055118110237"/>
  <pageSetup paperSize="9" scale="45" fitToHeight="0" orientation="portrait" r:id="rId1"/>
  <headerFooter alignWithMargins="0">
    <oddFooter>&amp;L양식-영업-18(0)&amp;C(주)키츠코리아&amp;RA4(210X297)mm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BA94-D4DC-4BC6-A0CB-4002A4A3BF37}">
  <sheetPr>
    <tabColor rgb="FF00B050"/>
    <pageSetUpPr fitToPage="1"/>
  </sheetPr>
  <dimension ref="A1:AR60"/>
  <sheetViews>
    <sheetView view="pageBreakPreview" zoomScale="70" zoomScaleNormal="100" zoomScaleSheetLayoutView="70" workbookViewId="0">
      <pane xSplit="4" ySplit="4" topLeftCell="E30" activePane="bottomRight" state="frozen"/>
      <selection activeCell="G164" sqref="G164"/>
      <selection pane="topRight" activeCell="G164" sqref="G164"/>
      <selection pane="bottomLeft" activeCell="G164" sqref="G164"/>
      <selection pane="bottomRight" activeCell="K75" sqref="K75"/>
    </sheetView>
  </sheetViews>
  <sheetFormatPr defaultColWidth="10" defaultRowHeight="13.5" outlineLevelCol="1"/>
  <cols>
    <col min="1" max="1" width="8.25" style="4" customWidth="1"/>
    <col min="2" max="2" width="12.5" style="4" bestFit="1" customWidth="1"/>
    <col min="3" max="3" width="6.25" style="4" customWidth="1"/>
    <col min="4" max="4" width="17" style="3" customWidth="1"/>
    <col min="5" max="5" width="24.875" style="11" customWidth="1"/>
    <col min="6" max="6" width="18.75" style="4" customWidth="1"/>
    <col min="7" max="7" width="5.125" style="4" bestFit="1" customWidth="1"/>
    <col min="8" max="8" width="16.25" style="14" customWidth="1"/>
    <col min="9" max="9" width="17.875" style="3" customWidth="1"/>
    <col min="10" max="10" width="6.75" style="22" customWidth="1"/>
    <col min="11" max="11" width="14.5" style="35" customWidth="1"/>
    <col min="12" max="13" width="12.625" style="6" customWidth="1"/>
    <col min="14" max="14" width="7.75" style="7" customWidth="1"/>
    <col min="15" max="15" width="5.375" style="8" customWidth="1"/>
    <col min="16" max="16" width="5.375" style="8" hidden="1" customWidth="1"/>
    <col min="17" max="17" width="12.375" style="4" customWidth="1"/>
    <col min="18" max="18" width="17.625" style="3" customWidth="1" outlineLevel="1"/>
    <col min="19" max="19" width="11.75" style="4" customWidth="1" outlineLevel="1"/>
    <col min="20" max="20" width="9.625" style="39" customWidth="1" outlineLevel="1"/>
    <col min="21" max="21" width="8.25" style="1" customWidth="1" outlineLevel="1"/>
    <col min="22" max="22" width="8.25" style="38" customWidth="1" outlineLevel="1"/>
    <col min="23" max="23" width="8.125" style="39" customWidth="1" outlineLevel="1"/>
    <col min="24" max="44" width="10" style="1"/>
    <col min="45" max="16384" width="10" style="1" outlineLevel="1"/>
  </cols>
  <sheetData>
    <row r="1" spans="1:23" ht="41.25">
      <c r="A1" s="192" t="s">
        <v>495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65"/>
      <c r="S1" s="69"/>
      <c r="T1" s="37"/>
      <c r="W1" s="37"/>
    </row>
    <row r="2" spans="1:23" ht="17.25" customHeight="1">
      <c r="A2" s="191" t="s">
        <v>45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2">
        <v>45838</v>
      </c>
      <c r="S2" s="3"/>
      <c r="W2" s="40"/>
    </row>
    <row r="3" spans="1:23" ht="18" customHeight="1">
      <c r="E3" s="5"/>
      <c r="F3" s="3"/>
      <c r="G3" s="3"/>
      <c r="J3" s="15"/>
      <c r="K3" s="32"/>
      <c r="L3" s="12" t="s">
        <v>10</v>
      </c>
      <c r="M3" s="13" t="s">
        <v>11</v>
      </c>
      <c r="R3" s="9">
        <v>1000</v>
      </c>
      <c r="S3" s="41" t="s">
        <v>33</v>
      </c>
      <c r="T3" s="42"/>
      <c r="W3" s="43"/>
    </row>
    <row r="4" spans="1:23" ht="54.75" customHeight="1">
      <c r="A4" s="53" t="s">
        <v>13</v>
      </c>
      <c r="B4" s="53" t="s">
        <v>14</v>
      </c>
      <c r="C4" s="54" t="s">
        <v>27</v>
      </c>
      <c r="D4" s="53" t="s">
        <v>0</v>
      </c>
      <c r="E4" s="55" t="s">
        <v>1</v>
      </c>
      <c r="F4" s="53" t="s">
        <v>2</v>
      </c>
      <c r="G4" s="53" t="s">
        <v>15</v>
      </c>
      <c r="H4" s="54" t="s">
        <v>3</v>
      </c>
      <c r="I4" s="64" t="s">
        <v>3</v>
      </c>
      <c r="J4" s="56" t="s">
        <v>31</v>
      </c>
      <c r="K4" s="57" t="s">
        <v>32</v>
      </c>
      <c r="L4" s="58" t="s">
        <v>16</v>
      </c>
      <c r="M4" s="58" t="s">
        <v>17</v>
      </c>
      <c r="N4" s="59" t="s">
        <v>4</v>
      </c>
      <c r="O4" s="59" t="s">
        <v>5</v>
      </c>
      <c r="P4" s="59"/>
      <c r="Q4" s="53" t="s">
        <v>6</v>
      </c>
      <c r="R4" s="16" t="s">
        <v>7</v>
      </c>
      <c r="S4" s="16" t="s">
        <v>6</v>
      </c>
      <c r="T4" s="44" t="s">
        <v>34</v>
      </c>
      <c r="U4" s="16" t="s">
        <v>35</v>
      </c>
      <c r="V4" s="45" t="s">
        <v>36</v>
      </c>
      <c r="W4" s="44" t="s">
        <v>83</v>
      </c>
    </row>
    <row r="5" spans="1:23" s="84" customFormat="1" ht="23.25" customHeight="1">
      <c r="A5" s="26" t="s">
        <v>430</v>
      </c>
      <c r="B5" s="107" t="s">
        <v>182</v>
      </c>
      <c r="C5" s="108" t="s">
        <v>29</v>
      </c>
      <c r="D5" s="17" t="s">
        <v>8</v>
      </c>
      <c r="E5" s="24" t="s">
        <v>183</v>
      </c>
      <c r="F5" s="109" t="s">
        <v>184</v>
      </c>
      <c r="G5" s="109" t="s">
        <v>23</v>
      </c>
      <c r="H5" s="126">
        <v>2000000</v>
      </c>
      <c r="I5" s="77">
        <v>2000000</v>
      </c>
      <c r="J5" s="68">
        <v>0.6</v>
      </c>
      <c r="K5" s="77">
        <v>1200000</v>
      </c>
      <c r="L5" s="18">
        <v>45825</v>
      </c>
      <c r="M5" s="74">
        <v>45832</v>
      </c>
      <c r="N5" s="67" t="s">
        <v>344</v>
      </c>
      <c r="O5" s="75">
        <v>2</v>
      </c>
      <c r="P5" s="75"/>
      <c r="Q5" s="75"/>
      <c r="R5" s="76"/>
      <c r="S5" s="21"/>
      <c r="T5" s="48" t="s">
        <v>430</v>
      </c>
      <c r="U5" s="48" t="s">
        <v>430</v>
      </c>
      <c r="V5" s="71" t="s">
        <v>430</v>
      </c>
      <c r="W5" s="72" t="s">
        <v>39</v>
      </c>
    </row>
    <row r="6" spans="1:23" s="84" customFormat="1" ht="23.25" customHeight="1">
      <c r="A6" s="26" t="s">
        <v>430</v>
      </c>
      <c r="B6" s="107" t="s">
        <v>293</v>
      </c>
      <c r="C6" s="108" t="s">
        <v>28</v>
      </c>
      <c r="D6" s="17" t="s">
        <v>42</v>
      </c>
      <c r="E6" s="24" t="s">
        <v>294</v>
      </c>
      <c r="F6" s="109" t="s">
        <v>295</v>
      </c>
      <c r="G6" s="109" t="s">
        <v>23</v>
      </c>
      <c r="H6" s="126">
        <v>4000000</v>
      </c>
      <c r="I6" s="77">
        <v>4000000</v>
      </c>
      <c r="J6" s="68">
        <v>0.5</v>
      </c>
      <c r="K6" s="77">
        <v>2000000</v>
      </c>
      <c r="L6" s="18">
        <v>45829</v>
      </c>
      <c r="M6" s="104">
        <v>45834</v>
      </c>
      <c r="N6" s="67" t="s">
        <v>344</v>
      </c>
      <c r="O6" s="67">
        <v>1</v>
      </c>
      <c r="P6" s="67"/>
      <c r="Q6" s="70"/>
      <c r="R6" s="20"/>
      <c r="S6" s="21"/>
      <c r="T6" s="48" t="s">
        <v>430</v>
      </c>
      <c r="U6" s="48" t="s">
        <v>430</v>
      </c>
      <c r="V6" s="71" t="s">
        <v>430</v>
      </c>
      <c r="W6" s="72" t="s">
        <v>39</v>
      </c>
    </row>
    <row r="7" spans="1:23" s="84" customFormat="1" ht="23.25" customHeight="1">
      <c r="A7" s="26" t="s">
        <v>430</v>
      </c>
      <c r="B7" s="107" t="s">
        <v>291</v>
      </c>
      <c r="C7" s="108" t="s">
        <v>29</v>
      </c>
      <c r="D7" s="17" t="s">
        <v>42</v>
      </c>
      <c r="E7" s="24" t="s">
        <v>218</v>
      </c>
      <c r="F7" s="109" t="s">
        <v>292</v>
      </c>
      <c r="G7" s="109" t="s">
        <v>23</v>
      </c>
      <c r="H7" s="126">
        <v>1620000</v>
      </c>
      <c r="I7" s="77">
        <v>1620000</v>
      </c>
      <c r="J7" s="68">
        <v>0.6</v>
      </c>
      <c r="K7" s="77">
        <v>972000</v>
      </c>
      <c r="L7" s="18">
        <v>45831</v>
      </c>
      <c r="M7" s="104">
        <v>45838</v>
      </c>
      <c r="N7" s="67" t="s">
        <v>344</v>
      </c>
      <c r="O7" s="67">
        <v>24</v>
      </c>
      <c r="P7" s="67"/>
      <c r="Q7" s="70"/>
      <c r="R7" s="20"/>
      <c r="S7" s="21"/>
      <c r="T7" s="48" t="s">
        <v>430</v>
      </c>
      <c r="U7" s="48" t="s">
        <v>430</v>
      </c>
      <c r="V7" s="71" t="s">
        <v>430</v>
      </c>
      <c r="W7" s="72" t="s">
        <v>39</v>
      </c>
    </row>
    <row r="8" spans="1:23" s="84" customFormat="1" ht="23.25" customHeight="1">
      <c r="A8" s="26" t="s">
        <v>430</v>
      </c>
      <c r="B8" s="107" t="s">
        <v>216</v>
      </c>
      <c r="C8" s="108" t="s">
        <v>28</v>
      </c>
      <c r="D8" s="17" t="s">
        <v>42</v>
      </c>
      <c r="E8" s="24" t="s">
        <v>181</v>
      </c>
      <c r="F8" s="109" t="s">
        <v>217</v>
      </c>
      <c r="G8" s="109" t="s">
        <v>23</v>
      </c>
      <c r="H8" s="126">
        <v>6000000</v>
      </c>
      <c r="I8" s="77">
        <v>6000000</v>
      </c>
      <c r="J8" s="68">
        <v>0.5</v>
      </c>
      <c r="K8" s="77">
        <v>3000000</v>
      </c>
      <c r="L8" s="18">
        <v>45835</v>
      </c>
      <c r="M8" s="104">
        <v>45840</v>
      </c>
      <c r="N8" s="67" t="s">
        <v>344</v>
      </c>
      <c r="O8" s="67">
        <v>1</v>
      </c>
      <c r="P8" s="67"/>
      <c r="Q8" s="70"/>
      <c r="R8" s="20"/>
      <c r="S8" s="21"/>
      <c r="T8" s="48" t="s">
        <v>430</v>
      </c>
      <c r="U8" s="48" t="s">
        <v>430</v>
      </c>
      <c r="V8" s="71" t="s">
        <v>430</v>
      </c>
      <c r="W8" s="72" t="s">
        <v>39</v>
      </c>
    </row>
    <row r="9" spans="1:23" s="84" customFormat="1" ht="23.25" customHeight="1">
      <c r="A9" s="26" t="s">
        <v>430</v>
      </c>
      <c r="B9" s="107" t="s">
        <v>288</v>
      </c>
      <c r="C9" s="108" t="s">
        <v>28</v>
      </c>
      <c r="D9" s="17" t="s">
        <v>8</v>
      </c>
      <c r="E9" s="24" t="s">
        <v>289</v>
      </c>
      <c r="F9" s="109" t="s">
        <v>290</v>
      </c>
      <c r="G9" s="109" t="s">
        <v>23</v>
      </c>
      <c r="H9" s="126">
        <v>4580000</v>
      </c>
      <c r="I9" s="77">
        <v>4580000</v>
      </c>
      <c r="J9" s="68">
        <v>0.6</v>
      </c>
      <c r="K9" s="77">
        <v>2748000</v>
      </c>
      <c r="L9" s="18">
        <v>45841</v>
      </c>
      <c r="M9" s="104">
        <v>45846</v>
      </c>
      <c r="N9" s="67" t="s">
        <v>344</v>
      </c>
      <c r="O9" s="67">
        <v>13</v>
      </c>
      <c r="P9" s="67"/>
      <c r="Q9" s="70"/>
      <c r="R9" s="20"/>
      <c r="S9" s="21"/>
      <c r="T9" s="48" t="s">
        <v>430</v>
      </c>
      <c r="U9" s="48" t="s">
        <v>430</v>
      </c>
      <c r="V9" s="71" t="s">
        <v>430</v>
      </c>
      <c r="W9" s="72" t="s">
        <v>39</v>
      </c>
    </row>
    <row r="10" spans="1:23" s="84" customFormat="1" ht="23.25" customHeight="1">
      <c r="A10" s="26" t="s">
        <v>430</v>
      </c>
      <c r="B10" s="107" t="s">
        <v>440</v>
      </c>
      <c r="C10" s="108" t="s">
        <v>28</v>
      </c>
      <c r="D10" s="17" t="s">
        <v>8</v>
      </c>
      <c r="E10" s="24" t="s">
        <v>441</v>
      </c>
      <c r="F10" s="109" t="s">
        <v>442</v>
      </c>
      <c r="G10" s="109" t="s">
        <v>23</v>
      </c>
      <c r="H10" s="126">
        <v>3960000</v>
      </c>
      <c r="I10" s="77">
        <v>3960000</v>
      </c>
      <c r="J10" s="68">
        <v>0.6</v>
      </c>
      <c r="K10" s="77">
        <v>2376000</v>
      </c>
      <c r="L10" s="18">
        <v>45846</v>
      </c>
      <c r="M10" s="74">
        <v>45851</v>
      </c>
      <c r="N10" s="67" t="s">
        <v>344</v>
      </c>
      <c r="O10" s="75">
        <v>6</v>
      </c>
      <c r="P10" s="75"/>
      <c r="Q10" s="75"/>
      <c r="R10" s="76"/>
      <c r="S10" s="21"/>
      <c r="T10" s="48" t="s">
        <v>430</v>
      </c>
      <c r="U10" s="48" t="s">
        <v>430</v>
      </c>
      <c r="V10" s="71" t="s">
        <v>430</v>
      </c>
      <c r="W10" s="72" t="s">
        <v>39</v>
      </c>
    </row>
    <row r="11" spans="1:23" s="84" customFormat="1" ht="23.25" customHeight="1">
      <c r="A11" s="26" t="s">
        <v>430</v>
      </c>
      <c r="B11" s="107" t="s">
        <v>443</v>
      </c>
      <c r="C11" s="108" t="s">
        <v>28</v>
      </c>
      <c r="D11" s="17" t="s">
        <v>8</v>
      </c>
      <c r="E11" s="24" t="s">
        <v>444</v>
      </c>
      <c r="F11" s="109" t="s">
        <v>445</v>
      </c>
      <c r="G11" s="109" t="s">
        <v>23</v>
      </c>
      <c r="H11" s="126">
        <v>1960000</v>
      </c>
      <c r="I11" s="77">
        <v>1960000</v>
      </c>
      <c r="J11" s="68">
        <v>0.6</v>
      </c>
      <c r="K11" s="77">
        <v>1176000</v>
      </c>
      <c r="L11" s="18">
        <v>45846</v>
      </c>
      <c r="M11" s="104">
        <v>45851</v>
      </c>
      <c r="N11" s="67" t="s">
        <v>344</v>
      </c>
      <c r="O11" s="67">
        <v>27</v>
      </c>
      <c r="P11" s="67"/>
      <c r="Q11" s="70"/>
      <c r="R11" s="20"/>
      <c r="S11" s="21"/>
      <c r="T11" s="48" t="s">
        <v>430</v>
      </c>
      <c r="U11" s="48" t="s">
        <v>430</v>
      </c>
      <c r="V11" s="71" t="s">
        <v>430</v>
      </c>
      <c r="W11" s="72" t="s">
        <v>39</v>
      </c>
    </row>
    <row r="12" spans="1:23" s="84" customFormat="1" ht="23.25" customHeight="1">
      <c r="A12" s="26" t="s">
        <v>430</v>
      </c>
      <c r="B12" s="107" t="s">
        <v>299</v>
      </c>
      <c r="C12" s="108" t="s">
        <v>28</v>
      </c>
      <c r="D12" s="17" t="s">
        <v>8</v>
      </c>
      <c r="E12" s="24" t="s">
        <v>300</v>
      </c>
      <c r="F12" s="109" t="s">
        <v>301</v>
      </c>
      <c r="G12" s="109" t="s">
        <v>23</v>
      </c>
      <c r="H12" s="126">
        <v>1850000</v>
      </c>
      <c r="I12" s="77">
        <v>1850000</v>
      </c>
      <c r="J12" s="68">
        <v>0.6</v>
      </c>
      <c r="K12" s="77">
        <v>1110000</v>
      </c>
      <c r="L12" s="18">
        <v>45848</v>
      </c>
      <c r="M12" s="104">
        <v>45853</v>
      </c>
      <c r="N12" s="67" t="s">
        <v>344</v>
      </c>
      <c r="O12" s="67">
        <v>2</v>
      </c>
      <c r="P12" s="67"/>
      <c r="Q12" s="70"/>
      <c r="R12" s="20"/>
      <c r="S12" s="21"/>
      <c r="T12" s="48" t="s">
        <v>430</v>
      </c>
      <c r="U12" s="48" t="s">
        <v>430</v>
      </c>
      <c r="V12" s="71" t="s">
        <v>430</v>
      </c>
      <c r="W12" s="72" t="s">
        <v>39</v>
      </c>
    </row>
    <row r="13" spans="1:23" s="84" customFormat="1" ht="23.25" customHeight="1">
      <c r="A13" s="26" t="s">
        <v>430</v>
      </c>
      <c r="B13" s="107" t="s">
        <v>302</v>
      </c>
      <c r="C13" s="108" t="s">
        <v>28</v>
      </c>
      <c r="D13" s="17" t="s">
        <v>8</v>
      </c>
      <c r="E13" s="24" t="s">
        <v>300</v>
      </c>
      <c r="F13" s="109" t="s">
        <v>301</v>
      </c>
      <c r="G13" s="109" t="s">
        <v>23</v>
      </c>
      <c r="H13" s="126">
        <v>300000</v>
      </c>
      <c r="I13" s="77">
        <v>300000</v>
      </c>
      <c r="J13" s="68">
        <v>0.6</v>
      </c>
      <c r="K13" s="77">
        <v>180000</v>
      </c>
      <c r="L13" s="18">
        <v>45848</v>
      </c>
      <c r="M13" s="104">
        <v>45853</v>
      </c>
      <c r="N13" s="67" t="s">
        <v>344</v>
      </c>
      <c r="O13" s="67">
        <v>10</v>
      </c>
      <c r="P13" s="67"/>
      <c r="Q13" s="70"/>
      <c r="R13" s="20"/>
      <c r="S13" s="21"/>
      <c r="T13" s="48" t="s">
        <v>430</v>
      </c>
      <c r="U13" s="48" t="s">
        <v>430</v>
      </c>
      <c r="V13" s="71" t="s">
        <v>430</v>
      </c>
      <c r="W13" s="72" t="s">
        <v>39</v>
      </c>
    </row>
    <row r="14" spans="1:23" s="84" customFormat="1" ht="23.25" customHeight="1">
      <c r="A14" s="26" t="s">
        <v>430</v>
      </c>
      <c r="B14" s="107" t="s">
        <v>487</v>
      </c>
      <c r="C14" s="108" t="s">
        <v>28</v>
      </c>
      <c r="D14" s="17" t="s">
        <v>8</v>
      </c>
      <c r="E14" s="24" t="s">
        <v>488</v>
      </c>
      <c r="F14" s="109" t="s">
        <v>489</v>
      </c>
      <c r="G14" s="109" t="s">
        <v>23</v>
      </c>
      <c r="H14" s="126">
        <v>100000</v>
      </c>
      <c r="I14" s="77">
        <v>100000</v>
      </c>
      <c r="J14" s="68">
        <v>0.6</v>
      </c>
      <c r="K14" s="77">
        <v>60000</v>
      </c>
      <c r="L14" s="18">
        <v>45848</v>
      </c>
      <c r="M14" s="74">
        <v>45853</v>
      </c>
      <c r="N14" s="67" t="s">
        <v>344</v>
      </c>
      <c r="O14" s="75">
        <v>1</v>
      </c>
      <c r="P14" s="75"/>
      <c r="Q14" s="75"/>
      <c r="R14" s="76"/>
      <c r="S14" s="21"/>
      <c r="T14" s="48" t="s">
        <v>430</v>
      </c>
      <c r="U14" s="48" t="s">
        <v>430</v>
      </c>
      <c r="V14" s="71" t="s">
        <v>430</v>
      </c>
      <c r="W14" s="72" t="s">
        <v>39</v>
      </c>
    </row>
    <row r="15" spans="1:23" s="84" customFormat="1" ht="23.25" customHeight="1">
      <c r="A15" s="26" t="s">
        <v>430</v>
      </c>
      <c r="B15" s="107" t="s">
        <v>303</v>
      </c>
      <c r="C15" s="108" t="s">
        <v>28</v>
      </c>
      <c r="D15" s="17" t="s">
        <v>8</v>
      </c>
      <c r="E15" s="24" t="s">
        <v>304</v>
      </c>
      <c r="F15" s="109" t="s">
        <v>305</v>
      </c>
      <c r="G15" s="109" t="s">
        <v>23</v>
      </c>
      <c r="H15" s="126">
        <v>5590000</v>
      </c>
      <c r="I15" s="77">
        <v>5590000</v>
      </c>
      <c r="J15" s="68">
        <v>0.6</v>
      </c>
      <c r="K15" s="77">
        <v>3354000</v>
      </c>
      <c r="L15" s="18">
        <v>45850</v>
      </c>
      <c r="M15" s="74">
        <v>45855</v>
      </c>
      <c r="N15" s="67" t="s">
        <v>344</v>
      </c>
      <c r="O15" s="67">
        <v>2</v>
      </c>
      <c r="P15" s="67"/>
      <c r="Q15" s="30"/>
      <c r="R15" s="27"/>
      <c r="S15" s="21"/>
      <c r="T15" s="48" t="s">
        <v>430</v>
      </c>
      <c r="U15" s="48" t="s">
        <v>430</v>
      </c>
      <c r="V15" s="71" t="s">
        <v>430</v>
      </c>
      <c r="W15" s="72" t="s">
        <v>39</v>
      </c>
    </row>
    <row r="16" spans="1:23" s="84" customFormat="1" ht="23.25" customHeight="1">
      <c r="A16" s="26" t="s">
        <v>430</v>
      </c>
      <c r="B16" s="107" t="s">
        <v>306</v>
      </c>
      <c r="C16" s="108" t="s">
        <v>28</v>
      </c>
      <c r="D16" s="17" t="s">
        <v>8</v>
      </c>
      <c r="E16" s="24" t="s">
        <v>304</v>
      </c>
      <c r="F16" s="109" t="s">
        <v>305</v>
      </c>
      <c r="G16" s="109" t="s">
        <v>23</v>
      </c>
      <c r="H16" s="126">
        <v>1216000</v>
      </c>
      <c r="I16" s="77">
        <v>1216000</v>
      </c>
      <c r="J16" s="68">
        <v>0.6</v>
      </c>
      <c r="K16" s="77">
        <v>729600</v>
      </c>
      <c r="L16" s="18">
        <v>45850</v>
      </c>
      <c r="M16" s="104">
        <v>45855</v>
      </c>
      <c r="N16" s="67" t="s">
        <v>344</v>
      </c>
      <c r="O16" s="75">
        <v>16</v>
      </c>
      <c r="P16" s="75"/>
      <c r="Q16" s="75"/>
      <c r="R16" s="76"/>
      <c r="S16" s="21"/>
      <c r="T16" s="48" t="s">
        <v>430</v>
      </c>
      <c r="U16" s="48" t="s">
        <v>430</v>
      </c>
      <c r="V16" s="71" t="s">
        <v>430</v>
      </c>
      <c r="W16" s="72" t="s">
        <v>39</v>
      </c>
    </row>
    <row r="17" spans="1:23" s="84" customFormat="1" ht="23.25" customHeight="1">
      <c r="A17" s="26" t="s">
        <v>430</v>
      </c>
      <c r="B17" s="107" t="s">
        <v>451</v>
      </c>
      <c r="C17" s="108" t="s">
        <v>28</v>
      </c>
      <c r="D17" s="17" t="s">
        <v>8</v>
      </c>
      <c r="E17" s="24" t="s">
        <v>452</v>
      </c>
      <c r="F17" s="109" t="s">
        <v>453</v>
      </c>
      <c r="G17" s="109" t="s">
        <v>23</v>
      </c>
      <c r="H17" s="126">
        <v>11387000</v>
      </c>
      <c r="I17" s="77">
        <v>11387000</v>
      </c>
      <c r="J17" s="68">
        <v>0.6</v>
      </c>
      <c r="K17" s="77">
        <v>6832200</v>
      </c>
      <c r="L17" s="18">
        <v>45852</v>
      </c>
      <c r="M17" s="104">
        <v>45857</v>
      </c>
      <c r="N17" s="67" t="s">
        <v>344</v>
      </c>
      <c r="O17" s="67">
        <v>10</v>
      </c>
      <c r="P17" s="67"/>
      <c r="Q17" s="70"/>
      <c r="R17" s="20"/>
      <c r="S17" s="21"/>
      <c r="T17" s="48" t="s">
        <v>430</v>
      </c>
      <c r="U17" s="48" t="s">
        <v>430</v>
      </c>
      <c r="V17" s="71" t="s">
        <v>430</v>
      </c>
      <c r="W17" s="72" t="s">
        <v>39</v>
      </c>
    </row>
    <row r="18" spans="1:23" s="84" customFormat="1" ht="23.25" customHeight="1">
      <c r="A18" s="26" t="s">
        <v>430</v>
      </c>
      <c r="B18" s="107" t="s">
        <v>454</v>
      </c>
      <c r="C18" s="108" t="s">
        <v>28</v>
      </c>
      <c r="D18" s="17" t="s">
        <v>62</v>
      </c>
      <c r="E18" s="24" t="s">
        <v>455</v>
      </c>
      <c r="F18" s="109" t="s">
        <v>456</v>
      </c>
      <c r="G18" s="109" t="s">
        <v>23</v>
      </c>
      <c r="H18" s="126">
        <v>13376000</v>
      </c>
      <c r="I18" s="77">
        <v>13376000</v>
      </c>
      <c r="J18" s="68">
        <v>0.6</v>
      </c>
      <c r="K18" s="77">
        <v>8025600</v>
      </c>
      <c r="L18" s="18">
        <v>45854</v>
      </c>
      <c r="M18" s="74">
        <v>45859</v>
      </c>
      <c r="N18" s="67" t="s">
        <v>344</v>
      </c>
      <c r="O18" s="75">
        <v>16</v>
      </c>
      <c r="P18" s="75"/>
      <c r="Q18" s="75"/>
      <c r="R18" s="76"/>
      <c r="S18" s="21"/>
      <c r="T18" s="48" t="s">
        <v>430</v>
      </c>
      <c r="U18" s="48" t="s">
        <v>430</v>
      </c>
      <c r="V18" s="71" t="s">
        <v>430</v>
      </c>
      <c r="W18" s="72" t="s">
        <v>39</v>
      </c>
    </row>
    <row r="19" spans="1:23" s="84" customFormat="1" ht="23.25" customHeight="1">
      <c r="A19" s="26" t="s">
        <v>430</v>
      </c>
      <c r="B19" s="107" t="s">
        <v>323</v>
      </c>
      <c r="C19" s="108" t="s">
        <v>28</v>
      </c>
      <c r="D19" s="17" t="s">
        <v>8</v>
      </c>
      <c r="E19" s="24" t="s">
        <v>324</v>
      </c>
      <c r="F19" s="109" t="s">
        <v>325</v>
      </c>
      <c r="G19" s="109" t="s">
        <v>23</v>
      </c>
      <c r="H19" s="126">
        <v>2400000</v>
      </c>
      <c r="I19" s="77">
        <v>2400000</v>
      </c>
      <c r="J19" s="68">
        <v>0.6</v>
      </c>
      <c r="K19" s="77">
        <v>1440000</v>
      </c>
      <c r="L19" s="18">
        <v>45857</v>
      </c>
      <c r="M19" s="104">
        <v>45862</v>
      </c>
      <c r="N19" s="67" t="s">
        <v>344</v>
      </c>
      <c r="O19" s="67">
        <v>1</v>
      </c>
      <c r="P19" s="67"/>
      <c r="Q19" s="70"/>
      <c r="R19" s="20"/>
      <c r="S19" s="21"/>
      <c r="T19" s="48" t="s">
        <v>430</v>
      </c>
      <c r="U19" s="48" t="s">
        <v>430</v>
      </c>
      <c r="V19" s="71" t="s">
        <v>430</v>
      </c>
      <c r="W19" s="72" t="s">
        <v>39</v>
      </c>
    </row>
    <row r="20" spans="1:23" s="84" customFormat="1" ht="23.25" customHeight="1">
      <c r="A20" s="26" t="s">
        <v>430</v>
      </c>
      <c r="B20" s="107" t="s">
        <v>320</v>
      </c>
      <c r="C20" s="108" t="s">
        <v>28</v>
      </c>
      <c r="D20" s="17" t="s">
        <v>8</v>
      </c>
      <c r="E20" s="24" t="s">
        <v>321</v>
      </c>
      <c r="F20" s="109" t="s">
        <v>322</v>
      </c>
      <c r="G20" s="109" t="s">
        <v>23</v>
      </c>
      <c r="H20" s="126">
        <v>3210000</v>
      </c>
      <c r="I20" s="77">
        <v>3210000</v>
      </c>
      <c r="J20" s="68">
        <v>0.6</v>
      </c>
      <c r="K20" s="77">
        <v>1926000</v>
      </c>
      <c r="L20" s="18">
        <v>45858</v>
      </c>
      <c r="M20" s="74">
        <v>45863</v>
      </c>
      <c r="N20" s="67" t="s">
        <v>344</v>
      </c>
      <c r="O20" s="67">
        <v>1</v>
      </c>
      <c r="P20" s="67"/>
      <c r="Q20" s="30"/>
      <c r="R20" s="27"/>
      <c r="S20" s="21"/>
      <c r="T20" s="48" t="s">
        <v>430</v>
      </c>
      <c r="U20" s="48" t="s">
        <v>430</v>
      </c>
      <c r="V20" s="71" t="s">
        <v>430</v>
      </c>
      <c r="W20" s="72" t="s">
        <v>39</v>
      </c>
    </row>
    <row r="21" spans="1:23" s="84" customFormat="1" ht="23.25" customHeight="1">
      <c r="A21" s="26" t="s">
        <v>430</v>
      </c>
      <c r="B21" s="107" t="s">
        <v>329</v>
      </c>
      <c r="C21" s="108" t="s">
        <v>29</v>
      </c>
      <c r="D21" s="17" t="s">
        <v>8</v>
      </c>
      <c r="E21" s="24" t="s">
        <v>321</v>
      </c>
      <c r="F21" s="109" t="s">
        <v>322</v>
      </c>
      <c r="G21" s="109" t="s">
        <v>23</v>
      </c>
      <c r="H21" s="126">
        <v>2280000</v>
      </c>
      <c r="I21" s="77">
        <v>2280000</v>
      </c>
      <c r="J21" s="68">
        <v>0.6</v>
      </c>
      <c r="K21" s="77">
        <v>1368000</v>
      </c>
      <c r="L21" s="18">
        <v>45858</v>
      </c>
      <c r="M21" s="104">
        <v>45863</v>
      </c>
      <c r="N21" s="67" t="s">
        <v>344</v>
      </c>
      <c r="O21" s="67">
        <v>5</v>
      </c>
      <c r="P21" s="67"/>
      <c r="Q21" s="70"/>
      <c r="R21" s="20"/>
      <c r="S21" s="21"/>
      <c r="T21" s="48" t="s">
        <v>430</v>
      </c>
      <c r="U21" s="48" t="s">
        <v>430</v>
      </c>
      <c r="V21" s="71" t="s">
        <v>430</v>
      </c>
      <c r="W21" s="72" t="s">
        <v>39</v>
      </c>
    </row>
    <row r="22" spans="1:23" s="84" customFormat="1" ht="23.25" customHeight="1">
      <c r="A22" s="26" t="s">
        <v>430</v>
      </c>
      <c r="B22" s="107" t="s">
        <v>567</v>
      </c>
      <c r="C22" s="108" t="s">
        <v>28</v>
      </c>
      <c r="D22" s="17" t="s">
        <v>8</v>
      </c>
      <c r="E22" s="24" t="s">
        <v>304</v>
      </c>
      <c r="F22" s="109" t="s">
        <v>568</v>
      </c>
      <c r="G22" s="109" t="s">
        <v>23</v>
      </c>
      <c r="H22" s="126">
        <v>1800000</v>
      </c>
      <c r="I22" s="77">
        <v>1800000</v>
      </c>
      <c r="J22" s="68">
        <v>0.6</v>
      </c>
      <c r="K22" s="77">
        <v>1080000</v>
      </c>
      <c r="L22" s="18">
        <v>45858</v>
      </c>
      <c r="M22" s="74">
        <v>45863</v>
      </c>
      <c r="N22" s="67" t="s">
        <v>344</v>
      </c>
      <c r="O22" s="75">
        <v>34</v>
      </c>
      <c r="P22" s="75"/>
      <c r="Q22" s="75"/>
      <c r="R22" s="76"/>
      <c r="S22" s="21"/>
      <c r="T22" s="48" t="s">
        <v>430</v>
      </c>
      <c r="U22" s="48" t="s">
        <v>430</v>
      </c>
      <c r="V22" s="71" t="s">
        <v>430</v>
      </c>
      <c r="W22" s="72" t="s">
        <v>39</v>
      </c>
    </row>
    <row r="23" spans="1:23" s="84" customFormat="1" ht="23.25" customHeight="1">
      <c r="A23" s="26" t="s">
        <v>430</v>
      </c>
      <c r="B23" s="107" t="s">
        <v>569</v>
      </c>
      <c r="C23" s="108" t="s">
        <v>28</v>
      </c>
      <c r="D23" s="17" t="s">
        <v>8</v>
      </c>
      <c r="E23" s="24" t="s">
        <v>570</v>
      </c>
      <c r="F23" s="109" t="s">
        <v>571</v>
      </c>
      <c r="G23" s="109" t="s">
        <v>23</v>
      </c>
      <c r="H23" s="126">
        <v>5700000</v>
      </c>
      <c r="I23" s="77">
        <v>5700000</v>
      </c>
      <c r="J23" s="68">
        <v>0.6</v>
      </c>
      <c r="K23" s="77">
        <v>3420000</v>
      </c>
      <c r="L23" s="18">
        <v>45859</v>
      </c>
      <c r="M23" s="104">
        <v>45864</v>
      </c>
      <c r="N23" s="67" t="s">
        <v>344</v>
      </c>
      <c r="O23" s="67">
        <v>1</v>
      </c>
      <c r="P23" s="67"/>
      <c r="Q23" s="70"/>
      <c r="R23" s="20"/>
      <c r="S23" s="21"/>
      <c r="T23" s="48" t="s">
        <v>430</v>
      </c>
      <c r="U23" s="48" t="s">
        <v>430</v>
      </c>
      <c r="V23" s="71" t="s">
        <v>430</v>
      </c>
      <c r="W23" s="72" t="s">
        <v>39</v>
      </c>
    </row>
    <row r="24" spans="1:23" s="84" customFormat="1" ht="23.25" customHeight="1">
      <c r="A24" s="26" t="s">
        <v>430</v>
      </c>
      <c r="B24" s="107" t="s">
        <v>457</v>
      </c>
      <c r="C24" s="108" t="s">
        <v>28</v>
      </c>
      <c r="D24" s="17" t="s">
        <v>8</v>
      </c>
      <c r="E24" s="24" t="s">
        <v>458</v>
      </c>
      <c r="F24" s="109" t="s">
        <v>459</v>
      </c>
      <c r="G24" s="109" t="s">
        <v>23</v>
      </c>
      <c r="H24" s="126">
        <v>8170000</v>
      </c>
      <c r="I24" s="77">
        <v>8170000</v>
      </c>
      <c r="J24" s="68">
        <v>0.5</v>
      </c>
      <c r="K24" s="33">
        <v>4085000</v>
      </c>
      <c r="L24" s="18">
        <v>45858</v>
      </c>
      <c r="M24" s="104">
        <v>45865</v>
      </c>
      <c r="N24" s="67" t="s">
        <v>344</v>
      </c>
      <c r="O24" s="189">
        <v>2</v>
      </c>
      <c r="P24" s="189"/>
      <c r="Q24" s="67"/>
      <c r="R24" s="30"/>
      <c r="S24" s="21"/>
      <c r="T24" s="48" t="s">
        <v>430</v>
      </c>
      <c r="U24" s="48" t="s">
        <v>430</v>
      </c>
      <c r="V24" s="71" t="s">
        <v>430</v>
      </c>
      <c r="W24" s="72" t="s">
        <v>39</v>
      </c>
    </row>
    <row r="25" spans="1:23" s="84" customFormat="1" ht="23.25" customHeight="1">
      <c r="A25" s="26" t="s">
        <v>430</v>
      </c>
      <c r="B25" s="107" t="s">
        <v>460</v>
      </c>
      <c r="C25" s="108" t="s">
        <v>28</v>
      </c>
      <c r="D25" s="17" t="s">
        <v>8</v>
      </c>
      <c r="E25" s="24" t="s">
        <v>461</v>
      </c>
      <c r="F25" s="109" t="s">
        <v>462</v>
      </c>
      <c r="G25" s="109" t="s">
        <v>23</v>
      </c>
      <c r="H25" s="126">
        <v>10998000</v>
      </c>
      <c r="I25" s="77">
        <v>10998000</v>
      </c>
      <c r="J25" s="68">
        <v>0.6</v>
      </c>
      <c r="K25" s="33">
        <v>6598800</v>
      </c>
      <c r="L25" s="18">
        <v>45860</v>
      </c>
      <c r="M25" s="18">
        <v>45865</v>
      </c>
      <c r="N25" s="67" t="s">
        <v>344</v>
      </c>
      <c r="O25" s="75">
        <v>20</v>
      </c>
      <c r="P25" s="75"/>
      <c r="Q25" s="75"/>
      <c r="R25" s="76"/>
      <c r="S25" s="21"/>
      <c r="T25" s="48" t="s">
        <v>430</v>
      </c>
      <c r="U25" s="48" t="s">
        <v>430</v>
      </c>
      <c r="V25" s="71" t="s">
        <v>430</v>
      </c>
      <c r="W25" s="72" t="s">
        <v>39</v>
      </c>
    </row>
    <row r="26" spans="1:23" s="84" customFormat="1" ht="23.25" customHeight="1">
      <c r="A26" s="26" t="s">
        <v>430</v>
      </c>
      <c r="B26" s="107" t="s">
        <v>446</v>
      </c>
      <c r="C26" s="108" t="s">
        <v>28</v>
      </c>
      <c r="D26" s="17" t="s">
        <v>8</v>
      </c>
      <c r="E26" s="24" t="s">
        <v>447</v>
      </c>
      <c r="F26" s="109" t="s">
        <v>448</v>
      </c>
      <c r="G26" s="109" t="s">
        <v>23</v>
      </c>
      <c r="H26" s="126">
        <v>4200000</v>
      </c>
      <c r="I26" s="77">
        <v>4200000</v>
      </c>
      <c r="J26" s="68">
        <v>0.5</v>
      </c>
      <c r="K26" s="33">
        <v>2100000</v>
      </c>
      <c r="L26" s="18">
        <v>45861</v>
      </c>
      <c r="M26" s="97">
        <v>45866</v>
      </c>
      <c r="N26" s="67" t="s">
        <v>344</v>
      </c>
      <c r="O26" s="113">
        <v>1</v>
      </c>
      <c r="P26" s="113"/>
      <c r="Q26" s="70"/>
      <c r="R26" s="20"/>
      <c r="S26" s="21"/>
      <c r="T26" s="48" t="s">
        <v>430</v>
      </c>
      <c r="U26" s="48" t="s">
        <v>430</v>
      </c>
      <c r="V26" s="71" t="s">
        <v>430</v>
      </c>
      <c r="W26" s="72" t="s">
        <v>39</v>
      </c>
    </row>
    <row r="27" spans="1:23" s="84" customFormat="1" ht="23.25" customHeight="1">
      <c r="A27" s="26" t="s">
        <v>430</v>
      </c>
      <c r="B27" s="107" t="s">
        <v>296</v>
      </c>
      <c r="C27" s="108" t="s">
        <v>28</v>
      </c>
      <c r="D27" s="17" t="s">
        <v>8</v>
      </c>
      <c r="E27" s="24" t="s">
        <v>297</v>
      </c>
      <c r="F27" s="109" t="s">
        <v>298</v>
      </c>
      <c r="G27" s="109" t="s">
        <v>23</v>
      </c>
      <c r="H27" s="126">
        <v>5280000</v>
      </c>
      <c r="I27" s="77">
        <v>5280000</v>
      </c>
      <c r="J27" s="68">
        <v>0.6</v>
      </c>
      <c r="K27" s="33">
        <v>3168000</v>
      </c>
      <c r="L27" s="18">
        <v>45861</v>
      </c>
      <c r="M27" s="97">
        <v>45868</v>
      </c>
      <c r="N27" s="67" t="s">
        <v>344</v>
      </c>
      <c r="O27" s="113">
        <v>2</v>
      </c>
      <c r="P27" s="113"/>
      <c r="Q27" s="70"/>
      <c r="R27" s="20"/>
      <c r="S27" s="21"/>
      <c r="T27" s="48" t="s">
        <v>430</v>
      </c>
      <c r="U27" s="48" t="s">
        <v>430</v>
      </c>
      <c r="V27" s="71" t="s">
        <v>430</v>
      </c>
      <c r="W27" s="72" t="s">
        <v>39</v>
      </c>
    </row>
    <row r="28" spans="1:23" s="84" customFormat="1" ht="23.25" customHeight="1">
      <c r="A28" s="26" t="s">
        <v>430</v>
      </c>
      <c r="B28" s="107" t="s">
        <v>434</v>
      </c>
      <c r="C28" s="108" t="s">
        <v>28</v>
      </c>
      <c r="D28" s="17" t="s">
        <v>8</v>
      </c>
      <c r="E28" s="24" t="s">
        <v>435</v>
      </c>
      <c r="F28" s="109" t="s">
        <v>436</v>
      </c>
      <c r="G28" s="109" t="s">
        <v>23</v>
      </c>
      <c r="H28" s="126">
        <v>1630000</v>
      </c>
      <c r="I28" s="77">
        <v>1630000</v>
      </c>
      <c r="J28" s="68">
        <v>0.6</v>
      </c>
      <c r="K28" s="33">
        <v>978000</v>
      </c>
      <c r="L28" s="18">
        <v>45865</v>
      </c>
      <c r="M28" s="97">
        <v>45870</v>
      </c>
      <c r="N28" s="67" t="s">
        <v>344</v>
      </c>
      <c r="O28" s="128">
        <v>1</v>
      </c>
      <c r="P28" s="128"/>
      <c r="Q28" s="75"/>
      <c r="R28" s="76"/>
      <c r="S28" s="21"/>
      <c r="T28" s="48" t="s">
        <v>430</v>
      </c>
      <c r="U28" s="48" t="s">
        <v>430</v>
      </c>
      <c r="V28" s="71" t="s">
        <v>430</v>
      </c>
      <c r="W28" s="72" t="s">
        <v>39</v>
      </c>
    </row>
    <row r="29" spans="1:23" s="84" customFormat="1" ht="23.25" customHeight="1">
      <c r="A29" s="26" t="s">
        <v>430</v>
      </c>
      <c r="B29" s="107" t="s">
        <v>431</v>
      </c>
      <c r="C29" s="108" t="s">
        <v>28</v>
      </c>
      <c r="D29" s="17" t="s">
        <v>8</v>
      </c>
      <c r="E29" s="24" t="s">
        <v>432</v>
      </c>
      <c r="F29" s="109" t="s">
        <v>433</v>
      </c>
      <c r="G29" s="109" t="s">
        <v>23</v>
      </c>
      <c r="H29" s="126">
        <v>5000000</v>
      </c>
      <c r="I29" s="77">
        <v>5000000</v>
      </c>
      <c r="J29" s="68">
        <v>0.6</v>
      </c>
      <c r="K29" s="33">
        <v>3000000</v>
      </c>
      <c r="L29" s="18">
        <v>45866</v>
      </c>
      <c r="M29" s="97">
        <v>45871</v>
      </c>
      <c r="N29" s="67" t="s">
        <v>344</v>
      </c>
      <c r="O29" s="113">
        <v>4</v>
      </c>
      <c r="P29" s="113"/>
      <c r="Q29" s="129"/>
      <c r="R29" s="20"/>
      <c r="S29" s="21"/>
      <c r="T29" s="48" t="s">
        <v>430</v>
      </c>
      <c r="U29" s="48" t="s">
        <v>430</v>
      </c>
      <c r="V29" s="71" t="s">
        <v>430</v>
      </c>
      <c r="W29" s="72" t="s">
        <v>39</v>
      </c>
    </row>
    <row r="30" spans="1:23" s="84" customFormat="1" ht="23.25" customHeight="1">
      <c r="A30" s="26" t="s">
        <v>430</v>
      </c>
      <c r="B30" s="107" t="s">
        <v>562</v>
      </c>
      <c r="C30" s="108" t="s">
        <v>29</v>
      </c>
      <c r="D30" s="17" t="s">
        <v>8</v>
      </c>
      <c r="E30" s="24" t="s">
        <v>560</v>
      </c>
      <c r="F30" s="109" t="s">
        <v>563</v>
      </c>
      <c r="G30" s="109" t="s">
        <v>23</v>
      </c>
      <c r="H30" s="126">
        <v>3270000</v>
      </c>
      <c r="I30" s="77">
        <v>3270000</v>
      </c>
      <c r="J30" s="68">
        <v>0.6</v>
      </c>
      <c r="K30" s="33">
        <v>1962000</v>
      </c>
      <c r="L30" s="18">
        <v>45866</v>
      </c>
      <c r="M30" s="97">
        <v>45873</v>
      </c>
      <c r="N30" s="67" t="s">
        <v>344</v>
      </c>
      <c r="O30" s="128">
        <v>117</v>
      </c>
      <c r="P30" s="128"/>
      <c r="Q30" s="128"/>
      <c r="R30" s="73"/>
      <c r="S30" s="21"/>
      <c r="T30" s="48" t="s">
        <v>430</v>
      </c>
      <c r="U30" s="48" t="s">
        <v>430</v>
      </c>
      <c r="V30" s="71" t="s">
        <v>430</v>
      </c>
      <c r="W30" s="72" t="s">
        <v>39</v>
      </c>
    </row>
    <row r="31" spans="1:23" s="84" customFormat="1" ht="23.25" customHeight="1">
      <c r="A31" s="26" t="s">
        <v>430</v>
      </c>
      <c r="B31" s="107" t="s">
        <v>437</v>
      </c>
      <c r="C31" s="108" t="s">
        <v>28</v>
      </c>
      <c r="D31" s="17" t="s">
        <v>8</v>
      </c>
      <c r="E31" s="24" t="s">
        <v>438</v>
      </c>
      <c r="F31" s="109" t="s">
        <v>439</v>
      </c>
      <c r="G31" s="109" t="s">
        <v>23</v>
      </c>
      <c r="H31" s="126">
        <v>900000</v>
      </c>
      <c r="I31" s="77">
        <v>900000</v>
      </c>
      <c r="J31" s="68">
        <v>0.5</v>
      </c>
      <c r="K31" s="33">
        <v>450000</v>
      </c>
      <c r="L31" s="18">
        <v>45872</v>
      </c>
      <c r="M31" s="97">
        <v>45877</v>
      </c>
      <c r="N31" s="67" t="s">
        <v>344</v>
      </c>
      <c r="O31" s="113">
        <v>1</v>
      </c>
      <c r="P31" s="113"/>
      <c r="Q31" s="113"/>
      <c r="R31" s="82"/>
      <c r="S31" s="21"/>
      <c r="T31" s="48" t="s">
        <v>430</v>
      </c>
      <c r="U31" s="48" t="s">
        <v>430</v>
      </c>
      <c r="V31" s="71" t="s">
        <v>430</v>
      </c>
      <c r="W31" s="72" t="s">
        <v>39</v>
      </c>
    </row>
    <row r="32" spans="1:23" s="84" customFormat="1" ht="23.25" customHeight="1">
      <c r="A32" s="26" t="s">
        <v>430</v>
      </c>
      <c r="B32" s="107" t="s">
        <v>585</v>
      </c>
      <c r="C32" s="108" t="s">
        <v>28</v>
      </c>
      <c r="D32" s="17" t="s">
        <v>42</v>
      </c>
      <c r="E32" s="24" t="s">
        <v>586</v>
      </c>
      <c r="F32" s="109" t="s">
        <v>587</v>
      </c>
      <c r="G32" s="109" t="s">
        <v>23</v>
      </c>
      <c r="H32" s="126">
        <v>1076000</v>
      </c>
      <c r="I32" s="77">
        <v>1076000</v>
      </c>
      <c r="J32" s="68">
        <v>0.6</v>
      </c>
      <c r="K32" s="33">
        <v>645600</v>
      </c>
      <c r="L32" s="18">
        <v>45875</v>
      </c>
      <c r="M32" s="18">
        <v>45880</v>
      </c>
      <c r="N32" s="67" t="s">
        <v>344</v>
      </c>
      <c r="O32" s="128">
        <v>20</v>
      </c>
      <c r="P32" s="128"/>
      <c r="Q32" s="128"/>
      <c r="R32" s="76"/>
      <c r="S32" s="21"/>
      <c r="T32" s="48" t="s">
        <v>430</v>
      </c>
      <c r="U32" s="48" t="s">
        <v>430</v>
      </c>
      <c r="V32" s="71" t="s">
        <v>430</v>
      </c>
      <c r="W32" s="72" t="s">
        <v>39</v>
      </c>
    </row>
    <row r="33" spans="1:23" s="84" customFormat="1" ht="23.25" customHeight="1">
      <c r="A33" s="26" t="s">
        <v>430</v>
      </c>
      <c r="B33" s="107" t="s">
        <v>591</v>
      </c>
      <c r="C33" s="108" t="s">
        <v>28</v>
      </c>
      <c r="D33" s="17" t="s">
        <v>8</v>
      </c>
      <c r="E33" s="24" t="s">
        <v>219</v>
      </c>
      <c r="F33" s="109" t="s">
        <v>592</v>
      </c>
      <c r="G33" s="109" t="s">
        <v>23</v>
      </c>
      <c r="H33" s="126">
        <v>250000</v>
      </c>
      <c r="I33" s="77">
        <v>250000</v>
      </c>
      <c r="J33" s="68">
        <v>0.6</v>
      </c>
      <c r="K33" s="33">
        <v>150000</v>
      </c>
      <c r="L33" s="18">
        <v>45875</v>
      </c>
      <c r="M33" s="18">
        <v>45880</v>
      </c>
      <c r="N33" s="67" t="s">
        <v>344</v>
      </c>
      <c r="O33" s="128">
        <v>2</v>
      </c>
      <c r="P33" s="128"/>
      <c r="Q33" s="128"/>
      <c r="R33" s="73"/>
      <c r="S33" s="21"/>
      <c r="T33" s="48" t="s">
        <v>430</v>
      </c>
      <c r="U33" s="48" t="s">
        <v>430</v>
      </c>
      <c r="V33" s="71" t="s">
        <v>430</v>
      </c>
      <c r="W33" s="72" t="s">
        <v>39</v>
      </c>
    </row>
    <row r="34" spans="1:23" s="84" customFormat="1" ht="23.25" customHeight="1">
      <c r="A34" s="26" t="s">
        <v>430</v>
      </c>
      <c r="B34" s="107" t="s">
        <v>449</v>
      </c>
      <c r="C34" s="108" t="s">
        <v>28</v>
      </c>
      <c r="D34" s="17" t="s">
        <v>8</v>
      </c>
      <c r="E34" s="24" t="s">
        <v>297</v>
      </c>
      <c r="F34" s="109" t="s">
        <v>450</v>
      </c>
      <c r="G34" s="109" t="s">
        <v>23</v>
      </c>
      <c r="H34" s="126">
        <v>1200000</v>
      </c>
      <c r="I34" s="77">
        <v>1200000</v>
      </c>
      <c r="J34" s="68">
        <v>0.6</v>
      </c>
      <c r="K34" s="33">
        <v>720000</v>
      </c>
      <c r="L34" s="18">
        <v>45881</v>
      </c>
      <c r="M34" s="18">
        <v>45888</v>
      </c>
      <c r="N34" s="67" t="s">
        <v>344</v>
      </c>
      <c r="O34" s="128">
        <v>1</v>
      </c>
      <c r="P34" s="128"/>
      <c r="Q34" s="128"/>
      <c r="R34" s="73"/>
      <c r="S34" s="21"/>
      <c r="T34" s="48" t="s">
        <v>430</v>
      </c>
      <c r="U34" s="48" t="s">
        <v>430</v>
      </c>
      <c r="V34" s="71" t="s">
        <v>430</v>
      </c>
      <c r="W34" s="72" t="s">
        <v>39</v>
      </c>
    </row>
    <row r="35" spans="1:23" s="84" customFormat="1" ht="23.25" customHeight="1">
      <c r="A35" s="26" t="s">
        <v>430</v>
      </c>
      <c r="B35" s="107" t="s">
        <v>326</v>
      </c>
      <c r="C35" s="108" t="s">
        <v>28</v>
      </c>
      <c r="D35" s="17" t="s">
        <v>8</v>
      </c>
      <c r="E35" s="24" t="s">
        <v>327</v>
      </c>
      <c r="F35" s="109" t="s">
        <v>328</v>
      </c>
      <c r="G35" s="109" t="s">
        <v>23</v>
      </c>
      <c r="H35" s="126">
        <v>3200000</v>
      </c>
      <c r="I35" s="77">
        <v>3200000</v>
      </c>
      <c r="J35" s="68">
        <v>0.6</v>
      </c>
      <c r="K35" s="33">
        <v>1920000</v>
      </c>
      <c r="L35" s="18">
        <v>45887</v>
      </c>
      <c r="M35" s="18">
        <v>45892</v>
      </c>
      <c r="N35" s="67" t="s">
        <v>344</v>
      </c>
      <c r="O35" s="128">
        <v>1</v>
      </c>
      <c r="P35" s="128"/>
      <c r="Q35" s="128"/>
      <c r="R35" s="73"/>
      <c r="S35" s="21"/>
      <c r="T35" s="48" t="s">
        <v>430</v>
      </c>
      <c r="U35" s="48" t="s">
        <v>430</v>
      </c>
      <c r="V35" s="71" t="s">
        <v>430</v>
      </c>
      <c r="W35" s="72" t="s">
        <v>39</v>
      </c>
    </row>
    <row r="36" spans="1:23" s="84" customFormat="1" ht="23.25" customHeight="1">
      <c r="A36" s="26" t="s">
        <v>430</v>
      </c>
      <c r="B36" s="107" t="s">
        <v>484</v>
      </c>
      <c r="C36" s="108" t="s">
        <v>28</v>
      </c>
      <c r="D36" s="17" t="s">
        <v>8</v>
      </c>
      <c r="E36" s="24" t="s">
        <v>485</v>
      </c>
      <c r="F36" s="109" t="s">
        <v>486</v>
      </c>
      <c r="G36" s="109" t="s">
        <v>23</v>
      </c>
      <c r="H36" s="126">
        <v>1460000</v>
      </c>
      <c r="I36" s="77">
        <v>1460000</v>
      </c>
      <c r="J36" s="68">
        <v>0.6</v>
      </c>
      <c r="K36" s="33">
        <v>876000</v>
      </c>
      <c r="L36" s="18">
        <v>45891</v>
      </c>
      <c r="M36" s="18">
        <v>45898</v>
      </c>
      <c r="N36" s="67"/>
      <c r="O36" s="128">
        <v>4</v>
      </c>
      <c r="P36" s="128"/>
      <c r="Q36" s="128"/>
      <c r="R36" s="73"/>
      <c r="S36" s="21"/>
      <c r="T36" s="48" t="s">
        <v>430</v>
      </c>
      <c r="U36" s="48" t="s">
        <v>430</v>
      </c>
      <c r="V36" s="71" t="s">
        <v>430</v>
      </c>
      <c r="W36" s="72" t="s">
        <v>39</v>
      </c>
    </row>
    <row r="37" spans="1:23" s="84" customFormat="1" ht="23.25" customHeight="1">
      <c r="A37" s="26" t="s">
        <v>430</v>
      </c>
      <c r="B37" s="107" t="s">
        <v>278</v>
      </c>
      <c r="C37" s="108" t="s">
        <v>28</v>
      </c>
      <c r="D37" s="17" t="s">
        <v>8</v>
      </c>
      <c r="E37" s="24" t="s">
        <v>60</v>
      </c>
      <c r="F37" s="109" t="s">
        <v>279</v>
      </c>
      <c r="G37" s="109" t="s">
        <v>23</v>
      </c>
      <c r="H37" s="126">
        <v>12840000</v>
      </c>
      <c r="I37" s="77">
        <v>12840000</v>
      </c>
      <c r="J37" s="68">
        <v>0.5</v>
      </c>
      <c r="K37" s="33">
        <v>6420000</v>
      </c>
      <c r="L37" s="18">
        <v>45896</v>
      </c>
      <c r="M37" s="104">
        <v>45903</v>
      </c>
      <c r="N37" s="67" t="s">
        <v>344</v>
      </c>
      <c r="O37" s="113">
        <v>3</v>
      </c>
      <c r="P37" s="113"/>
      <c r="Q37" s="129"/>
      <c r="R37" s="36"/>
      <c r="S37" s="21"/>
      <c r="T37" s="48" t="s">
        <v>430</v>
      </c>
      <c r="U37" s="48" t="s">
        <v>430</v>
      </c>
      <c r="V37" s="71" t="s">
        <v>430</v>
      </c>
      <c r="W37" s="72" t="s">
        <v>39</v>
      </c>
    </row>
    <row r="38" spans="1:23" s="84" customFormat="1" ht="23.25" customHeight="1">
      <c r="A38" s="26" t="s">
        <v>430</v>
      </c>
      <c r="B38" s="107" t="s">
        <v>559</v>
      </c>
      <c r="C38" s="108" t="s">
        <v>28</v>
      </c>
      <c r="D38" s="17" t="s">
        <v>8</v>
      </c>
      <c r="E38" s="24" t="s">
        <v>560</v>
      </c>
      <c r="F38" s="109" t="s">
        <v>561</v>
      </c>
      <c r="G38" s="109" t="s">
        <v>23</v>
      </c>
      <c r="H38" s="126">
        <v>4340000</v>
      </c>
      <c r="I38" s="77">
        <v>4340000</v>
      </c>
      <c r="J38" s="68">
        <v>0.6</v>
      </c>
      <c r="K38" s="33">
        <v>2604000</v>
      </c>
      <c r="L38" s="18">
        <v>45897</v>
      </c>
      <c r="M38" s="97">
        <v>45904</v>
      </c>
      <c r="N38" s="67" t="s">
        <v>344</v>
      </c>
      <c r="O38" s="113">
        <v>3</v>
      </c>
      <c r="P38" s="113"/>
      <c r="Q38" s="129"/>
      <c r="R38" s="20"/>
      <c r="S38" s="21"/>
      <c r="T38" s="48" t="s">
        <v>430</v>
      </c>
      <c r="U38" s="48" t="s">
        <v>430</v>
      </c>
      <c r="V38" s="71" t="s">
        <v>430</v>
      </c>
      <c r="W38" s="72" t="s">
        <v>39</v>
      </c>
    </row>
    <row r="39" spans="1:23" s="84" customFormat="1" ht="23.25" customHeight="1">
      <c r="A39" s="26" t="s">
        <v>430</v>
      </c>
      <c r="B39" s="107" t="s">
        <v>564</v>
      </c>
      <c r="C39" s="108" t="s">
        <v>28</v>
      </c>
      <c r="D39" s="17" t="s">
        <v>8</v>
      </c>
      <c r="E39" s="24" t="s">
        <v>565</v>
      </c>
      <c r="F39" s="109" t="s">
        <v>566</v>
      </c>
      <c r="G39" s="109" t="s">
        <v>23</v>
      </c>
      <c r="H39" s="126">
        <v>4845000</v>
      </c>
      <c r="I39" s="77">
        <v>4845000</v>
      </c>
      <c r="J39" s="68">
        <v>0.5</v>
      </c>
      <c r="K39" s="33">
        <v>2422500</v>
      </c>
      <c r="L39" s="18">
        <v>45905</v>
      </c>
      <c r="M39" s="97">
        <v>45910</v>
      </c>
      <c r="N39" s="67" t="s">
        <v>344</v>
      </c>
      <c r="O39" s="113">
        <v>1</v>
      </c>
      <c r="P39" s="113"/>
      <c r="Q39" s="129"/>
      <c r="R39" s="20"/>
      <c r="S39" s="21"/>
      <c r="T39" s="48" t="s">
        <v>430</v>
      </c>
      <c r="U39" s="48" t="s">
        <v>430</v>
      </c>
      <c r="V39" s="71" t="s">
        <v>430</v>
      </c>
      <c r="W39" s="72" t="s">
        <v>39</v>
      </c>
    </row>
    <row r="40" spans="1:23" s="84" customFormat="1" ht="23.25" customHeight="1">
      <c r="A40" s="26" t="s">
        <v>430</v>
      </c>
      <c r="B40" s="107" t="s">
        <v>582</v>
      </c>
      <c r="C40" s="108" t="s">
        <v>28</v>
      </c>
      <c r="D40" s="17" t="s">
        <v>8</v>
      </c>
      <c r="E40" s="24" t="s">
        <v>583</v>
      </c>
      <c r="F40" s="109" t="s">
        <v>584</v>
      </c>
      <c r="G40" s="109" t="s">
        <v>23</v>
      </c>
      <c r="H40" s="126">
        <v>4180000</v>
      </c>
      <c r="I40" s="77">
        <v>4180000</v>
      </c>
      <c r="J40" s="68">
        <v>0.5</v>
      </c>
      <c r="K40" s="33">
        <v>2090000</v>
      </c>
      <c r="L40" s="18">
        <v>45905</v>
      </c>
      <c r="M40" s="18">
        <v>45910</v>
      </c>
      <c r="N40" s="67" t="s">
        <v>344</v>
      </c>
      <c r="O40" s="128">
        <v>1</v>
      </c>
      <c r="P40" s="128"/>
      <c r="Q40" s="128"/>
      <c r="R40" s="73"/>
      <c r="S40" s="21"/>
      <c r="T40" s="48" t="s">
        <v>430</v>
      </c>
      <c r="U40" s="48" t="s">
        <v>430</v>
      </c>
      <c r="V40" s="71" t="s">
        <v>430</v>
      </c>
      <c r="W40" s="72" t="s">
        <v>39</v>
      </c>
    </row>
    <row r="41" spans="1:23" s="84" customFormat="1" ht="23.25" customHeight="1">
      <c r="A41" s="26" t="s">
        <v>430</v>
      </c>
      <c r="B41" s="107" t="s">
        <v>579</v>
      </c>
      <c r="C41" s="108" t="s">
        <v>28</v>
      </c>
      <c r="D41" s="17" t="s">
        <v>8</v>
      </c>
      <c r="E41" s="24" t="s">
        <v>580</v>
      </c>
      <c r="F41" s="109" t="s">
        <v>581</v>
      </c>
      <c r="G41" s="109" t="s">
        <v>23</v>
      </c>
      <c r="H41" s="126">
        <v>7752000</v>
      </c>
      <c r="I41" s="77">
        <v>7752000</v>
      </c>
      <c r="J41" s="68">
        <v>0.5</v>
      </c>
      <c r="K41" s="33">
        <v>3876000</v>
      </c>
      <c r="L41" s="18">
        <v>45912</v>
      </c>
      <c r="M41" s="18">
        <v>45919</v>
      </c>
      <c r="N41" s="67" t="s">
        <v>344</v>
      </c>
      <c r="O41" s="128">
        <v>2</v>
      </c>
      <c r="P41" s="128"/>
      <c r="Q41" s="128"/>
      <c r="R41" s="73"/>
      <c r="S41" s="21"/>
      <c r="T41" s="48" t="s">
        <v>430</v>
      </c>
      <c r="U41" s="48" t="s">
        <v>430</v>
      </c>
      <c r="V41" s="71" t="s">
        <v>430</v>
      </c>
      <c r="W41" s="72" t="s">
        <v>39</v>
      </c>
    </row>
    <row r="42" spans="1:23" s="84" customFormat="1" ht="23.25" customHeight="1">
      <c r="A42" s="26" t="s">
        <v>430</v>
      </c>
      <c r="B42" s="107" t="s">
        <v>588</v>
      </c>
      <c r="C42" s="108" t="s">
        <v>28</v>
      </c>
      <c r="D42" s="17" t="s">
        <v>8</v>
      </c>
      <c r="E42" s="24" t="s">
        <v>589</v>
      </c>
      <c r="F42" s="109" t="s">
        <v>590</v>
      </c>
      <c r="G42" s="109" t="s">
        <v>23</v>
      </c>
      <c r="H42" s="126">
        <v>11989000</v>
      </c>
      <c r="I42" s="77">
        <v>11989000</v>
      </c>
      <c r="J42" s="68">
        <v>0.5</v>
      </c>
      <c r="K42" s="33">
        <v>5994500</v>
      </c>
      <c r="L42" s="18">
        <v>45920</v>
      </c>
      <c r="M42" s="18">
        <v>45927</v>
      </c>
      <c r="N42" s="67" t="s">
        <v>344</v>
      </c>
      <c r="O42" s="128">
        <v>5</v>
      </c>
      <c r="P42" s="128"/>
      <c r="Q42" s="128"/>
      <c r="R42" s="73"/>
      <c r="S42" s="21"/>
      <c r="T42" s="48" t="s">
        <v>430</v>
      </c>
      <c r="U42" s="48" t="s">
        <v>430</v>
      </c>
      <c r="V42" s="71" t="s">
        <v>430</v>
      </c>
      <c r="W42" s="72" t="s">
        <v>39</v>
      </c>
    </row>
    <row r="43" spans="1:23" s="84" customFormat="1" ht="23.25" customHeight="1">
      <c r="A43" s="26" t="s">
        <v>430</v>
      </c>
      <c r="B43" s="107" t="s">
        <v>576</v>
      </c>
      <c r="C43" s="108" t="s">
        <v>28</v>
      </c>
      <c r="D43" s="17" t="s">
        <v>573</v>
      </c>
      <c r="E43" s="24" t="s">
        <v>577</v>
      </c>
      <c r="F43" s="109" t="s">
        <v>578</v>
      </c>
      <c r="G43" s="109" t="s">
        <v>23</v>
      </c>
      <c r="H43" s="126">
        <v>2200000</v>
      </c>
      <c r="I43" s="77">
        <v>2200000</v>
      </c>
      <c r="J43" s="68">
        <v>0.3</v>
      </c>
      <c r="K43" s="33">
        <v>660000</v>
      </c>
      <c r="L43" s="18">
        <v>46006</v>
      </c>
      <c r="M43" s="18">
        <v>46016</v>
      </c>
      <c r="N43" s="67" t="s">
        <v>344</v>
      </c>
      <c r="O43" s="113">
        <v>11</v>
      </c>
      <c r="P43" s="113"/>
      <c r="Q43" s="82"/>
      <c r="R43" s="25"/>
      <c r="S43" s="21"/>
      <c r="T43" s="48" t="s">
        <v>430</v>
      </c>
      <c r="U43" s="48" t="s">
        <v>430</v>
      </c>
      <c r="V43" s="71" t="s">
        <v>430</v>
      </c>
      <c r="W43" s="72" t="s">
        <v>39</v>
      </c>
    </row>
    <row r="44" spans="1:23" s="84" customFormat="1" ht="23.25" customHeight="1">
      <c r="A44" s="26" t="s">
        <v>430</v>
      </c>
      <c r="B44" s="107" t="s">
        <v>475</v>
      </c>
      <c r="C44" s="108" t="s">
        <v>28</v>
      </c>
      <c r="D44" s="17" t="s">
        <v>308</v>
      </c>
      <c r="E44" s="24" t="s">
        <v>476</v>
      </c>
      <c r="F44" s="109" t="s">
        <v>477</v>
      </c>
      <c r="G44" s="109" t="s">
        <v>23</v>
      </c>
      <c r="H44" s="126">
        <v>5500000</v>
      </c>
      <c r="I44" s="77">
        <v>5500000</v>
      </c>
      <c r="J44" s="68">
        <v>0.5</v>
      </c>
      <c r="K44" s="33">
        <v>2750000</v>
      </c>
      <c r="L44" s="18">
        <v>46076</v>
      </c>
      <c r="M44" s="18">
        <v>46086</v>
      </c>
      <c r="N44" s="67" t="s">
        <v>344</v>
      </c>
      <c r="O44" s="128">
        <v>11</v>
      </c>
      <c r="P44" s="128"/>
      <c r="Q44" s="128"/>
      <c r="R44" s="73"/>
      <c r="S44" s="21"/>
      <c r="T44" s="48" t="s">
        <v>430</v>
      </c>
      <c r="U44" s="48" t="s">
        <v>430</v>
      </c>
      <c r="V44" s="71" t="s">
        <v>430</v>
      </c>
      <c r="W44" s="72" t="s">
        <v>39</v>
      </c>
    </row>
    <row r="45" spans="1:23" s="84" customFormat="1" ht="23.25" customHeight="1">
      <c r="A45" s="26" t="s">
        <v>430</v>
      </c>
      <c r="B45" s="107" t="s">
        <v>307</v>
      </c>
      <c r="C45" s="108" t="s">
        <v>29</v>
      </c>
      <c r="D45" s="17" t="s">
        <v>308</v>
      </c>
      <c r="E45" s="24" t="s">
        <v>309</v>
      </c>
      <c r="F45" s="109" t="s">
        <v>310</v>
      </c>
      <c r="G45" s="109" t="s">
        <v>23</v>
      </c>
      <c r="H45" s="126">
        <v>5048000</v>
      </c>
      <c r="I45" s="77">
        <v>5048000</v>
      </c>
      <c r="J45" s="68">
        <v>0.09</v>
      </c>
      <c r="K45" s="33">
        <v>454320</v>
      </c>
      <c r="L45" s="18">
        <v>46122</v>
      </c>
      <c r="M45" s="97">
        <v>46132</v>
      </c>
      <c r="N45" s="67" t="s">
        <v>344</v>
      </c>
      <c r="O45" s="113">
        <v>17</v>
      </c>
      <c r="P45" s="113"/>
      <c r="Q45" s="129"/>
      <c r="R45" s="36"/>
      <c r="S45" s="21"/>
      <c r="T45" s="48" t="s">
        <v>430</v>
      </c>
      <c r="U45" s="48" t="s">
        <v>430</v>
      </c>
      <c r="V45" s="71" t="s">
        <v>430</v>
      </c>
      <c r="W45" s="72" t="s">
        <v>39</v>
      </c>
    </row>
    <row r="46" spans="1:23" s="84" customFormat="1" ht="23.25" customHeight="1">
      <c r="A46" s="26" t="s">
        <v>430</v>
      </c>
      <c r="B46" s="107" t="s">
        <v>478</v>
      </c>
      <c r="C46" s="108" t="s">
        <v>28</v>
      </c>
      <c r="D46" s="17" t="s">
        <v>308</v>
      </c>
      <c r="E46" s="24" t="s">
        <v>479</v>
      </c>
      <c r="F46" s="109" t="s">
        <v>480</v>
      </c>
      <c r="G46" s="109" t="s">
        <v>23</v>
      </c>
      <c r="H46" s="126">
        <v>5500000</v>
      </c>
      <c r="I46" s="77">
        <v>5500000</v>
      </c>
      <c r="J46" s="68">
        <v>0.5</v>
      </c>
      <c r="K46" s="33">
        <v>2750000</v>
      </c>
      <c r="L46" s="18">
        <v>46198</v>
      </c>
      <c r="M46" s="18">
        <v>46208</v>
      </c>
      <c r="N46" s="67" t="s">
        <v>344</v>
      </c>
      <c r="O46" s="128">
        <v>11</v>
      </c>
      <c r="P46" s="128"/>
      <c r="Q46" s="128"/>
      <c r="R46" s="73"/>
      <c r="S46" s="21"/>
      <c r="T46" s="48" t="s">
        <v>430</v>
      </c>
      <c r="U46" s="48" t="s">
        <v>430</v>
      </c>
      <c r="V46" s="71" t="s">
        <v>430</v>
      </c>
      <c r="W46" s="72" t="s">
        <v>39</v>
      </c>
    </row>
    <row r="47" spans="1:23" s="84" customFormat="1" ht="23.25" customHeight="1">
      <c r="A47" s="26" t="s">
        <v>430</v>
      </c>
      <c r="B47" s="107" t="s">
        <v>311</v>
      </c>
      <c r="C47" s="108" t="s">
        <v>29</v>
      </c>
      <c r="D47" s="17" t="s">
        <v>308</v>
      </c>
      <c r="E47" s="24" t="s">
        <v>312</v>
      </c>
      <c r="F47" s="109" t="s">
        <v>313</v>
      </c>
      <c r="G47" s="109" t="s">
        <v>23</v>
      </c>
      <c r="H47" s="126">
        <v>5048000</v>
      </c>
      <c r="I47" s="77">
        <v>5048000</v>
      </c>
      <c r="J47" s="68">
        <v>0.09</v>
      </c>
      <c r="K47" s="33">
        <v>454320</v>
      </c>
      <c r="L47" s="18">
        <v>46213</v>
      </c>
      <c r="M47" s="97">
        <v>46223</v>
      </c>
      <c r="N47" s="67" t="s">
        <v>344</v>
      </c>
      <c r="O47" s="113">
        <v>17</v>
      </c>
      <c r="P47" s="113"/>
      <c r="Q47" s="129"/>
      <c r="R47" s="36"/>
      <c r="S47" s="21"/>
      <c r="T47" s="48" t="s">
        <v>430</v>
      </c>
      <c r="U47" s="48" t="s">
        <v>430</v>
      </c>
      <c r="V47" s="71" t="s">
        <v>430</v>
      </c>
      <c r="W47" s="72" t="s">
        <v>39</v>
      </c>
    </row>
    <row r="48" spans="1:23" s="84" customFormat="1" ht="23.25" customHeight="1">
      <c r="A48" s="26" t="s">
        <v>430</v>
      </c>
      <c r="B48" s="107" t="s">
        <v>463</v>
      </c>
      <c r="C48" s="108" t="s">
        <v>29</v>
      </c>
      <c r="D48" s="17" t="s">
        <v>308</v>
      </c>
      <c r="E48" s="24" t="s">
        <v>464</v>
      </c>
      <c r="F48" s="109" t="s">
        <v>465</v>
      </c>
      <c r="G48" s="109" t="s">
        <v>23</v>
      </c>
      <c r="H48" s="126">
        <v>7700000</v>
      </c>
      <c r="I48" s="77">
        <v>7700000</v>
      </c>
      <c r="J48" s="68">
        <v>0.5</v>
      </c>
      <c r="K48" s="33">
        <v>3850000</v>
      </c>
      <c r="L48" s="18">
        <v>46213</v>
      </c>
      <c r="M48" s="97">
        <v>46223</v>
      </c>
      <c r="N48" s="67" t="s">
        <v>344</v>
      </c>
      <c r="O48" s="113">
        <v>11</v>
      </c>
      <c r="P48" s="113"/>
      <c r="Q48" s="129"/>
      <c r="R48" s="36"/>
      <c r="S48" s="21"/>
      <c r="T48" s="48" t="s">
        <v>430</v>
      </c>
      <c r="U48" s="48" t="s">
        <v>430</v>
      </c>
      <c r="V48" s="71" t="s">
        <v>430</v>
      </c>
      <c r="W48" s="72" t="s">
        <v>39</v>
      </c>
    </row>
    <row r="49" spans="1:26" s="84" customFormat="1" ht="23.25" customHeight="1">
      <c r="A49" s="26" t="s">
        <v>430</v>
      </c>
      <c r="B49" s="107" t="s">
        <v>466</v>
      </c>
      <c r="C49" s="108" t="s">
        <v>29</v>
      </c>
      <c r="D49" s="17" t="s">
        <v>308</v>
      </c>
      <c r="E49" s="24" t="s">
        <v>467</v>
      </c>
      <c r="F49" s="109" t="s">
        <v>468</v>
      </c>
      <c r="G49" s="109" t="s">
        <v>23</v>
      </c>
      <c r="H49" s="126">
        <v>7700000</v>
      </c>
      <c r="I49" s="77">
        <v>7700000</v>
      </c>
      <c r="J49" s="68">
        <v>0.5</v>
      </c>
      <c r="K49" s="33">
        <v>3850000</v>
      </c>
      <c r="L49" s="18">
        <v>46213</v>
      </c>
      <c r="M49" s="97">
        <v>46223</v>
      </c>
      <c r="N49" s="67" t="s">
        <v>344</v>
      </c>
      <c r="O49" s="113">
        <v>11</v>
      </c>
      <c r="P49" s="113"/>
      <c r="Q49" s="129"/>
      <c r="R49" s="36"/>
      <c r="S49" s="21"/>
      <c r="T49" s="48" t="s">
        <v>430</v>
      </c>
      <c r="U49" s="48" t="s">
        <v>430</v>
      </c>
      <c r="V49" s="71" t="s">
        <v>430</v>
      </c>
      <c r="W49" s="72" t="s">
        <v>39</v>
      </c>
    </row>
    <row r="50" spans="1:26" s="84" customFormat="1" ht="23.25" customHeight="1">
      <c r="A50" s="26" t="s">
        <v>430</v>
      </c>
      <c r="B50" s="107" t="s">
        <v>469</v>
      </c>
      <c r="C50" s="108" t="s">
        <v>29</v>
      </c>
      <c r="D50" s="17" t="s">
        <v>308</v>
      </c>
      <c r="E50" s="24" t="s">
        <v>470</v>
      </c>
      <c r="F50" s="109" t="s">
        <v>471</v>
      </c>
      <c r="G50" s="109" t="s">
        <v>23</v>
      </c>
      <c r="H50" s="126">
        <v>7700000</v>
      </c>
      <c r="I50" s="77">
        <v>7700000</v>
      </c>
      <c r="J50" s="68">
        <v>0.5</v>
      </c>
      <c r="K50" s="33">
        <v>3850000</v>
      </c>
      <c r="L50" s="18">
        <v>46213</v>
      </c>
      <c r="M50" s="18">
        <v>46223</v>
      </c>
      <c r="N50" s="67" t="s">
        <v>344</v>
      </c>
      <c r="O50" s="113">
        <v>11</v>
      </c>
      <c r="P50" s="113"/>
      <c r="Q50" s="82"/>
      <c r="R50" s="25"/>
      <c r="S50" s="21"/>
      <c r="T50" s="48" t="s">
        <v>430</v>
      </c>
      <c r="U50" s="48" t="s">
        <v>430</v>
      </c>
      <c r="V50" s="71" t="s">
        <v>430</v>
      </c>
      <c r="W50" s="72" t="s">
        <v>39</v>
      </c>
    </row>
    <row r="51" spans="1:26" s="84" customFormat="1" ht="23.25" customHeight="1">
      <c r="A51" s="26" t="s">
        <v>430</v>
      </c>
      <c r="B51" s="107" t="s">
        <v>472</v>
      </c>
      <c r="C51" s="108" t="s">
        <v>29</v>
      </c>
      <c r="D51" s="17" t="s">
        <v>308</v>
      </c>
      <c r="E51" s="24" t="s">
        <v>473</v>
      </c>
      <c r="F51" s="109" t="s">
        <v>474</v>
      </c>
      <c r="G51" s="109" t="s">
        <v>23</v>
      </c>
      <c r="H51" s="126">
        <v>7700000</v>
      </c>
      <c r="I51" s="77">
        <v>7700000</v>
      </c>
      <c r="J51" s="68">
        <v>0.5</v>
      </c>
      <c r="K51" s="33">
        <v>3850000</v>
      </c>
      <c r="L51" s="18">
        <v>46213</v>
      </c>
      <c r="M51" s="18">
        <v>46223</v>
      </c>
      <c r="N51" s="67" t="s">
        <v>344</v>
      </c>
      <c r="O51" s="128">
        <v>11</v>
      </c>
      <c r="P51" s="128"/>
      <c r="Q51" s="128"/>
      <c r="R51" s="73"/>
      <c r="S51" s="21"/>
      <c r="T51" s="48" t="s">
        <v>430</v>
      </c>
      <c r="U51" s="48" t="s">
        <v>430</v>
      </c>
      <c r="V51" s="71" t="s">
        <v>430</v>
      </c>
      <c r="W51" s="72" t="s">
        <v>39</v>
      </c>
    </row>
    <row r="52" spans="1:26" s="84" customFormat="1" ht="23.25" customHeight="1">
      <c r="A52" s="26" t="s">
        <v>430</v>
      </c>
      <c r="B52" s="107" t="s">
        <v>314</v>
      </c>
      <c r="C52" s="108" t="s">
        <v>28</v>
      </c>
      <c r="D52" s="17" t="s">
        <v>308</v>
      </c>
      <c r="E52" s="24" t="s">
        <v>315</v>
      </c>
      <c r="F52" s="109" t="s">
        <v>316</v>
      </c>
      <c r="G52" s="109" t="s">
        <v>23</v>
      </c>
      <c r="H52" s="126">
        <v>5048000</v>
      </c>
      <c r="I52" s="77">
        <v>5048000</v>
      </c>
      <c r="J52" s="68">
        <v>0.09</v>
      </c>
      <c r="K52" s="33">
        <v>454320</v>
      </c>
      <c r="L52" s="18">
        <v>46275</v>
      </c>
      <c r="M52" s="18">
        <v>46285</v>
      </c>
      <c r="N52" s="67" t="s">
        <v>344</v>
      </c>
      <c r="O52" s="113">
        <v>17</v>
      </c>
      <c r="P52" s="113"/>
      <c r="Q52" s="113"/>
      <c r="R52" s="82"/>
      <c r="S52" s="21"/>
      <c r="T52" s="48" t="s">
        <v>430</v>
      </c>
      <c r="U52" s="48" t="s">
        <v>430</v>
      </c>
      <c r="V52" s="71" t="s">
        <v>430</v>
      </c>
      <c r="W52" s="72" t="s">
        <v>39</v>
      </c>
    </row>
    <row r="53" spans="1:26" s="84" customFormat="1" ht="23.25" customHeight="1">
      <c r="A53" s="26" t="s">
        <v>430</v>
      </c>
      <c r="B53" s="107" t="s">
        <v>317</v>
      </c>
      <c r="C53" s="108" t="s">
        <v>28</v>
      </c>
      <c r="D53" s="17" t="s">
        <v>308</v>
      </c>
      <c r="E53" s="24" t="s">
        <v>318</v>
      </c>
      <c r="F53" s="109" t="s">
        <v>319</v>
      </c>
      <c r="G53" s="109" t="s">
        <v>23</v>
      </c>
      <c r="H53" s="126">
        <v>5048000</v>
      </c>
      <c r="I53" s="77">
        <v>5048000</v>
      </c>
      <c r="J53" s="68">
        <v>0.09</v>
      </c>
      <c r="K53" s="33">
        <v>454320</v>
      </c>
      <c r="L53" s="18">
        <v>46305</v>
      </c>
      <c r="M53" s="97">
        <v>46315</v>
      </c>
      <c r="N53" s="67" t="s">
        <v>344</v>
      </c>
      <c r="O53" s="113">
        <v>17</v>
      </c>
      <c r="P53" s="113"/>
      <c r="Q53" s="129"/>
      <c r="R53" s="36"/>
      <c r="S53" s="21"/>
      <c r="T53" s="48" t="s">
        <v>430</v>
      </c>
      <c r="U53" s="48" t="s">
        <v>430</v>
      </c>
      <c r="V53" s="71" t="s">
        <v>430</v>
      </c>
      <c r="W53" s="72" t="s">
        <v>39</v>
      </c>
    </row>
    <row r="54" spans="1:26" s="84" customFormat="1" ht="23.25" customHeight="1">
      <c r="A54" s="26" t="s">
        <v>430</v>
      </c>
      <c r="B54" s="107" t="s">
        <v>481</v>
      </c>
      <c r="C54" s="108" t="s">
        <v>28</v>
      </c>
      <c r="D54" s="17" t="s">
        <v>308</v>
      </c>
      <c r="E54" s="24" t="s">
        <v>482</v>
      </c>
      <c r="F54" s="109" t="s">
        <v>483</v>
      </c>
      <c r="G54" s="109" t="s">
        <v>23</v>
      </c>
      <c r="H54" s="126">
        <v>5500000</v>
      </c>
      <c r="I54" s="77">
        <v>5500000</v>
      </c>
      <c r="J54" s="68">
        <v>0.5</v>
      </c>
      <c r="K54" s="33">
        <v>2750000</v>
      </c>
      <c r="L54" s="18">
        <v>46391</v>
      </c>
      <c r="M54" s="97">
        <v>46401</v>
      </c>
      <c r="N54" s="67" t="s">
        <v>344</v>
      </c>
      <c r="O54" s="113">
        <v>11</v>
      </c>
      <c r="P54" s="113"/>
      <c r="Q54" s="129"/>
      <c r="R54" s="36"/>
      <c r="S54" s="21"/>
      <c r="T54" s="48" t="s">
        <v>430</v>
      </c>
      <c r="U54" s="48" t="s">
        <v>430</v>
      </c>
      <c r="V54" s="71" t="s">
        <v>430</v>
      </c>
      <c r="W54" s="72" t="s">
        <v>39</v>
      </c>
    </row>
    <row r="55" spans="1:26" s="84" customFormat="1" ht="23.25" customHeight="1">
      <c r="A55" s="26" t="s">
        <v>430</v>
      </c>
      <c r="B55" s="107" t="s">
        <v>572</v>
      </c>
      <c r="C55" s="108" t="s">
        <v>28</v>
      </c>
      <c r="D55" s="17" t="s">
        <v>573</v>
      </c>
      <c r="E55" s="24" t="s">
        <v>574</v>
      </c>
      <c r="F55" s="109" t="s">
        <v>575</v>
      </c>
      <c r="G55" s="109" t="s">
        <v>23</v>
      </c>
      <c r="H55" s="126">
        <v>2200000</v>
      </c>
      <c r="I55" s="77">
        <v>2200000</v>
      </c>
      <c r="J55" s="68">
        <v>0.3</v>
      </c>
      <c r="K55" s="33">
        <v>660000</v>
      </c>
      <c r="L55" s="18">
        <v>46397</v>
      </c>
      <c r="M55" s="18">
        <v>46407</v>
      </c>
      <c r="N55" s="67" t="s">
        <v>344</v>
      </c>
      <c r="O55" s="128">
        <v>11</v>
      </c>
      <c r="P55" s="128"/>
      <c r="Q55" s="128"/>
      <c r="R55" s="73"/>
      <c r="S55" s="21"/>
      <c r="T55" s="48" t="s">
        <v>430</v>
      </c>
      <c r="U55" s="48" t="s">
        <v>430</v>
      </c>
      <c r="V55" s="71" t="s">
        <v>430</v>
      </c>
      <c r="W55" s="72" t="s">
        <v>39</v>
      </c>
    </row>
    <row r="56" spans="1:26" s="84" customFormat="1" ht="36" customHeight="1">
      <c r="A56" s="219" t="s">
        <v>25</v>
      </c>
      <c r="B56" s="220"/>
      <c r="C56" s="220"/>
      <c r="D56" s="220"/>
      <c r="E56" s="220"/>
      <c r="F56" s="221"/>
      <c r="G56" s="98" t="s">
        <v>22</v>
      </c>
      <c r="H56" s="78">
        <f>SUM(H5:H55)</f>
        <v>237801000</v>
      </c>
      <c r="I56" s="60">
        <f>SUM(I5:I55)</f>
        <v>237801000</v>
      </c>
      <c r="J56" s="29"/>
      <c r="K56" s="79">
        <f>SUM(K5:K55)</f>
        <v>119845080</v>
      </c>
      <c r="L56" s="29"/>
      <c r="M56" s="29"/>
      <c r="N56" s="63"/>
      <c r="O56" s="80"/>
      <c r="P56" s="81"/>
      <c r="Q56" s="50"/>
      <c r="R56" s="20"/>
      <c r="S56" s="46"/>
      <c r="T56" s="46"/>
      <c r="U56" s="10"/>
      <c r="V56" s="47"/>
      <c r="W56" s="46"/>
    </row>
    <row r="57" spans="1:26">
      <c r="I57" s="90"/>
    </row>
    <row r="58" spans="1:26" s="22" customFormat="1">
      <c r="A58" s="4"/>
      <c r="B58" s="4"/>
      <c r="C58" s="4"/>
      <c r="D58" s="3"/>
      <c r="E58" s="11"/>
      <c r="F58" s="4"/>
      <c r="G58" s="4"/>
      <c r="H58" s="14"/>
      <c r="I58" s="90"/>
      <c r="K58" s="35"/>
      <c r="L58" s="6"/>
      <c r="M58" s="6"/>
      <c r="N58" s="7"/>
      <c r="O58" s="8"/>
      <c r="P58" s="8"/>
      <c r="Q58" s="4"/>
      <c r="R58" s="3"/>
      <c r="S58" s="4"/>
      <c r="T58" s="39"/>
      <c r="U58" s="1"/>
      <c r="V58" s="38"/>
      <c r="W58" s="39"/>
      <c r="X58" s="1"/>
      <c r="Y58" s="1"/>
      <c r="Z58" s="1"/>
    </row>
    <row r="59" spans="1:26" s="22" customFormat="1">
      <c r="A59" s="4"/>
      <c r="B59" s="4"/>
      <c r="C59" s="4"/>
      <c r="D59" s="3"/>
      <c r="E59" s="11"/>
      <c r="F59" s="4"/>
      <c r="G59" s="4"/>
      <c r="H59" s="14"/>
      <c r="I59" s="90"/>
      <c r="K59" s="35"/>
      <c r="L59" s="6"/>
      <c r="M59" s="6"/>
      <c r="N59" s="7"/>
      <c r="O59" s="8"/>
      <c r="P59" s="8"/>
      <c r="Q59" s="4"/>
      <c r="R59" s="3"/>
      <c r="S59" s="4"/>
      <c r="T59" s="39"/>
      <c r="U59" s="1"/>
      <c r="V59" s="38"/>
      <c r="W59" s="39"/>
      <c r="X59" s="1"/>
      <c r="Y59" s="1"/>
      <c r="Z59" s="1"/>
    </row>
    <row r="60" spans="1:26" s="22" customFormat="1">
      <c r="A60" s="4"/>
      <c r="B60" s="4"/>
      <c r="C60" s="4"/>
      <c r="D60" s="3"/>
      <c r="E60" s="11"/>
      <c r="F60" s="4"/>
      <c r="G60" s="4"/>
      <c r="H60" s="14"/>
      <c r="I60" s="90"/>
      <c r="K60" s="35"/>
      <c r="L60" s="6"/>
      <c r="M60" s="6"/>
      <c r="N60" s="7"/>
      <c r="O60" s="8"/>
      <c r="P60" s="8"/>
      <c r="Q60" s="4"/>
      <c r="R60" s="3"/>
      <c r="S60" s="4"/>
      <c r="T60" s="39"/>
      <c r="U60" s="1"/>
      <c r="V60" s="38"/>
      <c r="W60" s="39"/>
      <c r="X60" s="1"/>
      <c r="Y60" s="1"/>
      <c r="Z60" s="1"/>
    </row>
  </sheetData>
  <autoFilter ref="A4:W56" xr:uid="{00000000-0001-0000-0500-000000000000}">
    <sortState xmlns:xlrd2="http://schemas.microsoft.com/office/spreadsheetml/2017/richdata2" ref="A5:W56">
      <sortCondition ref="M4:M56"/>
    </sortState>
  </autoFilter>
  <mergeCells count="3">
    <mergeCell ref="A1:Q1"/>
    <mergeCell ref="A56:F56"/>
    <mergeCell ref="A2:Q2"/>
  </mergeCells>
  <phoneticPr fontId="4" type="noConversion"/>
  <conditionalFormatting sqref="B57:B1048576 B1 B3:B4">
    <cfRule type="duplicateValues" dxfId="14" priority="228"/>
  </conditionalFormatting>
  <conditionalFormatting sqref="G3:I55 K4:K55 G57:I1048576">
    <cfRule type="expression" dxfId="13" priority="8">
      <formula>$G3="USD"</formula>
    </cfRule>
  </conditionalFormatting>
  <conditionalFormatting sqref="H5:H55">
    <cfRule type="expression" dxfId="12" priority="1">
      <formula>$O5="KRW"</formula>
    </cfRule>
  </conditionalFormatting>
  <conditionalFormatting sqref="I5:I55 K5:K55">
    <cfRule type="expression" dxfId="11" priority="2">
      <formula>$Q5="KRW"</formula>
    </cfRule>
  </conditionalFormatting>
  <conditionalFormatting sqref="L1">
    <cfRule type="cellIs" dxfId="10" priority="224" operator="lessThanOrEqual">
      <formula>$R$2</formula>
    </cfRule>
  </conditionalFormatting>
  <conditionalFormatting sqref="L3:L28 L39:L55">
    <cfRule type="cellIs" dxfId="9" priority="9" operator="lessThanOrEqual">
      <formula>$R$2</formula>
    </cfRule>
  </conditionalFormatting>
  <conditionalFormatting sqref="L5:L28 L39:L55">
    <cfRule type="cellIs" dxfId="8" priority="3" operator="lessThanOrEqual">
      <formula>$N$2</formula>
    </cfRule>
  </conditionalFormatting>
  <conditionalFormatting sqref="L30 L33:L37">
    <cfRule type="cellIs" dxfId="7" priority="6" operator="lessThanOrEqual">
      <formula>$N$2</formula>
    </cfRule>
    <cfRule type="cellIs" dxfId="6" priority="7" operator="lessThanOrEqual">
      <formula>$R$2</formula>
    </cfRule>
  </conditionalFormatting>
  <printOptions horizontalCentered="1"/>
  <pageMargins left="0.27559055118110237" right="0.27559055118110237" top="0.55118110236220474" bottom="0.47244094488188981" header="0.43307086614173229" footer="0.27559055118110237"/>
  <pageSetup paperSize="9" scale="45" fitToHeight="0" orientation="portrait" r:id="rId1"/>
  <headerFooter alignWithMargins="0">
    <oddFooter>&amp;L양식-영업-18(0)&amp;C(주)키츠코리아&amp;RA4(210X297)mm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6139-8C59-4A23-84D7-6F6F0E87D91B}">
  <sheetPr>
    <tabColor rgb="FF00B050"/>
    <pageSetUpPr fitToPage="1"/>
  </sheetPr>
  <dimension ref="A1:AR445"/>
  <sheetViews>
    <sheetView view="pageBreakPreview" zoomScale="70" zoomScaleNormal="100" zoomScaleSheetLayoutView="70" workbookViewId="0">
      <pane xSplit="4" ySplit="4" topLeftCell="E5" activePane="bottomRight" state="frozen"/>
      <selection activeCell="G164" sqref="G164"/>
      <selection pane="topRight" activeCell="G164" sqref="G164"/>
      <selection pane="bottomLeft" activeCell="G164" sqref="G164"/>
      <selection pane="bottomRight" activeCell="AB12" sqref="AB12"/>
    </sheetView>
  </sheetViews>
  <sheetFormatPr defaultColWidth="10" defaultRowHeight="13.5" outlineLevelCol="1"/>
  <cols>
    <col min="1" max="1" width="8.25" style="4" customWidth="1"/>
    <col min="2" max="2" width="12.5" style="4" bestFit="1" customWidth="1"/>
    <col min="3" max="3" width="6.25" style="4" customWidth="1"/>
    <col min="4" max="4" width="17" style="3" customWidth="1"/>
    <col min="5" max="5" width="24.875" style="11" customWidth="1"/>
    <col min="6" max="6" width="18.75" style="4" customWidth="1"/>
    <col min="7" max="7" width="5.125" style="4" bestFit="1" customWidth="1"/>
    <col min="8" max="8" width="16.25" style="14" customWidth="1"/>
    <col min="9" max="9" width="17.875" style="3" customWidth="1"/>
    <col min="10" max="10" width="6.75" style="22" customWidth="1"/>
    <col min="11" max="11" width="16.625" style="35" customWidth="1"/>
    <col min="12" max="13" width="12.625" style="6" customWidth="1"/>
    <col min="14" max="14" width="7.75" style="7" customWidth="1"/>
    <col min="15" max="15" width="5.375" style="8" customWidth="1"/>
    <col min="16" max="16" width="5.375" style="8" hidden="1" customWidth="1"/>
    <col min="17" max="17" width="12.375" style="4" customWidth="1"/>
    <col min="18" max="18" width="17.625" style="3" customWidth="1" outlineLevel="1"/>
    <col min="19" max="19" width="11.75" style="4" customWidth="1" outlineLevel="1"/>
    <col min="20" max="20" width="9.625" style="39" customWidth="1" outlineLevel="1"/>
    <col min="21" max="21" width="8.25" style="1" customWidth="1" outlineLevel="1"/>
    <col min="22" max="22" width="8.25" style="38" customWidth="1" outlineLevel="1"/>
    <col min="23" max="23" width="8.125" style="39" customWidth="1" outlineLevel="1"/>
    <col min="24" max="44" width="10" style="1"/>
    <col min="45" max="16384" width="10" style="1" outlineLevel="1"/>
  </cols>
  <sheetData>
    <row r="1" spans="1:23" ht="41.25">
      <c r="A1" s="192" t="s">
        <v>495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65"/>
      <c r="S1" s="69"/>
      <c r="T1" s="37"/>
      <c r="W1" s="37"/>
    </row>
    <row r="2" spans="1:23" ht="17.25" customHeight="1">
      <c r="A2" s="191" t="s">
        <v>45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2">
        <v>45838</v>
      </c>
      <c r="S2" s="3"/>
      <c r="W2" s="40"/>
    </row>
    <row r="3" spans="1:23" ht="18" customHeight="1">
      <c r="E3" s="5"/>
      <c r="F3" s="3"/>
      <c r="G3" s="3"/>
      <c r="J3" s="15"/>
      <c r="K3" s="32"/>
      <c r="L3" s="12" t="s">
        <v>10</v>
      </c>
      <c r="M3" s="13" t="s">
        <v>11</v>
      </c>
      <c r="R3" s="9">
        <v>1000</v>
      </c>
      <c r="S3" s="41" t="s">
        <v>33</v>
      </c>
      <c r="T3" s="42"/>
      <c r="W3" s="43"/>
    </row>
    <row r="4" spans="1:23" ht="54.75" customHeight="1">
      <c r="A4" s="53" t="s">
        <v>13</v>
      </c>
      <c r="B4" s="53" t="s">
        <v>14</v>
      </c>
      <c r="C4" s="54" t="s">
        <v>27</v>
      </c>
      <c r="D4" s="53" t="s">
        <v>0</v>
      </c>
      <c r="E4" s="55" t="s">
        <v>1</v>
      </c>
      <c r="F4" s="53" t="s">
        <v>2</v>
      </c>
      <c r="G4" s="53" t="s">
        <v>15</v>
      </c>
      <c r="H4" s="54" t="s">
        <v>3</v>
      </c>
      <c r="I4" s="64" t="s">
        <v>3</v>
      </c>
      <c r="J4" s="56" t="s">
        <v>31</v>
      </c>
      <c r="K4" s="57" t="s">
        <v>32</v>
      </c>
      <c r="L4" s="58" t="s">
        <v>16</v>
      </c>
      <c r="M4" s="58" t="s">
        <v>17</v>
      </c>
      <c r="N4" s="59" t="s">
        <v>4</v>
      </c>
      <c r="O4" s="59" t="s">
        <v>5</v>
      </c>
      <c r="P4" s="59"/>
      <c r="Q4" s="53" t="s">
        <v>6</v>
      </c>
      <c r="R4" s="16" t="s">
        <v>7</v>
      </c>
      <c r="S4" s="16" t="s">
        <v>6</v>
      </c>
      <c r="T4" s="44" t="s">
        <v>34</v>
      </c>
      <c r="U4" s="16" t="s">
        <v>35</v>
      </c>
      <c r="V4" s="45" t="s">
        <v>36</v>
      </c>
      <c r="W4" s="44" t="s">
        <v>83</v>
      </c>
    </row>
    <row r="5" spans="1:23" s="84" customFormat="1" ht="23.25" customHeight="1">
      <c r="A5" s="26" t="s">
        <v>430</v>
      </c>
      <c r="B5" s="107" t="s">
        <v>102</v>
      </c>
      <c r="C5" s="108" t="s">
        <v>598</v>
      </c>
      <c r="D5" s="17" t="s">
        <v>54</v>
      </c>
      <c r="E5" s="24" t="s">
        <v>222</v>
      </c>
      <c r="F5" s="109" t="s">
        <v>103</v>
      </c>
      <c r="G5" s="109" t="s">
        <v>23</v>
      </c>
      <c r="H5" s="126">
        <v>943200</v>
      </c>
      <c r="I5" s="77">
        <v>943200</v>
      </c>
      <c r="J5" s="68">
        <v>0.05</v>
      </c>
      <c r="K5" s="33">
        <v>47160</v>
      </c>
      <c r="L5" s="18">
        <v>45782</v>
      </c>
      <c r="M5" s="18">
        <v>45792</v>
      </c>
      <c r="N5" s="115" t="s">
        <v>344</v>
      </c>
      <c r="O5" s="128">
        <v>2</v>
      </c>
      <c r="P5" s="128"/>
      <c r="Q5" s="128"/>
      <c r="R5" s="73"/>
      <c r="S5" s="21"/>
      <c r="T5" s="48" t="s">
        <v>430</v>
      </c>
      <c r="U5" s="46" t="s">
        <v>430</v>
      </c>
      <c r="V5" s="71" t="s">
        <v>430</v>
      </c>
      <c r="W5" s="72" t="s">
        <v>39</v>
      </c>
    </row>
    <row r="6" spans="1:23" s="84" customFormat="1" ht="23.25" customHeight="1">
      <c r="A6" s="26" t="s">
        <v>430</v>
      </c>
      <c r="B6" s="107" t="s">
        <v>102</v>
      </c>
      <c r="C6" s="108" t="s">
        <v>598</v>
      </c>
      <c r="D6" s="17" t="s">
        <v>54</v>
      </c>
      <c r="E6" s="24" t="s">
        <v>222</v>
      </c>
      <c r="F6" s="109" t="s">
        <v>103</v>
      </c>
      <c r="G6" s="109" t="s">
        <v>23</v>
      </c>
      <c r="H6" s="126">
        <v>547800</v>
      </c>
      <c r="I6" s="77">
        <v>547800</v>
      </c>
      <c r="J6" s="68">
        <v>0.05</v>
      </c>
      <c r="K6" s="33">
        <v>27390</v>
      </c>
      <c r="L6" s="18">
        <v>45797</v>
      </c>
      <c r="M6" s="18">
        <v>45807</v>
      </c>
      <c r="N6" s="115" t="s">
        <v>344</v>
      </c>
      <c r="O6" s="128">
        <v>1</v>
      </c>
      <c r="P6" s="128"/>
      <c r="Q6" s="128"/>
      <c r="R6" s="73"/>
      <c r="S6" s="21"/>
      <c r="T6" s="48" t="s">
        <v>430</v>
      </c>
      <c r="U6" s="46" t="s">
        <v>430</v>
      </c>
      <c r="V6" s="71" t="s">
        <v>430</v>
      </c>
      <c r="W6" s="72" t="s">
        <v>39</v>
      </c>
    </row>
    <row r="7" spans="1:23" s="84" customFormat="1" ht="23.25" customHeight="1">
      <c r="A7" s="26" t="s">
        <v>430</v>
      </c>
      <c r="B7" s="107" t="s">
        <v>187</v>
      </c>
      <c r="C7" s="108" t="s">
        <v>601</v>
      </c>
      <c r="D7" s="17" t="s">
        <v>54</v>
      </c>
      <c r="E7" s="24" t="s">
        <v>222</v>
      </c>
      <c r="F7" s="109" t="s">
        <v>188</v>
      </c>
      <c r="G7" s="109" t="s">
        <v>23</v>
      </c>
      <c r="H7" s="126">
        <v>3597100</v>
      </c>
      <c r="I7" s="77">
        <v>3597100</v>
      </c>
      <c r="J7" s="68">
        <v>0.02</v>
      </c>
      <c r="K7" s="33">
        <v>71942</v>
      </c>
      <c r="L7" s="18">
        <v>45797</v>
      </c>
      <c r="M7" s="18">
        <v>45807</v>
      </c>
      <c r="N7" s="115" t="s">
        <v>344</v>
      </c>
      <c r="O7" s="128">
        <v>5</v>
      </c>
      <c r="P7" s="128"/>
      <c r="Q7" s="128"/>
      <c r="R7" s="73"/>
      <c r="S7" s="21"/>
      <c r="T7" s="48" t="s">
        <v>430</v>
      </c>
      <c r="U7" s="46" t="s">
        <v>430</v>
      </c>
      <c r="V7" s="71" t="s">
        <v>430</v>
      </c>
      <c r="W7" s="72" t="s">
        <v>39</v>
      </c>
    </row>
    <row r="8" spans="1:23" s="84" customFormat="1" ht="23.25" customHeight="1">
      <c r="A8" s="26" t="s">
        <v>430</v>
      </c>
      <c r="B8" s="107" t="s">
        <v>102</v>
      </c>
      <c r="C8" s="108" t="s">
        <v>598</v>
      </c>
      <c r="D8" s="17" t="s">
        <v>54</v>
      </c>
      <c r="E8" s="24" t="s">
        <v>222</v>
      </c>
      <c r="F8" s="109" t="s">
        <v>103</v>
      </c>
      <c r="G8" s="109" t="s">
        <v>23</v>
      </c>
      <c r="H8" s="126">
        <v>2021600</v>
      </c>
      <c r="I8" s="77">
        <v>2021600</v>
      </c>
      <c r="J8" s="68">
        <v>0.05</v>
      </c>
      <c r="K8" s="33">
        <v>101080</v>
      </c>
      <c r="L8" s="18">
        <v>45806</v>
      </c>
      <c r="M8" s="18">
        <v>45816</v>
      </c>
      <c r="N8" s="115" t="s">
        <v>344</v>
      </c>
      <c r="O8" s="128">
        <v>2</v>
      </c>
      <c r="P8" s="128"/>
      <c r="Q8" s="128"/>
      <c r="R8" s="73"/>
      <c r="S8" s="21"/>
      <c r="T8" s="48" t="s">
        <v>430</v>
      </c>
      <c r="U8" s="46" t="s">
        <v>430</v>
      </c>
      <c r="V8" s="71" t="s">
        <v>430</v>
      </c>
      <c r="W8" s="72" t="s">
        <v>39</v>
      </c>
    </row>
    <row r="9" spans="1:23" s="84" customFormat="1" ht="23.25" customHeight="1">
      <c r="A9" s="26" t="s">
        <v>430</v>
      </c>
      <c r="B9" s="107" t="s">
        <v>108</v>
      </c>
      <c r="C9" s="108" t="s">
        <v>599</v>
      </c>
      <c r="D9" s="17" t="s">
        <v>54</v>
      </c>
      <c r="E9" s="24" t="s">
        <v>223</v>
      </c>
      <c r="F9" s="109" t="s">
        <v>109</v>
      </c>
      <c r="G9" s="109" t="s">
        <v>23</v>
      </c>
      <c r="H9" s="126">
        <v>14717100</v>
      </c>
      <c r="I9" s="77">
        <v>14717100</v>
      </c>
      <c r="J9" s="68">
        <v>0.1</v>
      </c>
      <c r="K9" s="33">
        <v>1471710</v>
      </c>
      <c r="L9" s="18">
        <v>45808</v>
      </c>
      <c r="M9" s="18">
        <v>45818</v>
      </c>
      <c r="N9" s="115" t="s">
        <v>344</v>
      </c>
      <c r="O9" s="128">
        <v>5</v>
      </c>
      <c r="P9" s="128"/>
      <c r="Q9" s="128"/>
      <c r="R9" s="73"/>
      <c r="S9" s="21"/>
      <c r="T9" s="48" t="s">
        <v>430</v>
      </c>
      <c r="U9" s="46" t="s">
        <v>430</v>
      </c>
      <c r="V9" s="71" t="s">
        <v>430</v>
      </c>
      <c r="W9" s="72" t="s">
        <v>39</v>
      </c>
    </row>
    <row r="10" spans="1:23" s="84" customFormat="1" ht="23.25" customHeight="1">
      <c r="A10" s="26" t="s">
        <v>430</v>
      </c>
      <c r="B10" s="107" t="s">
        <v>102</v>
      </c>
      <c r="C10" s="108" t="s">
        <v>598</v>
      </c>
      <c r="D10" s="17" t="s">
        <v>54</v>
      </c>
      <c r="E10" s="24" t="s">
        <v>222</v>
      </c>
      <c r="F10" s="109" t="s">
        <v>103</v>
      </c>
      <c r="G10" s="109" t="s">
        <v>23</v>
      </c>
      <c r="H10" s="126">
        <v>3769900</v>
      </c>
      <c r="I10" s="77">
        <v>3769900</v>
      </c>
      <c r="J10" s="68">
        <v>0.05</v>
      </c>
      <c r="K10" s="33">
        <v>188495</v>
      </c>
      <c r="L10" s="18">
        <v>45813</v>
      </c>
      <c r="M10" s="18">
        <v>45823</v>
      </c>
      <c r="N10" s="115" t="s">
        <v>344</v>
      </c>
      <c r="O10" s="128">
        <v>1</v>
      </c>
      <c r="P10" s="128"/>
      <c r="Q10" s="128"/>
      <c r="R10" s="73"/>
      <c r="S10" s="21"/>
      <c r="T10" s="48" t="s">
        <v>430</v>
      </c>
      <c r="U10" s="46" t="s">
        <v>430</v>
      </c>
      <c r="V10" s="71" t="s">
        <v>430</v>
      </c>
      <c r="W10" s="72" t="s">
        <v>39</v>
      </c>
    </row>
    <row r="11" spans="1:23" s="84" customFormat="1" ht="23.25" customHeight="1">
      <c r="A11" s="26" t="s">
        <v>430</v>
      </c>
      <c r="B11" s="107" t="s">
        <v>108</v>
      </c>
      <c r="C11" s="108" t="s">
        <v>599</v>
      </c>
      <c r="D11" s="17" t="s">
        <v>54</v>
      </c>
      <c r="E11" s="24" t="s">
        <v>223</v>
      </c>
      <c r="F11" s="109" t="s">
        <v>109</v>
      </c>
      <c r="G11" s="109" t="s">
        <v>23</v>
      </c>
      <c r="H11" s="126">
        <v>4875700</v>
      </c>
      <c r="I11" s="77">
        <v>4875700</v>
      </c>
      <c r="J11" s="68">
        <v>0.1</v>
      </c>
      <c r="K11" s="33">
        <v>487570</v>
      </c>
      <c r="L11" s="18">
        <v>45813</v>
      </c>
      <c r="M11" s="18">
        <v>45823</v>
      </c>
      <c r="N11" s="115" t="s">
        <v>344</v>
      </c>
      <c r="O11" s="128">
        <v>4</v>
      </c>
      <c r="P11" s="128"/>
      <c r="Q11" s="128"/>
      <c r="R11" s="73"/>
      <c r="S11" s="21"/>
      <c r="T11" s="48" t="s">
        <v>430</v>
      </c>
      <c r="U11" s="46" t="s">
        <v>430</v>
      </c>
      <c r="V11" s="71" t="s">
        <v>430</v>
      </c>
      <c r="W11" s="72" t="s">
        <v>39</v>
      </c>
    </row>
    <row r="12" spans="1:23" s="84" customFormat="1" ht="23.25" customHeight="1">
      <c r="A12" s="26" t="s">
        <v>430</v>
      </c>
      <c r="B12" s="107" t="s">
        <v>187</v>
      </c>
      <c r="C12" s="108" t="s">
        <v>601</v>
      </c>
      <c r="D12" s="17" t="s">
        <v>54</v>
      </c>
      <c r="E12" s="24" t="s">
        <v>222</v>
      </c>
      <c r="F12" s="109" t="s">
        <v>188</v>
      </c>
      <c r="G12" s="109" t="s">
        <v>23</v>
      </c>
      <c r="H12" s="126">
        <v>5244400</v>
      </c>
      <c r="I12" s="77">
        <v>5244400</v>
      </c>
      <c r="J12" s="68">
        <v>0.02</v>
      </c>
      <c r="K12" s="33">
        <v>104888</v>
      </c>
      <c r="L12" s="18">
        <v>45813</v>
      </c>
      <c r="M12" s="18">
        <v>45823</v>
      </c>
      <c r="N12" s="115" t="s">
        <v>344</v>
      </c>
      <c r="O12" s="128">
        <v>2</v>
      </c>
      <c r="P12" s="128"/>
      <c r="Q12" s="128"/>
      <c r="R12" s="73"/>
      <c r="S12" s="21"/>
      <c r="T12" s="48" t="s">
        <v>430</v>
      </c>
      <c r="U12" s="46" t="s">
        <v>430</v>
      </c>
      <c r="V12" s="71" t="s">
        <v>430</v>
      </c>
      <c r="W12" s="72" t="s">
        <v>39</v>
      </c>
    </row>
    <row r="13" spans="1:23" s="84" customFormat="1" ht="23.25" customHeight="1">
      <c r="A13" s="26" t="s">
        <v>430</v>
      </c>
      <c r="B13" s="107" t="s">
        <v>233</v>
      </c>
      <c r="C13" s="108" t="s">
        <v>604</v>
      </c>
      <c r="D13" s="17" t="s">
        <v>54</v>
      </c>
      <c r="E13" s="24" t="s">
        <v>222</v>
      </c>
      <c r="F13" s="109" t="s">
        <v>234</v>
      </c>
      <c r="G13" s="109" t="s">
        <v>23</v>
      </c>
      <c r="H13" s="126">
        <v>2659100</v>
      </c>
      <c r="I13" s="77">
        <v>2659100</v>
      </c>
      <c r="J13" s="68">
        <v>0.02</v>
      </c>
      <c r="K13" s="33">
        <v>53182</v>
      </c>
      <c r="L13" s="18">
        <v>45813</v>
      </c>
      <c r="M13" s="18">
        <v>45823</v>
      </c>
      <c r="N13" s="115" t="s">
        <v>344</v>
      </c>
      <c r="O13" s="128">
        <v>1</v>
      </c>
      <c r="P13" s="128"/>
      <c r="Q13" s="128"/>
      <c r="R13" s="73"/>
      <c r="S13" s="21"/>
      <c r="T13" s="48" t="s">
        <v>430</v>
      </c>
      <c r="U13" s="46" t="s">
        <v>430</v>
      </c>
      <c r="V13" s="71" t="s">
        <v>430</v>
      </c>
      <c r="W13" s="72" t="s">
        <v>39</v>
      </c>
    </row>
    <row r="14" spans="1:23" s="84" customFormat="1" ht="23.25" customHeight="1">
      <c r="A14" s="26" t="s">
        <v>430</v>
      </c>
      <c r="B14" s="107" t="s">
        <v>102</v>
      </c>
      <c r="C14" s="108" t="s">
        <v>598</v>
      </c>
      <c r="D14" s="17" t="s">
        <v>54</v>
      </c>
      <c r="E14" s="24" t="s">
        <v>222</v>
      </c>
      <c r="F14" s="109" t="s">
        <v>103</v>
      </c>
      <c r="G14" s="109" t="s">
        <v>23</v>
      </c>
      <c r="H14" s="126">
        <v>1267600</v>
      </c>
      <c r="I14" s="77">
        <v>1267600</v>
      </c>
      <c r="J14" s="68">
        <v>0.05</v>
      </c>
      <c r="K14" s="33">
        <v>63380</v>
      </c>
      <c r="L14" s="18">
        <v>45817</v>
      </c>
      <c r="M14" s="18">
        <v>45827</v>
      </c>
      <c r="N14" s="115" t="s">
        <v>344</v>
      </c>
      <c r="O14" s="128">
        <v>1</v>
      </c>
      <c r="P14" s="128"/>
      <c r="Q14" s="128"/>
      <c r="R14" s="73"/>
      <c r="S14" s="21"/>
      <c r="T14" s="48" t="s">
        <v>430</v>
      </c>
      <c r="U14" s="46" t="s">
        <v>430</v>
      </c>
      <c r="V14" s="71" t="s">
        <v>430</v>
      </c>
      <c r="W14" s="72" t="s">
        <v>39</v>
      </c>
    </row>
    <row r="15" spans="1:23" s="84" customFormat="1" ht="23.25" customHeight="1">
      <c r="A15" s="26" t="s">
        <v>430</v>
      </c>
      <c r="B15" s="107" t="s">
        <v>108</v>
      </c>
      <c r="C15" s="108" t="s">
        <v>599</v>
      </c>
      <c r="D15" s="17" t="s">
        <v>54</v>
      </c>
      <c r="E15" s="24" t="s">
        <v>223</v>
      </c>
      <c r="F15" s="109" t="s">
        <v>109</v>
      </c>
      <c r="G15" s="109" t="s">
        <v>23</v>
      </c>
      <c r="H15" s="126">
        <v>727200</v>
      </c>
      <c r="I15" s="77">
        <v>727200</v>
      </c>
      <c r="J15" s="68">
        <v>0.1</v>
      </c>
      <c r="K15" s="33">
        <v>72720</v>
      </c>
      <c r="L15" s="18">
        <v>45817</v>
      </c>
      <c r="M15" s="18">
        <v>45827</v>
      </c>
      <c r="N15" s="115" t="s">
        <v>344</v>
      </c>
      <c r="O15" s="128">
        <v>1</v>
      </c>
      <c r="P15" s="128"/>
      <c r="Q15" s="128"/>
      <c r="R15" s="73"/>
      <c r="S15" s="21"/>
      <c r="T15" s="48" t="s">
        <v>430</v>
      </c>
      <c r="U15" s="46" t="s">
        <v>430</v>
      </c>
      <c r="V15" s="71" t="s">
        <v>430</v>
      </c>
      <c r="W15" s="72" t="s">
        <v>39</v>
      </c>
    </row>
    <row r="16" spans="1:23" s="84" customFormat="1" ht="23.25" customHeight="1">
      <c r="A16" s="26" t="s">
        <v>430</v>
      </c>
      <c r="B16" s="107" t="s">
        <v>102</v>
      </c>
      <c r="C16" s="108" t="s">
        <v>598</v>
      </c>
      <c r="D16" s="17" t="s">
        <v>54</v>
      </c>
      <c r="E16" s="24" t="s">
        <v>222</v>
      </c>
      <c r="F16" s="109" t="s">
        <v>103</v>
      </c>
      <c r="G16" s="109" t="s">
        <v>23</v>
      </c>
      <c r="H16" s="126">
        <v>13793600</v>
      </c>
      <c r="I16" s="77">
        <v>13793600</v>
      </c>
      <c r="J16" s="68">
        <v>0.05</v>
      </c>
      <c r="K16" s="33">
        <v>689680</v>
      </c>
      <c r="L16" s="18">
        <v>45818</v>
      </c>
      <c r="M16" s="18">
        <v>45828</v>
      </c>
      <c r="N16" s="115" t="s">
        <v>344</v>
      </c>
      <c r="O16" s="128">
        <v>16</v>
      </c>
      <c r="P16" s="128"/>
      <c r="Q16" s="128"/>
      <c r="R16" s="73"/>
      <c r="S16" s="21"/>
      <c r="T16" s="48" t="s">
        <v>430</v>
      </c>
      <c r="U16" s="46" t="s">
        <v>430</v>
      </c>
      <c r="V16" s="71" t="s">
        <v>430</v>
      </c>
      <c r="W16" s="72" t="s">
        <v>39</v>
      </c>
    </row>
    <row r="17" spans="1:23" s="84" customFormat="1" ht="23.25" customHeight="1">
      <c r="A17" s="26" t="s">
        <v>430</v>
      </c>
      <c r="B17" s="107" t="s">
        <v>187</v>
      </c>
      <c r="C17" s="108" t="s">
        <v>601</v>
      </c>
      <c r="D17" s="17" t="s">
        <v>54</v>
      </c>
      <c r="E17" s="24" t="s">
        <v>222</v>
      </c>
      <c r="F17" s="109" t="s">
        <v>188</v>
      </c>
      <c r="G17" s="109" t="s">
        <v>23</v>
      </c>
      <c r="H17" s="126">
        <v>109073500</v>
      </c>
      <c r="I17" s="77">
        <v>109073500</v>
      </c>
      <c r="J17" s="68">
        <v>0.02</v>
      </c>
      <c r="K17" s="33">
        <v>2181470</v>
      </c>
      <c r="L17" s="18">
        <v>45823</v>
      </c>
      <c r="M17" s="18">
        <v>45828</v>
      </c>
      <c r="N17" s="115" t="s">
        <v>344</v>
      </c>
      <c r="O17" s="128">
        <v>32</v>
      </c>
      <c r="P17" s="128"/>
      <c r="Q17" s="128"/>
      <c r="R17" s="73"/>
      <c r="S17" s="21"/>
      <c r="T17" s="48" t="s">
        <v>430</v>
      </c>
      <c r="U17" s="46" t="s">
        <v>430</v>
      </c>
      <c r="V17" s="71" t="s">
        <v>430</v>
      </c>
      <c r="W17" s="72" t="s">
        <v>39</v>
      </c>
    </row>
    <row r="18" spans="1:23" s="84" customFormat="1" ht="23.25" customHeight="1">
      <c r="A18" s="26" t="s">
        <v>430</v>
      </c>
      <c r="B18" s="107" t="s">
        <v>226</v>
      </c>
      <c r="C18" s="108" t="s">
        <v>602</v>
      </c>
      <c r="D18" s="17" t="s">
        <v>54</v>
      </c>
      <c r="E18" s="24" t="s">
        <v>227</v>
      </c>
      <c r="F18" s="109" t="s">
        <v>228</v>
      </c>
      <c r="G18" s="109" t="s">
        <v>23</v>
      </c>
      <c r="H18" s="126">
        <v>11054400</v>
      </c>
      <c r="I18" s="77">
        <v>11054400</v>
      </c>
      <c r="J18" s="68">
        <v>0.02</v>
      </c>
      <c r="K18" s="33">
        <v>221088</v>
      </c>
      <c r="L18" s="18">
        <v>45818</v>
      </c>
      <c r="M18" s="18">
        <v>45828</v>
      </c>
      <c r="N18" s="115" t="s">
        <v>344</v>
      </c>
      <c r="O18" s="128">
        <v>9</v>
      </c>
      <c r="P18" s="128"/>
      <c r="Q18" s="128"/>
      <c r="R18" s="73"/>
      <c r="S18" s="21"/>
      <c r="T18" s="48" t="s">
        <v>430</v>
      </c>
      <c r="U18" s="46" t="s">
        <v>430</v>
      </c>
      <c r="V18" s="71" t="s">
        <v>430</v>
      </c>
      <c r="W18" s="72" t="s">
        <v>39</v>
      </c>
    </row>
    <row r="19" spans="1:23" s="84" customFormat="1" ht="23.25" customHeight="1">
      <c r="A19" s="26" t="s">
        <v>430</v>
      </c>
      <c r="B19" s="107" t="s">
        <v>229</v>
      </c>
      <c r="C19" s="108" t="s">
        <v>603</v>
      </c>
      <c r="D19" s="17" t="s">
        <v>54</v>
      </c>
      <c r="E19" s="24" t="s">
        <v>227</v>
      </c>
      <c r="F19" s="109" t="s">
        <v>230</v>
      </c>
      <c r="G19" s="109" t="s">
        <v>23</v>
      </c>
      <c r="H19" s="126">
        <v>7162800</v>
      </c>
      <c r="I19" s="77">
        <v>7162800</v>
      </c>
      <c r="J19" s="68">
        <v>0.02</v>
      </c>
      <c r="K19" s="33">
        <v>143256</v>
      </c>
      <c r="L19" s="18">
        <v>45818</v>
      </c>
      <c r="M19" s="18">
        <v>45828</v>
      </c>
      <c r="N19" s="115" t="s">
        <v>344</v>
      </c>
      <c r="O19" s="128">
        <v>6</v>
      </c>
      <c r="P19" s="128"/>
      <c r="Q19" s="128"/>
      <c r="R19" s="73"/>
      <c r="S19" s="21"/>
      <c r="T19" s="48" t="s">
        <v>430</v>
      </c>
      <c r="U19" s="46" t="s">
        <v>430</v>
      </c>
      <c r="V19" s="71" t="s">
        <v>430</v>
      </c>
      <c r="W19" s="72" t="s">
        <v>39</v>
      </c>
    </row>
    <row r="20" spans="1:23" s="84" customFormat="1" ht="23.25" customHeight="1">
      <c r="A20" s="26" t="s">
        <v>430</v>
      </c>
      <c r="B20" s="107" t="s">
        <v>233</v>
      </c>
      <c r="C20" s="108" t="s">
        <v>604</v>
      </c>
      <c r="D20" s="17" t="s">
        <v>54</v>
      </c>
      <c r="E20" s="24" t="s">
        <v>222</v>
      </c>
      <c r="F20" s="109" t="s">
        <v>234</v>
      </c>
      <c r="G20" s="109" t="s">
        <v>23</v>
      </c>
      <c r="H20" s="126">
        <v>12235300</v>
      </c>
      <c r="I20" s="77">
        <v>12235300</v>
      </c>
      <c r="J20" s="68">
        <v>0.02</v>
      </c>
      <c r="K20" s="33">
        <v>244706</v>
      </c>
      <c r="L20" s="18">
        <v>45818</v>
      </c>
      <c r="M20" s="18">
        <v>45828</v>
      </c>
      <c r="N20" s="115" t="s">
        <v>344</v>
      </c>
      <c r="O20" s="128">
        <v>8</v>
      </c>
      <c r="P20" s="128"/>
      <c r="Q20" s="128"/>
      <c r="R20" s="73"/>
      <c r="S20" s="21"/>
      <c r="T20" s="48" t="s">
        <v>430</v>
      </c>
      <c r="U20" s="46" t="s">
        <v>430</v>
      </c>
      <c r="V20" s="71" t="s">
        <v>430</v>
      </c>
      <c r="W20" s="72" t="s">
        <v>39</v>
      </c>
    </row>
    <row r="21" spans="1:23" s="84" customFormat="1" ht="23.25" customHeight="1">
      <c r="A21" s="26" t="s">
        <v>430</v>
      </c>
      <c r="B21" s="107" t="s">
        <v>102</v>
      </c>
      <c r="C21" s="108" t="s">
        <v>598</v>
      </c>
      <c r="D21" s="17" t="s">
        <v>54</v>
      </c>
      <c r="E21" s="24" t="s">
        <v>222</v>
      </c>
      <c r="F21" s="109" t="s">
        <v>103</v>
      </c>
      <c r="G21" s="109" t="s">
        <v>23</v>
      </c>
      <c r="H21" s="126">
        <v>679400</v>
      </c>
      <c r="I21" s="77">
        <v>679400</v>
      </c>
      <c r="J21" s="68">
        <v>0.05</v>
      </c>
      <c r="K21" s="33">
        <v>33970</v>
      </c>
      <c r="L21" s="18">
        <v>45822</v>
      </c>
      <c r="M21" s="18">
        <v>45832</v>
      </c>
      <c r="N21" s="115" t="s">
        <v>344</v>
      </c>
      <c r="O21" s="128">
        <v>1</v>
      </c>
      <c r="P21" s="128"/>
      <c r="Q21" s="128"/>
      <c r="R21" s="73"/>
      <c r="S21" s="21"/>
      <c r="T21" s="48" t="s">
        <v>430</v>
      </c>
      <c r="U21" s="46" t="s">
        <v>430</v>
      </c>
      <c r="V21" s="71" t="s">
        <v>430</v>
      </c>
      <c r="W21" s="72" t="s">
        <v>39</v>
      </c>
    </row>
    <row r="22" spans="1:23" s="84" customFormat="1" ht="23.25" customHeight="1">
      <c r="A22" s="26" t="s">
        <v>430</v>
      </c>
      <c r="B22" s="107" t="s">
        <v>229</v>
      </c>
      <c r="C22" s="108" t="s">
        <v>603</v>
      </c>
      <c r="D22" s="17" t="s">
        <v>54</v>
      </c>
      <c r="E22" s="24" t="s">
        <v>227</v>
      </c>
      <c r="F22" s="109" t="s">
        <v>230</v>
      </c>
      <c r="G22" s="109" t="s">
        <v>23</v>
      </c>
      <c r="H22" s="126">
        <v>3648000</v>
      </c>
      <c r="I22" s="77">
        <v>3648000</v>
      </c>
      <c r="J22" s="68">
        <v>0.02</v>
      </c>
      <c r="K22" s="33">
        <v>72960</v>
      </c>
      <c r="L22" s="18">
        <v>45822</v>
      </c>
      <c r="M22" s="18">
        <v>45832</v>
      </c>
      <c r="N22" s="115" t="s">
        <v>344</v>
      </c>
      <c r="O22" s="128">
        <v>1</v>
      </c>
      <c r="P22" s="128"/>
      <c r="Q22" s="128"/>
      <c r="R22" s="73"/>
      <c r="S22" s="21"/>
      <c r="T22" s="48" t="s">
        <v>430</v>
      </c>
      <c r="U22" s="46" t="s">
        <v>430</v>
      </c>
      <c r="V22" s="71" t="s">
        <v>430</v>
      </c>
      <c r="W22" s="72" t="s">
        <v>39</v>
      </c>
    </row>
    <row r="23" spans="1:23" s="84" customFormat="1" ht="23.25" customHeight="1">
      <c r="A23" s="26" t="s">
        <v>430</v>
      </c>
      <c r="B23" s="107" t="s">
        <v>108</v>
      </c>
      <c r="C23" s="108" t="s">
        <v>599</v>
      </c>
      <c r="D23" s="17" t="s">
        <v>54</v>
      </c>
      <c r="E23" s="24" t="s">
        <v>223</v>
      </c>
      <c r="F23" s="109" t="s">
        <v>109</v>
      </c>
      <c r="G23" s="109" t="s">
        <v>23</v>
      </c>
      <c r="H23" s="126">
        <v>3418000</v>
      </c>
      <c r="I23" s="77">
        <v>3418000</v>
      </c>
      <c r="J23" s="68">
        <v>0.1</v>
      </c>
      <c r="K23" s="33">
        <v>341800</v>
      </c>
      <c r="L23" s="18">
        <v>45823</v>
      </c>
      <c r="M23" s="18">
        <v>45833</v>
      </c>
      <c r="N23" s="115" t="s">
        <v>344</v>
      </c>
      <c r="O23" s="128">
        <v>5</v>
      </c>
      <c r="P23" s="128"/>
      <c r="Q23" s="128"/>
      <c r="R23" s="73"/>
      <c r="S23" s="21"/>
      <c r="T23" s="48" t="s">
        <v>430</v>
      </c>
      <c r="U23" s="46" t="s">
        <v>430</v>
      </c>
      <c r="V23" s="71" t="s">
        <v>430</v>
      </c>
      <c r="W23" s="72" t="s">
        <v>39</v>
      </c>
    </row>
    <row r="24" spans="1:23" s="84" customFormat="1" ht="23.25" customHeight="1">
      <c r="A24" s="26" t="s">
        <v>430</v>
      </c>
      <c r="B24" s="107" t="s">
        <v>229</v>
      </c>
      <c r="C24" s="108" t="s">
        <v>603</v>
      </c>
      <c r="D24" s="17" t="s">
        <v>54</v>
      </c>
      <c r="E24" s="24" t="s">
        <v>227</v>
      </c>
      <c r="F24" s="109" t="s">
        <v>230</v>
      </c>
      <c r="G24" s="109" t="s">
        <v>23</v>
      </c>
      <c r="H24" s="126">
        <v>1719500</v>
      </c>
      <c r="I24" s="77">
        <v>1719500</v>
      </c>
      <c r="J24" s="68">
        <v>0.02</v>
      </c>
      <c r="K24" s="33">
        <v>34390</v>
      </c>
      <c r="L24" s="18">
        <v>45823</v>
      </c>
      <c r="M24" s="18">
        <v>45833</v>
      </c>
      <c r="N24" s="115" t="s">
        <v>344</v>
      </c>
      <c r="O24" s="128">
        <v>1</v>
      </c>
      <c r="P24" s="128"/>
      <c r="Q24" s="128"/>
      <c r="R24" s="73"/>
      <c r="S24" s="21"/>
      <c r="T24" s="48" t="s">
        <v>430</v>
      </c>
      <c r="U24" s="46" t="s">
        <v>430</v>
      </c>
      <c r="V24" s="71" t="s">
        <v>430</v>
      </c>
      <c r="W24" s="72" t="s">
        <v>39</v>
      </c>
    </row>
    <row r="25" spans="1:23" s="84" customFormat="1" ht="23.25" customHeight="1">
      <c r="A25" s="26" t="s">
        <v>430</v>
      </c>
      <c r="B25" s="107" t="s">
        <v>187</v>
      </c>
      <c r="C25" s="108" t="s">
        <v>601</v>
      </c>
      <c r="D25" s="17" t="s">
        <v>54</v>
      </c>
      <c r="E25" s="24" t="s">
        <v>222</v>
      </c>
      <c r="F25" s="109" t="s">
        <v>188</v>
      </c>
      <c r="G25" s="109" t="s">
        <v>23</v>
      </c>
      <c r="H25" s="126">
        <v>679400</v>
      </c>
      <c r="I25" s="77">
        <v>679400</v>
      </c>
      <c r="J25" s="68">
        <v>0.02</v>
      </c>
      <c r="K25" s="33">
        <v>13588</v>
      </c>
      <c r="L25" s="18">
        <v>45825</v>
      </c>
      <c r="M25" s="18">
        <v>45835</v>
      </c>
      <c r="N25" s="115" t="s">
        <v>344</v>
      </c>
      <c r="O25" s="128">
        <v>1</v>
      </c>
      <c r="P25" s="128"/>
      <c r="Q25" s="128"/>
      <c r="R25" s="73"/>
      <c r="S25" s="21"/>
      <c r="T25" s="48" t="s">
        <v>430</v>
      </c>
      <c r="U25" s="46" t="s">
        <v>430</v>
      </c>
      <c r="V25" s="71" t="s">
        <v>430</v>
      </c>
      <c r="W25" s="72" t="s">
        <v>39</v>
      </c>
    </row>
    <row r="26" spans="1:23" s="84" customFormat="1" ht="23.25" customHeight="1">
      <c r="A26" s="26" t="s">
        <v>430</v>
      </c>
      <c r="B26" s="107" t="s">
        <v>185</v>
      </c>
      <c r="C26" s="108" t="s">
        <v>600</v>
      </c>
      <c r="D26" s="17" t="s">
        <v>54</v>
      </c>
      <c r="E26" s="24" t="s">
        <v>224</v>
      </c>
      <c r="F26" s="109" t="s">
        <v>186</v>
      </c>
      <c r="G26" s="109" t="s">
        <v>23</v>
      </c>
      <c r="H26" s="126">
        <v>33896000</v>
      </c>
      <c r="I26" s="77">
        <v>33896000</v>
      </c>
      <c r="J26" s="68">
        <v>0.02</v>
      </c>
      <c r="K26" s="33">
        <v>677920</v>
      </c>
      <c r="L26" s="18">
        <v>45828</v>
      </c>
      <c r="M26" s="18">
        <v>45838</v>
      </c>
      <c r="N26" s="115" t="s">
        <v>344</v>
      </c>
      <c r="O26" s="128">
        <v>11</v>
      </c>
      <c r="P26" s="128"/>
      <c r="Q26" s="128"/>
      <c r="R26" s="73"/>
      <c r="S26" s="21"/>
      <c r="T26" s="48" t="s">
        <v>430</v>
      </c>
      <c r="U26" s="46" t="s">
        <v>430</v>
      </c>
      <c r="V26" s="71" t="s">
        <v>430</v>
      </c>
      <c r="W26" s="72" t="s">
        <v>39</v>
      </c>
    </row>
    <row r="27" spans="1:23" s="84" customFormat="1" ht="23.25" customHeight="1">
      <c r="A27" s="26" t="s">
        <v>430</v>
      </c>
      <c r="B27" s="107" t="s">
        <v>226</v>
      </c>
      <c r="C27" s="108" t="s">
        <v>602</v>
      </c>
      <c r="D27" s="17" t="s">
        <v>54</v>
      </c>
      <c r="E27" s="24" t="s">
        <v>227</v>
      </c>
      <c r="F27" s="109" t="s">
        <v>228</v>
      </c>
      <c r="G27" s="109" t="s">
        <v>23</v>
      </c>
      <c r="H27" s="126">
        <v>12286600</v>
      </c>
      <c r="I27" s="77">
        <v>12286600</v>
      </c>
      <c r="J27" s="68">
        <v>0.02</v>
      </c>
      <c r="K27" s="33">
        <v>245732</v>
      </c>
      <c r="L27" s="18">
        <v>45828</v>
      </c>
      <c r="M27" s="18">
        <v>45838</v>
      </c>
      <c r="N27" s="115" t="s">
        <v>344</v>
      </c>
      <c r="O27" s="128">
        <v>13</v>
      </c>
      <c r="P27" s="128"/>
      <c r="Q27" s="128"/>
      <c r="R27" s="73"/>
      <c r="S27" s="21"/>
      <c r="T27" s="48" t="s">
        <v>430</v>
      </c>
      <c r="U27" s="46" t="s">
        <v>430</v>
      </c>
      <c r="V27" s="71" t="s">
        <v>430</v>
      </c>
      <c r="W27" s="72" t="s">
        <v>39</v>
      </c>
    </row>
    <row r="28" spans="1:23" s="84" customFormat="1" ht="23.25" customHeight="1">
      <c r="A28" s="26" t="s">
        <v>430</v>
      </c>
      <c r="B28" s="107" t="s">
        <v>606</v>
      </c>
      <c r="C28" s="108" t="s">
        <v>29</v>
      </c>
      <c r="D28" s="17" t="s">
        <v>54</v>
      </c>
      <c r="E28" s="24" t="s">
        <v>222</v>
      </c>
      <c r="F28" s="109" t="s">
        <v>607</v>
      </c>
      <c r="G28" s="109" t="s">
        <v>23</v>
      </c>
      <c r="H28" s="126">
        <v>850200</v>
      </c>
      <c r="I28" s="77">
        <v>850200</v>
      </c>
      <c r="J28" s="68">
        <v>0.5</v>
      </c>
      <c r="K28" s="33">
        <v>425100</v>
      </c>
      <c r="L28" s="18">
        <v>45833</v>
      </c>
      <c r="M28" s="18">
        <v>45838</v>
      </c>
      <c r="N28" s="115" t="s">
        <v>344</v>
      </c>
      <c r="O28" s="128">
        <v>6</v>
      </c>
      <c r="P28" s="128"/>
      <c r="Q28" s="128"/>
      <c r="R28" s="73"/>
      <c r="S28" s="21"/>
      <c r="T28" s="48" t="s">
        <v>430</v>
      </c>
      <c r="U28" s="46" t="s">
        <v>430</v>
      </c>
      <c r="V28" s="71" t="s">
        <v>430</v>
      </c>
      <c r="W28" s="72" t="s">
        <v>39</v>
      </c>
    </row>
    <row r="29" spans="1:23" s="84" customFormat="1" ht="23.25" customHeight="1">
      <c r="A29" s="26" t="s">
        <v>430</v>
      </c>
      <c r="B29" s="107" t="s">
        <v>608</v>
      </c>
      <c r="C29" s="108" t="s">
        <v>29</v>
      </c>
      <c r="D29" s="17" t="s">
        <v>54</v>
      </c>
      <c r="E29" s="24" t="s">
        <v>222</v>
      </c>
      <c r="F29" s="109" t="s">
        <v>609</v>
      </c>
      <c r="G29" s="109" t="s">
        <v>23</v>
      </c>
      <c r="H29" s="126">
        <v>850200</v>
      </c>
      <c r="I29" s="77">
        <v>850200</v>
      </c>
      <c r="J29" s="68">
        <v>0.5</v>
      </c>
      <c r="K29" s="33">
        <v>425100</v>
      </c>
      <c r="L29" s="18">
        <v>45833</v>
      </c>
      <c r="M29" s="18">
        <v>45838</v>
      </c>
      <c r="N29" s="115" t="s">
        <v>344</v>
      </c>
      <c r="O29" s="128">
        <v>6</v>
      </c>
      <c r="P29" s="128"/>
      <c r="Q29" s="128"/>
      <c r="R29" s="73"/>
      <c r="S29" s="21"/>
      <c r="T29" s="48" t="s">
        <v>430</v>
      </c>
      <c r="U29" s="46" t="s">
        <v>430</v>
      </c>
      <c r="V29" s="71" t="s">
        <v>430</v>
      </c>
      <c r="W29" s="72" t="s">
        <v>39</v>
      </c>
    </row>
    <row r="30" spans="1:23" s="84" customFormat="1" ht="23.25" customHeight="1">
      <c r="A30" s="26" t="s">
        <v>430</v>
      </c>
      <c r="B30" s="107" t="s">
        <v>610</v>
      </c>
      <c r="C30" s="108" t="s">
        <v>28</v>
      </c>
      <c r="D30" s="17" t="s">
        <v>54</v>
      </c>
      <c r="E30" s="24" t="s">
        <v>222</v>
      </c>
      <c r="F30" s="109" t="s">
        <v>611</v>
      </c>
      <c r="G30" s="109" t="s">
        <v>23</v>
      </c>
      <c r="H30" s="126">
        <v>850200</v>
      </c>
      <c r="I30" s="77">
        <v>850200</v>
      </c>
      <c r="J30" s="68">
        <v>0.5</v>
      </c>
      <c r="K30" s="33">
        <v>425100</v>
      </c>
      <c r="L30" s="18">
        <v>45833</v>
      </c>
      <c r="M30" s="18">
        <v>45838</v>
      </c>
      <c r="N30" s="115" t="s">
        <v>344</v>
      </c>
      <c r="O30" s="128">
        <v>6</v>
      </c>
      <c r="P30" s="128"/>
      <c r="Q30" s="128"/>
      <c r="R30" s="73"/>
      <c r="S30" s="21"/>
      <c r="T30" s="48" t="s">
        <v>430</v>
      </c>
      <c r="U30" s="46" t="s">
        <v>430</v>
      </c>
      <c r="V30" s="71" t="s">
        <v>430</v>
      </c>
      <c r="W30" s="72" t="s">
        <v>39</v>
      </c>
    </row>
    <row r="31" spans="1:23" s="84" customFormat="1" ht="23.25" customHeight="1">
      <c r="A31" s="26" t="s">
        <v>430</v>
      </c>
      <c r="B31" s="107" t="s">
        <v>612</v>
      </c>
      <c r="C31" s="108" t="s">
        <v>28</v>
      </c>
      <c r="D31" s="17" t="s">
        <v>54</v>
      </c>
      <c r="E31" s="24" t="s">
        <v>222</v>
      </c>
      <c r="F31" s="109" t="s">
        <v>613</v>
      </c>
      <c r="G31" s="109" t="s">
        <v>23</v>
      </c>
      <c r="H31" s="126">
        <v>850200</v>
      </c>
      <c r="I31" s="77">
        <v>850200</v>
      </c>
      <c r="J31" s="68">
        <v>0.5</v>
      </c>
      <c r="K31" s="33">
        <v>425100</v>
      </c>
      <c r="L31" s="18">
        <v>45833</v>
      </c>
      <c r="M31" s="18">
        <v>45838</v>
      </c>
      <c r="N31" s="115" t="s">
        <v>344</v>
      </c>
      <c r="O31" s="128">
        <v>6</v>
      </c>
      <c r="P31" s="128"/>
      <c r="Q31" s="128"/>
      <c r="R31" s="73"/>
      <c r="S31" s="21"/>
      <c r="T31" s="48" t="s">
        <v>430</v>
      </c>
      <c r="U31" s="46" t="s">
        <v>430</v>
      </c>
      <c r="V31" s="71" t="s">
        <v>430</v>
      </c>
      <c r="W31" s="72" t="s">
        <v>39</v>
      </c>
    </row>
    <row r="32" spans="1:23" s="84" customFormat="1" ht="23.25" customHeight="1">
      <c r="A32" s="26" t="s">
        <v>430</v>
      </c>
      <c r="B32" s="107" t="s">
        <v>614</v>
      </c>
      <c r="C32" s="108" t="s">
        <v>28</v>
      </c>
      <c r="D32" s="17" t="s">
        <v>54</v>
      </c>
      <c r="E32" s="24" t="s">
        <v>222</v>
      </c>
      <c r="F32" s="109" t="s">
        <v>615</v>
      </c>
      <c r="G32" s="109" t="s">
        <v>23</v>
      </c>
      <c r="H32" s="126">
        <v>850200</v>
      </c>
      <c r="I32" s="77">
        <v>850200</v>
      </c>
      <c r="J32" s="68">
        <v>0.5</v>
      </c>
      <c r="K32" s="33">
        <v>425100</v>
      </c>
      <c r="L32" s="18">
        <v>45833</v>
      </c>
      <c r="M32" s="18">
        <v>45838</v>
      </c>
      <c r="N32" s="115" t="s">
        <v>344</v>
      </c>
      <c r="O32" s="128">
        <v>6</v>
      </c>
      <c r="P32" s="128"/>
      <c r="Q32" s="128"/>
      <c r="R32" s="73"/>
      <c r="S32" s="21"/>
      <c r="T32" s="48" t="s">
        <v>430</v>
      </c>
      <c r="U32" s="46" t="s">
        <v>430</v>
      </c>
      <c r="V32" s="71" t="s">
        <v>430</v>
      </c>
      <c r="W32" s="72" t="s">
        <v>39</v>
      </c>
    </row>
    <row r="33" spans="1:23" s="84" customFormat="1" ht="23.25" customHeight="1">
      <c r="A33" s="26" t="s">
        <v>430</v>
      </c>
      <c r="B33" s="107" t="s">
        <v>108</v>
      </c>
      <c r="C33" s="108" t="s">
        <v>599</v>
      </c>
      <c r="D33" s="17" t="s">
        <v>54</v>
      </c>
      <c r="E33" s="24" t="s">
        <v>223</v>
      </c>
      <c r="F33" s="109" t="s">
        <v>109</v>
      </c>
      <c r="G33" s="109" t="s">
        <v>23</v>
      </c>
      <c r="H33" s="126">
        <v>1760400</v>
      </c>
      <c r="I33" s="77">
        <v>1760400</v>
      </c>
      <c r="J33" s="68">
        <v>0.1</v>
      </c>
      <c r="K33" s="33">
        <v>176040</v>
      </c>
      <c r="L33" s="18">
        <v>45829</v>
      </c>
      <c r="M33" s="18">
        <v>45839</v>
      </c>
      <c r="N33" s="115" t="s">
        <v>344</v>
      </c>
      <c r="O33" s="128">
        <v>3</v>
      </c>
      <c r="P33" s="128"/>
      <c r="Q33" s="128"/>
      <c r="R33" s="73"/>
      <c r="S33" s="21"/>
      <c r="T33" s="48" t="s">
        <v>430</v>
      </c>
      <c r="U33" s="48" t="s">
        <v>430</v>
      </c>
      <c r="V33" s="71" t="s">
        <v>430</v>
      </c>
      <c r="W33" s="72" t="s">
        <v>39</v>
      </c>
    </row>
    <row r="34" spans="1:23" s="84" customFormat="1" ht="23.25" customHeight="1">
      <c r="A34" s="26" t="s">
        <v>430</v>
      </c>
      <c r="B34" s="107" t="s">
        <v>185</v>
      </c>
      <c r="C34" s="108" t="s">
        <v>600</v>
      </c>
      <c r="D34" s="17" t="s">
        <v>54</v>
      </c>
      <c r="E34" s="24" t="s">
        <v>224</v>
      </c>
      <c r="F34" s="109" t="s">
        <v>186</v>
      </c>
      <c r="G34" s="109" t="s">
        <v>23</v>
      </c>
      <c r="H34" s="126">
        <v>1452400</v>
      </c>
      <c r="I34" s="77">
        <v>1452400</v>
      </c>
      <c r="J34" s="68">
        <v>0.02</v>
      </c>
      <c r="K34" s="33">
        <v>29048</v>
      </c>
      <c r="L34" s="18">
        <v>45829</v>
      </c>
      <c r="M34" s="18">
        <v>45839</v>
      </c>
      <c r="N34" s="115" t="s">
        <v>344</v>
      </c>
      <c r="O34" s="128">
        <v>3</v>
      </c>
      <c r="P34" s="128"/>
      <c r="Q34" s="128"/>
      <c r="R34" s="73"/>
      <c r="S34" s="21"/>
      <c r="T34" s="48" t="s">
        <v>430</v>
      </c>
      <c r="U34" s="46" t="s">
        <v>430</v>
      </c>
      <c r="V34" s="71" t="s">
        <v>430</v>
      </c>
      <c r="W34" s="72" t="s">
        <v>39</v>
      </c>
    </row>
    <row r="35" spans="1:23" s="84" customFormat="1" ht="23.25" customHeight="1">
      <c r="A35" s="26" t="s">
        <v>430</v>
      </c>
      <c r="B35" s="107" t="s">
        <v>233</v>
      </c>
      <c r="C35" s="108" t="s">
        <v>604</v>
      </c>
      <c r="D35" s="17" t="s">
        <v>54</v>
      </c>
      <c r="E35" s="24" t="s">
        <v>222</v>
      </c>
      <c r="F35" s="109" t="s">
        <v>234</v>
      </c>
      <c r="G35" s="109" t="s">
        <v>23</v>
      </c>
      <c r="H35" s="126">
        <v>2659100</v>
      </c>
      <c r="I35" s="77">
        <v>2659100</v>
      </c>
      <c r="J35" s="68">
        <v>0.02</v>
      </c>
      <c r="K35" s="33">
        <v>53182</v>
      </c>
      <c r="L35" s="18">
        <v>45830</v>
      </c>
      <c r="M35" s="18">
        <v>45840</v>
      </c>
      <c r="N35" s="115" t="s">
        <v>344</v>
      </c>
      <c r="O35" s="128">
        <v>1</v>
      </c>
      <c r="P35" s="128"/>
      <c r="Q35" s="128"/>
      <c r="R35" s="73"/>
      <c r="S35" s="21"/>
      <c r="T35" s="48" t="s">
        <v>430</v>
      </c>
      <c r="U35" s="46" t="s">
        <v>430</v>
      </c>
      <c r="V35" s="71" t="s">
        <v>430</v>
      </c>
      <c r="W35" s="72" t="s">
        <v>39</v>
      </c>
    </row>
    <row r="36" spans="1:23" s="84" customFormat="1" ht="23.25" customHeight="1">
      <c r="A36" s="26" t="s">
        <v>430</v>
      </c>
      <c r="B36" s="107" t="s">
        <v>108</v>
      </c>
      <c r="C36" s="108" t="s">
        <v>599</v>
      </c>
      <c r="D36" s="17" t="s">
        <v>54</v>
      </c>
      <c r="E36" s="24" t="s">
        <v>223</v>
      </c>
      <c r="F36" s="109" t="s">
        <v>109</v>
      </c>
      <c r="G36" s="109" t="s">
        <v>23</v>
      </c>
      <c r="H36" s="126">
        <v>727200</v>
      </c>
      <c r="I36" s="77">
        <v>727200</v>
      </c>
      <c r="J36" s="68">
        <v>0.1</v>
      </c>
      <c r="K36" s="33">
        <v>72720</v>
      </c>
      <c r="L36" s="18">
        <v>45831</v>
      </c>
      <c r="M36" s="18">
        <v>45841</v>
      </c>
      <c r="N36" s="115" t="s">
        <v>344</v>
      </c>
      <c r="O36" s="128">
        <v>1</v>
      </c>
      <c r="P36" s="128"/>
      <c r="Q36" s="128"/>
      <c r="R36" s="73"/>
      <c r="S36" s="21"/>
      <c r="T36" s="48" t="s">
        <v>430</v>
      </c>
      <c r="U36" s="46" t="s">
        <v>430</v>
      </c>
      <c r="V36" s="71" t="s">
        <v>430</v>
      </c>
      <c r="W36" s="72" t="s">
        <v>39</v>
      </c>
    </row>
    <row r="37" spans="1:23" s="84" customFormat="1" ht="23.25" customHeight="1">
      <c r="A37" s="26" t="s">
        <v>430</v>
      </c>
      <c r="B37" s="107" t="s">
        <v>185</v>
      </c>
      <c r="C37" s="108" t="s">
        <v>600</v>
      </c>
      <c r="D37" s="17" t="s">
        <v>54</v>
      </c>
      <c r="E37" s="24" t="s">
        <v>224</v>
      </c>
      <c r="F37" s="109" t="s">
        <v>186</v>
      </c>
      <c r="G37" s="109" t="s">
        <v>23</v>
      </c>
      <c r="H37" s="126">
        <v>1452400</v>
      </c>
      <c r="I37" s="77">
        <v>1452400</v>
      </c>
      <c r="J37" s="68">
        <v>0.02</v>
      </c>
      <c r="K37" s="33">
        <v>29048</v>
      </c>
      <c r="L37" s="18">
        <v>45831</v>
      </c>
      <c r="M37" s="18">
        <v>45841</v>
      </c>
      <c r="N37" s="115" t="s">
        <v>344</v>
      </c>
      <c r="O37" s="128">
        <v>3</v>
      </c>
      <c r="P37" s="128"/>
      <c r="Q37" s="128"/>
      <c r="R37" s="73"/>
      <c r="S37" s="21"/>
      <c r="T37" s="48" t="s">
        <v>430</v>
      </c>
      <c r="U37" s="46" t="s">
        <v>430</v>
      </c>
      <c r="V37" s="71" t="s">
        <v>430</v>
      </c>
      <c r="W37" s="72" t="s">
        <v>39</v>
      </c>
    </row>
    <row r="38" spans="1:23" s="84" customFormat="1" ht="23.25" customHeight="1">
      <c r="A38" s="26" t="s">
        <v>430</v>
      </c>
      <c r="B38" s="107" t="s">
        <v>231</v>
      </c>
      <c r="C38" s="108" t="s">
        <v>490</v>
      </c>
      <c r="D38" s="17" t="s">
        <v>54</v>
      </c>
      <c r="E38" s="24" t="s">
        <v>227</v>
      </c>
      <c r="F38" s="109" t="s">
        <v>232</v>
      </c>
      <c r="G38" s="109" t="s">
        <v>23</v>
      </c>
      <c r="H38" s="126">
        <v>6129200</v>
      </c>
      <c r="I38" s="77">
        <v>6129200</v>
      </c>
      <c r="J38" s="68">
        <v>0.02</v>
      </c>
      <c r="K38" s="33">
        <v>122584</v>
      </c>
      <c r="L38" s="18">
        <v>45831</v>
      </c>
      <c r="M38" s="18">
        <v>45841</v>
      </c>
      <c r="N38" s="115" t="s">
        <v>344</v>
      </c>
      <c r="O38" s="128">
        <v>5</v>
      </c>
      <c r="P38" s="128"/>
      <c r="Q38" s="128"/>
      <c r="R38" s="73"/>
      <c r="S38" s="21"/>
      <c r="T38" s="48" t="s">
        <v>430</v>
      </c>
      <c r="U38" s="46" t="s">
        <v>430</v>
      </c>
      <c r="V38" s="71" t="s">
        <v>430</v>
      </c>
      <c r="W38" s="72" t="s">
        <v>39</v>
      </c>
    </row>
    <row r="39" spans="1:23" s="84" customFormat="1" ht="23.25" customHeight="1">
      <c r="A39" s="26" t="s">
        <v>430</v>
      </c>
      <c r="B39" s="107" t="s">
        <v>226</v>
      </c>
      <c r="C39" s="108" t="s">
        <v>602</v>
      </c>
      <c r="D39" s="17" t="s">
        <v>54</v>
      </c>
      <c r="E39" s="24" t="s">
        <v>227</v>
      </c>
      <c r="F39" s="109" t="s">
        <v>228</v>
      </c>
      <c r="G39" s="109" t="s">
        <v>23</v>
      </c>
      <c r="H39" s="126">
        <v>2621200</v>
      </c>
      <c r="I39" s="77">
        <v>2621200</v>
      </c>
      <c r="J39" s="68">
        <v>0.02</v>
      </c>
      <c r="K39" s="33">
        <v>52424</v>
      </c>
      <c r="L39" s="18">
        <v>45832</v>
      </c>
      <c r="M39" s="18">
        <v>45842</v>
      </c>
      <c r="N39" s="115" t="s">
        <v>344</v>
      </c>
      <c r="O39" s="128">
        <v>4</v>
      </c>
      <c r="P39" s="128"/>
      <c r="Q39" s="128"/>
      <c r="R39" s="73"/>
      <c r="S39" s="21"/>
      <c r="T39" s="48" t="s">
        <v>430</v>
      </c>
      <c r="U39" s="46" t="s">
        <v>430</v>
      </c>
      <c r="V39" s="71" t="s">
        <v>430</v>
      </c>
      <c r="W39" s="72" t="s">
        <v>39</v>
      </c>
    </row>
    <row r="40" spans="1:23" s="84" customFormat="1" ht="23.25" customHeight="1">
      <c r="A40" s="26" t="s">
        <v>430</v>
      </c>
      <c r="B40" s="107" t="s">
        <v>229</v>
      </c>
      <c r="C40" s="108" t="s">
        <v>603</v>
      </c>
      <c r="D40" s="17" t="s">
        <v>54</v>
      </c>
      <c r="E40" s="24" t="s">
        <v>227</v>
      </c>
      <c r="F40" s="109" t="s">
        <v>230</v>
      </c>
      <c r="G40" s="109" t="s">
        <v>23</v>
      </c>
      <c r="H40" s="126">
        <v>692400</v>
      </c>
      <c r="I40" s="77">
        <v>692400</v>
      </c>
      <c r="J40" s="68">
        <v>0.02</v>
      </c>
      <c r="K40" s="33">
        <v>13848</v>
      </c>
      <c r="L40" s="18">
        <v>45832</v>
      </c>
      <c r="M40" s="18">
        <v>45842</v>
      </c>
      <c r="N40" s="115" t="s">
        <v>344</v>
      </c>
      <c r="O40" s="128">
        <v>1</v>
      </c>
      <c r="P40" s="128"/>
      <c r="Q40" s="128"/>
      <c r="R40" s="73"/>
      <c r="S40" s="21"/>
      <c r="T40" s="48" t="s">
        <v>430</v>
      </c>
      <c r="U40" s="46" t="s">
        <v>430</v>
      </c>
      <c r="V40" s="71" t="s">
        <v>430</v>
      </c>
      <c r="W40" s="72" t="s">
        <v>39</v>
      </c>
    </row>
    <row r="41" spans="1:23" s="84" customFormat="1" ht="23.25" customHeight="1">
      <c r="A41" s="26" t="s">
        <v>430</v>
      </c>
      <c r="B41" s="107" t="s">
        <v>233</v>
      </c>
      <c r="C41" s="108" t="s">
        <v>604</v>
      </c>
      <c r="D41" s="17" t="s">
        <v>54</v>
      </c>
      <c r="E41" s="24" t="s">
        <v>222</v>
      </c>
      <c r="F41" s="109" t="s">
        <v>234</v>
      </c>
      <c r="G41" s="109" t="s">
        <v>23</v>
      </c>
      <c r="H41" s="126">
        <v>3083100</v>
      </c>
      <c r="I41" s="77">
        <v>3083100</v>
      </c>
      <c r="J41" s="68">
        <v>0.02</v>
      </c>
      <c r="K41" s="33">
        <v>61662</v>
      </c>
      <c r="L41" s="18">
        <v>45832</v>
      </c>
      <c r="M41" s="18">
        <v>45842</v>
      </c>
      <c r="N41" s="115" t="s">
        <v>344</v>
      </c>
      <c r="O41" s="128">
        <v>3</v>
      </c>
      <c r="P41" s="128"/>
      <c r="Q41" s="128"/>
      <c r="R41" s="73"/>
      <c r="S41" s="21"/>
      <c r="T41" s="48" t="s">
        <v>430</v>
      </c>
      <c r="U41" s="46" t="s">
        <v>430</v>
      </c>
      <c r="V41" s="71" t="s">
        <v>430</v>
      </c>
      <c r="W41" s="72" t="s">
        <v>39</v>
      </c>
    </row>
    <row r="42" spans="1:23" s="84" customFormat="1" ht="23.25" customHeight="1">
      <c r="A42" s="26" t="s">
        <v>430</v>
      </c>
      <c r="B42" s="107" t="s">
        <v>102</v>
      </c>
      <c r="C42" s="108" t="s">
        <v>598</v>
      </c>
      <c r="D42" s="17" t="s">
        <v>54</v>
      </c>
      <c r="E42" s="24" t="s">
        <v>222</v>
      </c>
      <c r="F42" s="109" t="s">
        <v>103</v>
      </c>
      <c r="G42" s="109" t="s">
        <v>23</v>
      </c>
      <c r="H42" s="126">
        <v>1384800</v>
      </c>
      <c r="I42" s="77">
        <v>1384800</v>
      </c>
      <c r="J42" s="68">
        <v>0.05</v>
      </c>
      <c r="K42" s="33">
        <v>69240</v>
      </c>
      <c r="L42" s="18">
        <v>45833</v>
      </c>
      <c r="M42" s="18">
        <v>45843</v>
      </c>
      <c r="N42" s="115" t="s">
        <v>344</v>
      </c>
      <c r="O42" s="128">
        <v>2</v>
      </c>
      <c r="P42" s="128"/>
      <c r="Q42" s="128"/>
      <c r="R42" s="73"/>
      <c r="S42" s="21"/>
      <c r="T42" s="48" t="s">
        <v>430</v>
      </c>
      <c r="U42" s="46" t="s">
        <v>430</v>
      </c>
      <c r="V42" s="71" t="s">
        <v>430</v>
      </c>
      <c r="W42" s="72" t="s">
        <v>39</v>
      </c>
    </row>
    <row r="43" spans="1:23" s="84" customFormat="1" ht="23.25" customHeight="1">
      <c r="A43" s="26" t="s">
        <v>430</v>
      </c>
      <c r="B43" s="107" t="s">
        <v>185</v>
      </c>
      <c r="C43" s="108" t="s">
        <v>600</v>
      </c>
      <c r="D43" s="17" t="s">
        <v>54</v>
      </c>
      <c r="E43" s="24" t="s">
        <v>224</v>
      </c>
      <c r="F43" s="109" t="s">
        <v>186</v>
      </c>
      <c r="G43" s="109" t="s">
        <v>23</v>
      </c>
      <c r="H43" s="126">
        <v>2389800</v>
      </c>
      <c r="I43" s="77">
        <v>2389800</v>
      </c>
      <c r="J43" s="68">
        <v>0.02</v>
      </c>
      <c r="K43" s="33">
        <v>47796</v>
      </c>
      <c r="L43" s="18">
        <v>45833</v>
      </c>
      <c r="M43" s="18">
        <v>45843</v>
      </c>
      <c r="N43" s="115" t="s">
        <v>344</v>
      </c>
      <c r="O43" s="128">
        <v>2</v>
      </c>
      <c r="P43" s="128"/>
      <c r="Q43" s="128"/>
      <c r="R43" s="73"/>
      <c r="S43" s="21"/>
      <c r="T43" s="48" t="s">
        <v>430</v>
      </c>
      <c r="U43" s="46" t="s">
        <v>430</v>
      </c>
      <c r="V43" s="71" t="s">
        <v>430</v>
      </c>
      <c r="W43" s="72" t="s">
        <v>39</v>
      </c>
    </row>
    <row r="44" spans="1:23" s="84" customFormat="1" ht="23.25" customHeight="1">
      <c r="A44" s="26" t="s">
        <v>430</v>
      </c>
      <c r="B44" s="107" t="s">
        <v>187</v>
      </c>
      <c r="C44" s="108" t="s">
        <v>601</v>
      </c>
      <c r="D44" s="17" t="s">
        <v>54</v>
      </c>
      <c r="E44" s="24" t="s">
        <v>222</v>
      </c>
      <c r="F44" s="109" t="s">
        <v>188</v>
      </c>
      <c r="G44" s="109" t="s">
        <v>23</v>
      </c>
      <c r="H44" s="126">
        <v>1267600</v>
      </c>
      <c r="I44" s="77">
        <v>1267600</v>
      </c>
      <c r="J44" s="68">
        <v>0.02</v>
      </c>
      <c r="K44" s="33">
        <v>25352</v>
      </c>
      <c r="L44" s="18">
        <v>45833</v>
      </c>
      <c r="M44" s="18">
        <v>45843</v>
      </c>
      <c r="N44" s="115" t="s">
        <v>344</v>
      </c>
      <c r="O44" s="128">
        <v>1</v>
      </c>
      <c r="P44" s="128"/>
      <c r="Q44" s="128"/>
      <c r="R44" s="73"/>
      <c r="S44" s="21"/>
      <c r="T44" s="48" t="s">
        <v>430</v>
      </c>
      <c r="U44" s="46" t="s">
        <v>430</v>
      </c>
      <c r="V44" s="71" t="s">
        <v>430</v>
      </c>
      <c r="W44" s="72" t="s">
        <v>39</v>
      </c>
    </row>
    <row r="45" spans="1:23" s="84" customFormat="1" ht="23.25" customHeight="1">
      <c r="A45" s="26" t="s">
        <v>430</v>
      </c>
      <c r="B45" s="107" t="s">
        <v>226</v>
      </c>
      <c r="C45" s="108" t="s">
        <v>602</v>
      </c>
      <c r="D45" s="17" t="s">
        <v>54</v>
      </c>
      <c r="E45" s="24" t="s">
        <v>227</v>
      </c>
      <c r="F45" s="109" t="s">
        <v>228</v>
      </c>
      <c r="G45" s="109" t="s">
        <v>23</v>
      </c>
      <c r="H45" s="126">
        <v>7348700</v>
      </c>
      <c r="I45" s="77">
        <v>7348700</v>
      </c>
      <c r="J45" s="68">
        <v>0.02</v>
      </c>
      <c r="K45" s="33">
        <v>146974</v>
      </c>
      <c r="L45" s="18">
        <v>45833</v>
      </c>
      <c r="M45" s="18">
        <v>45843</v>
      </c>
      <c r="N45" s="115" t="s">
        <v>344</v>
      </c>
      <c r="O45" s="128">
        <v>3</v>
      </c>
      <c r="P45" s="128"/>
      <c r="Q45" s="128"/>
      <c r="R45" s="73"/>
      <c r="S45" s="21"/>
      <c r="T45" s="48" t="s">
        <v>430</v>
      </c>
      <c r="U45" s="46" t="s">
        <v>430</v>
      </c>
      <c r="V45" s="71" t="s">
        <v>430</v>
      </c>
      <c r="W45" s="72" t="s">
        <v>39</v>
      </c>
    </row>
    <row r="46" spans="1:23" s="84" customFormat="1" ht="23.25" customHeight="1">
      <c r="A46" s="26" t="s">
        <v>430</v>
      </c>
      <c r="B46" s="107" t="s">
        <v>233</v>
      </c>
      <c r="C46" s="108" t="s">
        <v>604</v>
      </c>
      <c r="D46" s="17" t="s">
        <v>54</v>
      </c>
      <c r="E46" s="24" t="s">
        <v>222</v>
      </c>
      <c r="F46" s="109" t="s">
        <v>234</v>
      </c>
      <c r="G46" s="109" t="s">
        <v>23</v>
      </c>
      <c r="H46" s="126">
        <v>26668500</v>
      </c>
      <c r="I46" s="77">
        <v>26668500</v>
      </c>
      <c r="J46" s="68">
        <v>0.02</v>
      </c>
      <c r="K46" s="33">
        <v>533370</v>
      </c>
      <c r="L46" s="18">
        <v>45833</v>
      </c>
      <c r="M46" s="18">
        <v>45843</v>
      </c>
      <c r="N46" s="115" t="s">
        <v>344</v>
      </c>
      <c r="O46" s="128">
        <v>25</v>
      </c>
      <c r="P46" s="128"/>
      <c r="Q46" s="128"/>
      <c r="R46" s="73"/>
      <c r="S46" s="21"/>
      <c r="T46" s="48" t="s">
        <v>430</v>
      </c>
      <c r="U46" s="46" t="s">
        <v>430</v>
      </c>
      <c r="V46" s="71" t="s">
        <v>430</v>
      </c>
      <c r="W46" s="72" t="s">
        <v>39</v>
      </c>
    </row>
    <row r="47" spans="1:23" s="84" customFormat="1" ht="23.25" customHeight="1">
      <c r="A47" s="26" t="s">
        <v>430</v>
      </c>
      <c r="B47" s="107" t="s">
        <v>187</v>
      </c>
      <c r="C47" s="108" t="s">
        <v>601</v>
      </c>
      <c r="D47" s="17" t="s">
        <v>54</v>
      </c>
      <c r="E47" s="24" t="s">
        <v>222</v>
      </c>
      <c r="F47" s="109" t="s">
        <v>188</v>
      </c>
      <c r="G47" s="109" t="s">
        <v>23</v>
      </c>
      <c r="H47" s="126">
        <v>9710100</v>
      </c>
      <c r="I47" s="77">
        <v>9710100</v>
      </c>
      <c r="J47" s="68">
        <v>0.02</v>
      </c>
      <c r="K47" s="33">
        <v>194202</v>
      </c>
      <c r="L47" s="18">
        <v>45834</v>
      </c>
      <c r="M47" s="18">
        <v>45844</v>
      </c>
      <c r="N47" s="115" t="s">
        <v>344</v>
      </c>
      <c r="O47" s="128">
        <v>9</v>
      </c>
      <c r="P47" s="128"/>
      <c r="Q47" s="128"/>
      <c r="R47" s="73"/>
      <c r="S47" s="21"/>
      <c r="T47" s="48" t="s">
        <v>430</v>
      </c>
      <c r="U47" s="46" t="s">
        <v>430</v>
      </c>
      <c r="V47" s="71" t="s">
        <v>430</v>
      </c>
      <c r="W47" s="72" t="s">
        <v>39</v>
      </c>
    </row>
    <row r="48" spans="1:23" s="84" customFormat="1" ht="23.25" customHeight="1">
      <c r="A48" s="26" t="s">
        <v>430</v>
      </c>
      <c r="B48" s="107" t="s">
        <v>185</v>
      </c>
      <c r="C48" s="108" t="s">
        <v>600</v>
      </c>
      <c r="D48" s="17" t="s">
        <v>54</v>
      </c>
      <c r="E48" s="24" t="s">
        <v>224</v>
      </c>
      <c r="F48" s="109" t="s">
        <v>186</v>
      </c>
      <c r="G48" s="109" t="s">
        <v>23</v>
      </c>
      <c r="H48" s="126">
        <v>82678800</v>
      </c>
      <c r="I48" s="77">
        <v>82678800</v>
      </c>
      <c r="J48" s="68">
        <v>0.02</v>
      </c>
      <c r="K48" s="33">
        <v>1653576</v>
      </c>
      <c r="L48" s="18">
        <v>45836</v>
      </c>
      <c r="M48" s="18">
        <v>45846</v>
      </c>
      <c r="N48" s="115" t="s">
        <v>344</v>
      </c>
      <c r="O48" s="128">
        <v>23</v>
      </c>
      <c r="P48" s="128"/>
      <c r="Q48" s="128"/>
      <c r="R48" s="73"/>
      <c r="S48" s="21"/>
      <c r="T48" s="48" t="s">
        <v>430</v>
      </c>
      <c r="U48" s="46" t="s">
        <v>430</v>
      </c>
      <c r="V48" s="71" t="s">
        <v>430</v>
      </c>
      <c r="W48" s="72" t="s">
        <v>39</v>
      </c>
    </row>
    <row r="49" spans="1:23" s="84" customFormat="1" ht="23.25" customHeight="1">
      <c r="A49" s="26" t="s">
        <v>430</v>
      </c>
      <c r="B49" s="107" t="s">
        <v>226</v>
      </c>
      <c r="C49" s="108" t="s">
        <v>602</v>
      </c>
      <c r="D49" s="17" t="s">
        <v>54</v>
      </c>
      <c r="E49" s="24" t="s">
        <v>227</v>
      </c>
      <c r="F49" s="109" t="s">
        <v>228</v>
      </c>
      <c r="G49" s="109" t="s">
        <v>23</v>
      </c>
      <c r="H49" s="126">
        <v>31581300</v>
      </c>
      <c r="I49" s="77">
        <v>31581300</v>
      </c>
      <c r="J49" s="68">
        <v>0.02</v>
      </c>
      <c r="K49" s="33">
        <v>631626</v>
      </c>
      <c r="L49" s="18">
        <v>45836</v>
      </c>
      <c r="M49" s="18">
        <v>45846</v>
      </c>
      <c r="N49" s="115" t="s">
        <v>344</v>
      </c>
      <c r="O49" s="128">
        <v>10</v>
      </c>
      <c r="P49" s="128"/>
      <c r="Q49" s="128"/>
      <c r="R49" s="73"/>
      <c r="S49" s="21"/>
      <c r="T49" s="48" t="s">
        <v>430</v>
      </c>
      <c r="U49" s="46" t="s">
        <v>430</v>
      </c>
      <c r="V49" s="71" t="s">
        <v>430</v>
      </c>
      <c r="W49" s="72" t="s">
        <v>39</v>
      </c>
    </row>
    <row r="50" spans="1:23" s="84" customFormat="1" ht="23.25" customHeight="1">
      <c r="A50" s="26" t="s">
        <v>430</v>
      </c>
      <c r="B50" s="107" t="s">
        <v>185</v>
      </c>
      <c r="C50" s="108" t="s">
        <v>600</v>
      </c>
      <c r="D50" s="17" t="s">
        <v>54</v>
      </c>
      <c r="E50" s="24" t="s">
        <v>224</v>
      </c>
      <c r="F50" s="109" t="s">
        <v>186</v>
      </c>
      <c r="G50" s="109" t="s">
        <v>23</v>
      </c>
      <c r="H50" s="126">
        <v>1452400</v>
      </c>
      <c r="I50" s="77">
        <v>1452400</v>
      </c>
      <c r="J50" s="68">
        <v>0.02</v>
      </c>
      <c r="K50" s="33">
        <v>29048</v>
      </c>
      <c r="L50" s="18">
        <v>45838</v>
      </c>
      <c r="M50" s="18">
        <v>45848</v>
      </c>
      <c r="N50" s="115" t="s">
        <v>344</v>
      </c>
      <c r="O50" s="128">
        <v>3</v>
      </c>
      <c r="P50" s="128"/>
      <c r="Q50" s="128"/>
      <c r="R50" s="73"/>
      <c r="S50" s="21"/>
      <c r="T50" s="48" t="s">
        <v>430</v>
      </c>
      <c r="U50" s="46" t="s">
        <v>430</v>
      </c>
      <c r="V50" s="71" t="s">
        <v>430</v>
      </c>
      <c r="W50" s="72" t="s">
        <v>39</v>
      </c>
    </row>
    <row r="51" spans="1:23" s="84" customFormat="1" ht="23.25" customHeight="1">
      <c r="A51" s="26" t="s">
        <v>430</v>
      </c>
      <c r="B51" s="107" t="s">
        <v>226</v>
      </c>
      <c r="C51" s="108" t="s">
        <v>602</v>
      </c>
      <c r="D51" s="17" t="s">
        <v>54</v>
      </c>
      <c r="E51" s="24" t="s">
        <v>227</v>
      </c>
      <c r="F51" s="109" t="s">
        <v>228</v>
      </c>
      <c r="G51" s="109" t="s">
        <v>23</v>
      </c>
      <c r="H51" s="126">
        <v>1358800</v>
      </c>
      <c r="I51" s="77">
        <v>1358800</v>
      </c>
      <c r="J51" s="68">
        <v>0.02</v>
      </c>
      <c r="K51" s="33">
        <v>27176</v>
      </c>
      <c r="L51" s="18">
        <v>45840</v>
      </c>
      <c r="M51" s="18">
        <v>45850</v>
      </c>
      <c r="N51" s="115" t="s">
        <v>344</v>
      </c>
      <c r="O51" s="128">
        <v>2</v>
      </c>
      <c r="P51" s="128"/>
      <c r="Q51" s="128"/>
      <c r="R51" s="73"/>
      <c r="S51" s="21"/>
      <c r="T51" s="48" t="s">
        <v>430</v>
      </c>
      <c r="U51" s="46" t="s">
        <v>430</v>
      </c>
      <c r="V51" s="71" t="s">
        <v>430</v>
      </c>
      <c r="W51" s="72" t="s">
        <v>39</v>
      </c>
    </row>
    <row r="52" spans="1:23" s="84" customFormat="1" ht="23.25" customHeight="1">
      <c r="A52" s="26" t="s">
        <v>430</v>
      </c>
      <c r="B52" s="107" t="s">
        <v>187</v>
      </c>
      <c r="C52" s="108" t="s">
        <v>601</v>
      </c>
      <c r="D52" s="17" t="s">
        <v>54</v>
      </c>
      <c r="E52" s="24" t="s">
        <v>222</v>
      </c>
      <c r="F52" s="109" t="s">
        <v>188</v>
      </c>
      <c r="G52" s="109" t="s">
        <v>23</v>
      </c>
      <c r="H52" s="126">
        <v>35981000</v>
      </c>
      <c r="I52" s="77">
        <v>35981000</v>
      </c>
      <c r="J52" s="68">
        <v>0.02</v>
      </c>
      <c r="K52" s="33">
        <v>719620</v>
      </c>
      <c r="L52" s="18">
        <v>45843</v>
      </c>
      <c r="M52" s="18">
        <v>45853</v>
      </c>
      <c r="N52" s="115" t="s">
        <v>344</v>
      </c>
      <c r="O52" s="128">
        <v>4</v>
      </c>
      <c r="P52" s="128"/>
      <c r="Q52" s="128"/>
      <c r="R52" s="73"/>
      <c r="S52" s="21"/>
      <c r="T52" s="48" t="s">
        <v>430</v>
      </c>
      <c r="U52" s="46" t="s">
        <v>430</v>
      </c>
      <c r="V52" s="71" t="s">
        <v>430</v>
      </c>
      <c r="W52" s="72" t="s">
        <v>39</v>
      </c>
    </row>
    <row r="53" spans="1:23" s="84" customFormat="1" ht="23.25" customHeight="1">
      <c r="A53" s="26" t="s">
        <v>430</v>
      </c>
      <c r="B53" s="107" t="s">
        <v>226</v>
      </c>
      <c r="C53" s="108" t="s">
        <v>602</v>
      </c>
      <c r="D53" s="17" t="s">
        <v>54</v>
      </c>
      <c r="E53" s="24" t="s">
        <v>227</v>
      </c>
      <c r="F53" s="109" t="s">
        <v>228</v>
      </c>
      <c r="G53" s="109" t="s">
        <v>23</v>
      </c>
      <c r="H53" s="126">
        <v>49078600</v>
      </c>
      <c r="I53" s="77">
        <v>49078600</v>
      </c>
      <c r="J53" s="68">
        <v>0.02</v>
      </c>
      <c r="K53" s="33">
        <v>981572</v>
      </c>
      <c r="L53" s="18">
        <v>45843</v>
      </c>
      <c r="M53" s="18">
        <v>45853</v>
      </c>
      <c r="N53" s="115" t="s">
        <v>344</v>
      </c>
      <c r="O53" s="128">
        <v>4</v>
      </c>
      <c r="P53" s="128"/>
      <c r="Q53" s="128"/>
      <c r="R53" s="73"/>
      <c r="S53" s="21"/>
      <c r="T53" s="48" t="s">
        <v>430</v>
      </c>
      <c r="U53" s="46" t="s">
        <v>430</v>
      </c>
      <c r="V53" s="71" t="s">
        <v>430</v>
      </c>
      <c r="W53" s="72" t="s">
        <v>39</v>
      </c>
    </row>
    <row r="54" spans="1:23" s="84" customFormat="1" ht="23.25" customHeight="1">
      <c r="A54" s="26" t="s">
        <v>430</v>
      </c>
      <c r="B54" s="107" t="s">
        <v>233</v>
      </c>
      <c r="C54" s="108" t="s">
        <v>604</v>
      </c>
      <c r="D54" s="17" t="s">
        <v>54</v>
      </c>
      <c r="E54" s="24" t="s">
        <v>222</v>
      </c>
      <c r="F54" s="109" t="s">
        <v>234</v>
      </c>
      <c r="G54" s="109" t="s">
        <v>23</v>
      </c>
      <c r="H54" s="126">
        <v>3461800</v>
      </c>
      <c r="I54" s="77">
        <v>3461800</v>
      </c>
      <c r="J54" s="68">
        <v>0.02</v>
      </c>
      <c r="K54" s="33">
        <v>69236</v>
      </c>
      <c r="L54" s="18">
        <v>45848</v>
      </c>
      <c r="M54" s="18">
        <v>45853</v>
      </c>
      <c r="N54" s="115" t="s">
        <v>344</v>
      </c>
      <c r="O54" s="128">
        <v>1</v>
      </c>
      <c r="P54" s="128"/>
      <c r="Q54" s="128"/>
      <c r="R54" s="73"/>
      <c r="S54" s="21"/>
      <c r="T54" s="48" t="s">
        <v>430</v>
      </c>
      <c r="U54" s="46" t="s">
        <v>430</v>
      </c>
      <c r="V54" s="71" t="s">
        <v>430</v>
      </c>
      <c r="W54" s="72" t="s">
        <v>39</v>
      </c>
    </row>
    <row r="55" spans="1:23" s="84" customFormat="1" ht="23.25" customHeight="1">
      <c r="A55" s="26" t="s">
        <v>430</v>
      </c>
      <c r="B55" s="107" t="s">
        <v>339</v>
      </c>
      <c r="C55" s="108" t="s">
        <v>330</v>
      </c>
      <c r="D55" s="17" t="s">
        <v>54</v>
      </c>
      <c r="E55" s="24" t="s">
        <v>222</v>
      </c>
      <c r="F55" s="109" t="s">
        <v>340</v>
      </c>
      <c r="G55" s="109" t="s">
        <v>23</v>
      </c>
      <c r="H55" s="126">
        <v>765900</v>
      </c>
      <c r="I55" s="77">
        <v>765900</v>
      </c>
      <c r="J55" s="68">
        <v>0.02</v>
      </c>
      <c r="K55" s="33">
        <v>15318</v>
      </c>
      <c r="L55" s="18">
        <v>45848</v>
      </c>
      <c r="M55" s="18">
        <v>45853</v>
      </c>
      <c r="N55" s="115" t="s">
        <v>344</v>
      </c>
      <c r="O55" s="128">
        <v>1</v>
      </c>
      <c r="P55" s="128"/>
      <c r="Q55" s="128"/>
      <c r="R55" s="73"/>
      <c r="S55" s="21"/>
      <c r="T55" s="48" t="s">
        <v>430</v>
      </c>
      <c r="U55" s="46" t="s">
        <v>430</v>
      </c>
      <c r="V55" s="71" t="s">
        <v>430</v>
      </c>
      <c r="W55" s="72" t="s">
        <v>39</v>
      </c>
    </row>
    <row r="56" spans="1:23" s="84" customFormat="1" ht="23.25" customHeight="1">
      <c r="A56" s="26" t="s">
        <v>430</v>
      </c>
      <c r="B56" s="107" t="s">
        <v>185</v>
      </c>
      <c r="C56" s="108" t="s">
        <v>600</v>
      </c>
      <c r="D56" s="17" t="s">
        <v>54</v>
      </c>
      <c r="E56" s="24" t="s">
        <v>224</v>
      </c>
      <c r="F56" s="109" t="s">
        <v>186</v>
      </c>
      <c r="G56" s="109" t="s">
        <v>23</v>
      </c>
      <c r="H56" s="126">
        <v>43337100</v>
      </c>
      <c r="I56" s="77">
        <v>43337100</v>
      </c>
      <c r="J56" s="68">
        <v>0.02</v>
      </c>
      <c r="K56" s="33">
        <v>866742</v>
      </c>
      <c r="L56" s="18">
        <v>45849</v>
      </c>
      <c r="M56" s="18">
        <v>45854</v>
      </c>
      <c r="N56" s="115" t="s">
        <v>344</v>
      </c>
      <c r="O56" s="128">
        <v>13</v>
      </c>
      <c r="P56" s="128"/>
      <c r="Q56" s="128"/>
      <c r="R56" s="73"/>
      <c r="S56" s="21"/>
      <c r="T56" s="48" t="s">
        <v>430</v>
      </c>
      <c r="U56" s="46" t="s">
        <v>430</v>
      </c>
      <c r="V56" s="71" t="s">
        <v>430</v>
      </c>
      <c r="W56" s="72" t="s">
        <v>39</v>
      </c>
    </row>
    <row r="57" spans="1:23" s="84" customFormat="1" ht="23.25" customHeight="1">
      <c r="A57" s="26" t="s">
        <v>430</v>
      </c>
      <c r="B57" s="107" t="s">
        <v>593</v>
      </c>
      <c r="C57" s="108" t="s">
        <v>28</v>
      </c>
      <c r="D57" s="17" t="s">
        <v>54</v>
      </c>
      <c r="E57" s="24" t="s">
        <v>594</v>
      </c>
      <c r="F57" s="109" t="s">
        <v>595</v>
      </c>
      <c r="G57" s="109" t="s">
        <v>23</v>
      </c>
      <c r="H57" s="126">
        <v>3766800</v>
      </c>
      <c r="I57" s="77">
        <v>3766800</v>
      </c>
      <c r="J57" s="68">
        <v>0.6</v>
      </c>
      <c r="K57" s="33">
        <v>2260080</v>
      </c>
      <c r="L57" s="18">
        <v>45851</v>
      </c>
      <c r="M57" s="18">
        <v>45856</v>
      </c>
      <c r="N57" s="115" t="s">
        <v>344</v>
      </c>
      <c r="O57" s="128">
        <v>24</v>
      </c>
      <c r="P57" s="128"/>
      <c r="Q57" s="128"/>
      <c r="R57" s="73"/>
      <c r="S57" s="21"/>
      <c r="T57" s="48"/>
      <c r="U57" s="46"/>
      <c r="V57" s="71"/>
      <c r="W57" s="72"/>
    </row>
    <row r="58" spans="1:23" s="84" customFormat="1" ht="23.25" customHeight="1">
      <c r="A58" s="26" t="s">
        <v>430</v>
      </c>
      <c r="B58" s="107" t="s">
        <v>596</v>
      </c>
      <c r="C58" s="108" t="s">
        <v>29</v>
      </c>
      <c r="D58" s="17" t="s">
        <v>54</v>
      </c>
      <c r="E58" s="24" t="s">
        <v>130</v>
      </c>
      <c r="F58" s="109" t="s">
        <v>597</v>
      </c>
      <c r="G58" s="109" t="s">
        <v>23</v>
      </c>
      <c r="H58" s="126">
        <v>2879700</v>
      </c>
      <c r="I58" s="77">
        <v>2879700</v>
      </c>
      <c r="J58" s="68">
        <v>0.5</v>
      </c>
      <c r="K58" s="33">
        <v>1439850</v>
      </c>
      <c r="L58" s="18">
        <v>45852</v>
      </c>
      <c r="M58" s="18">
        <v>45856</v>
      </c>
      <c r="N58" s="115" t="s">
        <v>344</v>
      </c>
      <c r="O58" s="128">
        <v>4</v>
      </c>
      <c r="P58" s="128"/>
      <c r="Q58" s="128"/>
      <c r="R58" s="73"/>
      <c r="S58" s="21"/>
      <c r="T58" s="48" t="s">
        <v>430</v>
      </c>
      <c r="U58" s="48" t="s">
        <v>430</v>
      </c>
      <c r="V58" s="71" t="s">
        <v>430</v>
      </c>
      <c r="W58" s="72" t="s">
        <v>39</v>
      </c>
    </row>
    <row r="59" spans="1:23" s="84" customFormat="1" ht="23.25" customHeight="1">
      <c r="A59" s="26" t="s">
        <v>430</v>
      </c>
      <c r="B59" s="107" t="s">
        <v>185</v>
      </c>
      <c r="C59" s="108" t="s">
        <v>600</v>
      </c>
      <c r="D59" s="17" t="s">
        <v>54</v>
      </c>
      <c r="E59" s="24" t="s">
        <v>224</v>
      </c>
      <c r="F59" s="109" t="s">
        <v>186</v>
      </c>
      <c r="G59" s="109" t="s">
        <v>23</v>
      </c>
      <c r="H59" s="126">
        <v>617000</v>
      </c>
      <c r="I59" s="77">
        <v>617000</v>
      </c>
      <c r="J59" s="68">
        <v>0.02</v>
      </c>
      <c r="K59" s="33">
        <v>12340</v>
      </c>
      <c r="L59" s="18">
        <v>45846</v>
      </c>
      <c r="M59" s="18">
        <v>45856</v>
      </c>
      <c r="N59" s="115" t="s">
        <v>344</v>
      </c>
      <c r="O59" s="128">
        <v>1</v>
      </c>
      <c r="P59" s="128"/>
      <c r="Q59" s="128"/>
      <c r="R59" s="73"/>
      <c r="S59" s="21"/>
      <c r="T59" s="48" t="s">
        <v>430</v>
      </c>
      <c r="U59" s="46" t="s">
        <v>430</v>
      </c>
      <c r="V59" s="71" t="s">
        <v>430</v>
      </c>
      <c r="W59" s="72" t="s">
        <v>39</v>
      </c>
    </row>
    <row r="60" spans="1:23" s="84" customFormat="1" ht="23.25" customHeight="1">
      <c r="A60" s="26" t="s">
        <v>430</v>
      </c>
      <c r="B60" s="107" t="s">
        <v>185</v>
      </c>
      <c r="C60" s="108" t="s">
        <v>600</v>
      </c>
      <c r="D60" s="17" t="s">
        <v>54</v>
      </c>
      <c r="E60" s="24" t="s">
        <v>224</v>
      </c>
      <c r="F60" s="109" t="s">
        <v>186</v>
      </c>
      <c r="G60" s="109" t="s">
        <v>23</v>
      </c>
      <c r="H60" s="126">
        <v>206051500</v>
      </c>
      <c r="I60" s="77">
        <v>206051500</v>
      </c>
      <c r="J60" s="68">
        <v>0.02</v>
      </c>
      <c r="K60" s="33">
        <v>4121030</v>
      </c>
      <c r="L60" s="18">
        <v>45848</v>
      </c>
      <c r="M60" s="18">
        <v>45858</v>
      </c>
      <c r="N60" s="115" t="s">
        <v>344</v>
      </c>
      <c r="O60" s="128">
        <v>83</v>
      </c>
      <c r="P60" s="128"/>
      <c r="Q60" s="128"/>
      <c r="R60" s="73"/>
      <c r="S60" s="21"/>
      <c r="T60" s="48" t="s">
        <v>430</v>
      </c>
      <c r="U60" s="46" t="s">
        <v>430</v>
      </c>
      <c r="V60" s="71" t="s">
        <v>430</v>
      </c>
      <c r="W60" s="72" t="s">
        <v>39</v>
      </c>
    </row>
    <row r="61" spans="1:23" s="84" customFormat="1" ht="23.25" customHeight="1">
      <c r="A61" s="26" t="s">
        <v>430</v>
      </c>
      <c r="B61" s="107" t="s">
        <v>229</v>
      </c>
      <c r="C61" s="108" t="s">
        <v>603</v>
      </c>
      <c r="D61" s="17" t="s">
        <v>54</v>
      </c>
      <c r="E61" s="24" t="s">
        <v>227</v>
      </c>
      <c r="F61" s="109" t="s">
        <v>230</v>
      </c>
      <c r="G61" s="109" t="s">
        <v>23</v>
      </c>
      <c r="H61" s="126">
        <v>48339200</v>
      </c>
      <c r="I61" s="77">
        <v>48339200</v>
      </c>
      <c r="J61" s="68">
        <v>0.02</v>
      </c>
      <c r="K61" s="33">
        <v>966784</v>
      </c>
      <c r="L61" s="18">
        <v>45851</v>
      </c>
      <c r="M61" s="18">
        <v>45861</v>
      </c>
      <c r="N61" s="115" t="s">
        <v>344</v>
      </c>
      <c r="O61" s="128">
        <v>2</v>
      </c>
      <c r="P61" s="128"/>
      <c r="Q61" s="128"/>
      <c r="R61" s="73"/>
      <c r="S61" s="21"/>
      <c r="T61" s="48" t="s">
        <v>430</v>
      </c>
      <c r="U61" s="46" t="s">
        <v>430</v>
      </c>
      <c r="V61" s="71" t="s">
        <v>430</v>
      </c>
      <c r="W61" s="72" t="s">
        <v>39</v>
      </c>
    </row>
    <row r="62" spans="1:23" s="84" customFormat="1" ht="23.25" customHeight="1">
      <c r="A62" s="26" t="s">
        <v>430</v>
      </c>
      <c r="B62" s="107" t="s">
        <v>108</v>
      </c>
      <c r="C62" s="108" t="s">
        <v>599</v>
      </c>
      <c r="D62" s="17" t="s">
        <v>54</v>
      </c>
      <c r="E62" s="24" t="s">
        <v>223</v>
      </c>
      <c r="F62" s="109" t="s">
        <v>109</v>
      </c>
      <c r="G62" s="109" t="s">
        <v>23</v>
      </c>
      <c r="H62" s="126">
        <v>3937600</v>
      </c>
      <c r="I62" s="77">
        <v>3937600</v>
      </c>
      <c r="J62" s="68">
        <v>0.1</v>
      </c>
      <c r="K62" s="33">
        <v>393760</v>
      </c>
      <c r="L62" s="18">
        <v>45852</v>
      </c>
      <c r="M62" s="18">
        <v>45862</v>
      </c>
      <c r="N62" s="115" t="s">
        <v>344</v>
      </c>
      <c r="O62" s="128">
        <v>8</v>
      </c>
      <c r="P62" s="128"/>
      <c r="Q62" s="128"/>
      <c r="R62" s="73"/>
      <c r="S62" s="21"/>
      <c r="T62" s="48" t="s">
        <v>430</v>
      </c>
      <c r="U62" s="46" t="s">
        <v>430</v>
      </c>
      <c r="V62" s="71" t="s">
        <v>430</v>
      </c>
      <c r="W62" s="72" t="s">
        <v>39</v>
      </c>
    </row>
    <row r="63" spans="1:23" s="84" customFormat="1" ht="23.25" customHeight="1">
      <c r="A63" s="26" t="s">
        <v>430</v>
      </c>
      <c r="B63" s="107" t="s">
        <v>47</v>
      </c>
      <c r="C63" s="108" t="s">
        <v>330</v>
      </c>
      <c r="D63" s="17" t="s">
        <v>54</v>
      </c>
      <c r="E63" s="24" t="s">
        <v>53</v>
      </c>
      <c r="F63" s="109" t="s">
        <v>48</v>
      </c>
      <c r="G63" s="109" t="s">
        <v>23</v>
      </c>
      <c r="H63" s="126">
        <v>2929240</v>
      </c>
      <c r="I63" s="77">
        <v>2929240</v>
      </c>
      <c r="J63" s="68">
        <v>0.1</v>
      </c>
      <c r="K63" s="33">
        <v>292924</v>
      </c>
      <c r="L63" s="18">
        <v>45853</v>
      </c>
      <c r="M63" s="18">
        <v>45863</v>
      </c>
      <c r="N63" s="115" t="s">
        <v>344</v>
      </c>
      <c r="O63" s="128">
        <v>2</v>
      </c>
      <c r="P63" s="128"/>
      <c r="Q63" s="128"/>
      <c r="R63" s="73"/>
      <c r="S63" s="21"/>
      <c r="T63" s="48" t="s">
        <v>430</v>
      </c>
      <c r="U63" s="46" t="s">
        <v>430</v>
      </c>
      <c r="V63" s="71" t="s">
        <v>430</v>
      </c>
      <c r="W63" s="72" t="s">
        <v>39</v>
      </c>
    </row>
    <row r="64" spans="1:23" s="84" customFormat="1" ht="23.25" customHeight="1">
      <c r="A64" s="26" t="s">
        <v>430</v>
      </c>
      <c r="B64" s="107" t="s">
        <v>108</v>
      </c>
      <c r="C64" s="108" t="s">
        <v>599</v>
      </c>
      <c r="D64" s="17" t="s">
        <v>54</v>
      </c>
      <c r="E64" s="24" t="s">
        <v>223</v>
      </c>
      <c r="F64" s="109" t="s">
        <v>109</v>
      </c>
      <c r="G64" s="109" t="s">
        <v>23</v>
      </c>
      <c r="H64" s="126">
        <v>2959200</v>
      </c>
      <c r="I64" s="77">
        <v>2959200</v>
      </c>
      <c r="J64" s="68">
        <v>0.1</v>
      </c>
      <c r="K64" s="33">
        <v>295920</v>
      </c>
      <c r="L64" s="18">
        <v>45853</v>
      </c>
      <c r="M64" s="18">
        <v>45863</v>
      </c>
      <c r="N64" s="115" t="s">
        <v>344</v>
      </c>
      <c r="O64" s="128">
        <v>12</v>
      </c>
      <c r="P64" s="128"/>
      <c r="Q64" s="128"/>
      <c r="R64" s="73"/>
      <c r="S64" s="21"/>
      <c r="T64" s="48" t="s">
        <v>430</v>
      </c>
      <c r="U64" s="46" t="s">
        <v>430</v>
      </c>
      <c r="V64" s="71" t="s">
        <v>430</v>
      </c>
      <c r="W64" s="72" t="s">
        <v>39</v>
      </c>
    </row>
    <row r="65" spans="1:23" s="84" customFormat="1" ht="23.25" customHeight="1">
      <c r="A65" s="26" t="s">
        <v>430</v>
      </c>
      <c r="B65" s="107" t="s">
        <v>185</v>
      </c>
      <c r="C65" s="108" t="s">
        <v>600</v>
      </c>
      <c r="D65" s="17" t="s">
        <v>54</v>
      </c>
      <c r="E65" s="24" t="s">
        <v>224</v>
      </c>
      <c r="F65" s="109" t="s">
        <v>186</v>
      </c>
      <c r="G65" s="109" t="s">
        <v>23</v>
      </c>
      <c r="H65" s="126">
        <v>19456600</v>
      </c>
      <c r="I65" s="77">
        <v>19456600</v>
      </c>
      <c r="J65" s="68">
        <v>0.02</v>
      </c>
      <c r="K65" s="33">
        <v>389132</v>
      </c>
      <c r="L65" s="18">
        <v>45853</v>
      </c>
      <c r="M65" s="18">
        <v>45863</v>
      </c>
      <c r="N65" s="115" t="s">
        <v>344</v>
      </c>
      <c r="O65" s="128">
        <v>6</v>
      </c>
      <c r="P65" s="128"/>
      <c r="Q65" s="128"/>
      <c r="R65" s="73"/>
      <c r="S65" s="21"/>
      <c r="T65" s="48" t="s">
        <v>430</v>
      </c>
      <c r="U65" s="46" t="s">
        <v>430</v>
      </c>
      <c r="V65" s="71" t="s">
        <v>430</v>
      </c>
      <c r="W65" s="72" t="s">
        <v>39</v>
      </c>
    </row>
    <row r="66" spans="1:23" s="84" customFormat="1" ht="23.25" customHeight="1">
      <c r="A66" s="26" t="s">
        <v>430</v>
      </c>
      <c r="B66" s="107" t="s">
        <v>226</v>
      </c>
      <c r="C66" s="108" t="s">
        <v>602</v>
      </c>
      <c r="D66" s="17" t="s">
        <v>54</v>
      </c>
      <c r="E66" s="24" t="s">
        <v>227</v>
      </c>
      <c r="F66" s="109" t="s">
        <v>228</v>
      </c>
      <c r="G66" s="109" t="s">
        <v>23</v>
      </c>
      <c r="H66" s="126">
        <v>3551000</v>
      </c>
      <c r="I66" s="77">
        <v>3551000</v>
      </c>
      <c r="J66" s="68">
        <v>0.02</v>
      </c>
      <c r="K66" s="33">
        <v>71020</v>
      </c>
      <c r="L66" s="18">
        <v>45853</v>
      </c>
      <c r="M66" s="18">
        <v>45863</v>
      </c>
      <c r="N66" s="115" t="s">
        <v>344</v>
      </c>
      <c r="O66" s="128">
        <v>4</v>
      </c>
      <c r="P66" s="128"/>
      <c r="Q66" s="128"/>
      <c r="R66" s="73"/>
      <c r="S66" s="21"/>
      <c r="T66" s="48" t="s">
        <v>430</v>
      </c>
      <c r="U66" s="46" t="s">
        <v>430</v>
      </c>
      <c r="V66" s="71" t="s">
        <v>430</v>
      </c>
      <c r="W66" s="72" t="s">
        <v>39</v>
      </c>
    </row>
    <row r="67" spans="1:23" s="84" customFormat="1" ht="23.25" customHeight="1">
      <c r="A67" s="26" t="s">
        <v>430</v>
      </c>
      <c r="B67" s="107" t="s">
        <v>229</v>
      </c>
      <c r="C67" s="108" t="s">
        <v>603</v>
      </c>
      <c r="D67" s="17" t="s">
        <v>54</v>
      </c>
      <c r="E67" s="24" t="s">
        <v>227</v>
      </c>
      <c r="F67" s="109" t="s">
        <v>230</v>
      </c>
      <c r="G67" s="109" t="s">
        <v>23</v>
      </c>
      <c r="H67" s="126">
        <v>8748300</v>
      </c>
      <c r="I67" s="77">
        <v>8748300</v>
      </c>
      <c r="J67" s="68">
        <v>0.02</v>
      </c>
      <c r="K67" s="33">
        <v>174966</v>
      </c>
      <c r="L67" s="18">
        <v>45853</v>
      </c>
      <c r="M67" s="18">
        <v>45863</v>
      </c>
      <c r="N67" s="115" t="s">
        <v>344</v>
      </c>
      <c r="O67" s="128">
        <v>14</v>
      </c>
      <c r="P67" s="128"/>
      <c r="Q67" s="128"/>
      <c r="R67" s="73"/>
      <c r="S67" s="21"/>
      <c r="T67" s="48" t="s">
        <v>430</v>
      </c>
      <c r="U67" s="46" t="s">
        <v>430</v>
      </c>
      <c r="V67" s="71" t="s">
        <v>430</v>
      </c>
      <c r="W67" s="72" t="s">
        <v>39</v>
      </c>
    </row>
    <row r="68" spans="1:23" s="84" customFormat="1" ht="23.25" customHeight="1">
      <c r="A68" s="26" t="s">
        <v>430</v>
      </c>
      <c r="B68" s="107" t="s">
        <v>339</v>
      </c>
      <c r="C68" s="108" t="s">
        <v>330</v>
      </c>
      <c r="D68" s="17" t="s">
        <v>54</v>
      </c>
      <c r="E68" s="24" t="s">
        <v>222</v>
      </c>
      <c r="F68" s="109" t="s">
        <v>340</v>
      </c>
      <c r="G68" s="109" t="s">
        <v>23</v>
      </c>
      <c r="H68" s="126">
        <v>765900</v>
      </c>
      <c r="I68" s="77">
        <v>765900</v>
      </c>
      <c r="J68" s="68">
        <v>0.02</v>
      </c>
      <c r="K68" s="33">
        <v>15318</v>
      </c>
      <c r="L68" s="18">
        <v>45853</v>
      </c>
      <c r="M68" s="18">
        <v>45863</v>
      </c>
      <c r="N68" s="115" t="s">
        <v>344</v>
      </c>
      <c r="O68" s="128">
        <v>1</v>
      </c>
      <c r="P68" s="128"/>
      <c r="Q68" s="128"/>
      <c r="R68" s="73"/>
      <c r="S68" s="21"/>
      <c r="T68" s="48" t="s">
        <v>430</v>
      </c>
      <c r="U68" s="46" t="s">
        <v>430</v>
      </c>
      <c r="V68" s="71" t="s">
        <v>430</v>
      </c>
      <c r="W68" s="72" t="s">
        <v>39</v>
      </c>
    </row>
    <row r="69" spans="1:23" s="84" customFormat="1" ht="23.25" customHeight="1">
      <c r="A69" s="26" t="s">
        <v>430</v>
      </c>
      <c r="B69" s="107" t="s">
        <v>226</v>
      </c>
      <c r="C69" s="108" t="s">
        <v>602</v>
      </c>
      <c r="D69" s="17" t="s">
        <v>54</v>
      </c>
      <c r="E69" s="24" t="s">
        <v>227</v>
      </c>
      <c r="F69" s="109" t="s">
        <v>228</v>
      </c>
      <c r="G69" s="109" t="s">
        <v>23</v>
      </c>
      <c r="H69" s="126">
        <v>10180500</v>
      </c>
      <c r="I69" s="77">
        <v>10180500</v>
      </c>
      <c r="J69" s="68">
        <v>0.02</v>
      </c>
      <c r="K69" s="33">
        <v>203610</v>
      </c>
      <c r="L69" s="18">
        <v>45857</v>
      </c>
      <c r="M69" s="18">
        <v>45867</v>
      </c>
      <c r="N69" s="115" t="s">
        <v>344</v>
      </c>
      <c r="O69" s="128">
        <v>4</v>
      </c>
      <c r="P69" s="128"/>
      <c r="Q69" s="128"/>
      <c r="R69" s="73"/>
      <c r="S69" s="21"/>
      <c r="T69" s="48" t="s">
        <v>430</v>
      </c>
      <c r="U69" s="46" t="s">
        <v>430</v>
      </c>
      <c r="V69" s="71" t="s">
        <v>430</v>
      </c>
      <c r="W69" s="72" t="s">
        <v>39</v>
      </c>
    </row>
    <row r="70" spans="1:23" s="84" customFormat="1" ht="23.25" customHeight="1">
      <c r="A70" s="26" t="s">
        <v>430</v>
      </c>
      <c r="B70" s="107" t="s">
        <v>229</v>
      </c>
      <c r="C70" s="108" t="s">
        <v>603</v>
      </c>
      <c r="D70" s="17" t="s">
        <v>54</v>
      </c>
      <c r="E70" s="24" t="s">
        <v>227</v>
      </c>
      <c r="F70" s="109" t="s">
        <v>230</v>
      </c>
      <c r="G70" s="109" t="s">
        <v>23</v>
      </c>
      <c r="H70" s="126">
        <v>58171100</v>
      </c>
      <c r="I70" s="77">
        <v>58171100</v>
      </c>
      <c r="J70" s="68">
        <v>0.02</v>
      </c>
      <c r="K70" s="33">
        <v>1163422</v>
      </c>
      <c r="L70" s="18">
        <v>45857</v>
      </c>
      <c r="M70" s="18">
        <v>45867</v>
      </c>
      <c r="N70" s="115" t="s">
        <v>344</v>
      </c>
      <c r="O70" s="128">
        <v>24</v>
      </c>
      <c r="P70" s="128"/>
      <c r="Q70" s="128"/>
      <c r="R70" s="73"/>
      <c r="S70" s="21"/>
      <c r="T70" s="48" t="s">
        <v>430</v>
      </c>
      <c r="U70" s="46" t="s">
        <v>430</v>
      </c>
      <c r="V70" s="71" t="s">
        <v>430</v>
      </c>
      <c r="W70" s="72" t="s">
        <v>39</v>
      </c>
    </row>
    <row r="71" spans="1:23" s="84" customFormat="1" ht="23.25" customHeight="1">
      <c r="A71" s="26" t="s">
        <v>430</v>
      </c>
      <c r="B71" s="107" t="s">
        <v>47</v>
      </c>
      <c r="C71" s="108" t="s">
        <v>330</v>
      </c>
      <c r="D71" s="17" t="s">
        <v>54</v>
      </c>
      <c r="E71" s="24" t="s">
        <v>53</v>
      </c>
      <c r="F71" s="109" t="s">
        <v>48</v>
      </c>
      <c r="G71" s="109" t="s">
        <v>23</v>
      </c>
      <c r="H71" s="126">
        <v>5858480</v>
      </c>
      <c r="I71" s="77">
        <v>5858480</v>
      </c>
      <c r="J71" s="68">
        <v>0.1</v>
      </c>
      <c r="K71" s="33">
        <v>585848</v>
      </c>
      <c r="L71" s="18">
        <v>45858</v>
      </c>
      <c r="M71" s="18">
        <v>45868</v>
      </c>
      <c r="N71" s="115" t="s">
        <v>344</v>
      </c>
      <c r="O71" s="128">
        <v>4</v>
      </c>
      <c r="P71" s="128"/>
      <c r="Q71" s="128"/>
      <c r="R71" s="73"/>
      <c r="S71" s="21"/>
      <c r="T71" s="48" t="s">
        <v>430</v>
      </c>
      <c r="U71" s="46" t="s">
        <v>430</v>
      </c>
      <c r="V71" s="71" t="s">
        <v>430</v>
      </c>
      <c r="W71" s="72" t="s">
        <v>39</v>
      </c>
    </row>
    <row r="72" spans="1:23" s="84" customFormat="1" ht="23.25" customHeight="1">
      <c r="A72" s="26" t="s">
        <v>430</v>
      </c>
      <c r="B72" s="107" t="s">
        <v>185</v>
      </c>
      <c r="C72" s="108" t="s">
        <v>600</v>
      </c>
      <c r="D72" s="17" t="s">
        <v>54</v>
      </c>
      <c r="E72" s="24" t="s">
        <v>224</v>
      </c>
      <c r="F72" s="109" t="s">
        <v>186</v>
      </c>
      <c r="G72" s="109" t="s">
        <v>23</v>
      </c>
      <c r="H72" s="126">
        <v>2721000</v>
      </c>
      <c r="I72" s="77">
        <v>2721000</v>
      </c>
      <c r="J72" s="68">
        <v>0.02</v>
      </c>
      <c r="K72" s="33">
        <v>54420</v>
      </c>
      <c r="L72" s="18">
        <v>45863</v>
      </c>
      <c r="M72" s="18">
        <v>45868</v>
      </c>
      <c r="N72" s="115" t="s">
        <v>344</v>
      </c>
      <c r="O72" s="128">
        <v>9</v>
      </c>
      <c r="P72" s="128"/>
      <c r="Q72" s="128"/>
      <c r="R72" s="73"/>
      <c r="S72" s="21"/>
      <c r="T72" s="48" t="s">
        <v>430</v>
      </c>
      <c r="U72" s="46" t="s">
        <v>430</v>
      </c>
      <c r="V72" s="71" t="s">
        <v>430</v>
      </c>
      <c r="W72" s="72" t="s">
        <v>39</v>
      </c>
    </row>
    <row r="73" spans="1:23" s="84" customFormat="1" ht="23.25" customHeight="1">
      <c r="A73" s="26" t="s">
        <v>430</v>
      </c>
      <c r="B73" s="107" t="s">
        <v>102</v>
      </c>
      <c r="C73" s="108" t="s">
        <v>598</v>
      </c>
      <c r="D73" s="17" t="s">
        <v>54</v>
      </c>
      <c r="E73" s="24" t="s">
        <v>222</v>
      </c>
      <c r="F73" s="109" t="s">
        <v>103</v>
      </c>
      <c r="G73" s="109" t="s">
        <v>23</v>
      </c>
      <c r="H73" s="126">
        <v>450500</v>
      </c>
      <c r="I73" s="77">
        <v>450500</v>
      </c>
      <c r="J73" s="68">
        <v>0.05</v>
      </c>
      <c r="K73" s="33">
        <v>22525</v>
      </c>
      <c r="L73" s="18">
        <v>45859</v>
      </c>
      <c r="M73" s="18">
        <v>45869</v>
      </c>
      <c r="N73" s="115" t="s">
        <v>344</v>
      </c>
      <c r="O73" s="128">
        <v>1</v>
      </c>
      <c r="P73" s="128"/>
      <c r="Q73" s="128"/>
      <c r="R73" s="73"/>
      <c r="S73" s="21"/>
      <c r="T73" s="48" t="s">
        <v>430</v>
      </c>
      <c r="U73" s="46" t="s">
        <v>430</v>
      </c>
      <c r="V73" s="71" t="s">
        <v>430</v>
      </c>
      <c r="W73" s="72" t="s">
        <v>39</v>
      </c>
    </row>
    <row r="74" spans="1:23" s="84" customFormat="1" ht="23.25" customHeight="1">
      <c r="A74" s="26" t="s">
        <v>430</v>
      </c>
      <c r="B74" s="107" t="s">
        <v>185</v>
      </c>
      <c r="C74" s="108" t="s">
        <v>600</v>
      </c>
      <c r="D74" s="17" t="s">
        <v>54</v>
      </c>
      <c r="E74" s="24" t="s">
        <v>224</v>
      </c>
      <c r="F74" s="109" t="s">
        <v>186</v>
      </c>
      <c r="G74" s="109" t="s">
        <v>23</v>
      </c>
      <c r="H74" s="126">
        <v>1378000</v>
      </c>
      <c r="I74" s="77">
        <v>1378000</v>
      </c>
      <c r="J74" s="68">
        <v>0.02</v>
      </c>
      <c r="K74" s="33">
        <v>27560</v>
      </c>
      <c r="L74" s="18">
        <v>45859</v>
      </c>
      <c r="M74" s="18">
        <v>45869</v>
      </c>
      <c r="N74" s="115" t="s">
        <v>344</v>
      </c>
      <c r="O74" s="128">
        <v>5</v>
      </c>
      <c r="P74" s="128"/>
      <c r="Q74" s="128"/>
      <c r="R74" s="73"/>
      <c r="S74" s="21"/>
      <c r="T74" s="48" t="s">
        <v>430</v>
      </c>
      <c r="U74" s="46" t="s">
        <v>430</v>
      </c>
      <c r="V74" s="71" t="s">
        <v>430</v>
      </c>
      <c r="W74" s="72" t="s">
        <v>39</v>
      </c>
    </row>
    <row r="75" spans="1:23" s="84" customFormat="1" ht="23.25" customHeight="1">
      <c r="A75" s="26" t="s">
        <v>430</v>
      </c>
      <c r="B75" s="107" t="s">
        <v>185</v>
      </c>
      <c r="C75" s="108" t="s">
        <v>600</v>
      </c>
      <c r="D75" s="17" t="s">
        <v>54</v>
      </c>
      <c r="E75" s="24" t="s">
        <v>224</v>
      </c>
      <c r="F75" s="109" t="s">
        <v>186</v>
      </c>
      <c r="G75" s="109" t="s">
        <v>23</v>
      </c>
      <c r="H75" s="126">
        <v>4492100</v>
      </c>
      <c r="I75" s="77">
        <v>4492100</v>
      </c>
      <c r="J75" s="68">
        <v>0.02</v>
      </c>
      <c r="K75" s="33">
        <v>89842</v>
      </c>
      <c r="L75" s="18">
        <v>45860</v>
      </c>
      <c r="M75" s="18">
        <v>45870</v>
      </c>
      <c r="N75" s="115" t="s">
        <v>344</v>
      </c>
      <c r="O75" s="128">
        <v>12</v>
      </c>
      <c r="P75" s="128"/>
      <c r="Q75" s="128"/>
      <c r="R75" s="73"/>
      <c r="S75" s="21"/>
      <c r="T75" s="48" t="s">
        <v>430</v>
      </c>
      <c r="U75" s="46" t="s">
        <v>430</v>
      </c>
      <c r="V75" s="71" t="s">
        <v>430</v>
      </c>
      <c r="W75" s="72" t="s">
        <v>39</v>
      </c>
    </row>
    <row r="76" spans="1:23" s="84" customFormat="1" ht="23.25" customHeight="1">
      <c r="A76" s="26" t="s">
        <v>430</v>
      </c>
      <c r="B76" s="107" t="s">
        <v>226</v>
      </c>
      <c r="C76" s="108" t="s">
        <v>602</v>
      </c>
      <c r="D76" s="17" t="s">
        <v>54</v>
      </c>
      <c r="E76" s="24" t="s">
        <v>227</v>
      </c>
      <c r="F76" s="109" t="s">
        <v>228</v>
      </c>
      <c r="G76" s="109" t="s">
        <v>23</v>
      </c>
      <c r="H76" s="126">
        <v>2211300</v>
      </c>
      <c r="I76" s="77">
        <v>2211300</v>
      </c>
      <c r="J76" s="68">
        <v>0.02</v>
      </c>
      <c r="K76" s="33">
        <v>44226</v>
      </c>
      <c r="L76" s="18">
        <v>45860</v>
      </c>
      <c r="M76" s="18">
        <v>45870</v>
      </c>
      <c r="N76" s="115" t="s">
        <v>344</v>
      </c>
      <c r="O76" s="128">
        <v>5</v>
      </c>
      <c r="P76" s="128"/>
      <c r="Q76" s="128"/>
      <c r="R76" s="73"/>
      <c r="S76" s="21"/>
      <c r="T76" s="48" t="s">
        <v>430</v>
      </c>
      <c r="U76" s="46" t="s">
        <v>430</v>
      </c>
      <c r="V76" s="71" t="s">
        <v>430</v>
      </c>
      <c r="W76" s="72" t="s">
        <v>39</v>
      </c>
    </row>
    <row r="77" spans="1:23" s="84" customFormat="1" ht="23.25" customHeight="1">
      <c r="A77" s="26" t="s">
        <v>430</v>
      </c>
      <c r="B77" s="107" t="s">
        <v>229</v>
      </c>
      <c r="C77" s="108" t="s">
        <v>603</v>
      </c>
      <c r="D77" s="17" t="s">
        <v>54</v>
      </c>
      <c r="E77" s="24" t="s">
        <v>227</v>
      </c>
      <c r="F77" s="109" t="s">
        <v>230</v>
      </c>
      <c r="G77" s="109" t="s">
        <v>23</v>
      </c>
      <c r="H77" s="126">
        <v>1358800</v>
      </c>
      <c r="I77" s="77">
        <v>1358800</v>
      </c>
      <c r="J77" s="68">
        <v>0.02</v>
      </c>
      <c r="K77" s="33">
        <v>27176</v>
      </c>
      <c r="L77" s="18">
        <v>45860</v>
      </c>
      <c r="M77" s="18">
        <v>45870</v>
      </c>
      <c r="N77" s="115" t="s">
        <v>344</v>
      </c>
      <c r="O77" s="128">
        <v>2</v>
      </c>
      <c r="P77" s="128"/>
      <c r="Q77" s="128"/>
      <c r="R77" s="73"/>
      <c r="S77" s="21"/>
      <c r="T77" s="48" t="s">
        <v>430</v>
      </c>
      <c r="U77" s="46" t="s">
        <v>430</v>
      </c>
      <c r="V77" s="71" t="s">
        <v>430</v>
      </c>
      <c r="W77" s="72" t="s">
        <v>39</v>
      </c>
    </row>
    <row r="78" spans="1:23" s="84" customFormat="1" ht="23.25" customHeight="1">
      <c r="A78" s="26" t="s">
        <v>430</v>
      </c>
      <c r="B78" s="107" t="s">
        <v>231</v>
      </c>
      <c r="C78" s="108" t="s">
        <v>490</v>
      </c>
      <c r="D78" s="17" t="s">
        <v>54</v>
      </c>
      <c r="E78" s="24" t="s">
        <v>227</v>
      </c>
      <c r="F78" s="109" t="s">
        <v>232</v>
      </c>
      <c r="G78" s="109" t="s">
        <v>23</v>
      </c>
      <c r="H78" s="126">
        <v>2659100</v>
      </c>
      <c r="I78" s="77">
        <v>2659100</v>
      </c>
      <c r="J78" s="68">
        <v>0.02</v>
      </c>
      <c r="K78" s="33">
        <v>53182</v>
      </c>
      <c r="L78" s="18">
        <v>45860</v>
      </c>
      <c r="M78" s="18">
        <v>45870</v>
      </c>
      <c r="N78" s="115" t="s">
        <v>344</v>
      </c>
      <c r="O78" s="128">
        <v>1</v>
      </c>
      <c r="P78" s="128"/>
      <c r="Q78" s="128"/>
      <c r="R78" s="73"/>
      <c r="S78" s="21"/>
      <c r="T78" s="48" t="s">
        <v>430</v>
      </c>
      <c r="U78" s="46" t="s">
        <v>430</v>
      </c>
      <c r="V78" s="71" t="s">
        <v>430</v>
      </c>
      <c r="W78" s="72" t="s">
        <v>39</v>
      </c>
    </row>
    <row r="79" spans="1:23" s="84" customFormat="1" ht="23.25" customHeight="1">
      <c r="A79" s="26" t="s">
        <v>430</v>
      </c>
      <c r="B79" s="107" t="s">
        <v>108</v>
      </c>
      <c r="C79" s="108" t="s">
        <v>599</v>
      </c>
      <c r="D79" s="17" t="s">
        <v>54</v>
      </c>
      <c r="E79" s="24" t="s">
        <v>223</v>
      </c>
      <c r="F79" s="109" t="s">
        <v>109</v>
      </c>
      <c r="G79" s="109" t="s">
        <v>23</v>
      </c>
      <c r="H79" s="126">
        <v>1369800</v>
      </c>
      <c r="I79" s="77">
        <v>1369800</v>
      </c>
      <c r="J79" s="68">
        <v>0.1</v>
      </c>
      <c r="K79" s="33">
        <v>136980</v>
      </c>
      <c r="L79" s="18">
        <v>45861</v>
      </c>
      <c r="M79" s="18">
        <v>45871</v>
      </c>
      <c r="N79" s="115" t="s">
        <v>344</v>
      </c>
      <c r="O79" s="128">
        <v>2</v>
      </c>
      <c r="P79" s="128"/>
      <c r="Q79" s="128"/>
      <c r="R79" s="73"/>
      <c r="S79" s="21"/>
      <c r="T79" s="48" t="s">
        <v>430</v>
      </c>
      <c r="U79" s="46" t="s">
        <v>430</v>
      </c>
      <c r="V79" s="71" t="s">
        <v>430</v>
      </c>
      <c r="W79" s="72" t="s">
        <v>39</v>
      </c>
    </row>
    <row r="80" spans="1:23" s="84" customFormat="1" ht="23.25" customHeight="1">
      <c r="A80" s="26" t="s">
        <v>430</v>
      </c>
      <c r="B80" s="107" t="s">
        <v>185</v>
      </c>
      <c r="C80" s="108" t="s">
        <v>600</v>
      </c>
      <c r="D80" s="17" t="s">
        <v>54</v>
      </c>
      <c r="E80" s="24" t="s">
        <v>224</v>
      </c>
      <c r="F80" s="109" t="s">
        <v>186</v>
      </c>
      <c r="G80" s="109" t="s">
        <v>23</v>
      </c>
      <c r="H80" s="126">
        <v>4522200</v>
      </c>
      <c r="I80" s="77">
        <v>4522200</v>
      </c>
      <c r="J80" s="68">
        <v>0.02</v>
      </c>
      <c r="K80" s="33">
        <v>90444</v>
      </c>
      <c r="L80" s="18">
        <v>45861</v>
      </c>
      <c r="M80" s="18">
        <v>45871</v>
      </c>
      <c r="N80" s="115" t="s">
        <v>344</v>
      </c>
      <c r="O80" s="128">
        <v>4</v>
      </c>
      <c r="P80" s="128"/>
      <c r="Q80" s="128"/>
      <c r="R80" s="73"/>
      <c r="S80" s="21"/>
      <c r="T80" s="48" t="s">
        <v>430</v>
      </c>
      <c r="U80" s="46" t="s">
        <v>430</v>
      </c>
      <c r="V80" s="71" t="s">
        <v>430</v>
      </c>
      <c r="W80" s="72" t="s">
        <v>39</v>
      </c>
    </row>
    <row r="81" spans="1:23" s="84" customFormat="1" ht="23.25" customHeight="1">
      <c r="A81" s="26" t="s">
        <v>430</v>
      </c>
      <c r="B81" s="107" t="s">
        <v>226</v>
      </c>
      <c r="C81" s="108" t="s">
        <v>602</v>
      </c>
      <c r="D81" s="17" t="s">
        <v>54</v>
      </c>
      <c r="E81" s="24" t="s">
        <v>227</v>
      </c>
      <c r="F81" s="109" t="s">
        <v>228</v>
      </c>
      <c r="G81" s="109" t="s">
        <v>23</v>
      </c>
      <c r="H81" s="126">
        <v>6153500</v>
      </c>
      <c r="I81" s="77">
        <v>6153500</v>
      </c>
      <c r="J81" s="68">
        <v>0.02</v>
      </c>
      <c r="K81" s="33">
        <v>123070</v>
      </c>
      <c r="L81" s="18">
        <v>45861</v>
      </c>
      <c r="M81" s="18">
        <v>45871</v>
      </c>
      <c r="N81" s="115" t="s">
        <v>344</v>
      </c>
      <c r="O81" s="128">
        <v>8</v>
      </c>
      <c r="P81" s="128"/>
      <c r="Q81" s="128"/>
      <c r="R81" s="73"/>
      <c r="S81" s="21"/>
      <c r="T81" s="48" t="s">
        <v>430</v>
      </c>
      <c r="U81" s="46" t="s">
        <v>430</v>
      </c>
      <c r="V81" s="71" t="s">
        <v>430</v>
      </c>
      <c r="W81" s="72" t="s">
        <v>39</v>
      </c>
    </row>
    <row r="82" spans="1:23" s="84" customFormat="1" ht="23.25" customHeight="1">
      <c r="A82" s="26" t="s">
        <v>430</v>
      </c>
      <c r="B82" s="107" t="s">
        <v>229</v>
      </c>
      <c r="C82" s="108" t="s">
        <v>603</v>
      </c>
      <c r="D82" s="17" t="s">
        <v>54</v>
      </c>
      <c r="E82" s="24" t="s">
        <v>227</v>
      </c>
      <c r="F82" s="109" t="s">
        <v>230</v>
      </c>
      <c r="G82" s="109" t="s">
        <v>23</v>
      </c>
      <c r="H82" s="126">
        <v>4743500</v>
      </c>
      <c r="I82" s="77">
        <v>4743500</v>
      </c>
      <c r="J82" s="68">
        <v>0.02</v>
      </c>
      <c r="K82" s="33">
        <v>94870</v>
      </c>
      <c r="L82" s="18">
        <v>45861</v>
      </c>
      <c r="M82" s="18">
        <v>45871</v>
      </c>
      <c r="N82" s="115" t="s">
        <v>344</v>
      </c>
      <c r="O82" s="128">
        <v>9</v>
      </c>
      <c r="P82" s="128"/>
      <c r="Q82" s="128"/>
      <c r="R82" s="73"/>
      <c r="S82" s="21"/>
      <c r="T82" s="48" t="s">
        <v>430</v>
      </c>
      <c r="U82" s="48" t="s">
        <v>430</v>
      </c>
      <c r="V82" s="71" t="s">
        <v>430</v>
      </c>
      <c r="W82" s="72" t="s">
        <v>39</v>
      </c>
    </row>
    <row r="83" spans="1:23" s="84" customFormat="1" ht="23.25" customHeight="1">
      <c r="A83" s="26" t="s">
        <v>430</v>
      </c>
      <c r="B83" s="107" t="s">
        <v>226</v>
      </c>
      <c r="C83" s="108" t="s">
        <v>602</v>
      </c>
      <c r="D83" s="17" t="s">
        <v>54</v>
      </c>
      <c r="E83" s="24" t="s">
        <v>227</v>
      </c>
      <c r="F83" s="109" t="s">
        <v>228</v>
      </c>
      <c r="G83" s="109" t="s">
        <v>23</v>
      </c>
      <c r="H83" s="126">
        <v>34282300</v>
      </c>
      <c r="I83" s="77">
        <v>34282300</v>
      </c>
      <c r="J83" s="68">
        <v>0.02</v>
      </c>
      <c r="K83" s="33">
        <v>685646</v>
      </c>
      <c r="L83" s="18">
        <v>45862</v>
      </c>
      <c r="M83" s="18">
        <v>45872</v>
      </c>
      <c r="N83" s="115" t="s">
        <v>344</v>
      </c>
      <c r="O83" s="128">
        <v>18</v>
      </c>
      <c r="P83" s="128"/>
      <c r="Q83" s="128"/>
      <c r="R83" s="73"/>
      <c r="S83" s="21"/>
      <c r="T83" s="48" t="s">
        <v>430</v>
      </c>
      <c r="U83" s="46" t="s">
        <v>430</v>
      </c>
      <c r="V83" s="71" t="s">
        <v>430</v>
      </c>
      <c r="W83" s="72" t="s">
        <v>39</v>
      </c>
    </row>
    <row r="84" spans="1:23" s="84" customFormat="1" ht="23.25" customHeight="1">
      <c r="A84" s="26" t="s">
        <v>430</v>
      </c>
      <c r="B84" s="107" t="s">
        <v>185</v>
      </c>
      <c r="C84" s="108" t="s">
        <v>600</v>
      </c>
      <c r="D84" s="17" t="s">
        <v>54</v>
      </c>
      <c r="E84" s="24" t="s">
        <v>224</v>
      </c>
      <c r="F84" s="109" t="s">
        <v>186</v>
      </c>
      <c r="G84" s="109" t="s">
        <v>23</v>
      </c>
      <c r="H84" s="126">
        <v>9146200</v>
      </c>
      <c r="I84" s="77">
        <v>9146200</v>
      </c>
      <c r="J84" s="68">
        <v>0.02</v>
      </c>
      <c r="K84" s="33">
        <v>182924</v>
      </c>
      <c r="L84" s="18">
        <v>45863</v>
      </c>
      <c r="M84" s="18">
        <v>45873</v>
      </c>
      <c r="N84" s="115" t="s">
        <v>344</v>
      </c>
      <c r="O84" s="128">
        <v>7</v>
      </c>
      <c r="P84" s="128"/>
      <c r="Q84" s="128"/>
      <c r="R84" s="73"/>
      <c r="S84" s="21"/>
      <c r="T84" s="48" t="s">
        <v>430</v>
      </c>
      <c r="U84" s="46" t="s">
        <v>430</v>
      </c>
      <c r="V84" s="71" t="s">
        <v>430</v>
      </c>
      <c r="W84" s="72" t="s">
        <v>39</v>
      </c>
    </row>
    <row r="85" spans="1:23" s="84" customFormat="1" ht="23.25" customHeight="1">
      <c r="A85" s="26" t="s">
        <v>430</v>
      </c>
      <c r="B85" s="107" t="s">
        <v>185</v>
      </c>
      <c r="C85" s="108" t="s">
        <v>600</v>
      </c>
      <c r="D85" s="17" t="s">
        <v>54</v>
      </c>
      <c r="E85" s="24" t="s">
        <v>224</v>
      </c>
      <c r="F85" s="109" t="s">
        <v>186</v>
      </c>
      <c r="G85" s="109" t="s">
        <v>23</v>
      </c>
      <c r="H85" s="126">
        <v>826800</v>
      </c>
      <c r="I85" s="77">
        <v>826800</v>
      </c>
      <c r="J85" s="68">
        <v>0.02</v>
      </c>
      <c r="K85" s="33">
        <v>16536</v>
      </c>
      <c r="L85" s="18">
        <v>45864</v>
      </c>
      <c r="M85" s="18">
        <v>45874</v>
      </c>
      <c r="N85" s="115" t="s">
        <v>344</v>
      </c>
      <c r="O85" s="128">
        <v>3</v>
      </c>
      <c r="P85" s="128"/>
      <c r="Q85" s="128"/>
      <c r="R85" s="73"/>
      <c r="S85" s="21"/>
      <c r="T85" s="48" t="s">
        <v>430</v>
      </c>
      <c r="U85" s="46" t="s">
        <v>430</v>
      </c>
      <c r="V85" s="71" t="s">
        <v>430</v>
      </c>
      <c r="W85" s="72" t="s">
        <v>39</v>
      </c>
    </row>
    <row r="86" spans="1:23" s="84" customFormat="1" ht="23.25" customHeight="1">
      <c r="A86" s="26" t="s">
        <v>430</v>
      </c>
      <c r="B86" s="107" t="s">
        <v>102</v>
      </c>
      <c r="C86" s="108" t="s">
        <v>598</v>
      </c>
      <c r="D86" s="17" t="s">
        <v>54</v>
      </c>
      <c r="E86" s="24" t="s">
        <v>222</v>
      </c>
      <c r="F86" s="109" t="s">
        <v>103</v>
      </c>
      <c r="G86" s="109" t="s">
        <v>23</v>
      </c>
      <c r="H86" s="126">
        <v>2819900</v>
      </c>
      <c r="I86" s="77">
        <v>2819900</v>
      </c>
      <c r="J86" s="68">
        <v>0.05</v>
      </c>
      <c r="K86" s="33">
        <v>140995</v>
      </c>
      <c r="L86" s="18">
        <v>45865</v>
      </c>
      <c r="M86" s="18">
        <v>45875</v>
      </c>
      <c r="N86" s="115" t="s">
        <v>344</v>
      </c>
      <c r="O86" s="128">
        <v>1</v>
      </c>
      <c r="P86" s="128"/>
      <c r="Q86" s="128"/>
      <c r="R86" s="73"/>
      <c r="S86" s="21"/>
      <c r="T86" s="48" t="s">
        <v>430</v>
      </c>
      <c r="U86" s="46" t="s">
        <v>430</v>
      </c>
      <c r="V86" s="71" t="s">
        <v>430</v>
      </c>
      <c r="W86" s="72" t="s">
        <v>39</v>
      </c>
    </row>
    <row r="87" spans="1:23" s="84" customFormat="1" ht="23.25" customHeight="1">
      <c r="A87" s="26" t="s">
        <v>430</v>
      </c>
      <c r="B87" s="107" t="s">
        <v>185</v>
      </c>
      <c r="C87" s="108" t="s">
        <v>600</v>
      </c>
      <c r="D87" s="17" t="s">
        <v>54</v>
      </c>
      <c r="E87" s="24" t="s">
        <v>224</v>
      </c>
      <c r="F87" s="109" t="s">
        <v>186</v>
      </c>
      <c r="G87" s="109" t="s">
        <v>23</v>
      </c>
      <c r="H87" s="126">
        <v>7019000</v>
      </c>
      <c r="I87" s="77">
        <v>7019000</v>
      </c>
      <c r="J87" s="68">
        <v>0.02</v>
      </c>
      <c r="K87" s="33">
        <v>140380</v>
      </c>
      <c r="L87" s="18">
        <v>45865</v>
      </c>
      <c r="M87" s="18">
        <v>45875</v>
      </c>
      <c r="N87" s="115" t="s">
        <v>344</v>
      </c>
      <c r="O87" s="128">
        <v>24</v>
      </c>
      <c r="P87" s="128"/>
      <c r="Q87" s="128"/>
      <c r="R87" s="73"/>
      <c r="S87" s="21"/>
      <c r="T87" s="48" t="s">
        <v>430</v>
      </c>
      <c r="U87" s="46" t="s">
        <v>430</v>
      </c>
      <c r="V87" s="71" t="s">
        <v>430</v>
      </c>
      <c r="W87" s="72" t="s">
        <v>39</v>
      </c>
    </row>
    <row r="88" spans="1:23" s="84" customFormat="1" ht="23.25" customHeight="1">
      <c r="A88" s="26" t="s">
        <v>430</v>
      </c>
      <c r="B88" s="142" t="s">
        <v>187</v>
      </c>
      <c r="C88" s="108" t="s">
        <v>601</v>
      </c>
      <c r="D88" s="17" t="s">
        <v>54</v>
      </c>
      <c r="E88" s="24" t="s">
        <v>222</v>
      </c>
      <c r="F88" s="109" t="s">
        <v>188</v>
      </c>
      <c r="G88" s="109" t="s">
        <v>23</v>
      </c>
      <c r="H88" s="126">
        <v>934300</v>
      </c>
      <c r="I88" s="77">
        <v>934300</v>
      </c>
      <c r="J88" s="68">
        <v>0.02</v>
      </c>
      <c r="K88" s="33">
        <v>18686</v>
      </c>
      <c r="L88" s="18">
        <v>45865</v>
      </c>
      <c r="M88" s="18">
        <v>45875</v>
      </c>
      <c r="N88" s="115" t="s">
        <v>344</v>
      </c>
      <c r="O88" s="128">
        <v>1</v>
      </c>
      <c r="P88" s="128"/>
      <c r="Q88" s="128"/>
      <c r="R88" s="73"/>
      <c r="S88" s="21"/>
      <c r="T88" s="48" t="s">
        <v>430</v>
      </c>
      <c r="U88" s="46" t="s">
        <v>430</v>
      </c>
      <c r="V88" s="71" t="s">
        <v>430</v>
      </c>
      <c r="W88" s="72" t="s">
        <v>39</v>
      </c>
    </row>
    <row r="89" spans="1:23" s="84" customFormat="1" ht="23.25" customHeight="1">
      <c r="A89" s="26" t="s">
        <v>430</v>
      </c>
      <c r="B89" s="107" t="s">
        <v>229</v>
      </c>
      <c r="C89" s="108" t="s">
        <v>603</v>
      </c>
      <c r="D89" s="17" t="s">
        <v>54</v>
      </c>
      <c r="E89" s="24" t="s">
        <v>227</v>
      </c>
      <c r="F89" s="109" t="s">
        <v>230</v>
      </c>
      <c r="G89" s="109" t="s">
        <v>23</v>
      </c>
      <c r="H89" s="126">
        <v>7888800</v>
      </c>
      <c r="I89" s="77">
        <v>7888800</v>
      </c>
      <c r="J89" s="68">
        <v>0.02</v>
      </c>
      <c r="K89" s="33">
        <v>157776</v>
      </c>
      <c r="L89" s="18">
        <v>45865</v>
      </c>
      <c r="M89" s="18">
        <v>45875</v>
      </c>
      <c r="N89" s="115" t="s">
        <v>344</v>
      </c>
      <c r="O89" s="128">
        <v>7</v>
      </c>
      <c r="P89" s="128"/>
      <c r="Q89" s="128"/>
      <c r="R89" s="73"/>
      <c r="S89" s="21"/>
      <c r="T89" s="48" t="s">
        <v>430</v>
      </c>
      <c r="U89" s="46" t="s">
        <v>430</v>
      </c>
      <c r="V89" s="71" t="s">
        <v>430</v>
      </c>
      <c r="W89" s="72" t="s">
        <v>39</v>
      </c>
    </row>
    <row r="90" spans="1:23" s="84" customFormat="1" ht="23.25" customHeight="1">
      <c r="A90" s="26" t="s">
        <v>430</v>
      </c>
      <c r="B90" s="107" t="s">
        <v>233</v>
      </c>
      <c r="C90" s="108" t="s">
        <v>604</v>
      </c>
      <c r="D90" s="17" t="s">
        <v>54</v>
      </c>
      <c r="E90" s="24" t="s">
        <v>222</v>
      </c>
      <c r="F90" s="109" t="s">
        <v>234</v>
      </c>
      <c r="G90" s="109" t="s">
        <v>23</v>
      </c>
      <c r="H90" s="126">
        <v>60007300</v>
      </c>
      <c r="I90" s="77">
        <v>60007300</v>
      </c>
      <c r="J90" s="68">
        <v>0.02</v>
      </c>
      <c r="K90" s="33">
        <v>1200146</v>
      </c>
      <c r="L90" s="18">
        <v>45865</v>
      </c>
      <c r="M90" s="18">
        <v>45875</v>
      </c>
      <c r="N90" s="115" t="s">
        <v>344</v>
      </c>
      <c r="O90" s="128">
        <v>22</v>
      </c>
      <c r="P90" s="128"/>
      <c r="Q90" s="128"/>
      <c r="R90" s="73"/>
      <c r="S90" s="21"/>
      <c r="T90" s="48" t="s">
        <v>430</v>
      </c>
      <c r="U90" s="46" t="s">
        <v>430</v>
      </c>
      <c r="V90" s="71" t="s">
        <v>430</v>
      </c>
      <c r="W90" s="72" t="s">
        <v>39</v>
      </c>
    </row>
    <row r="91" spans="1:23" s="84" customFormat="1" ht="23.25" customHeight="1">
      <c r="A91" s="26" t="s">
        <v>430</v>
      </c>
      <c r="B91" s="107" t="s">
        <v>102</v>
      </c>
      <c r="C91" s="108" t="s">
        <v>598</v>
      </c>
      <c r="D91" s="17" t="s">
        <v>54</v>
      </c>
      <c r="E91" s="24" t="s">
        <v>222</v>
      </c>
      <c r="F91" s="109" t="s">
        <v>103</v>
      </c>
      <c r="G91" s="109" t="s">
        <v>23</v>
      </c>
      <c r="H91" s="126">
        <v>450500</v>
      </c>
      <c r="I91" s="77">
        <v>450500</v>
      </c>
      <c r="J91" s="68">
        <v>0.05</v>
      </c>
      <c r="K91" s="33">
        <v>22525</v>
      </c>
      <c r="L91" s="18">
        <v>45866</v>
      </c>
      <c r="M91" s="18">
        <v>45876</v>
      </c>
      <c r="N91" s="115" t="s">
        <v>344</v>
      </c>
      <c r="O91" s="128">
        <v>1</v>
      </c>
      <c r="P91" s="128"/>
      <c r="Q91" s="128"/>
      <c r="R91" s="73"/>
      <c r="S91" s="21"/>
      <c r="T91" s="48" t="s">
        <v>430</v>
      </c>
      <c r="U91" s="46" t="s">
        <v>430</v>
      </c>
      <c r="V91" s="71" t="s">
        <v>430</v>
      </c>
      <c r="W91" s="72" t="s">
        <v>39</v>
      </c>
    </row>
    <row r="92" spans="1:23" s="84" customFormat="1" ht="23.25" customHeight="1">
      <c r="A92" s="26" t="s">
        <v>430</v>
      </c>
      <c r="B92" s="107" t="s">
        <v>185</v>
      </c>
      <c r="C92" s="108" t="s">
        <v>600</v>
      </c>
      <c r="D92" s="17" t="s">
        <v>54</v>
      </c>
      <c r="E92" s="24" t="s">
        <v>224</v>
      </c>
      <c r="F92" s="109" t="s">
        <v>186</v>
      </c>
      <c r="G92" s="109" t="s">
        <v>23</v>
      </c>
      <c r="H92" s="126">
        <v>16535200</v>
      </c>
      <c r="I92" s="77">
        <v>16535200</v>
      </c>
      <c r="J92" s="68">
        <v>0.02</v>
      </c>
      <c r="K92" s="33">
        <v>330704</v>
      </c>
      <c r="L92" s="18">
        <v>45866</v>
      </c>
      <c r="M92" s="18">
        <v>45876</v>
      </c>
      <c r="N92" s="115" t="s">
        <v>344</v>
      </c>
      <c r="O92" s="128">
        <v>5</v>
      </c>
      <c r="P92" s="128"/>
      <c r="Q92" s="128"/>
      <c r="R92" s="73"/>
      <c r="S92" s="21"/>
      <c r="T92" s="48" t="s">
        <v>430</v>
      </c>
      <c r="U92" s="46" t="s">
        <v>430</v>
      </c>
      <c r="V92" s="71" t="s">
        <v>430</v>
      </c>
      <c r="W92" s="72" t="s">
        <v>39</v>
      </c>
    </row>
    <row r="93" spans="1:23" s="84" customFormat="1" ht="23.25" customHeight="1">
      <c r="A93" s="26" t="s">
        <v>430</v>
      </c>
      <c r="B93" s="107" t="s">
        <v>187</v>
      </c>
      <c r="C93" s="108" t="s">
        <v>601</v>
      </c>
      <c r="D93" s="17" t="s">
        <v>54</v>
      </c>
      <c r="E93" s="24" t="s">
        <v>222</v>
      </c>
      <c r="F93" s="109" t="s">
        <v>188</v>
      </c>
      <c r="G93" s="109" t="s">
        <v>23</v>
      </c>
      <c r="H93" s="126">
        <v>2899400</v>
      </c>
      <c r="I93" s="77">
        <v>2899400</v>
      </c>
      <c r="J93" s="68">
        <v>0.02</v>
      </c>
      <c r="K93" s="33">
        <v>57988</v>
      </c>
      <c r="L93" s="18">
        <v>45866</v>
      </c>
      <c r="M93" s="18">
        <v>45876</v>
      </c>
      <c r="N93" s="115" t="s">
        <v>344</v>
      </c>
      <c r="O93" s="128">
        <v>6</v>
      </c>
      <c r="P93" s="128"/>
      <c r="Q93" s="128"/>
      <c r="R93" s="73"/>
      <c r="S93" s="21"/>
      <c r="T93" s="48" t="s">
        <v>430</v>
      </c>
      <c r="U93" s="46" t="s">
        <v>430</v>
      </c>
      <c r="V93" s="71" t="s">
        <v>430</v>
      </c>
      <c r="W93" s="72" t="s">
        <v>39</v>
      </c>
    </row>
    <row r="94" spans="1:23" s="84" customFormat="1" ht="23.25" customHeight="1">
      <c r="A94" s="26" t="s">
        <v>430</v>
      </c>
      <c r="B94" s="107" t="s">
        <v>229</v>
      </c>
      <c r="C94" s="108" t="s">
        <v>603</v>
      </c>
      <c r="D94" s="17" t="s">
        <v>54</v>
      </c>
      <c r="E94" s="24" t="s">
        <v>227</v>
      </c>
      <c r="F94" s="109" t="s">
        <v>230</v>
      </c>
      <c r="G94" s="109" t="s">
        <v>23</v>
      </c>
      <c r="H94" s="126">
        <v>3890000</v>
      </c>
      <c r="I94" s="77">
        <v>3890000</v>
      </c>
      <c r="J94" s="68">
        <v>0.02</v>
      </c>
      <c r="K94" s="33">
        <v>77800</v>
      </c>
      <c r="L94" s="18">
        <v>45866</v>
      </c>
      <c r="M94" s="18">
        <v>45876</v>
      </c>
      <c r="N94" s="115" t="s">
        <v>344</v>
      </c>
      <c r="O94" s="128">
        <v>4</v>
      </c>
      <c r="P94" s="128"/>
      <c r="Q94" s="128"/>
      <c r="R94" s="73"/>
      <c r="S94" s="21"/>
      <c r="T94" s="48" t="s">
        <v>430</v>
      </c>
      <c r="U94" s="46" t="s">
        <v>430</v>
      </c>
      <c r="V94" s="71" t="s">
        <v>430</v>
      </c>
      <c r="W94" s="72" t="s">
        <v>39</v>
      </c>
    </row>
    <row r="95" spans="1:23" s="84" customFormat="1" ht="23.25" customHeight="1">
      <c r="A95" s="26" t="s">
        <v>430</v>
      </c>
      <c r="B95" s="107" t="s">
        <v>231</v>
      </c>
      <c r="C95" s="108" t="s">
        <v>490</v>
      </c>
      <c r="D95" s="17" t="s">
        <v>54</v>
      </c>
      <c r="E95" s="24" t="s">
        <v>227</v>
      </c>
      <c r="F95" s="109" t="s">
        <v>232</v>
      </c>
      <c r="G95" s="109" t="s">
        <v>23</v>
      </c>
      <c r="H95" s="126">
        <v>2659100</v>
      </c>
      <c r="I95" s="77">
        <v>2659100</v>
      </c>
      <c r="J95" s="68">
        <v>0.02</v>
      </c>
      <c r="K95" s="33">
        <v>53182</v>
      </c>
      <c r="L95" s="18">
        <v>45866</v>
      </c>
      <c r="M95" s="18">
        <v>45876</v>
      </c>
      <c r="N95" s="115" t="s">
        <v>344</v>
      </c>
      <c r="O95" s="128">
        <v>1</v>
      </c>
      <c r="P95" s="128"/>
      <c r="Q95" s="128"/>
      <c r="R95" s="73"/>
      <c r="S95" s="21"/>
      <c r="T95" s="48" t="s">
        <v>430</v>
      </c>
      <c r="U95" s="46" t="s">
        <v>430</v>
      </c>
      <c r="V95" s="71" t="s">
        <v>430</v>
      </c>
      <c r="W95" s="72" t="s">
        <v>39</v>
      </c>
    </row>
    <row r="96" spans="1:23" s="84" customFormat="1" ht="23.25" customHeight="1">
      <c r="A96" s="26" t="s">
        <v>430</v>
      </c>
      <c r="B96" s="107" t="s">
        <v>233</v>
      </c>
      <c r="C96" s="108" t="s">
        <v>604</v>
      </c>
      <c r="D96" s="17" t="s">
        <v>54</v>
      </c>
      <c r="E96" s="24" t="s">
        <v>222</v>
      </c>
      <c r="F96" s="109" t="s">
        <v>234</v>
      </c>
      <c r="G96" s="109" t="s">
        <v>23</v>
      </c>
      <c r="H96" s="126">
        <v>48339200</v>
      </c>
      <c r="I96" s="77">
        <v>48339200</v>
      </c>
      <c r="J96" s="68">
        <v>0.02</v>
      </c>
      <c r="K96" s="33">
        <v>966784</v>
      </c>
      <c r="L96" s="18">
        <v>45866</v>
      </c>
      <c r="M96" s="18">
        <v>45876</v>
      </c>
      <c r="N96" s="115" t="s">
        <v>344</v>
      </c>
      <c r="O96" s="128">
        <v>2</v>
      </c>
      <c r="P96" s="128"/>
      <c r="Q96" s="128"/>
      <c r="R96" s="73"/>
      <c r="S96" s="21"/>
      <c r="T96" s="48" t="s">
        <v>430</v>
      </c>
      <c r="U96" s="46" t="s">
        <v>430</v>
      </c>
      <c r="V96" s="71" t="s">
        <v>430</v>
      </c>
      <c r="W96" s="72" t="s">
        <v>39</v>
      </c>
    </row>
    <row r="97" spans="1:23" s="84" customFormat="1" ht="23.25" customHeight="1">
      <c r="A97" s="26" t="s">
        <v>430</v>
      </c>
      <c r="B97" s="107" t="s">
        <v>226</v>
      </c>
      <c r="C97" s="108" t="s">
        <v>602</v>
      </c>
      <c r="D97" s="17" t="s">
        <v>54</v>
      </c>
      <c r="E97" s="24" t="s">
        <v>227</v>
      </c>
      <c r="F97" s="109" t="s">
        <v>228</v>
      </c>
      <c r="G97" s="109" t="s">
        <v>23</v>
      </c>
      <c r="H97" s="126">
        <v>36291900</v>
      </c>
      <c r="I97" s="77">
        <v>36291900</v>
      </c>
      <c r="J97" s="68">
        <v>0.02</v>
      </c>
      <c r="K97" s="33">
        <v>725838</v>
      </c>
      <c r="L97" s="18">
        <v>45867</v>
      </c>
      <c r="M97" s="18">
        <v>45877</v>
      </c>
      <c r="N97" s="115" t="s">
        <v>344</v>
      </c>
      <c r="O97" s="128">
        <v>22</v>
      </c>
      <c r="P97" s="128"/>
      <c r="Q97" s="128"/>
      <c r="R97" s="73"/>
      <c r="S97" s="21"/>
      <c r="T97" s="48" t="s">
        <v>430</v>
      </c>
      <c r="U97" s="46" t="s">
        <v>430</v>
      </c>
      <c r="V97" s="71" t="s">
        <v>430</v>
      </c>
      <c r="W97" s="72" t="s">
        <v>39</v>
      </c>
    </row>
    <row r="98" spans="1:23" s="84" customFormat="1" ht="23.25" customHeight="1">
      <c r="A98" s="26" t="s">
        <v>430</v>
      </c>
      <c r="B98" s="107" t="s">
        <v>233</v>
      </c>
      <c r="C98" s="108" t="s">
        <v>604</v>
      </c>
      <c r="D98" s="17" t="s">
        <v>54</v>
      </c>
      <c r="E98" s="24" t="s">
        <v>222</v>
      </c>
      <c r="F98" s="109" t="s">
        <v>234</v>
      </c>
      <c r="G98" s="109" t="s">
        <v>23</v>
      </c>
      <c r="H98" s="126">
        <v>5343700</v>
      </c>
      <c r="I98" s="77">
        <v>5343700</v>
      </c>
      <c r="J98" s="68">
        <v>0.02</v>
      </c>
      <c r="K98" s="33">
        <v>106874</v>
      </c>
      <c r="L98" s="18">
        <v>45867</v>
      </c>
      <c r="M98" s="18">
        <v>45877</v>
      </c>
      <c r="N98" s="115" t="s">
        <v>344</v>
      </c>
      <c r="O98" s="128">
        <v>6</v>
      </c>
      <c r="P98" s="128"/>
      <c r="Q98" s="128"/>
      <c r="R98" s="73"/>
      <c r="S98" s="21"/>
      <c r="T98" s="48" t="s">
        <v>430</v>
      </c>
      <c r="U98" s="46" t="s">
        <v>430</v>
      </c>
      <c r="V98" s="71" t="s">
        <v>430</v>
      </c>
      <c r="W98" s="72" t="s">
        <v>39</v>
      </c>
    </row>
    <row r="99" spans="1:23" s="84" customFormat="1" ht="23.25" customHeight="1">
      <c r="A99" s="26" t="s">
        <v>430</v>
      </c>
      <c r="B99" s="107" t="s">
        <v>185</v>
      </c>
      <c r="C99" s="108" t="s">
        <v>600</v>
      </c>
      <c r="D99" s="17" t="s">
        <v>54</v>
      </c>
      <c r="E99" s="24" t="s">
        <v>224</v>
      </c>
      <c r="F99" s="109" t="s">
        <v>186</v>
      </c>
      <c r="G99" s="109" t="s">
        <v>23</v>
      </c>
      <c r="H99" s="126">
        <v>607500</v>
      </c>
      <c r="I99" s="77">
        <v>607500</v>
      </c>
      <c r="J99" s="68">
        <v>0.02</v>
      </c>
      <c r="K99" s="33">
        <v>12150</v>
      </c>
      <c r="L99" s="18">
        <v>45868</v>
      </c>
      <c r="M99" s="18">
        <v>45878</v>
      </c>
      <c r="N99" s="115" t="s">
        <v>344</v>
      </c>
      <c r="O99" s="128">
        <v>3</v>
      </c>
      <c r="P99" s="128"/>
      <c r="Q99" s="128"/>
      <c r="R99" s="73"/>
      <c r="S99" s="21"/>
      <c r="T99" s="48" t="s">
        <v>430</v>
      </c>
      <c r="U99" s="46" t="s">
        <v>430</v>
      </c>
      <c r="V99" s="71" t="s">
        <v>430</v>
      </c>
      <c r="W99" s="72" t="s">
        <v>39</v>
      </c>
    </row>
    <row r="100" spans="1:23" s="84" customFormat="1" ht="23.25" customHeight="1">
      <c r="A100" s="26" t="s">
        <v>430</v>
      </c>
      <c r="B100" s="107" t="s">
        <v>187</v>
      </c>
      <c r="C100" s="108" t="s">
        <v>601</v>
      </c>
      <c r="D100" s="17" t="s">
        <v>54</v>
      </c>
      <c r="E100" s="24" t="s">
        <v>222</v>
      </c>
      <c r="F100" s="109" t="s">
        <v>188</v>
      </c>
      <c r="G100" s="109" t="s">
        <v>23</v>
      </c>
      <c r="H100" s="126">
        <v>5045900</v>
      </c>
      <c r="I100" s="77">
        <v>5045900</v>
      </c>
      <c r="J100" s="68">
        <v>0.02</v>
      </c>
      <c r="K100" s="33">
        <v>100918</v>
      </c>
      <c r="L100" s="18">
        <v>45868</v>
      </c>
      <c r="M100" s="18">
        <v>45878</v>
      </c>
      <c r="N100" s="115" t="s">
        <v>344</v>
      </c>
      <c r="O100" s="128">
        <v>11</v>
      </c>
      <c r="P100" s="128"/>
      <c r="Q100" s="128"/>
      <c r="R100" s="73"/>
      <c r="S100" s="21"/>
      <c r="T100" s="48" t="s">
        <v>430</v>
      </c>
      <c r="U100" s="46" t="s">
        <v>430</v>
      </c>
      <c r="V100" s="71" t="s">
        <v>430</v>
      </c>
      <c r="W100" s="72" t="s">
        <v>39</v>
      </c>
    </row>
    <row r="101" spans="1:23" s="84" customFormat="1" ht="23.25" customHeight="1">
      <c r="A101" s="26" t="s">
        <v>430</v>
      </c>
      <c r="B101" s="107" t="s">
        <v>229</v>
      </c>
      <c r="C101" s="108" t="s">
        <v>603</v>
      </c>
      <c r="D101" s="17" t="s">
        <v>54</v>
      </c>
      <c r="E101" s="24" t="s">
        <v>227</v>
      </c>
      <c r="F101" s="109" t="s">
        <v>230</v>
      </c>
      <c r="G101" s="109" t="s">
        <v>23</v>
      </c>
      <c r="H101" s="126">
        <v>13350400</v>
      </c>
      <c r="I101" s="77">
        <v>13350400</v>
      </c>
      <c r="J101" s="68">
        <v>0.02</v>
      </c>
      <c r="K101" s="33">
        <v>267008</v>
      </c>
      <c r="L101" s="18">
        <v>45868</v>
      </c>
      <c r="M101" s="18">
        <v>45878</v>
      </c>
      <c r="N101" s="115" t="s">
        <v>344</v>
      </c>
      <c r="O101" s="128">
        <v>14</v>
      </c>
      <c r="P101" s="128"/>
      <c r="Q101" s="128"/>
      <c r="R101" s="73"/>
      <c r="S101" s="21"/>
      <c r="T101" s="48" t="s">
        <v>430</v>
      </c>
      <c r="U101" s="46" t="s">
        <v>430</v>
      </c>
      <c r="V101" s="71" t="s">
        <v>430</v>
      </c>
      <c r="W101" s="72" t="s">
        <v>39</v>
      </c>
    </row>
    <row r="102" spans="1:23" s="84" customFormat="1" ht="23.25" customHeight="1">
      <c r="A102" s="26" t="s">
        <v>430</v>
      </c>
      <c r="B102" s="142" t="s">
        <v>233</v>
      </c>
      <c r="C102" s="108" t="s">
        <v>604</v>
      </c>
      <c r="D102" s="17" t="s">
        <v>54</v>
      </c>
      <c r="E102" s="24" t="s">
        <v>222</v>
      </c>
      <c r="F102" s="109" t="s">
        <v>234</v>
      </c>
      <c r="G102" s="109" t="s">
        <v>23</v>
      </c>
      <c r="H102" s="126">
        <v>742700</v>
      </c>
      <c r="I102" s="77">
        <v>742700</v>
      </c>
      <c r="J102" s="68">
        <v>0.02</v>
      </c>
      <c r="K102" s="33">
        <v>14854</v>
      </c>
      <c r="L102" s="18">
        <v>45868</v>
      </c>
      <c r="M102" s="18">
        <v>45878</v>
      </c>
      <c r="N102" s="115" t="s">
        <v>344</v>
      </c>
      <c r="O102" s="128">
        <v>3</v>
      </c>
      <c r="P102" s="128"/>
      <c r="Q102" s="128"/>
      <c r="R102" s="73"/>
      <c r="S102" s="21"/>
      <c r="T102" s="48" t="s">
        <v>430</v>
      </c>
      <c r="U102" s="46" t="s">
        <v>430</v>
      </c>
      <c r="V102" s="71" t="s">
        <v>430</v>
      </c>
      <c r="W102" s="72" t="s">
        <v>39</v>
      </c>
    </row>
    <row r="103" spans="1:23" s="84" customFormat="1" ht="23.25" customHeight="1">
      <c r="A103" s="26" t="s">
        <v>430</v>
      </c>
      <c r="B103" s="107" t="s">
        <v>185</v>
      </c>
      <c r="C103" s="108" t="s">
        <v>600</v>
      </c>
      <c r="D103" s="17" t="s">
        <v>54</v>
      </c>
      <c r="E103" s="24" t="s">
        <v>224</v>
      </c>
      <c r="F103" s="109" t="s">
        <v>186</v>
      </c>
      <c r="G103" s="109" t="s">
        <v>23</v>
      </c>
      <c r="H103" s="126">
        <v>24859200</v>
      </c>
      <c r="I103" s="77">
        <v>24859200</v>
      </c>
      <c r="J103" s="68">
        <v>0.02</v>
      </c>
      <c r="K103" s="33">
        <v>497184</v>
      </c>
      <c r="L103" s="18">
        <v>45871</v>
      </c>
      <c r="M103" s="18">
        <v>45881</v>
      </c>
      <c r="N103" s="115" t="s">
        <v>344</v>
      </c>
      <c r="O103" s="128">
        <v>20</v>
      </c>
      <c r="P103" s="128"/>
      <c r="Q103" s="128"/>
      <c r="R103" s="73"/>
      <c r="S103" s="21"/>
      <c r="T103" s="48" t="s">
        <v>430</v>
      </c>
      <c r="U103" s="46" t="s">
        <v>430</v>
      </c>
      <c r="V103" s="71" t="s">
        <v>430</v>
      </c>
      <c r="W103" s="72" t="s">
        <v>39</v>
      </c>
    </row>
    <row r="104" spans="1:23" s="84" customFormat="1" ht="23.25" customHeight="1">
      <c r="A104" s="26" t="s">
        <v>430</v>
      </c>
      <c r="B104" s="107" t="s">
        <v>226</v>
      </c>
      <c r="C104" s="108" t="s">
        <v>602</v>
      </c>
      <c r="D104" s="17" t="s">
        <v>54</v>
      </c>
      <c r="E104" s="24" t="s">
        <v>227</v>
      </c>
      <c r="F104" s="109" t="s">
        <v>228</v>
      </c>
      <c r="G104" s="109" t="s">
        <v>23</v>
      </c>
      <c r="H104" s="126">
        <v>1042900</v>
      </c>
      <c r="I104" s="77">
        <v>1042900</v>
      </c>
      <c r="J104" s="68">
        <v>0.02</v>
      </c>
      <c r="K104" s="33">
        <v>20858</v>
      </c>
      <c r="L104" s="18">
        <v>45871</v>
      </c>
      <c r="M104" s="18">
        <v>45881</v>
      </c>
      <c r="N104" s="115" t="s">
        <v>344</v>
      </c>
      <c r="O104" s="128">
        <v>1</v>
      </c>
      <c r="P104" s="128"/>
      <c r="Q104" s="128"/>
      <c r="R104" s="73"/>
      <c r="S104" s="21"/>
      <c r="T104" s="48" t="s">
        <v>430</v>
      </c>
      <c r="U104" s="46" t="s">
        <v>430</v>
      </c>
      <c r="V104" s="71" t="s">
        <v>430</v>
      </c>
      <c r="W104" s="72" t="s">
        <v>39</v>
      </c>
    </row>
    <row r="105" spans="1:23" s="84" customFormat="1" ht="23.25" customHeight="1">
      <c r="A105" s="26" t="s">
        <v>430</v>
      </c>
      <c r="B105" s="107" t="s">
        <v>229</v>
      </c>
      <c r="C105" s="108" t="s">
        <v>603</v>
      </c>
      <c r="D105" s="17" t="s">
        <v>54</v>
      </c>
      <c r="E105" s="24" t="s">
        <v>227</v>
      </c>
      <c r="F105" s="109" t="s">
        <v>230</v>
      </c>
      <c r="G105" s="109" t="s">
        <v>23</v>
      </c>
      <c r="H105" s="126">
        <v>1789700</v>
      </c>
      <c r="I105" s="77">
        <v>1789700</v>
      </c>
      <c r="J105" s="68">
        <v>0.02</v>
      </c>
      <c r="K105" s="33">
        <v>35794</v>
      </c>
      <c r="L105" s="18">
        <v>45871</v>
      </c>
      <c r="M105" s="18">
        <v>45881</v>
      </c>
      <c r="N105" s="115" t="s">
        <v>344</v>
      </c>
      <c r="O105" s="128">
        <v>6</v>
      </c>
      <c r="P105" s="128"/>
      <c r="Q105" s="128"/>
      <c r="R105" s="73"/>
      <c r="S105" s="21"/>
      <c r="T105" s="48" t="s">
        <v>430</v>
      </c>
      <c r="U105" s="46" t="s">
        <v>430</v>
      </c>
      <c r="V105" s="71" t="s">
        <v>430</v>
      </c>
      <c r="W105" s="72" t="s">
        <v>39</v>
      </c>
    </row>
    <row r="106" spans="1:23" s="84" customFormat="1" ht="23.25" customHeight="1">
      <c r="A106" s="26" t="s">
        <v>430</v>
      </c>
      <c r="B106" s="107" t="s">
        <v>231</v>
      </c>
      <c r="C106" s="108" t="s">
        <v>490</v>
      </c>
      <c r="D106" s="17" t="s">
        <v>54</v>
      </c>
      <c r="E106" s="24" t="s">
        <v>227</v>
      </c>
      <c r="F106" s="109" t="s">
        <v>232</v>
      </c>
      <c r="G106" s="109" t="s">
        <v>23</v>
      </c>
      <c r="H106" s="126">
        <v>693100</v>
      </c>
      <c r="I106" s="77">
        <v>693100</v>
      </c>
      <c r="J106" s="68">
        <v>0.02</v>
      </c>
      <c r="K106" s="33">
        <v>13862</v>
      </c>
      <c r="L106" s="18">
        <v>45871</v>
      </c>
      <c r="M106" s="18">
        <v>45881</v>
      </c>
      <c r="N106" s="115" t="s">
        <v>344</v>
      </c>
      <c r="O106" s="128">
        <v>3</v>
      </c>
      <c r="P106" s="128"/>
      <c r="Q106" s="128"/>
      <c r="R106" s="73"/>
      <c r="S106" s="21"/>
      <c r="T106" s="48" t="s">
        <v>430</v>
      </c>
      <c r="U106" s="46" t="s">
        <v>430</v>
      </c>
      <c r="V106" s="71" t="s">
        <v>430</v>
      </c>
      <c r="W106" s="72" t="s">
        <v>39</v>
      </c>
    </row>
    <row r="107" spans="1:23" s="84" customFormat="1" ht="23.25" customHeight="1">
      <c r="A107" s="26" t="s">
        <v>430</v>
      </c>
      <c r="B107" s="107" t="s">
        <v>233</v>
      </c>
      <c r="C107" s="108" t="s">
        <v>604</v>
      </c>
      <c r="D107" s="17" t="s">
        <v>54</v>
      </c>
      <c r="E107" s="24" t="s">
        <v>222</v>
      </c>
      <c r="F107" s="109" t="s">
        <v>234</v>
      </c>
      <c r="G107" s="109" t="s">
        <v>23</v>
      </c>
      <c r="H107" s="126">
        <v>13528600</v>
      </c>
      <c r="I107" s="77">
        <v>13528600</v>
      </c>
      <c r="J107" s="68">
        <v>0.02</v>
      </c>
      <c r="K107" s="33">
        <v>270572</v>
      </c>
      <c r="L107" s="18">
        <v>45871</v>
      </c>
      <c r="M107" s="18">
        <v>45881</v>
      </c>
      <c r="N107" s="115" t="s">
        <v>344</v>
      </c>
      <c r="O107" s="128">
        <v>12</v>
      </c>
      <c r="P107" s="128"/>
      <c r="Q107" s="128"/>
      <c r="R107" s="73"/>
      <c r="S107" s="21"/>
      <c r="T107" s="48" t="s">
        <v>430</v>
      </c>
      <c r="U107" s="46" t="s">
        <v>430</v>
      </c>
      <c r="V107" s="71" t="s">
        <v>430</v>
      </c>
      <c r="W107" s="72" t="s">
        <v>39</v>
      </c>
    </row>
    <row r="108" spans="1:23" s="84" customFormat="1" ht="23.25" customHeight="1">
      <c r="A108" s="26" t="s">
        <v>430</v>
      </c>
      <c r="B108" s="107" t="s">
        <v>339</v>
      </c>
      <c r="C108" s="108" t="s">
        <v>330</v>
      </c>
      <c r="D108" s="17" t="s">
        <v>54</v>
      </c>
      <c r="E108" s="24" t="s">
        <v>222</v>
      </c>
      <c r="F108" s="109" t="s">
        <v>340</v>
      </c>
      <c r="G108" s="109" t="s">
        <v>23</v>
      </c>
      <c r="H108" s="126">
        <v>15586100</v>
      </c>
      <c r="I108" s="77">
        <v>15586100</v>
      </c>
      <c r="J108" s="68">
        <v>0.02</v>
      </c>
      <c r="K108" s="33">
        <v>311722</v>
      </c>
      <c r="L108" s="18">
        <v>45871</v>
      </c>
      <c r="M108" s="18">
        <v>45881</v>
      </c>
      <c r="N108" s="115" t="s">
        <v>344</v>
      </c>
      <c r="O108" s="128">
        <v>4</v>
      </c>
      <c r="P108" s="128"/>
      <c r="Q108" s="128"/>
      <c r="R108" s="73"/>
      <c r="S108" s="21"/>
      <c r="T108" s="48" t="s">
        <v>430</v>
      </c>
      <c r="U108" s="46" t="s">
        <v>430</v>
      </c>
      <c r="V108" s="71" t="s">
        <v>430</v>
      </c>
      <c r="W108" s="72" t="s">
        <v>39</v>
      </c>
    </row>
    <row r="109" spans="1:23" s="84" customFormat="1" ht="23.25" customHeight="1">
      <c r="A109" s="26" t="s">
        <v>430</v>
      </c>
      <c r="B109" s="107" t="s">
        <v>102</v>
      </c>
      <c r="C109" s="108" t="s">
        <v>598</v>
      </c>
      <c r="D109" s="17" t="s">
        <v>54</v>
      </c>
      <c r="E109" s="24" t="s">
        <v>222</v>
      </c>
      <c r="F109" s="109" t="s">
        <v>103</v>
      </c>
      <c r="G109" s="109" t="s">
        <v>23</v>
      </c>
      <c r="H109" s="126">
        <v>1825400</v>
      </c>
      <c r="I109" s="77">
        <v>1825400</v>
      </c>
      <c r="J109" s="68">
        <v>0.05</v>
      </c>
      <c r="K109" s="33">
        <v>91270</v>
      </c>
      <c r="L109" s="18">
        <v>45872</v>
      </c>
      <c r="M109" s="18">
        <v>45882</v>
      </c>
      <c r="N109" s="115" t="s">
        <v>344</v>
      </c>
      <c r="O109" s="128">
        <v>10</v>
      </c>
      <c r="P109" s="128"/>
      <c r="Q109" s="128"/>
      <c r="R109" s="73"/>
      <c r="S109" s="21"/>
      <c r="T109" s="48" t="s">
        <v>430</v>
      </c>
      <c r="U109" s="46" t="s">
        <v>430</v>
      </c>
      <c r="V109" s="71" t="s">
        <v>430</v>
      </c>
      <c r="W109" s="72" t="s">
        <v>39</v>
      </c>
    </row>
    <row r="110" spans="1:23" s="84" customFormat="1" ht="23.25" customHeight="1">
      <c r="A110" s="26" t="s">
        <v>430</v>
      </c>
      <c r="B110" s="107" t="s">
        <v>185</v>
      </c>
      <c r="C110" s="108" t="s">
        <v>600</v>
      </c>
      <c r="D110" s="17" t="s">
        <v>54</v>
      </c>
      <c r="E110" s="24" t="s">
        <v>224</v>
      </c>
      <c r="F110" s="109" t="s">
        <v>186</v>
      </c>
      <c r="G110" s="109" t="s">
        <v>23</v>
      </c>
      <c r="H110" s="126">
        <v>1102400</v>
      </c>
      <c r="I110" s="77">
        <v>1102400</v>
      </c>
      <c r="J110" s="68">
        <v>0.02</v>
      </c>
      <c r="K110" s="33">
        <v>22048</v>
      </c>
      <c r="L110" s="18">
        <v>45872</v>
      </c>
      <c r="M110" s="18">
        <v>45882</v>
      </c>
      <c r="N110" s="115" t="s">
        <v>344</v>
      </c>
      <c r="O110" s="128">
        <v>4</v>
      </c>
      <c r="P110" s="128"/>
      <c r="Q110" s="128"/>
      <c r="R110" s="73"/>
      <c r="S110" s="21"/>
      <c r="T110" s="48" t="s">
        <v>430</v>
      </c>
      <c r="U110" s="46" t="s">
        <v>430</v>
      </c>
      <c r="V110" s="71" t="s">
        <v>430</v>
      </c>
      <c r="W110" s="72" t="s">
        <v>39</v>
      </c>
    </row>
    <row r="111" spans="1:23" s="84" customFormat="1" ht="23.25" customHeight="1">
      <c r="A111" s="26" t="s">
        <v>430</v>
      </c>
      <c r="B111" s="107" t="s">
        <v>233</v>
      </c>
      <c r="C111" s="108" t="s">
        <v>604</v>
      </c>
      <c r="D111" s="17" t="s">
        <v>54</v>
      </c>
      <c r="E111" s="24" t="s">
        <v>222</v>
      </c>
      <c r="F111" s="109" t="s">
        <v>234</v>
      </c>
      <c r="G111" s="109" t="s">
        <v>23</v>
      </c>
      <c r="H111" s="126">
        <v>6198600</v>
      </c>
      <c r="I111" s="77">
        <v>6198600</v>
      </c>
      <c r="J111" s="68">
        <v>0.02</v>
      </c>
      <c r="K111" s="33">
        <v>123972</v>
      </c>
      <c r="L111" s="18">
        <v>45872</v>
      </c>
      <c r="M111" s="18">
        <v>45882</v>
      </c>
      <c r="N111" s="115" t="s">
        <v>344</v>
      </c>
      <c r="O111" s="128">
        <v>6</v>
      </c>
      <c r="P111" s="128"/>
      <c r="Q111" s="128"/>
      <c r="R111" s="73"/>
      <c r="S111" s="21"/>
      <c r="T111" s="48" t="s">
        <v>430</v>
      </c>
      <c r="U111" s="46" t="s">
        <v>430</v>
      </c>
      <c r="V111" s="71" t="s">
        <v>430</v>
      </c>
      <c r="W111" s="72" t="s">
        <v>39</v>
      </c>
    </row>
    <row r="112" spans="1:23" s="84" customFormat="1" ht="23.25" customHeight="1">
      <c r="A112" s="26" t="s">
        <v>430</v>
      </c>
      <c r="B112" s="107" t="s">
        <v>185</v>
      </c>
      <c r="C112" s="108" t="s">
        <v>600</v>
      </c>
      <c r="D112" s="17" t="s">
        <v>54</v>
      </c>
      <c r="E112" s="24" t="s">
        <v>224</v>
      </c>
      <c r="F112" s="109" t="s">
        <v>186</v>
      </c>
      <c r="G112" s="109" t="s">
        <v>23</v>
      </c>
      <c r="H112" s="126">
        <v>3682100</v>
      </c>
      <c r="I112" s="77">
        <v>3682100</v>
      </c>
      <c r="J112" s="68">
        <v>0.02</v>
      </c>
      <c r="K112" s="33">
        <v>73642</v>
      </c>
      <c r="L112" s="18">
        <v>45873</v>
      </c>
      <c r="M112" s="18">
        <v>45883</v>
      </c>
      <c r="N112" s="115" t="s">
        <v>344</v>
      </c>
      <c r="O112" s="128">
        <v>8</v>
      </c>
      <c r="P112" s="128"/>
      <c r="Q112" s="128"/>
      <c r="R112" s="73"/>
      <c r="S112" s="21"/>
      <c r="T112" s="48" t="s">
        <v>430</v>
      </c>
      <c r="U112" s="46" t="s">
        <v>430</v>
      </c>
      <c r="V112" s="71" t="s">
        <v>430</v>
      </c>
      <c r="W112" s="72" t="s">
        <v>39</v>
      </c>
    </row>
    <row r="113" spans="1:23" s="84" customFormat="1" ht="23.25" customHeight="1">
      <c r="A113" s="26" t="s">
        <v>430</v>
      </c>
      <c r="B113" s="107" t="s">
        <v>231</v>
      </c>
      <c r="C113" s="108" t="s">
        <v>490</v>
      </c>
      <c r="D113" s="17" t="s">
        <v>54</v>
      </c>
      <c r="E113" s="24" t="s">
        <v>227</v>
      </c>
      <c r="F113" s="109" t="s">
        <v>232</v>
      </c>
      <c r="G113" s="109" t="s">
        <v>23</v>
      </c>
      <c r="H113" s="126">
        <v>6472300</v>
      </c>
      <c r="I113" s="77">
        <v>6472300</v>
      </c>
      <c r="J113" s="68">
        <v>0.02</v>
      </c>
      <c r="K113" s="33">
        <v>129446</v>
      </c>
      <c r="L113" s="18">
        <v>45873</v>
      </c>
      <c r="M113" s="18">
        <v>45883</v>
      </c>
      <c r="N113" s="115" t="s">
        <v>344</v>
      </c>
      <c r="O113" s="128">
        <v>7</v>
      </c>
      <c r="P113" s="128"/>
      <c r="Q113" s="128"/>
      <c r="R113" s="73"/>
      <c r="S113" s="21"/>
      <c r="T113" s="48" t="s">
        <v>430</v>
      </c>
      <c r="U113" s="46" t="s">
        <v>430</v>
      </c>
      <c r="V113" s="71" t="s">
        <v>430</v>
      </c>
      <c r="W113" s="72" t="s">
        <v>39</v>
      </c>
    </row>
    <row r="114" spans="1:23" s="84" customFormat="1" ht="23.25" customHeight="1">
      <c r="A114" s="26" t="s">
        <v>430</v>
      </c>
      <c r="B114" s="107" t="s">
        <v>102</v>
      </c>
      <c r="C114" s="108" t="s">
        <v>598</v>
      </c>
      <c r="D114" s="17" t="s">
        <v>54</v>
      </c>
      <c r="E114" s="24" t="s">
        <v>222</v>
      </c>
      <c r="F114" s="109" t="s">
        <v>103</v>
      </c>
      <c r="G114" s="109" t="s">
        <v>23</v>
      </c>
      <c r="H114" s="126">
        <v>1661800</v>
      </c>
      <c r="I114" s="77">
        <v>1661800</v>
      </c>
      <c r="J114" s="68">
        <v>0.05</v>
      </c>
      <c r="K114" s="33">
        <v>83090</v>
      </c>
      <c r="L114" s="18">
        <v>45874</v>
      </c>
      <c r="M114" s="18">
        <v>45884</v>
      </c>
      <c r="N114" s="115" t="s">
        <v>344</v>
      </c>
      <c r="O114" s="128">
        <v>6</v>
      </c>
      <c r="P114" s="128"/>
      <c r="Q114" s="128"/>
      <c r="R114" s="73"/>
      <c r="S114" s="21"/>
      <c r="T114" s="48" t="s">
        <v>430</v>
      </c>
      <c r="U114" s="46" t="s">
        <v>430</v>
      </c>
      <c r="V114" s="71" t="s">
        <v>430</v>
      </c>
      <c r="W114" s="72" t="s">
        <v>39</v>
      </c>
    </row>
    <row r="115" spans="1:23" s="84" customFormat="1" ht="23.25" customHeight="1">
      <c r="A115" s="26" t="s">
        <v>430</v>
      </c>
      <c r="B115" s="107" t="s">
        <v>185</v>
      </c>
      <c r="C115" s="108" t="s">
        <v>600</v>
      </c>
      <c r="D115" s="17" t="s">
        <v>54</v>
      </c>
      <c r="E115" s="24" t="s">
        <v>224</v>
      </c>
      <c r="F115" s="109" t="s">
        <v>186</v>
      </c>
      <c r="G115" s="109" t="s">
        <v>23</v>
      </c>
      <c r="H115" s="126">
        <v>3298500</v>
      </c>
      <c r="I115" s="77">
        <v>3298500</v>
      </c>
      <c r="J115" s="68">
        <v>0.02</v>
      </c>
      <c r="K115" s="33">
        <v>65970</v>
      </c>
      <c r="L115" s="18">
        <v>45874</v>
      </c>
      <c r="M115" s="18">
        <v>45884</v>
      </c>
      <c r="N115" s="115" t="s">
        <v>344</v>
      </c>
      <c r="O115" s="128">
        <v>7</v>
      </c>
      <c r="P115" s="128"/>
      <c r="Q115" s="128"/>
      <c r="R115" s="73"/>
      <c r="S115" s="21"/>
      <c r="T115" s="48" t="s">
        <v>430</v>
      </c>
      <c r="U115" s="48" t="s">
        <v>430</v>
      </c>
      <c r="V115" s="71" t="s">
        <v>430</v>
      </c>
      <c r="W115" s="72" t="s">
        <v>39</v>
      </c>
    </row>
    <row r="116" spans="1:23" s="84" customFormat="1" ht="23.25" customHeight="1">
      <c r="A116" s="26" t="s">
        <v>430</v>
      </c>
      <c r="B116" s="107" t="s">
        <v>226</v>
      </c>
      <c r="C116" s="108" t="s">
        <v>602</v>
      </c>
      <c r="D116" s="17" t="s">
        <v>54</v>
      </c>
      <c r="E116" s="24" t="s">
        <v>227</v>
      </c>
      <c r="F116" s="109" t="s">
        <v>228</v>
      </c>
      <c r="G116" s="109" t="s">
        <v>23</v>
      </c>
      <c r="H116" s="126">
        <v>14234600</v>
      </c>
      <c r="I116" s="77">
        <v>14234600</v>
      </c>
      <c r="J116" s="68">
        <v>0.02</v>
      </c>
      <c r="K116" s="33">
        <v>284692</v>
      </c>
      <c r="L116" s="18">
        <v>45874</v>
      </c>
      <c r="M116" s="18">
        <v>45884</v>
      </c>
      <c r="N116" s="115" t="s">
        <v>344</v>
      </c>
      <c r="O116" s="128">
        <v>20</v>
      </c>
      <c r="P116" s="128"/>
      <c r="Q116" s="128"/>
      <c r="R116" s="73"/>
      <c r="S116" s="21"/>
      <c r="T116" s="48" t="s">
        <v>430</v>
      </c>
      <c r="U116" s="46" t="s">
        <v>430</v>
      </c>
      <c r="V116" s="71" t="s">
        <v>430</v>
      </c>
      <c r="W116" s="72" t="s">
        <v>39</v>
      </c>
    </row>
    <row r="117" spans="1:23" s="84" customFormat="1" ht="23.25" customHeight="1">
      <c r="A117" s="26" t="s">
        <v>430</v>
      </c>
      <c r="B117" s="107" t="s">
        <v>229</v>
      </c>
      <c r="C117" s="108" t="s">
        <v>603</v>
      </c>
      <c r="D117" s="17" t="s">
        <v>54</v>
      </c>
      <c r="E117" s="24" t="s">
        <v>227</v>
      </c>
      <c r="F117" s="109" t="s">
        <v>230</v>
      </c>
      <c r="G117" s="109" t="s">
        <v>23</v>
      </c>
      <c r="H117" s="126">
        <v>10057900</v>
      </c>
      <c r="I117" s="77">
        <v>10057900</v>
      </c>
      <c r="J117" s="68">
        <v>0.02</v>
      </c>
      <c r="K117" s="33">
        <v>201158</v>
      </c>
      <c r="L117" s="18">
        <v>45874</v>
      </c>
      <c r="M117" s="18">
        <v>45884</v>
      </c>
      <c r="N117" s="115" t="s">
        <v>344</v>
      </c>
      <c r="O117" s="128">
        <v>4</v>
      </c>
      <c r="P117" s="128"/>
      <c r="Q117" s="128"/>
      <c r="R117" s="73"/>
      <c r="S117" s="21"/>
      <c r="T117" s="48" t="s">
        <v>430</v>
      </c>
      <c r="U117" s="46" t="s">
        <v>430</v>
      </c>
      <c r="V117" s="71" t="s">
        <v>430</v>
      </c>
      <c r="W117" s="72" t="s">
        <v>39</v>
      </c>
    </row>
    <row r="118" spans="1:23" s="84" customFormat="1" ht="23.25" customHeight="1">
      <c r="A118" s="26" t="s">
        <v>430</v>
      </c>
      <c r="B118" s="107" t="s">
        <v>339</v>
      </c>
      <c r="C118" s="108" t="s">
        <v>330</v>
      </c>
      <c r="D118" s="17" t="s">
        <v>54</v>
      </c>
      <c r="E118" s="24" t="s">
        <v>222</v>
      </c>
      <c r="F118" s="109" t="s">
        <v>340</v>
      </c>
      <c r="G118" s="109" t="s">
        <v>23</v>
      </c>
      <c r="H118" s="126">
        <v>451800</v>
      </c>
      <c r="I118" s="77">
        <v>451800</v>
      </c>
      <c r="J118" s="68">
        <v>0.02</v>
      </c>
      <c r="K118" s="33">
        <v>9036</v>
      </c>
      <c r="L118" s="18">
        <v>45874</v>
      </c>
      <c r="M118" s="18">
        <v>45884</v>
      </c>
      <c r="N118" s="115" t="s">
        <v>344</v>
      </c>
      <c r="O118" s="128">
        <v>9</v>
      </c>
      <c r="P118" s="128"/>
      <c r="Q118" s="128"/>
      <c r="R118" s="73"/>
      <c r="S118" s="21"/>
      <c r="T118" s="48" t="s">
        <v>430</v>
      </c>
      <c r="U118" s="46" t="s">
        <v>430</v>
      </c>
      <c r="V118" s="71" t="s">
        <v>430</v>
      </c>
      <c r="W118" s="72" t="s">
        <v>39</v>
      </c>
    </row>
    <row r="119" spans="1:23" s="84" customFormat="1" ht="23.25" customHeight="1">
      <c r="A119" s="26" t="s">
        <v>430</v>
      </c>
      <c r="B119" s="107" t="s">
        <v>226</v>
      </c>
      <c r="C119" s="108" t="s">
        <v>602</v>
      </c>
      <c r="D119" s="17" t="s">
        <v>54</v>
      </c>
      <c r="E119" s="24" t="s">
        <v>227</v>
      </c>
      <c r="F119" s="109" t="s">
        <v>228</v>
      </c>
      <c r="G119" s="109" t="s">
        <v>23</v>
      </c>
      <c r="H119" s="126">
        <v>7214500</v>
      </c>
      <c r="I119" s="77">
        <v>7214500</v>
      </c>
      <c r="J119" s="68">
        <v>0.02</v>
      </c>
      <c r="K119" s="33">
        <v>144290</v>
      </c>
      <c r="L119" s="18">
        <v>45875</v>
      </c>
      <c r="M119" s="18">
        <v>45885</v>
      </c>
      <c r="N119" s="115" t="s">
        <v>344</v>
      </c>
      <c r="O119" s="128">
        <v>28</v>
      </c>
      <c r="P119" s="128"/>
      <c r="Q119" s="128"/>
      <c r="R119" s="73"/>
      <c r="S119" s="21"/>
      <c r="T119" s="48" t="s">
        <v>430</v>
      </c>
      <c r="U119" s="46" t="s">
        <v>430</v>
      </c>
      <c r="V119" s="71" t="s">
        <v>430</v>
      </c>
      <c r="W119" s="72" t="s">
        <v>39</v>
      </c>
    </row>
    <row r="120" spans="1:23" s="84" customFormat="1" ht="23.25" customHeight="1">
      <c r="A120" s="26" t="s">
        <v>430</v>
      </c>
      <c r="B120" s="107" t="s">
        <v>102</v>
      </c>
      <c r="C120" s="108" t="s">
        <v>598</v>
      </c>
      <c r="D120" s="17" t="s">
        <v>54</v>
      </c>
      <c r="E120" s="24" t="s">
        <v>222</v>
      </c>
      <c r="F120" s="109" t="s">
        <v>103</v>
      </c>
      <c r="G120" s="109" t="s">
        <v>23</v>
      </c>
      <c r="H120" s="126">
        <v>2819900</v>
      </c>
      <c r="I120" s="77">
        <v>2819900</v>
      </c>
      <c r="J120" s="68">
        <v>0.05</v>
      </c>
      <c r="K120" s="33">
        <v>140995</v>
      </c>
      <c r="L120" s="18">
        <v>45877</v>
      </c>
      <c r="M120" s="18">
        <v>45887</v>
      </c>
      <c r="N120" s="115" t="s">
        <v>344</v>
      </c>
      <c r="O120" s="128">
        <v>1</v>
      </c>
      <c r="P120" s="128"/>
      <c r="Q120" s="128"/>
      <c r="R120" s="73"/>
      <c r="S120" s="21"/>
      <c r="T120" s="48" t="s">
        <v>430</v>
      </c>
      <c r="U120" s="46" t="s">
        <v>430</v>
      </c>
      <c r="V120" s="71" t="s">
        <v>430</v>
      </c>
      <c r="W120" s="72" t="s">
        <v>39</v>
      </c>
    </row>
    <row r="121" spans="1:23" s="84" customFormat="1" ht="23.25" customHeight="1">
      <c r="A121" s="26" t="s">
        <v>430</v>
      </c>
      <c r="B121" s="107" t="s">
        <v>108</v>
      </c>
      <c r="C121" s="108" t="s">
        <v>599</v>
      </c>
      <c r="D121" s="17" t="s">
        <v>54</v>
      </c>
      <c r="E121" s="24" t="s">
        <v>223</v>
      </c>
      <c r="F121" s="109" t="s">
        <v>109</v>
      </c>
      <c r="G121" s="109" t="s">
        <v>23</v>
      </c>
      <c r="H121" s="126">
        <v>3483600</v>
      </c>
      <c r="I121" s="77">
        <v>3483600</v>
      </c>
      <c r="J121" s="68">
        <v>0.1</v>
      </c>
      <c r="K121" s="33">
        <v>348360</v>
      </c>
      <c r="L121" s="18">
        <v>45878</v>
      </c>
      <c r="M121" s="18">
        <v>45888</v>
      </c>
      <c r="N121" s="115" t="s">
        <v>344</v>
      </c>
      <c r="O121" s="128">
        <v>1</v>
      </c>
      <c r="P121" s="128"/>
      <c r="Q121" s="128"/>
      <c r="R121" s="73"/>
      <c r="S121" s="21"/>
      <c r="T121" s="48" t="s">
        <v>430</v>
      </c>
      <c r="U121" s="46" t="s">
        <v>430</v>
      </c>
      <c r="V121" s="71" t="s">
        <v>430</v>
      </c>
      <c r="W121" s="72" t="s">
        <v>39</v>
      </c>
    </row>
    <row r="122" spans="1:23" s="84" customFormat="1" ht="23.25" customHeight="1">
      <c r="A122" s="26" t="s">
        <v>430</v>
      </c>
      <c r="B122" s="107" t="s">
        <v>185</v>
      </c>
      <c r="C122" s="108" t="s">
        <v>600</v>
      </c>
      <c r="D122" s="17" t="s">
        <v>54</v>
      </c>
      <c r="E122" s="24" t="s">
        <v>224</v>
      </c>
      <c r="F122" s="109" t="s">
        <v>186</v>
      </c>
      <c r="G122" s="109" t="s">
        <v>23</v>
      </c>
      <c r="H122" s="126">
        <v>699600</v>
      </c>
      <c r="I122" s="77">
        <v>699600</v>
      </c>
      <c r="J122" s="68">
        <v>0.02</v>
      </c>
      <c r="K122" s="33">
        <v>13992</v>
      </c>
      <c r="L122" s="18">
        <v>45879</v>
      </c>
      <c r="M122" s="18">
        <v>45889</v>
      </c>
      <c r="N122" s="115" t="s">
        <v>344</v>
      </c>
      <c r="O122" s="128">
        <v>4</v>
      </c>
      <c r="P122" s="128"/>
      <c r="Q122" s="128"/>
      <c r="R122" s="73"/>
      <c r="S122" s="21"/>
      <c r="T122" s="48" t="s">
        <v>430</v>
      </c>
      <c r="U122" s="46" t="s">
        <v>430</v>
      </c>
      <c r="V122" s="71" t="s">
        <v>430</v>
      </c>
      <c r="W122" s="72" t="s">
        <v>39</v>
      </c>
    </row>
    <row r="123" spans="1:23" s="84" customFormat="1" ht="23.25" customHeight="1">
      <c r="A123" s="26" t="s">
        <v>430</v>
      </c>
      <c r="B123" s="107" t="s">
        <v>226</v>
      </c>
      <c r="C123" s="108" t="s">
        <v>602</v>
      </c>
      <c r="D123" s="17" t="s">
        <v>54</v>
      </c>
      <c r="E123" s="24" t="s">
        <v>227</v>
      </c>
      <c r="F123" s="109" t="s">
        <v>228</v>
      </c>
      <c r="G123" s="109" t="s">
        <v>23</v>
      </c>
      <c r="H123" s="126">
        <v>2038200</v>
      </c>
      <c r="I123" s="77">
        <v>2038200</v>
      </c>
      <c r="J123" s="68">
        <v>0.02</v>
      </c>
      <c r="K123" s="33">
        <v>40764</v>
      </c>
      <c r="L123" s="18">
        <v>45879</v>
      </c>
      <c r="M123" s="18">
        <v>45889</v>
      </c>
      <c r="N123" s="115" t="s">
        <v>344</v>
      </c>
      <c r="O123" s="128">
        <v>3</v>
      </c>
      <c r="P123" s="128"/>
      <c r="Q123" s="128"/>
      <c r="R123" s="73"/>
      <c r="S123" s="21"/>
      <c r="T123" s="48" t="s">
        <v>430</v>
      </c>
      <c r="U123" s="46" t="s">
        <v>430</v>
      </c>
      <c r="V123" s="71" t="s">
        <v>430</v>
      </c>
      <c r="W123" s="72" t="s">
        <v>39</v>
      </c>
    </row>
    <row r="124" spans="1:23" s="84" customFormat="1" ht="23.25" customHeight="1">
      <c r="A124" s="26" t="s">
        <v>430</v>
      </c>
      <c r="B124" s="107" t="s">
        <v>229</v>
      </c>
      <c r="C124" s="108" t="s">
        <v>603</v>
      </c>
      <c r="D124" s="17" t="s">
        <v>54</v>
      </c>
      <c r="E124" s="24" t="s">
        <v>227</v>
      </c>
      <c r="F124" s="109" t="s">
        <v>230</v>
      </c>
      <c r="G124" s="109" t="s">
        <v>23</v>
      </c>
      <c r="H124" s="126">
        <v>14980600</v>
      </c>
      <c r="I124" s="77">
        <v>14980600</v>
      </c>
      <c r="J124" s="68">
        <v>0.02</v>
      </c>
      <c r="K124" s="33">
        <v>299612</v>
      </c>
      <c r="L124" s="18">
        <v>45879</v>
      </c>
      <c r="M124" s="18">
        <v>45889</v>
      </c>
      <c r="N124" s="115" t="s">
        <v>344</v>
      </c>
      <c r="O124" s="128">
        <v>14</v>
      </c>
      <c r="P124" s="128"/>
      <c r="Q124" s="128"/>
      <c r="R124" s="73"/>
      <c r="S124" s="21"/>
      <c r="T124" s="48" t="s">
        <v>430</v>
      </c>
      <c r="U124" s="46" t="s">
        <v>430</v>
      </c>
      <c r="V124" s="71" t="s">
        <v>430</v>
      </c>
      <c r="W124" s="72" t="s">
        <v>39</v>
      </c>
    </row>
    <row r="125" spans="1:23" s="84" customFormat="1" ht="23.25" customHeight="1">
      <c r="A125" s="26" t="s">
        <v>430</v>
      </c>
      <c r="B125" s="107" t="s">
        <v>231</v>
      </c>
      <c r="C125" s="108" t="s">
        <v>490</v>
      </c>
      <c r="D125" s="17" t="s">
        <v>54</v>
      </c>
      <c r="E125" s="24" t="s">
        <v>227</v>
      </c>
      <c r="F125" s="109" t="s">
        <v>232</v>
      </c>
      <c r="G125" s="109" t="s">
        <v>23</v>
      </c>
      <c r="H125" s="126">
        <v>3807400</v>
      </c>
      <c r="I125" s="77">
        <v>3807400</v>
      </c>
      <c r="J125" s="68">
        <v>0.02</v>
      </c>
      <c r="K125" s="33">
        <v>76148</v>
      </c>
      <c r="L125" s="18">
        <v>45879</v>
      </c>
      <c r="M125" s="18">
        <v>45889</v>
      </c>
      <c r="N125" s="115" t="s">
        <v>344</v>
      </c>
      <c r="O125" s="128">
        <v>3</v>
      </c>
      <c r="P125" s="128"/>
      <c r="Q125" s="128"/>
      <c r="R125" s="73"/>
      <c r="S125" s="21"/>
      <c r="T125" s="48" t="s">
        <v>430</v>
      </c>
      <c r="U125" s="46" t="s">
        <v>430</v>
      </c>
      <c r="V125" s="71" t="s">
        <v>430</v>
      </c>
      <c r="W125" s="72" t="s">
        <v>39</v>
      </c>
    </row>
    <row r="126" spans="1:23" s="84" customFormat="1" ht="23.25" customHeight="1">
      <c r="A126" s="26" t="s">
        <v>430</v>
      </c>
      <c r="B126" s="107" t="s">
        <v>235</v>
      </c>
      <c r="C126" s="108" t="s">
        <v>490</v>
      </c>
      <c r="D126" s="17" t="s">
        <v>54</v>
      </c>
      <c r="E126" s="24" t="s">
        <v>222</v>
      </c>
      <c r="F126" s="109" t="s">
        <v>236</v>
      </c>
      <c r="G126" s="109" t="s">
        <v>23</v>
      </c>
      <c r="H126" s="126">
        <v>1504200</v>
      </c>
      <c r="I126" s="77">
        <v>1504200</v>
      </c>
      <c r="J126" s="68">
        <v>0.02</v>
      </c>
      <c r="K126" s="33">
        <v>30084</v>
      </c>
      <c r="L126" s="18">
        <v>45879</v>
      </c>
      <c r="M126" s="18">
        <v>45889</v>
      </c>
      <c r="N126" s="115" t="s">
        <v>344</v>
      </c>
      <c r="O126" s="128">
        <v>1</v>
      </c>
      <c r="P126" s="128"/>
      <c r="Q126" s="128"/>
      <c r="R126" s="73"/>
      <c r="S126" s="21"/>
      <c r="T126" s="48" t="s">
        <v>430</v>
      </c>
      <c r="U126" s="46" t="s">
        <v>430</v>
      </c>
      <c r="V126" s="71" t="s">
        <v>430</v>
      </c>
      <c r="W126" s="72" t="s">
        <v>39</v>
      </c>
    </row>
    <row r="127" spans="1:23" s="84" customFormat="1" ht="23.25" customHeight="1">
      <c r="A127" s="26" t="s">
        <v>430</v>
      </c>
      <c r="B127" s="107" t="s">
        <v>185</v>
      </c>
      <c r="C127" s="108" t="s">
        <v>600</v>
      </c>
      <c r="D127" s="17" t="s">
        <v>54</v>
      </c>
      <c r="E127" s="24" t="s">
        <v>224</v>
      </c>
      <c r="F127" s="109" t="s">
        <v>186</v>
      </c>
      <c r="G127" s="109" t="s">
        <v>23</v>
      </c>
      <c r="H127" s="126">
        <v>70918900</v>
      </c>
      <c r="I127" s="77">
        <v>70918900</v>
      </c>
      <c r="J127" s="68">
        <v>0.02</v>
      </c>
      <c r="K127" s="33">
        <v>1418378</v>
      </c>
      <c r="L127" s="18">
        <v>45880</v>
      </c>
      <c r="M127" s="18">
        <v>45890</v>
      </c>
      <c r="N127" s="115" t="s">
        <v>344</v>
      </c>
      <c r="O127" s="128">
        <v>19</v>
      </c>
      <c r="P127" s="128"/>
      <c r="Q127" s="128"/>
      <c r="R127" s="73"/>
      <c r="S127" s="21"/>
      <c r="T127" s="48" t="s">
        <v>430</v>
      </c>
      <c r="U127" s="46" t="s">
        <v>430</v>
      </c>
      <c r="V127" s="71" t="s">
        <v>430</v>
      </c>
      <c r="W127" s="72" t="s">
        <v>39</v>
      </c>
    </row>
    <row r="128" spans="1:23" s="84" customFormat="1" ht="23.25" customHeight="1">
      <c r="A128" s="26" t="s">
        <v>430</v>
      </c>
      <c r="B128" s="107" t="s">
        <v>226</v>
      </c>
      <c r="C128" s="108" t="s">
        <v>602</v>
      </c>
      <c r="D128" s="17" t="s">
        <v>54</v>
      </c>
      <c r="E128" s="24" t="s">
        <v>227</v>
      </c>
      <c r="F128" s="109" t="s">
        <v>228</v>
      </c>
      <c r="G128" s="109" t="s">
        <v>23</v>
      </c>
      <c r="H128" s="126">
        <v>5814000</v>
      </c>
      <c r="I128" s="77">
        <v>5814000</v>
      </c>
      <c r="J128" s="68">
        <v>0.02</v>
      </c>
      <c r="K128" s="33">
        <v>116280</v>
      </c>
      <c r="L128" s="18">
        <v>45880</v>
      </c>
      <c r="M128" s="18">
        <v>45890</v>
      </c>
      <c r="N128" s="115" t="s">
        <v>344</v>
      </c>
      <c r="O128" s="128">
        <v>12</v>
      </c>
      <c r="P128" s="128"/>
      <c r="Q128" s="128"/>
      <c r="R128" s="73"/>
      <c r="S128" s="21"/>
      <c r="T128" s="48" t="s">
        <v>430</v>
      </c>
      <c r="U128" s="46" t="s">
        <v>430</v>
      </c>
      <c r="V128" s="71" t="s">
        <v>430</v>
      </c>
      <c r="W128" s="72" t="s">
        <v>39</v>
      </c>
    </row>
    <row r="129" spans="1:23" s="84" customFormat="1" ht="23.25" customHeight="1">
      <c r="A129" s="26" t="s">
        <v>430</v>
      </c>
      <c r="B129" s="107" t="s">
        <v>229</v>
      </c>
      <c r="C129" s="108" t="s">
        <v>603</v>
      </c>
      <c r="D129" s="17" t="s">
        <v>54</v>
      </c>
      <c r="E129" s="24" t="s">
        <v>227</v>
      </c>
      <c r="F129" s="109" t="s">
        <v>230</v>
      </c>
      <c r="G129" s="109" t="s">
        <v>23</v>
      </c>
      <c r="H129" s="126">
        <v>56884300</v>
      </c>
      <c r="I129" s="77">
        <v>56884300</v>
      </c>
      <c r="J129" s="68">
        <v>0.02</v>
      </c>
      <c r="K129" s="33">
        <v>1137686</v>
      </c>
      <c r="L129" s="18">
        <v>45880</v>
      </c>
      <c r="M129" s="18">
        <v>45890</v>
      </c>
      <c r="N129" s="115" t="s">
        <v>344</v>
      </c>
      <c r="O129" s="128">
        <v>27</v>
      </c>
      <c r="P129" s="128"/>
      <c r="Q129" s="128"/>
      <c r="R129" s="73"/>
      <c r="S129" s="21"/>
      <c r="T129" s="48" t="s">
        <v>430</v>
      </c>
      <c r="U129" s="46" t="s">
        <v>430</v>
      </c>
      <c r="V129" s="71" t="s">
        <v>430</v>
      </c>
      <c r="W129" s="72" t="s">
        <v>39</v>
      </c>
    </row>
    <row r="130" spans="1:23" s="84" customFormat="1" ht="23.25" customHeight="1">
      <c r="A130" s="26" t="s">
        <v>430</v>
      </c>
      <c r="B130" s="107" t="s">
        <v>233</v>
      </c>
      <c r="C130" s="108" t="s">
        <v>604</v>
      </c>
      <c r="D130" s="17" t="s">
        <v>54</v>
      </c>
      <c r="E130" s="24" t="s">
        <v>222</v>
      </c>
      <c r="F130" s="109" t="s">
        <v>234</v>
      </c>
      <c r="G130" s="109" t="s">
        <v>23</v>
      </c>
      <c r="H130" s="126">
        <v>3384500</v>
      </c>
      <c r="I130" s="77">
        <v>3384500</v>
      </c>
      <c r="J130" s="68">
        <v>0.02</v>
      </c>
      <c r="K130" s="33">
        <v>67690</v>
      </c>
      <c r="L130" s="18">
        <v>45880</v>
      </c>
      <c r="M130" s="18">
        <v>45890</v>
      </c>
      <c r="N130" s="115" t="s">
        <v>344</v>
      </c>
      <c r="O130" s="128">
        <v>3</v>
      </c>
      <c r="P130" s="128"/>
      <c r="Q130" s="128"/>
      <c r="R130" s="73"/>
      <c r="S130" s="21"/>
      <c r="T130" s="48" t="s">
        <v>430</v>
      </c>
      <c r="U130" s="46" t="s">
        <v>430</v>
      </c>
      <c r="V130" s="71" t="s">
        <v>430</v>
      </c>
      <c r="W130" s="72" t="s">
        <v>39</v>
      </c>
    </row>
    <row r="131" spans="1:23" s="84" customFormat="1" ht="23.25" customHeight="1">
      <c r="A131" s="26" t="s">
        <v>430</v>
      </c>
      <c r="B131" s="107" t="s">
        <v>102</v>
      </c>
      <c r="C131" s="108" t="s">
        <v>598</v>
      </c>
      <c r="D131" s="17" t="s">
        <v>54</v>
      </c>
      <c r="E131" s="24" t="s">
        <v>222</v>
      </c>
      <c r="F131" s="109" t="s">
        <v>103</v>
      </c>
      <c r="G131" s="109" t="s">
        <v>23</v>
      </c>
      <c r="H131" s="126">
        <v>6006200</v>
      </c>
      <c r="I131" s="77">
        <v>6006200</v>
      </c>
      <c r="J131" s="68">
        <v>0.05</v>
      </c>
      <c r="K131" s="33">
        <v>300310</v>
      </c>
      <c r="L131" s="18">
        <v>45881</v>
      </c>
      <c r="M131" s="18">
        <v>45891</v>
      </c>
      <c r="N131" s="115" t="s">
        <v>344</v>
      </c>
      <c r="O131" s="128">
        <v>10</v>
      </c>
      <c r="P131" s="128"/>
      <c r="Q131" s="128"/>
      <c r="R131" s="73"/>
      <c r="S131" s="21"/>
      <c r="T131" s="48" t="s">
        <v>430</v>
      </c>
      <c r="U131" s="46" t="s">
        <v>430</v>
      </c>
      <c r="V131" s="71" t="s">
        <v>430</v>
      </c>
      <c r="W131" s="72" t="s">
        <v>39</v>
      </c>
    </row>
    <row r="132" spans="1:23" s="84" customFormat="1" ht="23.25" customHeight="1">
      <c r="A132" s="26" t="s">
        <v>430</v>
      </c>
      <c r="B132" s="107" t="s">
        <v>108</v>
      </c>
      <c r="C132" s="108" t="s">
        <v>599</v>
      </c>
      <c r="D132" s="17" t="s">
        <v>54</v>
      </c>
      <c r="E132" s="24" t="s">
        <v>223</v>
      </c>
      <c r="F132" s="109" t="s">
        <v>109</v>
      </c>
      <c r="G132" s="109" t="s">
        <v>23</v>
      </c>
      <c r="H132" s="126">
        <v>159400</v>
      </c>
      <c r="I132" s="77">
        <v>159400</v>
      </c>
      <c r="J132" s="68">
        <v>0.1</v>
      </c>
      <c r="K132" s="33">
        <v>15940</v>
      </c>
      <c r="L132" s="18">
        <v>45881</v>
      </c>
      <c r="M132" s="18">
        <v>45891</v>
      </c>
      <c r="N132" s="115" t="s">
        <v>344</v>
      </c>
      <c r="O132" s="128">
        <v>2</v>
      </c>
      <c r="P132" s="128"/>
      <c r="Q132" s="128"/>
      <c r="R132" s="73"/>
      <c r="S132" s="21"/>
      <c r="T132" s="48" t="s">
        <v>430</v>
      </c>
      <c r="U132" s="46" t="s">
        <v>430</v>
      </c>
      <c r="V132" s="71" t="s">
        <v>430</v>
      </c>
      <c r="W132" s="72" t="s">
        <v>39</v>
      </c>
    </row>
    <row r="133" spans="1:23" s="84" customFormat="1" ht="23.25" customHeight="1">
      <c r="A133" s="26" t="s">
        <v>430</v>
      </c>
      <c r="B133" s="107" t="s">
        <v>226</v>
      </c>
      <c r="C133" s="108" t="s">
        <v>602</v>
      </c>
      <c r="D133" s="17" t="s">
        <v>54</v>
      </c>
      <c r="E133" s="24" t="s">
        <v>227</v>
      </c>
      <c r="F133" s="109" t="s">
        <v>228</v>
      </c>
      <c r="G133" s="109" t="s">
        <v>23</v>
      </c>
      <c r="H133" s="126">
        <v>3428800</v>
      </c>
      <c r="I133" s="77">
        <v>3428800</v>
      </c>
      <c r="J133" s="68">
        <v>0.02</v>
      </c>
      <c r="K133" s="33">
        <v>68576</v>
      </c>
      <c r="L133" s="18">
        <v>45881</v>
      </c>
      <c r="M133" s="18">
        <v>45891</v>
      </c>
      <c r="N133" s="115" t="s">
        <v>344</v>
      </c>
      <c r="O133" s="128">
        <v>10</v>
      </c>
      <c r="P133" s="128"/>
      <c r="Q133" s="128"/>
      <c r="R133" s="73"/>
      <c r="S133" s="21"/>
      <c r="T133" s="48" t="s">
        <v>430</v>
      </c>
      <c r="U133" s="46" t="s">
        <v>430</v>
      </c>
      <c r="V133" s="71" t="s">
        <v>430</v>
      </c>
      <c r="W133" s="72" t="s">
        <v>39</v>
      </c>
    </row>
    <row r="134" spans="1:23" s="84" customFormat="1" ht="23.25" customHeight="1">
      <c r="A134" s="26" t="s">
        <v>430</v>
      </c>
      <c r="B134" s="107" t="s">
        <v>229</v>
      </c>
      <c r="C134" s="108" t="s">
        <v>603</v>
      </c>
      <c r="D134" s="17" t="s">
        <v>54</v>
      </c>
      <c r="E134" s="24" t="s">
        <v>227</v>
      </c>
      <c r="F134" s="109" t="s">
        <v>230</v>
      </c>
      <c r="G134" s="109" t="s">
        <v>23</v>
      </c>
      <c r="H134" s="126">
        <v>15169700</v>
      </c>
      <c r="I134" s="77">
        <v>15169700</v>
      </c>
      <c r="J134" s="68">
        <v>0.02</v>
      </c>
      <c r="K134" s="33">
        <v>303394</v>
      </c>
      <c r="L134" s="18">
        <v>45881</v>
      </c>
      <c r="M134" s="18">
        <v>45891</v>
      </c>
      <c r="N134" s="115" t="s">
        <v>344</v>
      </c>
      <c r="O134" s="128">
        <v>16</v>
      </c>
      <c r="P134" s="128"/>
      <c r="Q134" s="128"/>
      <c r="R134" s="73"/>
      <c r="S134" s="21"/>
      <c r="T134" s="48" t="s">
        <v>430</v>
      </c>
      <c r="U134" s="46" t="s">
        <v>430</v>
      </c>
      <c r="V134" s="71" t="s">
        <v>430</v>
      </c>
      <c r="W134" s="72" t="s">
        <v>39</v>
      </c>
    </row>
    <row r="135" spans="1:23" s="84" customFormat="1" ht="23.25" customHeight="1">
      <c r="A135" s="26" t="s">
        <v>430</v>
      </c>
      <c r="B135" s="107" t="s">
        <v>231</v>
      </c>
      <c r="C135" s="108" t="s">
        <v>490</v>
      </c>
      <c r="D135" s="17" t="s">
        <v>54</v>
      </c>
      <c r="E135" s="24" t="s">
        <v>227</v>
      </c>
      <c r="F135" s="109" t="s">
        <v>232</v>
      </c>
      <c r="G135" s="109" t="s">
        <v>23</v>
      </c>
      <c r="H135" s="126">
        <v>2508800</v>
      </c>
      <c r="I135" s="77">
        <v>2508800</v>
      </c>
      <c r="J135" s="68">
        <v>0.02</v>
      </c>
      <c r="K135" s="33">
        <v>50176</v>
      </c>
      <c r="L135" s="18">
        <v>45881</v>
      </c>
      <c r="M135" s="18">
        <v>45891</v>
      </c>
      <c r="N135" s="115" t="s">
        <v>344</v>
      </c>
      <c r="O135" s="128">
        <v>4</v>
      </c>
      <c r="P135" s="128"/>
      <c r="Q135" s="128"/>
      <c r="R135" s="73"/>
      <c r="S135" s="21"/>
      <c r="T135" s="48" t="s">
        <v>430</v>
      </c>
      <c r="U135" s="46" t="s">
        <v>430</v>
      </c>
      <c r="V135" s="71" t="s">
        <v>430</v>
      </c>
      <c r="W135" s="72" t="s">
        <v>39</v>
      </c>
    </row>
    <row r="136" spans="1:23" s="84" customFormat="1" ht="23.25" customHeight="1">
      <c r="A136" s="26" t="s">
        <v>430</v>
      </c>
      <c r="B136" s="107" t="s">
        <v>235</v>
      </c>
      <c r="C136" s="108" t="s">
        <v>490</v>
      </c>
      <c r="D136" s="17" t="s">
        <v>54</v>
      </c>
      <c r="E136" s="24" t="s">
        <v>222</v>
      </c>
      <c r="F136" s="109" t="s">
        <v>236</v>
      </c>
      <c r="G136" s="109" t="s">
        <v>23</v>
      </c>
      <c r="H136" s="126">
        <v>4045500</v>
      </c>
      <c r="I136" s="77">
        <v>4045500</v>
      </c>
      <c r="J136" s="68">
        <v>0.02</v>
      </c>
      <c r="K136" s="33">
        <v>80910</v>
      </c>
      <c r="L136" s="18">
        <v>45881</v>
      </c>
      <c r="M136" s="18">
        <v>45891</v>
      </c>
      <c r="N136" s="115" t="s">
        <v>344</v>
      </c>
      <c r="O136" s="128">
        <v>1</v>
      </c>
      <c r="P136" s="128"/>
      <c r="Q136" s="128"/>
      <c r="R136" s="73"/>
      <c r="S136" s="21"/>
      <c r="T136" s="48" t="s">
        <v>430</v>
      </c>
      <c r="U136" s="46" t="s">
        <v>430</v>
      </c>
      <c r="V136" s="71" t="s">
        <v>430</v>
      </c>
      <c r="W136" s="72" t="s">
        <v>39</v>
      </c>
    </row>
    <row r="137" spans="1:23" s="84" customFormat="1" ht="23.25" customHeight="1">
      <c r="A137" s="26" t="s">
        <v>430</v>
      </c>
      <c r="B137" s="107" t="s">
        <v>108</v>
      </c>
      <c r="C137" s="108" t="s">
        <v>599</v>
      </c>
      <c r="D137" s="17" t="s">
        <v>54</v>
      </c>
      <c r="E137" s="24" t="s">
        <v>223</v>
      </c>
      <c r="F137" s="109" t="s">
        <v>109</v>
      </c>
      <c r="G137" s="109" t="s">
        <v>23</v>
      </c>
      <c r="H137" s="126">
        <v>9205300</v>
      </c>
      <c r="I137" s="77">
        <v>9205300</v>
      </c>
      <c r="J137" s="68">
        <v>0.1</v>
      </c>
      <c r="K137" s="33">
        <v>920530</v>
      </c>
      <c r="L137" s="18">
        <v>45882</v>
      </c>
      <c r="M137" s="18">
        <v>45892</v>
      </c>
      <c r="N137" s="115" t="s">
        <v>344</v>
      </c>
      <c r="O137" s="128">
        <v>3</v>
      </c>
      <c r="P137" s="128"/>
      <c r="Q137" s="128"/>
      <c r="R137" s="73"/>
      <c r="S137" s="21"/>
      <c r="T137" s="48" t="s">
        <v>430</v>
      </c>
      <c r="U137" s="46" t="s">
        <v>430</v>
      </c>
      <c r="V137" s="71" t="s">
        <v>430</v>
      </c>
      <c r="W137" s="72" t="s">
        <v>39</v>
      </c>
    </row>
    <row r="138" spans="1:23" s="84" customFormat="1" ht="23.25" customHeight="1">
      <c r="A138" s="26" t="s">
        <v>430</v>
      </c>
      <c r="B138" s="107" t="s">
        <v>187</v>
      </c>
      <c r="C138" s="108" t="s">
        <v>601</v>
      </c>
      <c r="D138" s="17" t="s">
        <v>54</v>
      </c>
      <c r="E138" s="24" t="s">
        <v>222</v>
      </c>
      <c r="F138" s="109" t="s">
        <v>188</v>
      </c>
      <c r="G138" s="109" t="s">
        <v>23</v>
      </c>
      <c r="H138" s="126">
        <v>3560100</v>
      </c>
      <c r="I138" s="77">
        <v>3560100</v>
      </c>
      <c r="J138" s="68">
        <v>0.02</v>
      </c>
      <c r="K138" s="33">
        <v>71202</v>
      </c>
      <c r="L138" s="18">
        <v>45882</v>
      </c>
      <c r="M138" s="18">
        <v>45892</v>
      </c>
      <c r="N138" s="115" t="s">
        <v>344</v>
      </c>
      <c r="O138" s="128">
        <v>3</v>
      </c>
      <c r="P138" s="128"/>
      <c r="Q138" s="128"/>
      <c r="R138" s="73"/>
      <c r="S138" s="21"/>
      <c r="T138" s="48" t="s">
        <v>430</v>
      </c>
      <c r="U138" s="46" t="s">
        <v>430</v>
      </c>
      <c r="V138" s="71" t="s">
        <v>430</v>
      </c>
      <c r="W138" s="72" t="s">
        <v>39</v>
      </c>
    </row>
    <row r="139" spans="1:23" s="84" customFormat="1" ht="23.25" customHeight="1">
      <c r="A139" s="26" t="s">
        <v>430</v>
      </c>
      <c r="B139" s="107" t="s">
        <v>229</v>
      </c>
      <c r="C139" s="108" t="s">
        <v>603</v>
      </c>
      <c r="D139" s="17" t="s">
        <v>54</v>
      </c>
      <c r="E139" s="24" t="s">
        <v>227</v>
      </c>
      <c r="F139" s="109" t="s">
        <v>230</v>
      </c>
      <c r="G139" s="109" t="s">
        <v>23</v>
      </c>
      <c r="H139" s="126">
        <v>6102500</v>
      </c>
      <c r="I139" s="77">
        <v>6102500</v>
      </c>
      <c r="J139" s="68">
        <v>0.02</v>
      </c>
      <c r="K139" s="33">
        <v>122050</v>
      </c>
      <c r="L139" s="18">
        <v>45882</v>
      </c>
      <c r="M139" s="18">
        <v>45892</v>
      </c>
      <c r="N139" s="115" t="s">
        <v>344</v>
      </c>
      <c r="O139" s="128">
        <v>8</v>
      </c>
      <c r="P139" s="128"/>
      <c r="Q139" s="128"/>
      <c r="R139" s="73"/>
      <c r="S139" s="21"/>
      <c r="T139" s="48" t="s">
        <v>430</v>
      </c>
      <c r="U139" s="46" t="s">
        <v>430</v>
      </c>
      <c r="V139" s="71" t="s">
        <v>430</v>
      </c>
      <c r="W139" s="72" t="s">
        <v>39</v>
      </c>
    </row>
    <row r="140" spans="1:23" s="84" customFormat="1" ht="23.25" customHeight="1">
      <c r="A140" s="26" t="s">
        <v>430</v>
      </c>
      <c r="B140" s="107" t="s">
        <v>231</v>
      </c>
      <c r="C140" s="108" t="s">
        <v>490</v>
      </c>
      <c r="D140" s="17" t="s">
        <v>54</v>
      </c>
      <c r="E140" s="24" t="s">
        <v>227</v>
      </c>
      <c r="F140" s="109" t="s">
        <v>232</v>
      </c>
      <c r="G140" s="109" t="s">
        <v>23</v>
      </c>
      <c r="H140" s="126">
        <v>937100</v>
      </c>
      <c r="I140" s="77">
        <v>937100</v>
      </c>
      <c r="J140" s="68">
        <v>0.02</v>
      </c>
      <c r="K140" s="33">
        <v>18742</v>
      </c>
      <c r="L140" s="18">
        <v>45882</v>
      </c>
      <c r="M140" s="18">
        <v>45892</v>
      </c>
      <c r="N140" s="115" t="s">
        <v>344</v>
      </c>
      <c r="O140" s="128">
        <v>1</v>
      </c>
      <c r="P140" s="128"/>
      <c r="Q140" s="128"/>
      <c r="R140" s="73"/>
      <c r="S140" s="21"/>
      <c r="T140" s="48" t="s">
        <v>430</v>
      </c>
      <c r="U140" s="46" t="s">
        <v>430</v>
      </c>
      <c r="V140" s="71" t="s">
        <v>430</v>
      </c>
      <c r="W140" s="72" t="s">
        <v>39</v>
      </c>
    </row>
    <row r="141" spans="1:23" s="84" customFormat="1" ht="23.25" customHeight="1">
      <c r="A141" s="26" t="s">
        <v>430</v>
      </c>
      <c r="B141" s="107" t="s">
        <v>233</v>
      </c>
      <c r="C141" s="108" t="s">
        <v>604</v>
      </c>
      <c r="D141" s="17" t="s">
        <v>54</v>
      </c>
      <c r="E141" s="24" t="s">
        <v>222</v>
      </c>
      <c r="F141" s="109" t="s">
        <v>234</v>
      </c>
      <c r="G141" s="109" t="s">
        <v>23</v>
      </c>
      <c r="H141" s="126">
        <v>2600900</v>
      </c>
      <c r="I141" s="77">
        <v>2600900</v>
      </c>
      <c r="J141" s="68">
        <v>0.02</v>
      </c>
      <c r="K141" s="33">
        <v>52018</v>
      </c>
      <c r="L141" s="18">
        <v>45882</v>
      </c>
      <c r="M141" s="18">
        <v>45892</v>
      </c>
      <c r="N141" s="115" t="s">
        <v>344</v>
      </c>
      <c r="O141" s="128">
        <v>7</v>
      </c>
      <c r="P141" s="128"/>
      <c r="Q141" s="128"/>
      <c r="R141" s="73"/>
      <c r="S141" s="21"/>
      <c r="T141" s="48" t="s">
        <v>430</v>
      </c>
      <c r="U141" s="46" t="s">
        <v>430</v>
      </c>
      <c r="V141" s="71" t="s">
        <v>430</v>
      </c>
      <c r="W141" s="72" t="s">
        <v>39</v>
      </c>
    </row>
    <row r="142" spans="1:23" s="84" customFormat="1" ht="23.25" customHeight="1">
      <c r="A142" s="26" t="s">
        <v>430</v>
      </c>
      <c r="B142" s="107" t="s">
        <v>226</v>
      </c>
      <c r="C142" s="108" t="s">
        <v>602</v>
      </c>
      <c r="D142" s="17" t="s">
        <v>54</v>
      </c>
      <c r="E142" s="24" t="s">
        <v>227</v>
      </c>
      <c r="F142" s="109" t="s">
        <v>228</v>
      </c>
      <c r="G142" s="109" t="s">
        <v>23</v>
      </c>
      <c r="H142" s="126">
        <v>1416600</v>
      </c>
      <c r="I142" s="77">
        <v>1416600</v>
      </c>
      <c r="J142" s="68">
        <v>0.02</v>
      </c>
      <c r="K142" s="33">
        <v>28332</v>
      </c>
      <c r="L142" s="18">
        <v>45883</v>
      </c>
      <c r="M142" s="18">
        <v>45893</v>
      </c>
      <c r="N142" s="115" t="s">
        <v>344</v>
      </c>
      <c r="O142" s="128">
        <v>3</v>
      </c>
      <c r="P142" s="128"/>
      <c r="Q142" s="128"/>
      <c r="R142" s="73"/>
      <c r="S142" s="21"/>
      <c r="T142" s="48" t="s">
        <v>430</v>
      </c>
      <c r="U142" s="46" t="s">
        <v>430</v>
      </c>
      <c r="V142" s="71" t="s">
        <v>430</v>
      </c>
      <c r="W142" s="72" t="s">
        <v>39</v>
      </c>
    </row>
    <row r="143" spans="1:23" s="84" customFormat="1" ht="23.25" customHeight="1">
      <c r="A143" s="26" t="s">
        <v>430</v>
      </c>
      <c r="B143" s="107" t="s">
        <v>226</v>
      </c>
      <c r="C143" s="108" t="s">
        <v>602</v>
      </c>
      <c r="D143" s="17" t="s">
        <v>54</v>
      </c>
      <c r="E143" s="24" t="s">
        <v>227</v>
      </c>
      <c r="F143" s="109" t="s">
        <v>228</v>
      </c>
      <c r="G143" s="109" t="s">
        <v>23</v>
      </c>
      <c r="H143" s="126">
        <v>845400</v>
      </c>
      <c r="I143" s="77">
        <v>845400</v>
      </c>
      <c r="J143" s="68">
        <v>0.02</v>
      </c>
      <c r="K143" s="33">
        <v>16908</v>
      </c>
      <c r="L143" s="18">
        <v>45884</v>
      </c>
      <c r="M143" s="18">
        <v>45894</v>
      </c>
      <c r="N143" s="115" t="s">
        <v>344</v>
      </c>
      <c r="O143" s="128">
        <v>9</v>
      </c>
      <c r="P143" s="128"/>
      <c r="Q143" s="128"/>
      <c r="R143" s="73"/>
      <c r="S143" s="21"/>
      <c r="T143" s="48" t="s">
        <v>430</v>
      </c>
      <c r="U143" s="46" t="s">
        <v>430</v>
      </c>
      <c r="V143" s="71" t="s">
        <v>430</v>
      </c>
      <c r="W143" s="72" t="s">
        <v>39</v>
      </c>
    </row>
    <row r="144" spans="1:23" s="84" customFormat="1" ht="23.25" customHeight="1">
      <c r="A144" s="26" t="s">
        <v>430</v>
      </c>
      <c r="B144" s="107" t="s">
        <v>102</v>
      </c>
      <c r="C144" s="108" t="s">
        <v>598</v>
      </c>
      <c r="D144" s="17" t="s">
        <v>54</v>
      </c>
      <c r="E144" s="24" t="s">
        <v>222</v>
      </c>
      <c r="F144" s="109" t="s">
        <v>103</v>
      </c>
      <c r="G144" s="109" t="s">
        <v>23</v>
      </c>
      <c r="H144" s="126">
        <v>2051700</v>
      </c>
      <c r="I144" s="77">
        <v>2051700</v>
      </c>
      <c r="J144" s="68">
        <v>0.05</v>
      </c>
      <c r="K144" s="33">
        <v>102585</v>
      </c>
      <c r="L144" s="18">
        <v>45885</v>
      </c>
      <c r="M144" s="18">
        <v>45895</v>
      </c>
      <c r="N144" s="115" t="s">
        <v>344</v>
      </c>
      <c r="O144" s="128">
        <v>14</v>
      </c>
      <c r="P144" s="128"/>
      <c r="Q144" s="128"/>
      <c r="R144" s="73"/>
      <c r="S144" s="21"/>
      <c r="T144" s="48" t="s">
        <v>430</v>
      </c>
      <c r="U144" s="46" t="s">
        <v>430</v>
      </c>
      <c r="V144" s="71" t="s">
        <v>430</v>
      </c>
      <c r="W144" s="72" t="s">
        <v>39</v>
      </c>
    </row>
    <row r="145" spans="1:23" s="84" customFormat="1" ht="23.25" customHeight="1">
      <c r="A145" s="26" t="s">
        <v>430</v>
      </c>
      <c r="B145" s="107" t="s">
        <v>187</v>
      </c>
      <c r="C145" s="108" t="s">
        <v>601</v>
      </c>
      <c r="D145" s="17" t="s">
        <v>54</v>
      </c>
      <c r="E145" s="24" t="s">
        <v>222</v>
      </c>
      <c r="F145" s="109" t="s">
        <v>188</v>
      </c>
      <c r="G145" s="109" t="s">
        <v>23</v>
      </c>
      <c r="H145" s="126">
        <v>2659100</v>
      </c>
      <c r="I145" s="77">
        <v>2659100</v>
      </c>
      <c r="J145" s="68">
        <v>0.02</v>
      </c>
      <c r="K145" s="33">
        <v>53182</v>
      </c>
      <c r="L145" s="18">
        <v>45885</v>
      </c>
      <c r="M145" s="18">
        <v>45895</v>
      </c>
      <c r="N145" s="115" t="s">
        <v>344</v>
      </c>
      <c r="O145" s="128">
        <v>1</v>
      </c>
      <c r="P145" s="128"/>
      <c r="Q145" s="128"/>
      <c r="R145" s="73"/>
      <c r="S145" s="21"/>
      <c r="T145" s="48" t="s">
        <v>430</v>
      </c>
      <c r="U145" s="46" t="s">
        <v>430</v>
      </c>
      <c r="V145" s="71" t="s">
        <v>430</v>
      </c>
      <c r="W145" s="72" t="s">
        <v>39</v>
      </c>
    </row>
    <row r="146" spans="1:23" s="84" customFormat="1" ht="23.25" customHeight="1">
      <c r="A146" s="26" t="s">
        <v>430</v>
      </c>
      <c r="B146" s="107" t="s">
        <v>229</v>
      </c>
      <c r="C146" s="108" t="s">
        <v>603</v>
      </c>
      <c r="D146" s="17" t="s">
        <v>54</v>
      </c>
      <c r="E146" s="24" t="s">
        <v>227</v>
      </c>
      <c r="F146" s="109" t="s">
        <v>230</v>
      </c>
      <c r="G146" s="109" t="s">
        <v>23</v>
      </c>
      <c r="H146" s="126">
        <v>430400</v>
      </c>
      <c r="I146" s="77">
        <v>430400</v>
      </c>
      <c r="J146" s="68">
        <v>0.02</v>
      </c>
      <c r="K146" s="33">
        <v>8608</v>
      </c>
      <c r="L146" s="18">
        <v>45885</v>
      </c>
      <c r="M146" s="18">
        <v>45895</v>
      </c>
      <c r="N146" s="115" t="s">
        <v>344</v>
      </c>
      <c r="O146" s="128">
        <v>4</v>
      </c>
      <c r="P146" s="128"/>
      <c r="Q146" s="128"/>
      <c r="R146" s="73"/>
      <c r="S146" s="21"/>
      <c r="T146" s="48" t="s">
        <v>430</v>
      </c>
      <c r="U146" s="46" t="s">
        <v>430</v>
      </c>
      <c r="V146" s="71" t="s">
        <v>430</v>
      </c>
      <c r="W146" s="72" t="s">
        <v>39</v>
      </c>
    </row>
    <row r="147" spans="1:23" s="84" customFormat="1" ht="23.25" customHeight="1">
      <c r="A147" s="26" t="s">
        <v>430</v>
      </c>
      <c r="B147" s="107" t="s">
        <v>233</v>
      </c>
      <c r="C147" s="108" t="s">
        <v>604</v>
      </c>
      <c r="D147" s="17" t="s">
        <v>54</v>
      </c>
      <c r="E147" s="24" t="s">
        <v>222</v>
      </c>
      <c r="F147" s="109" t="s">
        <v>234</v>
      </c>
      <c r="G147" s="109" t="s">
        <v>23</v>
      </c>
      <c r="H147" s="126">
        <v>6506800</v>
      </c>
      <c r="I147" s="77">
        <v>6506800</v>
      </c>
      <c r="J147" s="68">
        <v>0.02</v>
      </c>
      <c r="K147" s="33">
        <v>130136</v>
      </c>
      <c r="L147" s="18">
        <v>45885</v>
      </c>
      <c r="M147" s="18">
        <v>45895</v>
      </c>
      <c r="N147" s="115" t="s">
        <v>344</v>
      </c>
      <c r="O147" s="128">
        <v>4</v>
      </c>
      <c r="P147" s="128"/>
      <c r="Q147" s="128"/>
      <c r="R147" s="73"/>
      <c r="S147" s="21"/>
      <c r="T147" s="48" t="s">
        <v>430</v>
      </c>
      <c r="U147" s="46" t="s">
        <v>430</v>
      </c>
      <c r="V147" s="71" t="s">
        <v>430</v>
      </c>
      <c r="W147" s="72" t="s">
        <v>39</v>
      </c>
    </row>
    <row r="148" spans="1:23" s="84" customFormat="1" ht="23.25" customHeight="1">
      <c r="A148" s="26" t="s">
        <v>430</v>
      </c>
      <c r="B148" s="107" t="s">
        <v>229</v>
      </c>
      <c r="C148" s="108" t="s">
        <v>603</v>
      </c>
      <c r="D148" s="17" t="s">
        <v>54</v>
      </c>
      <c r="E148" s="24" t="s">
        <v>227</v>
      </c>
      <c r="F148" s="109" t="s">
        <v>230</v>
      </c>
      <c r="G148" s="109" t="s">
        <v>23</v>
      </c>
      <c r="H148" s="126">
        <v>18853600</v>
      </c>
      <c r="I148" s="77">
        <v>18853600</v>
      </c>
      <c r="J148" s="68">
        <v>0.02</v>
      </c>
      <c r="K148" s="33">
        <v>377072</v>
      </c>
      <c r="L148" s="18">
        <v>45886</v>
      </c>
      <c r="M148" s="18">
        <v>45896</v>
      </c>
      <c r="N148" s="115" t="s">
        <v>344</v>
      </c>
      <c r="O148" s="128">
        <v>24</v>
      </c>
      <c r="P148" s="128"/>
      <c r="Q148" s="128"/>
      <c r="R148" s="73"/>
      <c r="S148" s="21"/>
      <c r="T148" s="48" t="s">
        <v>430</v>
      </c>
      <c r="U148" s="46" t="s">
        <v>430</v>
      </c>
      <c r="V148" s="71" t="s">
        <v>430</v>
      </c>
      <c r="W148" s="72" t="s">
        <v>39</v>
      </c>
    </row>
    <row r="149" spans="1:23" s="84" customFormat="1" ht="23.25" customHeight="1">
      <c r="A149" s="26" t="s">
        <v>430</v>
      </c>
      <c r="B149" s="107" t="s">
        <v>108</v>
      </c>
      <c r="C149" s="108" t="s">
        <v>599</v>
      </c>
      <c r="D149" s="17" t="s">
        <v>54</v>
      </c>
      <c r="E149" s="24" t="s">
        <v>223</v>
      </c>
      <c r="F149" s="109" t="s">
        <v>109</v>
      </c>
      <c r="G149" s="109" t="s">
        <v>23</v>
      </c>
      <c r="H149" s="126">
        <v>15406600</v>
      </c>
      <c r="I149" s="77">
        <v>15406600</v>
      </c>
      <c r="J149" s="68">
        <v>0.1</v>
      </c>
      <c r="K149" s="33">
        <v>1540660</v>
      </c>
      <c r="L149" s="18">
        <v>45887</v>
      </c>
      <c r="M149" s="18">
        <v>45897</v>
      </c>
      <c r="N149" s="115" t="s">
        <v>344</v>
      </c>
      <c r="O149" s="128">
        <v>4</v>
      </c>
      <c r="P149" s="128"/>
      <c r="Q149" s="128"/>
      <c r="R149" s="73"/>
      <c r="S149" s="21"/>
      <c r="T149" s="48" t="s">
        <v>430</v>
      </c>
      <c r="U149" s="46" t="s">
        <v>430</v>
      </c>
      <c r="V149" s="71" t="s">
        <v>430</v>
      </c>
      <c r="W149" s="72" t="s">
        <v>39</v>
      </c>
    </row>
    <row r="150" spans="1:23" s="84" customFormat="1" ht="23.25" customHeight="1">
      <c r="A150" s="26" t="s">
        <v>430</v>
      </c>
      <c r="B150" s="107" t="s">
        <v>229</v>
      </c>
      <c r="C150" s="108" t="s">
        <v>603</v>
      </c>
      <c r="D150" s="17" t="s">
        <v>54</v>
      </c>
      <c r="E150" s="24" t="s">
        <v>227</v>
      </c>
      <c r="F150" s="109" t="s">
        <v>230</v>
      </c>
      <c r="G150" s="109" t="s">
        <v>23</v>
      </c>
      <c r="H150" s="126">
        <v>2812900</v>
      </c>
      <c r="I150" s="77">
        <v>2812900</v>
      </c>
      <c r="J150" s="68">
        <v>0.02</v>
      </c>
      <c r="K150" s="33">
        <v>56258</v>
      </c>
      <c r="L150" s="18">
        <v>45887</v>
      </c>
      <c r="M150" s="18">
        <v>45897</v>
      </c>
      <c r="N150" s="115" t="s">
        <v>344</v>
      </c>
      <c r="O150" s="128">
        <v>3</v>
      </c>
      <c r="P150" s="128"/>
      <c r="Q150" s="128"/>
      <c r="R150" s="73"/>
      <c r="S150" s="21"/>
      <c r="T150" s="48" t="s">
        <v>430</v>
      </c>
      <c r="U150" s="46" t="s">
        <v>430</v>
      </c>
      <c r="V150" s="71" t="s">
        <v>430</v>
      </c>
      <c r="W150" s="72" t="s">
        <v>39</v>
      </c>
    </row>
    <row r="151" spans="1:23" s="84" customFormat="1" ht="23.25" customHeight="1">
      <c r="A151" s="26" t="s">
        <v>430</v>
      </c>
      <c r="B151" s="107" t="s">
        <v>233</v>
      </c>
      <c r="C151" s="108" t="s">
        <v>604</v>
      </c>
      <c r="D151" s="17" t="s">
        <v>54</v>
      </c>
      <c r="E151" s="24" t="s">
        <v>222</v>
      </c>
      <c r="F151" s="109" t="s">
        <v>234</v>
      </c>
      <c r="G151" s="109" t="s">
        <v>23</v>
      </c>
      <c r="H151" s="126">
        <v>3401800</v>
      </c>
      <c r="I151" s="77">
        <v>3401800</v>
      </c>
      <c r="J151" s="68">
        <v>0.02</v>
      </c>
      <c r="K151" s="33">
        <v>68036</v>
      </c>
      <c r="L151" s="18">
        <v>45887</v>
      </c>
      <c r="M151" s="18">
        <v>45897</v>
      </c>
      <c r="N151" s="115" t="s">
        <v>344</v>
      </c>
      <c r="O151" s="128">
        <v>4</v>
      </c>
      <c r="P151" s="128"/>
      <c r="Q151" s="128"/>
      <c r="R151" s="73"/>
      <c r="S151" s="21"/>
      <c r="T151" s="48" t="s">
        <v>430</v>
      </c>
      <c r="U151" s="46" t="s">
        <v>430</v>
      </c>
      <c r="V151" s="71" t="s">
        <v>430</v>
      </c>
      <c r="W151" s="72" t="s">
        <v>39</v>
      </c>
    </row>
    <row r="152" spans="1:23" s="84" customFormat="1" ht="23.25" customHeight="1">
      <c r="A152" s="26" t="s">
        <v>430</v>
      </c>
      <c r="B152" s="107" t="s">
        <v>102</v>
      </c>
      <c r="C152" s="108" t="s">
        <v>598</v>
      </c>
      <c r="D152" s="17" t="s">
        <v>54</v>
      </c>
      <c r="E152" s="24" t="s">
        <v>222</v>
      </c>
      <c r="F152" s="109" t="s">
        <v>103</v>
      </c>
      <c r="G152" s="109" t="s">
        <v>23</v>
      </c>
      <c r="H152" s="126">
        <v>4282800</v>
      </c>
      <c r="I152" s="77">
        <v>4282800</v>
      </c>
      <c r="J152" s="68">
        <v>0.05</v>
      </c>
      <c r="K152" s="33">
        <v>214140</v>
      </c>
      <c r="L152" s="18">
        <v>45888</v>
      </c>
      <c r="M152" s="18">
        <v>45898</v>
      </c>
      <c r="N152" s="115" t="s">
        <v>344</v>
      </c>
      <c r="O152" s="128">
        <v>20</v>
      </c>
      <c r="P152" s="128"/>
      <c r="Q152" s="128"/>
      <c r="R152" s="73"/>
      <c r="S152" s="21"/>
      <c r="T152" s="48" t="s">
        <v>430</v>
      </c>
      <c r="U152" s="46" t="s">
        <v>430</v>
      </c>
      <c r="V152" s="71" t="s">
        <v>430</v>
      </c>
      <c r="W152" s="72" t="s">
        <v>39</v>
      </c>
    </row>
    <row r="153" spans="1:23" s="84" customFormat="1" ht="23.25" customHeight="1">
      <c r="A153" s="26" t="s">
        <v>430</v>
      </c>
      <c r="B153" s="107" t="s">
        <v>229</v>
      </c>
      <c r="C153" s="108" t="s">
        <v>603</v>
      </c>
      <c r="D153" s="17" t="s">
        <v>54</v>
      </c>
      <c r="E153" s="24" t="s">
        <v>227</v>
      </c>
      <c r="F153" s="109" t="s">
        <v>230</v>
      </c>
      <c r="G153" s="109" t="s">
        <v>23</v>
      </c>
      <c r="H153" s="126">
        <v>3732200</v>
      </c>
      <c r="I153" s="77">
        <v>3732200</v>
      </c>
      <c r="J153" s="68">
        <v>0.02</v>
      </c>
      <c r="K153" s="33">
        <v>74644</v>
      </c>
      <c r="L153" s="18">
        <v>45888</v>
      </c>
      <c r="M153" s="18">
        <v>45898</v>
      </c>
      <c r="N153" s="115" t="s">
        <v>344</v>
      </c>
      <c r="O153" s="128">
        <v>2</v>
      </c>
      <c r="P153" s="128"/>
      <c r="Q153" s="128"/>
      <c r="R153" s="73"/>
      <c r="S153" s="21"/>
      <c r="T153" s="48" t="s">
        <v>430</v>
      </c>
      <c r="U153" s="46" t="s">
        <v>430</v>
      </c>
      <c r="V153" s="71" t="s">
        <v>430</v>
      </c>
      <c r="W153" s="72" t="s">
        <v>39</v>
      </c>
    </row>
    <row r="154" spans="1:23" s="84" customFormat="1" ht="23.25" customHeight="1">
      <c r="A154" s="26" t="s">
        <v>430</v>
      </c>
      <c r="B154" s="107" t="s">
        <v>233</v>
      </c>
      <c r="C154" s="108" t="s">
        <v>604</v>
      </c>
      <c r="D154" s="17" t="s">
        <v>54</v>
      </c>
      <c r="E154" s="24" t="s">
        <v>222</v>
      </c>
      <c r="F154" s="109" t="s">
        <v>234</v>
      </c>
      <c r="G154" s="109" t="s">
        <v>23</v>
      </c>
      <c r="H154" s="126">
        <v>4129000</v>
      </c>
      <c r="I154" s="77">
        <v>4129000</v>
      </c>
      <c r="J154" s="68">
        <v>0.02</v>
      </c>
      <c r="K154" s="33">
        <v>82580</v>
      </c>
      <c r="L154" s="18">
        <v>45888</v>
      </c>
      <c r="M154" s="18">
        <v>45898</v>
      </c>
      <c r="N154" s="115" t="s">
        <v>344</v>
      </c>
      <c r="O154" s="128">
        <v>6</v>
      </c>
      <c r="P154" s="128"/>
      <c r="Q154" s="128"/>
      <c r="R154" s="73"/>
      <c r="S154" s="21"/>
      <c r="T154" s="48" t="s">
        <v>430</v>
      </c>
      <c r="U154" s="46" t="s">
        <v>430</v>
      </c>
      <c r="V154" s="71" t="s">
        <v>430</v>
      </c>
      <c r="W154" s="72" t="s">
        <v>39</v>
      </c>
    </row>
    <row r="155" spans="1:23" s="84" customFormat="1" ht="23.25" customHeight="1">
      <c r="A155" s="26" t="s">
        <v>430</v>
      </c>
      <c r="B155" s="107" t="s">
        <v>108</v>
      </c>
      <c r="C155" s="108" t="s">
        <v>599</v>
      </c>
      <c r="D155" s="17" t="s">
        <v>54</v>
      </c>
      <c r="E155" s="24" t="s">
        <v>223</v>
      </c>
      <c r="F155" s="109" t="s">
        <v>109</v>
      </c>
      <c r="G155" s="109" t="s">
        <v>23</v>
      </c>
      <c r="H155" s="126">
        <v>2304700</v>
      </c>
      <c r="I155" s="77">
        <v>2304700</v>
      </c>
      <c r="J155" s="68">
        <v>0.1</v>
      </c>
      <c r="K155" s="33">
        <v>230470</v>
      </c>
      <c r="L155" s="18">
        <v>45889</v>
      </c>
      <c r="M155" s="18">
        <v>45899</v>
      </c>
      <c r="N155" s="115" t="s">
        <v>344</v>
      </c>
      <c r="O155" s="128">
        <v>17</v>
      </c>
      <c r="P155" s="128"/>
      <c r="Q155" s="128"/>
      <c r="R155" s="73"/>
      <c r="S155" s="21"/>
      <c r="T155" s="48" t="s">
        <v>430</v>
      </c>
      <c r="U155" s="46" t="s">
        <v>430</v>
      </c>
      <c r="V155" s="71" t="s">
        <v>430</v>
      </c>
      <c r="W155" s="72" t="s">
        <v>39</v>
      </c>
    </row>
    <row r="156" spans="1:23" s="84" customFormat="1" ht="23.25" customHeight="1">
      <c r="A156" s="26" t="s">
        <v>430</v>
      </c>
      <c r="B156" s="107" t="s">
        <v>185</v>
      </c>
      <c r="C156" s="108" t="s">
        <v>600</v>
      </c>
      <c r="D156" s="17" t="s">
        <v>54</v>
      </c>
      <c r="E156" s="24" t="s">
        <v>224</v>
      </c>
      <c r="F156" s="109" t="s">
        <v>186</v>
      </c>
      <c r="G156" s="109" t="s">
        <v>23</v>
      </c>
      <c r="H156" s="126">
        <v>42019500</v>
      </c>
      <c r="I156" s="77">
        <v>42019500</v>
      </c>
      <c r="J156" s="68">
        <v>0.02</v>
      </c>
      <c r="K156" s="33">
        <v>840390</v>
      </c>
      <c r="L156" s="18">
        <v>45889</v>
      </c>
      <c r="M156" s="18">
        <v>45899</v>
      </c>
      <c r="N156" s="115" t="s">
        <v>344</v>
      </c>
      <c r="O156" s="128">
        <v>15</v>
      </c>
      <c r="P156" s="128"/>
      <c r="Q156" s="128"/>
      <c r="R156" s="73"/>
      <c r="S156" s="21"/>
      <c r="T156" s="48" t="s">
        <v>430</v>
      </c>
      <c r="U156" s="46" t="s">
        <v>430</v>
      </c>
      <c r="V156" s="71" t="s">
        <v>430</v>
      </c>
      <c r="W156" s="72" t="s">
        <v>39</v>
      </c>
    </row>
    <row r="157" spans="1:23" s="84" customFormat="1" ht="23.25" customHeight="1">
      <c r="A157" s="26" t="s">
        <v>430</v>
      </c>
      <c r="B157" s="107" t="s">
        <v>187</v>
      </c>
      <c r="C157" s="108" t="s">
        <v>601</v>
      </c>
      <c r="D157" s="17" t="s">
        <v>54</v>
      </c>
      <c r="E157" s="24" t="s">
        <v>222</v>
      </c>
      <c r="F157" s="109" t="s">
        <v>188</v>
      </c>
      <c r="G157" s="109" t="s">
        <v>23</v>
      </c>
      <c r="H157" s="126">
        <v>1661800</v>
      </c>
      <c r="I157" s="77">
        <v>1661800</v>
      </c>
      <c r="J157" s="68">
        <v>0.02</v>
      </c>
      <c r="K157" s="33">
        <v>33236</v>
      </c>
      <c r="L157" s="18">
        <v>45889</v>
      </c>
      <c r="M157" s="18">
        <v>45899</v>
      </c>
      <c r="N157" s="115" t="s">
        <v>344</v>
      </c>
      <c r="O157" s="128">
        <v>6</v>
      </c>
      <c r="P157" s="128"/>
      <c r="Q157" s="128"/>
      <c r="R157" s="73"/>
      <c r="S157" s="21"/>
      <c r="T157" s="48" t="s">
        <v>430</v>
      </c>
      <c r="U157" s="46" t="s">
        <v>430</v>
      </c>
      <c r="V157" s="71" t="s">
        <v>430</v>
      </c>
      <c r="W157" s="72" t="s">
        <v>39</v>
      </c>
    </row>
    <row r="158" spans="1:23" s="84" customFormat="1" ht="23.25" customHeight="1">
      <c r="A158" s="26" t="s">
        <v>430</v>
      </c>
      <c r="B158" s="107" t="s">
        <v>226</v>
      </c>
      <c r="C158" s="108" t="s">
        <v>602</v>
      </c>
      <c r="D158" s="17" t="s">
        <v>54</v>
      </c>
      <c r="E158" s="24" t="s">
        <v>227</v>
      </c>
      <c r="F158" s="109" t="s">
        <v>228</v>
      </c>
      <c r="G158" s="109" t="s">
        <v>23</v>
      </c>
      <c r="H158" s="126">
        <v>7206200</v>
      </c>
      <c r="I158" s="77">
        <v>7206200</v>
      </c>
      <c r="J158" s="68">
        <v>0.02</v>
      </c>
      <c r="K158" s="33">
        <v>144124</v>
      </c>
      <c r="L158" s="18">
        <v>45889</v>
      </c>
      <c r="M158" s="18">
        <v>45899</v>
      </c>
      <c r="N158" s="115" t="s">
        <v>344</v>
      </c>
      <c r="O158" s="128">
        <v>32</v>
      </c>
      <c r="P158" s="128"/>
      <c r="Q158" s="128"/>
      <c r="R158" s="73"/>
      <c r="S158" s="21"/>
      <c r="T158" s="48" t="s">
        <v>430</v>
      </c>
      <c r="U158" s="46" t="s">
        <v>430</v>
      </c>
      <c r="V158" s="71" t="s">
        <v>430</v>
      </c>
      <c r="W158" s="72" t="s">
        <v>39</v>
      </c>
    </row>
    <row r="159" spans="1:23" s="84" customFormat="1" ht="23.25" customHeight="1">
      <c r="A159" s="26" t="s">
        <v>430</v>
      </c>
      <c r="B159" s="107" t="s">
        <v>231</v>
      </c>
      <c r="C159" s="108" t="s">
        <v>490</v>
      </c>
      <c r="D159" s="17" t="s">
        <v>54</v>
      </c>
      <c r="E159" s="24" t="s">
        <v>227</v>
      </c>
      <c r="F159" s="109" t="s">
        <v>232</v>
      </c>
      <c r="G159" s="109" t="s">
        <v>23</v>
      </c>
      <c r="H159" s="126">
        <v>2989000</v>
      </c>
      <c r="I159" s="77">
        <v>2989000</v>
      </c>
      <c r="J159" s="68">
        <v>0.02</v>
      </c>
      <c r="K159" s="33">
        <v>59780</v>
      </c>
      <c r="L159" s="18">
        <v>45889</v>
      </c>
      <c r="M159" s="18">
        <v>45899</v>
      </c>
      <c r="N159" s="115" t="s">
        <v>344</v>
      </c>
      <c r="O159" s="128">
        <v>2</v>
      </c>
      <c r="P159" s="128"/>
      <c r="Q159" s="128"/>
      <c r="R159" s="73"/>
      <c r="S159" s="21"/>
      <c r="T159" s="48" t="s">
        <v>430</v>
      </c>
      <c r="U159" s="46" t="s">
        <v>430</v>
      </c>
      <c r="V159" s="71" t="s">
        <v>430</v>
      </c>
      <c r="W159" s="72" t="s">
        <v>39</v>
      </c>
    </row>
    <row r="160" spans="1:23" s="84" customFormat="1" ht="23.25" customHeight="1">
      <c r="A160" s="26" t="s">
        <v>430</v>
      </c>
      <c r="B160" s="107" t="s">
        <v>233</v>
      </c>
      <c r="C160" s="108" t="s">
        <v>604</v>
      </c>
      <c r="D160" s="17" t="s">
        <v>54</v>
      </c>
      <c r="E160" s="24" t="s">
        <v>222</v>
      </c>
      <c r="F160" s="109" t="s">
        <v>234</v>
      </c>
      <c r="G160" s="109" t="s">
        <v>23</v>
      </c>
      <c r="H160" s="126">
        <v>3996100</v>
      </c>
      <c r="I160" s="77">
        <v>3996100</v>
      </c>
      <c r="J160" s="68">
        <v>0.02</v>
      </c>
      <c r="K160" s="33">
        <v>79922</v>
      </c>
      <c r="L160" s="18">
        <v>45889</v>
      </c>
      <c r="M160" s="18">
        <v>45899</v>
      </c>
      <c r="N160" s="115" t="s">
        <v>344</v>
      </c>
      <c r="O160" s="128">
        <v>5</v>
      </c>
      <c r="P160" s="128"/>
      <c r="Q160" s="128"/>
      <c r="R160" s="73"/>
      <c r="S160" s="21"/>
      <c r="T160" s="48" t="s">
        <v>430</v>
      </c>
      <c r="U160" s="46" t="s">
        <v>430</v>
      </c>
      <c r="V160" s="71" t="s">
        <v>430</v>
      </c>
      <c r="W160" s="72" t="s">
        <v>39</v>
      </c>
    </row>
    <row r="161" spans="1:23" s="84" customFormat="1" ht="23.25" customHeight="1">
      <c r="A161" s="26" t="s">
        <v>430</v>
      </c>
      <c r="B161" s="107" t="s">
        <v>187</v>
      </c>
      <c r="C161" s="108" t="s">
        <v>601</v>
      </c>
      <c r="D161" s="17" t="s">
        <v>54</v>
      </c>
      <c r="E161" s="24" t="s">
        <v>222</v>
      </c>
      <c r="F161" s="109" t="s">
        <v>188</v>
      </c>
      <c r="G161" s="109" t="s">
        <v>23</v>
      </c>
      <c r="H161" s="126">
        <v>7195600</v>
      </c>
      <c r="I161" s="77">
        <v>7195600</v>
      </c>
      <c r="J161" s="68">
        <v>0.02</v>
      </c>
      <c r="K161" s="33">
        <v>143912</v>
      </c>
      <c r="L161" s="18">
        <v>45892</v>
      </c>
      <c r="M161" s="18">
        <v>45902</v>
      </c>
      <c r="N161" s="115" t="s">
        <v>344</v>
      </c>
      <c r="O161" s="128">
        <v>20</v>
      </c>
      <c r="P161" s="128"/>
      <c r="Q161" s="128"/>
      <c r="R161" s="73"/>
      <c r="S161" s="21"/>
      <c r="T161" s="48" t="s">
        <v>430</v>
      </c>
      <c r="U161" s="46" t="s">
        <v>430</v>
      </c>
      <c r="V161" s="71" t="s">
        <v>430</v>
      </c>
      <c r="W161" s="72" t="s">
        <v>39</v>
      </c>
    </row>
    <row r="162" spans="1:23" s="84" customFormat="1" ht="23.25" customHeight="1">
      <c r="A162" s="26" t="s">
        <v>430</v>
      </c>
      <c r="B162" s="107" t="s">
        <v>229</v>
      </c>
      <c r="C162" s="108" t="s">
        <v>603</v>
      </c>
      <c r="D162" s="17" t="s">
        <v>54</v>
      </c>
      <c r="E162" s="24" t="s">
        <v>227</v>
      </c>
      <c r="F162" s="109" t="s">
        <v>230</v>
      </c>
      <c r="G162" s="109" t="s">
        <v>23</v>
      </c>
      <c r="H162" s="126">
        <v>3386500</v>
      </c>
      <c r="I162" s="77">
        <v>3386500</v>
      </c>
      <c r="J162" s="68">
        <v>0.02</v>
      </c>
      <c r="K162" s="33">
        <v>67730</v>
      </c>
      <c r="L162" s="18">
        <v>45892</v>
      </c>
      <c r="M162" s="18">
        <v>45902</v>
      </c>
      <c r="N162" s="115" t="s">
        <v>344</v>
      </c>
      <c r="O162" s="128">
        <v>10</v>
      </c>
      <c r="P162" s="128"/>
      <c r="Q162" s="128"/>
      <c r="R162" s="73"/>
      <c r="S162" s="21"/>
      <c r="T162" s="48" t="s">
        <v>430</v>
      </c>
      <c r="U162" s="46" t="s">
        <v>430</v>
      </c>
      <c r="V162" s="71" t="s">
        <v>430</v>
      </c>
      <c r="W162" s="72" t="s">
        <v>39</v>
      </c>
    </row>
    <row r="163" spans="1:23" s="84" customFormat="1" ht="23.25" customHeight="1">
      <c r="A163" s="26" t="s">
        <v>430</v>
      </c>
      <c r="B163" s="107" t="s">
        <v>231</v>
      </c>
      <c r="C163" s="108" t="s">
        <v>490</v>
      </c>
      <c r="D163" s="17" t="s">
        <v>54</v>
      </c>
      <c r="E163" s="24" t="s">
        <v>227</v>
      </c>
      <c r="F163" s="109" t="s">
        <v>232</v>
      </c>
      <c r="G163" s="109" t="s">
        <v>23</v>
      </c>
      <c r="H163" s="126">
        <v>13418200</v>
      </c>
      <c r="I163" s="77">
        <v>13418200</v>
      </c>
      <c r="J163" s="68">
        <v>0.02</v>
      </c>
      <c r="K163" s="33">
        <v>268364</v>
      </c>
      <c r="L163" s="18">
        <v>45892</v>
      </c>
      <c r="M163" s="18">
        <v>45902</v>
      </c>
      <c r="N163" s="115" t="s">
        <v>344</v>
      </c>
      <c r="O163" s="128">
        <v>14</v>
      </c>
      <c r="P163" s="128"/>
      <c r="Q163" s="128"/>
      <c r="R163" s="73"/>
      <c r="S163" s="21"/>
      <c r="T163" s="48" t="s">
        <v>430</v>
      </c>
      <c r="U163" s="46" t="s">
        <v>430</v>
      </c>
      <c r="V163" s="71" t="s">
        <v>430</v>
      </c>
      <c r="W163" s="72" t="s">
        <v>39</v>
      </c>
    </row>
    <row r="164" spans="1:23" s="84" customFormat="1" ht="23.25" customHeight="1">
      <c r="A164" s="26" t="s">
        <v>430</v>
      </c>
      <c r="B164" s="107" t="s">
        <v>233</v>
      </c>
      <c r="C164" s="108" t="s">
        <v>604</v>
      </c>
      <c r="D164" s="17" t="s">
        <v>54</v>
      </c>
      <c r="E164" s="24" t="s">
        <v>222</v>
      </c>
      <c r="F164" s="109" t="s">
        <v>234</v>
      </c>
      <c r="G164" s="109" t="s">
        <v>23</v>
      </c>
      <c r="H164" s="126">
        <v>10456200</v>
      </c>
      <c r="I164" s="77">
        <v>10456200</v>
      </c>
      <c r="J164" s="68">
        <v>0.02</v>
      </c>
      <c r="K164" s="33">
        <v>209124</v>
      </c>
      <c r="L164" s="18">
        <v>45892</v>
      </c>
      <c r="M164" s="18">
        <v>45902</v>
      </c>
      <c r="N164" s="115" t="s">
        <v>344</v>
      </c>
      <c r="O164" s="128">
        <v>4</v>
      </c>
      <c r="P164" s="128"/>
      <c r="Q164" s="128"/>
      <c r="R164" s="73"/>
      <c r="S164" s="21"/>
      <c r="T164" s="48" t="s">
        <v>430</v>
      </c>
      <c r="U164" s="46" t="s">
        <v>430</v>
      </c>
      <c r="V164" s="71" t="s">
        <v>430</v>
      </c>
      <c r="W164" s="72" t="s">
        <v>39</v>
      </c>
    </row>
    <row r="165" spans="1:23" s="84" customFormat="1" ht="23.25" customHeight="1">
      <c r="A165" s="26" t="s">
        <v>430</v>
      </c>
      <c r="B165" s="107" t="s">
        <v>102</v>
      </c>
      <c r="C165" s="108" t="s">
        <v>598</v>
      </c>
      <c r="D165" s="17" t="s">
        <v>54</v>
      </c>
      <c r="E165" s="24" t="s">
        <v>222</v>
      </c>
      <c r="F165" s="109" t="s">
        <v>103</v>
      </c>
      <c r="G165" s="109" t="s">
        <v>23</v>
      </c>
      <c r="H165" s="126">
        <v>756200</v>
      </c>
      <c r="I165" s="77">
        <v>756200</v>
      </c>
      <c r="J165" s="68">
        <v>0.05</v>
      </c>
      <c r="K165" s="33">
        <v>37810</v>
      </c>
      <c r="L165" s="18">
        <v>45893</v>
      </c>
      <c r="M165" s="18">
        <v>45903</v>
      </c>
      <c r="N165" s="115" t="s">
        <v>344</v>
      </c>
      <c r="O165" s="128">
        <v>14</v>
      </c>
      <c r="P165" s="128"/>
      <c r="Q165" s="128"/>
      <c r="R165" s="73"/>
      <c r="S165" s="21"/>
      <c r="T165" s="48" t="s">
        <v>430</v>
      </c>
      <c r="U165" s="46" t="s">
        <v>430</v>
      </c>
      <c r="V165" s="71" t="s">
        <v>430</v>
      </c>
      <c r="W165" s="72" t="s">
        <v>39</v>
      </c>
    </row>
    <row r="166" spans="1:23" s="84" customFormat="1" ht="23.25" customHeight="1">
      <c r="A166" s="26" t="s">
        <v>430</v>
      </c>
      <c r="B166" s="107" t="s">
        <v>229</v>
      </c>
      <c r="C166" s="108" t="s">
        <v>603</v>
      </c>
      <c r="D166" s="17" t="s">
        <v>54</v>
      </c>
      <c r="E166" s="24" t="s">
        <v>227</v>
      </c>
      <c r="F166" s="109" t="s">
        <v>230</v>
      </c>
      <c r="G166" s="109" t="s">
        <v>23</v>
      </c>
      <c r="H166" s="126">
        <v>11359300</v>
      </c>
      <c r="I166" s="77">
        <v>11359300</v>
      </c>
      <c r="J166" s="68">
        <v>0.02</v>
      </c>
      <c r="K166" s="33">
        <v>227186</v>
      </c>
      <c r="L166" s="18">
        <v>45893</v>
      </c>
      <c r="M166" s="18">
        <v>45903</v>
      </c>
      <c r="N166" s="115" t="s">
        <v>344</v>
      </c>
      <c r="O166" s="128">
        <v>45</v>
      </c>
      <c r="P166" s="128"/>
      <c r="Q166" s="128"/>
      <c r="R166" s="73"/>
      <c r="S166" s="21"/>
      <c r="T166" s="48" t="s">
        <v>430</v>
      </c>
      <c r="U166" s="46" t="s">
        <v>430</v>
      </c>
      <c r="V166" s="71" t="s">
        <v>430</v>
      </c>
      <c r="W166" s="72" t="s">
        <v>39</v>
      </c>
    </row>
    <row r="167" spans="1:23" s="84" customFormat="1" ht="23.25" customHeight="1">
      <c r="A167" s="26" t="s">
        <v>430</v>
      </c>
      <c r="B167" s="107" t="s">
        <v>231</v>
      </c>
      <c r="C167" s="108" t="s">
        <v>490</v>
      </c>
      <c r="D167" s="17" t="s">
        <v>54</v>
      </c>
      <c r="E167" s="24" t="s">
        <v>227</v>
      </c>
      <c r="F167" s="109" t="s">
        <v>232</v>
      </c>
      <c r="G167" s="109" t="s">
        <v>23</v>
      </c>
      <c r="H167" s="126">
        <v>693100</v>
      </c>
      <c r="I167" s="77">
        <v>693100</v>
      </c>
      <c r="J167" s="68">
        <v>0.02</v>
      </c>
      <c r="K167" s="33">
        <v>13862</v>
      </c>
      <c r="L167" s="18">
        <v>45893</v>
      </c>
      <c r="M167" s="18">
        <v>45903</v>
      </c>
      <c r="N167" s="115" t="s">
        <v>344</v>
      </c>
      <c r="O167" s="128">
        <v>3</v>
      </c>
      <c r="P167" s="128"/>
      <c r="Q167" s="128"/>
      <c r="R167" s="73"/>
      <c r="S167" s="21"/>
      <c r="T167" s="48" t="s">
        <v>430</v>
      </c>
      <c r="U167" s="46" t="s">
        <v>430</v>
      </c>
      <c r="V167" s="71" t="s">
        <v>430</v>
      </c>
      <c r="W167" s="72" t="s">
        <v>39</v>
      </c>
    </row>
    <row r="168" spans="1:23" s="84" customFormat="1" ht="23.25" customHeight="1">
      <c r="A168" s="26" t="s">
        <v>430</v>
      </c>
      <c r="B168" s="107" t="s">
        <v>102</v>
      </c>
      <c r="C168" s="108" t="s">
        <v>598</v>
      </c>
      <c r="D168" s="17" t="s">
        <v>54</v>
      </c>
      <c r="E168" s="24" t="s">
        <v>222</v>
      </c>
      <c r="F168" s="109" t="s">
        <v>103</v>
      </c>
      <c r="G168" s="109" t="s">
        <v>23</v>
      </c>
      <c r="H168" s="126">
        <v>5234100</v>
      </c>
      <c r="I168" s="77">
        <v>5234100</v>
      </c>
      <c r="J168" s="68">
        <v>0.05</v>
      </c>
      <c r="K168" s="33">
        <v>261705</v>
      </c>
      <c r="L168" s="18">
        <v>45894</v>
      </c>
      <c r="M168" s="18">
        <v>45904</v>
      </c>
      <c r="N168" s="115" t="s">
        <v>344</v>
      </c>
      <c r="O168" s="128">
        <v>10</v>
      </c>
      <c r="P168" s="128"/>
      <c r="Q168" s="128"/>
      <c r="R168" s="73"/>
      <c r="S168" s="21"/>
      <c r="T168" s="48" t="s">
        <v>430</v>
      </c>
      <c r="U168" s="46" t="s">
        <v>430</v>
      </c>
      <c r="V168" s="71" t="s">
        <v>430</v>
      </c>
      <c r="W168" s="72" t="s">
        <v>39</v>
      </c>
    </row>
    <row r="169" spans="1:23" s="84" customFormat="1" ht="23.25" customHeight="1">
      <c r="A169" s="26" t="s">
        <v>430</v>
      </c>
      <c r="B169" s="107" t="s">
        <v>108</v>
      </c>
      <c r="C169" s="108" t="s">
        <v>599</v>
      </c>
      <c r="D169" s="17" t="s">
        <v>54</v>
      </c>
      <c r="E169" s="24" t="s">
        <v>223</v>
      </c>
      <c r="F169" s="109" t="s">
        <v>109</v>
      </c>
      <c r="G169" s="109" t="s">
        <v>23</v>
      </c>
      <c r="H169" s="126">
        <v>765900</v>
      </c>
      <c r="I169" s="77">
        <v>765900</v>
      </c>
      <c r="J169" s="68">
        <v>0.1</v>
      </c>
      <c r="K169" s="33">
        <v>76590</v>
      </c>
      <c r="L169" s="18">
        <v>45894</v>
      </c>
      <c r="M169" s="18">
        <v>45904</v>
      </c>
      <c r="N169" s="115" t="s">
        <v>344</v>
      </c>
      <c r="O169" s="128">
        <v>1</v>
      </c>
      <c r="P169" s="128"/>
      <c r="Q169" s="128"/>
      <c r="R169" s="73"/>
      <c r="S169" s="21"/>
      <c r="T169" s="48" t="s">
        <v>430</v>
      </c>
      <c r="U169" s="46" t="s">
        <v>430</v>
      </c>
      <c r="V169" s="71" t="s">
        <v>430</v>
      </c>
      <c r="W169" s="72" t="s">
        <v>39</v>
      </c>
    </row>
    <row r="170" spans="1:23" s="84" customFormat="1" ht="23.25" customHeight="1">
      <c r="A170" s="26" t="s">
        <v>430</v>
      </c>
      <c r="B170" s="142" t="s">
        <v>185</v>
      </c>
      <c r="C170" s="108" t="s">
        <v>600</v>
      </c>
      <c r="D170" s="17" t="s">
        <v>54</v>
      </c>
      <c r="E170" s="24" t="s">
        <v>224</v>
      </c>
      <c r="F170" s="109" t="s">
        <v>186</v>
      </c>
      <c r="G170" s="109" t="s">
        <v>23</v>
      </c>
      <c r="H170" s="126">
        <v>4558000</v>
      </c>
      <c r="I170" s="77">
        <v>4558000</v>
      </c>
      <c r="J170" s="68">
        <v>0.02</v>
      </c>
      <c r="K170" s="33">
        <v>91160</v>
      </c>
      <c r="L170" s="18">
        <v>45894</v>
      </c>
      <c r="M170" s="18">
        <v>45904</v>
      </c>
      <c r="N170" s="115" t="s">
        <v>344</v>
      </c>
      <c r="O170" s="128">
        <v>1</v>
      </c>
      <c r="P170" s="128"/>
      <c r="Q170" s="128"/>
      <c r="R170" s="73"/>
      <c r="S170" s="21"/>
      <c r="T170" s="48" t="s">
        <v>430</v>
      </c>
      <c r="U170" s="46" t="s">
        <v>430</v>
      </c>
      <c r="V170" s="71" t="s">
        <v>430</v>
      </c>
      <c r="W170" s="72" t="s">
        <v>39</v>
      </c>
    </row>
    <row r="171" spans="1:23" s="84" customFormat="1" ht="23.25" customHeight="1">
      <c r="A171" s="26" t="s">
        <v>430</v>
      </c>
      <c r="B171" s="107" t="s">
        <v>226</v>
      </c>
      <c r="C171" s="108" t="s">
        <v>602</v>
      </c>
      <c r="D171" s="17" t="s">
        <v>54</v>
      </c>
      <c r="E171" s="24" t="s">
        <v>227</v>
      </c>
      <c r="F171" s="109" t="s">
        <v>228</v>
      </c>
      <c r="G171" s="109" t="s">
        <v>23</v>
      </c>
      <c r="H171" s="126">
        <v>2829500</v>
      </c>
      <c r="I171" s="77">
        <v>2829500</v>
      </c>
      <c r="J171" s="68">
        <v>0.02</v>
      </c>
      <c r="K171" s="33">
        <v>56590</v>
      </c>
      <c r="L171" s="18">
        <v>45894</v>
      </c>
      <c r="M171" s="18">
        <v>45904</v>
      </c>
      <c r="N171" s="115" t="s">
        <v>344</v>
      </c>
      <c r="O171" s="128">
        <v>3</v>
      </c>
      <c r="P171" s="128"/>
      <c r="Q171" s="128"/>
      <c r="R171" s="73"/>
      <c r="S171" s="21"/>
      <c r="T171" s="48" t="s">
        <v>430</v>
      </c>
      <c r="U171" s="46" t="s">
        <v>430</v>
      </c>
      <c r="V171" s="71" t="s">
        <v>430</v>
      </c>
      <c r="W171" s="72" t="s">
        <v>39</v>
      </c>
    </row>
    <row r="172" spans="1:23" s="84" customFormat="1" ht="23.25" customHeight="1">
      <c r="A172" s="26" t="s">
        <v>430</v>
      </c>
      <c r="B172" s="107" t="s">
        <v>231</v>
      </c>
      <c r="C172" s="108" t="s">
        <v>490</v>
      </c>
      <c r="D172" s="17" t="s">
        <v>54</v>
      </c>
      <c r="E172" s="24" t="s">
        <v>227</v>
      </c>
      <c r="F172" s="109" t="s">
        <v>232</v>
      </c>
      <c r="G172" s="109" t="s">
        <v>23</v>
      </c>
      <c r="H172" s="126">
        <v>8282100</v>
      </c>
      <c r="I172" s="77">
        <v>8282100</v>
      </c>
      <c r="J172" s="68">
        <v>0.02</v>
      </c>
      <c r="K172" s="33">
        <v>165642</v>
      </c>
      <c r="L172" s="18">
        <v>45894</v>
      </c>
      <c r="M172" s="18">
        <v>45904</v>
      </c>
      <c r="N172" s="115" t="s">
        <v>344</v>
      </c>
      <c r="O172" s="128">
        <v>10</v>
      </c>
      <c r="P172" s="128"/>
      <c r="Q172" s="128"/>
      <c r="R172" s="73"/>
      <c r="S172" s="21"/>
      <c r="T172" s="48" t="s">
        <v>430</v>
      </c>
      <c r="U172" s="46" t="s">
        <v>430</v>
      </c>
      <c r="V172" s="71" t="s">
        <v>430</v>
      </c>
      <c r="W172" s="72" t="s">
        <v>39</v>
      </c>
    </row>
    <row r="173" spans="1:23" s="84" customFormat="1" ht="23.25" customHeight="1">
      <c r="A173" s="26" t="s">
        <v>430</v>
      </c>
      <c r="B173" s="107" t="s">
        <v>233</v>
      </c>
      <c r="C173" s="108" t="s">
        <v>604</v>
      </c>
      <c r="D173" s="17" t="s">
        <v>54</v>
      </c>
      <c r="E173" s="24" t="s">
        <v>222</v>
      </c>
      <c r="F173" s="109" t="s">
        <v>234</v>
      </c>
      <c r="G173" s="109" t="s">
        <v>23</v>
      </c>
      <c r="H173" s="126">
        <v>3560100</v>
      </c>
      <c r="I173" s="77">
        <v>3560100</v>
      </c>
      <c r="J173" s="68">
        <v>0.02</v>
      </c>
      <c r="K173" s="33">
        <v>71202</v>
      </c>
      <c r="L173" s="18">
        <v>45894</v>
      </c>
      <c r="M173" s="18">
        <v>45904</v>
      </c>
      <c r="N173" s="115" t="s">
        <v>344</v>
      </c>
      <c r="O173" s="128">
        <v>3</v>
      </c>
      <c r="P173" s="128"/>
      <c r="Q173" s="128"/>
      <c r="R173" s="73"/>
      <c r="S173" s="21"/>
      <c r="T173" s="48" t="s">
        <v>430</v>
      </c>
      <c r="U173" s="46" t="s">
        <v>430</v>
      </c>
      <c r="V173" s="71" t="s">
        <v>430</v>
      </c>
      <c r="W173" s="72" t="s">
        <v>39</v>
      </c>
    </row>
    <row r="174" spans="1:23" s="84" customFormat="1" ht="23.25" customHeight="1">
      <c r="A174" s="26" t="s">
        <v>430</v>
      </c>
      <c r="B174" s="107" t="s">
        <v>226</v>
      </c>
      <c r="C174" s="108" t="s">
        <v>602</v>
      </c>
      <c r="D174" s="17" t="s">
        <v>54</v>
      </c>
      <c r="E174" s="24" t="s">
        <v>227</v>
      </c>
      <c r="F174" s="109" t="s">
        <v>228</v>
      </c>
      <c r="G174" s="109" t="s">
        <v>23</v>
      </c>
      <c r="H174" s="126">
        <v>2353800</v>
      </c>
      <c r="I174" s="77">
        <v>2353800</v>
      </c>
      <c r="J174" s="68">
        <v>0.02</v>
      </c>
      <c r="K174" s="33">
        <v>47076</v>
      </c>
      <c r="L174" s="18">
        <v>45895</v>
      </c>
      <c r="M174" s="18">
        <v>45905</v>
      </c>
      <c r="N174" s="115" t="s">
        <v>344</v>
      </c>
      <c r="O174" s="128">
        <v>4</v>
      </c>
      <c r="P174" s="128"/>
      <c r="Q174" s="128"/>
      <c r="R174" s="73"/>
      <c r="S174" s="21"/>
      <c r="T174" s="48" t="s">
        <v>430</v>
      </c>
      <c r="U174" s="46" t="s">
        <v>430</v>
      </c>
      <c r="V174" s="71" t="s">
        <v>430</v>
      </c>
      <c r="W174" s="72" t="s">
        <v>39</v>
      </c>
    </row>
    <row r="175" spans="1:23" s="84" customFormat="1" ht="23.25" customHeight="1">
      <c r="A175" s="26" t="s">
        <v>430</v>
      </c>
      <c r="B175" s="107" t="s">
        <v>233</v>
      </c>
      <c r="C175" s="108" t="s">
        <v>604</v>
      </c>
      <c r="D175" s="17" t="s">
        <v>54</v>
      </c>
      <c r="E175" s="24" t="s">
        <v>222</v>
      </c>
      <c r="F175" s="109" t="s">
        <v>234</v>
      </c>
      <c r="G175" s="109" t="s">
        <v>23</v>
      </c>
      <c r="H175" s="126">
        <v>28250100</v>
      </c>
      <c r="I175" s="77">
        <v>28250100</v>
      </c>
      <c r="J175" s="68">
        <v>0.02</v>
      </c>
      <c r="K175" s="33">
        <v>565002</v>
      </c>
      <c r="L175" s="18">
        <v>45895</v>
      </c>
      <c r="M175" s="18">
        <v>45905</v>
      </c>
      <c r="N175" s="115" t="s">
        <v>344</v>
      </c>
      <c r="O175" s="128">
        <v>15</v>
      </c>
      <c r="P175" s="128"/>
      <c r="Q175" s="128"/>
      <c r="R175" s="73"/>
      <c r="S175" s="21"/>
      <c r="T175" s="48" t="s">
        <v>430</v>
      </c>
      <c r="U175" s="46" t="s">
        <v>430</v>
      </c>
      <c r="V175" s="71" t="s">
        <v>430</v>
      </c>
      <c r="W175" s="72" t="s">
        <v>39</v>
      </c>
    </row>
    <row r="176" spans="1:23" s="84" customFormat="1" ht="23.25" customHeight="1">
      <c r="A176" s="26" t="s">
        <v>430</v>
      </c>
      <c r="B176" s="107" t="s">
        <v>235</v>
      </c>
      <c r="C176" s="108" t="s">
        <v>490</v>
      </c>
      <c r="D176" s="17" t="s">
        <v>54</v>
      </c>
      <c r="E176" s="24" t="s">
        <v>222</v>
      </c>
      <c r="F176" s="109" t="s">
        <v>236</v>
      </c>
      <c r="G176" s="109" t="s">
        <v>23</v>
      </c>
      <c r="H176" s="126">
        <v>98158800</v>
      </c>
      <c r="I176" s="77">
        <v>98158800</v>
      </c>
      <c r="J176" s="68">
        <v>0.02</v>
      </c>
      <c r="K176" s="33">
        <v>1963176</v>
      </c>
      <c r="L176" s="18">
        <v>45895</v>
      </c>
      <c r="M176" s="18">
        <v>45905</v>
      </c>
      <c r="N176" s="115" t="s">
        <v>344</v>
      </c>
      <c r="O176" s="128">
        <v>64</v>
      </c>
      <c r="P176" s="128"/>
      <c r="Q176" s="128"/>
      <c r="R176" s="73"/>
      <c r="S176" s="21"/>
      <c r="T176" s="48" t="s">
        <v>430</v>
      </c>
      <c r="U176" s="46" t="s">
        <v>430</v>
      </c>
      <c r="V176" s="71" t="s">
        <v>430</v>
      </c>
      <c r="W176" s="72" t="s">
        <v>39</v>
      </c>
    </row>
    <row r="177" spans="1:23" s="84" customFormat="1" ht="23.25" customHeight="1">
      <c r="A177" s="26" t="s">
        <v>430</v>
      </c>
      <c r="B177" s="107" t="s">
        <v>102</v>
      </c>
      <c r="C177" s="108" t="s">
        <v>598</v>
      </c>
      <c r="D177" s="17" t="s">
        <v>54</v>
      </c>
      <c r="E177" s="24" t="s">
        <v>222</v>
      </c>
      <c r="F177" s="109" t="s">
        <v>103</v>
      </c>
      <c r="G177" s="109" t="s">
        <v>23</v>
      </c>
      <c r="H177" s="126">
        <v>976700</v>
      </c>
      <c r="I177" s="77">
        <v>976700</v>
      </c>
      <c r="J177" s="68">
        <v>0.05</v>
      </c>
      <c r="K177" s="33">
        <v>48835</v>
      </c>
      <c r="L177" s="18">
        <v>45896</v>
      </c>
      <c r="M177" s="18">
        <v>45906</v>
      </c>
      <c r="N177" s="115" t="s">
        <v>344</v>
      </c>
      <c r="O177" s="128">
        <v>2</v>
      </c>
      <c r="P177" s="128"/>
      <c r="Q177" s="128"/>
      <c r="R177" s="73"/>
      <c r="S177" s="21"/>
      <c r="T177" s="48" t="s">
        <v>430</v>
      </c>
      <c r="U177" s="46" t="s">
        <v>430</v>
      </c>
      <c r="V177" s="71" t="s">
        <v>430</v>
      </c>
      <c r="W177" s="72" t="s">
        <v>39</v>
      </c>
    </row>
    <row r="178" spans="1:23" s="84" customFormat="1" ht="23.25" customHeight="1">
      <c r="A178" s="26" t="s">
        <v>430</v>
      </c>
      <c r="B178" s="107" t="s">
        <v>226</v>
      </c>
      <c r="C178" s="108" t="s">
        <v>602</v>
      </c>
      <c r="D178" s="17" t="s">
        <v>54</v>
      </c>
      <c r="E178" s="24" t="s">
        <v>227</v>
      </c>
      <c r="F178" s="109" t="s">
        <v>228</v>
      </c>
      <c r="G178" s="109" t="s">
        <v>23</v>
      </c>
      <c r="H178" s="126">
        <v>1713800</v>
      </c>
      <c r="I178" s="77">
        <v>1713800</v>
      </c>
      <c r="J178" s="68">
        <v>0.02</v>
      </c>
      <c r="K178" s="33">
        <v>34276</v>
      </c>
      <c r="L178" s="18">
        <v>45896</v>
      </c>
      <c r="M178" s="18">
        <v>45906</v>
      </c>
      <c r="N178" s="115" t="s">
        <v>344</v>
      </c>
      <c r="O178" s="128">
        <v>3</v>
      </c>
      <c r="P178" s="128"/>
      <c r="Q178" s="128"/>
      <c r="R178" s="73"/>
      <c r="S178" s="21"/>
      <c r="T178" s="48" t="s">
        <v>430</v>
      </c>
      <c r="U178" s="46" t="s">
        <v>430</v>
      </c>
      <c r="V178" s="71" t="s">
        <v>430</v>
      </c>
      <c r="W178" s="72" t="s">
        <v>39</v>
      </c>
    </row>
    <row r="179" spans="1:23" s="84" customFormat="1" ht="23.25" customHeight="1">
      <c r="A179" s="26" t="s">
        <v>430</v>
      </c>
      <c r="B179" s="107" t="s">
        <v>229</v>
      </c>
      <c r="C179" s="108" t="s">
        <v>603</v>
      </c>
      <c r="D179" s="17" t="s">
        <v>54</v>
      </c>
      <c r="E179" s="24" t="s">
        <v>227</v>
      </c>
      <c r="F179" s="109" t="s">
        <v>230</v>
      </c>
      <c r="G179" s="109" t="s">
        <v>23</v>
      </c>
      <c r="H179" s="126">
        <v>4134200</v>
      </c>
      <c r="I179" s="77">
        <v>4134200</v>
      </c>
      <c r="J179" s="68">
        <v>0.02</v>
      </c>
      <c r="K179" s="33">
        <v>82684</v>
      </c>
      <c r="L179" s="18">
        <v>45896</v>
      </c>
      <c r="M179" s="18">
        <v>45906</v>
      </c>
      <c r="N179" s="115" t="s">
        <v>344</v>
      </c>
      <c r="O179" s="128">
        <v>7</v>
      </c>
      <c r="P179" s="128"/>
      <c r="Q179" s="128"/>
      <c r="R179" s="73"/>
      <c r="S179" s="21"/>
      <c r="T179" s="48" t="s">
        <v>430</v>
      </c>
      <c r="U179" s="46" t="s">
        <v>430</v>
      </c>
      <c r="V179" s="71" t="s">
        <v>430</v>
      </c>
      <c r="W179" s="72" t="s">
        <v>39</v>
      </c>
    </row>
    <row r="180" spans="1:23" s="84" customFormat="1" ht="23.25" customHeight="1">
      <c r="A180" s="26" t="s">
        <v>430</v>
      </c>
      <c r="B180" s="107" t="s">
        <v>231</v>
      </c>
      <c r="C180" s="108" t="s">
        <v>490</v>
      </c>
      <c r="D180" s="17" t="s">
        <v>54</v>
      </c>
      <c r="E180" s="24" t="s">
        <v>227</v>
      </c>
      <c r="F180" s="109" t="s">
        <v>232</v>
      </c>
      <c r="G180" s="109" t="s">
        <v>23</v>
      </c>
      <c r="H180" s="126">
        <v>8984800</v>
      </c>
      <c r="I180" s="77">
        <v>8984800</v>
      </c>
      <c r="J180" s="68">
        <v>0.02</v>
      </c>
      <c r="K180" s="33">
        <v>179696</v>
      </c>
      <c r="L180" s="18">
        <v>45896</v>
      </c>
      <c r="M180" s="18">
        <v>45906</v>
      </c>
      <c r="N180" s="115" t="s">
        <v>344</v>
      </c>
      <c r="O180" s="128">
        <v>8</v>
      </c>
      <c r="P180" s="128"/>
      <c r="Q180" s="128"/>
      <c r="R180" s="73"/>
      <c r="S180" s="21"/>
      <c r="T180" s="48" t="s">
        <v>430</v>
      </c>
      <c r="U180" s="46" t="s">
        <v>430</v>
      </c>
      <c r="V180" s="71" t="s">
        <v>430</v>
      </c>
      <c r="W180" s="72" t="s">
        <v>39</v>
      </c>
    </row>
    <row r="181" spans="1:23" s="84" customFormat="1" ht="23.25" customHeight="1">
      <c r="A181" s="26" t="s">
        <v>430</v>
      </c>
      <c r="B181" s="107" t="s">
        <v>233</v>
      </c>
      <c r="C181" s="108" t="s">
        <v>604</v>
      </c>
      <c r="D181" s="17" t="s">
        <v>54</v>
      </c>
      <c r="E181" s="24" t="s">
        <v>222</v>
      </c>
      <c r="F181" s="109" t="s">
        <v>234</v>
      </c>
      <c r="G181" s="109" t="s">
        <v>23</v>
      </c>
      <c r="H181" s="126">
        <v>7428400</v>
      </c>
      <c r="I181" s="77">
        <v>7428400</v>
      </c>
      <c r="J181" s="68">
        <v>0.02</v>
      </c>
      <c r="K181" s="33">
        <v>148568</v>
      </c>
      <c r="L181" s="18">
        <v>45896</v>
      </c>
      <c r="M181" s="18">
        <v>45906</v>
      </c>
      <c r="N181" s="115" t="s">
        <v>344</v>
      </c>
      <c r="O181" s="128">
        <v>8</v>
      </c>
      <c r="P181" s="128"/>
      <c r="Q181" s="128"/>
      <c r="R181" s="73"/>
      <c r="S181" s="21"/>
      <c r="T181" s="48" t="s">
        <v>430</v>
      </c>
      <c r="U181" s="46" t="s">
        <v>430</v>
      </c>
      <c r="V181" s="71" t="s">
        <v>430</v>
      </c>
      <c r="W181" s="72" t="s">
        <v>39</v>
      </c>
    </row>
    <row r="182" spans="1:23" s="84" customFormat="1" ht="23.25" customHeight="1">
      <c r="A182" s="26" t="s">
        <v>430</v>
      </c>
      <c r="B182" s="107" t="s">
        <v>185</v>
      </c>
      <c r="C182" s="108" t="s">
        <v>600</v>
      </c>
      <c r="D182" s="17" t="s">
        <v>54</v>
      </c>
      <c r="E182" s="24" t="s">
        <v>224</v>
      </c>
      <c r="F182" s="109" t="s">
        <v>186</v>
      </c>
      <c r="G182" s="109" t="s">
        <v>23</v>
      </c>
      <c r="H182" s="126">
        <v>302000</v>
      </c>
      <c r="I182" s="77">
        <v>302000</v>
      </c>
      <c r="J182" s="68">
        <v>0.02</v>
      </c>
      <c r="K182" s="33">
        <v>6040</v>
      </c>
      <c r="L182" s="18">
        <v>45899</v>
      </c>
      <c r="M182" s="18">
        <v>45909</v>
      </c>
      <c r="N182" s="115" t="s">
        <v>344</v>
      </c>
      <c r="O182" s="128">
        <v>1</v>
      </c>
      <c r="P182" s="128"/>
      <c r="Q182" s="128"/>
      <c r="R182" s="73"/>
      <c r="S182" s="21"/>
      <c r="T182" s="48" t="s">
        <v>430</v>
      </c>
      <c r="U182" s="46" t="s">
        <v>430</v>
      </c>
      <c r="V182" s="71" t="s">
        <v>430</v>
      </c>
      <c r="W182" s="72" t="s">
        <v>39</v>
      </c>
    </row>
    <row r="183" spans="1:23" s="84" customFormat="1" ht="23.25" customHeight="1">
      <c r="A183" s="26" t="s">
        <v>430</v>
      </c>
      <c r="B183" s="107" t="s">
        <v>229</v>
      </c>
      <c r="C183" s="108" t="s">
        <v>603</v>
      </c>
      <c r="D183" s="17" t="s">
        <v>54</v>
      </c>
      <c r="E183" s="24" t="s">
        <v>227</v>
      </c>
      <c r="F183" s="109" t="s">
        <v>230</v>
      </c>
      <c r="G183" s="109" t="s">
        <v>23</v>
      </c>
      <c r="H183" s="126">
        <v>7344900</v>
      </c>
      <c r="I183" s="77">
        <v>7344900</v>
      </c>
      <c r="J183" s="68">
        <v>0.02</v>
      </c>
      <c r="K183" s="33">
        <v>146898</v>
      </c>
      <c r="L183" s="18">
        <v>45899</v>
      </c>
      <c r="M183" s="18">
        <v>45909</v>
      </c>
      <c r="N183" s="115" t="s">
        <v>344</v>
      </c>
      <c r="O183" s="128">
        <v>31</v>
      </c>
      <c r="P183" s="128"/>
      <c r="Q183" s="128"/>
      <c r="R183" s="73"/>
      <c r="S183" s="21"/>
      <c r="T183" s="48" t="s">
        <v>430</v>
      </c>
      <c r="U183" s="46" t="s">
        <v>430</v>
      </c>
      <c r="V183" s="71" t="s">
        <v>430</v>
      </c>
      <c r="W183" s="72" t="s">
        <v>39</v>
      </c>
    </row>
    <row r="184" spans="1:23" s="84" customFormat="1" ht="23.25" customHeight="1">
      <c r="A184" s="26" t="s">
        <v>430</v>
      </c>
      <c r="B184" s="107" t="s">
        <v>233</v>
      </c>
      <c r="C184" s="108" t="s">
        <v>604</v>
      </c>
      <c r="D184" s="17" t="s">
        <v>54</v>
      </c>
      <c r="E184" s="24" t="s">
        <v>222</v>
      </c>
      <c r="F184" s="109" t="s">
        <v>234</v>
      </c>
      <c r="G184" s="109" t="s">
        <v>23</v>
      </c>
      <c r="H184" s="126">
        <v>2642500</v>
      </c>
      <c r="I184" s="77">
        <v>2642500</v>
      </c>
      <c r="J184" s="68">
        <v>0.02</v>
      </c>
      <c r="K184" s="33">
        <v>52850</v>
      </c>
      <c r="L184" s="18">
        <v>45899</v>
      </c>
      <c r="M184" s="18">
        <v>45909</v>
      </c>
      <c r="N184" s="115" t="s">
        <v>344</v>
      </c>
      <c r="O184" s="128">
        <v>5</v>
      </c>
      <c r="P184" s="128"/>
      <c r="Q184" s="128"/>
      <c r="R184" s="73"/>
      <c r="S184" s="21"/>
      <c r="T184" s="48" t="s">
        <v>430</v>
      </c>
      <c r="U184" s="46" t="s">
        <v>430</v>
      </c>
      <c r="V184" s="71" t="s">
        <v>430</v>
      </c>
      <c r="W184" s="72" t="s">
        <v>39</v>
      </c>
    </row>
    <row r="185" spans="1:23" s="84" customFormat="1" ht="23.25" customHeight="1">
      <c r="A185" s="26" t="s">
        <v>430</v>
      </c>
      <c r="B185" s="107" t="s">
        <v>108</v>
      </c>
      <c r="C185" s="108" t="s">
        <v>599</v>
      </c>
      <c r="D185" s="17" t="s">
        <v>54</v>
      </c>
      <c r="E185" s="24" t="s">
        <v>223</v>
      </c>
      <c r="F185" s="109" t="s">
        <v>109</v>
      </c>
      <c r="G185" s="109" t="s">
        <v>23</v>
      </c>
      <c r="H185" s="126">
        <v>684900</v>
      </c>
      <c r="I185" s="77">
        <v>684900</v>
      </c>
      <c r="J185" s="68">
        <v>0.1</v>
      </c>
      <c r="K185" s="33">
        <v>68490</v>
      </c>
      <c r="L185" s="18">
        <v>45900</v>
      </c>
      <c r="M185" s="18">
        <v>45910</v>
      </c>
      <c r="N185" s="115" t="s">
        <v>344</v>
      </c>
      <c r="O185" s="128">
        <v>1</v>
      </c>
      <c r="P185" s="128"/>
      <c r="Q185" s="128"/>
      <c r="R185" s="73"/>
      <c r="S185" s="21"/>
      <c r="T185" s="48" t="s">
        <v>430</v>
      </c>
      <c r="U185" s="46" t="s">
        <v>430</v>
      </c>
      <c r="V185" s="71" t="s">
        <v>430</v>
      </c>
      <c r="W185" s="72" t="s">
        <v>39</v>
      </c>
    </row>
    <row r="186" spans="1:23" s="84" customFormat="1" ht="23.25" customHeight="1">
      <c r="A186" s="26" t="s">
        <v>430</v>
      </c>
      <c r="B186" s="107" t="s">
        <v>229</v>
      </c>
      <c r="C186" s="108" t="s">
        <v>603</v>
      </c>
      <c r="D186" s="17" t="s">
        <v>54</v>
      </c>
      <c r="E186" s="24" t="s">
        <v>227</v>
      </c>
      <c r="F186" s="109" t="s">
        <v>230</v>
      </c>
      <c r="G186" s="109" t="s">
        <v>23</v>
      </c>
      <c r="H186" s="126">
        <v>1073800</v>
      </c>
      <c r="I186" s="77">
        <v>1073800</v>
      </c>
      <c r="J186" s="68">
        <v>0.02</v>
      </c>
      <c r="K186" s="33">
        <v>21476</v>
      </c>
      <c r="L186" s="18">
        <v>45900</v>
      </c>
      <c r="M186" s="18">
        <v>45910</v>
      </c>
      <c r="N186" s="115" t="s">
        <v>344</v>
      </c>
      <c r="O186" s="128">
        <v>1</v>
      </c>
      <c r="P186" s="128"/>
      <c r="Q186" s="128"/>
      <c r="R186" s="73"/>
      <c r="S186" s="21"/>
      <c r="T186" s="48" t="s">
        <v>430</v>
      </c>
      <c r="U186" s="46" t="s">
        <v>430</v>
      </c>
      <c r="V186" s="71" t="s">
        <v>430</v>
      </c>
      <c r="W186" s="72" t="s">
        <v>39</v>
      </c>
    </row>
    <row r="187" spans="1:23" s="84" customFormat="1" ht="23.25" customHeight="1">
      <c r="A187" s="26" t="s">
        <v>430</v>
      </c>
      <c r="B187" s="107" t="s">
        <v>233</v>
      </c>
      <c r="C187" s="108" t="s">
        <v>604</v>
      </c>
      <c r="D187" s="17" t="s">
        <v>54</v>
      </c>
      <c r="E187" s="24" t="s">
        <v>222</v>
      </c>
      <c r="F187" s="109" t="s">
        <v>234</v>
      </c>
      <c r="G187" s="109" t="s">
        <v>23</v>
      </c>
      <c r="H187" s="126">
        <v>45203100</v>
      </c>
      <c r="I187" s="77">
        <v>45203100</v>
      </c>
      <c r="J187" s="68">
        <v>0.02</v>
      </c>
      <c r="K187" s="33">
        <v>904062</v>
      </c>
      <c r="L187" s="18">
        <v>45900</v>
      </c>
      <c r="M187" s="18">
        <v>45910</v>
      </c>
      <c r="N187" s="115" t="s">
        <v>344</v>
      </c>
      <c r="O187" s="128">
        <v>30</v>
      </c>
      <c r="P187" s="128"/>
      <c r="Q187" s="128"/>
      <c r="R187" s="73"/>
      <c r="S187" s="21"/>
      <c r="T187" s="48" t="s">
        <v>430</v>
      </c>
      <c r="U187" s="46" t="s">
        <v>430</v>
      </c>
      <c r="V187" s="71" t="s">
        <v>430</v>
      </c>
      <c r="W187" s="72" t="s">
        <v>39</v>
      </c>
    </row>
    <row r="188" spans="1:23" s="84" customFormat="1" ht="23.25" customHeight="1">
      <c r="A188" s="26" t="s">
        <v>430</v>
      </c>
      <c r="B188" s="107" t="s">
        <v>102</v>
      </c>
      <c r="C188" s="108" t="s">
        <v>598</v>
      </c>
      <c r="D188" s="17" t="s">
        <v>54</v>
      </c>
      <c r="E188" s="24" t="s">
        <v>222</v>
      </c>
      <c r="F188" s="109" t="s">
        <v>103</v>
      </c>
      <c r="G188" s="109" t="s">
        <v>23</v>
      </c>
      <c r="H188" s="126">
        <v>307600</v>
      </c>
      <c r="I188" s="77">
        <v>307600</v>
      </c>
      <c r="J188" s="68">
        <v>0.05</v>
      </c>
      <c r="K188" s="33">
        <v>15380</v>
      </c>
      <c r="L188" s="18">
        <v>45901</v>
      </c>
      <c r="M188" s="18">
        <v>45911</v>
      </c>
      <c r="N188" s="115" t="s">
        <v>344</v>
      </c>
      <c r="O188" s="128">
        <v>4</v>
      </c>
      <c r="P188" s="128"/>
      <c r="Q188" s="128"/>
      <c r="R188" s="73"/>
      <c r="S188" s="21"/>
      <c r="T188" s="48" t="s">
        <v>430</v>
      </c>
      <c r="U188" s="46" t="s">
        <v>430</v>
      </c>
      <c r="V188" s="71" t="s">
        <v>430</v>
      </c>
      <c r="W188" s="72" t="s">
        <v>39</v>
      </c>
    </row>
    <row r="189" spans="1:23" s="84" customFormat="1" ht="23.25" customHeight="1">
      <c r="A189" s="26" t="s">
        <v>430</v>
      </c>
      <c r="B189" s="107" t="s">
        <v>185</v>
      </c>
      <c r="C189" s="108" t="s">
        <v>600</v>
      </c>
      <c r="D189" s="17" t="s">
        <v>54</v>
      </c>
      <c r="E189" s="24" t="s">
        <v>224</v>
      </c>
      <c r="F189" s="109" t="s">
        <v>186</v>
      </c>
      <c r="G189" s="109" t="s">
        <v>23</v>
      </c>
      <c r="H189" s="126">
        <v>3026600</v>
      </c>
      <c r="I189" s="77">
        <v>3026600</v>
      </c>
      <c r="J189" s="68">
        <v>0.02</v>
      </c>
      <c r="K189" s="33">
        <v>60532</v>
      </c>
      <c r="L189" s="18">
        <v>45901</v>
      </c>
      <c r="M189" s="18">
        <v>45911</v>
      </c>
      <c r="N189" s="115" t="s">
        <v>344</v>
      </c>
      <c r="O189" s="128">
        <v>1</v>
      </c>
      <c r="P189" s="128"/>
      <c r="Q189" s="128"/>
      <c r="R189" s="73"/>
      <c r="S189" s="21"/>
      <c r="T189" s="48" t="s">
        <v>430</v>
      </c>
      <c r="U189" s="46" t="s">
        <v>430</v>
      </c>
      <c r="V189" s="71" t="s">
        <v>430</v>
      </c>
      <c r="W189" s="72" t="s">
        <v>39</v>
      </c>
    </row>
    <row r="190" spans="1:23" s="84" customFormat="1" ht="23.25" customHeight="1">
      <c r="A190" s="26" t="s">
        <v>430</v>
      </c>
      <c r="B190" s="107" t="s">
        <v>187</v>
      </c>
      <c r="C190" s="108" t="s">
        <v>601</v>
      </c>
      <c r="D190" s="17" t="s">
        <v>54</v>
      </c>
      <c r="E190" s="24" t="s">
        <v>222</v>
      </c>
      <c r="F190" s="109" t="s">
        <v>188</v>
      </c>
      <c r="G190" s="109" t="s">
        <v>23</v>
      </c>
      <c r="H190" s="126">
        <v>1278200</v>
      </c>
      <c r="I190" s="77">
        <v>1278200</v>
      </c>
      <c r="J190" s="68">
        <v>0.02</v>
      </c>
      <c r="K190" s="33">
        <v>25564</v>
      </c>
      <c r="L190" s="18">
        <v>45901</v>
      </c>
      <c r="M190" s="18">
        <v>45911</v>
      </c>
      <c r="N190" s="115" t="s">
        <v>344</v>
      </c>
      <c r="O190" s="128">
        <v>8</v>
      </c>
      <c r="P190" s="128"/>
      <c r="Q190" s="128"/>
      <c r="R190" s="73"/>
      <c r="S190" s="21"/>
      <c r="T190" s="48" t="s">
        <v>430</v>
      </c>
      <c r="U190" s="46" t="s">
        <v>430</v>
      </c>
      <c r="V190" s="71" t="s">
        <v>430</v>
      </c>
      <c r="W190" s="72" t="s">
        <v>39</v>
      </c>
    </row>
    <row r="191" spans="1:23" s="84" customFormat="1" ht="23.25" customHeight="1">
      <c r="A191" s="26" t="s">
        <v>430</v>
      </c>
      <c r="B191" s="107" t="s">
        <v>229</v>
      </c>
      <c r="C191" s="108" t="s">
        <v>603</v>
      </c>
      <c r="D191" s="17" t="s">
        <v>54</v>
      </c>
      <c r="E191" s="24" t="s">
        <v>227</v>
      </c>
      <c r="F191" s="109" t="s">
        <v>230</v>
      </c>
      <c r="G191" s="109" t="s">
        <v>23</v>
      </c>
      <c r="H191" s="126">
        <v>2659100</v>
      </c>
      <c r="I191" s="77">
        <v>2659100</v>
      </c>
      <c r="J191" s="68">
        <v>0.02</v>
      </c>
      <c r="K191" s="33">
        <v>53182</v>
      </c>
      <c r="L191" s="18">
        <v>45901</v>
      </c>
      <c r="M191" s="18">
        <v>45911</v>
      </c>
      <c r="N191" s="115" t="s">
        <v>344</v>
      </c>
      <c r="O191" s="128">
        <v>1</v>
      </c>
      <c r="P191" s="128"/>
      <c r="Q191" s="128"/>
      <c r="R191" s="73"/>
      <c r="S191" s="21"/>
      <c r="T191" s="48" t="s">
        <v>430</v>
      </c>
      <c r="U191" s="46" t="s">
        <v>430</v>
      </c>
      <c r="V191" s="71" t="s">
        <v>430</v>
      </c>
      <c r="W191" s="72" t="s">
        <v>39</v>
      </c>
    </row>
    <row r="192" spans="1:23" s="84" customFormat="1" ht="23.25" customHeight="1">
      <c r="A192" s="26" t="s">
        <v>430</v>
      </c>
      <c r="B192" s="107" t="s">
        <v>231</v>
      </c>
      <c r="C192" s="108" t="s">
        <v>490</v>
      </c>
      <c r="D192" s="17" t="s">
        <v>54</v>
      </c>
      <c r="E192" s="24" t="s">
        <v>227</v>
      </c>
      <c r="F192" s="109" t="s">
        <v>232</v>
      </c>
      <c r="G192" s="109" t="s">
        <v>23</v>
      </c>
      <c r="H192" s="126">
        <v>68992100</v>
      </c>
      <c r="I192" s="77">
        <v>68992100</v>
      </c>
      <c r="J192" s="68">
        <v>0.02</v>
      </c>
      <c r="K192" s="33">
        <v>1379842</v>
      </c>
      <c r="L192" s="18">
        <v>45901</v>
      </c>
      <c r="M192" s="18">
        <v>45911</v>
      </c>
      <c r="N192" s="115" t="s">
        <v>344</v>
      </c>
      <c r="O192" s="128">
        <v>30</v>
      </c>
      <c r="P192" s="128"/>
      <c r="Q192" s="128"/>
      <c r="R192" s="73"/>
      <c r="S192" s="21"/>
      <c r="T192" s="48" t="s">
        <v>430</v>
      </c>
      <c r="U192" s="46" t="s">
        <v>430</v>
      </c>
      <c r="V192" s="71" t="s">
        <v>430</v>
      </c>
      <c r="W192" s="72" t="s">
        <v>39</v>
      </c>
    </row>
    <row r="193" spans="1:23" s="84" customFormat="1" ht="23.25" customHeight="1">
      <c r="A193" s="26" t="s">
        <v>430</v>
      </c>
      <c r="B193" s="107" t="s">
        <v>339</v>
      </c>
      <c r="C193" s="108" t="s">
        <v>330</v>
      </c>
      <c r="D193" s="17" t="s">
        <v>54</v>
      </c>
      <c r="E193" s="24" t="s">
        <v>222</v>
      </c>
      <c r="F193" s="109" t="s">
        <v>340</v>
      </c>
      <c r="G193" s="109" t="s">
        <v>23</v>
      </c>
      <c r="H193" s="126">
        <v>107953600</v>
      </c>
      <c r="I193" s="77">
        <v>107953600</v>
      </c>
      <c r="J193" s="68">
        <v>0.02</v>
      </c>
      <c r="K193" s="33">
        <v>2159072</v>
      </c>
      <c r="L193" s="18">
        <v>45901</v>
      </c>
      <c r="M193" s="18">
        <v>45911</v>
      </c>
      <c r="N193" s="115" t="s">
        <v>344</v>
      </c>
      <c r="O193" s="128">
        <v>113</v>
      </c>
      <c r="P193" s="128"/>
      <c r="Q193" s="128"/>
      <c r="R193" s="73"/>
      <c r="S193" s="21"/>
      <c r="T193" s="48" t="s">
        <v>430</v>
      </c>
      <c r="U193" s="46" t="s">
        <v>430</v>
      </c>
      <c r="V193" s="71" t="s">
        <v>430</v>
      </c>
      <c r="W193" s="72" t="s">
        <v>39</v>
      </c>
    </row>
    <row r="194" spans="1:23" s="84" customFormat="1" ht="23.25" customHeight="1">
      <c r="A194" s="26" t="s">
        <v>430</v>
      </c>
      <c r="B194" s="107" t="s">
        <v>226</v>
      </c>
      <c r="C194" s="108" t="s">
        <v>602</v>
      </c>
      <c r="D194" s="17" t="s">
        <v>54</v>
      </c>
      <c r="E194" s="24" t="s">
        <v>227</v>
      </c>
      <c r="F194" s="109" t="s">
        <v>228</v>
      </c>
      <c r="G194" s="109" t="s">
        <v>23</v>
      </c>
      <c r="H194" s="126">
        <v>943200</v>
      </c>
      <c r="I194" s="77">
        <v>943200</v>
      </c>
      <c r="J194" s="68">
        <v>0.02</v>
      </c>
      <c r="K194" s="33">
        <v>18864</v>
      </c>
      <c r="L194" s="18">
        <v>45902</v>
      </c>
      <c r="M194" s="18">
        <v>45912</v>
      </c>
      <c r="N194" s="115" t="s">
        <v>344</v>
      </c>
      <c r="O194" s="128">
        <v>2</v>
      </c>
      <c r="P194" s="128"/>
      <c r="Q194" s="128"/>
      <c r="R194" s="73"/>
      <c r="S194" s="21"/>
      <c r="T194" s="48" t="s">
        <v>430</v>
      </c>
      <c r="U194" s="46" t="s">
        <v>430</v>
      </c>
      <c r="V194" s="71" t="s">
        <v>430</v>
      </c>
      <c r="W194" s="72" t="s">
        <v>39</v>
      </c>
    </row>
    <row r="195" spans="1:23" s="84" customFormat="1" ht="23.25" customHeight="1">
      <c r="A195" s="26" t="s">
        <v>430</v>
      </c>
      <c r="B195" s="107" t="s">
        <v>229</v>
      </c>
      <c r="C195" s="108" t="s">
        <v>603</v>
      </c>
      <c r="D195" s="17" t="s">
        <v>54</v>
      </c>
      <c r="E195" s="24" t="s">
        <v>227</v>
      </c>
      <c r="F195" s="109" t="s">
        <v>230</v>
      </c>
      <c r="G195" s="109" t="s">
        <v>23</v>
      </c>
      <c r="H195" s="126">
        <v>2750800</v>
      </c>
      <c r="I195" s="77">
        <v>2750800</v>
      </c>
      <c r="J195" s="68">
        <v>0.02</v>
      </c>
      <c r="K195" s="33">
        <v>55016</v>
      </c>
      <c r="L195" s="18">
        <v>45902</v>
      </c>
      <c r="M195" s="18">
        <v>45912</v>
      </c>
      <c r="N195" s="115" t="s">
        <v>344</v>
      </c>
      <c r="O195" s="128">
        <v>8</v>
      </c>
      <c r="P195" s="128"/>
      <c r="Q195" s="128"/>
      <c r="R195" s="73"/>
      <c r="S195" s="21"/>
      <c r="T195" s="48" t="s">
        <v>430</v>
      </c>
      <c r="U195" s="48" t="s">
        <v>430</v>
      </c>
      <c r="V195" s="71" t="s">
        <v>430</v>
      </c>
      <c r="W195" s="72" t="s">
        <v>39</v>
      </c>
    </row>
    <row r="196" spans="1:23" s="84" customFormat="1" ht="23.25" customHeight="1">
      <c r="A196" s="26" t="s">
        <v>430</v>
      </c>
      <c r="B196" s="107" t="s">
        <v>231</v>
      </c>
      <c r="C196" s="108" t="s">
        <v>490</v>
      </c>
      <c r="D196" s="17" t="s">
        <v>54</v>
      </c>
      <c r="E196" s="24" t="s">
        <v>227</v>
      </c>
      <c r="F196" s="109" t="s">
        <v>232</v>
      </c>
      <c r="G196" s="109" t="s">
        <v>23</v>
      </c>
      <c r="H196" s="126">
        <v>3786600</v>
      </c>
      <c r="I196" s="77">
        <v>3786600</v>
      </c>
      <c r="J196" s="68">
        <v>0.02</v>
      </c>
      <c r="K196" s="33">
        <v>75732</v>
      </c>
      <c r="L196" s="18">
        <v>45902</v>
      </c>
      <c r="M196" s="18">
        <v>45912</v>
      </c>
      <c r="N196" s="115" t="s">
        <v>344</v>
      </c>
      <c r="O196" s="128">
        <v>2</v>
      </c>
      <c r="P196" s="128"/>
      <c r="Q196" s="128"/>
      <c r="R196" s="73"/>
      <c r="S196" s="21"/>
      <c r="T196" s="48" t="s">
        <v>430</v>
      </c>
      <c r="U196" s="46" t="s">
        <v>430</v>
      </c>
      <c r="V196" s="71" t="s">
        <v>430</v>
      </c>
      <c r="W196" s="72" t="s">
        <v>39</v>
      </c>
    </row>
    <row r="197" spans="1:23" s="84" customFormat="1" ht="23.25" customHeight="1">
      <c r="A197" s="26" t="s">
        <v>430</v>
      </c>
      <c r="B197" s="107" t="s">
        <v>341</v>
      </c>
      <c r="C197" s="108" t="s">
        <v>492</v>
      </c>
      <c r="D197" s="17" t="s">
        <v>54</v>
      </c>
      <c r="E197" s="24" t="s">
        <v>222</v>
      </c>
      <c r="F197" s="109" t="s">
        <v>342</v>
      </c>
      <c r="G197" s="109" t="s">
        <v>23</v>
      </c>
      <c r="H197" s="126">
        <v>15586100</v>
      </c>
      <c r="I197" s="77">
        <v>15586100</v>
      </c>
      <c r="J197" s="68">
        <v>0.02</v>
      </c>
      <c r="K197" s="33">
        <v>311722</v>
      </c>
      <c r="L197" s="18">
        <v>45902</v>
      </c>
      <c r="M197" s="18">
        <v>45912</v>
      </c>
      <c r="N197" s="115" t="s">
        <v>344</v>
      </c>
      <c r="O197" s="128">
        <v>4</v>
      </c>
      <c r="P197" s="128"/>
      <c r="Q197" s="128"/>
      <c r="R197" s="73"/>
      <c r="S197" s="21"/>
      <c r="T197" s="48" t="s">
        <v>430</v>
      </c>
      <c r="U197" s="46" t="s">
        <v>430</v>
      </c>
      <c r="V197" s="71" t="s">
        <v>430</v>
      </c>
      <c r="W197" s="72" t="s">
        <v>39</v>
      </c>
    </row>
    <row r="198" spans="1:23" s="84" customFormat="1" ht="23.25" customHeight="1">
      <c r="A198" s="26" t="s">
        <v>430</v>
      </c>
      <c r="B198" s="107" t="s">
        <v>102</v>
      </c>
      <c r="C198" s="108" t="s">
        <v>598</v>
      </c>
      <c r="D198" s="17" t="s">
        <v>54</v>
      </c>
      <c r="E198" s="24" t="s">
        <v>222</v>
      </c>
      <c r="F198" s="109" t="s">
        <v>103</v>
      </c>
      <c r="G198" s="109" t="s">
        <v>23</v>
      </c>
      <c r="H198" s="126">
        <v>263000</v>
      </c>
      <c r="I198" s="77">
        <v>263000</v>
      </c>
      <c r="J198" s="68">
        <v>0.05</v>
      </c>
      <c r="K198" s="33">
        <v>13150</v>
      </c>
      <c r="L198" s="18">
        <v>45908</v>
      </c>
      <c r="M198" s="18">
        <v>45918</v>
      </c>
      <c r="N198" s="115" t="s">
        <v>344</v>
      </c>
      <c r="O198" s="128">
        <v>2</v>
      </c>
      <c r="P198" s="128"/>
      <c r="Q198" s="128"/>
      <c r="R198" s="73"/>
      <c r="S198" s="21"/>
      <c r="T198" s="48" t="s">
        <v>430</v>
      </c>
      <c r="U198" s="46" t="s">
        <v>430</v>
      </c>
      <c r="V198" s="71" t="s">
        <v>430</v>
      </c>
      <c r="W198" s="72" t="s">
        <v>39</v>
      </c>
    </row>
    <row r="199" spans="1:23" s="84" customFormat="1" ht="23.25" customHeight="1">
      <c r="A199" s="26" t="s">
        <v>430</v>
      </c>
      <c r="B199" s="107" t="s">
        <v>47</v>
      </c>
      <c r="C199" s="108" t="s">
        <v>330</v>
      </c>
      <c r="D199" s="17" t="s">
        <v>54</v>
      </c>
      <c r="E199" s="24" t="s">
        <v>53</v>
      </c>
      <c r="F199" s="109" t="s">
        <v>48</v>
      </c>
      <c r="G199" s="109" t="s">
        <v>23</v>
      </c>
      <c r="H199" s="126">
        <v>2929240</v>
      </c>
      <c r="I199" s="77">
        <v>2929240</v>
      </c>
      <c r="J199" s="68">
        <v>0.1</v>
      </c>
      <c r="K199" s="33">
        <v>292924</v>
      </c>
      <c r="L199" s="18">
        <v>45909</v>
      </c>
      <c r="M199" s="18">
        <v>45919</v>
      </c>
      <c r="N199" s="115" t="s">
        <v>344</v>
      </c>
      <c r="O199" s="128">
        <v>2</v>
      </c>
      <c r="P199" s="128"/>
      <c r="Q199" s="128"/>
      <c r="R199" s="73"/>
      <c r="S199" s="21"/>
      <c r="T199" s="48" t="s">
        <v>430</v>
      </c>
      <c r="U199" s="46" t="s">
        <v>430</v>
      </c>
      <c r="V199" s="71" t="s">
        <v>430</v>
      </c>
      <c r="W199" s="72" t="s">
        <v>39</v>
      </c>
    </row>
    <row r="200" spans="1:23" s="84" customFormat="1" ht="23.25" customHeight="1">
      <c r="A200" s="26" t="s">
        <v>430</v>
      </c>
      <c r="B200" s="107" t="s">
        <v>226</v>
      </c>
      <c r="C200" s="108" t="s">
        <v>602</v>
      </c>
      <c r="D200" s="17" t="s">
        <v>54</v>
      </c>
      <c r="E200" s="24" t="s">
        <v>227</v>
      </c>
      <c r="F200" s="109" t="s">
        <v>228</v>
      </c>
      <c r="G200" s="109" t="s">
        <v>23</v>
      </c>
      <c r="H200" s="126">
        <v>978300</v>
      </c>
      <c r="I200" s="77">
        <v>978300</v>
      </c>
      <c r="J200" s="68">
        <v>0.02</v>
      </c>
      <c r="K200" s="33">
        <v>19566</v>
      </c>
      <c r="L200" s="18">
        <v>45909</v>
      </c>
      <c r="M200" s="18">
        <v>45919</v>
      </c>
      <c r="N200" s="115" t="s">
        <v>344</v>
      </c>
      <c r="O200" s="128">
        <v>4</v>
      </c>
      <c r="P200" s="128"/>
      <c r="Q200" s="128"/>
      <c r="R200" s="73"/>
      <c r="S200" s="21"/>
      <c r="T200" s="48" t="s">
        <v>430</v>
      </c>
      <c r="U200" s="46" t="s">
        <v>430</v>
      </c>
      <c r="V200" s="71" t="s">
        <v>430</v>
      </c>
      <c r="W200" s="72" t="s">
        <v>39</v>
      </c>
    </row>
    <row r="201" spans="1:23" s="84" customFormat="1" ht="23.25" customHeight="1">
      <c r="A201" s="26" t="s">
        <v>430</v>
      </c>
      <c r="B201" s="107" t="s">
        <v>231</v>
      </c>
      <c r="C201" s="108" t="s">
        <v>490</v>
      </c>
      <c r="D201" s="17" t="s">
        <v>54</v>
      </c>
      <c r="E201" s="24" t="s">
        <v>227</v>
      </c>
      <c r="F201" s="109" t="s">
        <v>232</v>
      </c>
      <c r="G201" s="109" t="s">
        <v>23</v>
      </c>
      <c r="H201" s="126">
        <v>13428600</v>
      </c>
      <c r="I201" s="77">
        <v>13428600</v>
      </c>
      <c r="J201" s="68">
        <v>0.02</v>
      </c>
      <c r="K201" s="33">
        <v>268572</v>
      </c>
      <c r="L201" s="18">
        <v>45910</v>
      </c>
      <c r="M201" s="18">
        <v>45920</v>
      </c>
      <c r="N201" s="115" t="s">
        <v>344</v>
      </c>
      <c r="O201" s="128">
        <v>12</v>
      </c>
      <c r="P201" s="128"/>
      <c r="Q201" s="128"/>
      <c r="R201" s="73"/>
      <c r="S201" s="21"/>
      <c r="T201" s="48" t="s">
        <v>430</v>
      </c>
      <c r="U201" s="46" t="s">
        <v>430</v>
      </c>
      <c r="V201" s="71" t="s">
        <v>430</v>
      </c>
      <c r="W201" s="72" t="s">
        <v>39</v>
      </c>
    </row>
    <row r="202" spans="1:23" s="84" customFormat="1" ht="23.25" customHeight="1">
      <c r="A202" s="26" t="s">
        <v>430</v>
      </c>
      <c r="B202" s="107" t="s">
        <v>233</v>
      </c>
      <c r="C202" s="108" t="s">
        <v>604</v>
      </c>
      <c r="D202" s="17" t="s">
        <v>54</v>
      </c>
      <c r="E202" s="24" t="s">
        <v>222</v>
      </c>
      <c r="F202" s="109" t="s">
        <v>234</v>
      </c>
      <c r="G202" s="109" t="s">
        <v>23</v>
      </c>
      <c r="H202" s="126">
        <v>2659100</v>
      </c>
      <c r="I202" s="77">
        <v>2659100</v>
      </c>
      <c r="J202" s="68">
        <v>0.02</v>
      </c>
      <c r="K202" s="33">
        <v>53182</v>
      </c>
      <c r="L202" s="18">
        <v>45910</v>
      </c>
      <c r="M202" s="18">
        <v>45920</v>
      </c>
      <c r="N202" s="115" t="s">
        <v>344</v>
      </c>
      <c r="O202" s="128">
        <v>1</v>
      </c>
      <c r="P202" s="128"/>
      <c r="Q202" s="128"/>
      <c r="R202" s="73"/>
      <c r="S202" s="21"/>
      <c r="T202" s="48" t="s">
        <v>430</v>
      </c>
      <c r="U202" s="46" t="s">
        <v>430</v>
      </c>
      <c r="V202" s="71" t="s">
        <v>430</v>
      </c>
      <c r="W202" s="72" t="s">
        <v>39</v>
      </c>
    </row>
    <row r="203" spans="1:23" s="84" customFormat="1" ht="23.25" customHeight="1">
      <c r="A203" s="26" t="s">
        <v>430</v>
      </c>
      <c r="B203" s="107" t="s">
        <v>235</v>
      </c>
      <c r="C203" s="108" t="s">
        <v>490</v>
      </c>
      <c r="D203" s="17" t="s">
        <v>54</v>
      </c>
      <c r="E203" s="24" t="s">
        <v>222</v>
      </c>
      <c r="F203" s="109" t="s">
        <v>236</v>
      </c>
      <c r="G203" s="109" t="s">
        <v>23</v>
      </c>
      <c r="H203" s="126">
        <v>4367600</v>
      </c>
      <c r="I203" s="77">
        <v>4367600</v>
      </c>
      <c r="J203" s="68">
        <v>0.02</v>
      </c>
      <c r="K203" s="33">
        <v>87352</v>
      </c>
      <c r="L203" s="18">
        <v>45910</v>
      </c>
      <c r="M203" s="18">
        <v>45920</v>
      </c>
      <c r="N203" s="115" t="s">
        <v>344</v>
      </c>
      <c r="O203" s="128">
        <v>2</v>
      </c>
      <c r="P203" s="128"/>
      <c r="Q203" s="128"/>
      <c r="R203" s="73"/>
      <c r="S203" s="21"/>
      <c r="T203" s="48" t="s">
        <v>430</v>
      </c>
      <c r="U203" s="46" t="s">
        <v>430</v>
      </c>
      <c r="V203" s="71" t="s">
        <v>430</v>
      </c>
      <c r="W203" s="72" t="s">
        <v>39</v>
      </c>
    </row>
    <row r="204" spans="1:23" s="84" customFormat="1" ht="23.25" customHeight="1">
      <c r="A204" s="26" t="s">
        <v>430</v>
      </c>
      <c r="B204" s="142" t="s">
        <v>341</v>
      </c>
      <c r="C204" s="108" t="s">
        <v>492</v>
      </c>
      <c r="D204" s="17" t="s">
        <v>54</v>
      </c>
      <c r="E204" s="24" t="s">
        <v>222</v>
      </c>
      <c r="F204" s="109" t="s">
        <v>342</v>
      </c>
      <c r="G204" s="109" t="s">
        <v>23</v>
      </c>
      <c r="H204" s="126">
        <v>451800</v>
      </c>
      <c r="I204" s="77">
        <v>451800</v>
      </c>
      <c r="J204" s="68">
        <v>0.02</v>
      </c>
      <c r="K204" s="33">
        <v>9036</v>
      </c>
      <c r="L204" s="18">
        <v>45910</v>
      </c>
      <c r="M204" s="18">
        <v>45920</v>
      </c>
      <c r="N204" s="115" t="s">
        <v>344</v>
      </c>
      <c r="O204" s="128">
        <v>9</v>
      </c>
      <c r="P204" s="128"/>
      <c r="Q204" s="128"/>
      <c r="R204" s="73"/>
      <c r="S204" s="21"/>
      <c r="T204" s="48" t="s">
        <v>430</v>
      </c>
      <c r="U204" s="46" t="s">
        <v>430</v>
      </c>
      <c r="V204" s="71" t="s">
        <v>430</v>
      </c>
      <c r="W204" s="72" t="s">
        <v>39</v>
      </c>
    </row>
    <row r="205" spans="1:23" s="84" customFormat="1" ht="23.25" customHeight="1">
      <c r="A205" s="26" t="s">
        <v>430</v>
      </c>
      <c r="B205" s="107" t="s">
        <v>231</v>
      </c>
      <c r="C205" s="108" t="s">
        <v>490</v>
      </c>
      <c r="D205" s="17" t="s">
        <v>54</v>
      </c>
      <c r="E205" s="24" t="s">
        <v>227</v>
      </c>
      <c r="F205" s="109" t="s">
        <v>232</v>
      </c>
      <c r="G205" s="109" t="s">
        <v>23</v>
      </c>
      <c r="H205" s="126">
        <v>6747800</v>
      </c>
      <c r="I205" s="77">
        <v>6747800</v>
      </c>
      <c r="J205" s="68">
        <v>0.02</v>
      </c>
      <c r="K205" s="33">
        <v>134956</v>
      </c>
      <c r="L205" s="18">
        <v>45913</v>
      </c>
      <c r="M205" s="18">
        <v>45923</v>
      </c>
      <c r="N205" s="115" t="s">
        <v>344</v>
      </c>
      <c r="O205" s="128">
        <v>15</v>
      </c>
      <c r="P205" s="128"/>
      <c r="Q205" s="128"/>
      <c r="R205" s="73"/>
      <c r="S205" s="21"/>
      <c r="T205" s="48" t="s">
        <v>430</v>
      </c>
      <c r="U205" s="46" t="s">
        <v>430</v>
      </c>
      <c r="V205" s="71" t="s">
        <v>430</v>
      </c>
      <c r="W205" s="72" t="s">
        <v>39</v>
      </c>
    </row>
    <row r="206" spans="1:23" s="84" customFormat="1" ht="23.25" customHeight="1">
      <c r="A206" s="26" t="s">
        <v>430</v>
      </c>
      <c r="B206" s="107" t="s">
        <v>233</v>
      </c>
      <c r="C206" s="108" t="s">
        <v>604</v>
      </c>
      <c r="D206" s="17" t="s">
        <v>54</v>
      </c>
      <c r="E206" s="24" t="s">
        <v>222</v>
      </c>
      <c r="F206" s="109" t="s">
        <v>234</v>
      </c>
      <c r="G206" s="109" t="s">
        <v>23</v>
      </c>
      <c r="H206" s="126">
        <v>401600</v>
      </c>
      <c r="I206" s="77">
        <v>401600</v>
      </c>
      <c r="J206" s="68">
        <v>0.02</v>
      </c>
      <c r="K206" s="33">
        <v>8032</v>
      </c>
      <c r="L206" s="18">
        <v>45913</v>
      </c>
      <c r="M206" s="18">
        <v>45923</v>
      </c>
      <c r="N206" s="115" t="s">
        <v>344</v>
      </c>
      <c r="O206" s="128">
        <v>8</v>
      </c>
      <c r="P206" s="128"/>
      <c r="Q206" s="128"/>
      <c r="R206" s="73"/>
      <c r="S206" s="21"/>
      <c r="T206" s="48" t="s">
        <v>430</v>
      </c>
      <c r="U206" s="46" t="s">
        <v>430</v>
      </c>
      <c r="V206" s="71" t="s">
        <v>430</v>
      </c>
      <c r="W206" s="72" t="s">
        <v>39</v>
      </c>
    </row>
    <row r="207" spans="1:23" s="84" customFormat="1" ht="23.25" customHeight="1">
      <c r="A207" s="26" t="s">
        <v>430</v>
      </c>
      <c r="B207" s="107" t="s">
        <v>187</v>
      </c>
      <c r="C207" s="108" t="s">
        <v>601</v>
      </c>
      <c r="D207" s="17" t="s">
        <v>54</v>
      </c>
      <c r="E207" s="24" t="s">
        <v>222</v>
      </c>
      <c r="F207" s="109" t="s">
        <v>188</v>
      </c>
      <c r="G207" s="109" t="s">
        <v>23</v>
      </c>
      <c r="H207" s="126">
        <v>2563400</v>
      </c>
      <c r="I207" s="77">
        <v>2563400</v>
      </c>
      <c r="J207" s="68">
        <v>0.02</v>
      </c>
      <c r="K207" s="33">
        <v>51268</v>
      </c>
      <c r="L207" s="18">
        <v>45914</v>
      </c>
      <c r="M207" s="18">
        <v>45924</v>
      </c>
      <c r="N207" s="115" t="s">
        <v>344</v>
      </c>
      <c r="O207" s="128">
        <v>18</v>
      </c>
      <c r="P207" s="128"/>
      <c r="Q207" s="128"/>
      <c r="R207" s="73"/>
      <c r="S207" s="21"/>
      <c r="T207" s="48" t="s">
        <v>430</v>
      </c>
      <c r="U207" s="46" t="s">
        <v>430</v>
      </c>
      <c r="V207" s="71" t="s">
        <v>430</v>
      </c>
      <c r="W207" s="72" t="s">
        <v>39</v>
      </c>
    </row>
    <row r="208" spans="1:23" s="84" customFormat="1" ht="23.25" customHeight="1">
      <c r="A208" s="26" t="s">
        <v>430</v>
      </c>
      <c r="B208" s="107" t="s">
        <v>47</v>
      </c>
      <c r="C208" s="108" t="s">
        <v>330</v>
      </c>
      <c r="D208" s="17" t="s">
        <v>54</v>
      </c>
      <c r="E208" s="24" t="s">
        <v>53</v>
      </c>
      <c r="F208" s="109" t="s">
        <v>48</v>
      </c>
      <c r="G208" s="109" t="s">
        <v>23</v>
      </c>
      <c r="H208" s="126">
        <v>3375080</v>
      </c>
      <c r="I208" s="77">
        <v>3375080</v>
      </c>
      <c r="J208" s="68">
        <v>0.1</v>
      </c>
      <c r="K208" s="33">
        <v>337508</v>
      </c>
      <c r="L208" s="18">
        <v>45915</v>
      </c>
      <c r="M208" s="18">
        <v>45925</v>
      </c>
      <c r="N208" s="115" t="s">
        <v>344</v>
      </c>
      <c r="O208" s="128">
        <v>4</v>
      </c>
      <c r="P208" s="128"/>
      <c r="Q208" s="128"/>
      <c r="R208" s="73"/>
      <c r="S208" s="21"/>
      <c r="T208" s="48" t="s">
        <v>430</v>
      </c>
      <c r="U208" s="46" t="s">
        <v>430</v>
      </c>
      <c r="V208" s="71" t="s">
        <v>430</v>
      </c>
      <c r="W208" s="72" t="s">
        <v>39</v>
      </c>
    </row>
    <row r="209" spans="1:23" s="84" customFormat="1" ht="23.25" customHeight="1">
      <c r="A209" s="26" t="s">
        <v>430</v>
      </c>
      <c r="B209" s="107" t="s">
        <v>226</v>
      </c>
      <c r="C209" s="108" t="s">
        <v>602</v>
      </c>
      <c r="D209" s="17" t="s">
        <v>54</v>
      </c>
      <c r="E209" s="24" t="s">
        <v>227</v>
      </c>
      <c r="F209" s="109" t="s">
        <v>228</v>
      </c>
      <c r="G209" s="109" t="s">
        <v>23</v>
      </c>
      <c r="H209" s="126">
        <v>2803200</v>
      </c>
      <c r="I209" s="77">
        <v>2803200</v>
      </c>
      <c r="J209" s="68">
        <v>0.02</v>
      </c>
      <c r="K209" s="33">
        <v>56064</v>
      </c>
      <c r="L209" s="18">
        <v>45916</v>
      </c>
      <c r="M209" s="18">
        <v>45926</v>
      </c>
      <c r="N209" s="115" t="s">
        <v>344</v>
      </c>
      <c r="O209" s="128">
        <v>6</v>
      </c>
      <c r="P209" s="128"/>
      <c r="Q209" s="128"/>
      <c r="R209" s="73"/>
      <c r="S209" s="21"/>
      <c r="T209" s="48" t="s">
        <v>430</v>
      </c>
      <c r="U209" s="46" t="s">
        <v>430</v>
      </c>
      <c r="V209" s="71" t="s">
        <v>430</v>
      </c>
      <c r="W209" s="72" t="s">
        <v>39</v>
      </c>
    </row>
    <row r="210" spans="1:23" s="84" customFormat="1" ht="23.25" customHeight="1">
      <c r="A210" s="26" t="s">
        <v>430</v>
      </c>
      <c r="B210" s="107" t="s">
        <v>233</v>
      </c>
      <c r="C210" s="108" t="s">
        <v>604</v>
      </c>
      <c r="D210" s="17" t="s">
        <v>54</v>
      </c>
      <c r="E210" s="24" t="s">
        <v>222</v>
      </c>
      <c r="F210" s="109" t="s">
        <v>234</v>
      </c>
      <c r="G210" s="109" t="s">
        <v>23</v>
      </c>
      <c r="H210" s="126">
        <v>1416600</v>
      </c>
      <c r="I210" s="77">
        <v>1416600</v>
      </c>
      <c r="J210" s="68">
        <v>0.02</v>
      </c>
      <c r="K210" s="33">
        <v>28332</v>
      </c>
      <c r="L210" s="18">
        <v>45916</v>
      </c>
      <c r="M210" s="18">
        <v>45926</v>
      </c>
      <c r="N210" s="115" t="s">
        <v>344</v>
      </c>
      <c r="O210" s="128">
        <v>3</v>
      </c>
      <c r="P210" s="128"/>
      <c r="Q210" s="128"/>
      <c r="R210" s="73"/>
      <c r="S210" s="21"/>
      <c r="T210" s="48" t="s">
        <v>430</v>
      </c>
      <c r="U210" s="46" t="s">
        <v>430</v>
      </c>
      <c r="V210" s="71" t="s">
        <v>430</v>
      </c>
      <c r="W210" s="72" t="s">
        <v>39</v>
      </c>
    </row>
    <row r="211" spans="1:23" s="84" customFormat="1" ht="23.25" customHeight="1">
      <c r="A211" s="26" t="s">
        <v>430</v>
      </c>
      <c r="B211" s="107" t="s">
        <v>85</v>
      </c>
      <c r="C211" s="108" t="s">
        <v>225</v>
      </c>
      <c r="D211" s="17" t="s">
        <v>54</v>
      </c>
      <c r="E211" s="24" t="s">
        <v>221</v>
      </c>
      <c r="F211" s="109" t="s">
        <v>86</v>
      </c>
      <c r="G211" s="109" t="s">
        <v>23</v>
      </c>
      <c r="H211" s="126">
        <v>59459410</v>
      </c>
      <c r="I211" s="77">
        <v>59459410</v>
      </c>
      <c r="J211" s="68">
        <v>0.2</v>
      </c>
      <c r="K211" s="33">
        <v>11891882</v>
      </c>
      <c r="L211" s="18">
        <v>45917</v>
      </c>
      <c r="M211" s="18">
        <v>45927</v>
      </c>
      <c r="N211" s="115" t="s">
        <v>344</v>
      </c>
      <c r="O211" s="128">
        <v>6</v>
      </c>
      <c r="P211" s="128"/>
      <c r="Q211" s="128"/>
      <c r="R211" s="73"/>
      <c r="S211" s="21"/>
      <c r="T211" s="48" t="s">
        <v>430</v>
      </c>
      <c r="U211" s="48" t="s">
        <v>430</v>
      </c>
      <c r="V211" s="71" t="s">
        <v>430</v>
      </c>
      <c r="W211" s="72" t="s">
        <v>39</v>
      </c>
    </row>
    <row r="212" spans="1:23" s="84" customFormat="1" ht="23.25" customHeight="1">
      <c r="A212" s="26" t="s">
        <v>430</v>
      </c>
      <c r="B212" s="107" t="s">
        <v>102</v>
      </c>
      <c r="C212" s="108" t="s">
        <v>598</v>
      </c>
      <c r="D212" s="17" t="s">
        <v>54</v>
      </c>
      <c r="E212" s="24" t="s">
        <v>222</v>
      </c>
      <c r="F212" s="109" t="s">
        <v>103</v>
      </c>
      <c r="G212" s="109" t="s">
        <v>23</v>
      </c>
      <c r="H212" s="126">
        <v>479300</v>
      </c>
      <c r="I212" s="77">
        <v>479300</v>
      </c>
      <c r="J212" s="68">
        <v>0.05</v>
      </c>
      <c r="K212" s="33">
        <v>23965</v>
      </c>
      <c r="L212" s="18">
        <v>45917</v>
      </c>
      <c r="M212" s="18">
        <v>45927</v>
      </c>
      <c r="N212" s="115" t="s">
        <v>344</v>
      </c>
      <c r="O212" s="128">
        <v>1</v>
      </c>
      <c r="P212" s="128"/>
      <c r="Q212" s="128"/>
      <c r="R212" s="73"/>
      <c r="S212" s="21"/>
      <c r="T212" s="48" t="s">
        <v>430</v>
      </c>
      <c r="U212" s="46" t="s">
        <v>430</v>
      </c>
      <c r="V212" s="71" t="s">
        <v>430</v>
      </c>
      <c r="W212" s="72" t="s">
        <v>39</v>
      </c>
    </row>
    <row r="213" spans="1:23" s="84" customFormat="1" ht="23.25" customHeight="1">
      <c r="A213" s="26" t="s">
        <v>430</v>
      </c>
      <c r="B213" s="107" t="s">
        <v>185</v>
      </c>
      <c r="C213" s="108" t="s">
        <v>600</v>
      </c>
      <c r="D213" s="17" t="s">
        <v>54</v>
      </c>
      <c r="E213" s="24" t="s">
        <v>224</v>
      </c>
      <c r="F213" s="109" t="s">
        <v>186</v>
      </c>
      <c r="G213" s="109" t="s">
        <v>23</v>
      </c>
      <c r="H213" s="126">
        <v>21234800</v>
      </c>
      <c r="I213" s="77">
        <v>21234800</v>
      </c>
      <c r="J213" s="68">
        <v>0.02</v>
      </c>
      <c r="K213" s="33">
        <v>424696</v>
      </c>
      <c r="L213" s="18">
        <v>45917</v>
      </c>
      <c r="M213" s="18">
        <v>45927</v>
      </c>
      <c r="N213" s="115" t="s">
        <v>344</v>
      </c>
      <c r="O213" s="128">
        <v>5</v>
      </c>
      <c r="P213" s="128"/>
      <c r="Q213" s="128"/>
      <c r="R213" s="73"/>
      <c r="S213" s="21"/>
      <c r="T213" s="48" t="s">
        <v>430</v>
      </c>
      <c r="U213" s="46" t="s">
        <v>430</v>
      </c>
      <c r="V213" s="71" t="s">
        <v>430</v>
      </c>
      <c r="W213" s="72" t="s">
        <v>39</v>
      </c>
    </row>
    <row r="214" spans="1:23" s="84" customFormat="1" ht="23.25" customHeight="1">
      <c r="A214" s="26" t="s">
        <v>430</v>
      </c>
      <c r="B214" s="107" t="s">
        <v>226</v>
      </c>
      <c r="C214" s="108" t="s">
        <v>602</v>
      </c>
      <c r="D214" s="17" t="s">
        <v>54</v>
      </c>
      <c r="E214" s="24" t="s">
        <v>227</v>
      </c>
      <c r="F214" s="109" t="s">
        <v>228</v>
      </c>
      <c r="G214" s="109" t="s">
        <v>23</v>
      </c>
      <c r="H214" s="126">
        <v>1384800</v>
      </c>
      <c r="I214" s="77">
        <v>1384800</v>
      </c>
      <c r="J214" s="68">
        <v>0.02</v>
      </c>
      <c r="K214" s="33">
        <v>27696</v>
      </c>
      <c r="L214" s="18">
        <v>45917</v>
      </c>
      <c r="M214" s="18">
        <v>45927</v>
      </c>
      <c r="N214" s="115" t="s">
        <v>344</v>
      </c>
      <c r="O214" s="128">
        <v>2</v>
      </c>
      <c r="P214" s="128"/>
      <c r="Q214" s="128"/>
      <c r="R214" s="73"/>
      <c r="S214" s="21"/>
      <c r="T214" s="48" t="s">
        <v>430</v>
      </c>
      <c r="U214" s="46" t="s">
        <v>430</v>
      </c>
      <c r="V214" s="71" t="s">
        <v>430</v>
      </c>
      <c r="W214" s="72" t="s">
        <v>39</v>
      </c>
    </row>
    <row r="215" spans="1:23" s="84" customFormat="1" ht="23.25" customHeight="1">
      <c r="A215" s="26" t="s">
        <v>430</v>
      </c>
      <c r="B215" s="107" t="s">
        <v>231</v>
      </c>
      <c r="C215" s="108" t="s">
        <v>490</v>
      </c>
      <c r="D215" s="17" t="s">
        <v>54</v>
      </c>
      <c r="E215" s="24" t="s">
        <v>227</v>
      </c>
      <c r="F215" s="109" t="s">
        <v>232</v>
      </c>
      <c r="G215" s="109" t="s">
        <v>23</v>
      </c>
      <c r="H215" s="126">
        <v>40329200</v>
      </c>
      <c r="I215" s="77">
        <v>40329200</v>
      </c>
      <c r="J215" s="68">
        <v>0.02</v>
      </c>
      <c r="K215" s="33">
        <v>806584</v>
      </c>
      <c r="L215" s="18">
        <v>45917</v>
      </c>
      <c r="M215" s="18">
        <v>45927</v>
      </c>
      <c r="N215" s="115" t="s">
        <v>344</v>
      </c>
      <c r="O215" s="128">
        <v>2</v>
      </c>
      <c r="P215" s="128"/>
      <c r="Q215" s="128"/>
      <c r="R215" s="73"/>
      <c r="S215" s="21"/>
      <c r="T215" s="48" t="s">
        <v>430</v>
      </c>
      <c r="U215" s="46" t="s">
        <v>430</v>
      </c>
      <c r="V215" s="71" t="s">
        <v>430</v>
      </c>
      <c r="W215" s="72" t="s">
        <v>39</v>
      </c>
    </row>
    <row r="216" spans="1:23" s="84" customFormat="1" ht="23.25" customHeight="1">
      <c r="A216" s="26" t="s">
        <v>430</v>
      </c>
      <c r="B216" s="107" t="s">
        <v>233</v>
      </c>
      <c r="C216" s="108" t="s">
        <v>604</v>
      </c>
      <c r="D216" s="17" t="s">
        <v>54</v>
      </c>
      <c r="E216" s="24" t="s">
        <v>222</v>
      </c>
      <c r="F216" s="109" t="s">
        <v>234</v>
      </c>
      <c r="G216" s="109" t="s">
        <v>23</v>
      </c>
      <c r="H216" s="126">
        <v>2238200</v>
      </c>
      <c r="I216" s="77">
        <v>2238200</v>
      </c>
      <c r="J216" s="68">
        <v>0.02</v>
      </c>
      <c r="K216" s="33">
        <v>44764</v>
      </c>
      <c r="L216" s="18">
        <v>45917</v>
      </c>
      <c r="M216" s="18">
        <v>45927</v>
      </c>
      <c r="N216" s="115" t="s">
        <v>344</v>
      </c>
      <c r="O216" s="128">
        <v>6</v>
      </c>
      <c r="P216" s="128"/>
      <c r="Q216" s="128"/>
      <c r="R216" s="73"/>
      <c r="S216" s="21"/>
      <c r="T216" s="48" t="s">
        <v>430</v>
      </c>
      <c r="U216" s="46" t="s">
        <v>430</v>
      </c>
      <c r="V216" s="71" t="s">
        <v>430</v>
      </c>
      <c r="W216" s="72" t="s">
        <v>39</v>
      </c>
    </row>
    <row r="217" spans="1:23" s="84" customFormat="1" ht="23.25" customHeight="1">
      <c r="A217" s="26" t="s">
        <v>430</v>
      </c>
      <c r="B217" s="107" t="s">
        <v>102</v>
      </c>
      <c r="C217" s="108" t="s">
        <v>598</v>
      </c>
      <c r="D217" s="17" t="s">
        <v>54</v>
      </c>
      <c r="E217" s="24" t="s">
        <v>222</v>
      </c>
      <c r="F217" s="109" t="s">
        <v>103</v>
      </c>
      <c r="G217" s="109" t="s">
        <v>23</v>
      </c>
      <c r="H217" s="126">
        <v>1175600</v>
      </c>
      <c r="I217" s="77">
        <v>1175600</v>
      </c>
      <c r="J217" s="68">
        <v>0.05</v>
      </c>
      <c r="K217" s="33">
        <v>58780</v>
      </c>
      <c r="L217" s="18">
        <v>45920</v>
      </c>
      <c r="M217" s="18">
        <v>45930</v>
      </c>
      <c r="N217" s="115" t="s">
        <v>344</v>
      </c>
      <c r="O217" s="128">
        <v>1</v>
      </c>
      <c r="P217" s="128"/>
      <c r="Q217" s="128"/>
      <c r="R217" s="73"/>
      <c r="S217" s="21"/>
      <c r="T217" s="48" t="s">
        <v>430</v>
      </c>
      <c r="U217" s="46" t="s">
        <v>430</v>
      </c>
      <c r="V217" s="71" t="s">
        <v>430</v>
      </c>
      <c r="W217" s="72" t="s">
        <v>39</v>
      </c>
    </row>
    <row r="218" spans="1:23" s="84" customFormat="1" ht="23.25" customHeight="1">
      <c r="A218" s="26" t="s">
        <v>430</v>
      </c>
      <c r="B218" s="107" t="s">
        <v>108</v>
      </c>
      <c r="C218" s="108" t="s">
        <v>599</v>
      </c>
      <c r="D218" s="17" t="s">
        <v>54</v>
      </c>
      <c r="E218" s="24" t="s">
        <v>223</v>
      </c>
      <c r="F218" s="109" t="s">
        <v>109</v>
      </c>
      <c r="G218" s="109" t="s">
        <v>23</v>
      </c>
      <c r="H218" s="126">
        <v>1454400</v>
      </c>
      <c r="I218" s="77">
        <v>1454400</v>
      </c>
      <c r="J218" s="68">
        <v>0.1</v>
      </c>
      <c r="K218" s="33">
        <v>145440</v>
      </c>
      <c r="L218" s="18">
        <v>45920</v>
      </c>
      <c r="M218" s="18">
        <v>45930</v>
      </c>
      <c r="N218" s="115" t="s">
        <v>344</v>
      </c>
      <c r="O218" s="128">
        <v>2</v>
      </c>
      <c r="P218" s="128"/>
      <c r="Q218" s="128"/>
      <c r="R218" s="73"/>
      <c r="S218" s="21"/>
      <c r="T218" s="48" t="s">
        <v>430</v>
      </c>
      <c r="U218" s="46" t="s">
        <v>430</v>
      </c>
      <c r="V218" s="71" t="s">
        <v>430</v>
      </c>
      <c r="W218" s="72" t="s">
        <v>39</v>
      </c>
    </row>
    <row r="219" spans="1:23" s="84" customFormat="1" ht="23.25" customHeight="1">
      <c r="A219" s="26" t="s">
        <v>430</v>
      </c>
      <c r="B219" s="107" t="s">
        <v>187</v>
      </c>
      <c r="C219" s="108" t="s">
        <v>601</v>
      </c>
      <c r="D219" s="17" t="s">
        <v>54</v>
      </c>
      <c r="E219" s="24" t="s">
        <v>222</v>
      </c>
      <c r="F219" s="109" t="s">
        <v>188</v>
      </c>
      <c r="G219" s="109" t="s">
        <v>23</v>
      </c>
      <c r="H219" s="126">
        <v>3157800</v>
      </c>
      <c r="I219" s="77">
        <v>3157800</v>
      </c>
      <c r="J219" s="68">
        <v>0.02</v>
      </c>
      <c r="K219" s="33">
        <v>63156</v>
      </c>
      <c r="L219" s="18">
        <v>45920</v>
      </c>
      <c r="M219" s="18">
        <v>45930</v>
      </c>
      <c r="N219" s="115" t="s">
        <v>344</v>
      </c>
      <c r="O219" s="128">
        <v>20</v>
      </c>
      <c r="P219" s="128"/>
      <c r="Q219" s="128"/>
      <c r="R219" s="73"/>
      <c r="S219" s="21"/>
      <c r="T219" s="48" t="s">
        <v>430</v>
      </c>
      <c r="U219" s="46" t="s">
        <v>430</v>
      </c>
      <c r="V219" s="71" t="s">
        <v>430</v>
      </c>
      <c r="W219" s="72" t="s">
        <v>39</v>
      </c>
    </row>
    <row r="220" spans="1:23" s="84" customFormat="1" ht="23.25" customHeight="1">
      <c r="A220" s="26" t="s">
        <v>430</v>
      </c>
      <c r="B220" s="107" t="s">
        <v>233</v>
      </c>
      <c r="C220" s="108" t="s">
        <v>604</v>
      </c>
      <c r="D220" s="17" t="s">
        <v>54</v>
      </c>
      <c r="E220" s="24" t="s">
        <v>222</v>
      </c>
      <c r="F220" s="109" t="s">
        <v>234</v>
      </c>
      <c r="G220" s="109" t="s">
        <v>23</v>
      </c>
      <c r="H220" s="126">
        <v>4209700</v>
      </c>
      <c r="I220" s="77">
        <v>4209700</v>
      </c>
      <c r="J220" s="68">
        <v>0.02</v>
      </c>
      <c r="K220" s="33">
        <v>84194</v>
      </c>
      <c r="L220" s="18">
        <v>45920</v>
      </c>
      <c r="M220" s="18">
        <v>45930</v>
      </c>
      <c r="N220" s="115" t="s">
        <v>344</v>
      </c>
      <c r="O220" s="128">
        <v>10</v>
      </c>
      <c r="P220" s="128"/>
      <c r="Q220" s="128"/>
      <c r="R220" s="73"/>
      <c r="S220" s="21"/>
      <c r="T220" s="48" t="s">
        <v>430</v>
      </c>
      <c r="U220" s="46" t="s">
        <v>430</v>
      </c>
      <c r="V220" s="71" t="s">
        <v>430</v>
      </c>
      <c r="W220" s="72" t="s">
        <v>39</v>
      </c>
    </row>
    <row r="221" spans="1:23" s="84" customFormat="1" ht="23.25" customHeight="1">
      <c r="A221" s="26" t="s">
        <v>430</v>
      </c>
      <c r="B221" s="107" t="s">
        <v>339</v>
      </c>
      <c r="C221" s="108" t="s">
        <v>330</v>
      </c>
      <c r="D221" s="17" t="s">
        <v>54</v>
      </c>
      <c r="E221" s="24" t="s">
        <v>222</v>
      </c>
      <c r="F221" s="109" t="s">
        <v>340</v>
      </c>
      <c r="G221" s="109" t="s">
        <v>23</v>
      </c>
      <c r="H221" s="126">
        <v>1936400</v>
      </c>
      <c r="I221" s="77">
        <v>1936400</v>
      </c>
      <c r="J221" s="68">
        <v>0.02</v>
      </c>
      <c r="K221" s="33">
        <v>38728</v>
      </c>
      <c r="L221" s="18">
        <v>45920</v>
      </c>
      <c r="M221" s="18">
        <v>45930</v>
      </c>
      <c r="N221" s="115" t="s">
        <v>344</v>
      </c>
      <c r="O221" s="128">
        <v>6</v>
      </c>
      <c r="P221" s="128"/>
      <c r="Q221" s="128"/>
      <c r="R221" s="73"/>
      <c r="S221" s="21"/>
      <c r="T221" s="48" t="s">
        <v>430</v>
      </c>
      <c r="U221" s="46" t="s">
        <v>430</v>
      </c>
      <c r="V221" s="71" t="s">
        <v>430</v>
      </c>
      <c r="W221" s="72" t="s">
        <v>39</v>
      </c>
    </row>
    <row r="222" spans="1:23" s="84" customFormat="1" ht="23.25" customHeight="1">
      <c r="A222" s="26" t="s">
        <v>430</v>
      </c>
      <c r="B222" s="107" t="s">
        <v>185</v>
      </c>
      <c r="C222" s="108" t="s">
        <v>600</v>
      </c>
      <c r="D222" s="17" t="s">
        <v>54</v>
      </c>
      <c r="E222" s="24" t="s">
        <v>224</v>
      </c>
      <c r="F222" s="109" t="s">
        <v>186</v>
      </c>
      <c r="G222" s="109" t="s">
        <v>23</v>
      </c>
      <c r="H222" s="126">
        <v>106400</v>
      </c>
      <c r="I222" s="77">
        <v>106400</v>
      </c>
      <c r="J222" s="68">
        <v>0.02</v>
      </c>
      <c r="K222" s="33">
        <v>2128</v>
      </c>
      <c r="L222" s="18">
        <v>45921</v>
      </c>
      <c r="M222" s="18">
        <v>45931</v>
      </c>
      <c r="N222" s="115" t="s">
        <v>344</v>
      </c>
      <c r="O222" s="128">
        <v>1</v>
      </c>
      <c r="P222" s="128"/>
      <c r="Q222" s="128"/>
      <c r="R222" s="73"/>
      <c r="S222" s="21"/>
      <c r="T222" s="48" t="s">
        <v>430</v>
      </c>
      <c r="U222" s="46" t="s">
        <v>430</v>
      </c>
      <c r="V222" s="71" t="s">
        <v>430</v>
      </c>
      <c r="W222" s="72" t="s">
        <v>39</v>
      </c>
    </row>
    <row r="223" spans="1:23" s="84" customFormat="1" ht="23.25" customHeight="1">
      <c r="A223" s="26" t="s">
        <v>430</v>
      </c>
      <c r="B223" s="107" t="s">
        <v>187</v>
      </c>
      <c r="C223" s="108" t="s">
        <v>601</v>
      </c>
      <c r="D223" s="17" t="s">
        <v>54</v>
      </c>
      <c r="E223" s="24" t="s">
        <v>222</v>
      </c>
      <c r="F223" s="109" t="s">
        <v>188</v>
      </c>
      <c r="G223" s="109" t="s">
        <v>23</v>
      </c>
      <c r="H223" s="126">
        <v>6602000</v>
      </c>
      <c r="I223" s="77">
        <v>6602000</v>
      </c>
      <c r="J223" s="68">
        <v>0.02</v>
      </c>
      <c r="K223" s="33">
        <v>132040</v>
      </c>
      <c r="L223" s="18">
        <v>45921</v>
      </c>
      <c r="M223" s="18">
        <v>45931</v>
      </c>
      <c r="N223" s="115" t="s">
        <v>344</v>
      </c>
      <c r="O223" s="128">
        <v>10</v>
      </c>
      <c r="P223" s="128"/>
      <c r="Q223" s="128"/>
      <c r="R223" s="73"/>
      <c r="S223" s="21"/>
      <c r="T223" s="48" t="s">
        <v>430</v>
      </c>
      <c r="U223" s="46" t="s">
        <v>430</v>
      </c>
      <c r="V223" s="71" t="s">
        <v>430</v>
      </c>
      <c r="W223" s="72" t="s">
        <v>39</v>
      </c>
    </row>
    <row r="224" spans="1:23" s="84" customFormat="1" ht="23.25" customHeight="1">
      <c r="A224" s="26" t="s">
        <v>430</v>
      </c>
      <c r="B224" s="107" t="s">
        <v>229</v>
      </c>
      <c r="C224" s="108" t="s">
        <v>603</v>
      </c>
      <c r="D224" s="17" t="s">
        <v>54</v>
      </c>
      <c r="E224" s="24" t="s">
        <v>227</v>
      </c>
      <c r="F224" s="109" t="s">
        <v>230</v>
      </c>
      <c r="G224" s="109" t="s">
        <v>23</v>
      </c>
      <c r="H224" s="126">
        <v>5610500</v>
      </c>
      <c r="I224" s="77">
        <v>5610500</v>
      </c>
      <c r="J224" s="68">
        <v>0.02</v>
      </c>
      <c r="K224" s="33">
        <v>112210</v>
      </c>
      <c r="L224" s="18">
        <v>45921</v>
      </c>
      <c r="M224" s="18">
        <v>45931</v>
      </c>
      <c r="N224" s="115" t="s">
        <v>344</v>
      </c>
      <c r="O224" s="128">
        <v>8</v>
      </c>
      <c r="P224" s="128"/>
      <c r="Q224" s="128"/>
      <c r="R224" s="73"/>
      <c r="S224" s="21"/>
      <c r="T224" s="48" t="s">
        <v>430</v>
      </c>
      <c r="U224" s="46" t="s">
        <v>430</v>
      </c>
      <c r="V224" s="71" t="s">
        <v>430</v>
      </c>
      <c r="W224" s="72" t="s">
        <v>39</v>
      </c>
    </row>
    <row r="225" spans="1:23" s="84" customFormat="1" ht="23.25" customHeight="1">
      <c r="A225" s="26" t="s">
        <v>430</v>
      </c>
      <c r="B225" s="107" t="s">
        <v>231</v>
      </c>
      <c r="C225" s="108" t="s">
        <v>490</v>
      </c>
      <c r="D225" s="17" t="s">
        <v>54</v>
      </c>
      <c r="E225" s="24" t="s">
        <v>227</v>
      </c>
      <c r="F225" s="109" t="s">
        <v>232</v>
      </c>
      <c r="G225" s="109" t="s">
        <v>23</v>
      </c>
      <c r="H225" s="126">
        <v>8957200</v>
      </c>
      <c r="I225" s="77">
        <v>8957200</v>
      </c>
      <c r="J225" s="68">
        <v>0.02</v>
      </c>
      <c r="K225" s="33">
        <v>179144</v>
      </c>
      <c r="L225" s="18">
        <v>45921</v>
      </c>
      <c r="M225" s="18">
        <v>45931</v>
      </c>
      <c r="N225" s="115" t="s">
        <v>344</v>
      </c>
      <c r="O225" s="128">
        <v>11</v>
      </c>
      <c r="P225" s="128"/>
      <c r="Q225" s="128"/>
      <c r="R225" s="73"/>
      <c r="S225" s="21"/>
      <c r="T225" s="48" t="s">
        <v>430</v>
      </c>
      <c r="U225" s="46" t="s">
        <v>430</v>
      </c>
      <c r="V225" s="71" t="s">
        <v>430</v>
      </c>
      <c r="W225" s="72" t="s">
        <v>39</v>
      </c>
    </row>
    <row r="226" spans="1:23" s="84" customFormat="1" ht="23.25" customHeight="1">
      <c r="A226" s="26" t="s">
        <v>430</v>
      </c>
      <c r="B226" s="107" t="s">
        <v>233</v>
      </c>
      <c r="C226" s="108" t="s">
        <v>604</v>
      </c>
      <c r="D226" s="17" t="s">
        <v>54</v>
      </c>
      <c r="E226" s="24" t="s">
        <v>222</v>
      </c>
      <c r="F226" s="109" t="s">
        <v>234</v>
      </c>
      <c r="G226" s="109" t="s">
        <v>23</v>
      </c>
      <c r="H226" s="126">
        <v>2717600</v>
      </c>
      <c r="I226" s="77">
        <v>2717600</v>
      </c>
      <c r="J226" s="68">
        <v>0.02</v>
      </c>
      <c r="K226" s="33">
        <v>54352</v>
      </c>
      <c r="L226" s="18">
        <v>45921</v>
      </c>
      <c r="M226" s="18">
        <v>45931</v>
      </c>
      <c r="N226" s="115" t="s">
        <v>344</v>
      </c>
      <c r="O226" s="128">
        <v>4</v>
      </c>
      <c r="P226" s="128"/>
      <c r="Q226" s="128"/>
      <c r="R226" s="73"/>
      <c r="S226" s="21"/>
      <c r="T226" s="48" t="s">
        <v>430</v>
      </c>
      <c r="U226" s="46" t="s">
        <v>430</v>
      </c>
      <c r="V226" s="71" t="s">
        <v>430</v>
      </c>
      <c r="W226" s="72" t="s">
        <v>39</v>
      </c>
    </row>
    <row r="227" spans="1:23" s="84" customFormat="1" ht="23.25" customHeight="1">
      <c r="A227" s="26" t="s">
        <v>430</v>
      </c>
      <c r="B227" s="107" t="s">
        <v>231</v>
      </c>
      <c r="C227" s="108" t="s">
        <v>490</v>
      </c>
      <c r="D227" s="17" t="s">
        <v>54</v>
      </c>
      <c r="E227" s="24" t="s">
        <v>227</v>
      </c>
      <c r="F227" s="109" t="s">
        <v>232</v>
      </c>
      <c r="G227" s="109" t="s">
        <v>23</v>
      </c>
      <c r="H227" s="126">
        <v>2737600</v>
      </c>
      <c r="I227" s="77">
        <v>2737600</v>
      </c>
      <c r="J227" s="68">
        <v>0.02</v>
      </c>
      <c r="K227" s="33">
        <v>54752</v>
      </c>
      <c r="L227" s="18">
        <v>45922</v>
      </c>
      <c r="M227" s="18">
        <v>45932</v>
      </c>
      <c r="N227" s="115" t="s">
        <v>344</v>
      </c>
      <c r="O227" s="128">
        <v>8</v>
      </c>
      <c r="P227" s="128"/>
      <c r="Q227" s="128"/>
      <c r="R227" s="73"/>
      <c r="S227" s="21"/>
      <c r="T227" s="48" t="s">
        <v>430</v>
      </c>
      <c r="U227" s="46" t="s">
        <v>430</v>
      </c>
      <c r="V227" s="71" t="s">
        <v>430</v>
      </c>
      <c r="W227" s="72" t="s">
        <v>39</v>
      </c>
    </row>
    <row r="228" spans="1:23" s="84" customFormat="1" ht="23.25" customHeight="1">
      <c r="A228" s="26" t="s">
        <v>430</v>
      </c>
      <c r="B228" s="107" t="s">
        <v>233</v>
      </c>
      <c r="C228" s="108" t="s">
        <v>604</v>
      </c>
      <c r="D228" s="17" t="s">
        <v>54</v>
      </c>
      <c r="E228" s="24" t="s">
        <v>222</v>
      </c>
      <c r="F228" s="109" t="s">
        <v>234</v>
      </c>
      <c r="G228" s="109" t="s">
        <v>23</v>
      </c>
      <c r="H228" s="126">
        <v>4602900</v>
      </c>
      <c r="I228" s="77">
        <v>4602900</v>
      </c>
      <c r="J228" s="68">
        <v>0.02</v>
      </c>
      <c r="K228" s="33">
        <v>92058</v>
      </c>
      <c r="L228" s="18">
        <v>45922</v>
      </c>
      <c r="M228" s="18">
        <v>45932</v>
      </c>
      <c r="N228" s="115" t="s">
        <v>344</v>
      </c>
      <c r="O228" s="128">
        <v>18</v>
      </c>
      <c r="P228" s="128"/>
      <c r="Q228" s="128"/>
      <c r="R228" s="73"/>
      <c r="S228" s="21"/>
      <c r="T228" s="48" t="s">
        <v>430</v>
      </c>
      <c r="U228" s="46" t="s">
        <v>430</v>
      </c>
      <c r="V228" s="71" t="s">
        <v>430</v>
      </c>
      <c r="W228" s="72" t="s">
        <v>39</v>
      </c>
    </row>
    <row r="229" spans="1:23" s="84" customFormat="1" ht="23.25" customHeight="1">
      <c r="A229" s="26" t="s">
        <v>430</v>
      </c>
      <c r="B229" s="107" t="s">
        <v>187</v>
      </c>
      <c r="C229" s="108" t="s">
        <v>601</v>
      </c>
      <c r="D229" s="17" t="s">
        <v>54</v>
      </c>
      <c r="E229" s="24" t="s">
        <v>222</v>
      </c>
      <c r="F229" s="109" t="s">
        <v>188</v>
      </c>
      <c r="G229" s="109" t="s">
        <v>23</v>
      </c>
      <c r="H229" s="126">
        <v>976700</v>
      </c>
      <c r="I229" s="77">
        <v>976700</v>
      </c>
      <c r="J229" s="68">
        <v>0.02</v>
      </c>
      <c r="K229" s="33">
        <v>19534</v>
      </c>
      <c r="L229" s="18">
        <v>45923</v>
      </c>
      <c r="M229" s="18">
        <v>45933</v>
      </c>
      <c r="N229" s="115" t="s">
        <v>344</v>
      </c>
      <c r="O229" s="128">
        <v>2</v>
      </c>
      <c r="P229" s="128"/>
      <c r="Q229" s="128"/>
      <c r="R229" s="73"/>
      <c r="S229" s="21"/>
      <c r="T229" s="48" t="s">
        <v>430</v>
      </c>
      <c r="U229" s="46" t="s">
        <v>430</v>
      </c>
      <c r="V229" s="71" t="s">
        <v>430</v>
      </c>
      <c r="W229" s="72" t="s">
        <v>39</v>
      </c>
    </row>
    <row r="230" spans="1:23" s="84" customFormat="1" ht="23.25" customHeight="1">
      <c r="A230" s="26" t="s">
        <v>430</v>
      </c>
      <c r="B230" s="107" t="s">
        <v>187</v>
      </c>
      <c r="C230" s="108" t="s">
        <v>601</v>
      </c>
      <c r="D230" s="17" t="s">
        <v>54</v>
      </c>
      <c r="E230" s="24" t="s">
        <v>222</v>
      </c>
      <c r="F230" s="109" t="s">
        <v>188</v>
      </c>
      <c r="G230" s="109" t="s">
        <v>23</v>
      </c>
      <c r="H230" s="126">
        <v>401600</v>
      </c>
      <c r="I230" s="77">
        <v>401600</v>
      </c>
      <c r="J230" s="68">
        <v>0.02</v>
      </c>
      <c r="K230" s="33">
        <v>8032</v>
      </c>
      <c r="L230" s="18">
        <v>45924</v>
      </c>
      <c r="M230" s="18">
        <v>45934</v>
      </c>
      <c r="N230" s="115" t="s">
        <v>344</v>
      </c>
      <c r="O230" s="128">
        <v>8</v>
      </c>
      <c r="P230" s="128"/>
      <c r="Q230" s="128"/>
      <c r="R230" s="73"/>
      <c r="S230" s="21"/>
      <c r="T230" s="48" t="s">
        <v>430</v>
      </c>
      <c r="U230" s="46" t="s">
        <v>430</v>
      </c>
      <c r="V230" s="71" t="s">
        <v>430</v>
      </c>
      <c r="W230" s="72" t="s">
        <v>39</v>
      </c>
    </row>
    <row r="231" spans="1:23" s="84" customFormat="1" ht="23.25" customHeight="1">
      <c r="A231" s="26" t="s">
        <v>430</v>
      </c>
      <c r="B231" s="107" t="s">
        <v>233</v>
      </c>
      <c r="C231" s="108" t="s">
        <v>604</v>
      </c>
      <c r="D231" s="17" t="s">
        <v>54</v>
      </c>
      <c r="E231" s="24" t="s">
        <v>222</v>
      </c>
      <c r="F231" s="109" t="s">
        <v>234</v>
      </c>
      <c r="G231" s="109" t="s">
        <v>23</v>
      </c>
      <c r="H231" s="126">
        <v>509200</v>
      </c>
      <c r="I231" s="77">
        <v>509200</v>
      </c>
      <c r="J231" s="68">
        <v>0.02</v>
      </c>
      <c r="K231" s="33">
        <v>10184</v>
      </c>
      <c r="L231" s="18">
        <v>45924</v>
      </c>
      <c r="M231" s="18">
        <v>45934</v>
      </c>
      <c r="N231" s="115" t="s">
        <v>344</v>
      </c>
      <c r="O231" s="128">
        <v>1</v>
      </c>
      <c r="P231" s="128"/>
      <c r="Q231" s="128"/>
      <c r="R231" s="73"/>
      <c r="S231" s="21"/>
      <c r="T231" s="48" t="s">
        <v>430</v>
      </c>
      <c r="U231" s="46" t="s">
        <v>430</v>
      </c>
      <c r="V231" s="71" t="s">
        <v>430</v>
      </c>
      <c r="W231" s="72" t="s">
        <v>39</v>
      </c>
    </row>
    <row r="232" spans="1:23" s="84" customFormat="1" ht="23.25" customHeight="1">
      <c r="A232" s="26" t="s">
        <v>430</v>
      </c>
      <c r="B232" s="107" t="s">
        <v>233</v>
      </c>
      <c r="C232" s="108" t="s">
        <v>604</v>
      </c>
      <c r="D232" s="17" t="s">
        <v>54</v>
      </c>
      <c r="E232" s="24" t="s">
        <v>222</v>
      </c>
      <c r="F232" s="109" t="s">
        <v>234</v>
      </c>
      <c r="G232" s="109" t="s">
        <v>23</v>
      </c>
      <c r="H232" s="126">
        <v>509200</v>
      </c>
      <c r="I232" s="77">
        <v>509200</v>
      </c>
      <c r="J232" s="68">
        <v>0.02</v>
      </c>
      <c r="K232" s="33">
        <v>10184</v>
      </c>
      <c r="L232" s="18">
        <v>45927</v>
      </c>
      <c r="M232" s="18">
        <v>45937</v>
      </c>
      <c r="N232" s="115" t="s">
        <v>344</v>
      </c>
      <c r="O232" s="128">
        <v>1</v>
      </c>
      <c r="P232" s="128"/>
      <c r="Q232" s="128"/>
      <c r="R232" s="73"/>
      <c r="S232" s="21"/>
      <c r="T232" s="48" t="s">
        <v>430</v>
      </c>
      <c r="U232" s="48" t="s">
        <v>430</v>
      </c>
      <c r="V232" s="71" t="s">
        <v>430</v>
      </c>
      <c r="W232" s="72" t="s">
        <v>39</v>
      </c>
    </row>
    <row r="233" spans="1:23" s="84" customFormat="1" ht="23.25" customHeight="1">
      <c r="A233" s="26" t="s">
        <v>430</v>
      </c>
      <c r="B233" s="107" t="s">
        <v>187</v>
      </c>
      <c r="C233" s="108" t="s">
        <v>601</v>
      </c>
      <c r="D233" s="17" t="s">
        <v>54</v>
      </c>
      <c r="E233" s="24" t="s">
        <v>222</v>
      </c>
      <c r="F233" s="109" t="s">
        <v>188</v>
      </c>
      <c r="G233" s="109" t="s">
        <v>23</v>
      </c>
      <c r="H233" s="126">
        <v>450500</v>
      </c>
      <c r="I233" s="77">
        <v>450500</v>
      </c>
      <c r="J233" s="68">
        <v>0.02</v>
      </c>
      <c r="K233" s="33">
        <v>9010</v>
      </c>
      <c r="L233" s="18">
        <v>45928</v>
      </c>
      <c r="M233" s="18">
        <v>45938</v>
      </c>
      <c r="N233" s="115" t="s">
        <v>344</v>
      </c>
      <c r="O233" s="128">
        <v>1</v>
      </c>
      <c r="P233" s="128"/>
      <c r="Q233" s="128"/>
      <c r="R233" s="73"/>
      <c r="S233" s="21"/>
      <c r="T233" s="48" t="s">
        <v>430</v>
      </c>
      <c r="U233" s="46" t="s">
        <v>430</v>
      </c>
      <c r="V233" s="71" t="s">
        <v>430</v>
      </c>
      <c r="W233" s="72" t="s">
        <v>39</v>
      </c>
    </row>
    <row r="234" spans="1:23" s="84" customFormat="1" ht="23.25" customHeight="1">
      <c r="A234" s="26" t="s">
        <v>430</v>
      </c>
      <c r="B234" s="107" t="s">
        <v>226</v>
      </c>
      <c r="C234" s="108" t="s">
        <v>602</v>
      </c>
      <c r="D234" s="17" t="s">
        <v>54</v>
      </c>
      <c r="E234" s="24" t="s">
        <v>227</v>
      </c>
      <c r="F234" s="109" t="s">
        <v>228</v>
      </c>
      <c r="G234" s="109" t="s">
        <v>23</v>
      </c>
      <c r="H234" s="126">
        <v>901000</v>
      </c>
      <c r="I234" s="77">
        <v>901000</v>
      </c>
      <c r="J234" s="68">
        <v>0.02</v>
      </c>
      <c r="K234" s="33">
        <v>18020</v>
      </c>
      <c r="L234" s="18">
        <v>45928</v>
      </c>
      <c r="M234" s="18">
        <v>45938</v>
      </c>
      <c r="N234" s="115" t="s">
        <v>344</v>
      </c>
      <c r="O234" s="128">
        <v>2</v>
      </c>
      <c r="P234" s="128"/>
      <c r="Q234" s="128"/>
      <c r="R234" s="73"/>
      <c r="S234" s="21"/>
      <c r="T234" s="48" t="s">
        <v>430</v>
      </c>
      <c r="U234" s="46" t="s">
        <v>430</v>
      </c>
      <c r="V234" s="71" t="s">
        <v>430</v>
      </c>
      <c r="W234" s="72" t="s">
        <v>39</v>
      </c>
    </row>
    <row r="235" spans="1:23" s="84" customFormat="1" ht="23.25" customHeight="1">
      <c r="A235" s="26" t="s">
        <v>430</v>
      </c>
      <c r="B235" s="107" t="s">
        <v>231</v>
      </c>
      <c r="C235" s="108" t="s">
        <v>490</v>
      </c>
      <c r="D235" s="17" t="s">
        <v>54</v>
      </c>
      <c r="E235" s="24" t="s">
        <v>227</v>
      </c>
      <c r="F235" s="109" t="s">
        <v>232</v>
      </c>
      <c r="G235" s="109" t="s">
        <v>23</v>
      </c>
      <c r="H235" s="126">
        <v>1358800</v>
      </c>
      <c r="I235" s="77">
        <v>1358800</v>
      </c>
      <c r="J235" s="68">
        <v>0.02</v>
      </c>
      <c r="K235" s="33">
        <v>27176</v>
      </c>
      <c r="L235" s="18">
        <v>45928</v>
      </c>
      <c r="M235" s="18">
        <v>45938</v>
      </c>
      <c r="N235" s="115" t="s">
        <v>344</v>
      </c>
      <c r="O235" s="128">
        <v>2</v>
      </c>
      <c r="P235" s="128"/>
      <c r="Q235" s="128"/>
      <c r="R235" s="73"/>
      <c r="S235" s="21"/>
      <c r="T235" s="48" t="s">
        <v>430</v>
      </c>
      <c r="U235" s="46" t="s">
        <v>430</v>
      </c>
      <c r="V235" s="71" t="s">
        <v>430</v>
      </c>
      <c r="W235" s="72" t="s">
        <v>39</v>
      </c>
    </row>
    <row r="236" spans="1:23" s="84" customFormat="1" ht="23.25" customHeight="1">
      <c r="A236" s="26" t="s">
        <v>430</v>
      </c>
      <c r="B236" s="107" t="s">
        <v>341</v>
      </c>
      <c r="C236" s="108" t="s">
        <v>492</v>
      </c>
      <c r="D236" s="17" t="s">
        <v>54</v>
      </c>
      <c r="E236" s="24" t="s">
        <v>222</v>
      </c>
      <c r="F236" s="109" t="s">
        <v>342</v>
      </c>
      <c r="G236" s="109" t="s">
        <v>23</v>
      </c>
      <c r="H236" s="126">
        <v>107953600</v>
      </c>
      <c r="I236" s="77">
        <v>107953600</v>
      </c>
      <c r="J236" s="68">
        <v>0.02</v>
      </c>
      <c r="K236" s="33">
        <v>2159072</v>
      </c>
      <c r="L236" s="18">
        <v>45928</v>
      </c>
      <c r="M236" s="18">
        <v>45938</v>
      </c>
      <c r="N236" s="115" t="s">
        <v>344</v>
      </c>
      <c r="O236" s="128">
        <v>113</v>
      </c>
      <c r="P236" s="128"/>
      <c r="Q236" s="128"/>
      <c r="R236" s="73"/>
      <c r="S236" s="21"/>
      <c r="T236" s="48" t="s">
        <v>430</v>
      </c>
      <c r="U236" s="46" t="s">
        <v>430</v>
      </c>
      <c r="V236" s="71" t="s">
        <v>430</v>
      </c>
      <c r="W236" s="72" t="s">
        <v>39</v>
      </c>
    </row>
    <row r="237" spans="1:23" s="84" customFormat="1" ht="23.25" customHeight="1">
      <c r="A237" s="26" t="s">
        <v>430</v>
      </c>
      <c r="B237" s="107" t="s">
        <v>108</v>
      </c>
      <c r="C237" s="108" t="s">
        <v>599</v>
      </c>
      <c r="D237" s="17" t="s">
        <v>54</v>
      </c>
      <c r="E237" s="24" t="s">
        <v>223</v>
      </c>
      <c r="F237" s="109" t="s">
        <v>109</v>
      </c>
      <c r="G237" s="109" t="s">
        <v>23</v>
      </c>
      <c r="H237" s="126">
        <v>3483600</v>
      </c>
      <c r="I237" s="77">
        <v>3483600</v>
      </c>
      <c r="J237" s="68">
        <v>0.1</v>
      </c>
      <c r="K237" s="33">
        <v>348360</v>
      </c>
      <c r="L237" s="18">
        <v>45929</v>
      </c>
      <c r="M237" s="18">
        <v>45939</v>
      </c>
      <c r="N237" s="115" t="s">
        <v>344</v>
      </c>
      <c r="O237" s="128">
        <v>1</v>
      </c>
      <c r="P237" s="128"/>
      <c r="Q237" s="128"/>
      <c r="R237" s="73"/>
      <c r="S237" s="21"/>
      <c r="T237" s="48" t="s">
        <v>430</v>
      </c>
      <c r="U237" s="46" t="s">
        <v>430</v>
      </c>
      <c r="V237" s="71" t="s">
        <v>430</v>
      </c>
      <c r="W237" s="72" t="s">
        <v>39</v>
      </c>
    </row>
    <row r="238" spans="1:23" s="84" customFormat="1" ht="23.25" customHeight="1">
      <c r="A238" s="26" t="s">
        <v>430</v>
      </c>
      <c r="B238" s="107" t="s">
        <v>185</v>
      </c>
      <c r="C238" s="108" t="s">
        <v>600</v>
      </c>
      <c r="D238" s="17" t="s">
        <v>54</v>
      </c>
      <c r="E238" s="24" t="s">
        <v>224</v>
      </c>
      <c r="F238" s="109" t="s">
        <v>186</v>
      </c>
      <c r="G238" s="109" t="s">
        <v>23</v>
      </c>
      <c r="H238" s="126">
        <v>4619700</v>
      </c>
      <c r="I238" s="77">
        <v>4619700</v>
      </c>
      <c r="J238" s="68">
        <v>0.02</v>
      </c>
      <c r="K238" s="33">
        <v>92394</v>
      </c>
      <c r="L238" s="18">
        <v>45929</v>
      </c>
      <c r="M238" s="18">
        <v>45939</v>
      </c>
      <c r="N238" s="115" t="s">
        <v>344</v>
      </c>
      <c r="O238" s="128">
        <v>8</v>
      </c>
      <c r="P238" s="128"/>
      <c r="Q238" s="128"/>
      <c r="R238" s="73"/>
      <c r="S238" s="21"/>
      <c r="T238" s="48" t="s">
        <v>430</v>
      </c>
      <c r="U238" s="46" t="s">
        <v>430</v>
      </c>
      <c r="V238" s="71" t="s">
        <v>430</v>
      </c>
      <c r="W238" s="72" t="s">
        <v>39</v>
      </c>
    </row>
    <row r="239" spans="1:23" s="84" customFormat="1" ht="23.25" customHeight="1">
      <c r="A239" s="26" t="s">
        <v>430</v>
      </c>
      <c r="B239" s="107" t="s">
        <v>187</v>
      </c>
      <c r="C239" s="108" t="s">
        <v>601</v>
      </c>
      <c r="D239" s="17" t="s">
        <v>54</v>
      </c>
      <c r="E239" s="24" t="s">
        <v>222</v>
      </c>
      <c r="F239" s="109" t="s">
        <v>188</v>
      </c>
      <c r="G239" s="109" t="s">
        <v>23</v>
      </c>
      <c r="H239" s="126">
        <v>307600</v>
      </c>
      <c r="I239" s="77">
        <v>307600</v>
      </c>
      <c r="J239" s="68">
        <v>0.02</v>
      </c>
      <c r="K239" s="33">
        <v>6152</v>
      </c>
      <c r="L239" s="18">
        <v>45929</v>
      </c>
      <c r="M239" s="18">
        <v>45939</v>
      </c>
      <c r="N239" s="115" t="s">
        <v>344</v>
      </c>
      <c r="O239" s="128">
        <v>4</v>
      </c>
      <c r="P239" s="128"/>
      <c r="Q239" s="128"/>
      <c r="R239" s="73"/>
      <c r="S239" s="21"/>
      <c r="T239" s="48" t="s">
        <v>430</v>
      </c>
      <c r="U239" s="46" t="s">
        <v>430</v>
      </c>
      <c r="V239" s="71" t="s">
        <v>430</v>
      </c>
      <c r="W239" s="72" t="s">
        <v>39</v>
      </c>
    </row>
    <row r="240" spans="1:23" s="84" customFormat="1" ht="23.25" customHeight="1">
      <c r="A240" s="26" t="s">
        <v>430</v>
      </c>
      <c r="B240" s="142" t="s">
        <v>226</v>
      </c>
      <c r="C240" s="108" t="s">
        <v>602</v>
      </c>
      <c r="D240" s="17" t="s">
        <v>54</v>
      </c>
      <c r="E240" s="24" t="s">
        <v>227</v>
      </c>
      <c r="F240" s="109" t="s">
        <v>228</v>
      </c>
      <c r="G240" s="109" t="s">
        <v>23</v>
      </c>
      <c r="H240" s="126">
        <v>3968400</v>
      </c>
      <c r="I240" s="77">
        <v>3968400</v>
      </c>
      <c r="J240" s="68">
        <v>0.02</v>
      </c>
      <c r="K240" s="33">
        <v>79368</v>
      </c>
      <c r="L240" s="18">
        <v>45929</v>
      </c>
      <c r="M240" s="18">
        <v>45939</v>
      </c>
      <c r="N240" s="115" t="s">
        <v>344</v>
      </c>
      <c r="O240" s="128">
        <v>3</v>
      </c>
      <c r="P240" s="128"/>
      <c r="Q240" s="128"/>
      <c r="R240" s="73"/>
      <c r="S240" s="21"/>
      <c r="T240" s="48" t="s">
        <v>430</v>
      </c>
      <c r="U240" s="46" t="s">
        <v>430</v>
      </c>
      <c r="V240" s="71" t="s">
        <v>430</v>
      </c>
      <c r="W240" s="72" t="s">
        <v>39</v>
      </c>
    </row>
    <row r="241" spans="1:23" s="84" customFormat="1" ht="23.25" customHeight="1">
      <c r="A241" s="26" t="s">
        <v>430</v>
      </c>
      <c r="B241" s="107" t="s">
        <v>229</v>
      </c>
      <c r="C241" s="108" t="s">
        <v>603</v>
      </c>
      <c r="D241" s="17" t="s">
        <v>54</v>
      </c>
      <c r="E241" s="24" t="s">
        <v>227</v>
      </c>
      <c r="F241" s="109" t="s">
        <v>230</v>
      </c>
      <c r="G241" s="109" t="s">
        <v>23</v>
      </c>
      <c r="H241" s="126">
        <v>943200</v>
      </c>
      <c r="I241" s="77">
        <v>943200</v>
      </c>
      <c r="J241" s="68">
        <v>0.02</v>
      </c>
      <c r="K241" s="33">
        <v>18864</v>
      </c>
      <c r="L241" s="18">
        <v>45929</v>
      </c>
      <c r="M241" s="18">
        <v>45939</v>
      </c>
      <c r="N241" s="115" t="s">
        <v>344</v>
      </c>
      <c r="O241" s="128">
        <v>2</v>
      </c>
      <c r="P241" s="128"/>
      <c r="Q241" s="128"/>
      <c r="R241" s="73"/>
      <c r="S241" s="21"/>
      <c r="T241" s="48" t="s">
        <v>430</v>
      </c>
      <c r="U241" s="46" t="s">
        <v>430</v>
      </c>
      <c r="V241" s="71" t="s">
        <v>430</v>
      </c>
      <c r="W241" s="72" t="s">
        <v>39</v>
      </c>
    </row>
    <row r="242" spans="1:23" s="84" customFormat="1" ht="23.25" customHeight="1">
      <c r="A242" s="26" t="s">
        <v>430</v>
      </c>
      <c r="B242" s="107" t="s">
        <v>85</v>
      </c>
      <c r="C242" s="108" t="s">
        <v>225</v>
      </c>
      <c r="D242" s="17" t="s">
        <v>54</v>
      </c>
      <c r="E242" s="24" t="s">
        <v>221</v>
      </c>
      <c r="F242" s="109" t="s">
        <v>86</v>
      </c>
      <c r="G242" s="109" t="s">
        <v>23</v>
      </c>
      <c r="H242" s="126">
        <v>2929240</v>
      </c>
      <c r="I242" s="77">
        <v>2929240</v>
      </c>
      <c r="J242" s="68">
        <v>0.2</v>
      </c>
      <c r="K242" s="33">
        <v>585848</v>
      </c>
      <c r="L242" s="18">
        <v>45930</v>
      </c>
      <c r="M242" s="18">
        <v>45940</v>
      </c>
      <c r="N242" s="115" t="s">
        <v>344</v>
      </c>
      <c r="O242" s="128">
        <v>2</v>
      </c>
      <c r="P242" s="128"/>
      <c r="Q242" s="128"/>
      <c r="R242" s="73"/>
      <c r="S242" s="21"/>
      <c r="T242" s="48" t="s">
        <v>430</v>
      </c>
      <c r="U242" s="46" t="s">
        <v>430</v>
      </c>
      <c r="V242" s="71" t="s">
        <v>430</v>
      </c>
      <c r="W242" s="72" t="s">
        <v>39</v>
      </c>
    </row>
    <row r="243" spans="1:23" s="84" customFormat="1" ht="23.25" customHeight="1">
      <c r="A243" s="26" t="s">
        <v>430</v>
      </c>
      <c r="B243" s="107" t="s">
        <v>102</v>
      </c>
      <c r="C243" s="108" t="s">
        <v>598</v>
      </c>
      <c r="D243" s="17" t="s">
        <v>54</v>
      </c>
      <c r="E243" s="24" t="s">
        <v>222</v>
      </c>
      <c r="F243" s="109" t="s">
        <v>103</v>
      </c>
      <c r="G243" s="109" t="s">
        <v>23</v>
      </c>
      <c r="H243" s="126">
        <v>1020100</v>
      </c>
      <c r="I243" s="77">
        <v>1020100</v>
      </c>
      <c r="J243" s="68">
        <v>0.05</v>
      </c>
      <c r="K243" s="33">
        <v>51005</v>
      </c>
      <c r="L243" s="18">
        <v>45930</v>
      </c>
      <c r="M243" s="18">
        <v>45940</v>
      </c>
      <c r="N243" s="115" t="s">
        <v>344</v>
      </c>
      <c r="O243" s="128">
        <v>5</v>
      </c>
      <c r="P243" s="128"/>
      <c r="Q243" s="128"/>
      <c r="R243" s="73"/>
      <c r="S243" s="21"/>
      <c r="T243" s="48" t="s">
        <v>430</v>
      </c>
      <c r="U243" s="46" t="s">
        <v>430</v>
      </c>
      <c r="V243" s="71" t="s">
        <v>430</v>
      </c>
      <c r="W243" s="72" t="s">
        <v>39</v>
      </c>
    </row>
    <row r="244" spans="1:23" s="84" customFormat="1" ht="23.25" customHeight="1">
      <c r="A244" s="26" t="s">
        <v>430</v>
      </c>
      <c r="B244" s="107" t="s">
        <v>108</v>
      </c>
      <c r="C244" s="108" t="s">
        <v>599</v>
      </c>
      <c r="D244" s="17" t="s">
        <v>54</v>
      </c>
      <c r="E244" s="24" t="s">
        <v>223</v>
      </c>
      <c r="F244" s="109" t="s">
        <v>109</v>
      </c>
      <c r="G244" s="109" t="s">
        <v>23</v>
      </c>
      <c r="H244" s="126">
        <v>4415800</v>
      </c>
      <c r="I244" s="77">
        <v>4415800</v>
      </c>
      <c r="J244" s="68">
        <v>0.1</v>
      </c>
      <c r="K244" s="33">
        <v>441580</v>
      </c>
      <c r="L244" s="18">
        <v>45930</v>
      </c>
      <c r="M244" s="18">
        <v>45940</v>
      </c>
      <c r="N244" s="115" t="s">
        <v>344</v>
      </c>
      <c r="O244" s="128">
        <v>4</v>
      </c>
      <c r="P244" s="128"/>
      <c r="Q244" s="128"/>
      <c r="R244" s="73"/>
      <c r="S244" s="21"/>
      <c r="T244" s="48" t="s">
        <v>430</v>
      </c>
      <c r="U244" s="46" t="s">
        <v>430</v>
      </c>
      <c r="V244" s="71" t="s">
        <v>430</v>
      </c>
      <c r="W244" s="72" t="s">
        <v>39</v>
      </c>
    </row>
    <row r="245" spans="1:23" s="84" customFormat="1" ht="23.25" customHeight="1">
      <c r="A245" s="26" t="s">
        <v>430</v>
      </c>
      <c r="B245" s="107" t="s">
        <v>231</v>
      </c>
      <c r="C245" s="108" t="s">
        <v>490</v>
      </c>
      <c r="D245" s="17" t="s">
        <v>54</v>
      </c>
      <c r="E245" s="24" t="s">
        <v>227</v>
      </c>
      <c r="F245" s="109" t="s">
        <v>232</v>
      </c>
      <c r="G245" s="109" t="s">
        <v>23</v>
      </c>
      <c r="H245" s="126">
        <v>4801400</v>
      </c>
      <c r="I245" s="77">
        <v>4801400</v>
      </c>
      <c r="J245" s="68">
        <v>0.02</v>
      </c>
      <c r="K245" s="33">
        <v>96028</v>
      </c>
      <c r="L245" s="18">
        <v>45930</v>
      </c>
      <c r="M245" s="18">
        <v>45940</v>
      </c>
      <c r="N245" s="115" t="s">
        <v>344</v>
      </c>
      <c r="O245" s="128">
        <v>10</v>
      </c>
      <c r="P245" s="128"/>
      <c r="Q245" s="128"/>
      <c r="R245" s="73"/>
      <c r="S245" s="21"/>
      <c r="T245" s="48" t="s">
        <v>430</v>
      </c>
      <c r="U245" s="46" t="s">
        <v>430</v>
      </c>
      <c r="V245" s="71" t="s">
        <v>430</v>
      </c>
      <c r="W245" s="72" t="s">
        <v>39</v>
      </c>
    </row>
    <row r="246" spans="1:23" s="84" customFormat="1" ht="23.25" customHeight="1">
      <c r="A246" s="26" t="s">
        <v>430</v>
      </c>
      <c r="B246" s="107" t="s">
        <v>102</v>
      </c>
      <c r="C246" s="108" t="s">
        <v>598</v>
      </c>
      <c r="D246" s="17" t="s">
        <v>54</v>
      </c>
      <c r="E246" s="24" t="s">
        <v>222</v>
      </c>
      <c r="F246" s="109" t="s">
        <v>103</v>
      </c>
      <c r="G246" s="109" t="s">
        <v>23</v>
      </c>
      <c r="H246" s="126">
        <v>1409900</v>
      </c>
      <c r="I246" s="77">
        <v>1409900</v>
      </c>
      <c r="J246" s="68">
        <v>0.05</v>
      </c>
      <c r="K246" s="33">
        <v>70495</v>
      </c>
      <c r="L246" s="18">
        <v>45931</v>
      </c>
      <c r="M246" s="18">
        <v>45941</v>
      </c>
      <c r="N246" s="115" t="s">
        <v>344</v>
      </c>
      <c r="O246" s="128">
        <v>7</v>
      </c>
      <c r="P246" s="128"/>
      <c r="Q246" s="128"/>
      <c r="R246" s="73"/>
      <c r="S246" s="21"/>
      <c r="T246" s="48" t="s">
        <v>430</v>
      </c>
      <c r="U246" s="46" t="s">
        <v>430</v>
      </c>
      <c r="V246" s="71" t="s">
        <v>430</v>
      </c>
      <c r="W246" s="72" t="s">
        <v>39</v>
      </c>
    </row>
    <row r="247" spans="1:23" s="84" customFormat="1" ht="23.25" customHeight="1">
      <c r="A247" s="26" t="s">
        <v>430</v>
      </c>
      <c r="B247" s="107" t="s">
        <v>229</v>
      </c>
      <c r="C247" s="108" t="s">
        <v>603</v>
      </c>
      <c r="D247" s="17" t="s">
        <v>54</v>
      </c>
      <c r="E247" s="24" t="s">
        <v>227</v>
      </c>
      <c r="F247" s="109" t="s">
        <v>230</v>
      </c>
      <c r="G247" s="109" t="s">
        <v>23</v>
      </c>
      <c r="H247" s="126">
        <v>498700</v>
      </c>
      <c r="I247" s="77">
        <v>498700</v>
      </c>
      <c r="J247" s="68">
        <v>0.02</v>
      </c>
      <c r="K247" s="33">
        <v>9974</v>
      </c>
      <c r="L247" s="18">
        <v>45931</v>
      </c>
      <c r="M247" s="18">
        <v>45941</v>
      </c>
      <c r="N247" s="115" t="s">
        <v>344</v>
      </c>
      <c r="O247" s="128">
        <v>1</v>
      </c>
      <c r="P247" s="128"/>
      <c r="Q247" s="128"/>
      <c r="R247" s="73"/>
      <c r="S247" s="21"/>
      <c r="T247" s="48" t="s">
        <v>430</v>
      </c>
      <c r="U247" s="48" t="s">
        <v>430</v>
      </c>
      <c r="V247" s="71" t="s">
        <v>430</v>
      </c>
      <c r="W247" s="72" t="s">
        <v>39</v>
      </c>
    </row>
    <row r="248" spans="1:23" s="84" customFormat="1" ht="23.25" customHeight="1">
      <c r="A248" s="26" t="s">
        <v>430</v>
      </c>
      <c r="B248" s="107" t="s">
        <v>231</v>
      </c>
      <c r="C248" s="108" t="s">
        <v>490</v>
      </c>
      <c r="D248" s="17" t="s">
        <v>54</v>
      </c>
      <c r="E248" s="24" t="s">
        <v>227</v>
      </c>
      <c r="F248" s="109" t="s">
        <v>232</v>
      </c>
      <c r="G248" s="109" t="s">
        <v>23</v>
      </c>
      <c r="H248" s="126">
        <v>7026700</v>
      </c>
      <c r="I248" s="77">
        <v>7026700</v>
      </c>
      <c r="J248" s="68">
        <v>0.02</v>
      </c>
      <c r="K248" s="33">
        <v>140534</v>
      </c>
      <c r="L248" s="18">
        <v>45931</v>
      </c>
      <c r="M248" s="18">
        <v>45941</v>
      </c>
      <c r="N248" s="115" t="s">
        <v>344</v>
      </c>
      <c r="O248" s="128">
        <v>3</v>
      </c>
      <c r="P248" s="128"/>
      <c r="Q248" s="128"/>
      <c r="R248" s="73"/>
      <c r="S248" s="21"/>
      <c r="T248" s="48" t="s">
        <v>430</v>
      </c>
      <c r="U248" s="46" t="s">
        <v>430</v>
      </c>
      <c r="V248" s="71" t="s">
        <v>430</v>
      </c>
      <c r="W248" s="72" t="s">
        <v>39</v>
      </c>
    </row>
    <row r="249" spans="1:23" s="84" customFormat="1" ht="23.25" customHeight="1">
      <c r="A249" s="26" t="s">
        <v>430</v>
      </c>
      <c r="B249" s="107" t="s">
        <v>233</v>
      </c>
      <c r="C249" s="108" t="s">
        <v>604</v>
      </c>
      <c r="D249" s="17" t="s">
        <v>54</v>
      </c>
      <c r="E249" s="24" t="s">
        <v>222</v>
      </c>
      <c r="F249" s="109" t="s">
        <v>234</v>
      </c>
      <c r="G249" s="109" t="s">
        <v>23</v>
      </c>
      <c r="H249" s="126">
        <v>1542900</v>
      </c>
      <c r="I249" s="77">
        <v>1542900</v>
      </c>
      <c r="J249" s="68">
        <v>0.02</v>
      </c>
      <c r="K249" s="33">
        <v>30858</v>
      </c>
      <c r="L249" s="18">
        <v>45931</v>
      </c>
      <c r="M249" s="18">
        <v>45941</v>
      </c>
      <c r="N249" s="115" t="s">
        <v>344</v>
      </c>
      <c r="O249" s="128">
        <v>1</v>
      </c>
      <c r="P249" s="128"/>
      <c r="Q249" s="128"/>
      <c r="R249" s="73"/>
      <c r="S249" s="21"/>
      <c r="T249" s="48" t="s">
        <v>430</v>
      </c>
      <c r="U249" s="46" t="s">
        <v>430</v>
      </c>
      <c r="V249" s="71" t="s">
        <v>430</v>
      </c>
      <c r="W249" s="72" t="s">
        <v>39</v>
      </c>
    </row>
    <row r="250" spans="1:23" s="84" customFormat="1" ht="23.25" customHeight="1">
      <c r="A250" s="26" t="s">
        <v>430</v>
      </c>
      <c r="B250" s="107" t="s">
        <v>235</v>
      </c>
      <c r="C250" s="108" t="s">
        <v>490</v>
      </c>
      <c r="D250" s="17" t="s">
        <v>54</v>
      </c>
      <c r="E250" s="24" t="s">
        <v>222</v>
      </c>
      <c r="F250" s="109" t="s">
        <v>236</v>
      </c>
      <c r="G250" s="109" t="s">
        <v>23</v>
      </c>
      <c r="H250" s="126">
        <v>1881600</v>
      </c>
      <c r="I250" s="77">
        <v>1881600</v>
      </c>
      <c r="J250" s="68">
        <v>0.02</v>
      </c>
      <c r="K250" s="33">
        <v>37632</v>
      </c>
      <c r="L250" s="18">
        <v>45931</v>
      </c>
      <c r="M250" s="18">
        <v>45941</v>
      </c>
      <c r="N250" s="115" t="s">
        <v>344</v>
      </c>
      <c r="O250" s="128">
        <v>3</v>
      </c>
      <c r="P250" s="128"/>
      <c r="Q250" s="128"/>
      <c r="R250" s="73"/>
      <c r="S250" s="21"/>
      <c r="T250" s="48" t="s">
        <v>430</v>
      </c>
      <c r="U250" s="46" t="s">
        <v>430</v>
      </c>
      <c r="V250" s="71" t="s">
        <v>430</v>
      </c>
      <c r="W250" s="72" t="s">
        <v>39</v>
      </c>
    </row>
    <row r="251" spans="1:23" s="84" customFormat="1" ht="23.25" customHeight="1">
      <c r="A251" s="26" t="s">
        <v>430</v>
      </c>
      <c r="B251" s="107" t="s">
        <v>233</v>
      </c>
      <c r="C251" s="108" t="s">
        <v>604</v>
      </c>
      <c r="D251" s="17" t="s">
        <v>54</v>
      </c>
      <c r="E251" s="24" t="s">
        <v>222</v>
      </c>
      <c r="F251" s="109" t="s">
        <v>234</v>
      </c>
      <c r="G251" s="109" t="s">
        <v>23</v>
      </c>
      <c r="H251" s="126">
        <v>1456000</v>
      </c>
      <c r="I251" s="77">
        <v>1456000</v>
      </c>
      <c r="J251" s="68">
        <v>0.02</v>
      </c>
      <c r="K251" s="33">
        <v>29120</v>
      </c>
      <c r="L251" s="18">
        <v>45933</v>
      </c>
      <c r="M251" s="18">
        <v>45943</v>
      </c>
      <c r="N251" s="115" t="s">
        <v>344</v>
      </c>
      <c r="O251" s="128">
        <v>3</v>
      </c>
      <c r="P251" s="128"/>
      <c r="Q251" s="128"/>
      <c r="R251" s="73"/>
      <c r="S251" s="21"/>
      <c r="T251" s="48" t="s">
        <v>430</v>
      </c>
      <c r="U251" s="46" t="s">
        <v>430</v>
      </c>
      <c r="V251" s="71" t="s">
        <v>430</v>
      </c>
      <c r="W251" s="72" t="s">
        <v>39</v>
      </c>
    </row>
    <row r="252" spans="1:23" s="84" customFormat="1" ht="23.25" customHeight="1">
      <c r="A252" s="26" t="s">
        <v>430</v>
      </c>
      <c r="B252" s="107" t="s">
        <v>47</v>
      </c>
      <c r="C252" s="108" t="s">
        <v>330</v>
      </c>
      <c r="D252" s="17" t="s">
        <v>54</v>
      </c>
      <c r="E252" s="24" t="s">
        <v>53</v>
      </c>
      <c r="F252" s="109" t="s">
        <v>48</v>
      </c>
      <c r="G252" s="109" t="s">
        <v>23</v>
      </c>
      <c r="H252" s="126">
        <v>1464620</v>
      </c>
      <c r="I252" s="77">
        <v>1464620</v>
      </c>
      <c r="J252" s="68">
        <v>0.1</v>
      </c>
      <c r="K252" s="33">
        <v>146462</v>
      </c>
      <c r="L252" s="18">
        <v>45934</v>
      </c>
      <c r="M252" s="18">
        <v>45944</v>
      </c>
      <c r="N252" s="115" t="s">
        <v>344</v>
      </c>
      <c r="O252" s="128">
        <v>1</v>
      </c>
      <c r="P252" s="128"/>
      <c r="Q252" s="128"/>
      <c r="R252" s="73"/>
      <c r="S252" s="21"/>
      <c r="T252" s="48" t="s">
        <v>430</v>
      </c>
      <c r="U252" s="46" t="s">
        <v>430</v>
      </c>
      <c r="V252" s="71" t="s">
        <v>430</v>
      </c>
      <c r="W252" s="72" t="s">
        <v>39</v>
      </c>
    </row>
    <row r="253" spans="1:23" s="84" customFormat="1" ht="23.25" customHeight="1">
      <c r="A253" s="26" t="s">
        <v>430</v>
      </c>
      <c r="B253" s="107" t="s">
        <v>102</v>
      </c>
      <c r="C253" s="108" t="s">
        <v>598</v>
      </c>
      <c r="D253" s="17" t="s">
        <v>54</v>
      </c>
      <c r="E253" s="24" t="s">
        <v>222</v>
      </c>
      <c r="F253" s="109" t="s">
        <v>103</v>
      </c>
      <c r="G253" s="109" t="s">
        <v>23</v>
      </c>
      <c r="H253" s="126">
        <v>2135100</v>
      </c>
      <c r="I253" s="77">
        <v>2135100</v>
      </c>
      <c r="J253" s="68">
        <v>0.05</v>
      </c>
      <c r="K253" s="33">
        <v>106755</v>
      </c>
      <c r="L253" s="18">
        <v>45934</v>
      </c>
      <c r="M253" s="18">
        <v>45944</v>
      </c>
      <c r="N253" s="115" t="s">
        <v>344</v>
      </c>
      <c r="O253" s="128">
        <v>7</v>
      </c>
      <c r="P253" s="128"/>
      <c r="Q253" s="128"/>
      <c r="R253" s="73"/>
      <c r="S253" s="21"/>
      <c r="T253" s="48" t="s">
        <v>430</v>
      </c>
      <c r="U253" s="46" t="s">
        <v>430</v>
      </c>
      <c r="V253" s="71" t="s">
        <v>430</v>
      </c>
      <c r="W253" s="72" t="s">
        <v>39</v>
      </c>
    </row>
    <row r="254" spans="1:23" s="84" customFormat="1" ht="23.25" customHeight="1">
      <c r="A254" s="26" t="s">
        <v>430</v>
      </c>
      <c r="B254" s="107" t="s">
        <v>108</v>
      </c>
      <c r="C254" s="108" t="s">
        <v>599</v>
      </c>
      <c r="D254" s="17" t="s">
        <v>54</v>
      </c>
      <c r="E254" s="24" t="s">
        <v>223</v>
      </c>
      <c r="F254" s="109" t="s">
        <v>109</v>
      </c>
      <c r="G254" s="109" t="s">
        <v>23</v>
      </c>
      <c r="H254" s="126">
        <v>3483600</v>
      </c>
      <c r="I254" s="77">
        <v>3483600</v>
      </c>
      <c r="J254" s="68">
        <v>0.1</v>
      </c>
      <c r="K254" s="33">
        <v>348360</v>
      </c>
      <c r="L254" s="18">
        <v>45934</v>
      </c>
      <c r="M254" s="18">
        <v>45944</v>
      </c>
      <c r="N254" s="115" t="s">
        <v>344</v>
      </c>
      <c r="O254" s="128">
        <v>1</v>
      </c>
      <c r="P254" s="128"/>
      <c r="Q254" s="128"/>
      <c r="R254" s="73"/>
      <c r="S254" s="21"/>
      <c r="T254" s="48" t="s">
        <v>430</v>
      </c>
      <c r="U254" s="46" t="s">
        <v>430</v>
      </c>
      <c r="V254" s="71" t="s">
        <v>430</v>
      </c>
      <c r="W254" s="72" t="s">
        <v>39</v>
      </c>
    </row>
    <row r="255" spans="1:23" s="84" customFormat="1" ht="23.25" customHeight="1">
      <c r="A255" s="26" t="s">
        <v>430</v>
      </c>
      <c r="B255" s="107" t="s">
        <v>187</v>
      </c>
      <c r="C255" s="108" t="s">
        <v>601</v>
      </c>
      <c r="D255" s="17" t="s">
        <v>54</v>
      </c>
      <c r="E255" s="24" t="s">
        <v>222</v>
      </c>
      <c r="F255" s="109" t="s">
        <v>188</v>
      </c>
      <c r="G255" s="109" t="s">
        <v>23</v>
      </c>
      <c r="H255" s="126">
        <v>1103100</v>
      </c>
      <c r="I255" s="77">
        <v>1103100</v>
      </c>
      <c r="J255" s="68">
        <v>0.02</v>
      </c>
      <c r="K255" s="33">
        <v>22062</v>
      </c>
      <c r="L255" s="18">
        <v>45934</v>
      </c>
      <c r="M255" s="18">
        <v>45944</v>
      </c>
      <c r="N255" s="115" t="s">
        <v>344</v>
      </c>
      <c r="O255" s="128">
        <v>1</v>
      </c>
      <c r="P255" s="128"/>
      <c r="Q255" s="128"/>
      <c r="R255" s="73"/>
      <c r="S255" s="21"/>
      <c r="T255" s="48" t="s">
        <v>430</v>
      </c>
      <c r="U255" s="46" t="s">
        <v>430</v>
      </c>
      <c r="V255" s="71" t="s">
        <v>430</v>
      </c>
      <c r="W255" s="72" t="s">
        <v>39</v>
      </c>
    </row>
    <row r="256" spans="1:23" s="84" customFormat="1" ht="23.25" customHeight="1">
      <c r="A256" s="26" t="s">
        <v>430</v>
      </c>
      <c r="B256" s="107" t="s">
        <v>235</v>
      </c>
      <c r="C256" s="108" t="s">
        <v>490</v>
      </c>
      <c r="D256" s="17" t="s">
        <v>54</v>
      </c>
      <c r="E256" s="24" t="s">
        <v>222</v>
      </c>
      <c r="F256" s="109" t="s">
        <v>236</v>
      </c>
      <c r="G256" s="109" t="s">
        <v>23</v>
      </c>
      <c r="H256" s="126">
        <v>1656500</v>
      </c>
      <c r="I256" s="77">
        <v>1656500</v>
      </c>
      <c r="J256" s="68">
        <v>0.02</v>
      </c>
      <c r="K256" s="33">
        <v>33130</v>
      </c>
      <c r="L256" s="18">
        <v>45934</v>
      </c>
      <c r="M256" s="18">
        <v>45944</v>
      </c>
      <c r="N256" s="115" t="s">
        <v>344</v>
      </c>
      <c r="O256" s="128">
        <v>1</v>
      </c>
      <c r="P256" s="128"/>
      <c r="Q256" s="128"/>
      <c r="R256" s="73"/>
      <c r="S256" s="21"/>
      <c r="T256" s="48" t="s">
        <v>430</v>
      </c>
      <c r="U256" s="46" t="s">
        <v>430</v>
      </c>
      <c r="V256" s="71" t="s">
        <v>430</v>
      </c>
      <c r="W256" s="72" t="s">
        <v>39</v>
      </c>
    </row>
    <row r="257" spans="1:23" s="84" customFormat="1" ht="23.25" customHeight="1">
      <c r="A257" s="26" t="s">
        <v>430</v>
      </c>
      <c r="B257" s="107" t="s">
        <v>331</v>
      </c>
      <c r="C257" s="108" t="s">
        <v>330</v>
      </c>
      <c r="D257" s="17" t="s">
        <v>54</v>
      </c>
      <c r="E257" s="24" t="s">
        <v>222</v>
      </c>
      <c r="F257" s="109" t="s">
        <v>332</v>
      </c>
      <c r="G257" s="109" t="s">
        <v>23</v>
      </c>
      <c r="H257" s="126">
        <v>3648000</v>
      </c>
      <c r="I257" s="77">
        <v>3648000</v>
      </c>
      <c r="J257" s="68">
        <v>0.02</v>
      </c>
      <c r="K257" s="33">
        <v>72960</v>
      </c>
      <c r="L257" s="18">
        <v>45934</v>
      </c>
      <c r="M257" s="18">
        <v>45944</v>
      </c>
      <c r="N257" s="115" t="s">
        <v>344</v>
      </c>
      <c r="O257" s="128">
        <v>1</v>
      </c>
      <c r="P257" s="128"/>
      <c r="Q257" s="128"/>
      <c r="R257" s="73"/>
      <c r="S257" s="21"/>
      <c r="T257" s="48" t="s">
        <v>430</v>
      </c>
      <c r="U257" s="46" t="s">
        <v>430</v>
      </c>
      <c r="V257" s="71" t="s">
        <v>430</v>
      </c>
      <c r="W257" s="72" t="s">
        <v>39</v>
      </c>
    </row>
    <row r="258" spans="1:23" s="84" customFormat="1" ht="23.25" customHeight="1">
      <c r="A258" s="26" t="s">
        <v>430</v>
      </c>
      <c r="B258" s="107" t="s">
        <v>185</v>
      </c>
      <c r="C258" s="108" t="s">
        <v>600</v>
      </c>
      <c r="D258" s="17" t="s">
        <v>54</v>
      </c>
      <c r="E258" s="24" t="s">
        <v>224</v>
      </c>
      <c r="F258" s="109" t="s">
        <v>186</v>
      </c>
      <c r="G258" s="109" t="s">
        <v>23</v>
      </c>
      <c r="H258" s="126">
        <v>6326500</v>
      </c>
      <c r="I258" s="77">
        <v>6326500</v>
      </c>
      <c r="J258" s="68">
        <v>0.02</v>
      </c>
      <c r="K258" s="33">
        <v>126530</v>
      </c>
      <c r="L258" s="18">
        <v>45935</v>
      </c>
      <c r="M258" s="18">
        <v>45945</v>
      </c>
      <c r="N258" s="115" t="s">
        <v>344</v>
      </c>
      <c r="O258" s="128">
        <v>16</v>
      </c>
      <c r="P258" s="128"/>
      <c r="Q258" s="128"/>
      <c r="R258" s="73"/>
      <c r="S258" s="21"/>
      <c r="T258" s="48" t="s">
        <v>430</v>
      </c>
      <c r="U258" s="46" t="s">
        <v>430</v>
      </c>
      <c r="V258" s="71" t="s">
        <v>430</v>
      </c>
      <c r="W258" s="72" t="s">
        <v>39</v>
      </c>
    </row>
    <row r="259" spans="1:23" s="84" customFormat="1" ht="23.25" customHeight="1">
      <c r="A259" s="26" t="s">
        <v>430</v>
      </c>
      <c r="B259" s="107" t="s">
        <v>226</v>
      </c>
      <c r="C259" s="108" t="s">
        <v>602</v>
      </c>
      <c r="D259" s="17" t="s">
        <v>54</v>
      </c>
      <c r="E259" s="24" t="s">
        <v>227</v>
      </c>
      <c r="F259" s="109" t="s">
        <v>228</v>
      </c>
      <c r="G259" s="109" t="s">
        <v>23</v>
      </c>
      <c r="H259" s="126">
        <v>7611000</v>
      </c>
      <c r="I259" s="77">
        <v>7611000</v>
      </c>
      <c r="J259" s="68">
        <v>0.02</v>
      </c>
      <c r="K259" s="33">
        <v>152220</v>
      </c>
      <c r="L259" s="18">
        <v>45935</v>
      </c>
      <c r="M259" s="18">
        <v>45945</v>
      </c>
      <c r="N259" s="115" t="s">
        <v>344</v>
      </c>
      <c r="O259" s="128">
        <v>16</v>
      </c>
      <c r="P259" s="128"/>
      <c r="Q259" s="128"/>
      <c r="R259" s="73"/>
      <c r="S259" s="21"/>
      <c r="T259" s="48" t="s">
        <v>430</v>
      </c>
      <c r="U259" s="46" t="s">
        <v>430</v>
      </c>
      <c r="V259" s="71" t="s">
        <v>430</v>
      </c>
      <c r="W259" s="72" t="s">
        <v>39</v>
      </c>
    </row>
    <row r="260" spans="1:23" s="84" customFormat="1" ht="23.25" customHeight="1">
      <c r="A260" s="26" t="s">
        <v>430</v>
      </c>
      <c r="B260" s="107" t="s">
        <v>231</v>
      </c>
      <c r="C260" s="108" t="s">
        <v>490</v>
      </c>
      <c r="D260" s="17" t="s">
        <v>54</v>
      </c>
      <c r="E260" s="24" t="s">
        <v>227</v>
      </c>
      <c r="F260" s="109" t="s">
        <v>232</v>
      </c>
      <c r="G260" s="109" t="s">
        <v>23</v>
      </c>
      <c r="H260" s="126">
        <v>2659100</v>
      </c>
      <c r="I260" s="77">
        <v>2659100</v>
      </c>
      <c r="J260" s="68">
        <v>0.02</v>
      </c>
      <c r="K260" s="33">
        <v>53182</v>
      </c>
      <c r="L260" s="18">
        <v>45935</v>
      </c>
      <c r="M260" s="18">
        <v>45945</v>
      </c>
      <c r="N260" s="115" t="s">
        <v>344</v>
      </c>
      <c r="O260" s="128">
        <v>1</v>
      </c>
      <c r="P260" s="128"/>
      <c r="Q260" s="128"/>
      <c r="R260" s="73"/>
      <c r="S260" s="21"/>
      <c r="T260" s="48" t="s">
        <v>430</v>
      </c>
      <c r="U260" s="46" t="s">
        <v>430</v>
      </c>
      <c r="V260" s="71" t="s">
        <v>430</v>
      </c>
      <c r="W260" s="72" t="s">
        <v>39</v>
      </c>
    </row>
    <row r="261" spans="1:23" s="84" customFormat="1" ht="23.25" customHeight="1">
      <c r="A261" s="26" t="s">
        <v>430</v>
      </c>
      <c r="B261" s="107" t="s">
        <v>331</v>
      </c>
      <c r="C261" s="108" t="s">
        <v>330</v>
      </c>
      <c r="D261" s="17" t="s">
        <v>54</v>
      </c>
      <c r="E261" s="24" t="s">
        <v>222</v>
      </c>
      <c r="F261" s="109" t="s">
        <v>332</v>
      </c>
      <c r="G261" s="109" t="s">
        <v>23</v>
      </c>
      <c r="H261" s="126">
        <v>96397000</v>
      </c>
      <c r="I261" s="77">
        <v>96397000</v>
      </c>
      <c r="J261" s="68">
        <v>0.02</v>
      </c>
      <c r="K261" s="33">
        <v>1927940</v>
      </c>
      <c r="L261" s="18">
        <v>45935</v>
      </c>
      <c r="M261" s="18">
        <v>45945</v>
      </c>
      <c r="N261" s="115" t="s">
        <v>344</v>
      </c>
      <c r="O261" s="128">
        <v>64</v>
      </c>
      <c r="P261" s="128"/>
      <c r="Q261" s="128"/>
      <c r="R261" s="73"/>
      <c r="S261" s="21"/>
      <c r="T261" s="48" t="s">
        <v>430</v>
      </c>
      <c r="U261" s="46" t="s">
        <v>430</v>
      </c>
      <c r="V261" s="71" t="s">
        <v>430</v>
      </c>
      <c r="W261" s="72" t="s">
        <v>39</v>
      </c>
    </row>
    <row r="262" spans="1:23" s="84" customFormat="1" ht="23.25" customHeight="1">
      <c r="A262" s="26" t="s">
        <v>430</v>
      </c>
      <c r="B262" s="107" t="s">
        <v>85</v>
      </c>
      <c r="C262" s="108" t="s">
        <v>225</v>
      </c>
      <c r="D262" s="17" t="s">
        <v>54</v>
      </c>
      <c r="E262" s="24" t="s">
        <v>221</v>
      </c>
      <c r="F262" s="109" t="s">
        <v>86</v>
      </c>
      <c r="G262" s="109" t="s">
        <v>23</v>
      </c>
      <c r="H262" s="126">
        <v>5858480</v>
      </c>
      <c r="I262" s="77">
        <v>5858480</v>
      </c>
      <c r="J262" s="68">
        <v>0.2</v>
      </c>
      <c r="K262" s="33">
        <v>1171696</v>
      </c>
      <c r="L262" s="18">
        <v>45936</v>
      </c>
      <c r="M262" s="18">
        <v>45946</v>
      </c>
      <c r="N262" s="115" t="s">
        <v>344</v>
      </c>
      <c r="O262" s="128">
        <v>4</v>
      </c>
      <c r="P262" s="128"/>
      <c r="Q262" s="128"/>
      <c r="R262" s="73"/>
      <c r="S262" s="21"/>
      <c r="T262" s="48" t="s">
        <v>430</v>
      </c>
      <c r="U262" s="46" t="s">
        <v>430</v>
      </c>
      <c r="V262" s="71" t="s">
        <v>430</v>
      </c>
      <c r="W262" s="72" t="s">
        <v>39</v>
      </c>
    </row>
    <row r="263" spans="1:23" s="84" customFormat="1" ht="23.25" customHeight="1">
      <c r="A263" s="26" t="s">
        <v>430</v>
      </c>
      <c r="B263" s="107" t="s">
        <v>226</v>
      </c>
      <c r="C263" s="108" t="s">
        <v>602</v>
      </c>
      <c r="D263" s="17" t="s">
        <v>54</v>
      </c>
      <c r="E263" s="24" t="s">
        <v>227</v>
      </c>
      <c r="F263" s="109" t="s">
        <v>228</v>
      </c>
      <c r="G263" s="109" t="s">
        <v>23</v>
      </c>
      <c r="H263" s="126">
        <v>2583400</v>
      </c>
      <c r="I263" s="77">
        <v>2583400</v>
      </c>
      <c r="J263" s="68">
        <v>0.02</v>
      </c>
      <c r="K263" s="33">
        <v>51668</v>
      </c>
      <c r="L263" s="18">
        <v>45936</v>
      </c>
      <c r="M263" s="18">
        <v>45946</v>
      </c>
      <c r="N263" s="115" t="s">
        <v>344</v>
      </c>
      <c r="O263" s="128">
        <v>1</v>
      </c>
      <c r="P263" s="128"/>
      <c r="Q263" s="128"/>
      <c r="R263" s="73"/>
      <c r="S263" s="21"/>
      <c r="T263" s="48" t="s">
        <v>430</v>
      </c>
      <c r="U263" s="48" t="s">
        <v>430</v>
      </c>
      <c r="V263" s="71" t="s">
        <v>430</v>
      </c>
      <c r="W263" s="72" t="s">
        <v>39</v>
      </c>
    </row>
    <row r="264" spans="1:23" s="84" customFormat="1" ht="23.25" customHeight="1">
      <c r="A264" s="26" t="s">
        <v>430</v>
      </c>
      <c r="B264" s="107" t="s">
        <v>231</v>
      </c>
      <c r="C264" s="108" t="s">
        <v>490</v>
      </c>
      <c r="D264" s="17" t="s">
        <v>54</v>
      </c>
      <c r="E264" s="24" t="s">
        <v>227</v>
      </c>
      <c r="F264" s="109" t="s">
        <v>232</v>
      </c>
      <c r="G264" s="109" t="s">
        <v>23</v>
      </c>
      <c r="H264" s="126">
        <v>6431500</v>
      </c>
      <c r="I264" s="77">
        <v>6431500</v>
      </c>
      <c r="J264" s="68">
        <v>0.02</v>
      </c>
      <c r="K264" s="33">
        <v>128630</v>
      </c>
      <c r="L264" s="18">
        <v>45936</v>
      </c>
      <c r="M264" s="18">
        <v>45946</v>
      </c>
      <c r="N264" s="115" t="s">
        <v>344</v>
      </c>
      <c r="O264" s="128">
        <v>25</v>
      </c>
      <c r="P264" s="128"/>
      <c r="Q264" s="128"/>
      <c r="R264" s="73"/>
      <c r="S264" s="21"/>
      <c r="T264" s="48" t="s">
        <v>430</v>
      </c>
      <c r="U264" s="46" t="s">
        <v>430</v>
      </c>
      <c r="V264" s="71" t="s">
        <v>430</v>
      </c>
      <c r="W264" s="72" t="s">
        <v>39</v>
      </c>
    </row>
    <row r="265" spans="1:23" s="84" customFormat="1" ht="23.25" customHeight="1">
      <c r="A265" s="26" t="s">
        <v>430</v>
      </c>
      <c r="B265" s="107" t="s">
        <v>233</v>
      </c>
      <c r="C265" s="108" t="s">
        <v>604</v>
      </c>
      <c r="D265" s="17" t="s">
        <v>54</v>
      </c>
      <c r="E265" s="24" t="s">
        <v>222</v>
      </c>
      <c r="F265" s="109" t="s">
        <v>234</v>
      </c>
      <c r="G265" s="109" t="s">
        <v>23</v>
      </c>
      <c r="H265" s="126">
        <v>4067600</v>
      </c>
      <c r="I265" s="77">
        <v>4067600</v>
      </c>
      <c r="J265" s="68">
        <v>0.02</v>
      </c>
      <c r="K265" s="33">
        <v>81352</v>
      </c>
      <c r="L265" s="18">
        <v>45936</v>
      </c>
      <c r="M265" s="18">
        <v>45946</v>
      </c>
      <c r="N265" s="115" t="s">
        <v>344</v>
      </c>
      <c r="O265" s="128">
        <v>7</v>
      </c>
      <c r="P265" s="128"/>
      <c r="Q265" s="128"/>
      <c r="R265" s="73"/>
      <c r="S265" s="21"/>
      <c r="T265" s="48" t="s">
        <v>430</v>
      </c>
      <c r="U265" s="46" t="s">
        <v>430</v>
      </c>
      <c r="V265" s="71" t="s">
        <v>430</v>
      </c>
      <c r="W265" s="72" t="s">
        <v>39</v>
      </c>
    </row>
    <row r="266" spans="1:23" s="84" customFormat="1" ht="23.25" customHeight="1">
      <c r="A266" s="26" t="s">
        <v>430</v>
      </c>
      <c r="B266" s="107" t="s">
        <v>229</v>
      </c>
      <c r="C266" s="108" t="s">
        <v>603</v>
      </c>
      <c r="D266" s="17" t="s">
        <v>54</v>
      </c>
      <c r="E266" s="24" t="s">
        <v>227</v>
      </c>
      <c r="F266" s="109" t="s">
        <v>230</v>
      </c>
      <c r="G266" s="109" t="s">
        <v>23</v>
      </c>
      <c r="H266" s="126">
        <v>2803200</v>
      </c>
      <c r="I266" s="77">
        <v>2803200</v>
      </c>
      <c r="J266" s="68">
        <v>0.02</v>
      </c>
      <c r="K266" s="33">
        <v>56064</v>
      </c>
      <c r="L266" s="18">
        <v>45937</v>
      </c>
      <c r="M266" s="18">
        <v>45947</v>
      </c>
      <c r="N266" s="115" t="s">
        <v>344</v>
      </c>
      <c r="O266" s="128">
        <v>6</v>
      </c>
      <c r="P266" s="128"/>
      <c r="Q266" s="128"/>
      <c r="R266" s="73"/>
      <c r="S266" s="21"/>
      <c r="T266" s="48" t="s">
        <v>430</v>
      </c>
      <c r="U266" s="46" t="s">
        <v>430</v>
      </c>
      <c r="V266" s="71" t="s">
        <v>430</v>
      </c>
      <c r="W266" s="72" t="s">
        <v>39</v>
      </c>
    </row>
    <row r="267" spans="1:23" s="84" customFormat="1" ht="23.25" customHeight="1">
      <c r="A267" s="26" t="s">
        <v>430</v>
      </c>
      <c r="B267" s="107" t="s">
        <v>231</v>
      </c>
      <c r="C267" s="108" t="s">
        <v>490</v>
      </c>
      <c r="D267" s="17" t="s">
        <v>54</v>
      </c>
      <c r="E267" s="24" t="s">
        <v>227</v>
      </c>
      <c r="F267" s="109" t="s">
        <v>232</v>
      </c>
      <c r="G267" s="109" t="s">
        <v>23</v>
      </c>
      <c r="H267" s="126">
        <v>3560100</v>
      </c>
      <c r="I267" s="77">
        <v>3560100</v>
      </c>
      <c r="J267" s="68">
        <v>0.02</v>
      </c>
      <c r="K267" s="33">
        <v>71202</v>
      </c>
      <c r="L267" s="18">
        <v>45937</v>
      </c>
      <c r="M267" s="18">
        <v>45947</v>
      </c>
      <c r="N267" s="115" t="s">
        <v>344</v>
      </c>
      <c r="O267" s="128">
        <v>3</v>
      </c>
      <c r="P267" s="128"/>
      <c r="Q267" s="128"/>
      <c r="R267" s="73"/>
      <c r="S267" s="21"/>
      <c r="T267" s="48" t="s">
        <v>430</v>
      </c>
      <c r="U267" s="46" t="s">
        <v>430</v>
      </c>
      <c r="V267" s="71" t="s">
        <v>430</v>
      </c>
      <c r="W267" s="72" t="s">
        <v>39</v>
      </c>
    </row>
    <row r="268" spans="1:23" s="84" customFormat="1" ht="23.25" customHeight="1">
      <c r="A268" s="26" t="s">
        <v>430</v>
      </c>
      <c r="B268" s="107" t="s">
        <v>233</v>
      </c>
      <c r="C268" s="108" t="s">
        <v>604</v>
      </c>
      <c r="D268" s="17" t="s">
        <v>54</v>
      </c>
      <c r="E268" s="24" t="s">
        <v>222</v>
      </c>
      <c r="F268" s="109" t="s">
        <v>234</v>
      </c>
      <c r="G268" s="109" t="s">
        <v>23</v>
      </c>
      <c r="H268" s="126">
        <v>3290600</v>
      </c>
      <c r="I268" s="77">
        <v>3290600</v>
      </c>
      <c r="J268" s="68">
        <v>0.02</v>
      </c>
      <c r="K268" s="33">
        <v>65812</v>
      </c>
      <c r="L268" s="18">
        <v>45937</v>
      </c>
      <c r="M268" s="18">
        <v>45947</v>
      </c>
      <c r="N268" s="115" t="s">
        <v>344</v>
      </c>
      <c r="O268" s="128">
        <v>3</v>
      </c>
      <c r="P268" s="128"/>
      <c r="Q268" s="128"/>
      <c r="R268" s="73"/>
      <c r="S268" s="21"/>
      <c r="T268" s="48" t="s">
        <v>430</v>
      </c>
      <c r="U268" s="46" t="s">
        <v>430</v>
      </c>
      <c r="V268" s="71" t="s">
        <v>430</v>
      </c>
      <c r="W268" s="72" t="s">
        <v>39</v>
      </c>
    </row>
    <row r="269" spans="1:23" s="84" customFormat="1" ht="23.25" customHeight="1">
      <c r="A269" s="26" t="s">
        <v>430</v>
      </c>
      <c r="B269" s="107" t="s">
        <v>108</v>
      </c>
      <c r="C269" s="108" t="s">
        <v>599</v>
      </c>
      <c r="D269" s="17" t="s">
        <v>54</v>
      </c>
      <c r="E269" s="24" t="s">
        <v>223</v>
      </c>
      <c r="F269" s="109" t="s">
        <v>109</v>
      </c>
      <c r="G269" s="109" t="s">
        <v>23</v>
      </c>
      <c r="H269" s="126">
        <v>5070600</v>
      </c>
      <c r="I269" s="77">
        <v>5070600</v>
      </c>
      <c r="J269" s="68">
        <v>0.1</v>
      </c>
      <c r="K269" s="33">
        <v>507060</v>
      </c>
      <c r="L269" s="18">
        <v>45938</v>
      </c>
      <c r="M269" s="18">
        <v>45948</v>
      </c>
      <c r="N269" s="115" t="s">
        <v>344</v>
      </c>
      <c r="O269" s="128">
        <v>13</v>
      </c>
      <c r="P269" s="128"/>
      <c r="Q269" s="128"/>
      <c r="R269" s="73"/>
      <c r="S269" s="21"/>
      <c r="T269" s="48" t="s">
        <v>430</v>
      </c>
      <c r="U269" s="46" t="s">
        <v>430</v>
      </c>
      <c r="V269" s="71" t="s">
        <v>430</v>
      </c>
      <c r="W269" s="72" t="s">
        <v>39</v>
      </c>
    </row>
    <row r="270" spans="1:23" s="84" customFormat="1" ht="23.25" customHeight="1">
      <c r="A270" s="26" t="s">
        <v>430</v>
      </c>
      <c r="B270" s="107" t="s">
        <v>187</v>
      </c>
      <c r="C270" s="108" t="s">
        <v>601</v>
      </c>
      <c r="D270" s="17" t="s">
        <v>54</v>
      </c>
      <c r="E270" s="24" t="s">
        <v>222</v>
      </c>
      <c r="F270" s="109" t="s">
        <v>188</v>
      </c>
      <c r="G270" s="109" t="s">
        <v>23</v>
      </c>
      <c r="H270" s="126">
        <v>479300</v>
      </c>
      <c r="I270" s="77">
        <v>479300</v>
      </c>
      <c r="J270" s="68">
        <v>0.02</v>
      </c>
      <c r="K270" s="33">
        <v>9586</v>
      </c>
      <c r="L270" s="18">
        <v>45938</v>
      </c>
      <c r="M270" s="18">
        <v>45948</v>
      </c>
      <c r="N270" s="115" t="s">
        <v>344</v>
      </c>
      <c r="O270" s="128">
        <v>1</v>
      </c>
      <c r="P270" s="128"/>
      <c r="Q270" s="128"/>
      <c r="R270" s="73"/>
      <c r="S270" s="21"/>
      <c r="T270" s="48" t="s">
        <v>430</v>
      </c>
      <c r="U270" s="46" t="s">
        <v>430</v>
      </c>
      <c r="V270" s="71" t="s">
        <v>430</v>
      </c>
      <c r="W270" s="72" t="s">
        <v>39</v>
      </c>
    </row>
    <row r="271" spans="1:23" s="84" customFormat="1" ht="23.25" customHeight="1">
      <c r="A271" s="26" t="s">
        <v>430</v>
      </c>
      <c r="B271" s="107" t="s">
        <v>231</v>
      </c>
      <c r="C271" s="108" t="s">
        <v>490</v>
      </c>
      <c r="D271" s="17" t="s">
        <v>54</v>
      </c>
      <c r="E271" s="24" t="s">
        <v>227</v>
      </c>
      <c r="F271" s="109" t="s">
        <v>232</v>
      </c>
      <c r="G271" s="109" t="s">
        <v>23</v>
      </c>
      <c r="H271" s="126">
        <v>901000</v>
      </c>
      <c r="I271" s="77">
        <v>901000</v>
      </c>
      <c r="J271" s="68">
        <v>0.02</v>
      </c>
      <c r="K271" s="33">
        <v>18020</v>
      </c>
      <c r="L271" s="18">
        <v>45938</v>
      </c>
      <c r="M271" s="18">
        <v>45948</v>
      </c>
      <c r="N271" s="115" t="s">
        <v>344</v>
      </c>
      <c r="O271" s="128">
        <v>2</v>
      </c>
      <c r="P271" s="128"/>
      <c r="Q271" s="128"/>
      <c r="R271" s="73"/>
      <c r="S271" s="21"/>
      <c r="T271" s="48" t="s">
        <v>430</v>
      </c>
      <c r="U271" s="46" t="s">
        <v>430</v>
      </c>
      <c r="V271" s="71" t="s">
        <v>430</v>
      </c>
      <c r="W271" s="72" t="s">
        <v>39</v>
      </c>
    </row>
    <row r="272" spans="1:23" s="84" customFormat="1" ht="23.25" customHeight="1">
      <c r="A272" s="26" t="s">
        <v>430</v>
      </c>
      <c r="B272" s="107" t="s">
        <v>226</v>
      </c>
      <c r="C272" s="108" t="s">
        <v>602</v>
      </c>
      <c r="D272" s="17" t="s">
        <v>54</v>
      </c>
      <c r="E272" s="24" t="s">
        <v>227</v>
      </c>
      <c r="F272" s="109" t="s">
        <v>228</v>
      </c>
      <c r="G272" s="109" t="s">
        <v>23</v>
      </c>
      <c r="H272" s="126">
        <v>1860200</v>
      </c>
      <c r="I272" s="77">
        <v>1860200</v>
      </c>
      <c r="J272" s="68">
        <v>0.02</v>
      </c>
      <c r="K272" s="33">
        <v>37204</v>
      </c>
      <c r="L272" s="18">
        <v>45941</v>
      </c>
      <c r="M272" s="18">
        <v>45951</v>
      </c>
      <c r="N272" s="115" t="s">
        <v>344</v>
      </c>
      <c r="O272" s="128">
        <v>10</v>
      </c>
      <c r="P272" s="128"/>
      <c r="Q272" s="128"/>
      <c r="R272" s="73"/>
      <c r="S272" s="21"/>
      <c r="T272" s="48" t="s">
        <v>430</v>
      </c>
      <c r="U272" s="46" t="s">
        <v>430</v>
      </c>
      <c r="V272" s="71" t="s">
        <v>430</v>
      </c>
      <c r="W272" s="72" t="s">
        <v>39</v>
      </c>
    </row>
    <row r="273" spans="1:23" s="84" customFormat="1" ht="23.25" customHeight="1">
      <c r="A273" s="26" t="s">
        <v>430</v>
      </c>
      <c r="B273" s="107" t="s">
        <v>231</v>
      </c>
      <c r="C273" s="108" t="s">
        <v>490</v>
      </c>
      <c r="D273" s="17" t="s">
        <v>54</v>
      </c>
      <c r="E273" s="24" t="s">
        <v>227</v>
      </c>
      <c r="F273" s="109" t="s">
        <v>232</v>
      </c>
      <c r="G273" s="109" t="s">
        <v>23</v>
      </c>
      <c r="H273" s="126">
        <v>15340000</v>
      </c>
      <c r="I273" s="77">
        <v>15340000</v>
      </c>
      <c r="J273" s="68">
        <v>0.02</v>
      </c>
      <c r="K273" s="33">
        <v>306800</v>
      </c>
      <c r="L273" s="18">
        <v>45941</v>
      </c>
      <c r="M273" s="18">
        <v>45951</v>
      </c>
      <c r="N273" s="115" t="s">
        <v>344</v>
      </c>
      <c r="O273" s="128">
        <v>15</v>
      </c>
      <c r="P273" s="128"/>
      <c r="Q273" s="128"/>
      <c r="R273" s="73"/>
      <c r="S273" s="21"/>
      <c r="T273" s="48" t="s">
        <v>430</v>
      </c>
      <c r="U273" s="46" t="s">
        <v>430</v>
      </c>
      <c r="V273" s="71" t="s">
        <v>430</v>
      </c>
      <c r="W273" s="72" t="s">
        <v>39</v>
      </c>
    </row>
    <row r="274" spans="1:23" s="84" customFormat="1" ht="23.25" customHeight="1">
      <c r="A274" s="26" t="s">
        <v>430</v>
      </c>
      <c r="B274" s="107" t="s">
        <v>185</v>
      </c>
      <c r="C274" s="108" t="s">
        <v>600</v>
      </c>
      <c r="D274" s="17" t="s">
        <v>54</v>
      </c>
      <c r="E274" s="24" t="s">
        <v>224</v>
      </c>
      <c r="F274" s="109" t="s">
        <v>186</v>
      </c>
      <c r="G274" s="109" t="s">
        <v>23</v>
      </c>
      <c r="H274" s="126">
        <v>50200</v>
      </c>
      <c r="I274" s="77">
        <v>50200</v>
      </c>
      <c r="J274" s="68">
        <v>0.02</v>
      </c>
      <c r="K274" s="33">
        <v>1004</v>
      </c>
      <c r="L274" s="18">
        <v>45942</v>
      </c>
      <c r="M274" s="18">
        <v>45952</v>
      </c>
      <c r="N274" s="115" t="s">
        <v>344</v>
      </c>
      <c r="O274" s="128">
        <v>1</v>
      </c>
      <c r="P274" s="128"/>
      <c r="Q274" s="128"/>
      <c r="R274" s="73"/>
      <c r="S274" s="21"/>
      <c r="T274" s="48" t="s">
        <v>430</v>
      </c>
      <c r="U274" s="46" t="s">
        <v>430</v>
      </c>
      <c r="V274" s="71" t="s">
        <v>430</v>
      </c>
      <c r="W274" s="72" t="s">
        <v>39</v>
      </c>
    </row>
    <row r="275" spans="1:23" s="84" customFormat="1" ht="23.25" customHeight="1">
      <c r="A275" s="26" t="s">
        <v>430</v>
      </c>
      <c r="B275" s="107" t="s">
        <v>231</v>
      </c>
      <c r="C275" s="108" t="s">
        <v>490</v>
      </c>
      <c r="D275" s="17" t="s">
        <v>54</v>
      </c>
      <c r="E275" s="24" t="s">
        <v>227</v>
      </c>
      <c r="F275" s="109" t="s">
        <v>232</v>
      </c>
      <c r="G275" s="109" t="s">
        <v>23</v>
      </c>
      <c r="H275" s="126">
        <v>12510600</v>
      </c>
      <c r="I275" s="77">
        <v>12510600</v>
      </c>
      <c r="J275" s="68">
        <v>0.02</v>
      </c>
      <c r="K275" s="33">
        <v>250212</v>
      </c>
      <c r="L275" s="18">
        <v>45942</v>
      </c>
      <c r="M275" s="18">
        <v>45952</v>
      </c>
      <c r="N275" s="115" t="s">
        <v>344</v>
      </c>
      <c r="O275" s="128">
        <v>15</v>
      </c>
      <c r="P275" s="128"/>
      <c r="Q275" s="128"/>
      <c r="R275" s="73"/>
      <c r="S275" s="21"/>
      <c r="T275" s="48" t="s">
        <v>430</v>
      </c>
      <c r="U275" s="46" t="s">
        <v>430</v>
      </c>
      <c r="V275" s="71" t="s">
        <v>430</v>
      </c>
      <c r="W275" s="72" t="s">
        <v>39</v>
      </c>
    </row>
    <row r="276" spans="1:23" s="84" customFormat="1" ht="23.25" customHeight="1">
      <c r="A276" s="26" t="s">
        <v>430</v>
      </c>
      <c r="B276" s="107" t="s">
        <v>493</v>
      </c>
      <c r="C276" s="108" t="s">
        <v>75</v>
      </c>
      <c r="D276" s="17" t="s">
        <v>54</v>
      </c>
      <c r="E276" s="24" t="s">
        <v>222</v>
      </c>
      <c r="F276" s="109" t="s">
        <v>494</v>
      </c>
      <c r="G276" s="109" t="s">
        <v>23</v>
      </c>
      <c r="H276" s="126">
        <v>3941300</v>
      </c>
      <c r="I276" s="77">
        <v>3941300</v>
      </c>
      <c r="J276" s="68">
        <v>0.02</v>
      </c>
      <c r="K276" s="33">
        <v>78826</v>
      </c>
      <c r="L276" s="18">
        <v>45942</v>
      </c>
      <c r="M276" s="18">
        <v>45952</v>
      </c>
      <c r="N276" s="115" t="s">
        <v>344</v>
      </c>
      <c r="O276" s="128">
        <v>2</v>
      </c>
      <c r="P276" s="128"/>
      <c r="Q276" s="128"/>
      <c r="R276" s="73"/>
      <c r="S276" s="21"/>
      <c r="T276" s="48" t="s">
        <v>430</v>
      </c>
      <c r="U276" s="46" t="s">
        <v>430</v>
      </c>
      <c r="V276" s="71" t="s">
        <v>430</v>
      </c>
      <c r="W276" s="72" t="s">
        <v>39</v>
      </c>
    </row>
    <row r="277" spans="1:23" s="84" customFormat="1" ht="23.25" customHeight="1">
      <c r="A277" s="26" t="s">
        <v>430</v>
      </c>
      <c r="B277" s="107" t="s">
        <v>231</v>
      </c>
      <c r="C277" s="108" t="s">
        <v>490</v>
      </c>
      <c r="D277" s="17" t="s">
        <v>54</v>
      </c>
      <c r="E277" s="24" t="s">
        <v>227</v>
      </c>
      <c r="F277" s="109" t="s">
        <v>232</v>
      </c>
      <c r="G277" s="109" t="s">
        <v>23</v>
      </c>
      <c r="H277" s="126">
        <v>943200</v>
      </c>
      <c r="I277" s="77">
        <v>943200</v>
      </c>
      <c r="J277" s="68">
        <v>0.02</v>
      </c>
      <c r="K277" s="33">
        <v>18864</v>
      </c>
      <c r="L277" s="18">
        <v>45943</v>
      </c>
      <c r="M277" s="18">
        <v>45953</v>
      </c>
      <c r="N277" s="115" t="s">
        <v>344</v>
      </c>
      <c r="O277" s="128">
        <v>2</v>
      </c>
      <c r="P277" s="128"/>
      <c r="Q277" s="128"/>
      <c r="R277" s="73"/>
      <c r="S277" s="21"/>
      <c r="T277" s="48" t="s">
        <v>430</v>
      </c>
      <c r="U277" s="46" t="s">
        <v>430</v>
      </c>
      <c r="V277" s="71" t="s">
        <v>430</v>
      </c>
      <c r="W277" s="72" t="s">
        <v>39</v>
      </c>
    </row>
    <row r="278" spans="1:23" s="84" customFormat="1" ht="23.25" customHeight="1">
      <c r="A278" s="26" t="s">
        <v>430</v>
      </c>
      <c r="B278" s="107" t="s">
        <v>231</v>
      </c>
      <c r="C278" s="108" t="s">
        <v>490</v>
      </c>
      <c r="D278" s="17" t="s">
        <v>54</v>
      </c>
      <c r="E278" s="24" t="s">
        <v>227</v>
      </c>
      <c r="F278" s="109" t="s">
        <v>232</v>
      </c>
      <c r="G278" s="109" t="s">
        <v>23</v>
      </c>
      <c r="H278" s="126">
        <v>3683400</v>
      </c>
      <c r="I278" s="77">
        <v>3683400</v>
      </c>
      <c r="J278" s="68">
        <v>0.02</v>
      </c>
      <c r="K278" s="33">
        <v>73668</v>
      </c>
      <c r="L278" s="18">
        <v>45944</v>
      </c>
      <c r="M278" s="18">
        <v>45954</v>
      </c>
      <c r="N278" s="115" t="s">
        <v>344</v>
      </c>
      <c r="O278" s="128">
        <v>8</v>
      </c>
      <c r="P278" s="128"/>
      <c r="Q278" s="128"/>
      <c r="R278" s="73"/>
      <c r="S278" s="21"/>
      <c r="T278" s="48" t="s">
        <v>430</v>
      </c>
      <c r="U278" s="46" t="s">
        <v>430</v>
      </c>
      <c r="V278" s="71" t="s">
        <v>430</v>
      </c>
      <c r="W278" s="72" t="s">
        <v>39</v>
      </c>
    </row>
    <row r="279" spans="1:23" s="84" customFormat="1" ht="23.25" customHeight="1">
      <c r="A279" s="26" t="s">
        <v>430</v>
      </c>
      <c r="B279" s="107" t="s">
        <v>339</v>
      </c>
      <c r="C279" s="108" t="s">
        <v>330</v>
      </c>
      <c r="D279" s="17" t="s">
        <v>54</v>
      </c>
      <c r="E279" s="24" t="s">
        <v>222</v>
      </c>
      <c r="F279" s="109" t="s">
        <v>340</v>
      </c>
      <c r="G279" s="109" t="s">
        <v>23</v>
      </c>
      <c r="H279" s="126">
        <v>2016100</v>
      </c>
      <c r="I279" s="77">
        <v>2016100</v>
      </c>
      <c r="J279" s="68">
        <v>0.02</v>
      </c>
      <c r="K279" s="33">
        <v>40322</v>
      </c>
      <c r="L279" s="18">
        <v>45944</v>
      </c>
      <c r="M279" s="18">
        <v>45954</v>
      </c>
      <c r="N279" s="115" t="s">
        <v>344</v>
      </c>
      <c r="O279" s="128">
        <v>7</v>
      </c>
      <c r="P279" s="128"/>
      <c r="Q279" s="128"/>
      <c r="R279" s="73"/>
      <c r="S279" s="21"/>
      <c r="T279" s="48" t="s">
        <v>430</v>
      </c>
      <c r="U279" s="46" t="s">
        <v>430</v>
      </c>
      <c r="V279" s="71" t="s">
        <v>430</v>
      </c>
      <c r="W279" s="72" t="s">
        <v>39</v>
      </c>
    </row>
    <row r="280" spans="1:23" s="84" customFormat="1" ht="23.25" customHeight="1">
      <c r="A280" s="26" t="s">
        <v>430</v>
      </c>
      <c r="B280" s="107" t="s">
        <v>185</v>
      </c>
      <c r="C280" s="108" t="s">
        <v>600</v>
      </c>
      <c r="D280" s="17" t="s">
        <v>54</v>
      </c>
      <c r="E280" s="24" t="s">
        <v>224</v>
      </c>
      <c r="F280" s="109" t="s">
        <v>186</v>
      </c>
      <c r="G280" s="109" t="s">
        <v>23</v>
      </c>
      <c r="H280" s="126">
        <v>461900</v>
      </c>
      <c r="I280" s="77">
        <v>461900</v>
      </c>
      <c r="J280" s="68">
        <v>0.02</v>
      </c>
      <c r="K280" s="33">
        <v>9238</v>
      </c>
      <c r="L280" s="18">
        <v>45945</v>
      </c>
      <c r="M280" s="18">
        <v>45955</v>
      </c>
      <c r="N280" s="115" t="s">
        <v>344</v>
      </c>
      <c r="O280" s="128">
        <v>1</v>
      </c>
      <c r="P280" s="128"/>
      <c r="Q280" s="128"/>
      <c r="R280" s="73"/>
      <c r="S280" s="21"/>
      <c r="T280" s="48" t="s">
        <v>430</v>
      </c>
      <c r="U280" s="46" t="s">
        <v>430</v>
      </c>
      <c r="V280" s="71" t="s">
        <v>430</v>
      </c>
      <c r="W280" s="72" t="s">
        <v>39</v>
      </c>
    </row>
    <row r="281" spans="1:23" s="84" customFormat="1" ht="23.25" customHeight="1">
      <c r="A281" s="26" t="s">
        <v>430</v>
      </c>
      <c r="B281" s="107" t="s">
        <v>229</v>
      </c>
      <c r="C281" s="108" t="s">
        <v>603</v>
      </c>
      <c r="D281" s="17" t="s">
        <v>54</v>
      </c>
      <c r="E281" s="24" t="s">
        <v>227</v>
      </c>
      <c r="F281" s="109" t="s">
        <v>230</v>
      </c>
      <c r="G281" s="109" t="s">
        <v>23</v>
      </c>
      <c r="H281" s="126">
        <v>901000</v>
      </c>
      <c r="I281" s="77">
        <v>901000</v>
      </c>
      <c r="J281" s="68">
        <v>0.02</v>
      </c>
      <c r="K281" s="33">
        <v>18020</v>
      </c>
      <c r="L281" s="18">
        <v>45945</v>
      </c>
      <c r="M281" s="18">
        <v>45955</v>
      </c>
      <c r="N281" s="115" t="s">
        <v>344</v>
      </c>
      <c r="O281" s="128">
        <v>2</v>
      </c>
      <c r="P281" s="128"/>
      <c r="Q281" s="128"/>
      <c r="R281" s="73"/>
      <c r="S281" s="21"/>
      <c r="T281" s="48" t="s">
        <v>430</v>
      </c>
      <c r="U281" s="46" t="s">
        <v>430</v>
      </c>
      <c r="V281" s="71" t="s">
        <v>430</v>
      </c>
      <c r="W281" s="72" t="s">
        <v>39</v>
      </c>
    </row>
    <row r="282" spans="1:23" s="84" customFormat="1" ht="23.25" customHeight="1">
      <c r="A282" s="26" t="s">
        <v>430</v>
      </c>
      <c r="B282" s="107" t="s">
        <v>231</v>
      </c>
      <c r="C282" s="108" t="s">
        <v>490</v>
      </c>
      <c r="D282" s="17" t="s">
        <v>54</v>
      </c>
      <c r="E282" s="24" t="s">
        <v>227</v>
      </c>
      <c r="F282" s="109" t="s">
        <v>232</v>
      </c>
      <c r="G282" s="109" t="s">
        <v>23</v>
      </c>
      <c r="H282" s="126">
        <v>4527100</v>
      </c>
      <c r="I282" s="77">
        <v>4527100</v>
      </c>
      <c r="J282" s="68">
        <v>0.02</v>
      </c>
      <c r="K282" s="33">
        <v>90542</v>
      </c>
      <c r="L282" s="18">
        <v>45945</v>
      </c>
      <c r="M282" s="18">
        <v>45955</v>
      </c>
      <c r="N282" s="115" t="s">
        <v>344</v>
      </c>
      <c r="O282" s="128">
        <v>27</v>
      </c>
      <c r="P282" s="128"/>
      <c r="Q282" s="128"/>
      <c r="R282" s="73"/>
      <c r="S282" s="21"/>
      <c r="T282" s="48" t="s">
        <v>430</v>
      </c>
      <c r="U282" s="46" t="s">
        <v>430</v>
      </c>
      <c r="V282" s="71" t="s">
        <v>430</v>
      </c>
      <c r="W282" s="72" t="s">
        <v>39</v>
      </c>
    </row>
    <row r="283" spans="1:23" s="84" customFormat="1" ht="23.25" customHeight="1">
      <c r="A283" s="26" t="s">
        <v>430</v>
      </c>
      <c r="B283" s="107" t="s">
        <v>235</v>
      </c>
      <c r="C283" s="108" t="s">
        <v>490</v>
      </c>
      <c r="D283" s="17" t="s">
        <v>54</v>
      </c>
      <c r="E283" s="24" t="s">
        <v>222</v>
      </c>
      <c r="F283" s="109" t="s">
        <v>236</v>
      </c>
      <c r="G283" s="109" t="s">
        <v>23</v>
      </c>
      <c r="H283" s="126">
        <v>4806300</v>
      </c>
      <c r="I283" s="77">
        <v>4806300</v>
      </c>
      <c r="J283" s="68">
        <v>0.02</v>
      </c>
      <c r="K283" s="33">
        <v>96126</v>
      </c>
      <c r="L283" s="18">
        <v>45945</v>
      </c>
      <c r="M283" s="18">
        <v>45955</v>
      </c>
      <c r="N283" s="115" t="s">
        <v>344</v>
      </c>
      <c r="O283" s="128">
        <v>2</v>
      </c>
      <c r="P283" s="128"/>
      <c r="Q283" s="128"/>
      <c r="R283" s="73"/>
      <c r="S283" s="21"/>
      <c r="T283" s="48" t="s">
        <v>430</v>
      </c>
      <c r="U283" s="46" t="s">
        <v>430</v>
      </c>
      <c r="V283" s="71" t="s">
        <v>430</v>
      </c>
      <c r="W283" s="72" t="s">
        <v>39</v>
      </c>
    </row>
    <row r="284" spans="1:23" s="84" customFormat="1" ht="23.25" customHeight="1">
      <c r="A284" s="26" t="s">
        <v>430</v>
      </c>
      <c r="B284" s="107" t="s">
        <v>226</v>
      </c>
      <c r="C284" s="108" t="s">
        <v>602</v>
      </c>
      <c r="D284" s="17" t="s">
        <v>54</v>
      </c>
      <c r="E284" s="24" t="s">
        <v>227</v>
      </c>
      <c r="F284" s="109" t="s">
        <v>228</v>
      </c>
      <c r="G284" s="109" t="s">
        <v>23</v>
      </c>
      <c r="H284" s="126">
        <v>1479000</v>
      </c>
      <c r="I284" s="77">
        <v>1479000</v>
      </c>
      <c r="J284" s="68">
        <v>0.02</v>
      </c>
      <c r="K284" s="33">
        <v>29580</v>
      </c>
      <c r="L284" s="18">
        <v>45948</v>
      </c>
      <c r="M284" s="18">
        <v>45958</v>
      </c>
      <c r="N284" s="115" t="s">
        <v>344</v>
      </c>
      <c r="O284" s="128">
        <v>12</v>
      </c>
      <c r="P284" s="128"/>
      <c r="Q284" s="128"/>
      <c r="R284" s="73"/>
      <c r="S284" s="21"/>
      <c r="T284" s="48" t="s">
        <v>430</v>
      </c>
      <c r="U284" s="46" t="s">
        <v>430</v>
      </c>
      <c r="V284" s="71" t="s">
        <v>430</v>
      </c>
      <c r="W284" s="72" t="s">
        <v>39</v>
      </c>
    </row>
    <row r="285" spans="1:23" s="84" customFormat="1" ht="23.25" customHeight="1">
      <c r="A285" s="26" t="s">
        <v>430</v>
      </c>
      <c r="B285" s="107" t="s">
        <v>229</v>
      </c>
      <c r="C285" s="108" t="s">
        <v>603</v>
      </c>
      <c r="D285" s="17" t="s">
        <v>54</v>
      </c>
      <c r="E285" s="24" t="s">
        <v>227</v>
      </c>
      <c r="F285" s="109" t="s">
        <v>230</v>
      </c>
      <c r="G285" s="109" t="s">
        <v>23</v>
      </c>
      <c r="H285" s="126">
        <v>5928200</v>
      </c>
      <c r="I285" s="77">
        <v>5928200</v>
      </c>
      <c r="J285" s="68">
        <v>0.02</v>
      </c>
      <c r="K285" s="33">
        <v>118564</v>
      </c>
      <c r="L285" s="18">
        <v>45948</v>
      </c>
      <c r="M285" s="18">
        <v>45958</v>
      </c>
      <c r="N285" s="115" t="s">
        <v>344</v>
      </c>
      <c r="O285" s="128">
        <v>10</v>
      </c>
      <c r="P285" s="128"/>
      <c r="Q285" s="128"/>
      <c r="R285" s="73"/>
      <c r="S285" s="21"/>
      <c r="T285" s="48" t="s">
        <v>430</v>
      </c>
      <c r="U285" s="48" t="s">
        <v>430</v>
      </c>
      <c r="V285" s="71" t="s">
        <v>430</v>
      </c>
      <c r="W285" s="72" t="s">
        <v>39</v>
      </c>
    </row>
    <row r="286" spans="1:23" s="84" customFormat="1" ht="23.25" customHeight="1">
      <c r="A286" s="26" t="s">
        <v>430</v>
      </c>
      <c r="B286" s="107" t="s">
        <v>231</v>
      </c>
      <c r="C286" s="108" t="s">
        <v>490</v>
      </c>
      <c r="D286" s="17" t="s">
        <v>54</v>
      </c>
      <c r="E286" s="24" t="s">
        <v>227</v>
      </c>
      <c r="F286" s="109" t="s">
        <v>232</v>
      </c>
      <c r="G286" s="109" t="s">
        <v>23</v>
      </c>
      <c r="H286" s="126">
        <v>62939800</v>
      </c>
      <c r="I286" s="77">
        <v>62939800</v>
      </c>
      <c r="J286" s="68">
        <v>0.02</v>
      </c>
      <c r="K286" s="33">
        <v>1258796</v>
      </c>
      <c r="L286" s="18">
        <v>45948</v>
      </c>
      <c r="M286" s="18">
        <v>45958</v>
      </c>
      <c r="N286" s="115" t="s">
        <v>344</v>
      </c>
      <c r="O286" s="128">
        <v>42</v>
      </c>
      <c r="P286" s="128"/>
      <c r="Q286" s="128"/>
      <c r="R286" s="73"/>
      <c r="S286" s="21"/>
      <c r="T286" s="48" t="s">
        <v>430</v>
      </c>
      <c r="U286" s="46" t="s">
        <v>430</v>
      </c>
      <c r="V286" s="71" t="s">
        <v>430</v>
      </c>
      <c r="W286" s="72" t="s">
        <v>39</v>
      </c>
    </row>
    <row r="287" spans="1:23" s="84" customFormat="1" ht="23.25" customHeight="1">
      <c r="A287" s="26" t="s">
        <v>430</v>
      </c>
      <c r="B287" s="107" t="s">
        <v>233</v>
      </c>
      <c r="C287" s="108" t="s">
        <v>604</v>
      </c>
      <c r="D287" s="17" t="s">
        <v>54</v>
      </c>
      <c r="E287" s="24" t="s">
        <v>222</v>
      </c>
      <c r="F287" s="109" t="s">
        <v>234</v>
      </c>
      <c r="G287" s="109" t="s">
        <v>23</v>
      </c>
      <c r="H287" s="126">
        <v>978300</v>
      </c>
      <c r="I287" s="77">
        <v>978300</v>
      </c>
      <c r="J287" s="68">
        <v>0.02</v>
      </c>
      <c r="K287" s="33">
        <v>19566</v>
      </c>
      <c r="L287" s="18">
        <v>45948</v>
      </c>
      <c r="M287" s="18">
        <v>45958</v>
      </c>
      <c r="N287" s="115" t="s">
        <v>344</v>
      </c>
      <c r="O287" s="128">
        <v>4</v>
      </c>
      <c r="P287" s="128"/>
      <c r="Q287" s="128"/>
      <c r="R287" s="73"/>
      <c r="S287" s="21"/>
      <c r="T287" s="48" t="s">
        <v>430</v>
      </c>
      <c r="U287" s="46" t="s">
        <v>430</v>
      </c>
      <c r="V287" s="71" t="s">
        <v>430</v>
      </c>
      <c r="W287" s="72" t="s">
        <v>39</v>
      </c>
    </row>
    <row r="288" spans="1:23" s="84" customFormat="1" ht="23.25" customHeight="1">
      <c r="A288" s="26" t="s">
        <v>430</v>
      </c>
      <c r="B288" s="107" t="s">
        <v>233</v>
      </c>
      <c r="C288" s="108" t="s">
        <v>604</v>
      </c>
      <c r="D288" s="17" t="s">
        <v>54</v>
      </c>
      <c r="E288" s="24" t="s">
        <v>222</v>
      </c>
      <c r="F288" s="109" t="s">
        <v>234</v>
      </c>
      <c r="G288" s="109" t="s">
        <v>23</v>
      </c>
      <c r="H288" s="126">
        <v>943200</v>
      </c>
      <c r="I288" s="77">
        <v>943200</v>
      </c>
      <c r="J288" s="68">
        <v>0.02</v>
      </c>
      <c r="K288" s="33">
        <v>18864</v>
      </c>
      <c r="L288" s="18">
        <v>45949</v>
      </c>
      <c r="M288" s="18">
        <v>45959</v>
      </c>
      <c r="N288" s="115" t="s">
        <v>344</v>
      </c>
      <c r="O288" s="128">
        <v>2</v>
      </c>
      <c r="P288" s="128"/>
      <c r="Q288" s="128"/>
      <c r="R288" s="73"/>
      <c r="S288" s="21"/>
      <c r="T288" s="48" t="s">
        <v>430</v>
      </c>
      <c r="U288" s="46" t="s">
        <v>430</v>
      </c>
      <c r="V288" s="71" t="s">
        <v>430</v>
      </c>
      <c r="W288" s="72" t="s">
        <v>39</v>
      </c>
    </row>
    <row r="289" spans="1:23" s="84" customFormat="1" ht="23.25" customHeight="1">
      <c r="A289" s="26" t="s">
        <v>430</v>
      </c>
      <c r="B289" s="107" t="s">
        <v>185</v>
      </c>
      <c r="C289" s="108" t="s">
        <v>600</v>
      </c>
      <c r="D289" s="17" t="s">
        <v>54</v>
      </c>
      <c r="E289" s="24" t="s">
        <v>224</v>
      </c>
      <c r="F289" s="109" t="s">
        <v>186</v>
      </c>
      <c r="G289" s="109" t="s">
        <v>23</v>
      </c>
      <c r="H289" s="126">
        <v>473000</v>
      </c>
      <c r="I289" s="77">
        <v>473000</v>
      </c>
      <c r="J289" s="68">
        <v>0.02</v>
      </c>
      <c r="K289" s="33">
        <v>9460</v>
      </c>
      <c r="L289" s="18">
        <v>45950</v>
      </c>
      <c r="M289" s="18">
        <v>45960</v>
      </c>
      <c r="N289" s="115" t="s">
        <v>344</v>
      </c>
      <c r="O289" s="128">
        <v>8</v>
      </c>
      <c r="P289" s="128"/>
      <c r="Q289" s="128"/>
      <c r="R289" s="73"/>
      <c r="S289" s="21"/>
      <c r="T289" s="48" t="s">
        <v>430</v>
      </c>
      <c r="U289" s="46" t="s">
        <v>430</v>
      </c>
      <c r="V289" s="71" t="s">
        <v>430</v>
      </c>
      <c r="W289" s="72" t="s">
        <v>39</v>
      </c>
    </row>
    <row r="290" spans="1:23" s="84" customFormat="1" ht="23.25" customHeight="1">
      <c r="A290" s="26" t="s">
        <v>430</v>
      </c>
      <c r="B290" s="107" t="s">
        <v>187</v>
      </c>
      <c r="C290" s="108" t="s">
        <v>601</v>
      </c>
      <c r="D290" s="17" t="s">
        <v>54</v>
      </c>
      <c r="E290" s="24" t="s">
        <v>222</v>
      </c>
      <c r="F290" s="109" t="s">
        <v>188</v>
      </c>
      <c r="G290" s="109" t="s">
        <v>23</v>
      </c>
      <c r="H290" s="126">
        <v>2237600</v>
      </c>
      <c r="I290" s="77">
        <v>2237600</v>
      </c>
      <c r="J290" s="68">
        <v>0.02</v>
      </c>
      <c r="K290" s="33">
        <v>44752</v>
      </c>
      <c r="L290" s="18">
        <v>45950</v>
      </c>
      <c r="M290" s="18">
        <v>45960</v>
      </c>
      <c r="N290" s="115" t="s">
        <v>344</v>
      </c>
      <c r="O290" s="128">
        <v>10</v>
      </c>
      <c r="P290" s="128"/>
      <c r="Q290" s="128"/>
      <c r="R290" s="73"/>
      <c r="S290" s="21"/>
      <c r="T290" s="48" t="s">
        <v>430</v>
      </c>
      <c r="U290" s="46" t="s">
        <v>430</v>
      </c>
      <c r="V290" s="71" t="s">
        <v>430</v>
      </c>
      <c r="W290" s="72" t="s">
        <v>39</v>
      </c>
    </row>
    <row r="291" spans="1:23" s="84" customFormat="1" ht="23.25" customHeight="1">
      <c r="A291" s="26" t="s">
        <v>430</v>
      </c>
      <c r="B291" s="107" t="s">
        <v>229</v>
      </c>
      <c r="C291" s="108" t="s">
        <v>603</v>
      </c>
      <c r="D291" s="17" t="s">
        <v>54</v>
      </c>
      <c r="E291" s="24" t="s">
        <v>227</v>
      </c>
      <c r="F291" s="109" t="s">
        <v>230</v>
      </c>
      <c r="G291" s="109" t="s">
        <v>23</v>
      </c>
      <c r="H291" s="126">
        <v>4085700</v>
      </c>
      <c r="I291" s="77">
        <v>4085700</v>
      </c>
      <c r="J291" s="68">
        <v>0.02</v>
      </c>
      <c r="K291" s="33">
        <v>81714</v>
      </c>
      <c r="L291" s="18">
        <v>45950</v>
      </c>
      <c r="M291" s="18">
        <v>45960</v>
      </c>
      <c r="N291" s="115" t="s">
        <v>344</v>
      </c>
      <c r="O291" s="128">
        <v>3</v>
      </c>
      <c r="P291" s="128"/>
      <c r="Q291" s="128"/>
      <c r="R291" s="73"/>
      <c r="S291" s="21"/>
      <c r="T291" s="48" t="s">
        <v>430</v>
      </c>
      <c r="U291" s="46" t="s">
        <v>430</v>
      </c>
      <c r="V291" s="71" t="s">
        <v>430</v>
      </c>
      <c r="W291" s="72" t="s">
        <v>39</v>
      </c>
    </row>
    <row r="292" spans="1:23" s="84" customFormat="1" ht="23.25" customHeight="1">
      <c r="A292" s="26" t="s">
        <v>430</v>
      </c>
      <c r="B292" s="107" t="s">
        <v>331</v>
      </c>
      <c r="C292" s="108" t="s">
        <v>330</v>
      </c>
      <c r="D292" s="17" t="s">
        <v>54</v>
      </c>
      <c r="E292" s="24" t="s">
        <v>222</v>
      </c>
      <c r="F292" s="109" t="s">
        <v>332</v>
      </c>
      <c r="G292" s="109" t="s">
        <v>23</v>
      </c>
      <c r="H292" s="126">
        <v>39268900</v>
      </c>
      <c r="I292" s="77">
        <v>39268900</v>
      </c>
      <c r="J292" s="68">
        <v>0.02</v>
      </c>
      <c r="K292" s="33">
        <v>785378</v>
      </c>
      <c r="L292" s="18">
        <v>45950</v>
      </c>
      <c r="M292" s="18">
        <v>45960</v>
      </c>
      <c r="N292" s="115" t="s">
        <v>344</v>
      </c>
      <c r="O292" s="128">
        <v>38</v>
      </c>
      <c r="P292" s="128"/>
      <c r="Q292" s="128"/>
      <c r="R292" s="73"/>
      <c r="S292" s="21"/>
      <c r="T292" s="48" t="s">
        <v>430</v>
      </c>
      <c r="U292" s="46" t="s">
        <v>430</v>
      </c>
      <c r="V292" s="71" t="s">
        <v>430</v>
      </c>
      <c r="W292" s="72" t="s">
        <v>39</v>
      </c>
    </row>
    <row r="293" spans="1:23" s="84" customFormat="1" ht="23.25" customHeight="1">
      <c r="A293" s="26" t="s">
        <v>430</v>
      </c>
      <c r="B293" s="107" t="s">
        <v>231</v>
      </c>
      <c r="C293" s="108" t="s">
        <v>490</v>
      </c>
      <c r="D293" s="17" t="s">
        <v>54</v>
      </c>
      <c r="E293" s="24" t="s">
        <v>227</v>
      </c>
      <c r="F293" s="109" t="s">
        <v>232</v>
      </c>
      <c r="G293" s="109" t="s">
        <v>23</v>
      </c>
      <c r="H293" s="126">
        <v>2664900</v>
      </c>
      <c r="I293" s="77">
        <v>2664900</v>
      </c>
      <c r="J293" s="68">
        <v>0.02</v>
      </c>
      <c r="K293" s="33">
        <v>53298</v>
      </c>
      <c r="L293" s="18">
        <v>45951</v>
      </c>
      <c r="M293" s="18">
        <v>45961</v>
      </c>
      <c r="N293" s="115" t="s">
        <v>344</v>
      </c>
      <c r="O293" s="128">
        <v>28</v>
      </c>
      <c r="P293" s="128"/>
      <c r="Q293" s="128"/>
      <c r="R293" s="73"/>
      <c r="S293" s="21"/>
      <c r="T293" s="48" t="s">
        <v>430</v>
      </c>
      <c r="U293" s="46" t="s">
        <v>430</v>
      </c>
      <c r="V293" s="71" t="s">
        <v>430</v>
      </c>
      <c r="W293" s="72" t="s">
        <v>39</v>
      </c>
    </row>
    <row r="294" spans="1:23" s="84" customFormat="1" ht="23.25" customHeight="1">
      <c r="A294" s="26" t="s">
        <v>430</v>
      </c>
      <c r="B294" s="107" t="s">
        <v>233</v>
      </c>
      <c r="C294" s="108" t="s">
        <v>604</v>
      </c>
      <c r="D294" s="17" t="s">
        <v>54</v>
      </c>
      <c r="E294" s="24" t="s">
        <v>222</v>
      </c>
      <c r="F294" s="109" t="s">
        <v>234</v>
      </c>
      <c r="G294" s="109" t="s">
        <v>23</v>
      </c>
      <c r="H294" s="126">
        <v>2341000</v>
      </c>
      <c r="I294" s="77">
        <v>2341000</v>
      </c>
      <c r="J294" s="68">
        <v>0.02</v>
      </c>
      <c r="K294" s="33">
        <v>46820</v>
      </c>
      <c r="L294" s="18">
        <v>45951</v>
      </c>
      <c r="M294" s="18">
        <v>45961</v>
      </c>
      <c r="N294" s="115" t="s">
        <v>344</v>
      </c>
      <c r="O294" s="128">
        <v>5</v>
      </c>
      <c r="P294" s="128"/>
      <c r="Q294" s="128"/>
      <c r="R294" s="73"/>
      <c r="S294" s="21"/>
      <c r="T294" s="48" t="s">
        <v>430</v>
      </c>
      <c r="U294" s="46" t="s">
        <v>430</v>
      </c>
      <c r="V294" s="71" t="s">
        <v>430</v>
      </c>
      <c r="W294" s="72" t="s">
        <v>39</v>
      </c>
    </row>
    <row r="295" spans="1:23" s="84" customFormat="1" ht="23.25" customHeight="1">
      <c r="A295" s="26" t="s">
        <v>430</v>
      </c>
      <c r="B295" s="107" t="s">
        <v>331</v>
      </c>
      <c r="C295" s="108" t="s">
        <v>330</v>
      </c>
      <c r="D295" s="17" t="s">
        <v>54</v>
      </c>
      <c r="E295" s="24" t="s">
        <v>222</v>
      </c>
      <c r="F295" s="109" t="s">
        <v>332</v>
      </c>
      <c r="G295" s="109" t="s">
        <v>23</v>
      </c>
      <c r="H295" s="126">
        <v>52796300</v>
      </c>
      <c r="I295" s="77">
        <v>52796300</v>
      </c>
      <c r="J295" s="68">
        <v>0.02</v>
      </c>
      <c r="K295" s="33">
        <v>1055926</v>
      </c>
      <c r="L295" s="18">
        <v>45951</v>
      </c>
      <c r="M295" s="18">
        <v>45961</v>
      </c>
      <c r="N295" s="115" t="s">
        <v>344</v>
      </c>
      <c r="O295" s="128">
        <v>11</v>
      </c>
      <c r="P295" s="128"/>
      <c r="Q295" s="128"/>
      <c r="R295" s="73"/>
      <c r="S295" s="21"/>
      <c r="T295" s="48" t="s">
        <v>430</v>
      </c>
      <c r="U295" s="48" t="s">
        <v>430</v>
      </c>
      <c r="V295" s="71" t="s">
        <v>430</v>
      </c>
      <c r="W295" s="72" t="s">
        <v>39</v>
      </c>
    </row>
    <row r="296" spans="1:23" s="84" customFormat="1" ht="23.25" customHeight="1">
      <c r="A296" s="26" t="s">
        <v>430</v>
      </c>
      <c r="B296" s="107" t="s">
        <v>85</v>
      </c>
      <c r="C296" s="108" t="s">
        <v>225</v>
      </c>
      <c r="D296" s="17" t="s">
        <v>54</v>
      </c>
      <c r="E296" s="24" t="s">
        <v>221</v>
      </c>
      <c r="F296" s="109" t="s">
        <v>86</v>
      </c>
      <c r="G296" s="109" t="s">
        <v>23</v>
      </c>
      <c r="H296" s="126">
        <v>5858480</v>
      </c>
      <c r="I296" s="77">
        <v>5858480</v>
      </c>
      <c r="J296" s="68">
        <v>0.2</v>
      </c>
      <c r="K296" s="33">
        <v>1171696</v>
      </c>
      <c r="L296" s="18">
        <v>45952</v>
      </c>
      <c r="M296" s="18">
        <v>45962</v>
      </c>
      <c r="N296" s="115" t="s">
        <v>344</v>
      </c>
      <c r="O296" s="128">
        <v>4</v>
      </c>
      <c r="P296" s="128"/>
      <c r="Q296" s="128"/>
      <c r="R296" s="73"/>
      <c r="S296" s="21"/>
      <c r="T296" s="48" t="s">
        <v>430</v>
      </c>
      <c r="U296" s="46" t="s">
        <v>430</v>
      </c>
      <c r="V296" s="71" t="s">
        <v>430</v>
      </c>
      <c r="W296" s="72" t="s">
        <v>39</v>
      </c>
    </row>
    <row r="297" spans="1:23" s="84" customFormat="1" ht="23.25" customHeight="1">
      <c r="A297" s="26" t="s">
        <v>430</v>
      </c>
      <c r="B297" s="107" t="s">
        <v>187</v>
      </c>
      <c r="C297" s="108" t="s">
        <v>601</v>
      </c>
      <c r="D297" s="17" t="s">
        <v>54</v>
      </c>
      <c r="E297" s="24" t="s">
        <v>222</v>
      </c>
      <c r="F297" s="109" t="s">
        <v>188</v>
      </c>
      <c r="G297" s="109" t="s">
        <v>23</v>
      </c>
      <c r="H297" s="126">
        <v>1026000</v>
      </c>
      <c r="I297" s="77">
        <v>1026000</v>
      </c>
      <c r="J297" s="68">
        <v>0.02</v>
      </c>
      <c r="K297" s="33">
        <v>20520</v>
      </c>
      <c r="L297" s="18">
        <v>45952</v>
      </c>
      <c r="M297" s="18">
        <v>45962</v>
      </c>
      <c r="N297" s="115" t="s">
        <v>344</v>
      </c>
      <c r="O297" s="128">
        <v>4</v>
      </c>
      <c r="P297" s="128"/>
      <c r="Q297" s="128"/>
      <c r="R297" s="73"/>
      <c r="S297" s="21"/>
      <c r="T297" s="48" t="s">
        <v>430</v>
      </c>
      <c r="U297" s="46" t="s">
        <v>430</v>
      </c>
      <c r="V297" s="71" t="s">
        <v>430</v>
      </c>
      <c r="W297" s="72" t="s">
        <v>39</v>
      </c>
    </row>
    <row r="298" spans="1:23" s="84" customFormat="1" ht="23.25" customHeight="1">
      <c r="A298" s="26" t="s">
        <v>430</v>
      </c>
      <c r="B298" s="107" t="s">
        <v>231</v>
      </c>
      <c r="C298" s="108" t="s">
        <v>490</v>
      </c>
      <c r="D298" s="17" t="s">
        <v>54</v>
      </c>
      <c r="E298" s="24" t="s">
        <v>227</v>
      </c>
      <c r="F298" s="109" t="s">
        <v>232</v>
      </c>
      <c r="G298" s="109" t="s">
        <v>23</v>
      </c>
      <c r="H298" s="126">
        <v>2659100</v>
      </c>
      <c r="I298" s="77">
        <v>2659100</v>
      </c>
      <c r="J298" s="68">
        <v>0.02</v>
      </c>
      <c r="K298" s="33">
        <v>53182</v>
      </c>
      <c r="L298" s="18">
        <v>45952</v>
      </c>
      <c r="M298" s="18">
        <v>45962</v>
      </c>
      <c r="N298" s="115" t="s">
        <v>344</v>
      </c>
      <c r="O298" s="128">
        <v>1</v>
      </c>
      <c r="P298" s="128"/>
      <c r="Q298" s="128"/>
      <c r="R298" s="73"/>
      <c r="S298" s="21"/>
      <c r="T298" s="48" t="s">
        <v>430</v>
      </c>
      <c r="U298" s="46" t="s">
        <v>430</v>
      </c>
      <c r="V298" s="71" t="s">
        <v>430</v>
      </c>
      <c r="W298" s="72" t="s">
        <v>39</v>
      </c>
    </row>
    <row r="299" spans="1:23" s="84" customFormat="1" ht="23.25" customHeight="1">
      <c r="A299" s="26" t="s">
        <v>430</v>
      </c>
      <c r="B299" s="107" t="s">
        <v>233</v>
      </c>
      <c r="C299" s="108" t="s">
        <v>604</v>
      </c>
      <c r="D299" s="17" t="s">
        <v>54</v>
      </c>
      <c r="E299" s="24" t="s">
        <v>222</v>
      </c>
      <c r="F299" s="109" t="s">
        <v>234</v>
      </c>
      <c r="G299" s="109" t="s">
        <v>23</v>
      </c>
      <c r="H299" s="126">
        <v>20061000</v>
      </c>
      <c r="I299" s="77">
        <v>20061000</v>
      </c>
      <c r="J299" s="68">
        <v>0.02</v>
      </c>
      <c r="K299" s="33">
        <v>401220</v>
      </c>
      <c r="L299" s="18">
        <v>45952</v>
      </c>
      <c r="M299" s="18">
        <v>45962</v>
      </c>
      <c r="N299" s="115" t="s">
        <v>344</v>
      </c>
      <c r="O299" s="128">
        <v>62</v>
      </c>
      <c r="P299" s="128"/>
      <c r="Q299" s="128"/>
      <c r="R299" s="73"/>
      <c r="S299" s="21"/>
      <c r="T299" s="48" t="s">
        <v>430</v>
      </c>
      <c r="U299" s="46" t="s">
        <v>430</v>
      </c>
      <c r="V299" s="71" t="s">
        <v>430</v>
      </c>
      <c r="W299" s="72" t="s">
        <v>39</v>
      </c>
    </row>
    <row r="300" spans="1:23" s="84" customFormat="1" ht="23.25" customHeight="1">
      <c r="A300" s="26" t="s">
        <v>430</v>
      </c>
      <c r="B300" s="107" t="s">
        <v>235</v>
      </c>
      <c r="C300" s="108" t="s">
        <v>490</v>
      </c>
      <c r="D300" s="17" t="s">
        <v>54</v>
      </c>
      <c r="E300" s="24" t="s">
        <v>222</v>
      </c>
      <c r="F300" s="109" t="s">
        <v>236</v>
      </c>
      <c r="G300" s="109" t="s">
        <v>23</v>
      </c>
      <c r="H300" s="126">
        <v>48339200</v>
      </c>
      <c r="I300" s="77">
        <v>48339200</v>
      </c>
      <c r="J300" s="68">
        <v>0.02</v>
      </c>
      <c r="K300" s="33">
        <v>966784</v>
      </c>
      <c r="L300" s="18">
        <v>45952</v>
      </c>
      <c r="M300" s="18">
        <v>45962</v>
      </c>
      <c r="N300" s="115" t="s">
        <v>344</v>
      </c>
      <c r="O300" s="128">
        <v>2</v>
      </c>
      <c r="P300" s="128"/>
      <c r="Q300" s="128"/>
      <c r="R300" s="73"/>
      <c r="S300" s="21"/>
      <c r="T300" s="48" t="s">
        <v>430</v>
      </c>
      <c r="U300" s="46" t="s">
        <v>430</v>
      </c>
      <c r="V300" s="71" t="s">
        <v>430</v>
      </c>
      <c r="W300" s="72" t="s">
        <v>39</v>
      </c>
    </row>
    <row r="301" spans="1:23" s="84" customFormat="1" ht="23.25" customHeight="1">
      <c r="A301" s="26" t="s">
        <v>430</v>
      </c>
      <c r="B301" s="107" t="s">
        <v>87</v>
      </c>
      <c r="C301" s="108" t="s">
        <v>225</v>
      </c>
      <c r="D301" s="17" t="s">
        <v>54</v>
      </c>
      <c r="E301" s="24" t="s">
        <v>221</v>
      </c>
      <c r="F301" s="109" t="s">
        <v>88</v>
      </c>
      <c r="G301" s="109" t="s">
        <v>23</v>
      </c>
      <c r="H301" s="126">
        <v>59459410</v>
      </c>
      <c r="I301" s="77">
        <v>59459410</v>
      </c>
      <c r="J301" s="68">
        <v>0.2</v>
      </c>
      <c r="K301" s="33">
        <v>11891882</v>
      </c>
      <c r="L301" s="18">
        <v>45955</v>
      </c>
      <c r="M301" s="18">
        <v>45965</v>
      </c>
      <c r="N301" s="115" t="s">
        <v>344</v>
      </c>
      <c r="O301" s="128">
        <v>6</v>
      </c>
      <c r="P301" s="128"/>
      <c r="Q301" s="128"/>
      <c r="R301" s="73"/>
      <c r="S301" s="21"/>
      <c r="T301" s="48" t="s">
        <v>430</v>
      </c>
      <c r="U301" s="46" t="s">
        <v>430</v>
      </c>
      <c r="V301" s="71" t="s">
        <v>430</v>
      </c>
      <c r="W301" s="72" t="s">
        <v>39</v>
      </c>
    </row>
    <row r="302" spans="1:23" s="84" customFormat="1" ht="23.25" customHeight="1">
      <c r="A302" s="26" t="s">
        <v>430</v>
      </c>
      <c r="B302" s="107" t="s">
        <v>335</v>
      </c>
      <c r="C302" s="108" t="s">
        <v>29</v>
      </c>
      <c r="D302" s="17" t="s">
        <v>54</v>
      </c>
      <c r="E302" s="24" t="s">
        <v>222</v>
      </c>
      <c r="F302" s="109" t="s">
        <v>336</v>
      </c>
      <c r="G302" s="109" t="s">
        <v>23</v>
      </c>
      <c r="H302" s="126">
        <v>55645600</v>
      </c>
      <c r="I302" s="77">
        <v>55645600</v>
      </c>
      <c r="J302" s="68">
        <v>0.02</v>
      </c>
      <c r="K302" s="33">
        <v>1112912</v>
      </c>
      <c r="L302" s="18">
        <v>45955</v>
      </c>
      <c r="M302" s="18">
        <v>45965</v>
      </c>
      <c r="N302" s="115" t="s">
        <v>344</v>
      </c>
      <c r="O302" s="128">
        <v>6</v>
      </c>
      <c r="P302" s="128"/>
      <c r="Q302" s="128"/>
      <c r="R302" s="73"/>
      <c r="S302" s="21"/>
      <c r="T302" s="48" t="s">
        <v>430</v>
      </c>
      <c r="U302" s="46" t="s">
        <v>430</v>
      </c>
      <c r="V302" s="71" t="s">
        <v>430</v>
      </c>
      <c r="W302" s="72" t="s">
        <v>39</v>
      </c>
    </row>
    <row r="303" spans="1:23" s="84" customFormat="1" ht="23.25" customHeight="1">
      <c r="A303" s="26" t="s">
        <v>430</v>
      </c>
      <c r="B303" s="107" t="s">
        <v>231</v>
      </c>
      <c r="C303" s="108" t="s">
        <v>490</v>
      </c>
      <c r="D303" s="17" t="s">
        <v>54</v>
      </c>
      <c r="E303" s="24" t="s">
        <v>227</v>
      </c>
      <c r="F303" s="109" t="s">
        <v>232</v>
      </c>
      <c r="G303" s="109" t="s">
        <v>23</v>
      </c>
      <c r="H303" s="126">
        <v>11715900</v>
      </c>
      <c r="I303" s="77">
        <v>11715900</v>
      </c>
      <c r="J303" s="68">
        <v>0.02</v>
      </c>
      <c r="K303" s="33">
        <v>234318</v>
      </c>
      <c r="L303" s="18">
        <v>45956</v>
      </c>
      <c r="M303" s="18">
        <v>45966</v>
      </c>
      <c r="N303" s="115" t="s">
        <v>344</v>
      </c>
      <c r="O303" s="128">
        <v>40</v>
      </c>
      <c r="P303" s="128"/>
      <c r="Q303" s="128"/>
      <c r="R303" s="73"/>
      <c r="S303" s="21"/>
      <c r="T303" s="48" t="s">
        <v>430</v>
      </c>
      <c r="U303" s="46" t="s">
        <v>430</v>
      </c>
      <c r="V303" s="71" t="s">
        <v>430</v>
      </c>
      <c r="W303" s="72" t="s">
        <v>39</v>
      </c>
    </row>
    <row r="304" spans="1:23" s="84" customFormat="1" ht="23.25" customHeight="1">
      <c r="A304" s="26" t="s">
        <v>430</v>
      </c>
      <c r="B304" s="107" t="s">
        <v>235</v>
      </c>
      <c r="C304" s="108" t="s">
        <v>490</v>
      </c>
      <c r="D304" s="17" t="s">
        <v>54</v>
      </c>
      <c r="E304" s="24" t="s">
        <v>222</v>
      </c>
      <c r="F304" s="109" t="s">
        <v>236</v>
      </c>
      <c r="G304" s="109" t="s">
        <v>23</v>
      </c>
      <c r="H304" s="126">
        <v>3561000</v>
      </c>
      <c r="I304" s="77">
        <v>3561000</v>
      </c>
      <c r="J304" s="68">
        <v>0.02</v>
      </c>
      <c r="K304" s="33">
        <v>71220</v>
      </c>
      <c r="L304" s="18">
        <v>45956</v>
      </c>
      <c r="M304" s="18">
        <v>45966</v>
      </c>
      <c r="N304" s="115" t="s">
        <v>344</v>
      </c>
      <c r="O304" s="128">
        <v>2</v>
      </c>
      <c r="P304" s="128"/>
      <c r="Q304" s="128"/>
      <c r="R304" s="73"/>
      <c r="S304" s="21"/>
      <c r="T304" s="48" t="s">
        <v>430</v>
      </c>
      <c r="U304" s="46" t="s">
        <v>430</v>
      </c>
      <c r="V304" s="71" t="s">
        <v>430</v>
      </c>
      <c r="W304" s="72" t="s">
        <v>39</v>
      </c>
    </row>
    <row r="305" spans="1:23" s="84" customFormat="1" ht="23.25" customHeight="1">
      <c r="A305" s="26" t="s">
        <v>430</v>
      </c>
      <c r="B305" s="107" t="s">
        <v>493</v>
      </c>
      <c r="C305" s="108" t="s">
        <v>75</v>
      </c>
      <c r="D305" s="17" t="s">
        <v>54</v>
      </c>
      <c r="E305" s="24" t="s">
        <v>222</v>
      </c>
      <c r="F305" s="109" t="s">
        <v>494</v>
      </c>
      <c r="G305" s="109" t="s">
        <v>23</v>
      </c>
      <c r="H305" s="126">
        <v>1896900</v>
      </c>
      <c r="I305" s="77">
        <v>1896900</v>
      </c>
      <c r="J305" s="68">
        <v>0.02</v>
      </c>
      <c r="K305" s="33">
        <v>37938</v>
      </c>
      <c r="L305" s="18">
        <v>45956</v>
      </c>
      <c r="M305" s="18">
        <v>45966</v>
      </c>
      <c r="N305" s="115" t="s">
        <v>344</v>
      </c>
      <c r="O305" s="128">
        <v>4</v>
      </c>
      <c r="P305" s="128"/>
      <c r="Q305" s="128"/>
      <c r="R305" s="73"/>
      <c r="S305" s="21"/>
      <c r="T305" s="48" t="s">
        <v>430</v>
      </c>
      <c r="U305" s="46" t="s">
        <v>430</v>
      </c>
      <c r="V305" s="71" t="s">
        <v>430</v>
      </c>
      <c r="W305" s="72" t="s">
        <v>39</v>
      </c>
    </row>
    <row r="306" spans="1:23" s="84" customFormat="1" ht="23.25" customHeight="1">
      <c r="A306" s="26" t="s">
        <v>430</v>
      </c>
      <c r="B306" s="107" t="s">
        <v>226</v>
      </c>
      <c r="C306" s="108" t="s">
        <v>602</v>
      </c>
      <c r="D306" s="17" t="s">
        <v>54</v>
      </c>
      <c r="E306" s="24" t="s">
        <v>227</v>
      </c>
      <c r="F306" s="109" t="s">
        <v>228</v>
      </c>
      <c r="G306" s="109" t="s">
        <v>23</v>
      </c>
      <c r="H306" s="126">
        <v>2247400</v>
      </c>
      <c r="I306" s="77">
        <v>2247400</v>
      </c>
      <c r="J306" s="68">
        <v>0.02</v>
      </c>
      <c r="K306" s="33">
        <v>44948</v>
      </c>
      <c r="L306" s="18">
        <v>45957</v>
      </c>
      <c r="M306" s="18">
        <v>45967</v>
      </c>
      <c r="N306" s="115" t="s">
        <v>344</v>
      </c>
      <c r="O306" s="128">
        <v>18</v>
      </c>
      <c r="P306" s="128"/>
      <c r="Q306" s="128"/>
      <c r="R306" s="73"/>
      <c r="S306" s="21"/>
      <c r="T306" s="48" t="s">
        <v>430</v>
      </c>
      <c r="U306" s="46" t="s">
        <v>430</v>
      </c>
      <c r="V306" s="71" t="s">
        <v>430</v>
      </c>
      <c r="W306" s="72" t="s">
        <v>39</v>
      </c>
    </row>
    <row r="307" spans="1:23" s="84" customFormat="1" ht="23.25" customHeight="1">
      <c r="A307" s="26" t="s">
        <v>430</v>
      </c>
      <c r="B307" s="107" t="s">
        <v>493</v>
      </c>
      <c r="C307" s="108" t="s">
        <v>75</v>
      </c>
      <c r="D307" s="17" t="s">
        <v>54</v>
      </c>
      <c r="E307" s="24" t="s">
        <v>222</v>
      </c>
      <c r="F307" s="109" t="s">
        <v>494</v>
      </c>
      <c r="G307" s="109" t="s">
        <v>23</v>
      </c>
      <c r="H307" s="126">
        <v>63003000</v>
      </c>
      <c r="I307" s="77">
        <v>63003000</v>
      </c>
      <c r="J307" s="68">
        <v>0.02</v>
      </c>
      <c r="K307" s="33">
        <v>1260060</v>
      </c>
      <c r="L307" s="18">
        <v>45957</v>
      </c>
      <c r="M307" s="18">
        <v>45967</v>
      </c>
      <c r="N307" s="115" t="s">
        <v>344</v>
      </c>
      <c r="O307" s="128">
        <v>25</v>
      </c>
      <c r="P307" s="128"/>
      <c r="Q307" s="128"/>
      <c r="R307" s="73"/>
      <c r="S307" s="21"/>
      <c r="T307" s="48" t="s">
        <v>430</v>
      </c>
      <c r="U307" s="46" t="s">
        <v>430</v>
      </c>
      <c r="V307" s="71" t="s">
        <v>430</v>
      </c>
      <c r="W307" s="72" t="s">
        <v>39</v>
      </c>
    </row>
    <row r="308" spans="1:23" s="84" customFormat="1" ht="23.25" customHeight="1">
      <c r="A308" s="26" t="s">
        <v>430</v>
      </c>
      <c r="B308" s="107" t="s">
        <v>226</v>
      </c>
      <c r="C308" s="108" t="s">
        <v>602</v>
      </c>
      <c r="D308" s="17" t="s">
        <v>54</v>
      </c>
      <c r="E308" s="24" t="s">
        <v>227</v>
      </c>
      <c r="F308" s="109" t="s">
        <v>228</v>
      </c>
      <c r="G308" s="109" t="s">
        <v>23</v>
      </c>
      <c r="H308" s="126">
        <v>1464000</v>
      </c>
      <c r="I308" s="77">
        <v>1464000</v>
      </c>
      <c r="J308" s="68">
        <v>0.02</v>
      </c>
      <c r="K308" s="33">
        <v>29280</v>
      </c>
      <c r="L308" s="18">
        <v>45958</v>
      </c>
      <c r="M308" s="18">
        <v>45968</v>
      </c>
      <c r="N308" s="115" t="s">
        <v>344</v>
      </c>
      <c r="O308" s="128">
        <v>2</v>
      </c>
      <c r="P308" s="128"/>
      <c r="Q308" s="128"/>
      <c r="R308" s="73"/>
      <c r="S308" s="21"/>
      <c r="T308" s="48" t="s">
        <v>430</v>
      </c>
      <c r="U308" s="46" t="s">
        <v>430</v>
      </c>
      <c r="V308" s="71" t="s">
        <v>430</v>
      </c>
      <c r="W308" s="72" t="s">
        <v>39</v>
      </c>
    </row>
    <row r="309" spans="1:23" s="84" customFormat="1" ht="23.25" customHeight="1">
      <c r="A309" s="26" t="s">
        <v>430</v>
      </c>
      <c r="B309" s="107" t="s">
        <v>229</v>
      </c>
      <c r="C309" s="108" t="s">
        <v>603</v>
      </c>
      <c r="D309" s="17" t="s">
        <v>54</v>
      </c>
      <c r="E309" s="24" t="s">
        <v>227</v>
      </c>
      <c r="F309" s="109" t="s">
        <v>230</v>
      </c>
      <c r="G309" s="109" t="s">
        <v>23</v>
      </c>
      <c r="H309" s="126">
        <v>3926300</v>
      </c>
      <c r="I309" s="77">
        <v>3926300</v>
      </c>
      <c r="J309" s="68">
        <v>0.02</v>
      </c>
      <c r="K309" s="33">
        <v>78526</v>
      </c>
      <c r="L309" s="18">
        <v>45958</v>
      </c>
      <c r="M309" s="18">
        <v>45968</v>
      </c>
      <c r="N309" s="115" t="s">
        <v>344</v>
      </c>
      <c r="O309" s="128">
        <v>6</v>
      </c>
      <c r="P309" s="128"/>
      <c r="Q309" s="128"/>
      <c r="R309" s="73"/>
      <c r="S309" s="21"/>
      <c r="T309" s="48" t="s">
        <v>430</v>
      </c>
      <c r="U309" s="46" t="s">
        <v>430</v>
      </c>
      <c r="V309" s="71" t="s">
        <v>430</v>
      </c>
      <c r="W309" s="72" t="s">
        <v>39</v>
      </c>
    </row>
    <row r="310" spans="1:23" s="84" customFormat="1" ht="23.25" customHeight="1">
      <c r="A310" s="26" t="s">
        <v>430</v>
      </c>
      <c r="B310" s="142" t="s">
        <v>231</v>
      </c>
      <c r="C310" s="108" t="s">
        <v>490</v>
      </c>
      <c r="D310" s="17" t="s">
        <v>54</v>
      </c>
      <c r="E310" s="24" t="s">
        <v>227</v>
      </c>
      <c r="F310" s="109" t="s">
        <v>232</v>
      </c>
      <c r="G310" s="109" t="s">
        <v>23</v>
      </c>
      <c r="H310" s="126">
        <v>3248400</v>
      </c>
      <c r="I310" s="77">
        <v>3248400</v>
      </c>
      <c r="J310" s="68">
        <v>0.02</v>
      </c>
      <c r="K310" s="33">
        <v>64968</v>
      </c>
      <c r="L310" s="18">
        <v>45958</v>
      </c>
      <c r="M310" s="18">
        <v>45968</v>
      </c>
      <c r="N310" s="115" t="s">
        <v>344</v>
      </c>
      <c r="O310" s="128">
        <v>4</v>
      </c>
      <c r="P310" s="128"/>
      <c r="Q310" s="128"/>
      <c r="R310" s="73"/>
      <c r="S310" s="21"/>
      <c r="T310" s="48" t="s">
        <v>430</v>
      </c>
      <c r="U310" s="46" t="s">
        <v>430</v>
      </c>
      <c r="V310" s="71" t="s">
        <v>430</v>
      </c>
      <c r="W310" s="72" t="s">
        <v>39</v>
      </c>
    </row>
    <row r="311" spans="1:23" s="84" customFormat="1" ht="23.25" customHeight="1">
      <c r="A311" s="26" t="s">
        <v>430</v>
      </c>
      <c r="B311" s="107" t="s">
        <v>87</v>
      </c>
      <c r="C311" s="108" t="s">
        <v>225</v>
      </c>
      <c r="D311" s="17" t="s">
        <v>54</v>
      </c>
      <c r="E311" s="24" t="s">
        <v>221</v>
      </c>
      <c r="F311" s="109" t="s">
        <v>88</v>
      </c>
      <c r="G311" s="109" t="s">
        <v>23</v>
      </c>
      <c r="H311" s="126">
        <v>8787720</v>
      </c>
      <c r="I311" s="77">
        <v>8787720</v>
      </c>
      <c r="J311" s="68">
        <v>0.2</v>
      </c>
      <c r="K311" s="33">
        <v>1757544</v>
      </c>
      <c r="L311" s="18">
        <v>45959</v>
      </c>
      <c r="M311" s="18">
        <v>45969</v>
      </c>
      <c r="N311" s="115" t="s">
        <v>344</v>
      </c>
      <c r="O311" s="128">
        <v>6</v>
      </c>
      <c r="P311" s="128"/>
      <c r="Q311" s="128"/>
      <c r="R311" s="73"/>
      <c r="S311" s="21"/>
      <c r="T311" s="48" t="s">
        <v>430</v>
      </c>
      <c r="U311" s="46" t="s">
        <v>430</v>
      </c>
      <c r="V311" s="71" t="s">
        <v>430</v>
      </c>
      <c r="W311" s="72" t="s">
        <v>39</v>
      </c>
    </row>
    <row r="312" spans="1:23" s="84" customFormat="1" ht="23.25" customHeight="1">
      <c r="A312" s="26" t="s">
        <v>430</v>
      </c>
      <c r="B312" s="107" t="s">
        <v>226</v>
      </c>
      <c r="C312" s="108" t="s">
        <v>602</v>
      </c>
      <c r="D312" s="17" t="s">
        <v>54</v>
      </c>
      <c r="E312" s="24" t="s">
        <v>227</v>
      </c>
      <c r="F312" s="109" t="s">
        <v>228</v>
      </c>
      <c r="G312" s="109" t="s">
        <v>23</v>
      </c>
      <c r="H312" s="126">
        <v>1250200</v>
      </c>
      <c r="I312" s="77">
        <v>1250200</v>
      </c>
      <c r="J312" s="68">
        <v>0.02</v>
      </c>
      <c r="K312" s="33">
        <v>25004</v>
      </c>
      <c r="L312" s="18">
        <v>45959</v>
      </c>
      <c r="M312" s="18">
        <v>45969</v>
      </c>
      <c r="N312" s="115" t="s">
        <v>344</v>
      </c>
      <c r="O312" s="128">
        <v>16</v>
      </c>
      <c r="P312" s="128"/>
      <c r="Q312" s="128"/>
      <c r="R312" s="73"/>
      <c r="S312" s="21"/>
      <c r="T312" s="48" t="s">
        <v>430</v>
      </c>
      <c r="U312" s="46" t="s">
        <v>430</v>
      </c>
      <c r="V312" s="71" t="s">
        <v>430</v>
      </c>
      <c r="W312" s="72" t="s">
        <v>39</v>
      </c>
    </row>
    <row r="313" spans="1:23" s="84" customFormat="1" ht="23.25" customHeight="1">
      <c r="A313" s="26" t="s">
        <v>430</v>
      </c>
      <c r="B313" s="107" t="s">
        <v>229</v>
      </c>
      <c r="C313" s="108" t="s">
        <v>603</v>
      </c>
      <c r="D313" s="17" t="s">
        <v>54</v>
      </c>
      <c r="E313" s="24" t="s">
        <v>227</v>
      </c>
      <c r="F313" s="109" t="s">
        <v>230</v>
      </c>
      <c r="G313" s="109" t="s">
        <v>23</v>
      </c>
      <c r="H313" s="126">
        <v>2659100</v>
      </c>
      <c r="I313" s="77">
        <v>2659100</v>
      </c>
      <c r="J313" s="68">
        <v>0.02</v>
      </c>
      <c r="K313" s="33">
        <v>53182</v>
      </c>
      <c r="L313" s="18">
        <v>45959</v>
      </c>
      <c r="M313" s="18">
        <v>45969</v>
      </c>
      <c r="N313" s="115" t="s">
        <v>344</v>
      </c>
      <c r="O313" s="128">
        <v>1</v>
      </c>
      <c r="P313" s="128"/>
      <c r="Q313" s="128"/>
      <c r="R313" s="73"/>
      <c r="S313" s="21"/>
      <c r="T313" s="48" t="s">
        <v>430</v>
      </c>
      <c r="U313" s="46" t="s">
        <v>430</v>
      </c>
      <c r="V313" s="71" t="s">
        <v>430</v>
      </c>
      <c r="W313" s="72" t="s">
        <v>39</v>
      </c>
    </row>
    <row r="314" spans="1:23" s="84" customFormat="1" ht="23.25" customHeight="1">
      <c r="A314" s="26" t="s">
        <v>430</v>
      </c>
      <c r="B314" s="107" t="s">
        <v>231</v>
      </c>
      <c r="C314" s="108" t="s">
        <v>490</v>
      </c>
      <c r="D314" s="17" t="s">
        <v>54</v>
      </c>
      <c r="E314" s="24" t="s">
        <v>227</v>
      </c>
      <c r="F314" s="109" t="s">
        <v>232</v>
      </c>
      <c r="G314" s="109" t="s">
        <v>23</v>
      </c>
      <c r="H314" s="126">
        <v>7920000</v>
      </c>
      <c r="I314" s="77">
        <v>7920000</v>
      </c>
      <c r="J314" s="68">
        <v>0.02</v>
      </c>
      <c r="K314" s="33">
        <v>158400</v>
      </c>
      <c r="L314" s="18">
        <v>45959</v>
      </c>
      <c r="M314" s="18">
        <v>45969</v>
      </c>
      <c r="N314" s="115" t="s">
        <v>344</v>
      </c>
      <c r="O314" s="128">
        <v>36</v>
      </c>
      <c r="P314" s="128"/>
      <c r="Q314" s="128"/>
      <c r="R314" s="73"/>
      <c r="S314" s="21"/>
      <c r="T314" s="48" t="s">
        <v>430</v>
      </c>
      <c r="U314" s="46" t="s">
        <v>430</v>
      </c>
      <c r="V314" s="71" t="s">
        <v>430</v>
      </c>
      <c r="W314" s="72" t="s">
        <v>39</v>
      </c>
    </row>
    <row r="315" spans="1:23" s="84" customFormat="1" ht="23.25" customHeight="1">
      <c r="A315" s="26" t="s">
        <v>430</v>
      </c>
      <c r="B315" s="107" t="s">
        <v>187</v>
      </c>
      <c r="C315" s="108" t="s">
        <v>601</v>
      </c>
      <c r="D315" s="17" t="s">
        <v>54</v>
      </c>
      <c r="E315" s="24" t="s">
        <v>222</v>
      </c>
      <c r="F315" s="109" t="s">
        <v>188</v>
      </c>
      <c r="G315" s="109" t="s">
        <v>23</v>
      </c>
      <c r="H315" s="126">
        <v>1020100</v>
      </c>
      <c r="I315" s="77">
        <v>1020100</v>
      </c>
      <c r="J315" s="68">
        <v>0.02</v>
      </c>
      <c r="K315" s="33">
        <v>20402</v>
      </c>
      <c r="L315" s="18">
        <v>45962</v>
      </c>
      <c r="M315" s="18">
        <v>45972</v>
      </c>
      <c r="N315" s="115" t="s">
        <v>344</v>
      </c>
      <c r="O315" s="128">
        <v>5</v>
      </c>
      <c r="P315" s="128"/>
      <c r="Q315" s="128"/>
      <c r="R315" s="73"/>
      <c r="S315" s="21"/>
      <c r="T315" s="48" t="s">
        <v>430</v>
      </c>
      <c r="U315" s="46" t="s">
        <v>430</v>
      </c>
      <c r="V315" s="71" t="s">
        <v>430</v>
      </c>
      <c r="W315" s="72" t="s">
        <v>39</v>
      </c>
    </row>
    <row r="316" spans="1:23" s="84" customFormat="1" ht="23.25" customHeight="1">
      <c r="A316" s="26" t="s">
        <v>430</v>
      </c>
      <c r="B316" s="107" t="s">
        <v>226</v>
      </c>
      <c r="C316" s="108" t="s">
        <v>602</v>
      </c>
      <c r="D316" s="17" t="s">
        <v>54</v>
      </c>
      <c r="E316" s="24" t="s">
        <v>227</v>
      </c>
      <c r="F316" s="109" t="s">
        <v>228</v>
      </c>
      <c r="G316" s="109" t="s">
        <v>23</v>
      </c>
      <c r="H316" s="126">
        <v>7876500</v>
      </c>
      <c r="I316" s="77">
        <v>7876500</v>
      </c>
      <c r="J316" s="68">
        <v>0.02</v>
      </c>
      <c r="K316" s="33">
        <v>157530</v>
      </c>
      <c r="L316" s="18">
        <v>45962</v>
      </c>
      <c r="M316" s="18">
        <v>45972</v>
      </c>
      <c r="N316" s="115" t="s">
        <v>344</v>
      </c>
      <c r="O316" s="128">
        <v>11</v>
      </c>
      <c r="P316" s="128"/>
      <c r="Q316" s="128"/>
      <c r="R316" s="73"/>
      <c r="S316" s="21"/>
      <c r="T316" s="48" t="s">
        <v>430</v>
      </c>
      <c r="U316" s="46" t="s">
        <v>430</v>
      </c>
      <c r="V316" s="71" t="s">
        <v>430</v>
      </c>
      <c r="W316" s="72" t="s">
        <v>39</v>
      </c>
    </row>
    <row r="317" spans="1:23" s="84" customFormat="1" ht="23.25" customHeight="1">
      <c r="A317" s="26" t="s">
        <v>430</v>
      </c>
      <c r="B317" s="107" t="s">
        <v>229</v>
      </c>
      <c r="C317" s="108" t="s">
        <v>603</v>
      </c>
      <c r="D317" s="17" t="s">
        <v>54</v>
      </c>
      <c r="E317" s="24" t="s">
        <v>227</v>
      </c>
      <c r="F317" s="109" t="s">
        <v>230</v>
      </c>
      <c r="G317" s="109" t="s">
        <v>23</v>
      </c>
      <c r="H317" s="126">
        <v>1825400</v>
      </c>
      <c r="I317" s="77">
        <v>1825400</v>
      </c>
      <c r="J317" s="68">
        <v>0.02</v>
      </c>
      <c r="K317" s="33">
        <v>36508</v>
      </c>
      <c r="L317" s="18">
        <v>45962</v>
      </c>
      <c r="M317" s="18">
        <v>45972</v>
      </c>
      <c r="N317" s="115" t="s">
        <v>344</v>
      </c>
      <c r="O317" s="128">
        <v>10</v>
      </c>
      <c r="P317" s="128"/>
      <c r="Q317" s="128"/>
      <c r="R317" s="73"/>
      <c r="S317" s="21"/>
      <c r="T317" s="48" t="s">
        <v>430</v>
      </c>
      <c r="U317" s="46" t="s">
        <v>430</v>
      </c>
      <c r="V317" s="71" t="s">
        <v>430</v>
      </c>
      <c r="W317" s="72" t="s">
        <v>39</v>
      </c>
    </row>
    <row r="318" spans="1:23" s="84" customFormat="1" ht="23.25" customHeight="1">
      <c r="A318" s="26" t="s">
        <v>430</v>
      </c>
      <c r="B318" s="142" t="s">
        <v>233</v>
      </c>
      <c r="C318" s="108" t="s">
        <v>604</v>
      </c>
      <c r="D318" s="17" t="s">
        <v>54</v>
      </c>
      <c r="E318" s="24" t="s">
        <v>222</v>
      </c>
      <c r="F318" s="109" t="s">
        <v>234</v>
      </c>
      <c r="G318" s="109" t="s">
        <v>23</v>
      </c>
      <c r="H318" s="126">
        <v>5928200</v>
      </c>
      <c r="I318" s="77">
        <v>5928200</v>
      </c>
      <c r="J318" s="68">
        <v>0.02</v>
      </c>
      <c r="K318" s="33">
        <v>118564</v>
      </c>
      <c r="L318" s="18">
        <v>45962</v>
      </c>
      <c r="M318" s="18">
        <v>45972</v>
      </c>
      <c r="N318" s="115" t="s">
        <v>344</v>
      </c>
      <c r="O318" s="128">
        <v>10</v>
      </c>
      <c r="P318" s="128"/>
      <c r="Q318" s="128"/>
      <c r="R318" s="73"/>
      <c r="S318" s="21"/>
      <c r="T318" s="48" t="s">
        <v>430</v>
      </c>
      <c r="U318" s="46" t="s">
        <v>430</v>
      </c>
      <c r="V318" s="71" t="s">
        <v>430</v>
      </c>
      <c r="W318" s="72" t="s">
        <v>39</v>
      </c>
    </row>
    <row r="319" spans="1:23" s="84" customFormat="1" ht="23.25" customHeight="1">
      <c r="A319" s="26" t="s">
        <v>430</v>
      </c>
      <c r="B319" s="107" t="s">
        <v>235</v>
      </c>
      <c r="C319" s="108" t="s">
        <v>490</v>
      </c>
      <c r="D319" s="17" t="s">
        <v>54</v>
      </c>
      <c r="E319" s="24" t="s">
        <v>222</v>
      </c>
      <c r="F319" s="109" t="s">
        <v>236</v>
      </c>
      <c r="G319" s="109" t="s">
        <v>23</v>
      </c>
      <c r="H319" s="126">
        <v>2116600</v>
      </c>
      <c r="I319" s="77">
        <v>2116600</v>
      </c>
      <c r="J319" s="68">
        <v>0.02</v>
      </c>
      <c r="K319" s="33">
        <v>42332</v>
      </c>
      <c r="L319" s="18">
        <v>45962</v>
      </c>
      <c r="M319" s="18">
        <v>45972</v>
      </c>
      <c r="N319" s="115" t="s">
        <v>344</v>
      </c>
      <c r="O319" s="128">
        <v>6</v>
      </c>
      <c r="P319" s="128"/>
      <c r="Q319" s="128"/>
      <c r="R319" s="73"/>
      <c r="S319" s="21"/>
      <c r="T319" s="48" t="s">
        <v>430</v>
      </c>
      <c r="U319" s="46" t="s">
        <v>430</v>
      </c>
      <c r="V319" s="71" t="s">
        <v>430</v>
      </c>
      <c r="W319" s="72" t="s">
        <v>39</v>
      </c>
    </row>
    <row r="320" spans="1:23" s="84" customFormat="1" ht="23.25" customHeight="1">
      <c r="A320" s="26" t="s">
        <v>430</v>
      </c>
      <c r="B320" s="107" t="s">
        <v>237</v>
      </c>
      <c r="C320" s="108" t="s">
        <v>605</v>
      </c>
      <c r="D320" s="17" t="s">
        <v>54</v>
      </c>
      <c r="E320" s="24" t="s">
        <v>222</v>
      </c>
      <c r="F320" s="109" t="s">
        <v>238</v>
      </c>
      <c r="G320" s="109" t="s">
        <v>23</v>
      </c>
      <c r="H320" s="126">
        <v>4045500</v>
      </c>
      <c r="I320" s="77">
        <v>4045500</v>
      </c>
      <c r="J320" s="68">
        <v>0.02</v>
      </c>
      <c r="K320" s="33">
        <v>80910</v>
      </c>
      <c r="L320" s="18">
        <v>45962</v>
      </c>
      <c r="M320" s="18">
        <v>45972</v>
      </c>
      <c r="N320" s="115" t="s">
        <v>344</v>
      </c>
      <c r="O320" s="128">
        <v>1</v>
      </c>
      <c r="P320" s="128"/>
      <c r="Q320" s="128"/>
      <c r="R320" s="73"/>
      <c r="S320" s="21"/>
      <c r="T320" s="48" t="s">
        <v>430</v>
      </c>
      <c r="U320" s="46" t="s">
        <v>430</v>
      </c>
      <c r="V320" s="71" t="s">
        <v>430</v>
      </c>
      <c r="W320" s="72" t="s">
        <v>39</v>
      </c>
    </row>
    <row r="321" spans="1:23" s="84" customFormat="1" ht="23.25" customHeight="1">
      <c r="A321" s="26" t="s">
        <v>430</v>
      </c>
      <c r="B321" s="107" t="s">
        <v>226</v>
      </c>
      <c r="C321" s="108" t="s">
        <v>602</v>
      </c>
      <c r="D321" s="17" t="s">
        <v>54</v>
      </c>
      <c r="E321" s="24" t="s">
        <v>227</v>
      </c>
      <c r="F321" s="109" t="s">
        <v>228</v>
      </c>
      <c r="G321" s="109" t="s">
        <v>23</v>
      </c>
      <c r="H321" s="126">
        <v>1478800</v>
      </c>
      <c r="I321" s="77">
        <v>1478800</v>
      </c>
      <c r="J321" s="68">
        <v>0.02</v>
      </c>
      <c r="K321" s="33">
        <v>29576</v>
      </c>
      <c r="L321" s="18">
        <v>45963</v>
      </c>
      <c r="M321" s="18">
        <v>45973</v>
      </c>
      <c r="N321" s="115" t="s">
        <v>344</v>
      </c>
      <c r="O321" s="128">
        <v>2</v>
      </c>
      <c r="P321" s="128"/>
      <c r="Q321" s="128"/>
      <c r="R321" s="73"/>
      <c r="S321" s="21"/>
      <c r="T321" s="48" t="s">
        <v>430</v>
      </c>
      <c r="U321" s="46" t="s">
        <v>430</v>
      </c>
      <c r="V321" s="71" t="s">
        <v>430</v>
      </c>
      <c r="W321" s="72" t="s">
        <v>39</v>
      </c>
    </row>
    <row r="322" spans="1:23" s="84" customFormat="1" ht="23.25" customHeight="1">
      <c r="A322" s="26" t="s">
        <v>430</v>
      </c>
      <c r="B322" s="107" t="s">
        <v>341</v>
      </c>
      <c r="C322" s="108" t="s">
        <v>492</v>
      </c>
      <c r="D322" s="17" t="s">
        <v>54</v>
      </c>
      <c r="E322" s="24" t="s">
        <v>222</v>
      </c>
      <c r="F322" s="109" t="s">
        <v>342</v>
      </c>
      <c r="G322" s="109" t="s">
        <v>23</v>
      </c>
      <c r="H322" s="126">
        <v>1936400</v>
      </c>
      <c r="I322" s="77">
        <v>1936400</v>
      </c>
      <c r="J322" s="68">
        <v>0.02</v>
      </c>
      <c r="K322" s="33">
        <v>38728</v>
      </c>
      <c r="L322" s="18">
        <v>45963</v>
      </c>
      <c r="M322" s="18">
        <v>45973</v>
      </c>
      <c r="N322" s="115" t="s">
        <v>344</v>
      </c>
      <c r="O322" s="128">
        <v>6</v>
      </c>
      <c r="P322" s="128"/>
      <c r="Q322" s="128"/>
      <c r="R322" s="73"/>
      <c r="S322" s="21"/>
      <c r="T322" s="48" t="s">
        <v>430</v>
      </c>
      <c r="U322" s="46" t="s">
        <v>430</v>
      </c>
      <c r="V322" s="71" t="s">
        <v>430</v>
      </c>
      <c r="W322" s="72" t="s">
        <v>39</v>
      </c>
    </row>
    <row r="323" spans="1:23" s="84" customFormat="1" ht="23.25" customHeight="1">
      <c r="A323" s="26" t="s">
        <v>430</v>
      </c>
      <c r="B323" s="107" t="s">
        <v>226</v>
      </c>
      <c r="C323" s="108" t="s">
        <v>602</v>
      </c>
      <c r="D323" s="17" t="s">
        <v>54</v>
      </c>
      <c r="E323" s="24" t="s">
        <v>227</v>
      </c>
      <c r="F323" s="109" t="s">
        <v>228</v>
      </c>
      <c r="G323" s="109" t="s">
        <v>23</v>
      </c>
      <c r="H323" s="126">
        <v>450500</v>
      </c>
      <c r="I323" s="77">
        <v>450500</v>
      </c>
      <c r="J323" s="68">
        <v>0.02</v>
      </c>
      <c r="K323" s="33">
        <v>9010</v>
      </c>
      <c r="L323" s="18">
        <v>45964</v>
      </c>
      <c r="M323" s="18">
        <v>45974</v>
      </c>
      <c r="N323" s="115" t="s">
        <v>344</v>
      </c>
      <c r="O323" s="128">
        <v>1</v>
      </c>
      <c r="P323" s="128"/>
      <c r="Q323" s="128"/>
      <c r="R323" s="73"/>
      <c r="S323" s="21"/>
      <c r="T323" s="48" t="s">
        <v>430</v>
      </c>
      <c r="U323" s="46" t="s">
        <v>430</v>
      </c>
      <c r="V323" s="71" t="s">
        <v>430</v>
      </c>
      <c r="W323" s="72" t="s">
        <v>39</v>
      </c>
    </row>
    <row r="324" spans="1:23" s="84" customFormat="1" ht="23.25" customHeight="1">
      <c r="A324" s="26" t="s">
        <v>430</v>
      </c>
      <c r="B324" s="107" t="s">
        <v>233</v>
      </c>
      <c r="C324" s="108" t="s">
        <v>604</v>
      </c>
      <c r="D324" s="17" t="s">
        <v>54</v>
      </c>
      <c r="E324" s="24" t="s">
        <v>222</v>
      </c>
      <c r="F324" s="109" t="s">
        <v>234</v>
      </c>
      <c r="G324" s="109" t="s">
        <v>23</v>
      </c>
      <c r="H324" s="126">
        <v>1278000</v>
      </c>
      <c r="I324" s="77">
        <v>1278000</v>
      </c>
      <c r="J324" s="68">
        <v>0.02</v>
      </c>
      <c r="K324" s="33">
        <v>25560</v>
      </c>
      <c r="L324" s="18">
        <v>45964</v>
      </c>
      <c r="M324" s="18">
        <v>45974</v>
      </c>
      <c r="N324" s="115" t="s">
        <v>344</v>
      </c>
      <c r="O324" s="128">
        <v>6</v>
      </c>
      <c r="P324" s="128"/>
      <c r="Q324" s="128"/>
      <c r="R324" s="73"/>
      <c r="S324" s="21"/>
      <c r="T324" s="48" t="s">
        <v>430</v>
      </c>
      <c r="U324" s="46" t="s">
        <v>430</v>
      </c>
      <c r="V324" s="71" t="s">
        <v>430</v>
      </c>
      <c r="W324" s="72" t="s">
        <v>39</v>
      </c>
    </row>
    <row r="325" spans="1:23" s="84" customFormat="1" ht="23.25" customHeight="1">
      <c r="A325" s="26" t="s">
        <v>430</v>
      </c>
      <c r="B325" s="107" t="s">
        <v>226</v>
      </c>
      <c r="C325" s="108" t="s">
        <v>602</v>
      </c>
      <c r="D325" s="17" t="s">
        <v>54</v>
      </c>
      <c r="E325" s="24" t="s">
        <v>227</v>
      </c>
      <c r="F325" s="109" t="s">
        <v>228</v>
      </c>
      <c r="G325" s="109" t="s">
        <v>23</v>
      </c>
      <c r="H325" s="126">
        <v>401600</v>
      </c>
      <c r="I325" s="77">
        <v>401600</v>
      </c>
      <c r="J325" s="68">
        <v>0.02</v>
      </c>
      <c r="K325" s="33">
        <v>8032</v>
      </c>
      <c r="L325" s="18">
        <v>45965</v>
      </c>
      <c r="M325" s="18">
        <v>45975</v>
      </c>
      <c r="N325" s="115" t="s">
        <v>344</v>
      </c>
      <c r="O325" s="128">
        <v>8</v>
      </c>
      <c r="P325" s="128"/>
      <c r="Q325" s="128"/>
      <c r="R325" s="73"/>
      <c r="S325" s="21"/>
      <c r="T325" s="48" t="s">
        <v>430</v>
      </c>
      <c r="U325" s="46" t="s">
        <v>430</v>
      </c>
      <c r="V325" s="71" t="s">
        <v>430</v>
      </c>
      <c r="W325" s="72" t="s">
        <v>39</v>
      </c>
    </row>
    <row r="326" spans="1:23" s="84" customFormat="1" ht="23.25" customHeight="1">
      <c r="A326" s="26" t="s">
        <v>430</v>
      </c>
      <c r="B326" s="107" t="s">
        <v>229</v>
      </c>
      <c r="C326" s="108" t="s">
        <v>603</v>
      </c>
      <c r="D326" s="17" t="s">
        <v>54</v>
      </c>
      <c r="E326" s="24" t="s">
        <v>227</v>
      </c>
      <c r="F326" s="109" t="s">
        <v>230</v>
      </c>
      <c r="G326" s="109" t="s">
        <v>23</v>
      </c>
      <c r="H326" s="126">
        <v>1004200</v>
      </c>
      <c r="I326" s="77">
        <v>1004200</v>
      </c>
      <c r="J326" s="68">
        <v>0.02</v>
      </c>
      <c r="K326" s="33">
        <v>20084</v>
      </c>
      <c r="L326" s="18">
        <v>45965</v>
      </c>
      <c r="M326" s="18">
        <v>45975</v>
      </c>
      <c r="N326" s="115" t="s">
        <v>344</v>
      </c>
      <c r="O326" s="128">
        <v>10</v>
      </c>
      <c r="P326" s="128"/>
      <c r="Q326" s="128"/>
      <c r="R326" s="73"/>
      <c r="S326" s="21"/>
      <c r="T326" s="48" t="s">
        <v>430</v>
      </c>
      <c r="U326" s="46" t="s">
        <v>430</v>
      </c>
      <c r="V326" s="71" t="s">
        <v>430</v>
      </c>
      <c r="W326" s="72" t="s">
        <v>39</v>
      </c>
    </row>
    <row r="327" spans="1:23" s="84" customFormat="1" ht="23.25" customHeight="1">
      <c r="A327" s="26" t="s">
        <v>430</v>
      </c>
      <c r="B327" s="107" t="s">
        <v>231</v>
      </c>
      <c r="C327" s="108" t="s">
        <v>490</v>
      </c>
      <c r="D327" s="17" t="s">
        <v>54</v>
      </c>
      <c r="E327" s="24" t="s">
        <v>227</v>
      </c>
      <c r="F327" s="109" t="s">
        <v>232</v>
      </c>
      <c r="G327" s="109" t="s">
        <v>23</v>
      </c>
      <c r="H327" s="126">
        <v>1026000</v>
      </c>
      <c r="I327" s="77">
        <v>1026000</v>
      </c>
      <c r="J327" s="68">
        <v>0.02</v>
      </c>
      <c r="K327" s="33">
        <v>20520</v>
      </c>
      <c r="L327" s="18">
        <v>45965</v>
      </c>
      <c r="M327" s="18">
        <v>45975</v>
      </c>
      <c r="N327" s="115" t="s">
        <v>344</v>
      </c>
      <c r="O327" s="128">
        <v>4</v>
      </c>
      <c r="P327" s="128"/>
      <c r="Q327" s="128"/>
      <c r="R327" s="73"/>
      <c r="S327" s="21"/>
      <c r="T327" s="48" t="s">
        <v>430</v>
      </c>
      <c r="U327" s="46" t="s">
        <v>430</v>
      </c>
      <c r="V327" s="71" t="s">
        <v>430</v>
      </c>
      <c r="W327" s="72" t="s">
        <v>39</v>
      </c>
    </row>
    <row r="328" spans="1:23" s="84" customFormat="1" ht="23.25" customHeight="1">
      <c r="A328" s="26" t="s">
        <v>430</v>
      </c>
      <c r="B328" s="107" t="s">
        <v>235</v>
      </c>
      <c r="C328" s="108" t="s">
        <v>490</v>
      </c>
      <c r="D328" s="17" t="s">
        <v>54</v>
      </c>
      <c r="E328" s="24" t="s">
        <v>222</v>
      </c>
      <c r="F328" s="109" t="s">
        <v>236</v>
      </c>
      <c r="G328" s="109" t="s">
        <v>23</v>
      </c>
      <c r="H328" s="126">
        <v>2532300</v>
      </c>
      <c r="I328" s="77">
        <v>2532300</v>
      </c>
      <c r="J328" s="68">
        <v>0.02</v>
      </c>
      <c r="K328" s="33">
        <v>50646</v>
      </c>
      <c r="L328" s="18">
        <v>45965</v>
      </c>
      <c r="M328" s="18">
        <v>45975</v>
      </c>
      <c r="N328" s="115" t="s">
        <v>344</v>
      </c>
      <c r="O328" s="128">
        <v>4</v>
      </c>
      <c r="P328" s="128"/>
      <c r="Q328" s="128"/>
      <c r="R328" s="73"/>
      <c r="S328" s="21"/>
      <c r="T328" s="48" t="s">
        <v>430</v>
      </c>
      <c r="U328" s="46" t="s">
        <v>430</v>
      </c>
      <c r="V328" s="71" t="s">
        <v>430</v>
      </c>
      <c r="W328" s="72" t="s">
        <v>39</v>
      </c>
    </row>
    <row r="329" spans="1:23" s="84" customFormat="1" ht="23.25" customHeight="1">
      <c r="A329" s="26" t="s">
        <v>430</v>
      </c>
      <c r="B329" s="107" t="s">
        <v>87</v>
      </c>
      <c r="C329" s="108" t="s">
        <v>225</v>
      </c>
      <c r="D329" s="17" t="s">
        <v>54</v>
      </c>
      <c r="E329" s="24" t="s">
        <v>221</v>
      </c>
      <c r="F329" s="109" t="s">
        <v>88</v>
      </c>
      <c r="G329" s="109" t="s">
        <v>23</v>
      </c>
      <c r="H329" s="126">
        <v>2929240</v>
      </c>
      <c r="I329" s="77">
        <v>2929240</v>
      </c>
      <c r="J329" s="68">
        <v>0.2</v>
      </c>
      <c r="K329" s="33">
        <v>585848</v>
      </c>
      <c r="L329" s="18">
        <v>45966</v>
      </c>
      <c r="M329" s="18">
        <v>45976</v>
      </c>
      <c r="N329" s="115" t="s">
        <v>344</v>
      </c>
      <c r="O329" s="128">
        <v>2</v>
      </c>
      <c r="P329" s="128"/>
      <c r="Q329" s="128"/>
      <c r="R329" s="73"/>
      <c r="S329" s="21"/>
      <c r="T329" s="48" t="s">
        <v>430</v>
      </c>
      <c r="U329" s="46" t="s">
        <v>430</v>
      </c>
      <c r="V329" s="71" t="s">
        <v>430</v>
      </c>
      <c r="W329" s="72" t="s">
        <v>39</v>
      </c>
    </row>
    <row r="330" spans="1:23" s="84" customFormat="1" ht="23.25" customHeight="1">
      <c r="A330" s="26" t="s">
        <v>430</v>
      </c>
      <c r="B330" s="107" t="s">
        <v>231</v>
      </c>
      <c r="C330" s="108" t="s">
        <v>490</v>
      </c>
      <c r="D330" s="17" t="s">
        <v>54</v>
      </c>
      <c r="E330" s="24" t="s">
        <v>227</v>
      </c>
      <c r="F330" s="109" t="s">
        <v>232</v>
      </c>
      <c r="G330" s="109" t="s">
        <v>23</v>
      </c>
      <c r="H330" s="126">
        <v>6255900</v>
      </c>
      <c r="I330" s="77">
        <v>6255900</v>
      </c>
      <c r="J330" s="68">
        <v>0.02</v>
      </c>
      <c r="K330" s="33">
        <v>125118</v>
      </c>
      <c r="L330" s="18">
        <v>45966</v>
      </c>
      <c r="M330" s="18">
        <v>45976</v>
      </c>
      <c r="N330" s="115" t="s">
        <v>344</v>
      </c>
      <c r="O330" s="128">
        <v>8</v>
      </c>
      <c r="P330" s="128"/>
      <c r="Q330" s="128"/>
      <c r="R330" s="73"/>
      <c r="S330" s="21"/>
      <c r="T330" s="48" t="s">
        <v>430</v>
      </c>
      <c r="U330" s="46" t="s">
        <v>430</v>
      </c>
      <c r="V330" s="71" t="s">
        <v>430</v>
      </c>
      <c r="W330" s="72" t="s">
        <v>39</v>
      </c>
    </row>
    <row r="331" spans="1:23" s="84" customFormat="1" ht="23.25" customHeight="1">
      <c r="A331" s="26" t="s">
        <v>430</v>
      </c>
      <c r="B331" s="107" t="s">
        <v>233</v>
      </c>
      <c r="C331" s="108" t="s">
        <v>604</v>
      </c>
      <c r="D331" s="17" t="s">
        <v>54</v>
      </c>
      <c r="E331" s="24" t="s">
        <v>222</v>
      </c>
      <c r="F331" s="109" t="s">
        <v>234</v>
      </c>
      <c r="G331" s="109" t="s">
        <v>23</v>
      </c>
      <c r="H331" s="126">
        <v>2659100</v>
      </c>
      <c r="I331" s="77">
        <v>2659100</v>
      </c>
      <c r="J331" s="68">
        <v>0.02</v>
      </c>
      <c r="K331" s="33">
        <v>53182</v>
      </c>
      <c r="L331" s="18">
        <v>45966</v>
      </c>
      <c r="M331" s="18">
        <v>45976</v>
      </c>
      <c r="N331" s="115" t="s">
        <v>344</v>
      </c>
      <c r="O331" s="128">
        <v>1</v>
      </c>
      <c r="P331" s="128"/>
      <c r="Q331" s="128"/>
      <c r="R331" s="73"/>
      <c r="S331" s="21"/>
      <c r="T331" s="48" t="s">
        <v>430</v>
      </c>
      <c r="U331" s="48" t="s">
        <v>430</v>
      </c>
      <c r="V331" s="71" t="s">
        <v>430</v>
      </c>
      <c r="W331" s="72" t="s">
        <v>39</v>
      </c>
    </row>
    <row r="332" spans="1:23" s="84" customFormat="1" ht="23.25" customHeight="1">
      <c r="A332" s="26" t="s">
        <v>430</v>
      </c>
      <c r="B332" s="107" t="s">
        <v>235</v>
      </c>
      <c r="C332" s="108" t="s">
        <v>490</v>
      </c>
      <c r="D332" s="17" t="s">
        <v>54</v>
      </c>
      <c r="E332" s="24" t="s">
        <v>222</v>
      </c>
      <c r="F332" s="109" t="s">
        <v>236</v>
      </c>
      <c r="G332" s="109" t="s">
        <v>23</v>
      </c>
      <c r="H332" s="126">
        <v>1979800</v>
      </c>
      <c r="I332" s="77">
        <v>1979800</v>
      </c>
      <c r="J332" s="68">
        <v>0.02</v>
      </c>
      <c r="K332" s="33">
        <v>39596</v>
      </c>
      <c r="L332" s="18">
        <v>45966</v>
      </c>
      <c r="M332" s="18">
        <v>45976</v>
      </c>
      <c r="N332" s="115" t="s">
        <v>344</v>
      </c>
      <c r="O332" s="128">
        <v>4</v>
      </c>
      <c r="P332" s="128"/>
      <c r="Q332" s="128"/>
      <c r="R332" s="73"/>
      <c r="S332" s="21"/>
      <c r="T332" s="48" t="s">
        <v>430</v>
      </c>
      <c r="U332" s="46" t="s">
        <v>430</v>
      </c>
      <c r="V332" s="71" t="s">
        <v>430</v>
      </c>
      <c r="W332" s="72" t="s">
        <v>39</v>
      </c>
    </row>
    <row r="333" spans="1:23" s="84" customFormat="1" ht="23.25" customHeight="1">
      <c r="A333" s="26" t="s">
        <v>430</v>
      </c>
      <c r="B333" s="107" t="s">
        <v>87</v>
      </c>
      <c r="C333" s="108" t="s">
        <v>225</v>
      </c>
      <c r="D333" s="17" t="s">
        <v>54</v>
      </c>
      <c r="E333" s="24" t="s">
        <v>221</v>
      </c>
      <c r="F333" s="109" t="s">
        <v>88</v>
      </c>
      <c r="G333" s="109" t="s">
        <v>23</v>
      </c>
      <c r="H333" s="126">
        <v>2929240</v>
      </c>
      <c r="I333" s="77">
        <v>2929240</v>
      </c>
      <c r="J333" s="68">
        <v>0.2</v>
      </c>
      <c r="K333" s="33">
        <v>585848</v>
      </c>
      <c r="L333" s="18">
        <v>45969</v>
      </c>
      <c r="M333" s="18">
        <v>45979</v>
      </c>
      <c r="N333" s="115" t="s">
        <v>344</v>
      </c>
      <c r="O333" s="128">
        <v>2</v>
      </c>
      <c r="P333" s="128"/>
      <c r="Q333" s="128"/>
      <c r="R333" s="73"/>
      <c r="S333" s="21"/>
      <c r="T333" s="48" t="s">
        <v>430</v>
      </c>
      <c r="U333" s="46" t="s">
        <v>430</v>
      </c>
      <c r="V333" s="71" t="s">
        <v>430</v>
      </c>
      <c r="W333" s="72" t="s">
        <v>39</v>
      </c>
    </row>
    <row r="334" spans="1:23" s="84" customFormat="1" ht="23.25" customHeight="1">
      <c r="A334" s="26" t="s">
        <v>430</v>
      </c>
      <c r="B334" s="107" t="s">
        <v>185</v>
      </c>
      <c r="C334" s="108" t="s">
        <v>600</v>
      </c>
      <c r="D334" s="17" t="s">
        <v>54</v>
      </c>
      <c r="E334" s="24" t="s">
        <v>224</v>
      </c>
      <c r="F334" s="109" t="s">
        <v>186</v>
      </c>
      <c r="G334" s="109" t="s">
        <v>23</v>
      </c>
      <c r="H334" s="126">
        <v>7611900</v>
      </c>
      <c r="I334" s="77">
        <v>7611900</v>
      </c>
      <c r="J334" s="68">
        <v>0.02</v>
      </c>
      <c r="K334" s="33">
        <v>152238</v>
      </c>
      <c r="L334" s="18">
        <v>45969</v>
      </c>
      <c r="M334" s="18">
        <v>45979</v>
      </c>
      <c r="N334" s="115" t="s">
        <v>344</v>
      </c>
      <c r="O334" s="128">
        <v>21</v>
      </c>
      <c r="P334" s="128"/>
      <c r="Q334" s="128"/>
      <c r="R334" s="73"/>
      <c r="S334" s="21"/>
      <c r="T334" s="48" t="s">
        <v>430</v>
      </c>
      <c r="U334" s="46" t="s">
        <v>430</v>
      </c>
      <c r="V334" s="71" t="s">
        <v>430</v>
      </c>
      <c r="W334" s="72" t="s">
        <v>39</v>
      </c>
    </row>
    <row r="335" spans="1:23" s="84" customFormat="1" ht="23.25" customHeight="1">
      <c r="A335" s="26" t="s">
        <v>430</v>
      </c>
      <c r="B335" s="107" t="s">
        <v>226</v>
      </c>
      <c r="C335" s="108" t="s">
        <v>602</v>
      </c>
      <c r="D335" s="17" t="s">
        <v>54</v>
      </c>
      <c r="E335" s="24" t="s">
        <v>227</v>
      </c>
      <c r="F335" s="109" t="s">
        <v>228</v>
      </c>
      <c r="G335" s="109" t="s">
        <v>23</v>
      </c>
      <c r="H335" s="126">
        <v>307600</v>
      </c>
      <c r="I335" s="77">
        <v>307600</v>
      </c>
      <c r="J335" s="68">
        <v>0.02</v>
      </c>
      <c r="K335" s="33">
        <v>6152</v>
      </c>
      <c r="L335" s="18">
        <v>45969</v>
      </c>
      <c r="M335" s="18">
        <v>45979</v>
      </c>
      <c r="N335" s="115" t="s">
        <v>344</v>
      </c>
      <c r="O335" s="128">
        <v>4</v>
      </c>
      <c r="P335" s="128"/>
      <c r="Q335" s="128"/>
      <c r="R335" s="73"/>
      <c r="S335" s="21"/>
      <c r="T335" s="48" t="s">
        <v>430</v>
      </c>
      <c r="U335" s="46" t="s">
        <v>430</v>
      </c>
      <c r="V335" s="71" t="s">
        <v>430</v>
      </c>
      <c r="W335" s="72" t="s">
        <v>39</v>
      </c>
    </row>
    <row r="336" spans="1:23" s="84" customFormat="1" ht="23.25" customHeight="1">
      <c r="A336" s="26" t="s">
        <v>430</v>
      </c>
      <c r="B336" s="107" t="s">
        <v>108</v>
      </c>
      <c r="C336" s="108" t="s">
        <v>599</v>
      </c>
      <c r="D336" s="17" t="s">
        <v>54</v>
      </c>
      <c r="E336" s="24" t="s">
        <v>223</v>
      </c>
      <c r="F336" s="109" t="s">
        <v>109</v>
      </c>
      <c r="G336" s="109" t="s">
        <v>23</v>
      </c>
      <c r="H336" s="126">
        <v>254200</v>
      </c>
      <c r="I336" s="77">
        <v>254200</v>
      </c>
      <c r="J336" s="68">
        <v>0.1</v>
      </c>
      <c r="K336" s="33">
        <v>25420</v>
      </c>
      <c r="L336" s="18">
        <v>45970</v>
      </c>
      <c r="M336" s="18">
        <v>45980</v>
      </c>
      <c r="N336" s="115" t="s">
        <v>344</v>
      </c>
      <c r="O336" s="128">
        <v>2</v>
      </c>
      <c r="P336" s="128"/>
      <c r="Q336" s="128"/>
      <c r="R336" s="73"/>
      <c r="S336" s="21"/>
      <c r="T336" s="48" t="s">
        <v>430</v>
      </c>
      <c r="U336" s="46" t="s">
        <v>430</v>
      </c>
      <c r="V336" s="71" t="s">
        <v>430</v>
      </c>
      <c r="W336" s="72" t="s">
        <v>39</v>
      </c>
    </row>
    <row r="337" spans="1:23" s="84" customFormat="1" ht="23.25" customHeight="1">
      <c r="A337" s="26" t="s">
        <v>430</v>
      </c>
      <c r="B337" s="107" t="s">
        <v>235</v>
      </c>
      <c r="C337" s="108" t="s">
        <v>490</v>
      </c>
      <c r="D337" s="17" t="s">
        <v>54</v>
      </c>
      <c r="E337" s="24" t="s">
        <v>222</v>
      </c>
      <c r="F337" s="109" t="s">
        <v>236</v>
      </c>
      <c r="G337" s="109" t="s">
        <v>23</v>
      </c>
      <c r="H337" s="126">
        <v>2431900</v>
      </c>
      <c r="I337" s="77">
        <v>2431900</v>
      </c>
      <c r="J337" s="68">
        <v>0.02</v>
      </c>
      <c r="K337" s="33">
        <v>48638</v>
      </c>
      <c r="L337" s="18">
        <v>45970</v>
      </c>
      <c r="M337" s="18">
        <v>45980</v>
      </c>
      <c r="N337" s="115" t="s">
        <v>344</v>
      </c>
      <c r="O337" s="128">
        <v>3</v>
      </c>
      <c r="P337" s="128"/>
      <c r="Q337" s="128"/>
      <c r="R337" s="73"/>
      <c r="S337" s="21"/>
      <c r="T337" s="48" t="s">
        <v>430</v>
      </c>
      <c r="U337" s="46" t="s">
        <v>430</v>
      </c>
      <c r="V337" s="71" t="s">
        <v>430</v>
      </c>
      <c r="W337" s="72" t="s">
        <v>39</v>
      </c>
    </row>
    <row r="338" spans="1:23" s="84" customFormat="1" ht="23.25" customHeight="1">
      <c r="A338" s="26" t="s">
        <v>430</v>
      </c>
      <c r="B338" s="107" t="s">
        <v>235</v>
      </c>
      <c r="C338" s="108" t="s">
        <v>490</v>
      </c>
      <c r="D338" s="17" t="s">
        <v>54</v>
      </c>
      <c r="E338" s="24" t="s">
        <v>222</v>
      </c>
      <c r="F338" s="109" t="s">
        <v>236</v>
      </c>
      <c r="G338" s="109" t="s">
        <v>23</v>
      </c>
      <c r="H338" s="126">
        <v>1580400</v>
      </c>
      <c r="I338" s="77">
        <v>1580400</v>
      </c>
      <c r="J338" s="68">
        <v>0.02</v>
      </c>
      <c r="K338" s="33">
        <v>31608</v>
      </c>
      <c r="L338" s="18">
        <v>45971</v>
      </c>
      <c r="M338" s="18">
        <v>45981</v>
      </c>
      <c r="N338" s="115" t="s">
        <v>344</v>
      </c>
      <c r="O338" s="128">
        <v>3</v>
      </c>
      <c r="P338" s="128"/>
      <c r="Q338" s="128"/>
      <c r="R338" s="73"/>
      <c r="S338" s="21"/>
      <c r="T338" s="48" t="s">
        <v>430</v>
      </c>
      <c r="U338" s="46" t="s">
        <v>430</v>
      </c>
      <c r="V338" s="71" t="s">
        <v>430</v>
      </c>
      <c r="W338" s="72" t="s">
        <v>39</v>
      </c>
    </row>
    <row r="339" spans="1:23" s="84" customFormat="1" ht="23.25" customHeight="1">
      <c r="A339" s="26" t="s">
        <v>430</v>
      </c>
      <c r="B339" s="107" t="s">
        <v>85</v>
      </c>
      <c r="C339" s="108" t="s">
        <v>225</v>
      </c>
      <c r="D339" s="17" t="s">
        <v>54</v>
      </c>
      <c r="E339" s="24" t="s">
        <v>221</v>
      </c>
      <c r="F339" s="109" t="s">
        <v>86</v>
      </c>
      <c r="G339" s="109" t="s">
        <v>23</v>
      </c>
      <c r="H339" s="126">
        <v>1464620</v>
      </c>
      <c r="I339" s="77">
        <v>1464620</v>
      </c>
      <c r="J339" s="68">
        <v>0.2</v>
      </c>
      <c r="K339" s="33">
        <v>292924</v>
      </c>
      <c r="L339" s="18">
        <v>45972</v>
      </c>
      <c r="M339" s="18">
        <v>45982</v>
      </c>
      <c r="N339" s="115" t="s">
        <v>344</v>
      </c>
      <c r="O339" s="128">
        <v>1</v>
      </c>
      <c r="P339" s="128"/>
      <c r="Q339" s="128"/>
      <c r="R339" s="73"/>
      <c r="S339" s="21"/>
      <c r="T339" s="48" t="s">
        <v>430</v>
      </c>
      <c r="U339" s="46" t="s">
        <v>430</v>
      </c>
      <c r="V339" s="71" t="s">
        <v>430</v>
      </c>
      <c r="W339" s="72" t="s">
        <v>39</v>
      </c>
    </row>
    <row r="340" spans="1:23" s="84" customFormat="1" ht="23.25" customHeight="1">
      <c r="A340" s="26" t="s">
        <v>430</v>
      </c>
      <c r="B340" s="107" t="s">
        <v>229</v>
      </c>
      <c r="C340" s="108" t="s">
        <v>603</v>
      </c>
      <c r="D340" s="17" t="s">
        <v>54</v>
      </c>
      <c r="E340" s="24" t="s">
        <v>227</v>
      </c>
      <c r="F340" s="109" t="s">
        <v>230</v>
      </c>
      <c r="G340" s="109" t="s">
        <v>23</v>
      </c>
      <c r="H340" s="126">
        <v>2563400</v>
      </c>
      <c r="I340" s="77">
        <v>2563400</v>
      </c>
      <c r="J340" s="68">
        <v>0.02</v>
      </c>
      <c r="K340" s="33">
        <v>51268</v>
      </c>
      <c r="L340" s="18">
        <v>45972</v>
      </c>
      <c r="M340" s="18">
        <v>45982</v>
      </c>
      <c r="N340" s="115" t="s">
        <v>344</v>
      </c>
      <c r="O340" s="128">
        <v>18</v>
      </c>
      <c r="P340" s="128"/>
      <c r="Q340" s="128"/>
      <c r="R340" s="73"/>
      <c r="S340" s="21"/>
      <c r="T340" s="48" t="s">
        <v>430</v>
      </c>
      <c r="U340" s="46" t="s">
        <v>430</v>
      </c>
      <c r="V340" s="71" t="s">
        <v>430</v>
      </c>
      <c r="W340" s="72" t="s">
        <v>39</v>
      </c>
    </row>
    <row r="341" spans="1:23" s="84" customFormat="1" ht="23.25" customHeight="1">
      <c r="A341" s="26" t="s">
        <v>430</v>
      </c>
      <c r="B341" s="107" t="s">
        <v>226</v>
      </c>
      <c r="C341" s="108" t="s">
        <v>602</v>
      </c>
      <c r="D341" s="17" t="s">
        <v>54</v>
      </c>
      <c r="E341" s="24" t="s">
        <v>227</v>
      </c>
      <c r="F341" s="109" t="s">
        <v>228</v>
      </c>
      <c r="G341" s="109" t="s">
        <v>23</v>
      </c>
      <c r="H341" s="126">
        <v>1072900</v>
      </c>
      <c r="I341" s="77">
        <v>1072900</v>
      </c>
      <c r="J341" s="68">
        <v>0.02</v>
      </c>
      <c r="K341" s="33">
        <v>21458</v>
      </c>
      <c r="L341" s="18">
        <v>45973</v>
      </c>
      <c r="M341" s="18">
        <v>45983</v>
      </c>
      <c r="N341" s="115" t="s">
        <v>344</v>
      </c>
      <c r="O341" s="128">
        <v>1</v>
      </c>
      <c r="P341" s="128"/>
      <c r="Q341" s="128"/>
      <c r="R341" s="73"/>
      <c r="S341" s="21"/>
      <c r="T341" s="48" t="s">
        <v>430</v>
      </c>
      <c r="U341" s="46" t="s">
        <v>430</v>
      </c>
      <c r="V341" s="71" t="s">
        <v>430</v>
      </c>
      <c r="W341" s="72" t="s">
        <v>39</v>
      </c>
    </row>
    <row r="342" spans="1:23" s="84" customFormat="1" ht="23.25" customHeight="1">
      <c r="A342" s="26" t="s">
        <v>430</v>
      </c>
      <c r="B342" s="107" t="s">
        <v>231</v>
      </c>
      <c r="C342" s="108" t="s">
        <v>490</v>
      </c>
      <c r="D342" s="17" t="s">
        <v>54</v>
      </c>
      <c r="E342" s="24" t="s">
        <v>227</v>
      </c>
      <c r="F342" s="109" t="s">
        <v>232</v>
      </c>
      <c r="G342" s="109" t="s">
        <v>23</v>
      </c>
      <c r="H342" s="126">
        <v>2237600</v>
      </c>
      <c r="I342" s="77">
        <v>2237600</v>
      </c>
      <c r="J342" s="68">
        <v>0.02</v>
      </c>
      <c r="K342" s="33">
        <v>44752</v>
      </c>
      <c r="L342" s="18">
        <v>45973</v>
      </c>
      <c r="M342" s="18">
        <v>45983</v>
      </c>
      <c r="N342" s="115" t="s">
        <v>344</v>
      </c>
      <c r="O342" s="128">
        <v>10</v>
      </c>
      <c r="P342" s="128"/>
      <c r="Q342" s="128"/>
      <c r="R342" s="73"/>
      <c r="S342" s="21"/>
      <c r="T342" s="48" t="s">
        <v>430</v>
      </c>
      <c r="U342" s="46" t="s">
        <v>430</v>
      </c>
      <c r="V342" s="71" t="s">
        <v>430</v>
      </c>
      <c r="W342" s="72" t="s">
        <v>39</v>
      </c>
    </row>
    <row r="343" spans="1:23" s="84" customFormat="1" ht="23.25" customHeight="1">
      <c r="A343" s="26" t="s">
        <v>430</v>
      </c>
      <c r="B343" s="107" t="s">
        <v>233</v>
      </c>
      <c r="C343" s="108" t="s">
        <v>604</v>
      </c>
      <c r="D343" s="17" t="s">
        <v>54</v>
      </c>
      <c r="E343" s="24" t="s">
        <v>222</v>
      </c>
      <c r="F343" s="109" t="s">
        <v>234</v>
      </c>
      <c r="G343" s="109" t="s">
        <v>23</v>
      </c>
      <c r="H343" s="126">
        <v>1825400</v>
      </c>
      <c r="I343" s="77">
        <v>1825400</v>
      </c>
      <c r="J343" s="68">
        <v>0.02</v>
      </c>
      <c r="K343" s="33">
        <v>36508</v>
      </c>
      <c r="L343" s="18">
        <v>45973</v>
      </c>
      <c r="M343" s="18">
        <v>45983</v>
      </c>
      <c r="N343" s="115" t="s">
        <v>344</v>
      </c>
      <c r="O343" s="128">
        <v>10</v>
      </c>
      <c r="P343" s="128"/>
      <c r="Q343" s="128"/>
      <c r="R343" s="73"/>
      <c r="S343" s="21"/>
      <c r="T343" s="48" t="s">
        <v>430</v>
      </c>
      <c r="U343" s="46" t="s">
        <v>430</v>
      </c>
      <c r="V343" s="71" t="s">
        <v>430</v>
      </c>
      <c r="W343" s="72" t="s">
        <v>39</v>
      </c>
    </row>
    <row r="344" spans="1:23" s="84" customFormat="1" ht="23.25" customHeight="1">
      <c r="A344" s="26" t="s">
        <v>430</v>
      </c>
      <c r="B344" s="107" t="s">
        <v>235</v>
      </c>
      <c r="C344" s="108" t="s">
        <v>490</v>
      </c>
      <c r="D344" s="17" t="s">
        <v>54</v>
      </c>
      <c r="E344" s="24" t="s">
        <v>222</v>
      </c>
      <c r="F344" s="109" t="s">
        <v>236</v>
      </c>
      <c r="G344" s="109" t="s">
        <v>23</v>
      </c>
      <c r="H344" s="126">
        <v>33989500</v>
      </c>
      <c r="I344" s="77">
        <v>33989500</v>
      </c>
      <c r="J344" s="68">
        <v>0.02</v>
      </c>
      <c r="K344" s="33">
        <v>679790</v>
      </c>
      <c r="L344" s="18">
        <v>45973</v>
      </c>
      <c r="M344" s="18">
        <v>45983</v>
      </c>
      <c r="N344" s="115" t="s">
        <v>344</v>
      </c>
      <c r="O344" s="128">
        <v>31</v>
      </c>
      <c r="P344" s="128"/>
      <c r="Q344" s="128"/>
      <c r="R344" s="73"/>
      <c r="S344" s="21"/>
      <c r="T344" s="48" t="s">
        <v>430</v>
      </c>
      <c r="U344" s="46" t="s">
        <v>430</v>
      </c>
      <c r="V344" s="71" t="s">
        <v>430</v>
      </c>
      <c r="W344" s="72" t="s">
        <v>39</v>
      </c>
    </row>
    <row r="345" spans="1:23" s="84" customFormat="1" ht="23.25" customHeight="1">
      <c r="A345" s="26" t="s">
        <v>430</v>
      </c>
      <c r="B345" s="107" t="s">
        <v>108</v>
      </c>
      <c r="C345" s="108" t="s">
        <v>599</v>
      </c>
      <c r="D345" s="17" t="s">
        <v>54</v>
      </c>
      <c r="E345" s="24" t="s">
        <v>223</v>
      </c>
      <c r="F345" s="109" t="s">
        <v>109</v>
      </c>
      <c r="G345" s="109" t="s">
        <v>23</v>
      </c>
      <c r="H345" s="126">
        <v>1012600</v>
      </c>
      <c r="I345" s="77">
        <v>1012600</v>
      </c>
      <c r="J345" s="68">
        <v>0.1</v>
      </c>
      <c r="K345" s="33">
        <v>101260</v>
      </c>
      <c r="L345" s="18">
        <v>45976</v>
      </c>
      <c r="M345" s="18">
        <v>45986</v>
      </c>
      <c r="N345" s="115" t="s">
        <v>344</v>
      </c>
      <c r="O345" s="128">
        <v>1</v>
      </c>
      <c r="P345" s="128"/>
      <c r="Q345" s="128"/>
      <c r="R345" s="73"/>
      <c r="S345" s="21"/>
      <c r="T345" s="48" t="s">
        <v>430</v>
      </c>
      <c r="U345" s="46" t="s">
        <v>430</v>
      </c>
      <c r="V345" s="71" t="s">
        <v>430</v>
      </c>
      <c r="W345" s="72" t="s">
        <v>39</v>
      </c>
    </row>
    <row r="346" spans="1:23" s="84" customFormat="1" ht="23.25" customHeight="1">
      <c r="A346" s="26" t="s">
        <v>430</v>
      </c>
      <c r="B346" s="107" t="s">
        <v>229</v>
      </c>
      <c r="C346" s="108" t="s">
        <v>603</v>
      </c>
      <c r="D346" s="17" t="s">
        <v>54</v>
      </c>
      <c r="E346" s="24" t="s">
        <v>227</v>
      </c>
      <c r="F346" s="109" t="s">
        <v>230</v>
      </c>
      <c r="G346" s="109" t="s">
        <v>23</v>
      </c>
      <c r="H346" s="126">
        <v>1329200</v>
      </c>
      <c r="I346" s="77">
        <v>1329200</v>
      </c>
      <c r="J346" s="68">
        <v>0.02</v>
      </c>
      <c r="K346" s="33">
        <v>26584</v>
      </c>
      <c r="L346" s="18">
        <v>45976</v>
      </c>
      <c r="M346" s="18">
        <v>45986</v>
      </c>
      <c r="N346" s="115" t="s">
        <v>344</v>
      </c>
      <c r="O346" s="128">
        <v>16</v>
      </c>
      <c r="P346" s="128"/>
      <c r="Q346" s="128"/>
      <c r="R346" s="73"/>
      <c r="S346" s="21"/>
      <c r="T346" s="48" t="s">
        <v>430</v>
      </c>
      <c r="U346" s="46" t="s">
        <v>430</v>
      </c>
      <c r="V346" s="71" t="s">
        <v>430</v>
      </c>
      <c r="W346" s="72" t="s">
        <v>39</v>
      </c>
    </row>
    <row r="347" spans="1:23" s="84" customFormat="1" ht="23.25" customHeight="1">
      <c r="A347" s="26" t="s">
        <v>430</v>
      </c>
      <c r="B347" s="107" t="s">
        <v>235</v>
      </c>
      <c r="C347" s="108" t="s">
        <v>490</v>
      </c>
      <c r="D347" s="17" t="s">
        <v>54</v>
      </c>
      <c r="E347" s="24" t="s">
        <v>222</v>
      </c>
      <c r="F347" s="109" t="s">
        <v>236</v>
      </c>
      <c r="G347" s="109" t="s">
        <v>23</v>
      </c>
      <c r="H347" s="126">
        <v>3046200</v>
      </c>
      <c r="I347" s="77">
        <v>3046200</v>
      </c>
      <c r="J347" s="68">
        <v>0.02</v>
      </c>
      <c r="K347" s="33">
        <v>60924</v>
      </c>
      <c r="L347" s="18">
        <v>45976</v>
      </c>
      <c r="M347" s="18">
        <v>45986</v>
      </c>
      <c r="N347" s="115" t="s">
        <v>344</v>
      </c>
      <c r="O347" s="128">
        <v>1</v>
      </c>
      <c r="P347" s="128"/>
      <c r="Q347" s="128"/>
      <c r="R347" s="73"/>
      <c r="S347" s="21"/>
      <c r="T347" s="48" t="s">
        <v>430</v>
      </c>
      <c r="U347" s="46" t="s">
        <v>430</v>
      </c>
      <c r="V347" s="71" t="s">
        <v>430</v>
      </c>
      <c r="W347" s="72" t="s">
        <v>39</v>
      </c>
    </row>
    <row r="348" spans="1:23" s="84" customFormat="1" ht="23.25" customHeight="1">
      <c r="A348" s="26" t="s">
        <v>430</v>
      </c>
      <c r="B348" s="107" t="s">
        <v>229</v>
      </c>
      <c r="C348" s="108" t="s">
        <v>603</v>
      </c>
      <c r="D348" s="17" t="s">
        <v>54</v>
      </c>
      <c r="E348" s="24" t="s">
        <v>227</v>
      </c>
      <c r="F348" s="109" t="s">
        <v>230</v>
      </c>
      <c r="G348" s="109" t="s">
        <v>23</v>
      </c>
      <c r="H348" s="126">
        <v>2021600</v>
      </c>
      <c r="I348" s="77">
        <v>2021600</v>
      </c>
      <c r="J348" s="68">
        <v>0.02</v>
      </c>
      <c r="K348" s="33">
        <v>40432</v>
      </c>
      <c r="L348" s="18">
        <v>45978</v>
      </c>
      <c r="M348" s="18">
        <v>45988</v>
      </c>
      <c r="N348" s="115" t="s">
        <v>344</v>
      </c>
      <c r="O348" s="128">
        <v>2</v>
      </c>
      <c r="P348" s="128"/>
      <c r="Q348" s="128"/>
      <c r="R348" s="73"/>
      <c r="S348" s="21"/>
      <c r="T348" s="48" t="s">
        <v>430</v>
      </c>
      <c r="U348" s="46" t="s">
        <v>430</v>
      </c>
      <c r="V348" s="71" t="s">
        <v>430</v>
      </c>
      <c r="W348" s="72" t="s">
        <v>39</v>
      </c>
    </row>
    <row r="349" spans="1:23" s="84" customFormat="1" ht="23.25" customHeight="1">
      <c r="A349" s="26" t="s">
        <v>430</v>
      </c>
      <c r="B349" s="107" t="s">
        <v>231</v>
      </c>
      <c r="C349" s="108" t="s">
        <v>490</v>
      </c>
      <c r="D349" s="17" t="s">
        <v>54</v>
      </c>
      <c r="E349" s="24" t="s">
        <v>227</v>
      </c>
      <c r="F349" s="109" t="s">
        <v>232</v>
      </c>
      <c r="G349" s="109" t="s">
        <v>23</v>
      </c>
      <c r="H349" s="126">
        <v>2219100</v>
      </c>
      <c r="I349" s="77">
        <v>2219100</v>
      </c>
      <c r="J349" s="68">
        <v>0.02</v>
      </c>
      <c r="K349" s="33">
        <v>44382</v>
      </c>
      <c r="L349" s="18">
        <v>45978</v>
      </c>
      <c r="M349" s="18">
        <v>45988</v>
      </c>
      <c r="N349" s="115" t="s">
        <v>344</v>
      </c>
      <c r="O349" s="128">
        <v>3</v>
      </c>
      <c r="P349" s="128"/>
      <c r="Q349" s="128"/>
      <c r="R349" s="73"/>
      <c r="S349" s="21"/>
      <c r="T349" s="48" t="s">
        <v>430</v>
      </c>
      <c r="U349" s="46" t="s">
        <v>430</v>
      </c>
      <c r="V349" s="71" t="s">
        <v>430</v>
      </c>
      <c r="W349" s="72" t="s">
        <v>39</v>
      </c>
    </row>
    <row r="350" spans="1:23" s="84" customFormat="1" ht="23.25" customHeight="1">
      <c r="A350" s="26" t="s">
        <v>430</v>
      </c>
      <c r="B350" s="107" t="s">
        <v>233</v>
      </c>
      <c r="C350" s="108" t="s">
        <v>604</v>
      </c>
      <c r="D350" s="17" t="s">
        <v>54</v>
      </c>
      <c r="E350" s="24" t="s">
        <v>222</v>
      </c>
      <c r="F350" s="109" t="s">
        <v>234</v>
      </c>
      <c r="G350" s="109" t="s">
        <v>23</v>
      </c>
      <c r="H350" s="126">
        <v>1022200</v>
      </c>
      <c r="I350" s="77">
        <v>1022200</v>
      </c>
      <c r="J350" s="68">
        <v>0.02</v>
      </c>
      <c r="K350" s="33">
        <v>20444</v>
      </c>
      <c r="L350" s="18">
        <v>45978</v>
      </c>
      <c r="M350" s="18">
        <v>45988</v>
      </c>
      <c r="N350" s="115" t="s">
        <v>344</v>
      </c>
      <c r="O350" s="128">
        <v>2</v>
      </c>
      <c r="P350" s="128"/>
      <c r="Q350" s="128"/>
      <c r="R350" s="73"/>
      <c r="S350" s="21"/>
      <c r="T350" s="48" t="s">
        <v>430</v>
      </c>
      <c r="U350" s="46" t="s">
        <v>430</v>
      </c>
      <c r="V350" s="71" t="s">
        <v>430</v>
      </c>
      <c r="W350" s="72" t="s">
        <v>39</v>
      </c>
    </row>
    <row r="351" spans="1:23" s="84" customFormat="1" ht="23.25" customHeight="1">
      <c r="A351" s="26" t="s">
        <v>430</v>
      </c>
      <c r="B351" s="107" t="s">
        <v>237</v>
      </c>
      <c r="C351" s="108" t="s">
        <v>605</v>
      </c>
      <c r="D351" s="17" t="s">
        <v>54</v>
      </c>
      <c r="E351" s="24" t="s">
        <v>222</v>
      </c>
      <c r="F351" s="109" t="s">
        <v>238</v>
      </c>
      <c r="G351" s="109" t="s">
        <v>23</v>
      </c>
      <c r="H351" s="126">
        <v>98158800</v>
      </c>
      <c r="I351" s="77">
        <v>98158800</v>
      </c>
      <c r="J351" s="68">
        <v>0.02</v>
      </c>
      <c r="K351" s="33">
        <v>1963176</v>
      </c>
      <c r="L351" s="18">
        <v>45978</v>
      </c>
      <c r="M351" s="18">
        <v>45988</v>
      </c>
      <c r="N351" s="115" t="s">
        <v>344</v>
      </c>
      <c r="O351" s="128">
        <v>64</v>
      </c>
      <c r="P351" s="128"/>
      <c r="Q351" s="128"/>
      <c r="R351" s="73"/>
      <c r="S351" s="21"/>
      <c r="T351" s="48" t="s">
        <v>430</v>
      </c>
      <c r="U351" s="46" t="s">
        <v>430</v>
      </c>
      <c r="V351" s="71" t="s">
        <v>430</v>
      </c>
      <c r="W351" s="72" t="s">
        <v>39</v>
      </c>
    </row>
    <row r="352" spans="1:23" s="84" customFormat="1" ht="23.25" customHeight="1">
      <c r="A352" s="26" t="s">
        <v>430</v>
      </c>
      <c r="B352" s="107" t="s">
        <v>229</v>
      </c>
      <c r="C352" s="108" t="s">
        <v>603</v>
      </c>
      <c r="D352" s="17" t="s">
        <v>54</v>
      </c>
      <c r="E352" s="24" t="s">
        <v>227</v>
      </c>
      <c r="F352" s="109" t="s">
        <v>230</v>
      </c>
      <c r="G352" s="109" t="s">
        <v>23</v>
      </c>
      <c r="H352" s="126">
        <v>6485100</v>
      </c>
      <c r="I352" s="77">
        <v>6485100</v>
      </c>
      <c r="J352" s="68">
        <v>0.02</v>
      </c>
      <c r="K352" s="33">
        <v>129702</v>
      </c>
      <c r="L352" s="18">
        <v>45979</v>
      </c>
      <c r="M352" s="18">
        <v>45989</v>
      </c>
      <c r="N352" s="115" t="s">
        <v>344</v>
      </c>
      <c r="O352" s="128">
        <v>13</v>
      </c>
      <c r="P352" s="128"/>
      <c r="Q352" s="128"/>
      <c r="R352" s="73"/>
      <c r="S352" s="21"/>
      <c r="T352" s="48" t="s">
        <v>430</v>
      </c>
      <c r="U352" s="46" t="s">
        <v>430</v>
      </c>
      <c r="V352" s="71" t="s">
        <v>430</v>
      </c>
      <c r="W352" s="72" t="s">
        <v>39</v>
      </c>
    </row>
    <row r="353" spans="1:23" s="84" customFormat="1" ht="23.25" customHeight="1">
      <c r="A353" s="26" t="s">
        <v>430</v>
      </c>
      <c r="B353" s="107" t="s">
        <v>235</v>
      </c>
      <c r="C353" s="108" t="s">
        <v>490</v>
      </c>
      <c r="D353" s="17" t="s">
        <v>54</v>
      </c>
      <c r="E353" s="24" t="s">
        <v>222</v>
      </c>
      <c r="F353" s="109" t="s">
        <v>236</v>
      </c>
      <c r="G353" s="109" t="s">
        <v>23</v>
      </c>
      <c r="H353" s="126">
        <v>2964800</v>
      </c>
      <c r="I353" s="77">
        <v>2964800</v>
      </c>
      <c r="J353" s="68">
        <v>0.02</v>
      </c>
      <c r="K353" s="33">
        <v>59296</v>
      </c>
      <c r="L353" s="18">
        <v>45979</v>
      </c>
      <c r="M353" s="18">
        <v>45989</v>
      </c>
      <c r="N353" s="115" t="s">
        <v>344</v>
      </c>
      <c r="O353" s="128">
        <v>4</v>
      </c>
      <c r="P353" s="128"/>
      <c r="Q353" s="128"/>
      <c r="R353" s="73"/>
      <c r="S353" s="21"/>
      <c r="T353" s="48" t="s">
        <v>430</v>
      </c>
      <c r="U353" s="46" t="s">
        <v>430</v>
      </c>
      <c r="V353" s="71" t="s">
        <v>430</v>
      </c>
      <c r="W353" s="72" t="s">
        <v>39</v>
      </c>
    </row>
    <row r="354" spans="1:23" s="84" customFormat="1" ht="23.25" customHeight="1">
      <c r="A354" s="26" t="s">
        <v>430</v>
      </c>
      <c r="B354" s="107" t="s">
        <v>229</v>
      </c>
      <c r="C354" s="108" t="s">
        <v>603</v>
      </c>
      <c r="D354" s="17" t="s">
        <v>54</v>
      </c>
      <c r="E354" s="24" t="s">
        <v>227</v>
      </c>
      <c r="F354" s="109" t="s">
        <v>230</v>
      </c>
      <c r="G354" s="109" t="s">
        <v>23</v>
      </c>
      <c r="H354" s="126">
        <v>1929300</v>
      </c>
      <c r="I354" s="77">
        <v>1929300</v>
      </c>
      <c r="J354" s="68">
        <v>0.02</v>
      </c>
      <c r="K354" s="33">
        <v>38586</v>
      </c>
      <c r="L354" s="18">
        <v>45980</v>
      </c>
      <c r="M354" s="18">
        <v>45990</v>
      </c>
      <c r="N354" s="115" t="s">
        <v>344</v>
      </c>
      <c r="O354" s="128">
        <v>3</v>
      </c>
      <c r="P354" s="128"/>
      <c r="Q354" s="128"/>
      <c r="R354" s="73"/>
      <c r="S354" s="21"/>
      <c r="T354" s="48" t="s">
        <v>430</v>
      </c>
      <c r="U354" s="46" t="s">
        <v>430</v>
      </c>
      <c r="V354" s="71" t="s">
        <v>430</v>
      </c>
      <c r="W354" s="72" t="s">
        <v>39</v>
      </c>
    </row>
    <row r="355" spans="1:23" s="84" customFormat="1" ht="23.25" customHeight="1">
      <c r="A355" s="26" t="s">
        <v>430</v>
      </c>
      <c r="B355" s="107" t="s">
        <v>233</v>
      </c>
      <c r="C355" s="108" t="s">
        <v>604</v>
      </c>
      <c r="D355" s="17" t="s">
        <v>54</v>
      </c>
      <c r="E355" s="24" t="s">
        <v>222</v>
      </c>
      <c r="F355" s="109" t="s">
        <v>234</v>
      </c>
      <c r="G355" s="109" t="s">
        <v>23</v>
      </c>
      <c r="H355" s="126">
        <v>639600</v>
      </c>
      <c r="I355" s="77">
        <v>639600</v>
      </c>
      <c r="J355" s="68">
        <v>0.02</v>
      </c>
      <c r="K355" s="33">
        <v>12792</v>
      </c>
      <c r="L355" s="18">
        <v>45983</v>
      </c>
      <c r="M355" s="18">
        <v>45993</v>
      </c>
      <c r="N355" s="115" t="s">
        <v>344</v>
      </c>
      <c r="O355" s="128">
        <v>4</v>
      </c>
      <c r="P355" s="128"/>
      <c r="Q355" s="128"/>
      <c r="R355" s="73"/>
      <c r="S355" s="21"/>
      <c r="T355" s="48" t="s">
        <v>430</v>
      </c>
      <c r="U355" s="46" t="s">
        <v>430</v>
      </c>
      <c r="V355" s="71" t="s">
        <v>430</v>
      </c>
      <c r="W355" s="72" t="s">
        <v>39</v>
      </c>
    </row>
    <row r="356" spans="1:23" s="84" customFormat="1" ht="23.25" customHeight="1">
      <c r="A356" s="26" t="s">
        <v>430</v>
      </c>
      <c r="B356" s="107" t="s">
        <v>235</v>
      </c>
      <c r="C356" s="108" t="s">
        <v>490</v>
      </c>
      <c r="D356" s="17" t="s">
        <v>54</v>
      </c>
      <c r="E356" s="24" t="s">
        <v>222</v>
      </c>
      <c r="F356" s="109" t="s">
        <v>236</v>
      </c>
      <c r="G356" s="109" t="s">
        <v>23</v>
      </c>
      <c r="H356" s="126">
        <v>11599800</v>
      </c>
      <c r="I356" s="77">
        <v>11599800</v>
      </c>
      <c r="J356" s="68">
        <v>0.02</v>
      </c>
      <c r="K356" s="33">
        <v>231996</v>
      </c>
      <c r="L356" s="18">
        <v>45983</v>
      </c>
      <c r="M356" s="18">
        <v>45993</v>
      </c>
      <c r="N356" s="115" t="s">
        <v>344</v>
      </c>
      <c r="O356" s="128">
        <v>10</v>
      </c>
      <c r="P356" s="128"/>
      <c r="Q356" s="128"/>
      <c r="R356" s="73"/>
      <c r="S356" s="21"/>
      <c r="T356" s="48" t="s">
        <v>430</v>
      </c>
      <c r="U356" s="46" t="s">
        <v>430</v>
      </c>
      <c r="V356" s="71" t="s">
        <v>430</v>
      </c>
      <c r="W356" s="72" t="s">
        <v>39</v>
      </c>
    </row>
    <row r="357" spans="1:23" s="84" customFormat="1" ht="23.25" customHeight="1">
      <c r="A357" s="26" t="s">
        <v>430</v>
      </c>
      <c r="B357" s="107" t="s">
        <v>233</v>
      </c>
      <c r="C357" s="108" t="s">
        <v>604</v>
      </c>
      <c r="D357" s="17" t="s">
        <v>54</v>
      </c>
      <c r="E357" s="24" t="s">
        <v>222</v>
      </c>
      <c r="F357" s="109" t="s">
        <v>234</v>
      </c>
      <c r="G357" s="109" t="s">
        <v>23</v>
      </c>
      <c r="H357" s="126">
        <v>1679800</v>
      </c>
      <c r="I357" s="77">
        <v>1679800</v>
      </c>
      <c r="J357" s="68">
        <v>0.02</v>
      </c>
      <c r="K357" s="33">
        <v>33596</v>
      </c>
      <c r="L357" s="18">
        <v>45987</v>
      </c>
      <c r="M357" s="18">
        <v>45997</v>
      </c>
      <c r="N357" s="115" t="s">
        <v>344</v>
      </c>
      <c r="O357" s="128">
        <v>12</v>
      </c>
      <c r="P357" s="128"/>
      <c r="Q357" s="128"/>
      <c r="R357" s="73"/>
      <c r="S357" s="21"/>
      <c r="T357" s="48" t="s">
        <v>430</v>
      </c>
      <c r="U357" s="46" t="s">
        <v>430</v>
      </c>
      <c r="V357" s="71" t="s">
        <v>430</v>
      </c>
      <c r="W357" s="72" t="s">
        <v>39</v>
      </c>
    </row>
    <row r="358" spans="1:23" s="84" customFormat="1" ht="23.25" customHeight="1">
      <c r="A358" s="26" t="s">
        <v>430</v>
      </c>
      <c r="B358" s="107" t="s">
        <v>237</v>
      </c>
      <c r="C358" s="108" t="s">
        <v>605</v>
      </c>
      <c r="D358" s="17" t="s">
        <v>54</v>
      </c>
      <c r="E358" s="24" t="s">
        <v>222</v>
      </c>
      <c r="F358" s="109" t="s">
        <v>238</v>
      </c>
      <c r="G358" s="109" t="s">
        <v>23</v>
      </c>
      <c r="H358" s="126">
        <v>52796300</v>
      </c>
      <c r="I358" s="77">
        <v>52796300</v>
      </c>
      <c r="J358" s="68">
        <v>0.02</v>
      </c>
      <c r="K358" s="33">
        <v>1055926</v>
      </c>
      <c r="L358" s="18">
        <v>45990</v>
      </c>
      <c r="M358" s="18">
        <v>46000</v>
      </c>
      <c r="N358" s="115" t="s">
        <v>344</v>
      </c>
      <c r="O358" s="128">
        <v>11</v>
      </c>
      <c r="P358" s="128"/>
      <c r="Q358" s="128"/>
      <c r="R358" s="73"/>
      <c r="S358" s="21"/>
      <c r="T358" s="48" t="s">
        <v>430</v>
      </c>
      <c r="U358" s="46" t="s">
        <v>430</v>
      </c>
      <c r="V358" s="71" t="s">
        <v>430</v>
      </c>
      <c r="W358" s="72" t="s">
        <v>39</v>
      </c>
    </row>
    <row r="359" spans="1:23" s="84" customFormat="1" ht="23.25" customHeight="1">
      <c r="A359" s="26" t="s">
        <v>430</v>
      </c>
      <c r="B359" s="107" t="s">
        <v>341</v>
      </c>
      <c r="C359" s="108" t="s">
        <v>492</v>
      </c>
      <c r="D359" s="17" t="s">
        <v>54</v>
      </c>
      <c r="E359" s="24" t="s">
        <v>222</v>
      </c>
      <c r="F359" s="109" t="s">
        <v>342</v>
      </c>
      <c r="G359" s="109" t="s">
        <v>23</v>
      </c>
      <c r="H359" s="126">
        <v>1673500</v>
      </c>
      <c r="I359" s="77">
        <v>1673500</v>
      </c>
      <c r="J359" s="68">
        <v>0.02</v>
      </c>
      <c r="K359" s="33">
        <v>33470</v>
      </c>
      <c r="L359" s="18">
        <v>45990</v>
      </c>
      <c r="M359" s="18">
        <v>46000</v>
      </c>
      <c r="N359" s="115" t="s">
        <v>344</v>
      </c>
      <c r="O359" s="128">
        <v>3</v>
      </c>
      <c r="P359" s="128"/>
      <c r="Q359" s="128"/>
      <c r="R359" s="73"/>
      <c r="S359" s="21"/>
      <c r="T359" s="48" t="s">
        <v>430</v>
      </c>
      <c r="U359" s="46" t="s">
        <v>430</v>
      </c>
      <c r="V359" s="71" t="s">
        <v>430</v>
      </c>
      <c r="W359" s="72" t="s">
        <v>39</v>
      </c>
    </row>
    <row r="360" spans="1:23" s="84" customFormat="1" ht="23.25" customHeight="1">
      <c r="A360" s="26" t="s">
        <v>430</v>
      </c>
      <c r="B360" s="107" t="s">
        <v>85</v>
      </c>
      <c r="C360" s="108" t="s">
        <v>225</v>
      </c>
      <c r="D360" s="17" t="s">
        <v>54</v>
      </c>
      <c r="E360" s="24" t="s">
        <v>221</v>
      </c>
      <c r="F360" s="109" t="s">
        <v>86</v>
      </c>
      <c r="G360" s="109" t="s">
        <v>23</v>
      </c>
      <c r="H360" s="126">
        <v>3375080</v>
      </c>
      <c r="I360" s="77">
        <v>3375080</v>
      </c>
      <c r="J360" s="68">
        <v>0.2</v>
      </c>
      <c r="K360" s="33">
        <v>675016</v>
      </c>
      <c r="L360" s="18">
        <v>45991</v>
      </c>
      <c r="M360" s="18">
        <v>46001</v>
      </c>
      <c r="N360" s="115" t="s">
        <v>344</v>
      </c>
      <c r="O360" s="128">
        <v>4</v>
      </c>
      <c r="P360" s="128"/>
      <c r="Q360" s="128"/>
      <c r="R360" s="73"/>
      <c r="S360" s="21"/>
      <c r="T360" s="48" t="s">
        <v>430</v>
      </c>
      <c r="U360" s="46" t="s">
        <v>430</v>
      </c>
      <c r="V360" s="71" t="s">
        <v>430</v>
      </c>
      <c r="W360" s="72" t="s">
        <v>39</v>
      </c>
    </row>
    <row r="361" spans="1:23" s="84" customFormat="1" ht="23.25" customHeight="1">
      <c r="A361" s="26" t="s">
        <v>430</v>
      </c>
      <c r="B361" s="107" t="s">
        <v>226</v>
      </c>
      <c r="C361" s="108" t="s">
        <v>602</v>
      </c>
      <c r="D361" s="17" t="s">
        <v>54</v>
      </c>
      <c r="E361" s="24" t="s">
        <v>227</v>
      </c>
      <c r="F361" s="109" t="s">
        <v>228</v>
      </c>
      <c r="G361" s="109" t="s">
        <v>23</v>
      </c>
      <c r="H361" s="126">
        <v>2198100</v>
      </c>
      <c r="I361" s="77">
        <v>2198100</v>
      </c>
      <c r="J361" s="68">
        <v>0.02</v>
      </c>
      <c r="K361" s="33">
        <v>43962</v>
      </c>
      <c r="L361" s="18">
        <v>45991</v>
      </c>
      <c r="M361" s="18">
        <v>46001</v>
      </c>
      <c r="N361" s="115" t="s">
        <v>344</v>
      </c>
      <c r="O361" s="128">
        <v>10</v>
      </c>
      <c r="P361" s="128"/>
      <c r="Q361" s="128"/>
      <c r="R361" s="73"/>
      <c r="S361" s="21"/>
      <c r="T361" s="48" t="s">
        <v>430</v>
      </c>
      <c r="U361" s="46" t="s">
        <v>430</v>
      </c>
      <c r="V361" s="71" t="s">
        <v>430</v>
      </c>
      <c r="W361" s="72" t="s">
        <v>39</v>
      </c>
    </row>
    <row r="362" spans="1:23" s="84" customFormat="1" ht="23.25" customHeight="1">
      <c r="A362" s="26" t="s">
        <v>430</v>
      </c>
      <c r="B362" s="107" t="s">
        <v>237</v>
      </c>
      <c r="C362" s="108" t="s">
        <v>605</v>
      </c>
      <c r="D362" s="17" t="s">
        <v>54</v>
      </c>
      <c r="E362" s="24" t="s">
        <v>222</v>
      </c>
      <c r="F362" s="109" t="s">
        <v>238</v>
      </c>
      <c r="G362" s="109" t="s">
        <v>23</v>
      </c>
      <c r="H362" s="126">
        <v>39069300</v>
      </c>
      <c r="I362" s="77">
        <v>39069300</v>
      </c>
      <c r="J362" s="68">
        <v>0.02</v>
      </c>
      <c r="K362" s="33">
        <v>781386</v>
      </c>
      <c r="L362" s="18">
        <v>45991</v>
      </c>
      <c r="M362" s="18">
        <v>46001</v>
      </c>
      <c r="N362" s="115" t="s">
        <v>344</v>
      </c>
      <c r="O362" s="128">
        <v>38</v>
      </c>
      <c r="P362" s="128"/>
      <c r="Q362" s="128"/>
      <c r="R362" s="73"/>
      <c r="S362" s="21"/>
      <c r="T362" s="48" t="s">
        <v>430</v>
      </c>
      <c r="U362" s="46" t="s">
        <v>430</v>
      </c>
      <c r="V362" s="71" t="s">
        <v>430</v>
      </c>
      <c r="W362" s="72" t="s">
        <v>39</v>
      </c>
    </row>
    <row r="363" spans="1:23" s="84" customFormat="1" ht="23.25" customHeight="1">
      <c r="A363" s="26" t="s">
        <v>430</v>
      </c>
      <c r="B363" s="107" t="s">
        <v>341</v>
      </c>
      <c r="C363" s="108" t="s">
        <v>492</v>
      </c>
      <c r="D363" s="17" t="s">
        <v>54</v>
      </c>
      <c r="E363" s="24" t="s">
        <v>222</v>
      </c>
      <c r="F363" s="109" t="s">
        <v>342</v>
      </c>
      <c r="G363" s="109" t="s">
        <v>23</v>
      </c>
      <c r="H363" s="126">
        <v>765900</v>
      </c>
      <c r="I363" s="77">
        <v>765900</v>
      </c>
      <c r="J363" s="68">
        <v>0.02</v>
      </c>
      <c r="K363" s="33">
        <v>15318</v>
      </c>
      <c r="L363" s="18">
        <v>45992</v>
      </c>
      <c r="M363" s="18">
        <v>46002</v>
      </c>
      <c r="N363" s="115" t="s">
        <v>344</v>
      </c>
      <c r="O363" s="128">
        <v>1</v>
      </c>
      <c r="P363" s="128"/>
      <c r="Q363" s="128"/>
      <c r="R363" s="73"/>
      <c r="S363" s="21"/>
      <c r="T363" s="48" t="s">
        <v>430</v>
      </c>
      <c r="U363" s="46" t="s">
        <v>430</v>
      </c>
      <c r="V363" s="71" t="s">
        <v>430</v>
      </c>
      <c r="W363" s="72" t="s">
        <v>39</v>
      </c>
    </row>
    <row r="364" spans="1:23" s="84" customFormat="1" ht="23.25" customHeight="1">
      <c r="A364" s="26" t="s">
        <v>430</v>
      </c>
      <c r="B364" s="107" t="s">
        <v>185</v>
      </c>
      <c r="C364" s="108" t="s">
        <v>600</v>
      </c>
      <c r="D364" s="17" t="s">
        <v>54</v>
      </c>
      <c r="E364" s="24" t="s">
        <v>224</v>
      </c>
      <c r="F364" s="109" t="s">
        <v>186</v>
      </c>
      <c r="G364" s="109" t="s">
        <v>23</v>
      </c>
      <c r="H364" s="126">
        <v>1985100</v>
      </c>
      <c r="I364" s="77">
        <v>1985100</v>
      </c>
      <c r="J364" s="68">
        <v>0.02</v>
      </c>
      <c r="K364" s="33">
        <v>39702</v>
      </c>
      <c r="L364" s="18">
        <v>45997</v>
      </c>
      <c r="M364" s="18">
        <v>46007</v>
      </c>
      <c r="N364" s="115" t="s">
        <v>344</v>
      </c>
      <c r="O364" s="128">
        <v>1</v>
      </c>
      <c r="P364" s="128"/>
      <c r="Q364" s="128"/>
      <c r="R364" s="73"/>
      <c r="S364" s="21"/>
      <c r="T364" s="48" t="s">
        <v>430</v>
      </c>
      <c r="U364" s="46" t="s">
        <v>430</v>
      </c>
      <c r="V364" s="71" t="s">
        <v>430</v>
      </c>
      <c r="W364" s="72" t="s">
        <v>39</v>
      </c>
    </row>
    <row r="365" spans="1:23" s="84" customFormat="1" ht="23.25" customHeight="1">
      <c r="A365" s="26" t="s">
        <v>430</v>
      </c>
      <c r="B365" s="107" t="s">
        <v>226</v>
      </c>
      <c r="C365" s="108" t="s">
        <v>602</v>
      </c>
      <c r="D365" s="17" t="s">
        <v>54</v>
      </c>
      <c r="E365" s="24" t="s">
        <v>227</v>
      </c>
      <c r="F365" s="109" t="s">
        <v>228</v>
      </c>
      <c r="G365" s="109" t="s">
        <v>23</v>
      </c>
      <c r="H365" s="126">
        <v>947000</v>
      </c>
      <c r="I365" s="77">
        <v>947000</v>
      </c>
      <c r="J365" s="68">
        <v>0.02</v>
      </c>
      <c r="K365" s="33">
        <v>18940</v>
      </c>
      <c r="L365" s="18">
        <v>45997</v>
      </c>
      <c r="M365" s="18">
        <v>46007</v>
      </c>
      <c r="N365" s="115" t="s">
        <v>344</v>
      </c>
      <c r="O365" s="128">
        <v>4</v>
      </c>
      <c r="P365" s="128"/>
      <c r="Q365" s="128"/>
      <c r="R365" s="73"/>
      <c r="S365" s="21"/>
      <c r="T365" s="48" t="s">
        <v>430</v>
      </c>
      <c r="U365" s="46" t="s">
        <v>430</v>
      </c>
      <c r="V365" s="71" t="s">
        <v>430</v>
      </c>
      <c r="W365" s="72" t="s">
        <v>39</v>
      </c>
    </row>
    <row r="366" spans="1:23" s="84" customFormat="1" ht="23.25" customHeight="1">
      <c r="A366" s="26" t="s">
        <v>430</v>
      </c>
      <c r="B366" s="107" t="s">
        <v>226</v>
      </c>
      <c r="C366" s="108" t="s">
        <v>602</v>
      </c>
      <c r="D366" s="17" t="s">
        <v>54</v>
      </c>
      <c r="E366" s="24" t="s">
        <v>227</v>
      </c>
      <c r="F366" s="109" t="s">
        <v>228</v>
      </c>
      <c r="G366" s="109" t="s">
        <v>23</v>
      </c>
      <c r="H366" s="126">
        <v>481500</v>
      </c>
      <c r="I366" s="77">
        <v>481500</v>
      </c>
      <c r="J366" s="68">
        <v>0.02</v>
      </c>
      <c r="K366" s="33">
        <v>9630</v>
      </c>
      <c r="L366" s="18">
        <v>45998</v>
      </c>
      <c r="M366" s="18">
        <v>46008</v>
      </c>
      <c r="N366" s="115" t="s">
        <v>344</v>
      </c>
      <c r="O366" s="128">
        <v>1</v>
      </c>
      <c r="P366" s="128"/>
      <c r="Q366" s="128"/>
      <c r="R366" s="73"/>
      <c r="S366" s="21"/>
      <c r="T366" s="48" t="s">
        <v>430</v>
      </c>
      <c r="U366" s="46" t="s">
        <v>430</v>
      </c>
      <c r="V366" s="71" t="s">
        <v>430</v>
      </c>
      <c r="W366" s="72" t="s">
        <v>39</v>
      </c>
    </row>
    <row r="367" spans="1:23" s="84" customFormat="1" ht="23.25" customHeight="1">
      <c r="A367" s="26" t="s">
        <v>430</v>
      </c>
      <c r="B367" s="107" t="s">
        <v>233</v>
      </c>
      <c r="C367" s="108" t="s">
        <v>604</v>
      </c>
      <c r="D367" s="17" t="s">
        <v>54</v>
      </c>
      <c r="E367" s="24" t="s">
        <v>222</v>
      </c>
      <c r="F367" s="109" t="s">
        <v>234</v>
      </c>
      <c r="G367" s="109" t="s">
        <v>23</v>
      </c>
      <c r="H367" s="126">
        <v>2563400</v>
      </c>
      <c r="I367" s="77">
        <v>2563400</v>
      </c>
      <c r="J367" s="68">
        <v>0.02</v>
      </c>
      <c r="K367" s="33">
        <v>51268</v>
      </c>
      <c r="L367" s="18">
        <v>45999</v>
      </c>
      <c r="M367" s="18">
        <v>46009</v>
      </c>
      <c r="N367" s="115" t="s">
        <v>344</v>
      </c>
      <c r="O367" s="128">
        <v>18</v>
      </c>
      <c r="P367" s="128"/>
      <c r="Q367" s="128"/>
      <c r="R367" s="73"/>
      <c r="S367" s="21"/>
      <c r="T367" s="48" t="s">
        <v>430</v>
      </c>
      <c r="U367" s="48" t="s">
        <v>430</v>
      </c>
      <c r="V367" s="71" t="s">
        <v>430</v>
      </c>
      <c r="W367" s="72" t="s">
        <v>39</v>
      </c>
    </row>
    <row r="368" spans="1:23" s="84" customFormat="1" ht="23.25" customHeight="1">
      <c r="A368" s="26" t="s">
        <v>430</v>
      </c>
      <c r="B368" s="107" t="s">
        <v>493</v>
      </c>
      <c r="C368" s="108" t="s">
        <v>75</v>
      </c>
      <c r="D368" s="17" t="s">
        <v>54</v>
      </c>
      <c r="E368" s="24" t="s">
        <v>222</v>
      </c>
      <c r="F368" s="109" t="s">
        <v>494</v>
      </c>
      <c r="G368" s="109" t="s">
        <v>23</v>
      </c>
      <c r="H368" s="126">
        <v>11644800</v>
      </c>
      <c r="I368" s="77">
        <v>11644800</v>
      </c>
      <c r="J368" s="68">
        <v>0.02</v>
      </c>
      <c r="K368" s="33">
        <v>232896</v>
      </c>
      <c r="L368" s="18">
        <v>45999</v>
      </c>
      <c r="M368" s="18">
        <v>46009</v>
      </c>
      <c r="N368" s="115" t="s">
        <v>344</v>
      </c>
      <c r="O368" s="128">
        <v>2</v>
      </c>
      <c r="P368" s="128"/>
      <c r="Q368" s="128"/>
      <c r="R368" s="73"/>
      <c r="S368" s="21"/>
      <c r="T368" s="48" t="s">
        <v>430</v>
      </c>
      <c r="U368" s="46" t="s">
        <v>430</v>
      </c>
      <c r="V368" s="71" t="s">
        <v>430</v>
      </c>
      <c r="W368" s="72" t="s">
        <v>39</v>
      </c>
    </row>
    <row r="369" spans="1:23" s="84" customFormat="1" ht="23.25" customHeight="1">
      <c r="A369" s="26" t="s">
        <v>430</v>
      </c>
      <c r="B369" s="107" t="s">
        <v>87</v>
      </c>
      <c r="C369" s="108" t="s">
        <v>225</v>
      </c>
      <c r="D369" s="17" t="s">
        <v>54</v>
      </c>
      <c r="E369" s="24" t="s">
        <v>221</v>
      </c>
      <c r="F369" s="109" t="s">
        <v>88</v>
      </c>
      <c r="G369" s="109" t="s">
        <v>23</v>
      </c>
      <c r="H369" s="126">
        <v>3375080</v>
      </c>
      <c r="I369" s="77">
        <v>3375080</v>
      </c>
      <c r="J369" s="68">
        <v>0.2</v>
      </c>
      <c r="K369" s="33">
        <v>675016</v>
      </c>
      <c r="L369" s="18">
        <v>46000</v>
      </c>
      <c r="M369" s="18">
        <v>46010</v>
      </c>
      <c r="N369" s="115" t="s">
        <v>344</v>
      </c>
      <c r="O369" s="128">
        <v>4</v>
      </c>
      <c r="P369" s="128"/>
      <c r="Q369" s="128"/>
      <c r="R369" s="73"/>
      <c r="S369" s="21"/>
      <c r="T369" s="48" t="s">
        <v>430</v>
      </c>
      <c r="U369" s="48" t="s">
        <v>430</v>
      </c>
      <c r="V369" s="71" t="s">
        <v>430</v>
      </c>
      <c r="W369" s="72" t="s">
        <v>39</v>
      </c>
    </row>
    <row r="370" spans="1:23" s="84" customFormat="1" ht="23.25" customHeight="1">
      <c r="A370" s="26" t="s">
        <v>430</v>
      </c>
      <c r="B370" s="107" t="s">
        <v>235</v>
      </c>
      <c r="C370" s="108" t="s">
        <v>490</v>
      </c>
      <c r="D370" s="17" t="s">
        <v>54</v>
      </c>
      <c r="E370" s="24" t="s">
        <v>222</v>
      </c>
      <c r="F370" s="109" t="s">
        <v>236</v>
      </c>
      <c r="G370" s="109" t="s">
        <v>23</v>
      </c>
      <c r="H370" s="126">
        <v>1002400</v>
      </c>
      <c r="I370" s="77">
        <v>1002400</v>
      </c>
      <c r="J370" s="68">
        <v>0.02</v>
      </c>
      <c r="K370" s="33">
        <v>20048</v>
      </c>
      <c r="L370" s="18">
        <v>46000</v>
      </c>
      <c r="M370" s="18">
        <v>46010</v>
      </c>
      <c r="N370" s="115" t="s">
        <v>344</v>
      </c>
      <c r="O370" s="128">
        <v>4</v>
      </c>
      <c r="P370" s="128"/>
      <c r="Q370" s="128"/>
      <c r="R370" s="73"/>
      <c r="S370" s="21"/>
      <c r="T370" s="48" t="s">
        <v>430</v>
      </c>
      <c r="U370" s="46" t="s">
        <v>430</v>
      </c>
      <c r="V370" s="71" t="s">
        <v>430</v>
      </c>
      <c r="W370" s="72" t="s">
        <v>39</v>
      </c>
    </row>
    <row r="371" spans="1:23" s="84" customFormat="1" ht="23.25" customHeight="1">
      <c r="A371" s="26" t="s">
        <v>430</v>
      </c>
      <c r="B371" s="107" t="s">
        <v>229</v>
      </c>
      <c r="C371" s="108" t="s">
        <v>603</v>
      </c>
      <c r="D371" s="17" t="s">
        <v>54</v>
      </c>
      <c r="E371" s="24" t="s">
        <v>227</v>
      </c>
      <c r="F371" s="109" t="s">
        <v>230</v>
      </c>
      <c r="G371" s="109" t="s">
        <v>23</v>
      </c>
      <c r="H371" s="126">
        <v>1103100</v>
      </c>
      <c r="I371" s="77">
        <v>1103100</v>
      </c>
      <c r="J371" s="68">
        <v>0.02</v>
      </c>
      <c r="K371" s="33">
        <v>22062</v>
      </c>
      <c r="L371" s="18">
        <v>46004</v>
      </c>
      <c r="M371" s="18">
        <v>46014</v>
      </c>
      <c r="N371" s="115" t="s">
        <v>344</v>
      </c>
      <c r="O371" s="128">
        <v>1</v>
      </c>
      <c r="P371" s="128"/>
      <c r="Q371" s="128"/>
      <c r="R371" s="73"/>
      <c r="S371" s="21"/>
      <c r="T371" s="48" t="s">
        <v>430</v>
      </c>
      <c r="U371" s="46" t="s">
        <v>430</v>
      </c>
      <c r="V371" s="71" t="s">
        <v>430</v>
      </c>
      <c r="W371" s="72" t="s">
        <v>39</v>
      </c>
    </row>
    <row r="372" spans="1:23" s="84" customFormat="1" ht="23.25" customHeight="1">
      <c r="A372" s="26" t="s">
        <v>430</v>
      </c>
      <c r="B372" s="107" t="s">
        <v>233</v>
      </c>
      <c r="C372" s="108" t="s">
        <v>604</v>
      </c>
      <c r="D372" s="17" t="s">
        <v>54</v>
      </c>
      <c r="E372" s="24" t="s">
        <v>222</v>
      </c>
      <c r="F372" s="109" t="s">
        <v>234</v>
      </c>
      <c r="G372" s="109" t="s">
        <v>23</v>
      </c>
      <c r="H372" s="126">
        <v>1779700</v>
      </c>
      <c r="I372" s="77">
        <v>1779700</v>
      </c>
      <c r="J372" s="68">
        <v>0.02</v>
      </c>
      <c r="K372" s="33">
        <v>35594</v>
      </c>
      <c r="L372" s="18">
        <v>46004</v>
      </c>
      <c r="M372" s="18">
        <v>46014</v>
      </c>
      <c r="N372" s="115" t="s">
        <v>344</v>
      </c>
      <c r="O372" s="128">
        <v>17</v>
      </c>
      <c r="P372" s="128"/>
      <c r="Q372" s="128"/>
      <c r="R372" s="73"/>
      <c r="S372" s="21"/>
      <c r="T372" s="48" t="s">
        <v>430</v>
      </c>
      <c r="U372" s="46" t="s">
        <v>430</v>
      </c>
      <c r="V372" s="71" t="s">
        <v>430</v>
      </c>
      <c r="W372" s="72" t="s">
        <v>39</v>
      </c>
    </row>
    <row r="373" spans="1:23" s="84" customFormat="1" ht="23.25" customHeight="1">
      <c r="A373" s="26" t="s">
        <v>430</v>
      </c>
      <c r="B373" s="107" t="s">
        <v>235</v>
      </c>
      <c r="C373" s="108" t="s">
        <v>490</v>
      </c>
      <c r="D373" s="17" t="s">
        <v>54</v>
      </c>
      <c r="E373" s="24" t="s">
        <v>222</v>
      </c>
      <c r="F373" s="109" t="s">
        <v>236</v>
      </c>
      <c r="G373" s="109" t="s">
        <v>23</v>
      </c>
      <c r="H373" s="126">
        <v>37092500</v>
      </c>
      <c r="I373" s="77">
        <v>37092500</v>
      </c>
      <c r="J373" s="68">
        <v>0.02</v>
      </c>
      <c r="K373" s="33">
        <v>741850</v>
      </c>
      <c r="L373" s="18">
        <v>46004</v>
      </c>
      <c r="M373" s="18">
        <v>46014</v>
      </c>
      <c r="N373" s="115" t="s">
        <v>344</v>
      </c>
      <c r="O373" s="128">
        <v>44</v>
      </c>
      <c r="P373" s="128"/>
      <c r="Q373" s="128"/>
      <c r="R373" s="73"/>
      <c r="S373" s="21"/>
      <c r="T373" s="48" t="s">
        <v>430</v>
      </c>
      <c r="U373" s="46" t="s">
        <v>430</v>
      </c>
      <c r="V373" s="71" t="s">
        <v>430</v>
      </c>
      <c r="W373" s="72" t="s">
        <v>39</v>
      </c>
    </row>
    <row r="374" spans="1:23" s="84" customFormat="1" ht="23.25" customHeight="1">
      <c r="A374" s="26" t="s">
        <v>430</v>
      </c>
      <c r="B374" s="107" t="s">
        <v>341</v>
      </c>
      <c r="C374" s="108" t="s">
        <v>492</v>
      </c>
      <c r="D374" s="17" t="s">
        <v>54</v>
      </c>
      <c r="E374" s="24" t="s">
        <v>222</v>
      </c>
      <c r="F374" s="109" t="s">
        <v>342</v>
      </c>
      <c r="G374" s="109" t="s">
        <v>23</v>
      </c>
      <c r="H374" s="126">
        <v>342600</v>
      </c>
      <c r="I374" s="77">
        <v>342600</v>
      </c>
      <c r="J374" s="68">
        <v>0.02</v>
      </c>
      <c r="K374" s="33">
        <v>6852</v>
      </c>
      <c r="L374" s="18">
        <v>46004</v>
      </c>
      <c r="M374" s="18">
        <v>46014</v>
      </c>
      <c r="N374" s="115" t="s">
        <v>344</v>
      </c>
      <c r="O374" s="128">
        <v>4</v>
      </c>
      <c r="P374" s="128"/>
      <c r="Q374" s="128"/>
      <c r="R374" s="73"/>
      <c r="S374" s="21"/>
      <c r="T374" s="48" t="s">
        <v>430</v>
      </c>
      <c r="U374" s="46" t="s">
        <v>430</v>
      </c>
      <c r="V374" s="71" t="s">
        <v>430</v>
      </c>
      <c r="W374" s="72" t="s">
        <v>39</v>
      </c>
    </row>
    <row r="375" spans="1:23" s="84" customFormat="1" ht="23.25" customHeight="1">
      <c r="A375" s="26" t="s">
        <v>430</v>
      </c>
      <c r="B375" s="107" t="s">
        <v>233</v>
      </c>
      <c r="C375" s="108" t="s">
        <v>604</v>
      </c>
      <c r="D375" s="17" t="s">
        <v>54</v>
      </c>
      <c r="E375" s="24" t="s">
        <v>222</v>
      </c>
      <c r="F375" s="109" t="s">
        <v>234</v>
      </c>
      <c r="G375" s="109" t="s">
        <v>23</v>
      </c>
      <c r="H375" s="126">
        <v>7334000</v>
      </c>
      <c r="I375" s="77">
        <v>7334000</v>
      </c>
      <c r="J375" s="68">
        <v>0.02</v>
      </c>
      <c r="K375" s="33">
        <v>146680</v>
      </c>
      <c r="L375" s="18">
        <v>46005</v>
      </c>
      <c r="M375" s="18">
        <v>46015</v>
      </c>
      <c r="N375" s="115" t="s">
        <v>344</v>
      </c>
      <c r="O375" s="128">
        <v>11</v>
      </c>
      <c r="P375" s="128"/>
      <c r="Q375" s="128"/>
      <c r="R375" s="73"/>
      <c r="S375" s="21"/>
      <c r="T375" s="48" t="s">
        <v>430</v>
      </c>
      <c r="U375" s="46" t="s">
        <v>430</v>
      </c>
      <c r="V375" s="71" t="s">
        <v>430</v>
      </c>
      <c r="W375" s="72" t="s">
        <v>39</v>
      </c>
    </row>
    <row r="376" spans="1:23" s="84" customFormat="1" ht="23.25" customHeight="1">
      <c r="A376" s="26" t="s">
        <v>430</v>
      </c>
      <c r="B376" s="107" t="s">
        <v>226</v>
      </c>
      <c r="C376" s="108" t="s">
        <v>602</v>
      </c>
      <c r="D376" s="17" t="s">
        <v>54</v>
      </c>
      <c r="E376" s="24" t="s">
        <v>227</v>
      </c>
      <c r="F376" s="109" t="s">
        <v>228</v>
      </c>
      <c r="G376" s="109" t="s">
        <v>23</v>
      </c>
      <c r="H376" s="126">
        <v>740300</v>
      </c>
      <c r="I376" s="77">
        <v>740300</v>
      </c>
      <c r="J376" s="68">
        <v>0.02</v>
      </c>
      <c r="K376" s="33">
        <v>14806</v>
      </c>
      <c r="L376" s="18">
        <v>46006</v>
      </c>
      <c r="M376" s="18">
        <v>46016</v>
      </c>
      <c r="N376" s="115" t="s">
        <v>344</v>
      </c>
      <c r="O376" s="128">
        <v>1</v>
      </c>
      <c r="P376" s="128"/>
      <c r="Q376" s="128"/>
      <c r="R376" s="73"/>
      <c r="S376" s="21"/>
      <c r="T376" s="48" t="s">
        <v>430</v>
      </c>
      <c r="U376" s="46" t="s">
        <v>430</v>
      </c>
      <c r="V376" s="71" t="s">
        <v>430</v>
      </c>
      <c r="W376" s="72" t="s">
        <v>39</v>
      </c>
    </row>
    <row r="377" spans="1:23" s="84" customFormat="1" ht="23.25" customHeight="1">
      <c r="A377" s="26" t="s">
        <v>430</v>
      </c>
      <c r="B377" s="107" t="s">
        <v>85</v>
      </c>
      <c r="C377" s="108" t="s">
        <v>225</v>
      </c>
      <c r="D377" s="17" t="s">
        <v>54</v>
      </c>
      <c r="E377" s="24" t="s">
        <v>221</v>
      </c>
      <c r="F377" s="109" t="s">
        <v>86</v>
      </c>
      <c r="G377" s="109" t="s">
        <v>23</v>
      </c>
      <c r="H377" s="126">
        <v>2929240</v>
      </c>
      <c r="I377" s="77">
        <v>2929240</v>
      </c>
      <c r="J377" s="68">
        <v>0.2</v>
      </c>
      <c r="K377" s="33">
        <v>585848</v>
      </c>
      <c r="L377" s="18">
        <v>46007</v>
      </c>
      <c r="M377" s="18">
        <v>46017</v>
      </c>
      <c r="N377" s="115" t="s">
        <v>344</v>
      </c>
      <c r="O377" s="128">
        <v>2</v>
      </c>
      <c r="P377" s="128"/>
      <c r="Q377" s="128"/>
      <c r="R377" s="73"/>
      <c r="S377" s="21"/>
      <c r="T377" s="48" t="s">
        <v>430</v>
      </c>
      <c r="U377" s="46" t="s">
        <v>430</v>
      </c>
      <c r="V377" s="71" t="s">
        <v>430</v>
      </c>
      <c r="W377" s="72" t="s">
        <v>39</v>
      </c>
    </row>
    <row r="378" spans="1:23" s="84" customFormat="1" ht="23.25" customHeight="1">
      <c r="A378" s="26" t="s">
        <v>430</v>
      </c>
      <c r="B378" s="107" t="s">
        <v>229</v>
      </c>
      <c r="C378" s="108" t="s">
        <v>603</v>
      </c>
      <c r="D378" s="17" t="s">
        <v>54</v>
      </c>
      <c r="E378" s="24" t="s">
        <v>227</v>
      </c>
      <c r="F378" s="109" t="s">
        <v>230</v>
      </c>
      <c r="G378" s="109" t="s">
        <v>23</v>
      </c>
      <c r="H378" s="126">
        <v>2125000</v>
      </c>
      <c r="I378" s="77">
        <v>2125000</v>
      </c>
      <c r="J378" s="68">
        <v>0.02</v>
      </c>
      <c r="K378" s="33">
        <v>42500</v>
      </c>
      <c r="L378" s="18">
        <v>46007</v>
      </c>
      <c r="M378" s="18">
        <v>46017</v>
      </c>
      <c r="N378" s="115" t="s">
        <v>344</v>
      </c>
      <c r="O378" s="128">
        <v>10</v>
      </c>
      <c r="P378" s="128"/>
      <c r="Q378" s="128"/>
      <c r="R378" s="73"/>
      <c r="S378" s="21"/>
      <c r="T378" s="48" t="s">
        <v>430</v>
      </c>
      <c r="U378" s="46" t="s">
        <v>430</v>
      </c>
      <c r="V378" s="71" t="s">
        <v>430</v>
      </c>
      <c r="W378" s="72" t="s">
        <v>39</v>
      </c>
    </row>
    <row r="379" spans="1:23" s="84" customFormat="1" ht="23.25" customHeight="1">
      <c r="A379" s="26" t="s">
        <v>430</v>
      </c>
      <c r="B379" s="107" t="s">
        <v>231</v>
      </c>
      <c r="C379" s="108" t="s">
        <v>490</v>
      </c>
      <c r="D379" s="17" t="s">
        <v>54</v>
      </c>
      <c r="E379" s="24" t="s">
        <v>227</v>
      </c>
      <c r="F379" s="109" t="s">
        <v>232</v>
      </c>
      <c r="G379" s="109" t="s">
        <v>23</v>
      </c>
      <c r="H379" s="126">
        <v>1903400</v>
      </c>
      <c r="I379" s="77">
        <v>1903400</v>
      </c>
      <c r="J379" s="68">
        <v>0.02</v>
      </c>
      <c r="K379" s="33">
        <v>38068</v>
      </c>
      <c r="L379" s="18">
        <v>46007</v>
      </c>
      <c r="M379" s="18">
        <v>46017</v>
      </c>
      <c r="N379" s="115" t="s">
        <v>344</v>
      </c>
      <c r="O379" s="128">
        <v>6</v>
      </c>
      <c r="P379" s="128"/>
      <c r="Q379" s="128"/>
      <c r="R379" s="73"/>
      <c r="S379" s="21"/>
      <c r="T379" s="48" t="s">
        <v>430</v>
      </c>
      <c r="U379" s="46" t="s">
        <v>430</v>
      </c>
      <c r="V379" s="71" t="s">
        <v>430</v>
      </c>
      <c r="W379" s="72" t="s">
        <v>39</v>
      </c>
    </row>
    <row r="380" spans="1:23" s="84" customFormat="1" ht="23.25" customHeight="1">
      <c r="A380" s="26" t="s">
        <v>430</v>
      </c>
      <c r="B380" s="107" t="s">
        <v>229</v>
      </c>
      <c r="C380" s="108" t="s">
        <v>603</v>
      </c>
      <c r="D380" s="17" t="s">
        <v>54</v>
      </c>
      <c r="E380" s="24" t="s">
        <v>227</v>
      </c>
      <c r="F380" s="109" t="s">
        <v>230</v>
      </c>
      <c r="G380" s="109" t="s">
        <v>23</v>
      </c>
      <c r="H380" s="126">
        <v>981800</v>
      </c>
      <c r="I380" s="77">
        <v>981800</v>
      </c>
      <c r="J380" s="68">
        <v>0.02</v>
      </c>
      <c r="K380" s="33">
        <v>19636</v>
      </c>
      <c r="L380" s="18">
        <v>46008</v>
      </c>
      <c r="M380" s="18">
        <v>46018</v>
      </c>
      <c r="N380" s="115" t="s">
        <v>344</v>
      </c>
      <c r="O380" s="128">
        <v>4</v>
      </c>
      <c r="P380" s="128"/>
      <c r="Q380" s="128"/>
      <c r="R380" s="73"/>
      <c r="S380" s="21"/>
      <c r="T380" s="48" t="s">
        <v>430</v>
      </c>
      <c r="U380" s="48" t="s">
        <v>430</v>
      </c>
      <c r="V380" s="71" t="s">
        <v>430</v>
      </c>
      <c r="W380" s="72" t="s">
        <v>39</v>
      </c>
    </row>
    <row r="381" spans="1:23" s="84" customFormat="1" ht="23.25" customHeight="1">
      <c r="A381" s="26" t="s">
        <v>430</v>
      </c>
      <c r="B381" s="107" t="s">
        <v>87</v>
      </c>
      <c r="C381" s="108" t="s">
        <v>225</v>
      </c>
      <c r="D381" s="17" t="s">
        <v>54</v>
      </c>
      <c r="E381" s="24" t="s">
        <v>221</v>
      </c>
      <c r="F381" s="109" t="s">
        <v>88</v>
      </c>
      <c r="G381" s="109" t="s">
        <v>23</v>
      </c>
      <c r="H381" s="126">
        <v>2929240</v>
      </c>
      <c r="I381" s="77">
        <v>2929240</v>
      </c>
      <c r="J381" s="68">
        <v>0.2</v>
      </c>
      <c r="K381" s="33">
        <v>585848</v>
      </c>
      <c r="L381" s="18">
        <v>46012</v>
      </c>
      <c r="M381" s="18">
        <v>46022</v>
      </c>
      <c r="N381" s="115" t="s">
        <v>344</v>
      </c>
      <c r="O381" s="128">
        <v>2</v>
      </c>
      <c r="P381" s="128"/>
      <c r="Q381" s="128"/>
      <c r="R381" s="73"/>
      <c r="S381" s="21"/>
      <c r="T381" s="48" t="s">
        <v>430</v>
      </c>
      <c r="U381" s="46" t="s">
        <v>430</v>
      </c>
      <c r="V381" s="71" t="s">
        <v>430</v>
      </c>
      <c r="W381" s="72" t="s">
        <v>39</v>
      </c>
    </row>
    <row r="382" spans="1:23" s="84" customFormat="1" ht="23.25" customHeight="1">
      <c r="A382" s="26" t="s">
        <v>430</v>
      </c>
      <c r="B382" s="107" t="s">
        <v>235</v>
      </c>
      <c r="C382" s="108" t="s">
        <v>490</v>
      </c>
      <c r="D382" s="17" t="s">
        <v>54</v>
      </c>
      <c r="E382" s="24" t="s">
        <v>222</v>
      </c>
      <c r="F382" s="109" t="s">
        <v>236</v>
      </c>
      <c r="G382" s="109" t="s">
        <v>23</v>
      </c>
      <c r="H382" s="126">
        <v>901000</v>
      </c>
      <c r="I382" s="77">
        <v>901000</v>
      </c>
      <c r="J382" s="68">
        <v>0.02</v>
      </c>
      <c r="K382" s="33">
        <v>18020</v>
      </c>
      <c r="L382" s="18">
        <v>46012</v>
      </c>
      <c r="M382" s="18">
        <v>46022</v>
      </c>
      <c r="N382" s="115" t="s">
        <v>344</v>
      </c>
      <c r="O382" s="128">
        <v>2</v>
      </c>
      <c r="P382" s="128"/>
      <c r="Q382" s="128"/>
      <c r="R382" s="73"/>
      <c r="S382" s="21"/>
      <c r="T382" s="48" t="s">
        <v>430</v>
      </c>
      <c r="U382" s="46" t="s">
        <v>430</v>
      </c>
      <c r="V382" s="71" t="s">
        <v>430</v>
      </c>
      <c r="W382" s="72" t="s">
        <v>39</v>
      </c>
    </row>
    <row r="383" spans="1:23" s="84" customFormat="1" ht="23.25" customHeight="1">
      <c r="A383" s="26" t="s">
        <v>430</v>
      </c>
      <c r="B383" s="107" t="s">
        <v>231</v>
      </c>
      <c r="C383" s="108" t="s">
        <v>490</v>
      </c>
      <c r="D383" s="17" t="s">
        <v>54</v>
      </c>
      <c r="E383" s="24" t="s">
        <v>227</v>
      </c>
      <c r="F383" s="109" t="s">
        <v>232</v>
      </c>
      <c r="G383" s="109" t="s">
        <v>23</v>
      </c>
      <c r="H383" s="126">
        <v>2659100</v>
      </c>
      <c r="I383" s="77">
        <v>2659100</v>
      </c>
      <c r="J383" s="68">
        <v>0.02</v>
      </c>
      <c r="K383" s="33">
        <v>53182</v>
      </c>
      <c r="L383" s="18">
        <v>46013</v>
      </c>
      <c r="M383" s="18">
        <v>46023</v>
      </c>
      <c r="N383" s="115" t="s">
        <v>344</v>
      </c>
      <c r="O383" s="128">
        <v>1</v>
      </c>
      <c r="P383" s="128"/>
      <c r="Q383" s="128"/>
      <c r="R383" s="73"/>
      <c r="S383" s="21"/>
      <c r="T383" s="48" t="s">
        <v>430</v>
      </c>
      <c r="U383" s="46" t="s">
        <v>430</v>
      </c>
      <c r="V383" s="71" t="s">
        <v>430</v>
      </c>
      <c r="W383" s="72" t="s">
        <v>39</v>
      </c>
    </row>
    <row r="384" spans="1:23" s="84" customFormat="1" ht="23.25" customHeight="1">
      <c r="A384" s="26" t="s">
        <v>430</v>
      </c>
      <c r="B384" s="107" t="s">
        <v>233</v>
      </c>
      <c r="C384" s="108" t="s">
        <v>604</v>
      </c>
      <c r="D384" s="17" t="s">
        <v>54</v>
      </c>
      <c r="E384" s="24" t="s">
        <v>222</v>
      </c>
      <c r="F384" s="109" t="s">
        <v>234</v>
      </c>
      <c r="G384" s="109" t="s">
        <v>23</v>
      </c>
      <c r="H384" s="126">
        <v>307600</v>
      </c>
      <c r="I384" s="77">
        <v>307600</v>
      </c>
      <c r="J384" s="68">
        <v>0.02</v>
      </c>
      <c r="K384" s="33">
        <v>6152</v>
      </c>
      <c r="L384" s="18">
        <v>46013</v>
      </c>
      <c r="M384" s="18">
        <v>46023</v>
      </c>
      <c r="N384" s="115" t="s">
        <v>344</v>
      </c>
      <c r="O384" s="128">
        <v>4</v>
      </c>
      <c r="P384" s="128"/>
      <c r="Q384" s="128"/>
      <c r="R384" s="73"/>
      <c r="S384" s="21"/>
      <c r="T384" s="48" t="s">
        <v>430</v>
      </c>
      <c r="U384" s="46" t="s">
        <v>430</v>
      </c>
      <c r="V384" s="71" t="s">
        <v>430</v>
      </c>
      <c r="W384" s="72" t="s">
        <v>39</v>
      </c>
    </row>
    <row r="385" spans="1:23" s="84" customFormat="1" ht="23.25" customHeight="1">
      <c r="A385" s="26" t="s">
        <v>430</v>
      </c>
      <c r="B385" s="107" t="s">
        <v>229</v>
      </c>
      <c r="C385" s="108" t="s">
        <v>603</v>
      </c>
      <c r="D385" s="17" t="s">
        <v>54</v>
      </c>
      <c r="E385" s="24" t="s">
        <v>227</v>
      </c>
      <c r="F385" s="109" t="s">
        <v>230</v>
      </c>
      <c r="G385" s="109" t="s">
        <v>23</v>
      </c>
      <c r="H385" s="126">
        <v>481500</v>
      </c>
      <c r="I385" s="77">
        <v>481500</v>
      </c>
      <c r="J385" s="68">
        <v>0.02</v>
      </c>
      <c r="K385" s="33">
        <v>9630</v>
      </c>
      <c r="L385" s="18">
        <v>46014</v>
      </c>
      <c r="M385" s="18">
        <v>46024</v>
      </c>
      <c r="N385" s="115" t="s">
        <v>344</v>
      </c>
      <c r="O385" s="128">
        <v>1</v>
      </c>
      <c r="P385" s="128"/>
      <c r="Q385" s="128"/>
      <c r="R385" s="73"/>
      <c r="S385" s="21"/>
      <c r="T385" s="48" t="s">
        <v>430</v>
      </c>
      <c r="U385" s="46" t="s">
        <v>430</v>
      </c>
      <c r="V385" s="71" t="s">
        <v>430</v>
      </c>
      <c r="W385" s="72" t="s">
        <v>39</v>
      </c>
    </row>
    <row r="386" spans="1:23" s="84" customFormat="1" ht="23.25" customHeight="1">
      <c r="A386" s="26" t="s">
        <v>430</v>
      </c>
      <c r="B386" s="107" t="s">
        <v>239</v>
      </c>
      <c r="C386" s="108" t="s">
        <v>101</v>
      </c>
      <c r="D386" s="17" t="s">
        <v>54</v>
      </c>
      <c r="E386" s="24" t="s">
        <v>222</v>
      </c>
      <c r="F386" s="109" t="s">
        <v>240</v>
      </c>
      <c r="G386" s="109" t="s">
        <v>23</v>
      </c>
      <c r="H386" s="126">
        <v>4045500</v>
      </c>
      <c r="I386" s="77">
        <v>4045500</v>
      </c>
      <c r="J386" s="68">
        <v>0.02</v>
      </c>
      <c r="K386" s="33">
        <v>80910</v>
      </c>
      <c r="L386" s="18">
        <v>46014</v>
      </c>
      <c r="M386" s="18">
        <v>46024</v>
      </c>
      <c r="N386" s="115" t="s">
        <v>344</v>
      </c>
      <c r="O386" s="128">
        <v>1</v>
      </c>
      <c r="P386" s="128"/>
      <c r="Q386" s="128"/>
      <c r="R386" s="73"/>
      <c r="S386" s="21"/>
      <c r="T386" s="48" t="s">
        <v>430</v>
      </c>
      <c r="U386" s="48" t="s">
        <v>430</v>
      </c>
      <c r="V386" s="71" t="s">
        <v>430</v>
      </c>
      <c r="W386" s="72" t="s">
        <v>39</v>
      </c>
    </row>
    <row r="387" spans="1:23" s="84" customFormat="1" ht="23.25" customHeight="1">
      <c r="A387" s="26" t="s">
        <v>430</v>
      </c>
      <c r="B387" s="107" t="s">
        <v>331</v>
      </c>
      <c r="C387" s="108" t="s">
        <v>330</v>
      </c>
      <c r="D387" s="17" t="s">
        <v>54</v>
      </c>
      <c r="E387" s="24" t="s">
        <v>222</v>
      </c>
      <c r="F387" s="109" t="s">
        <v>332</v>
      </c>
      <c r="G387" s="109" t="s">
        <v>23</v>
      </c>
      <c r="H387" s="126">
        <v>943200</v>
      </c>
      <c r="I387" s="77">
        <v>943200</v>
      </c>
      <c r="J387" s="68">
        <v>0.02</v>
      </c>
      <c r="K387" s="33">
        <v>18864</v>
      </c>
      <c r="L387" s="18">
        <v>46017</v>
      </c>
      <c r="M387" s="18">
        <v>46027</v>
      </c>
      <c r="N387" s="115" t="s">
        <v>344</v>
      </c>
      <c r="O387" s="128">
        <v>2</v>
      </c>
      <c r="P387" s="128"/>
      <c r="Q387" s="128"/>
      <c r="R387" s="73"/>
      <c r="S387" s="21"/>
      <c r="T387" s="48" t="s">
        <v>430</v>
      </c>
      <c r="U387" s="46" t="s">
        <v>430</v>
      </c>
      <c r="V387" s="71" t="s">
        <v>430</v>
      </c>
      <c r="W387" s="72" t="s">
        <v>39</v>
      </c>
    </row>
    <row r="388" spans="1:23" s="84" customFormat="1" ht="23.25" customHeight="1">
      <c r="A388" s="26" t="s">
        <v>430</v>
      </c>
      <c r="B388" s="107" t="s">
        <v>233</v>
      </c>
      <c r="C388" s="108" t="s">
        <v>604</v>
      </c>
      <c r="D388" s="17" t="s">
        <v>54</v>
      </c>
      <c r="E388" s="24" t="s">
        <v>222</v>
      </c>
      <c r="F388" s="109" t="s">
        <v>234</v>
      </c>
      <c r="G388" s="109" t="s">
        <v>23</v>
      </c>
      <c r="H388" s="126">
        <v>1103100</v>
      </c>
      <c r="I388" s="77">
        <v>1103100</v>
      </c>
      <c r="J388" s="68">
        <v>0.02</v>
      </c>
      <c r="K388" s="33">
        <v>22062</v>
      </c>
      <c r="L388" s="18">
        <v>46018</v>
      </c>
      <c r="M388" s="18">
        <v>46028</v>
      </c>
      <c r="N388" s="115" t="s">
        <v>344</v>
      </c>
      <c r="O388" s="128">
        <v>1</v>
      </c>
      <c r="P388" s="128"/>
      <c r="Q388" s="128"/>
      <c r="R388" s="73"/>
      <c r="S388" s="21"/>
      <c r="T388" s="48" t="s">
        <v>430</v>
      </c>
      <c r="U388" s="46" t="s">
        <v>430</v>
      </c>
      <c r="V388" s="71" t="s">
        <v>430</v>
      </c>
      <c r="W388" s="72" t="s">
        <v>39</v>
      </c>
    </row>
    <row r="389" spans="1:23" s="84" customFormat="1" ht="23.25" customHeight="1">
      <c r="A389" s="26" t="s">
        <v>430</v>
      </c>
      <c r="B389" s="107" t="s">
        <v>331</v>
      </c>
      <c r="C389" s="108" t="s">
        <v>330</v>
      </c>
      <c r="D389" s="17" t="s">
        <v>54</v>
      </c>
      <c r="E389" s="24" t="s">
        <v>222</v>
      </c>
      <c r="F389" s="109" t="s">
        <v>332</v>
      </c>
      <c r="G389" s="109" t="s">
        <v>23</v>
      </c>
      <c r="H389" s="126">
        <v>34633200</v>
      </c>
      <c r="I389" s="77">
        <v>34633200</v>
      </c>
      <c r="J389" s="68">
        <v>0.02</v>
      </c>
      <c r="K389" s="33">
        <v>692664</v>
      </c>
      <c r="L389" s="18">
        <v>46018</v>
      </c>
      <c r="M389" s="18">
        <v>46028</v>
      </c>
      <c r="N389" s="115" t="s">
        <v>344</v>
      </c>
      <c r="O389" s="128">
        <v>34</v>
      </c>
      <c r="P389" s="128"/>
      <c r="Q389" s="128"/>
      <c r="R389" s="73"/>
      <c r="S389" s="21"/>
      <c r="T389" s="48" t="s">
        <v>430</v>
      </c>
      <c r="U389" s="46" t="s">
        <v>430</v>
      </c>
      <c r="V389" s="71" t="s">
        <v>430</v>
      </c>
      <c r="W389" s="72" t="s">
        <v>39</v>
      </c>
    </row>
    <row r="390" spans="1:23" s="84" customFormat="1" ht="23.25" customHeight="1">
      <c r="A390" s="26" t="s">
        <v>430</v>
      </c>
      <c r="B390" s="107" t="s">
        <v>341</v>
      </c>
      <c r="C390" s="108" t="s">
        <v>492</v>
      </c>
      <c r="D390" s="17" t="s">
        <v>54</v>
      </c>
      <c r="E390" s="24" t="s">
        <v>222</v>
      </c>
      <c r="F390" s="109" t="s">
        <v>342</v>
      </c>
      <c r="G390" s="109" t="s">
        <v>23</v>
      </c>
      <c r="H390" s="126">
        <v>1531800</v>
      </c>
      <c r="I390" s="77">
        <v>1531800</v>
      </c>
      <c r="J390" s="68">
        <v>0.02</v>
      </c>
      <c r="K390" s="33">
        <v>30636</v>
      </c>
      <c r="L390" s="18">
        <v>46018</v>
      </c>
      <c r="M390" s="18">
        <v>46028</v>
      </c>
      <c r="N390" s="115" t="s">
        <v>344</v>
      </c>
      <c r="O390" s="128">
        <v>2</v>
      </c>
      <c r="P390" s="128"/>
      <c r="Q390" s="128"/>
      <c r="R390" s="73"/>
      <c r="S390" s="21"/>
      <c r="T390" s="48" t="s">
        <v>430</v>
      </c>
      <c r="U390" s="46" t="s">
        <v>430</v>
      </c>
      <c r="V390" s="71" t="s">
        <v>430</v>
      </c>
      <c r="W390" s="72" t="s">
        <v>39</v>
      </c>
    </row>
    <row r="391" spans="1:23" s="84" customFormat="1" ht="23.25" customHeight="1">
      <c r="A391" s="26" t="s">
        <v>430</v>
      </c>
      <c r="B391" s="107" t="s">
        <v>87</v>
      </c>
      <c r="C391" s="108" t="s">
        <v>225</v>
      </c>
      <c r="D391" s="17" t="s">
        <v>54</v>
      </c>
      <c r="E391" s="24" t="s">
        <v>221</v>
      </c>
      <c r="F391" s="109" t="s">
        <v>88</v>
      </c>
      <c r="G391" s="109" t="s">
        <v>23</v>
      </c>
      <c r="H391" s="126">
        <v>1464620</v>
      </c>
      <c r="I391" s="77">
        <v>1464620</v>
      </c>
      <c r="J391" s="68">
        <v>0.2</v>
      </c>
      <c r="K391" s="33">
        <v>292924</v>
      </c>
      <c r="L391" s="18">
        <v>46021</v>
      </c>
      <c r="M391" s="18">
        <v>46031</v>
      </c>
      <c r="N391" s="115" t="s">
        <v>344</v>
      </c>
      <c r="O391" s="128">
        <v>1</v>
      </c>
      <c r="P391" s="128"/>
      <c r="Q391" s="128"/>
      <c r="R391" s="73"/>
      <c r="S391" s="21"/>
      <c r="T391" s="48" t="s">
        <v>430</v>
      </c>
      <c r="U391" s="46" t="s">
        <v>430</v>
      </c>
      <c r="V391" s="71" t="s">
        <v>430</v>
      </c>
      <c r="W391" s="72" t="s">
        <v>39</v>
      </c>
    </row>
    <row r="392" spans="1:23" s="84" customFormat="1" ht="23.25" customHeight="1">
      <c r="A392" s="26" t="s">
        <v>430</v>
      </c>
      <c r="B392" s="107" t="s">
        <v>341</v>
      </c>
      <c r="C392" s="108" t="s">
        <v>492</v>
      </c>
      <c r="D392" s="17" t="s">
        <v>54</v>
      </c>
      <c r="E392" s="24" t="s">
        <v>222</v>
      </c>
      <c r="F392" s="109" t="s">
        <v>342</v>
      </c>
      <c r="G392" s="109" t="s">
        <v>23</v>
      </c>
      <c r="H392" s="126">
        <v>765900</v>
      </c>
      <c r="I392" s="77">
        <v>765900</v>
      </c>
      <c r="J392" s="68">
        <v>0.02</v>
      </c>
      <c r="K392" s="33">
        <v>15318</v>
      </c>
      <c r="L392" s="18">
        <v>46021</v>
      </c>
      <c r="M392" s="18">
        <v>46031</v>
      </c>
      <c r="N392" s="115" t="s">
        <v>344</v>
      </c>
      <c r="O392" s="128">
        <v>1</v>
      </c>
      <c r="P392" s="128"/>
      <c r="Q392" s="128"/>
      <c r="R392" s="73"/>
      <c r="S392" s="21"/>
      <c r="T392" s="48" t="s">
        <v>430</v>
      </c>
      <c r="U392" s="46" t="s">
        <v>430</v>
      </c>
      <c r="V392" s="71" t="s">
        <v>430</v>
      </c>
      <c r="W392" s="72" t="s">
        <v>39</v>
      </c>
    </row>
    <row r="393" spans="1:23" s="84" customFormat="1" ht="23.25" customHeight="1">
      <c r="A393" s="26" t="s">
        <v>430</v>
      </c>
      <c r="B393" s="107" t="s">
        <v>229</v>
      </c>
      <c r="C393" s="108" t="s">
        <v>603</v>
      </c>
      <c r="D393" s="17" t="s">
        <v>54</v>
      </c>
      <c r="E393" s="24" t="s">
        <v>227</v>
      </c>
      <c r="F393" s="109" t="s">
        <v>230</v>
      </c>
      <c r="G393" s="109" t="s">
        <v>23</v>
      </c>
      <c r="H393" s="126">
        <v>740300</v>
      </c>
      <c r="I393" s="77">
        <v>740300</v>
      </c>
      <c r="J393" s="68">
        <v>0.02</v>
      </c>
      <c r="K393" s="33">
        <v>14806</v>
      </c>
      <c r="L393" s="18">
        <v>46025</v>
      </c>
      <c r="M393" s="18">
        <v>46035</v>
      </c>
      <c r="N393" s="115" t="s">
        <v>344</v>
      </c>
      <c r="O393" s="128">
        <v>1</v>
      </c>
      <c r="P393" s="128"/>
      <c r="Q393" s="128"/>
      <c r="R393" s="73"/>
      <c r="S393" s="21"/>
      <c r="T393" s="48" t="s">
        <v>430</v>
      </c>
      <c r="U393" s="46" t="s">
        <v>430</v>
      </c>
      <c r="V393" s="71" t="s">
        <v>430</v>
      </c>
      <c r="W393" s="72" t="s">
        <v>39</v>
      </c>
    </row>
    <row r="394" spans="1:23" s="84" customFormat="1" ht="23.25" customHeight="1">
      <c r="A394" s="26" t="s">
        <v>430</v>
      </c>
      <c r="B394" s="107" t="s">
        <v>493</v>
      </c>
      <c r="C394" s="108" t="s">
        <v>75</v>
      </c>
      <c r="D394" s="17" t="s">
        <v>54</v>
      </c>
      <c r="E394" s="24" t="s">
        <v>222</v>
      </c>
      <c r="F394" s="109" t="s">
        <v>494</v>
      </c>
      <c r="G394" s="109" t="s">
        <v>23</v>
      </c>
      <c r="H394" s="126">
        <v>23400100</v>
      </c>
      <c r="I394" s="77">
        <v>23400100</v>
      </c>
      <c r="J394" s="68">
        <v>0.02</v>
      </c>
      <c r="K394" s="33">
        <v>468002</v>
      </c>
      <c r="L394" s="18">
        <v>46028</v>
      </c>
      <c r="M394" s="18">
        <v>46038</v>
      </c>
      <c r="N394" s="115" t="s">
        <v>344</v>
      </c>
      <c r="O394" s="128">
        <v>11</v>
      </c>
      <c r="P394" s="128"/>
      <c r="Q394" s="128"/>
      <c r="R394" s="73"/>
      <c r="S394" s="21"/>
      <c r="T394" s="48" t="s">
        <v>430</v>
      </c>
      <c r="U394" s="46" t="s">
        <v>430</v>
      </c>
      <c r="V394" s="71" t="s">
        <v>430</v>
      </c>
      <c r="W394" s="72" t="s">
        <v>39</v>
      </c>
    </row>
    <row r="395" spans="1:23" s="84" customFormat="1" ht="23.25" customHeight="1">
      <c r="A395" s="26" t="s">
        <v>430</v>
      </c>
      <c r="B395" s="107" t="s">
        <v>231</v>
      </c>
      <c r="C395" s="108" t="s">
        <v>490</v>
      </c>
      <c r="D395" s="17" t="s">
        <v>54</v>
      </c>
      <c r="E395" s="24" t="s">
        <v>227</v>
      </c>
      <c r="F395" s="109" t="s">
        <v>232</v>
      </c>
      <c r="G395" s="109" t="s">
        <v>23</v>
      </c>
      <c r="H395" s="126">
        <v>1033600</v>
      </c>
      <c r="I395" s="77">
        <v>1033600</v>
      </c>
      <c r="J395" s="68">
        <v>0.02</v>
      </c>
      <c r="K395" s="33">
        <v>20672</v>
      </c>
      <c r="L395" s="18">
        <v>46029</v>
      </c>
      <c r="M395" s="18">
        <v>46039</v>
      </c>
      <c r="N395" s="115" t="s">
        <v>344</v>
      </c>
      <c r="O395" s="128">
        <v>1</v>
      </c>
      <c r="P395" s="128"/>
      <c r="Q395" s="128"/>
      <c r="R395" s="73"/>
      <c r="S395" s="21"/>
      <c r="T395" s="48" t="s">
        <v>430</v>
      </c>
      <c r="U395" s="46" t="s">
        <v>430</v>
      </c>
      <c r="V395" s="71" t="s">
        <v>430</v>
      </c>
      <c r="W395" s="72" t="s">
        <v>39</v>
      </c>
    </row>
    <row r="396" spans="1:23" s="84" customFormat="1" ht="23.25" customHeight="1">
      <c r="A396" s="26" t="s">
        <v>430</v>
      </c>
      <c r="B396" s="107" t="s">
        <v>239</v>
      </c>
      <c r="C396" s="108" t="s">
        <v>101</v>
      </c>
      <c r="D396" s="17" t="s">
        <v>54</v>
      </c>
      <c r="E396" s="24" t="s">
        <v>222</v>
      </c>
      <c r="F396" s="109" t="s">
        <v>240</v>
      </c>
      <c r="G396" s="109" t="s">
        <v>23</v>
      </c>
      <c r="H396" s="126">
        <v>150892100</v>
      </c>
      <c r="I396" s="77">
        <v>150892100</v>
      </c>
      <c r="J396" s="68">
        <v>0.02</v>
      </c>
      <c r="K396" s="33">
        <v>3017842</v>
      </c>
      <c r="L396" s="18">
        <v>46029</v>
      </c>
      <c r="M396" s="18">
        <v>46039</v>
      </c>
      <c r="N396" s="115" t="s">
        <v>344</v>
      </c>
      <c r="O396" s="128">
        <v>75</v>
      </c>
      <c r="P396" s="128"/>
      <c r="Q396" s="128"/>
      <c r="R396" s="73"/>
      <c r="S396" s="21"/>
      <c r="T396" s="48" t="s">
        <v>430</v>
      </c>
      <c r="U396" s="46" t="s">
        <v>430</v>
      </c>
      <c r="V396" s="71" t="s">
        <v>430</v>
      </c>
      <c r="W396" s="72" t="s">
        <v>39</v>
      </c>
    </row>
    <row r="397" spans="1:23" s="84" customFormat="1" ht="23.25" customHeight="1">
      <c r="A397" s="26" t="s">
        <v>430</v>
      </c>
      <c r="B397" s="107" t="s">
        <v>233</v>
      </c>
      <c r="C397" s="108" t="s">
        <v>604</v>
      </c>
      <c r="D397" s="17" t="s">
        <v>54</v>
      </c>
      <c r="E397" s="24" t="s">
        <v>222</v>
      </c>
      <c r="F397" s="109" t="s">
        <v>234</v>
      </c>
      <c r="G397" s="109" t="s">
        <v>23</v>
      </c>
      <c r="H397" s="126">
        <v>2237600</v>
      </c>
      <c r="I397" s="77">
        <v>2237600</v>
      </c>
      <c r="J397" s="68">
        <v>0.02</v>
      </c>
      <c r="K397" s="33">
        <v>44752</v>
      </c>
      <c r="L397" s="18">
        <v>46034</v>
      </c>
      <c r="M397" s="18">
        <v>46044</v>
      </c>
      <c r="N397" s="115" t="s">
        <v>344</v>
      </c>
      <c r="O397" s="128">
        <v>10</v>
      </c>
      <c r="P397" s="128"/>
      <c r="Q397" s="128"/>
      <c r="R397" s="73"/>
      <c r="S397" s="21"/>
      <c r="T397" s="48" t="s">
        <v>430</v>
      </c>
      <c r="U397" s="46" t="s">
        <v>430</v>
      </c>
      <c r="V397" s="71" t="s">
        <v>430</v>
      </c>
      <c r="W397" s="72" t="s">
        <v>39</v>
      </c>
    </row>
    <row r="398" spans="1:23" s="84" customFormat="1" ht="23.25" customHeight="1">
      <c r="A398" s="26" t="s">
        <v>430</v>
      </c>
      <c r="B398" s="107" t="s">
        <v>233</v>
      </c>
      <c r="C398" s="108" t="s">
        <v>604</v>
      </c>
      <c r="D398" s="17" t="s">
        <v>54</v>
      </c>
      <c r="E398" s="24" t="s">
        <v>222</v>
      </c>
      <c r="F398" s="109" t="s">
        <v>234</v>
      </c>
      <c r="G398" s="109" t="s">
        <v>23</v>
      </c>
      <c r="H398" s="126">
        <v>1026000</v>
      </c>
      <c r="I398" s="77">
        <v>1026000</v>
      </c>
      <c r="J398" s="68">
        <v>0.02</v>
      </c>
      <c r="K398" s="33">
        <v>20520</v>
      </c>
      <c r="L398" s="18">
        <v>46043</v>
      </c>
      <c r="M398" s="18">
        <v>46053</v>
      </c>
      <c r="N398" s="115" t="s">
        <v>344</v>
      </c>
      <c r="O398" s="128">
        <v>4</v>
      </c>
      <c r="P398" s="128"/>
      <c r="Q398" s="128"/>
      <c r="R398" s="73"/>
      <c r="S398" s="21"/>
      <c r="T398" s="48" t="s">
        <v>430</v>
      </c>
      <c r="U398" s="46" t="s">
        <v>430</v>
      </c>
      <c r="V398" s="71" t="s">
        <v>430</v>
      </c>
      <c r="W398" s="72" t="s">
        <v>39</v>
      </c>
    </row>
    <row r="399" spans="1:23" s="84" customFormat="1" ht="23.25" customHeight="1">
      <c r="A399" s="26" t="s">
        <v>430</v>
      </c>
      <c r="B399" s="107" t="s">
        <v>239</v>
      </c>
      <c r="C399" s="108" t="s">
        <v>101</v>
      </c>
      <c r="D399" s="17" t="s">
        <v>54</v>
      </c>
      <c r="E399" s="24" t="s">
        <v>222</v>
      </c>
      <c r="F399" s="109" t="s">
        <v>240</v>
      </c>
      <c r="G399" s="109" t="s">
        <v>23</v>
      </c>
      <c r="H399" s="126">
        <v>39069300</v>
      </c>
      <c r="I399" s="77">
        <v>39069300</v>
      </c>
      <c r="J399" s="68">
        <v>0.02</v>
      </c>
      <c r="K399" s="33">
        <v>781386</v>
      </c>
      <c r="L399" s="18">
        <v>46043</v>
      </c>
      <c r="M399" s="18">
        <v>46053</v>
      </c>
      <c r="N399" s="115" t="s">
        <v>344</v>
      </c>
      <c r="O399" s="128">
        <v>38</v>
      </c>
      <c r="P399" s="128"/>
      <c r="Q399" s="128"/>
      <c r="R399" s="73"/>
      <c r="S399" s="21"/>
      <c r="T399" s="48" t="s">
        <v>430</v>
      </c>
      <c r="U399" s="46" t="s">
        <v>430</v>
      </c>
      <c r="V399" s="71" t="s">
        <v>430</v>
      </c>
      <c r="W399" s="72" t="s">
        <v>39</v>
      </c>
    </row>
    <row r="400" spans="1:23" s="84" customFormat="1" ht="23.25" customHeight="1">
      <c r="A400" s="26" t="s">
        <v>430</v>
      </c>
      <c r="B400" s="107" t="s">
        <v>185</v>
      </c>
      <c r="C400" s="108" t="s">
        <v>600</v>
      </c>
      <c r="D400" s="17" t="s">
        <v>54</v>
      </c>
      <c r="E400" s="24" t="s">
        <v>224</v>
      </c>
      <c r="F400" s="109" t="s">
        <v>186</v>
      </c>
      <c r="G400" s="109" t="s">
        <v>23</v>
      </c>
      <c r="H400" s="126">
        <v>3937400</v>
      </c>
      <c r="I400" s="77">
        <v>3937400</v>
      </c>
      <c r="J400" s="68">
        <v>0.02</v>
      </c>
      <c r="K400" s="33">
        <v>78748</v>
      </c>
      <c r="L400" s="18">
        <v>46047</v>
      </c>
      <c r="M400" s="18">
        <v>46057</v>
      </c>
      <c r="N400" s="115" t="s">
        <v>344</v>
      </c>
      <c r="O400" s="128">
        <v>2</v>
      </c>
      <c r="P400" s="128"/>
      <c r="Q400" s="128"/>
      <c r="R400" s="73"/>
      <c r="S400" s="21"/>
      <c r="T400" s="48" t="s">
        <v>430</v>
      </c>
      <c r="U400" s="48" t="s">
        <v>430</v>
      </c>
      <c r="V400" s="71" t="s">
        <v>430</v>
      </c>
      <c r="W400" s="72" t="s">
        <v>39</v>
      </c>
    </row>
    <row r="401" spans="1:23" s="84" customFormat="1" ht="23.25" customHeight="1">
      <c r="A401" s="26" t="s">
        <v>430</v>
      </c>
      <c r="B401" s="107" t="s">
        <v>331</v>
      </c>
      <c r="C401" s="108" t="s">
        <v>330</v>
      </c>
      <c r="D401" s="17" t="s">
        <v>54</v>
      </c>
      <c r="E401" s="24" t="s">
        <v>222</v>
      </c>
      <c r="F401" s="109" t="s">
        <v>332</v>
      </c>
      <c r="G401" s="109" t="s">
        <v>23</v>
      </c>
      <c r="H401" s="126">
        <v>36124500</v>
      </c>
      <c r="I401" s="77">
        <v>36124500</v>
      </c>
      <c r="J401" s="68">
        <v>0.02</v>
      </c>
      <c r="K401" s="33">
        <v>722490</v>
      </c>
      <c r="L401" s="18">
        <v>46047</v>
      </c>
      <c r="M401" s="18">
        <v>46057</v>
      </c>
      <c r="N401" s="115" t="s">
        <v>344</v>
      </c>
      <c r="O401" s="128">
        <v>44</v>
      </c>
      <c r="P401" s="128"/>
      <c r="Q401" s="128"/>
      <c r="R401" s="73"/>
      <c r="S401" s="21"/>
      <c r="T401" s="48" t="s">
        <v>430</v>
      </c>
      <c r="U401" s="46" t="s">
        <v>430</v>
      </c>
      <c r="V401" s="71" t="s">
        <v>430</v>
      </c>
      <c r="W401" s="72" t="s">
        <v>39</v>
      </c>
    </row>
    <row r="402" spans="1:23" s="84" customFormat="1" ht="23.25" customHeight="1">
      <c r="A402" s="26" t="s">
        <v>430</v>
      </c>
      <c r="B402" s="107" t="s">
        <v>233</v>
      </c>
      <c r="C402" s="108" t="s">
        <v>604</v>
      </c>
      <c r="D402" s="17" t="s">
        <v>54</v>
      </c>
      <c r="E402" s="24" t="s">
        <v>222</v>
      </c>
      <c r="F402" s="109" t="s">
        <v>234</v>
      </c>
      <c r="G402" s="109" t="s">
        <v>23</v>
      </c>
      <c r="H402" s="126">
        <v>1020100</v>
      </c>
      <c r="I402" s="77">
        <v>1020100</v>
      </c>
      <c r="J402" s="68">
        <v>0.02</v>
      </c>
      <c r="K402" s="33">
        <v>20402</v>
      </c>
      <c r="L402" s="18">
        <v>46048</v>
      </c>
      <c r="M402" s="18">
        <v>46058</v>
      </c>
      <c r="N402" s="115" t="s">
        <v>344</v>
      </c>
      <c r="O402" s="128">
        <v>5</v>
      </c>
      <c r="P402" s="128"/>
      <c r="Q402" s="128"/>
      <c r="R402" s="73"/>
      <c r="S402" s="21"/>
      <c r="T402" s="48" t="s">
        <v>430</v>
      </c>
      <c r="U402" s="46" t="s">
        <v>430</v>
      </c>
      <c r="V402" s="71" t="s">
        <v>430</v>
      </c>
      <c r="W402" s="72" t="s">
        <v>39</v>
      </c>
    </row>
    <row r="403" spans="1:23" s="84" customFormat="1" ht="23.25" customHeight="1">
      <c r="A403" s="26" t="s">
        <v>430</v>
      </c>
      <c r="B403" s="107" t="s">
        <v>231</v>
      </c>
      <c r="C403" s="108" t="s">
        <v>490</v>
      </c>
      <c r="D403" s="17" t="s">
        <v>54</v>
      </c>
      <c r="E403" s="24" t="s">
        <v>227</v>
      </c>
      <c r="F403" s="109" t="s">
        <v>232</v>
      </c>
      <c r="G403" s="109" t="s">
        <v>23</v>
      </c>
      <c r="H403" s="126">
        <v>450500</v>
      </c>
      <c r="I403" s="77">
        <v>450500</v>
      </c>
      <c r="J403" s="68">
        <v>0.02</v>
      </c>
      <c r="K403" s="33">
        <v>9010</v>
      </c>
      <c r="L403" s="18">
        <v>46054</v>
      </c>
      <c r="M403" s="18">
        <v>46064</v>
      </c>
      <c r="N403" s="115" t="s">
        <v>344</v>
      </c>
      <c r="O403" s="128">
        <v>1</v>
      </c>
      <c r="P403" s="128"/>
      <c r="Q403" s="128"/>
      <c r="R403" s="73"/>
      <c r="S403" s="21"/>
      <c r="T403" s="48" t="s">
        <v>430</v>
      </c>
      <c r="U403" s="46" t="s">
        <v>430</v>
      </c>
      <c r="V403" s="71" t="s">
        <v>430</v>
      </c>
      <c r="W403" s="72" t="s">
        <v>39</v>
      </c>
    </row>
    <row r="404" spans="1:23" s="84" customFormat="1" ht="23.25" customHeight="1">
      <c r="A404" s="26" t="s">
        <v>430</v>
      </c>
      <c r="B404" s="107" t="s">
        <v>493</v>
      </c>
      <c r="C404" s="108" t="s">
        <v>75</v>
      </c>
      <c r="D404" s="17" t="s">
        <v>54</v>
      </c>
      <c r="E404" s="24" t="s">
        <v>222</v>
      </c>
      <c r="F404" s="109" t="s">
        <v>494</v>
      </c>
      <c r="G404" s="109" t="s">
        <v>23</v>
      </c>
      <c r="H404" s="126">
        <v>27121500</v>
      </c>
      <c r="I404" s="77">
        <v>27121500</v>
      </c>
      <c r="J404" s="68">
        <v>0.02</v>
      </c>
      <c r="K404" s="33">
        <v>542430</v>
      </c>
      <c r="L404" s="18">
        <v>46055</v>
      </c>
      <c r="M404" s="18">
        <v>46065</v>
      </c>
      <c r="N404" s="115" t="s">
        <v>344</v>
      </c>
      <c r="O404" s="128">
        <v>99</v>
      </c>
      <c r="P404" s="128"/>
      <c r="Q404" s="128"/>
      <c r="R404" s="73"/>
      <c r="S404" s="21"/>
      <c r="T404" s="48" t="s">
        <v>430</v>
      </c>
      <c r="U404" s="46" t="s">
        <v>430</v>
      </c>
      <c r="V404" s="71" t="s">
        <v>430</v>
      </c>
      <c r="W404" s="72" t="s">
        <v>39</v>
      </c>
    </row>
    <row r="405" spans="1:23" s="84" customFormat="1" ht="23.25" customHeight="1">
      <c r="A405" s="26" t="s">
        <v>430</v>
      </c>
      <c r="B405" s="107" t="s">
        <v>231</v>
      </c>
      <c r="C405" s="108" t="s">
        <v>490</v>
      </c>
      <c r="D405" s="17" t="s">
        <v>54</v>
      </c>
      <c r="E405" s="24" t="s">
        <v>227</v>
      </c>
      <c r="F405" s="109" t="s">
        <v>232</v>
      </c>
      <c r="G405" s="109" t="s">
        <v>23</v>
      </c>
      <c r="H405" s="126">
        <v>1103100</v>
      </c>
      <c r="I405" s="77">
        <v>1103100</v>
      </c>
      <c r="J405" s="68">
        <v>0.02</v>
      </c>
      <c r="K405" s="33">
        <v>22062</v>
      </c>
      <c r="L405" s="18">
        <v>46057</v>
      </c>
      <c r="M405" s="18">
        <v>46067</v>
      </c>
      <c r="N405" s="115" t="s">
        <v>344</v>
      </c>
      <c r="O405" s="128">
        <v>1</v>
      </c>
      <c r="P405" s="128"/>
      <c r="Q405" s="128"/>
      <c r="R405" s="73"/>
      <c r="S405" s="21"/>
      <c r="T405" s="48" t="s">
        <v>430</v>
      </c>
      <c r="U405" s="48" t="s">
        <v>430</v>
      </c>
      <c r="V405" s="71" t="s">
        <v>430</v>
      </c>
      <c r="W405" s="72" t="s">
        <v>39</v>
      </c>
    </row>
    <row r="406" spans="1:23" s="84" customFormat="1" ht="23.25" customHeight="1">
      <c r="A406" s="26" t="s">
        <v>430</v>
      </c>
      <c r="B406" s="107" t="s">
        <v>241</v>
      </c>
      <c r="C406" s="108" t="s">
        <v>101</v>
      </c>
      <c r="D406" s="17" t="s">
        <v>54</v>
      </c>
      <c r="E406" s="24" t="s">
        <v>222</v>
      </c>
      <c r="F406" s="109" t="s">
        <v>242</v>
      </c>
      <c r="G406" s="109" t="s">
        <v>23</v>
      </c>
      <c r="H406" s="126">
        <v>4045500</v>
      </c>
      <c r="I406" s="77">
        <v>4045500</v>
      </c>
      <c r="J406" s="68">
        <v>0.02</v>
      </c>
      <c r="K406" s="33">
        <v>80910</v>
      </c>
      <c r="L406" s="18">
        <v>46057</v>
      </c>
      <c r="M406" s="18">
        <v>46067</v>
      </c>
      <c r="N406" s="115" t="s">
        <v>344</v>
      </c>
      <c r="O406" s="128">
        <v>1</v>
      </c>
      <c r="P406" s="128"/>
      <c r="Q406" s="128"/>
      <c r="R406" s="73"/>
      <c r="S406" s="21"/>
      <c r="T406" s="48" t="s">
        <v>430</v>
      </c>
      <c r="U406" s="46" t="s">
        <v>430</v>
      </c>
      <c r="V406" s="71" t="s">
        <v>430</v>
      </c>
      <c r="W406" s="72" t="s">
        <v>39</v>
      </c>
    </row>
    <row r="407" spans="1:23" s="84" customFormat="1" ht="23.25" customHeight="1">
      <c r="A407" s="26" t="s">
        <v>430</v>
      </c>
      <c r="B407" s="107" t="s">
        <v>237</v>
      </c>
      <c r="C407" s="108" t="s">
        <v>605</v>
      </c>
      <c r="D407" s="17" t="s">
        <v>54</v>
      </c>
      <c r="E407" s="24" t="s">
        <v>222</v>
      </c>
      <c r="F407" s="109" t="s">
        <v>238</v>
      </c>
      <c r="G407" s="109" t="s">
        <v>23</v>
      </c>
      <c r="H407" s="126">
        <v>12020100</v>
      </c>
      <c r="I407" s="77">
        <v>12020100</v>
      </c>
      <c r="J407" s="68">
        <v>0.02</v>
      </c>
      <c r="K407" s="33">
        <v>240402</v>
      </c>
      <c r="L407" s="18">
        <v>46061</v>
      </c>
      <c r="M407" s="18">
        <v>46071</v>
      </c>
      <c r="N407" s="115" t="s">
        <v>344</v>
      </c>
      <c r="O407" s="128">
        <v>10</v>
      </c>
      <c r="P407" s="128"/>
      <c r="Q407" s="128"/>
      <c r="R407" s="73"/>
      <c r="S407" s="21"/>
      <c r="T407" s="48" t="s">
        <v>430</v>
      </c>
      <c r="U407" s="46" t="s">
        <v>430</v>
      </c>
      <c r="V407" s="71" t="s">
        <v>430</v>
      </c>
      <c r="W407" s="72" t="s">
        <v>39</v>
      </c>
    </row>
    <row r="408" spans="1:23" s="84" customFormat="1" ht="23.25" customHeight="1">
      <c r="A408" s="26" t="s">
        <v>430</v>
      </c>
      <c r="B408" s="107" t="s">
        <v>237</v>
      </c>
      <c r="C408" s="108" t="s">
        <v>605</v>
      </c>
      <c r="D408" s="17" t="s">
        <v>54</v>
      </c>
      <c r="E408" s="24" t="s">
        <v>222</v>
      </c>
      <c r="F408" s="109" t="s">
        <v>238</v>
      </c>
      <c r="G408" s="109" t="s">
        <v>23</v>
      </c>
      <c r="H408" s="126">
        <v>26438400</v>
      </c>
      <c r="I408" s="77">
        <v>26438400</v>
      </c>
      <c r="J408" s="68">
        <v>0.02</v>
      </c>
      <c r="K408" s="33">
        <v>528768</v>
      </c>
      <c r="L408" s="18">
        <v>46063</v>
      </c>
      <c r="M408" s="18">
        <v>46073</v>
      </c>
      <c r="N408" s="115" t="s">
        <v>344</v>
      </c>
      <c r="O408" s="128">
        <v>26</v>
      </c>
      <c r="P408" s="128"/>
      <c r="Q408" s="128"/>
      <c r="R408" s="73"/>
      <c r="S408" s="21"/>
      <c r="T408" s="48" t="s">
        <v>430</v>
      </c>
      <c r="U408" s="46" t="s">
        <v>430</v>
      </c>
      <c r="V408" s="71" t="s">
        <v>430</v>
      </c>
      <c r="W408" s="72" t="s">
        <v>39</v>
      </c>
    </row>
    <row r="409" spans="1:23" s="84" customFormat="1" ht="23.25" customHeight="1">
      <c r="A409" s="26" t="s">
        <v>430</v>
      </c>
      <c r="B409" s="107" t="s">
        <v>235</v>
      </c>
      <c r="C409" s="108" t="s">
        <v>490</v>
      </c>
      <c r="D409" s="17" t="s">
        <v>54</v>
      </c>
      <c r="E409" s="24" t="s">
        <v>222</v>
      </c>
      <c r="F409" s="109" t="s">
        <v>236</v>
      </c>
      <c r="G409" s="109" t="s">
        <v>23</v>
      </c>
      <c r="H409" s="126">
        <v>7314700</v>
      </c>
      <c r="I409" s="77">
        <v>7314700</v>
      </c>
      <c r="J409" s="68">
        <v>0.02</v>
      </c>
      <c r="K409" s="33">
        <v>146294</v>
      </c>
      <c r="L409" s="18">
        <v>46070</v>
      </c>
      <c r="M409" s="18">
        <v>46080</v>
      </c>
      <c r="N409" s="115" t="s">
        <v>344</v>
      </c>
      <c r="O409" s="128">
        <v>21</v>
      </c>
      <c r="P409" s="128"/>
      <c r="Q409" s="128"/>
      <c r="R409" s="73"/>
      <c r="S409" s="21"/>
      <c r="T409" s="48" t="s">
        <v>430</v>
      </c>
      <c r="U409" s="46" t="s">
        <v>430</v>
      </c>
      <c r="V409" s="71" t="s">
        <v>430</v>
      </c>
      <c r="W409" s="72" t="s">
        <v>39</v>
      </c>
    </row>
    <row r="410" spans="1:23" s="84" customFormat="1" ht="23.25" customHeight="1">
      <c r="A410" s="26" t="s">
        <v>430</v>
      </c>
      <c r="B410" s="107" t="s">
        <v>333</v>
      </c>
      <c r="C410" s="108" t="s">
        <v>220</v>
      </c>
      <c r="D410" s="17" t="s">
        <v>54</v>
      </c>
      <c r="E410" s="24" t="s">
        <v>222</v>
      </c>
      <c r="F410" s="109" t="s">
        <v>334</v>
      </c>
      <c r="G410" s="109" t="s">
        <v>23</v>
      </c>
      <c r="H410" s="126">
        <v>2970100</v>
      </c>
      <c r="I410" s="77">
        <v>2970100</v>
      </c>
      <c r="J410" s="68">
        <v>0.02</v>
      </c>
      <c r="K410" s="33">
        <v>59402</v>
      </c>
      <c r="L410" s="18">
        <v>46070</v>
      </c>
      <c r="M410" s="18">
        <v>46080</v>
      </c>
      <c r="N410" s="115" t="s">
        <v>344</v>
      </c>
      <c r="O410" s="128">
        <v>3</v>
      </c>
      <c r="P410" s="128"/>
      <c r="Q410" s="128"/>
      <c r="R410" s="73"/>
      <c r="S410" s="21"/>
      <c r="T410" s="48" t="s">
        <v>430</v>
      </c>
      <c r="U410" s="46" t="s">
        <v>430</v>
      </c>
      <c r="V410" s="71" t="s">
        <v>430</v>
      </c>
      <c r="W410" s="72" t="s">
        <v>39</v>
      </c>
    </row>
    <row r="411" spans="1:23" s="84" customFormat="1" ht="23.25" customHeight="1">
      <c r="A411" s="26" t="s">
        <v>430</v>
      </c>
      <c r="B411" s="107" t="s">
        <v>241</v>
      </c>
      <c r="C411" s="108" t="s">
        <v>101</v>
      </c>
      <c r="D411" s="17" t="s">
        <v>54</v>
      </c>
      <c r="E411" s="24" t="s">
        <v>222</v>
      </c>
      <c r="F411" s="109" t="s">
        <v>242</v>
      </c>
      <c r="G411" s="109" t="s">
        <v>23</v>
      </c>
      <c r="H411" s="126">
        <v>150955100</v>
      </c>
      <c r="I411" s="77">
        <v>150955100</v>
      </c>
      <c r="J411" s="68">
        <v>0.02</v>
      </c>
      <c r="K411" s="33">
        <v>3019102</v>
      </c>
      <c r="L411" s="18">
        <v>46071</v>
      </c>
      <c r="M411" s="18">
        <v>46081</v>
      </c>
      <c r="N411" s="115" t="s">
        <v>344</v>
      </c>
      <c r="O411" s="128">
        <v>75</v>
      </c>
      <c r="P411" s="128"/>
      <c r="Q411" s="128"/>
      <c r="R411" s="73"/>
      <c r="S411" s="21"/>
      <c r="T411" s="48" t="s">
        <v>430</v>
      </c>
      <c r="U411" s="46" t="s">
        <v>430</v>
      </c>
      <c r="V411" s="71" t="s">
        <v>430</v>
      </c>
      <c r="W411" s="72" t="s">
        <v>39</v>
      </c>
    </row>
    <row r="412" spans="1:23" s="84" customFormat="1" ht="23.25" customHeight="1">
      <c r="A412" s="26" t="s">
        <v>430</v>
      </c>
      <c r="B412" s="107" t="s">
        <v>243</v>
      </c>
      <c r="C412" s="108" t="s">
        <v>537</v>
      </c>
      <c r="D412" s="17" t="s">
        <v>54</v>
      </c>
      <c r="E412" s="24" t="s">
        <v>222</v>
      </c>
      <c r="F412" s="109" t="s">
        <v>244</v>
      </c>
      <c r="G412" s="109" t="s">
        <v>23</v>
      </c>
      <c r="H412" s="126">
        <v>50471400</v>
      </c>
      <c r="I412" s="77">
        <v>50471400</v>
      </c>
      <c r="J412" s="68">
        <v>0.02</v>
      </c>
      <c r="K412" s="33">
        <v>1009428</v>
      </c>
      <c r="L412" s="18">
        <v>46071</v>
      </c>
      <c r="M412" s="18">
        <v>46081</v>
      </c>
      <c r="N412" s="115" t="s">
        <v>344</v>
      </c>
      <c r="O412" s="128">
        <v>11</v>
      </c>
      <c r="P412" s="128"/>
      <c r="Q412" s="128"/>
      <c r="R412" s="73"/>
      <c r="S412" s="21"/>
      <c r="T412" s="48" t="s">
        <v>430</v>
      </c>
      <c r="U412" s="46" t="s">
        <v>430</v>
      </c>
      <c r="V412" s="71" t="s">
        <v>430</v>
      </c>
      <c r="W412" s="72" t="s">
        <v>39</v>
      </c>
    </row>
    <row r="413" spans="1:23" s="84" customFormat="1" ht="23.25" customHeight="1">
      <c r="A413" s="26" t="s">
        <v>430</v>
      </c>
      <c r="B413" s="107" t="s">
        <v>333</v>
      </c>
      <c r="C413" s="108" t="s">
        <v>220</v>
      </c>
      <c r="D413" s="17" t="s">
        <v>54</v>
      </c>
      <c r="E413" s="24" t="s">
        <v>222</v>
      </c>
      <c r="F413" s="109" t="s">
        <v>334</v>
      </c>
      <c r="G413" s="109" t="s">
        <v>23</v>
      </c>
      <c r="H413" s="126">
        <v>28880100</v>
      </c>
      <c r="I413" s="77">
        <v>28880100</v>
      </c>
      <c r="J413" s="68">
        <v>0.02</v>
      </c>
      <c r="K413" s="33">
        <v>577602</v>
      </c>
      <c r="L413" s="18">
        <v>46071</v>
      </c>
      <c r="M413" s="18">
        <v>46081</v>
      </c>
      <c r="N413" s="115" t="s">
        <v>344</v>
      </c>
      <c r="O413" s="128">
        <v>36</v>
      </c>
      <c r="P413" s="128"/>
      <c r="Q413" s="128"/>
      <c r="R413" s="73"/>
      <c r="S413" s="21"/>
      <c r="T413" s="48" t="s">
        <v>430</v>
      </c>
      <c r="U413" s="46" t="s">
        <v>430</v>
      </c>
      <c r="V413" s="71" t="s">
        <v>430</v>
      </c>
      <c r="W413" s="72" t="s">
        <v>39</v>
      </c>
    </row>
    <row r="414" spans="1:23" s="84" customFormat="1" ht="23.25" customHeight="1">
      <c r="A414" s="26" t="s">
        <v>430</v>
      </c>
      <c r="B414" s="107" t="s">
        <v>231</v>
      </c>
      <c r="C414" s="108" t="s">
        <v>490</v>
      </c>
      <c r="D414" s="17" t="s">
        <v>54</v>
      </c>
      <c r="E414" s="24" t="s">
        <v>227</v>
      </c>
      <c r="F414" s="109" t="s">
        <v>232</v>
      </c>
      <c r="G414" s="109" t="s">
        <v>23</v>
      </c>
      <c r="H414" s="126">
        <v>481500</v>
      </c>
      <c r="I414" s="77">
        <v>481500</v>
      </c>
      <c r="J414" s="68">
        <v>0.02</v>
      </c>
      <c r="K414" s="33">
        <v>9630</v>
      </c>
      <c r="L414" s="18">
        <v>46085</v>
      </c>
      <c r="M414" s="18">
        <v>46095</v>
      </c>
      <c r="N414" s="115" t="s">
        <v>344</v>
      </c>
      <c r="O414" s="128">
        <v>1</v>
      </c>
      <c r="P414" s="128"/>
      <c r="Q414" s="128"/>
      <c r="R414" s="73"/>
      <c r="S414" s="21"/>
      <c r="T414" s="48" t="s">
        <v>430</v>
      </c>
      <c r="U414" s="46" t="s">
        <v>430</v>
      </c>
      <c r="V414" s="71" t="s">
        <v>430</v>
      </c>
      <c r="W414" s="72" t="s">
        <v>39</v>
      </c>
    </row>
    <row r="415" spans="1:23" s="84" customFormat="1" ht="23.25" customHeight="1">
      <c r="A415" s="26" t="s">
        <v>430</v>
      </c>
      <c r="B415" s="107" t="s">
        <v>333</v>
      </c>
      <c r="C415" s="108" t="s">
        <v>220</v>
      </c>
      <c r="D415" s="17" t="s">
        <v>54</v>
      </c>
      <c r="E415" s="24" t="s">
        <v>222</v>
      </c>
      <c r="F415" s="109" t="s">
        <v>334</v>
      </c>
      <c r="G415" s="109" t="s">
        <v>23</v>
      </c>
      <c r="H415" s="126">
        <v>1454400</v>
      </c>
      <c r="I415" s="77">
        <v>1454400</v>
      </c>
      <c r="J415" s="68">
        <v>0.02</v>
      </c>
      <c r="K415" s="33">
        <v>29088</v>
      </c>
      <c r="L415" s="18">
        <v>46087</v>
      </c>
      <c r="M415" s="18">
        <v>46097</v>
      </c>
      <c r="N415" s="115" t="s">
        <v>344</v>
      </c>
      <c r="O415" s="128">
        <v>2</v>
      </c>
      <c r="P415" s="128"/>
      <c r="Q415" s="128"/>
      <c r="R415" s="73"/>
      <c r="S415" s="21"/>
      <c r="T415" s="48" t="s">
        <v>430</v>
      </c>
      <c r="U415" s="46" t="s">
        <v>430</v>
      </c>
      <c r="V415" s="71" t="s">
        <v>430</v>
      </c>
      <c r="W415" s="72" t="s">
        <v>39</v>
      </c>
    </row>
    <row r="416" spans="1:23" s="84" customFormat="1" ht="23.25" customHeight="1">
      <c r="A416" s="26" t="s">
        <v>430</v>
      </c>
      <c r="B416" s="107" t="s">
        <v>241</v>
      </c>
      <c r="C416" s="108" t="s">
        <v>101</v>
      </c>
      <c r="D416" s="17" t="s">
        <v>54</v>
      </c>
      <c r="E416" s="24" t="s">
        <v>222</v>
      </c>
      <c r="F416" s="109" t="s">
        <v>242</v>
      </c>
      <c r="G416" s="109" t="s">
        <v>23</v>
      </c>
      <c r="H416" s="126">
        <v>39069300</v>
      </c>
      <c r="I416" s="77">
        <v>39069300</v>
      </c>
      <c r="J416" s="68">
        <v>0.02</v>
      </c>
      <c r="K416" s="33">
        <v>781386</v>
      </c>
      <c r="L416" s="18">
        <v>46088</v>
      </c>
      <c r="M416" s="18">
        <v>46098</v>
      </c>
      <c r="N416" s="115" t="s">
        <v>344</v>
      </c>
      <c r="O416" s="128">
        <v>38</v>
      </c>
      <c r="P416" s="128"/>
      <c r="Q416" s="128"/>
      <c r="R416" s="73"/>
      <c r="S416" s="21"/>
      <c r="T416" s="48" t="s">
        <v>430</v>
      </c>
      <c r="U416" s="46" t="s">
        <v>430</v>
      </c>
      <c r="V416" s="71" t="s">
        <v>430</v>
      </c>
      <c r="W416" s="72" t="s">
        <v>39</v>
      </c>
    </row>
    <row r="417" spans="1:23" s="84" customFormat="1" ht="23.25" customHeight="1">
      <c r="A417" s="26" t="s">
        <v>430</v>
      </c>
      <c r="B417" s="107" t="s">
        <v>333</v>
      </c>
      <c r="C417" s="108" t="s">
        <v>220</v>
      </c>
      <c r="D417" s="17" t="s">
        <v>54</v>
      </c>
      <c r="E417" s="24" t="s">
        <v>222</v>
      </c>
      <c r="F417" s="109" t="s">
        <v>334</v>
      </c>
      <c r="G417" s="109" t="s">
        <v>23</v>
      </c>
      <c r="H417" s="126">
        <v>104410000</v>
      </c>
      <c r="I417" s="77">
        <v>104410000</v>
      </c>
      <c r="J417" s="68">
        <v>0.02</v>
      </c>
      <c r="K417" s="33">
        <v>2088200</v>
      </c>
      <c r="L417" s="18">
        <v>46088</v>
      </c>
      <c r="M417" s="18">
        <v>46098</v>
      </c>
      <c r="N417" s="115" t="s">
        <v>344</v>
      </c>
      <c r="O417" s="128">
        <v>106</v>
      </c>
      <c r="P417" s="128"/>
      <c r="Q417" s="128"/>
      <c r="R417" s="73"/>
      <c r="S417" s="21"/>
      <c r="T417" s="48" t="s">
        <v>430</v>
      </c>
      <c r="U417" s="46" t="s">
        <v>430</v>
      </c>
      <c r="V417" s="71" t="s">
        <v>430</v>
      </c>
      <c r="W417" s="72" t="s">
        <v>39</v>
      </c>
    </row>
    <row r="418" spans="1:23" s="84" customFormat="1" ht="23.25" customHeight="1">
      <c r="A418" s="26" t="s">
        <v>430</v>
      </c>
      <c r="B418" s="107" t="s">
        <v>337</v>
      </c>
      <c r="C418" s="108" t="s">
        <v>29</v>
      </c>
      <c r="D418" s="17" t="s">
        <v>54</v>
      </c>
      <c r="E418" s="24" t="s">
        <v>222</v>
      </c>
      <c r="F418" s="109" t="s">
        <v>338</v>
      </c>
      <c r="G418" s="109" t="s">
        <v>23</v>
      </c>
      <c r="H418" s="126">
        <v>55645600</v>
      </c>
      <c r="I418" s="77">
        <v>55645600</v>
      </c>
      <c r="J418" s="68">
        <v>0.02</v>
      </c>
      <c r="K418" s="33">
        <v>1112912</v>
      </c>
      <c r="L418" s="18">
        <v>46088</v>
      </c>
      <c r="M418" s="18">
        <v>46098</v>
      </c>
      <c r="N418" s="115" t="s">
        <v>344</v>
      </c>
      <c r="O418" s="128">
        <v>6</v>
      </c>
      <c r="P418" s="128"/>
      <c r="Q418" s="128"/>
      <c r="R418" s="73"/>
      <c r="S418" s="21"/>
      <c r="T418" s="48" t="s">
        <v>430</v>
      </c>
      <c r="U418" s="46" t="s">
        <v>430</v>
      </c>
      <c r="V418" s="71" t="s">
        <v>430</v>
      </c>
      <c r="W418" s="72" t="s">
        <v>39</v>
      </c>
    </row>
    <row r="419" spans="1:23" s="84" customFormat="1" ht="23.25" customHeight="1">
      <c r="A419" s="26" t="s">
        <v>430</v>
      </c>
      <c r="B419" s="107" t="s">
        <v>237</v>
      </c>
      <c r="C419" s="108" t="s">
        <v>605</v>
      </c>
      <c r="D419" s="17" t="s">
        <v>54</v>
      </c>
      <c r="E419" s="24" t="s">
        <v>222</v>
      </c>
      <c r="F419" s="109" t="s">
        <v>238</v>
      </c>
      <c r="G419" s="109" t="s">
        <v>23</v>
      </c>
      <c r="H419" s="126">
        <v>37092500</v>
      </c>
      <c r="I419" s="77">
        <v>37092500</v>
      </c>
      <c r="J419" s="68">
        <v>0.02</v>
      </c>
      <c r="K419" s="33">
        <v>741850</v>
      </c>
      <c r="L419" s="18">
        <v>46090</v>
      </c>
      <c r="M419" s="18">
        <v>46100</v>
      </c>
      <c r="N419" s="115" t="s">
        <v>344</v>
      </c>
      <c r="O419" s="128">
        <v>44</v>
      </c>
      <c r="P419" s="128"/>
      <c r="Q419" s="128"/>
      <c r="R419" s="73"/>
      <c r="S419" s="21"/>
      <c r="T419" s="48" t="s">
        <v>430</v>
      </c>
      <c r="U419" s="46" t="s">
        <v>430</v>
      </c>
      <c r="V419" s="71" t="s">
        <v>430</v>
      </c>
      <c r="W419" s="72" t="s">
        <v>39</v>
      </c>
    </row>
    <row r="420" spans="1:23" s="84" customFormat="1" ht="23.25" customHeight="1">
      <c r="A420" s="26" t="s">
        <v>430</v>
      </c>
      <c r="B420" s="107" t="s">
        <v>239</v>
      </c>
      <c r="C420" s="108" t="s">
        <v>101</v>
      </c>
      <c r="D420" s="17" t="s">
        <v>54</v>
      </c>
      <c r="E420" s="24" t="s">
        <v>222</v>
      </c>
      <c r="F420" s="109" t="s">
        <v>240</v>
      </c>
      <c r="G420" s="109" t="s">
        <v>23</v>
      </c>
      <c r="H420" s="126">
        <v>26438400</v>
      </c>
      <c r="I420" s="77">
        <v>26438400</v>
      </c>
      <c r="J420" s="68">
        <v>0.02</v>
      </c>
      <c r="K420" s="33">
        <v>528768</v>
      </c>
      <c r="L420" s="18">
        <v>46095</v>
      </c>
      <c r="M420" s="18">
        <v>46105</v>
      </c>
      <c r="N420" s="115" t="s">
        <v>344</v>
      </c>
      <c r="O420" s="128">
        <v>26</v>
      </c>
      <c r="P420" s="128"/>
      <c r="Q420" s="128"/>
      <c r="R420" s="73"/>
      <c r="S420" s="21"/>
      <c r="T420" s="48" t="s">
        <v>430</v>
      </c>
      <c r="U420" s="46" t="s">
        <v>430</v>
      </c>
      <c r="V420" s="71" t="s">
        <v>430</v>
      </c>
      <c r="W420" s="72" t="s">
        <v>39</v>
      </c>
    </row>
    <row r="421" spans="1:23" s="84" customFormat="1" ht="23.25" customHeight="1">
      <c r="A421" s="26" t="s">
        <v>430</v>
      </c>
      <c r="B421" s="107" t="s">
        <v>239</v>
      </c>
      <c r="C421" s="108" t="s">
        <v>101</v>
      </c>
      <c r="D421" s="17" t="s">
        <v>54</v>
      </c>
      <c r="E421" s="24" t="s">
        <v>222</v>
      </c>
      <c r="F421" s="109" t="s">
        <v>240</v>
      </c>
      <c r="G421" s="109" t="s">
        <v>23</v>
      </c>
      <c r="H421" s="126">
        <v>12020100</v>
      </c>
      <c r="I421" s="77">
        <v>12020100</v>
      </c>
      <c r="J421" s="68">
        <v>0.02</v>
      </c>
      <c r="K421" s="33">
        <v>240402</v>
      </c>
      <c r="L421" s="18">
        <v>46096</v>
      </c>
      <c r="M421" s="18">
        <v>46106</v>
      </c>
      <c r="N421" s="115" t="s">
        <v>344</v>
      </c>
      <c r="O421" s="128">
        <v>10</v>
      </c>
      <c r="P421" s="128"/>
      <c r="Q421" s="128"/>
      <c r="R421" s="73"/>
      <c r="S421" s="21"/>
      <c r="T421" s="48" t="s">
        <v>430</v>
      </c>
      <c r="U421" s="46" t="s">
        <v>430</v>
      </c>
      <c r="V421" s="71" t="s">
        <v>430</v>
      </c>
      <c r="W421" s="72" t="s">
        <v>39</v>
      </c>
    </row>
    <row r="422" spans="1:23" s="84" customFormat="1" ht="23.25" customHeight="1">
      <c r="A422" s="26" t="s">
        <v>430</v>
      </c>
      <c r="B422" s="107" t="s">
        <v>243</v>
      </c>
      <c r="C422" s="108" t="s">
        <v>537</v>
      </c>
      <c r="D422" s="17" t="s">
        <v>54</v>
      </c>
      <c r="E422" s="24" t="s">
        <v>222</v>
      </c>
      <c r="F422" s="109" t="s">
        <v>244</v>
      </c>
      <c r="G422" s="109" t="s">
        <v>23</v>
      </c>
      <c r="H422" s="126">
        <v>4045500</v>
      </c>
      <c r="I422" s="77">
        <v>4045500</v>
      </c>
      <c r="J422" s="68">
        <v>0.02</v>
      </c>
      <c r="K422" s="33">
        <v>80910</v>
      </c>
      <c r="L422" s="18">
        <v>46099</v>
      </c>
      <c r="M422" s="18">
        <v>46109</v>
      </c>
      <c r="N422" s="115" t="s">
        <v>344</v>
      </c>
      <c r="O422" s="128">
        <v>1</v>
      </c>
      <c r="P422" s="128"/>
      <c r="Q422" s="128"/>
      <c r="R422" s="73"/>
      <c r="S422" s="21"/>
      <c r="T422" s="48" t="s">
        <v>430</v>
      </c>
      <c r="U422" s="46" t="s">
        <v>430</v>
      </c>
      <c r="V422" s="71" t="s">
        <v>430</v>
      </c>
      <c r="W422" s="72" t="s">
        <v>39</v>
      </c>
    </row>
    <row r="423" spans="1:23" s="84" customFormat="1" ht="23.25" customHeight="1">
      <c r="A423" s="26" t="s">
        <v>430</v>
      </c>
      <c r="B423" s="107" t="s">
        <v>331</v>
      </c>
      <c r="C423" s="108" t="s">
        <v>330</v>
      </c>
      <c r="D423" s="17" t="s">
        <v>54</v>
      </c>
      <c r="E423" s="24" t="s">
        <v>222</v>
      </c>
      <c r="F423" s="109" t="s">
        <v>332</v>
      </c>
      <c r="G423" s="109" t="s">
        <v>23</v>
      </c>
      <c r="H423" s="126">
        <v>7030200</v>
      </c>
      <c r="I423" s="77">
        <v>7030200</v>
      </c>
      <c r="J423" s="68">
        <v>0.02</v>
      </c>
      <c r="K423" s="33">
        <v>140604</v>
      </c>
      <c r="L423" s="18">
        <v>46110</v>
      </c>
      <c r="M423" s="18">
        <v>46120</v>
      </c>
      <c r="N423" s="115" t="s">
        <v>344</v>
      </c>
      <c r="O423" s="128">
        <v>17</v>
      </c>
      <c r="P423" s="128"/>
      <c r="Q423" s="128"/>
      <c r="R423" s="73"/>
      <c r="S423" s="21"/>
      <c r="T423" s="48" t="s">
        <v>430</v>
      </c>
      <c r="U423" s="46" t="s">
        <v>430</v>
      </c>
      <c r="V423" s="71" t="s">
        <v>430</v>
      </c>
      <c r="W423" s="72" t="s">
        <v>39</v>
      </c>
    </row>
    <row r="424" spans="1:23" s="84" customFormat="1" ht="23.25" customHeight="1">
      <c r="A424" s="26" t="s">
        <v>430</v>
      </c>
      <c r="B424" s="107" t="s">
        <v>243</v>
      </c>
      <c r="C424" s="108" t="s">
        <v>537</v>
      </c>
      <c r="D424" s="17" t="s">
        <v>54</v>
      </c>
      <c r="E424" s="24" t="s">
        <v>222</v>
      </c>
      <c r="F424" s="109" t="s">
        <v>244</v>
      </c>
      <c r="G424" s="109" t="s">
        <v>23</v>
      </c>
      <c r="H424" s="126">
        <v>98158800</v>
      </c>
      <c r="I424" s="77">
        <v>98158800</v>
      </c>
      <c r="J424" s="68">
        <v>0.02</v>
      </c>
      <c r="K424" s="33">
        <v>1963176</v>
      </c>
      <c r="L424" s="18">
        <v>46112</v>
      </c>
      <c r="M424" s="18">
        <v>46122</v>
      </c>
      <c r="N424" s="115" t="s">
        <v>344</v>
      </c>
      <c r="O424" s="128">
        <v>64</v>
      </c>
      <c r="P424" s="128"/>
      <c r="Q424" s="128"/>
      <c r="R424" s="73"/>
      <c r="S424" s="21"/>
      <c r="T424" s="48" t="s">
        <v>430</v>
      </c>
      <c r="U424" s="46" t="s">
        <v>430</v>
      </c>
      <c r="V424" s="71" t="s">
        <v>430</v>
      </c>
      <c r="W424" s="72" t="s">
        <v>39</v>
      </c>
    </row>
    <row r="425" spans="1:23" s="84" customFormat="1" ht="23.25" customHeight="1">
      <c r="A425" s="26" t="s">
        <v>430</v>
      </c>
      <c r="B425" s="107" t="s">
        <v>235</v>
      </c>
      <c r="C425" s="108" t="s">
        <v>490</v>
      </c>
      <c r="D425" s="17" t="s">
        <v>54</v>
      </c>
      <c r="E425" s="24" t="s">
        <v>222</v>
      </c>
      <c r="F425" s="109" t="s">
        <v>236</v>
      </c>
      <c r="G425" s="109" t="s">
        <v>23</v>
      </c>
      <c r="H425" s="126">
        <v>1004300</v>
      </c>
      <c r="I425" s="77">
        <v>1004300</v>
      </c>
      <c r="J425" s="68">
        <v>0.02</v>
      </c>
      <c r="K425" s="33">
        <v>20086</v>
      </c>
      <c r="L425" s="18">
        <v>46123</v>
      </c>
      <c r="M425" s="18">
        <v>46133</v>
      </c>
      <c r="N425" s="115" t="s">
        <v>344</v>
      </c>
      <c r="O425" s="128">
        <v>1</v>
      </c>
      <c r="P425" s="128"/>
      <c r="Q425" s="128"/>
      <c r="R425" s="73"/>
      <c r="S425" s="21"/>
      <c r="T425" s="48" t="s">
        <v>430</v>
      </c>
      <c r="U425" s="46" t="s">
        <v>430</v>
      </c>
      <c r="V425" s="71" t="s">
        <v>430</v>
      </c>
      <c r="W425" s="72" t="s">
        <v>39</v>
      </c>
    </row>
    <row r="426" spans="1:23" s="84" customFormat="1" ht="23.25" customHeight="1">
      <c r="A426" s="26" t="s">
        <v>430</v>
      </c>
      <c r="B426" s="107" t="s">
        <v>239</v>
      </c>
      <c r="C426" s="108" t="s">
        <v>101</v>
      </c>
      <c r="D426" s="17" t="s">
        <v>54</v>
      </c>
      <c r="E426" s="24" t="s">
        <v>222</v>
      </c>
      <c r="F426" s="109" t="s">
        <v>240</v>
      </c>
      <c r="G426" s="109" t="s">
        <v>23</v>
      </c>
      <c r="H426" s="126">
        <v>37092500</v>
      </c>
      <c r="I426" s="77">
        <v>37092500</v>
      </c>
      <c r="J426" s="68">
        <v>0.02</v>
      </c>
      <c r="K426" s="33">
        <v>741850</v>
      </c>
      <c r="L426" s="18">
        <v>46125</v>
      </c>
      <c r="M426" s="18">
        <v>46135</v>
      </c>
      <c r="N426" s="115" t="s">
        <v>344</v>
      </c>
      <c r="O426" s="128">
        <v>44</v>
      </c>
      <c r="P426" s="128"/>
      <c r="Q426" s="128"/>
      <c r="R426" s="73"/>
      <c r="S426" s="21"/>
      <c r="T426" s="48" t="s">
        <v>430</v>
      </c>
      <c r="U426" s="46" t="s">
        <v>430</v>
      </c>
      <c r="V426" s="71" t="s">
        <v>430</v>
      </c>
      <c r="W426" s="72" t="s">
        <v>39</v>
      </c>
    </row>
    <row r="427" spans="1:23" s="84" customFormat="1" ht="23.25" customHeight="1">
      <c r="A427" s="26" t="s">
        <v>430</v>
      </c>
      <c r="B427" s="107" t="s">
        <v>243</v>
      </c>
      <c r="C427" s="108" t="s">
        <v>537</v>
      </c>
      <c r="D427" s="17" t="s">
        <v>54</v>
      </c>
      <c r="E427" s="24" t="s">
        <v>222</v>
      </c>
      <c r="F427" s="109" t="s">
        <v>244</v>
      </c>
      <c r="G427" s="109" t="s">
        <v>23</v>
      </c>
      <c r="H427" s="126">
        <v>39069300</v>
      </c>
      <c r="I427" s="77">
        <v>39069300</v>
      </c>
      <c r="J427" s="68">
        <v>0.02</v>
      </c>
      <c r="K427" s="33">
        <v>781386</v>
      </c>
      <c r="L427" s="18">
        <v>46130</v>
      </c>
      <c r="M427" s="18">
        <v>46140</v>
      </c>
      <c r="N427" s="115" t="s">
        <v>344</v>
      </c>
      <c r="O427" s="128">
        <v>38</v>
      </c>
      <c r="P427" s="128"/>
      <c r="Q427" s="128"/>
      <c r="R427" s="73"/>
      <c r="S427" s="21"/>
      <c r="T427" s="48" t="s">
        <v>430</v>
      </c>
      <c r="U427" s="46" t="s">
        <v>430</v>
      </c>
      <c r="V427" s="71" t="s">
        <v>430</v>
      </c>
      <c r="W427" s="72" t="s">
        <v>39</v>
      </c>
    </row>
    <row r="428" spans="1:23" s="84" customFormat="1" ht="23.25" customHeight="1">
      <c r="A428" s="26" t="s">
        <v>430</v>
      </c>
      <c r="B428" s="107" t="s">
        <v>241</v>
      </c>
      <c r="C428" s="108" t="s">
        <v>101</v>
      </c>
      <c r="D428" s="17" t="s">
        <v>54</v>
      </c>
      <c r="E428" s="24" t="s">
        <v>222</v>
      </c>
      <c r="F428" s="109" t="s">
        <v>242</v>
      </c>
      <c r="G428" s="109" t="s">
        <v>23</v>
      </c>
      <c r="H428" s="126">
        <v>38458500</v>
      </c>
      <c r="I428" s="77">
        <v>38458500</v>
      </c>
      <c r="J428" s="68">
        <v>0.02</v>
      </c>
      <c r="K428" s="33">
        <v>769170</v>
      </c>
      <c r="L428" s="18">
        <v>46140</v>
      </c>
      <c r="M428" s="18">
        <v>46150</v>
      </c>
      <c r="N428" s="115" t="s">
        <v>344</v>
      </c>
      <c r="O428" s="128">
        <v>36</v>
      </c>
      <c r="P428" s="128"/>
      <c r="Q428" s="128"/>
      <c r="R428" s="73"/>
      <c r="S428" s="21"/>
      <c r="T428" s="48" t="s">
        <v>430</v>
      </c>
      <c r="U428" s="46" t="s">
        <v>430</v>
      </c>
      <c r="V428" s="71" t="s">
        <v>430</v>
      </c>
      <c r="W428" s="72" t="s">
        <v>39</v>
      </c>
    </row>
    <row r="429" spans="1:23" s="84" customFormat="1" ht="23.25" customHeight="1">
      <c r="A429" s="26" t="s">
        <v>430</v>
      </c>
      <c r="B429" s="107" t="s">
        <v>243</v>
      </c>
      <c r="C429" s="108" t="s">
        <v>537</v>
      </c>
      <c r="D429" s="17" t="s">
        <v>54</v>
      </c>
      <c r="E429" s="24" t="s">
        <v>222</v>
      </c>
      <c r="F429" s="109" t="s">
        <v>244</v>
      </c>
      <c r="G429" s="109" t="s">
        <v>23</v>
      </c>
      <c r="H429" s="126">
        <v>4469000</v>
      </c>
      <c r="I429" s="77">
        <v>4469000</v>
      </c>
      <c r="J429" s="68">
        <v>0.02</v>
      </c>
      <c r="K429" s="33">
        <v>89380</v>
      </c>
      <c r="L429" s="18">
        <v>46140</v>
      </c>
      <c r="M429" s="18">
        <v>46150</v>
      </c>
      <c r="N429" s="115" t="s">
        <v>344</v>
      </c>
      <c r="O429" s="128">
        <v>5</v>
      </c>
      <c r="P429" s="128"/>
      <c r="Q429" s="128"/>
      <c r="R429" s="73"/>
      <c r="S429" s="21"/>
      <c r="T429" s="48" t="s">
        <v>430</v>
      </c>
      <c r="U429" s="46" t="s">
        <v>430</v>
      </c>
      <c r="V429" s="71" t="s">
        <v>430</v>
      </c>
      <c r="W429" s="72" t="s">
        <v>39</v>
      </c>
    </row>
    <row r="430" spans="1:23" s="84" customFormat="1" ht="23.25" customHeight="1">
      <c r="A430" s="26" t="s">
        <v>430</v>
      </c>
      <c r="B430" s="107" t="s">
        <v>237</v>
      </c>
      <c r="C430" s="108" t="s">
        <v>605</v>
      </c>
      <c r="D430" s="17" t="s">
        <v>54</v>
      </c>
      <c r="E430" s="24" t="s">
        <v>222</v>
      </c>
      <c r="F430" s="109" t="s">
        <v>238</v>
      </c>
      <c r="G430" s="109" t="s">
        <v>23</v>
      </c>
      <c r="H430" s="126">
        <v>7314700</v>
      </c>
      <c r="I430" s="77">
        <v>7314700</v>
      </c>
      <c r="J430" s="68">
        <v>0.02</v>
      </c>
      <c r="K430" s="33">
        <v>146294</v>
      </c>
      <c r="L430" s="18">
        <v>46154</v>
      </c>
      <c r="M430" s="18">
        <v>46164</v>
      </c>
      <c r="N430" s="115" t="s">
        <v>344</v>
      </c>
      <c r="O430" s="128">
        <v>21</v>
      </c>
      <c r="P430" s="128"/>
      <c r="Q430" s="128"/>
      <c r="R430" s="73"/>
      <c r="S430" s="21"/>
      <c r="T430" s="48" t="s">
        <v>430</v>
      </c>
      <c r="U430" s="46" t="s">
        <v>430</v>
      </c>
      <c r="V430" s="71" t="s">
        <v>430</v>
      </c>
      <c r="W430" s="72" t="s">
        <v>39</v>
      </c>
    </row>
    <row r="431" spans="1:23" s="84" customFormat="1" ht="23.25" customHeight="1">
      <c r="A431" s="26" t="s">
        <v>430</v>
      </c>
      <c r="B431" s="107" t="s">
        <v>331</v>
      </c>
      <c r="C431" s="108" t="s">
        <v>330</v>
      </c>
      <c r="D431" s="17" t="s">
        <v>54</v>
      </c>
      <c r="E431" s="24" t="s">
        <v>222</v>
      </c>
      <c r="F431" s="109" t="s">
        <v>332</v>
      </c>
      <c r="G431" s="109" t="s">
        <v>23</v>
      </c>
      <c r="H431" s="126">
        <v>721300</v>
      </c>
      <c r="I431" s="77">
        <v>721300</v>
      </c>
      <c r="J431" s="68">
        <v>0.02</v>
      </c>
      <c r="K431" s="33">
        <v>14426</v>
      </c>
      <c r="L431" s="18">
        <v>46154</v>
      </c>
      <c r="M431" s="18">
        <v>46164</v>
      </c>
      <c r="N431" s="115" t="s">
        <v>344</v>
      </c>
      <c r="O431" s="128">
        <v>1</v>
      </c>
      <c r="P431" s="128"/>
      <c r="Q431" s="128"/>
      <c r="R431" s="73"/>
      <c r="S431" s="21"/>
      <c r="T431" s="48" t="s">
        <v>430</v>
      </c>
      <c r="U431" s="46" t="s">
        <v>430</v>
      </c>
      <c r="V431" s="71" t="s">
        <v>430</v>
      </c>
      <c r="W431" s="72" t="s">
        <v>39</v>
      </c>
    </row>
    <row r="432" spans="1:23" s="84" customFormat="1" ht="23.25" customHeight="1">
      <c r="A432" s="26" t="s">
        <v>430</v>
      </c>
      <c r="B432" s="107" t="s">
        <v>333</v>
      </c>
      <c r="C432" s="108" t="s">
        <v>220</v>
      </c>
      <c r="D432" s="17" t="s">
        <v>54</v>
      </c>
      <c r="E432" s="24" t="s">
        <v>222</v>
      </c>
      <c r="F432" s="109" t="s">
        <v>334</v>
      </c>
      <c r="G432" s="109" t="s">
        <v>23</v>
      </c>
      <c r="H432" s="126">
        <v>2054700</v>
      </c>
      <c r="I432" s="77">
        <v>2054700</v>
      </c>
      <c r="J432" s="68">
        <v>0.02</v>
      </c>
      <c r="K432" s="33">
        <v>41094</v>
      </c>
      <c r="L432" s="18">
        <v>46154</v>
      </c>
      <c r="M432" s="18">
        <v>46164</v>
      </c>
      <c r="N432" s="115" t="s">
        <v>344</v>
      </c>
      <c r="O432" s="128">
        <v>3</v>
      </c>
      <c r="P432" s="128"/>
      <c r="Q432" s="128"/>
      <c r="R432" s="73"/>
      <c r="S432" s="21"/>
      <c r="T432" s="48" t="s">
        <v>430</v>
      </c>
      <c r="U432" s="46" t="s">
        <v>430</v>
      </c>
      <c r="V432" s="71" t="s">
        <v>430</v>
      </c>
      <c r="W432" s="72" t="s">
        <v>39</v>
      </c>
    </row>
    <row r="433" spans="1:23" s="84" customFormat="1" ht="23.25" customHeight="1">
      <c r="A433" s="26" t="s">
        <v>430</v>
      </c>
      <c r="B433" s="107" t="s">
        <v>333</v>
      </c>
      <c r="C433" s="108" t="s">
        <v>220</v>
      </c>
      <c r="D433" s="17" t="s">
        <v>54</v>
      </c>
      <c r="E433" s="24" t="s">
        <v>222</v>
      </c>
      <c r="F433" s="109" t="s">
        <v>334</v>
      </c>
      <c r="G433" s="109" t="s">
        <v>23</v>
      </c>
      <c r="H433" s="126">
        <v>12333700</v>
      </c>
      <c r="I433" s="77">
        <v>12333700</v>
      </c>
      <c r="J433" s="68">
        <v>0.02</v>
      </c>
      <c r="K433" s="33">
        <v>246674</v>
      </c>
      <c r="L433" s="18">
        <v>46162</v>
      </c>
      <c r="M433" s="18">
        <v>46172</v>
      </c>
      <c r="N433" s="115" t="s">
        <v>344</v>
      </c>
      <c r="O433" s="128">
        <v>12</v>
      </c>
      <c r="P433" s="128"/>
      <c r="Q433" s="128"/>
      <c r="R433" s="73"/>
      <c r="S433" s="21"/>
      <c r="T433" s="48" t="s">
        <v>430</v>
      </c>
      <c r="U433" s="46" t="s">
        <v>430</v>
      </c>
      <c r="V433" s="71" t="s">
        <v>430</v>
      </c>
      <c r="W433" s="72" t="s">
        <v>39</v>
      </c>
    </row>
    <row r="434" spans="1:23" s="84" customFormat="1" ht="23.25" customHeight="1">
      <c r="A434" s="26" t="s">
        <v>430</v>
      </c>
      <c r="B434" s="107" t="s">
        <v>241</v>
      </c>
      <c r="C434" s="108" t="s">
        <v>101</v>
      </c>
      <c r="D434" s="17" t="s">
        <v>54</v>
      </c>
      <c r="E434" s="24" t="s">
        <v>222</v>
      </c>
      <c r="F434" s="109" t="s">
        <v>242</v>
      </c>
      <c r="G434" s="109" t="s">
        <v>23</v>
      </c>
      <c r="H434" s="126">
        <v>37092500</v>
      </c>
      <c r="I434" s="77">
        <v>37092500</v>
      </c>
      <c r="J434" s="68">
        <v>0.02</v>
      </c>
      <c r="K434" s="33">
        <v>741850</v>
      </c>
      <c r="L434" s="18">
        <v>46169</v>
      </c>
      <c r="M434" s="18">
        <v>46179</v>
      </c>
      <c r="N434" s="115" t="s">
        <v>344</v>
      </c>
      <c r="O434" s="128">
        <v>44</v>
      </c>
      <c r="P434" s="128"/>
      <c r="Q434" s="128"/>
      <c r="R434" s="73"/>
      <c r="S434" s="21"/>
      <c r="T434" s="48" t="s">
        <v>430</v>
      </c>
      <c r="U434" s="46" t="s">
        <v>430</v>
      </c>
      <c r="V434" s="71" t="s">
        <v>430</v>
      </c>
      <c r="W434" s="72" t="s">
        <v>39</v>
      </c>
    </row>
    <row r="435" spans="1:23" s="84" customFormat="1" ht="23.25" customHeight="1">
      <c r="A435" s="26" t="s">
        <v>430</v>
      </c>
      <c r="B435" s="107" t="s">
        <v>333</v>
      </c>
      <c r="C435" s="108" t="s">
        <v>220</v>
      </c>
      <c r="D435" s="17" t="s">
        <v>54</v>
      </c>
      <c r="E435" s="24" t="s">
        <v>222</v>
      </c>
      <c r="F435" s="109" t="s">
        <v>334</v>
      </c>
      <c r="G435" s="109" t="s">
        <v>23</v>
      </c>
      <c r="H435" s="126">
        <v>14902300</v>
      </c>
      <c r="I435" s="77">
        <v>14902300</v>
      </c>
      <c r="J435" s="68">
        <v>0.02</v>
      </c>
      <c r="K435" s="33">
        <v>298046</v>
      </c>
      <c r="L435" s="18">
        <v>46183</v>
      </c>
      <c r="M435" s="18">
        <v>46193</v>
      </c>
      <c r="N435" s="115" t="s">
        <v>344</v>
      </c>
      <c r="O435" s="128">
        <v>67</v>
      </c>
      <c r="P435" s="128"/>
      <c r="Q435" s="128"/>
      <c r="R435" s="73"/>
      <c r="S435" s="21"/>
      <c r="T435" s="48" t="s">
        <v>430</v>
      </c>
      <c r="U435" s="46" t="s">
        <v>430</v>
      </c>
      <c r="V435" s="71" t="s">
        <v>430</v>
      </c>
      <c r="W435" s="72" t="s">
        <v>39</v>
      </c>
    </row>
    <row r="436" spans="1:23" s="84" customFormat="1" ht="23.25" customHeight="1">
      <c r="A436" s="26" t="s">
        <v>430</v>
      </c>
      <c r="B436" s="107" t="s">
        <v>239</v>
      </c>
      <c r="C436" s="108" t="s">
        <v>101</v>
      </c>
      <c r="D436" s="17" t="s">
        <v>54</v>
      </c>
      <c r="E436" s="24" t="s">
        <v>222</v>
      </c>
      <c r="F436" s="109" t="s">
        <v>240</v>
      </c>
      <c r="G436" s="109" t="s">
        <v>23</v>
      </c>
      <c r="H436" s="126">
        <v>7314700</v>
      </c>
      <c r="I436" s="77">
        <v>7314700</v>
      </c>
      <c r="J436" s="68">
        <v>0.02</v>
      </c>
      <c r="K436" s="33">
        <v>146294</v>
      </c>
      <c r="L436" s="18">
        <v>46187</v>
      </c>
      <c r="M436" s="18">
        <v>46197</v>
      </c>
      <c r="N436" s="115" t="s">
        <v>344</v>
      </c>
      <c r="O436" s="128">
        <v>21</v>
      </c>
      <c r="P436" s="128"/>
      <c r="Q436" s="128"/>
      <c r="R436" s="73"/>
      <c r="S436" s="21"/>
      <c r="T436" s="48" t="s">
        <v>430</v>
      </c>
      <c r="U436" s="46" t="s">
        <v>430</v>
      </c>
      <c r="V436" s="71" t="s">
        <v>430</v>
      </c>
      <c r="W436" s="72" t="s">
        <v>39</v>
      </c>
    </row>
    <row r="437" spans="1:23" s="84" customFormat="1" ht="23.25" customHeight="1">
      <c r="A437" s="26" t="s">
        <v>430</v>
      </c>
      <c r="B437" s="107" t="s">
        <v>243</v>
      </c>
      <c r="C437" s="108" t="s">
        <v>537</v>
      </c>
      <c r="D437" s="17" t="s">
        <v>54</v>
      </c>
      <c r="E437" s="24" t="s">
        <v>222</v>
      </c>
      <c r="F437" s="109" t="s">
        <v>244</v>
      </c>
      <c r="G437" s="109" t="s">
        <v>23</v>
      </c>
      <c r="H437" s="126">
        <v>33989500</v>
      </c>
      <c r="I437" s="77">
        <v>33989500</v>
      </c>
      <c r="J437" s="68">
        <v>0.02</v>
      </c>
      <c r="K437" s="33">
        <v>679790</v>
      </c>
      <c r="L437" s="18">
        <v>46196</v>
      </c>
      <c r="M437" s="18">
        <v>46206</v>
      </c>
      <c r="N437" s="115" t="s">
        <v>344</v>
      </c>
      <c r="O437" s="128">
        <v>31</v>
      </c>
      <c r="P437" s="128"/>
      <c r="Q437" s="128"/>
      <c r="R437" s="73"/>
      <c r="S437" s="21"/>
      <c r="T437" s="48" t="s">
        <v>430</v>
      </c>
      <c r="U437" s="46" t="s">
        <v>430</v>
      </c>
      <c r="V437" s="71" t="s">
        <v>430</v>
      </c>
      <c r="W437" s="72" t="s">
        <v>39</v>
      </c>
    </row>
    <row r="438" spans="1:23" s="84" customFormat="1" ht="23.25" customHeight="1">
      <c r="A438" s="26" t="s">
        <v>430</v>
      </c>
      <c r="B438" s="107" t="s">
        <v>237</v>
      </c>
      <c r="C438" s="108" t="s">
        <v>605</v>
      </c>
      <c r="D438" s="17" t="s">
        <v>54</v>
      </c>
      <c r="E438" s="24" t="s">
        <v>222</v>
      </c>
      <c r="F438" s="109" t="s">
        <v>238</v>
      </c>
      <c r="G438" s="109" t="s">
        <v>23</v>
      </c>
      <c r="H438" s="126">
        <v>1004300</v>
      </c>
      <c r="I438" s="77">
        <v>1004300</v>
      </c>
      <c r="J438" s="68">
        <v>0.02</v>
      </c>
      <c r="K438" s="33">
        <v>20086</v>
      </c>
      <c r="L438" s="18">
        <v>46216</v>
      </c>
      <c r="M438" s="18">
        <v>46226</v>
      </c>
      <c r="N438" s="115" t="s">
        <v>344</v>
      </c>
      <c r="O438" s="128">
        <v>1</v>
      </c>
      <c r="P438" s="128"/>
      <c r="Q438" s="128"/>
      <c r="R438" s="73"/>
      <c r="S438" s="21"/>
      <c r="T438" s="48" t="s">
        <v>430</v>
      </c>
      <c r="U438" s="46" t="s">
        <v>430</v>
      </c>
      <c r="V438" s="71" t="s">
        <v>430</v>
      </c>
      <c r="W438" s="72" t="s">
        <v>39</v>
      </c>
    </row>
    <row r="439" spans="1:23" s="84" customFormat="1" ht="23.25" customHeight="1">
      <c r="A439" s="26" t="s">
        <v>430</v>
      </c>
      <c r="B439" s="107" t="s">
        <v>243</v>
      </c>
      <c r="C439" s="108" t="s">
        <v>537</v>
      </c>
      <c r="D439" s="17" t="s">
        <v>54</v>
      </c>
      <c r="E439" s="24" t="s">
        <v>222</v>
      </c>
      <c r="F439" s="109" t="s">
        <v>244</v>
      </c>
      <c r="G439" s="109" t="s">
        <v>23</v>
      </c>
      <c r="H439" s="126">
        <v>37092500</v>
      </c>
      <c r="I439" s="77">
        <v>37092500</v>
      </c>
      <c r="J439" s="68">
        <v>0.02</v>
      </c>
      <c r="K439" s="33">
        <v>741850</v>
      </c>
      <c r="L439" s="18">
        <v>46229</v>
      </c>
      <c r="M439" s="18">
        <v>46239</v>
      </c>
      <c r="N439" s="115" t="s">
        <v>344</v>
      </c>
      <c r="O439" s="128">
        <v>44</v>
      </c>
      <c r="P439" s="128"/>
      <c r="Q439" s="128"/>
      <c r="R439" s="73"/>
      <c r="S439" s="21"/>
      <c r="T439" s="48" t="s">
        <v>430</v>
      </c>
      <c r="U439" s="46" t="s">
        <v>430</v>
      </c>
      <c r="V439" s="71" t="s">
        <v>430</v>
      </c>
      <c r="W439" s="72" t="s">
        <v>39</v>
      </c>
    </row>
    <row r="440" spans="1:23" s="84" customFormat="1" ht="23.25" customHeight="1">
      <c r="A440" s="26" t="s">
        <v>430</v>
      </c>
      <c r="B440" s="107" t="s">
        <v>241</v>
      </c>
      <c r="C440" s="108" t="s">
        <v>101</v>
      </c>
      <c r="D440" s="17" t="s">
        <v>54</v>
      </c>
      <c r="E440" s="24" t="s">
        <v>222</v>
      </c>
      <c r="F440" s="109" t="s">
        <v>242</v>
      </c>
      <c r="G440" s="109" t="s">
        <v>23</v>
      </c>
      <c r="H440" s="126">
        <v>7314700</v>
      </c>
      <c r="I440" s="77">
        <v>7314700</v>
      </c>
      <c r="J440" s="68">
        <v>0.02</v>
      </c>
      <c r="K440" s="33">
        <v>146294</v>
      </c>
      <c r="L440" s="18">
        <v>46249</v>
      </c>
      <c r="M440" s="18">
        <v>46259</v>
      </c>
      <c r="N440" s="115" t="s">
        <v>344</v>
      </c>
      <c r="O440" s="128">
        <v>21</v>
      </c>
      <c r="P440" s="128"/>
      <c r="Q440" s="128"/>
      <c r="R440" s="73"/>
      <c r="S440" s="21"/>
      <c r="T440" s="48" t="s">
        <v>430</v>
      </c>
      <c r="U440" s="46" t="s">
        <v>430</v>
      </c>
      <c r="V440" s="71" t="s">
        <v>430</v>
      </c>
      <c r="W440" s="72" t="s">
        <v>39</v>
      </c>
    </row>
    <row r="441" spans="1:23" s="84" customFormat="1" ht="23.25" customHeight="1">
      <c r="A441" s="26" t="s">
        <v>430</v>
      </c>
      <c r="B441" s="107" t="s">
        <v>239</v>
      </c>
      <c r="C441" s="108" t="s">
        <v>101</v>
      </c>
      <c r="D441" s="17" t="s">
        <v>54</v>
      </c>
      <c r="E441" s="24" t="s">
        <v>222</v>
      </c>
      <c r="F441" s="109" t="s">
        <v>240</v>
      </c>
      <c r="G441" s="109" t="s">
        <v>23</v>
      </c>
      <c r="H441" s="126">
        <v>1004300</v>
      </c>
      <c r="I441" s="77">
        <v>1004300</v>
      </c>
      <c r="J441" s="68">
        <v>0.02</v>
      </c>
      <c r="K441" s="33">
        <v>20086</v>
      </c>
      <c r="L441" s="18">
        <v>46263</v>
      </c>
      <c r="M441" s="18">
        <v>46273</v>
      </c>
      <c r="N441" s="115" t="s">
        <v>344</v>
      </c>
      <c r="O441" s="128">
        <v>1</v>
      </c>
      <c r="P441" s="128"/>
      <c r="Q441" s="128"/>
      <c r="R441" s="73"/>
      <c r="S441" s="21"/>
      <c r="T441" s="48" t="s">
        <v>430</v>
      </c>
      <c r="U441" s="46" t="s">
        <v>430</v>
      </c>
      <c r="V441" s="71" t="s">
        <v>430</v>
      </c>
      <c r="W441" s="72" t="s">
        <v>39</v>
      </c>
    </row>
    <row r="442" spans="1:23" s="84" customFormat="1" ht="23.25" customHeight="1">
      <c r="A442" s="26" t="s">
        <v>430</v>
      </c>
      <c r="B442" s="107" t="s">
        <v>243</v>
      </c>
      <c r="C442" s="108" t="s">
        <v>537</v>
      </c>
      <c r="D442" s="17" t="s">
        <v>54</v>
      </c>
      <c r="E442" s="24" t="s">
        <v>222</v>
      </c>
      <c r="F442" s="109" t="s">
        <v>244</v>
      </c>
      <c r="G442" s="109" t="s">
        <v>23</v>
      </c>
      <c r="H442" s="126">
        <v>7314700</v>
      </c>
      <c r="I442" s="77">
        <v>7314700</v>
      </c>
      <c r="J442" s="68">
        <v>0.02</v>
      </c>
      <c r="K442" s="33">
        <v>146294</v>
      </c>
      <c r="L442" s="18">
        <v>46294</v>
      </c>
      <c r="M442" s="18">
        <v>46304</v>
      </c>
      <c r="N442" s="115" t="s">
        <v>344</v>
      </c>
      <c r="O442" s="128">
        <v>21</v>
      </c>
      <c r="P442" s="128"/>
      <c r="Q442" s="128"/>
      <c r="R442" s="73"/>
      <c r="S442" s="21"/>
      <c r="T442" s="48" t="s">
        <v>430</v>
      </c>
      <c r="U442" s="46" t="s">
        <v>430</v>
      </c>
      <c r="V442" s="71" t="s">
        <v>430</v>
      </c>
      <c r="W442" s="72" t="s">
        <v>39</v>
      </c>
    </row>
    <row r="443" spans="1:23" s="84" customFormat="1" ht="23.25" customHeight="1">
      <c r="A443" s="26" t="s">
        <v>430</v>
      </c>
      <c r="B443" s="107" t="s">
        <v>241</v>
      </c>
      <c r="C443" s="108" t="s">
        <v>101</v>
      </c>
      <c r="D443" s="17" t="s">
        <v>54</v>
      </c>
      <c r="E443" s="24" t="s">
        <v>222</v>
      </c>
      <c r="F443" s="109" t="s">
        <v>242</v>
      </c>
      <c r="G443" s="109" t="s">
        <v>23</v>
      </c>
      <c r="H443" s="126">
        <v>1004300</v>
      </c>
      <c r="I443" s="77">
        <v>1004300</v>
      </c>
      <c r="J443" s="68">
        <v>0.02</v>
      </c>
      <c r="K443" s="33">
        <v>20086</v>
      </c>
      <c r="L443" s="18">
        <v>46301</v>
      </c>
      <c r="M443" s="18">
        <v>46311</v>
      </c>
      <c r="N443" s="115" t="s">
        <v>344</v>
      </c>
      <c r="O443" s="128">
        <v>1</v>
      </c>
      <c r="P443" s="128"/>
      <c r="Q443" s="128"/>
      <c r="R443" s="73"/>
      <c r="S443" s="21"/>
      <c r="T443" s="48" t="s">
        <v>430</v>
      </c>
      <c r="U443" s="46" t="s">
        <v>430</v>
      </c>
      <c r="V443" s="71" t="s">
        <v>430</v>
      </c>
      <c r="W443" s="72" t="s">
        <v>39</v>
      </c>
    </row>
    <row r="444" spans="1:23" s="84" customFormat="1" ht="23.25" customHeight="1">
      <c r="A444" s="26" t="s">
        <v>430</v>
      </c>
      <c r="B444" s="107" t="s">
        <v>243</v>
      </c>
      <c r="C444" s="108" t="s">
        <v>537</v>
      </c>
      <c r="D444" s="17" t="s">
        <v>54</v>
      </c>
      <c r="E444" s="24" t="s">
        <v>222</v>
      </c>
      <c r="F444" s="109" t="s">
        <v>244</v>
      </c>
      <c r="G444" s="109" t="s">
        <v>23</v>
      </c>
      <c r="H444" s="126">
        <v>1004300</v>
      </c>
      <c r="I444" s="77">
        <v>1004300</v>
      </c>
      <c r="J444" s="68">
        <v>0.02</v>
      </c>
      <c r="K444" s="33">
        <v>20086</v>
      </c>
      <c r="L444" s="18">
        <v>46348</v>
      </c>
      <c r="M444" s="18">
        <v>46358</v>
      </c>
      <c r="N444" s="115" t="s">
        <v>344</v>
      </c>
      <c r="O444" s="128">
        <v>1</v>
      </c>
      <c r="P444" s="128"/>
      <c r="Q444" s="128"/>
      <c r="R444" s="73"/>
      <c r="S444" s="21"/>
      <c r="T444" s="48" t="s">
        <v>430</v>
      </c>
      <c r="U444" s="46" t="s">
        <v>430</v>
      </c>
      <c r="V444" s="71" t="s">
        <v>430</v>
      </c>
      <c r="W444" s="72" t="s">
        <v>39</v>
      </c>
    </row>
    <row r="445" spans="1:23" s="84" customFormat="1" ht="31.5" customHeight="1">
      <c r="A445" s="219" t="s">
        <v>25</v>
      </c>
      <c r="B445" s="220"/>
      <c r="C445" s="220"/>
      <c r="D445" s="220"/>
      <c r="E445" s="220"/>
      <c r="F445" s="221"/>
      <c r="G445" s="155" t="s">
        <v>22</v>
      </c>
      <c r="H445" s="158">
        <f>SUM(H5:H444)</f>
        <v>4967488960</v>
      </c>
      <c r="I445" s="154">
        <f>SUM(I5:I444)</f>
        <v>4967488960</v>
      </c>
      <c r="J445" s="99"/>
      <c r="K445" s="162">
        <f>SUM(K5:K444)</f>
        <v>144426848</v>
      </c>
      <c r="L445" s="99"/>
      <c r="M445" s="99"/>
      <c r="N445" s="100"/>
      <c r="O445" s="159"/>
      <c r="P445" s="160"/>
      <c r="Q445" s="161"/>
    </row>
  </sheetData>
  <autoFilter ref="A4:W445" xr:uid="{00000000-0001-0000-0500-000000000000}">
    <sortState xmlns:xlrd2="http://schemas.microsoft.com/office/spreadsheetml/2017/richdata2" ref="A5:W445">
      <sortCondition ref="M4:M445"/>
    </sortState>
  </autoFilter>
  <mergeCells count="3">
    <mergeCell ref="A1:Q1"/>
    <mergeCell ref="A2:Q2"/>
    <mergeCell ref="A445:F445"/>
  </mergeCells>
  <phoneticPr fontId="4" type="noConversion"/>
  <conditionalFormatting sqref="B446:B1048576 B1 B3:B4">
    <cfRule type="duplicateValues" dxfId="5" priority="262"/>
  </conditionalFormatting>
  <conditionalFormatting sqref="G3:I444 K4:K444 G446:I1048576">
    <cfRule type="expression" dxfId="4" priority="6">
      <formula>$G3="USD"</formula>
    </cfRule>
  </conditionalFormatting>
  <conditionalFormatting sqref="H5:H444">
    <cfRule type="expression" dxfId="3" priority="1">
      <formula>$O5="KRW"</formula>
    </cfRule>
  </conditionalFormatting>
  <conditionalFormatting sqref="I5:I444 K5:K444">
    <cfRule type="expression" dxfId="2" priority="2">
      <formula>$Q5="KRW"</formula>
    </cfRule>
  </conditionalFormatting>
  <conditionalFormatting sqref="L3:L444">
    <cfRule type="cellIs" dxfId="1" priority="7" operator="lessThanOrEqual">
      <formula>$R$2</formula>
    </cfRule>
  </conditionalFormatting>
  <conditionalFormatting sqref="L5:L444">
    <cfRule type="cellIs" dxfId="0" priority="3" operator="lessThanOrEqual">
      <formula>$N$2</formula>
    </cfRule>
  </conditionalFormatting>
  <printOptions horizontalCentered="1"/>
  <pageMargins left="0.39370078740157483" right="0.27559055118110237" top="0.55118110236220474" bottom="0.47244094488188981" header="0.43307086614173229" footer="0.27559055118110237"/>
  <pageSetup paperSize="9" scale="44" fitToHeight="0" orientation="portrait" r:id="rId1"/>
  <headerFooter alignWithMargins="0">
    <oddFooter>&amp;L양식-영업-18(0)&amp;C(주)키츠코리아&amp;RA4(210X297)mm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14</vt:i4>
      </vt:variant>
    </vt:vector>
  </HeadingPairs>
  <TitlesOfParts>
    <vt:vector size="21" baseType="lpstr">
      <vt:lpstr>6월 수주잔액 (수출)</vt:lpstr>
      <vt:lpstr>6월 수주잔액 (KITZ)</vt:lpstr>
      <vt:lpstr>6월 수주잔액 (KITZ PUR.)</vt:lpstr>
      <vt:lpstr>6월 수주잔액 (KITZ STOCK)</vt:lpstr>
      <vt:lpstr>6월 수주잔액 (내수)</vt:lpstr>
      <vt:lpstr>6월 수주잔액 (조선)</vt:lpstr>
      <vt:lpstr>6월 수주잔액 (한화오션)</vt:lpstr>
      <vt:lpstr>'6월 수주잔액 (KITZ PUR.)'!Print_Area</vt:lpstr>
      <vt:lpstr>'6월 수주잔액 (KITZ STOCK)'!Print_Area</vt:lpstr>
      <vt:lpstr>'6월 수주잔액 (KITZ)'!Print_Area</vt:lpstr>
      <vt:lpstr>'6월 수주잔액 (내수)'!Print_Area</vt:lpstr>
      <vt:lpstr>'6월 수주잔액 (수출)'!Print_Area</vt:lpstr>
      <vt:lpstr>'6월 수주잔액 (조선)'!Print_Area</vt:lpstr>
      <vt:lpstr>'6월 수주잔액 (한화오션)'!Print_Area</vt:lpstr>
      <vt:lpstr>'6월 수주잔액 (KITZ PUR.)'!Print_Titles</vt:lpstr>
      <vt:lpstr>'6월 수주잔액 (KITZ STOCK)'!Print_Titles</vt:lpstr>
      <vt:lpstr>'6월 수주잔액 (KITZ)'!Print_Titles</vt:lpstr>
      <vt:lpstr>'6월 수주잔액 (내수)'!Print_Titles</vt:lpstr>
      <vt:lpstr>'6월 수주잔액 (수출)'!Print_Titles</vt:lpstr>
      <vt:lpstr>'6월 수주잔액 (조선)'!Print_Titles</vt:lpstr>
      <vt:lpstr>'6월 수주잔액 (한화오션)'!Print_Titles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최지영-PC</dc:creator>
  <cp:lastModifiedBy>최지영</cp:lastModifiedBy>
  <cp:lastPrinted>2024-08-02T04:54:05Z</cp:lastPrinted>
  <dcterms:created xsi:type="dcterms:W3CDTF">2019-07-03T01:19:01Z</dcterms:created>
  <dcterms:modified xsi:type="dcterms:W3CDTF">2025-07-03T02:30:32Z</dcterms:modified>
</cp:coreProperties>
</file>