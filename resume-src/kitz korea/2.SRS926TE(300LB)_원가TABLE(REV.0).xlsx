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4.xml" ContentType="application/vnd.openxmlformats-officedocument.spreadsheetml.comments+xml"/>
  <Override PartName="/xl/drawings/drawing4.xml" ContentType="application/vnd.openxmlformats-officedocument.drawing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drawings/drawing5.xml" ContentType="application/vnd.openxmlformats-officedocument.drawing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drawings/drawing6.xml" ContentType="application/vnd.openxmlformats-officedocument.drawing+xml"/>
  <Override PartName="/xl/comments1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\\192.168.12.215\02.영업부\03.원가 TABLE\TRIPLE\"/>
    </mc:Choice>
  </mc:AlternateContent>
  <xr:revisionPtr revIDLastSave="0" documentId="13_ncr:1_{2798EEA2-DF23-4321-AF2D-0D178DC09135}" xr6:coauthVersionLast="47" xr6:coauthVersionMax="47" xr10:uidLastSave="{00000000-0000-0000-0000-000000000000}"/>
  <bookViews>
    <workbookView xWindow="28680" yWindow="-120" windowWidth="29040" windowHeight="15840" firstSheet="11" activeTab="19" xr2:uid="{00000000-000D-0000-FFFF-FFFF00000000}"/>
  </bookViews>
  <sheets>
    <sheet name="COVER" sheetId="19" r:id="rId1"/>
    <sheet name="주조단가" sheetId="20" r:id="rId2"/>
    <sheet name="80-300LB" sheetId="9" r:id="rId3"/>
    <sheet name="100-300LB" sheetId="10" r:id="rId4"/>
    <sheet name="150-300LB" sheetId="11" r:id="rId5"/>
    <sheet name="200-300LB" sheetId="12" r:id="rId6"/>
    <sheet name="250-300LB" sheetId="13" r:id="rId7"/>
    <sheet name="300-300LB" sheetId="14" r:id="rId8"/>
    <sheet name="350-300LB" sheetId="15" r:id="rId9"/>
    <sheet name="400-300LB" sheetId="16" r:id="rId10"/>
    <sheet name="450-300LB" sheetId="17" r:id="rId11"/>
    <sheet name="500-300LB" sheetId="18" r:id="rId12"/>
    <sheet name="600-300LB" sheetId="1" r:id="rId13"/>
    <sheet name="750-300LB" sheetId="8" r:id="rId14"/>
    <sheet name="800-300LB " sheetId="21" r:id="rId15"/>
    <sheet name="900-300LB" sheetId="3" r:id="rId16"/>
    <sheet name="1000-300LB" sheetId="4" r:id="rId17"/>
    <sheet name="1050-300LB" sheetId="5" r:id="rId18"/>
    <sheet name="1200-300LB" sheetId="6" r:id="rId19"/>
    <sheet name="1400-300LB" sheetId="7" r:id="rId20"/>
  </sheets>
  <externalReferences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</externalReferences>
  <definedNames>
    <definedName name="_____________FLL2" hidden="1">#REF!</definedName>
    <definedName name="_____________SHT1">#REF!</definedName>
    <definedName name="_____________SHT2">#REF!</definedName>
    <definedName name="_____________SHT3">#REF!</definedName>
    <definedName name="___________FLL2" hidden="1">#REF!</definedName>
    <definedName name="___________SHT1">#REF!</definedName>
    <definedName name="___________SHT2">#REF!</definedName>
    <definedName name="___________SHT3">#REF!</definedName>
    <definedName name="_________FLL2" hidden="1">#REF!</definedName>
    <definedName name="_________SHT1">#REF!</definedName>
    <definedName name="_________SHT2">#REF!</definedName>
    <definedName name="_________SHT3">#REF!</definedName>
    <definedName name="_______FLL2" hidden="1">#REF!</definedName>
    <definedName name="_______SHT1">#REF!</definedName>
    <definedName name="_______SHT2">#REF!</definedName>
    <definedName name="_______SHT3">#REF!</definedName>
    <definedName name="______FLL2" hidden="1">#REF!</definedName>
    <definedName name="_____FLL2" hidden="1">#REF!</definedName>
    <definedName name="_____SHT1">#REF!</definedName>
    <definedName name="_____SHT2">#REF!</definedName>
    <definedName name="_____SHT3">#REF!</definedName>
    <definedName name="____FLL2" hidden="1">#REF!</definedName>
    <definedName name="____SHT1">#REF!</definedName>
    <definedName name="____SHT2">#REF!</definedName>
    <definedName name="____SHT3">#REF!</definedName>
    <definedName name="___a5">#N/A</definedName>
    <definedName name="___a6">#N/A</definedName>
    <definedName name="___FLL2" hidden="1">#REF!</definedName>
    <definedName name="___OPT8">#N/A</definedName>
    <definedName name="___OPT9">#N/A</definedName>
    <definedName name="___rev1">[1]Sheeta!$I$8</definedName>
    <definedName name="___rev2">[1]Sheeta!$I$9</definedName>
    <definedName name="___rev3">[1]Sheeta!$I$10</definedName>
    <definedName name="___rev4">[1]Sheeta!$I$11</definedName>
    <definedName name="___SHT1">#REF!</definedName>
    <definedName name="___SHT2">#REF!</definedName>
    <definedName name="___SHT3">#REF!</definedName>
    <definedName name="__123Graph_A" hidden="1">[2]TTL!$G$31:$AU$31</definedName>
    <definedName name="__123Graph_B" hidden="1">[2]TTL!$G$32:$AU$32</definedName>
    <definedName name="__123Graph_C" hidden="1">[2]TTL!$G$37:$AU$37</definedName>
    <definedName name="__123Graph_D" hidden="1">[2]TTL!$G$38:$AU$38</definedName>
    <definedName name="__123Graph_X" hidden="1">[2]TTL!$G$6:$AU$6</definedName>
    <definedName name="__a5">#N/A</definedName>
    <definedName name="__a6">#N/A</definedName>
    <definedName name="__FLL2" hidden="1">#REF!</definedName>
    <definedName name="__OPT8">#N/A</definedName>
    <definedName name="__OPT9">#N/A</definedName>
    <definedName name="__plc1">[3]INSTR!$A$5:$M$208</definedName>
    <definedName name="__rev1">[1]Sheeta!$I$8</definedName>
    <definedName name="__rev2">[1]Sheeta!$I$9</definedName>
    <definedName name="__rev3">[1]Sheeta!$I$10</definedName>
    <definedName name="__rev4">[1]Sheeta!$I$11</definedName>
    <definedName name="_2NDFOUR">#REF!</definedName>
    <definedName name="_2NDONE">#REF!</definedName>
    <definedName name="_2NDTHREE">#REF!</definedName>
    <definedName name="_4">#REF!</definedName>
    <definedName name="_5">#REF!</definedName>
    <definedName name="_6">#REF!</definedName>
    <definedName name="_7">#REF!</definedName>
    <definedName name="_a5">[4]!Module1.UNITOK</definedName>
    <definedName name="_a6">[4]!UNITOK</definedName>
    <definedName name="_Fill" hidden="1">#REF!</definedName>
    <definedName name="_xlnm._FilterDatabase" localSheetId="16" hidden="1">'1000-300LB'!$A$7:$T$70</definedName>
    <definedName name="_xlnm._FilterDatabase" localSheetId="3" hidden="1">'100-300LB'!$A$7:$T$70</definedName>
    <definedName name="_xlnm._FilterDatabase" localSheetId="17" hidden="1">'1050-300LB'!$A$7:$T$70</definedName>
    <definedName name="_xlnm._FilterDatabase" localSheetId="18" hidden="1">'1200-300LB'!$A$7:$T$70</definedName>
    <definedName name="_xlnm._FilterDatabase" localSheetId="19" hidden="1">'1400-300LB'!$A$7:$T$70</definedName>
    <definedName name="_xlnm._FilterDatabase" localSheetId="4" hidden="1">'150-300LB'!$A$7:$T$70</definedName>
    <definedName name="_xlnm._FilterDatabase" localSheetId="5" hidden="1">'200-300LB'!$A$7:$T$70</definedName>
    <definedName name="_xlnm._FilterDatabase" localSheetId="6" hidden="1">'250-300LB'!$A$7:$T$70</definedName>
    <definedName name="_xlnm._FilterDatabase" localSheetId="7" hidden="1">'300-300LB'!$A$7:$T$70</definedName>
    <definedName name="_xlnm._FilterDatabase" localSheetId="8" hidden="1">'350-300LB'!$A$7:$T$70</definedName>
    <definedName name="_xlnm._FilterDatabase" localSheetId="9" hidden="1">'400-300LB'!$A$7:$T$70</definedName>
    <definedName name="_xlnm._FilterDatabase" localSheetId="10" hidden="1">'450-300LB'!$A$7:$T$70</definedName>
    <definedName name="_xlnm._FilterDatabase" localSheetId="11" hidden="1">'500-300LB'!$A$7:$T$70</definedName>
    <definedName name="_xlnm._FilterDatabase" localSheetId="12" hidden="1">'600-300LB'!$A$7:$T$70</definedName>
    <definedName name="_xlnm._FilterDatabase" localSheetId="13" hidden="1">'750-300LB'!$A$7:$T$70</definedName>
    <definedName name="_xlnm._FilterDatabase" localSheetId="14" hidden="1">'800-300LB '!$A$7:$T$70</definedName>
    <definedName name="_xlnm._FilterDatabase" localSheetId="2" hidden="1">'80-300LB'!$A$7:$T$70</definedName>
    <definedName name="_xlnm._FilterDatabase" localSheetId="15" hidden="1">'900-300LB'!$A$7:$T$70</definedName>
    <definedName name="_FLL2" localSheetId="13" hidden="1">#REF!</definedName>
    <definedName name="_FLL2" localSheetId="14" hidden="1">#REF!</definedName>
    <definedName name="_FLL2" hidden="1">#REF!</definedName>
    <definedName name="_GFDS">'[5]Pag. 1'!$A$203:$S$256</definedName>
    <definedName name="_HKT">'[5]Pag. 1'!$A$611:$S$663</definedName>
    <definedName name="_Key1" localSheetId="13" hidden="1">#REF!</definedName>
    <definedName name="_Key1" localSheetId="14" hidden="1">#REF!</definedName>
    <definedName name="_Key1" hidden="1">#REF!</definedName>
    <definedName name="_Key2" localSheetId="13" hidden="1">#REF!</definedName>
    <definedName name="_Key2" localSheetId="14" hidden="1">#REF!</definedName>
    <definedName name="_Key2" hidden="1">#REF!</definedName>
    <definedName name="_KUIY">'[5]Pag. 1'!$A$319:$S$380</definedName>
    <definedName name="_LKOIU">'[5]Pag. 1'!$A$319:$S$380</definedName>
    <definedName name="_ooo" localSheetId="13">#REF!</definedName>
    <definedName name="_ooo" localSheetId="14">#REF!</definedName>
    <definedName name="_ooo">#REF!</definedName>
    <definedName name="_OPT8">[4]!_xlbgnm.OPT8</definedName>
    <definedName name="_OPT9">[4]!_xlbgnm.OPT9</definedName>
    <definedName name="_Order1">255</definedName>
    <definedName name="_Order2" hidden="1">255</definedName>
    <definedName name="_plc1">[3]INSTR!$A$5:$M$208</definedName>
    <definedName name="_pppp">'[5]Pag. 1'!$A$665:$S$717</definedName>
    <definedName name="_Regression_Out" localSheetId="13" hidden="1">#REF!</definedName>
    <definedName name="_Regression_Out" localSheetId="14" hidden="1">#REF!</definedName>
    <definedName name="_Regression_Out" hidden="1">#REF!</definedName>
    <definedName name="_Regression_X" localSheetId="13" hidden="1">#REF!</definedName>
    <definedName name="_Regression_X" localSheetId="14" hidden="1">#REF!</definedName>
    <definedName name="_Regression_X" hidden="1">#REF!</definedName>
    <definedName name="_Regression_Y" localSheetId="13" hidden="1">#REF!</definedName>
    <definedName name="_Regression_Y" localSheetId="14" hidden="1">#REF!</definedName>
    <definedName name="_Regression_Y" hidden="1">#REF!</definedName>
    <definedName name="_rev1">[1]Sheeta!$I$8</definedName>
    <definedName name="_rev2">[1]Sheeta!$I$9</definedName>
    <definedName name="_rev3">[1]Sheeta!$I$10</definedName>
    <definedName name="_rev4">[1]Sheeta!$I$11</definedName>
    <definedName name="_SHT1">#REF!</definedName>
    <definedName name="_SHT2">#REF!</definedName>
    <definedName name="_SHT3">#REF!</definedName>
    <definedName name="_Sort" hidden="1">#REF!</definedName>
    <definedName name="_tttt">#REF!</definedName>
    <definedName name="\a">#REF!</definedName>
    <definedName name="\b">[6]실행내역!#REF!</definedName>
    <definedName name="\c">#N/A</definedName>
    <definedName name="\g">#REF!</definedName>
    <definedName name="\J">#REF!</definedName>
    <definedName name="\z">[7]BATCH!#REF!</definedName>
    <definedName name="a" localSheetId="13">BlankMacro1</definedName>
    <definedName name="a" localSheetId="14">BlankMacro1</definedName>
    <definedName name="a">BlankMacro1</definedName>
    <definedName name="A0" localSheetId="13">#REF!</definedName>
    <definedName name="A0" localSheetId="14">#REF!</definedName>
    <definedName name="A0">#REF!</definedName>
    <definedName name="aa" localSheetId="13">BlankMacro1</definedName>
    <definedName name="aa" localSheetId="14">BlankMacro1</definedName>
    <definedName name="aa">BlankMacro1</definedName>
    <definedName name="aaa" localSheetId="13">#REF!</definedName>
    <definedName name="aaa" localSheetId="14">#REF!</definedName>
    <definedName name="aaa">#REF!</definedName>
    <definedName name="aaaa">[4]!aaaa</definedName>
    <definedName name="AddBorders">#REF!</definedName>
    <definedName name="analyzer_flg_001">#REF!</definedName>
    <definedName name="anscount">1</definedName>
    <definedName name="area_id_001">#REF!</definedName>
    <definedName name="asdf">#REF!</definedName>
    <definedName name="AUTO">[4]!AUTO</definedName>
    <definedName name="backup_link_master_001">#REF!</definedName>
    <definedName name="border_temp_001">'[8]Y-MOV2011'!#REF!</definedName>
    <definedName name="calc_program_note_001" localSheetId="13">#REF!</definedName>
    <definedName name="calc_program_note_001" localSheetId="14">#REF!</definedName>
    <definedName name="calc_program_note_001">#REF!</definedName>
    <definedName name="calc_user_note_001" localSheetId="13">#REF!</definedName>
    <definedName name="calc_user_note_001" localSheetId="14">#REF!</definedName>
    <definedName name="calc_user_note_001">#REF!</definedName>
    <definedName name="calib_equip_id_1_001" localSheetId="13">#REF!</definedName>
    <definedName name="calib_equip_id_1_001" localSheetId="14">#REF!</definedName>
    <definedName name="calib_equip_id_1_001">#REF!</definedName>
    <definedName name="calib_equip_id_2_001">#REF!</definedName>
    <definedName name="calib_equip_id_3_001">#REF!</definedName>
    <definedName name="calib_equip_id_4_001">#REF!</definedName>
    <definedName name="calib_error_percent_001">#REF!</definedName>
    <definedName name="calib_error_percent_flg_001">#REF!</definedName>
    <definedName name="calib_error_percent_low_001">#REF!</definedName>
    <definedName name="calib_error_percent_uom_001">#REF!</definedName>
    <definedName name="calib_error_percent_uom_uflg_001">#REF!</definedName>
    <definedName name="calib_output_flg_001">#REF!</definedName>
    <definedName name="calib_pnt_direction_001">#REF!</definedName>
    <definedName name="calib_range_max">#REF!</definedName>
    <definedName name="calib_range_max_001">#REF!</definedName>
    <definedName name="calib_range_min">#REF!</definedName>
    <definedName name="calib_range_min_001">#REF!</definedName>
    <definedName name="calib_range_uflg_max_001">#REF!</definedName>
    <definedName name="calib_range_uflg_min_001">#REF!</definedName>
    <definedName name="calib_range_uom_max_001">#REF!</definedName>
    <definedName name="calib_range_uom_min_001">#REF!</definedName>
    <definedName name="calib_set_1_id_001">#REF!</definedName>
    <definedName name="calib_set_2_id_001">#REF!</definedName>
    <definedName name="calib_set_3_id_001">#REF!</definedName>
    <definedName name="calib_set_4_id_001">#REF!</definedName>
    <definedName name="calib_set_error_type_flg_001">#REF!</definedName>
    <definedName name="calib_set_flg_001">#REF!</definedName>
    <definedName name="calib_set_leak_rate_al_001">#REF!</definedName>
    <definedName name="calib_set_leak_rate_al_uom_001">#REF!</definedName>
    <definedName name="calib_set_max_001">#REF!</definedName>
    <definedName name="calib_set_max_ag_001">#REF!</definedName>
    <definedName name="calib_set_min_001">#REF!</definedName>
    <definedName name="calib_set_min_ag_001">#REF!</definedName>
    <definedName name="calib_set_no_pnt_001">#REF!</definedName>
    <definedName name="calib_set_output_max">#REF!</definedName>
    <definedName name="calib_set_output_max_001">#REF!</definedName>
    <definedName name="calib_set_output_min">#REF!</definedName>
    <definedName name="calib_set_output_min_001">#REF!</definedName>
    <definedName name="calib_set_output_uom_001">#REF!</definedName>
    <definedName name="calib_set_point_desc_001">#REF!</definedName>
    <definedName name="calib_set_point_dir_001">#REF!</definedName>
    <definedName name="calib_set_point_flg_001">#REF!</definedName>
    <definedName name="calib_set_point_max_001">#REF!</definedName>
    <definedName name="calib_set_point_min_001">#REF!</definedName>
    <definedName name="calib_set_point_uom_001">#REF!</definedName>
    <definedName name="calib_set_point_uom_uflg_001">#REF!</definedName>
    <definedName name="calib_set_point_value_001">#REF!</definedName>
    <definedName name="calib_set_required_flg_001">#REF!</definedName>
    <definedName name="calib_set_single_pnt_level_001">#REF!</definedName>
    <definedName name="calib_set_udf_c01_001">#REF!</definedName>
    <definedName name="calib_set_udf_c02_001">#REF!</definedName>
    <definedName name="calib_set_udf_c03_001">#REF!</definedName>
    <definedName name="calib_set_udf_c04_001">#REF!</definedName>
    <definedName name="calib_set_udf_c05_001">#REF!</definedName>
    <definedName name="calib_set_udf_c06_001">#REF!</definedName>
    <definedName name="calib_set_udf_c07_001">#REF!</definedName>
    <definedName name="calib_set_udf_c08_001">#REF!</definedName>
    <definedName name="calib_set_udf_c09_001">#REF!</definedName>
    <definedName name="calib_set_udf_c10_001">#REF!</definedName>
    <definedName name="calib_set_udf_c11_001">#REF!</definedName>
    <definedName name="calib_set_udf_c12_001">#REF!</definedName>
    <definedName name="calib_set_udf_c13_001">#REF!</definedName>
    <definedName name="calib_set_udf_c14_001">#REF!</definedName>
    <definedName name="calib_set_udf_c15_001">#REF!</definedName>
    <definedName name="calib_set_udf_c16_001">#REF!</definedName>
    <definedName name="calib_set_udf_c17_001">#REF!</definedName>
    <definedName name="calib_set_udf_c18_001">#REF!</definedName>
    <definedName name="calib_set_udf_c19_001">#REF!</definedName>
    <definedName name="calib_set_udf_c20_001">#REF!</definedName>
    <definedName name="calib_set_uom_001">#REF!</definedName>
    <definedName name="calib_set_uom_min_001">#REF!</definedName>
    <definedName name="calib_sub_lower_error_001">#REF!</definedName>
    <definedName name="calib_sub_upper_error_001">#REF!</definedName>
    <definedName name="callib_setting_id_001">#REF!</definedName>
    <definedName name="capacitance_001">#REF!</definedName>
    <definedName name="capacitance_uom_001">#REF!</definedName>
    <definedName name="case_id_001">#REF!</definedName>
    <definedName name="cat_valve_id_001">#REF!</definedName>
    <definedName name="cd_LB_cv_valve_type_001">[9]Connections!$N$23:$N$29</definedName>
    <definedName name="cd_LB_pd_failure_action_001">[9]Connections!$H$23:$H$27</definedName>
    <definedName name="cd_LB_pd_fluid_phase_001">[9]Connections!$E$23:$E$27</definedName>
    <definedName name="cd_LB_pd_seat_leak_001">[9]Connections!$K$23:$K$34</definedName>
    <definedName name="cd_LB_spec_udf_c50_001">[9]Connections!$W$23:$W$25</definedName>
    <definedName name="cd_LB_spec_udf_c86_001">[9]Connections!$T$23:$T$25</definedName>
    <definedName name="cd_LB_spec_udf_c87_001">[9]Connections!$Q$23:$Q$25</definedName>
    <definedName name="ce">'[1]Units+rev'!$E$3</definedName>
    <definedName name="cell_001" localSheetId="13">#REF!</definedName>
    <definedName name="cell_001" localSheetId="14">#REF!</definedName>
    <definedName name="cell_001">#REF!</definedName>
    <definedName name="ch_cv_valve_type_001">[9]Connections!$M$21</definedName>
    <definedName name="ch_pd_failure_action_001">[9]Connections!$G$21</definedName>
    <definedName name="ch_pd_fluid_phase_001">[9]Connections!$D$21</definedName>
    <definedName name="ch_pd_seat_leak_001">[9]Connections!$J$21</definedName>
    <definedName name="ch_spec_udf_c50_001">[9]Connections!$V$21</definedName>
    <definedName name="ch_spec_udf_c86_001">[9]Connections!$S$21</definedName>
    <definedName name="ch_spec_udf_c87_001">[9]Connections!$P$21</definedName>
    <definedName name="CHECK" localSheetId="13">#REF!</definedName>
    <definedName name="CHECK" localSheetId="14">#REF!</definedName>
    <definedName name="CHECK">#REF!</definedName>
    <definedName name="chg_date_001" localSheetId="13">#REF!</definedName>
    <definedName name="chg_date_001" localSheetId="14">#REF!</definedName>
    <definedName name="chg_date_001">#REF!</definedName>
    <definedName name="chg_num_001" localSheetId="13">#REF!</definedName>
    <definedName name="chg_num_001" localSheetId="14">#REF!</definedName>
    <definedName name="chg_num_001">#REF!</definedName>
    <definedName name="chg_status_001">#REF!</definedName>
    <definedName name="circuit_001">#REF!</definedName>
    <definedName name="circuit_id_001">#REF!</definedName>
    <definedName name="Client">[1]Sheeta!$C$7</definedName>
    <definedName name="cmpnt_certif_id_001">#REF!</definedName>
    <definedName name="cmpnt_critical_id_001">#REF!</definedName>
    <definedName name="cmpnt_find_rem_001">#REF!</definedName>
    <definedName name="cmpnt_func_type_id_001">#REF!</definedName>
    <definedName name="cmpnt_id_001">#REF!</definedName>
    <definedName name="cmpnt_is_circuite_type_id_001">#REF!</definedName>
    <definedName name="cmpnt_loc_id_001">#REF!</definedName>
    <definedName name="cmpnt_mfr_id_001">#REF!</definedName>
    <definedName name="cmpnt_mod_id_001">#REF!</definedName>
    <definedName name="cmpnt_name">#REF!</definedName>
    <definedName name="cmpnt_name_001">#REF!</definedName>
    <definedName name="cmpnt_serv">#REF!</definedName>
    <definedName name="cmpnt_serv_001">#REF!</definedName>
    <definedName name="cmpnt_set_point_h_001">#REF!</definedName>
    <definedName name="cmpnt_set_point_h_dir_001">#REF!</definedName>
    <definedName name="cmpnt_set_point_hh_001">#REF!</definedName>
    <definedName name="cmpnt_set_point_hh_dir_001">#REF!</definedName>
    <definedName name="cmpnt_set_point_l_001">#REF!</definedName>
    <definedName name="cmpnt_set_point_l_dir_001">#REF!</definedName>
    <definedName name="cmpnt_set_point_ll_001">#REF!</definedName>
    <definedName name="cmpnt_set_point_ll_dir_001">#REF!</definedName>
    <definedName name="cmpnt_sys_io_type_id_001">#REF!</definedName>
    <definedName name="cmpnt_type_id_001">#REF!</definedName>
    <definedName name="co">'[1]Units+rev'!$E$4</definedName>
    <definedName name="comp_critic_press_uom_001" localSheetId="13">#REF!</definedName>
    <definedName name="comp_critic_press_uom_001" localSheetId="14">#REF!</definedName>
    <definedName name="comp_critic_press_uom_001">#REF!</definedName>
    <definedName name="comp_flow_uom_001" localSheetId="13">#REF!</definedName>
    <definedName name="comp_flow_uom_001" localSheetId="14">#REF!</definedName>
    <definedName name="comp_flow_uom_001">#REF!</definedName>
    <definedName name="comp_flow_uom_1_001" localSheetId="13">#REF!</definedName>
    <definedName name="comp_flow_uom_1_001" localSheetId="14">#REF!</definedName>
    <definedName name="comp_flow_uom_1_001">#REF!</definedName>
    <definedName name="comp_flow_uom_2_001">#REF!</definedName>
    <definedName name="comp_pd_flow_uid_001">#REF!</definedName>
    <definedName name="comp_pd_press_uid_001">#REF!</definedName>
    <definedName name="comp_pd_temp_uid_001">#REF!</definedName>
    <definedName name="comp_pd_temp_uid_1_001">#REF!</definedName>
    <definedName name="comp_pree_uom_001">#REF!</definedName>
    <definedName name="comp_press_uom_001">#REF!</definedName>
    <definedName name="comp_press_uom_1_001">#REF!</definedName>
    <definedName name="comp_press_uom_2_001">#REF!</definedName>
    <definedName name="comp_press_uom_3_001">#REF!</definedName>
    <definedName name="comp_press_uom1_001">#REF!</definedName>
    <definedName name="comp_vap_press_uom_001">#REF!</definedName>
    <definedName name="ConcatenateFrom">#REF!</definedName>
    <definedName name="ConcatenateTo">#REF!</definedName>
    <definedName name="ConCatLine">#REF!</definedName>
    <definedName name="ConCatSPPID">#REF!</definedName>
    <definedName name="concentration_max_001">'[8]Y-MOV2011'!#REF!</definedName>
    <definedName name="concentration_min_001">'[8]Y-MOV2011'!#REF!</definedName>
    <definedName name="concentration_nor_001">'[8]Y-MOV2011'!#REF!</definedName>
    <definedName name="concentration_uid_001">'[8]Y-MOV2011'!#REF!</definedName>
    <definedName name="cp">'[1]Units+rev'!$E$5</definedName>
    <definedName name="cp_001" localSheetId="13">#REF!</definedName>
    <definedName name="cp_001" localSheetId="14">#REF!</definedName>
    <definedName name="cp_001">#REF!</definedName>
    <definedName name="cv_acoustical_eff_factor_001" localSheetId="13">#REF!</definedName>
    <definedName name="cv_acoustical_eff_factor_001" localSheetId="14">#REF!</definedName>
    <definedName name="cv_acoustical_eff_factor_001">#REF!</definedName>
    <definedName name="cv_calc_method_001" localSheetId="13">#REF!</definedName>
    <definedName name="cv_calc_method_001" localSheetId="14">#REF!</definedName>
    <definedName name="cv_calc_method_001">#REF!</definedName>
    <definedName name="cv_calc_type_001">#REF!</definedName>
    <definedName name="cv_cd_001">#REF!</definedName>
    <definedName name="cv_config_id_001">#REF!</definedName>
    <definedName name="cv_cv_ind_max_001">#REF!</definedName>
    <definedName name="cv_cv_ind_min_001">#REF!</definedName>
    <definedName name="cv_cv_ind_nor_001">#REF!</definedName>
    <definedName name="cv_dens_pipe_mat_001">#REF!</definedName>
    <definedName name="cv_dens_pipe_mat_uid_001">#REF!</definedName>
    <definedName name="cv_dpa_max_001">#REF!</definedName>
    <definedName name="cv_dpa_min_001">#REF!</definedName>
    <definedName name="cv_dpa_nor_001">#REF!</definedName>
    <definedName name="cv_dpa_uid_001">#REF!</definedName>
    <definedName name="cv_fd_001">#REF!</definedName>
    <definedName name="cv_ff_max_001">#REF!</definedName>
    <definedName name="cv_ff_min_001">#REF!</definedName>
    <definedName name="cv_ff_nor_001">#REF!</definedName>
    <definedName name="cv_fk_001">#REF!</definedName>
    <definedName name="cv_fl_max_001">#REF!</definedName>
    <definedName name="cv_fl_min_001">#REF!</definedName>
    <definedName name="cv_fl_nor_001">#REF!</definedName>
    <definedName name="cv_flp_max_001">#REF!</definedName>
    <definedName name="cv_flp_min_001">#REF!</definedName>
    <definedName name="cv_flp_nor_001">#REF!</definedName>
    <definedName name="cv_fp_max_001">#REF!</definedName>
    <definedName name="cv_fp_min_001">#REF!</definedName>
    <definedName name="cv_fp_nor_001">#REF!</definedName>
    <definedName name="cv_gain_max_001">#REF!</definedName>
    <definedName name="cv_gain_min_001">#REF!</definedName>
    <definedName name="cv_gain_nor_001">#REF!</definedName>
    <definedName name="cv_gain_type_001">#REF!</definedName>
    <definedName name="cv_iec_correction_value_001">#REF!</definedName>
    <definedName name="cv_inlet_pipe_diam_001">#REF!</definedName>
    <definedName name="cv_isize_calctype_indx_001">#REF!</definedName>
    <definedName name="cv_isize_cg_1_001">#REF!</definedName>
    <definedName name="cv_isize_cg_2_001">#REF!</definedName>
    <definedName name="cv_isize_cg_3_001">#REF!</definedName>
    <definedName name="cv_isize_equat_001">#REF!</definedName>
    <definedName name="cv_isize_pipeschatt_indx_001">#REF!</definedName>
    <definedName name="cv_isize_sizingstd_indx_001">#REF!</definedName>
    <definedName name="cv_isize_spl_p_001">#REF!</definedName>
    <definedName name="cv_isize_valve_max_001">#REF!</definedName>
    <definedName name="cv_isize_valvetype_indx_001">#REF!</definedName>
    <definedName name="cv_kcv_ind_max_001">#REF!</definedName>
    <definedName name="cv_kcv_ind_min_001">#REF!</definedName>
    <definedName name="cv_kcv_ind_nor_001">#REF!</definedName>
    <definedName name="cv_kd_001">#REF!</definedName>
    <definedName name="cv_ki_001">#REF!</definedName>
    <definedName name="cv_know_press_001">#REF!</definedName>
    <definedName name="cv_kv_flg_001">#REF!</definedName>
    <definedName name="cv_mach_num_max_001">#REF!</definedName>
    <definedName name="cv_mach_num_min_001">#REF!</definedName>
    <definedName name="cv_mach_num_nor_001">#REF!</definedName>
    <definedName name="cv_no_determ_flow_001">#REF!</definedName>
    <definedName name="cv_noise_calc_method_001">#REF!</definedName>
    <definedName name="cv_num_passages">#REF!</definedName>
    <definedName name="cv_num_passages_001">#REF!</definedName>
    <definedName name="cv_out_press_max">#REF!</definedName>
    <definedName name="cv_out_press_max_001">#REF!</definedName>
    <definedName name="cv_out_press_min">#REF!</definedName>
    <definedName name="cv_out_press_min_001">#REF!</definedName>
    <definedName name="cv_out_press_nor">#REF!</definedName>
    <definedName name="cv_out_press_nor_001">#REF!</definedName>
    <definedName name="cv_outlet_pipe_diam_001">#REF!</definedName>
    <definedName name="cv_outside_pipe_diam_001">#REF!</definedName>
    <definedName name="cv_outside_pipe_diam_uid_001">#REF!</definedName>
    <definedName name="cv_pipe_diam_uid_001">#REF!</definedName>
    <definedName name="cv_press_barom_001">#REF!</definedName>
    <definedName name="cv_press_barom_uid_001">#REF!</definedName>
    <definedName name="cv_regime_max_001">#REF!</definedName>
    <definedName name="cv_regime_min_001">#REF!</definedName>
    <definedName name="cv_regime_nor_001">#REF!</definedName>
    <definedName name="cv_reyn_fac_max_001">#REF!</definedName>
    <definedName name="cv_reyn_fac_min_001">#REF!</definedName>
    <definedName name="cv_reyn_fac_nor_001">#REF!</definedName>
    <definedName name="cv_reyn_num_max_001">#REF!</definedName>
    <definedName name="cv_reyn_num_min_001">#REF!</definedName>
    <definedName name="cv_reyn_num_nor_001">#REF!</definedName>
    <definedName name="cv_sigk_001">#REF!</definedName>
    <definedName name="cv_sound_lvl_max">#REF!</definedName>
    <definedName name="cv_sound_lvl_max_001">#REF!</definedName>
    <definedName name="cv_sound_lvl_min">#REF!</definedName>
    <definedName name="cv_sound_lvl_min_001">#REF!</definedName>
    <definedName name="cv_sound_lvl_nor">#REF!</definedName>
    <definedName name="cv_sound_lvl_nor_001">#REF!</definedName>
    <definedName name="cv_sound_speed_in_wall_001">#REF!</definedName>
    <definedName name="cv_sound_speed_uid_001">#REF!</definedName>
    <definedName name="cv_swag_install_001">#REF!</definedName>
    <definedName name="cv_travel_max">#REF!</definedName>
    <definedName name="cv_travel_max_001">#REF!</definedName>
    <definedName name="cv_travel_min">#REF!</definedName>
    <definedName name="cv_travel_min_001">#REF!</definedName>
    <definedName name="cv_travel_nor">#REF!</definedName>
    <definedName name="cv_travel_nor_001">#REF!</definedName>
    <definedName name="cv_valve_authority_001">#REF!</definedName>
    <definedName name="cv_valve_authority_cr_001">#REF!</definedName>
    <definedName name="cv_valve_char_001">#REF!</definedName>
    <definedName name="cv_valve_cv">#REF!</definedName>
    <definedName name="cv_valve_cv_001">#REF!</definedName>
    <definedName name="cv_valve_diam">#REF!</definedName>
    <definedName name="cv_valve_diam_001">#REF!</definedName>
    <definedName name="cv_valve_diam_uid_001">#REF!</definedName>
    <definedName name="cv_valve_kv_001">#REF!</definedName>
    <definedName name="cv_valve_type_001">#REF!</definedName>
    <definedName name="cv_vel_max_001">#REF!</definedName>
    <definedName name="cv_vel_min_001">#REF!</definedName>
    <definedName name="cv_vel_nor_001">#REF!</definedName>
    <definedName name="cv_vel_uid_001">#REF!</definedName>
    <definedName name="cv_vlv_cv_max">#REF!</definedName>
    <definedName name="cv_vlv_cv_max_001">#REF!</definedName>
    <definedName name="cv_vlv_cv_min">#REF!</definedName>
    <definedName name="cv_vlv_cv_min_001">#REF!</definedName>
    <definedName name="cv_vlv_cv_nor">#REF!</definedName>
    <definedName name="cv_vlv_cv_nor_001">#REF!</definedName>
    <definedName name="cv_vlv_kv_max_001">#REF!</definedName>
    <definedName name="cv_vlv_kv_min_001">#REF!</definedName>
    <definedName name="cv_vlv_kv_nor_001">#REF!</definedName>
    <definedName name="cv_vlv_opening_max_001">#REF!</definedName>
    <definedName name="cv_vlv_opening_min_001">#REF!</definedName>
    <definedName name="cv_vlv_opening_nor_001">#REF!</definedName>
    <definedName name="cv_wall_pipe_001">#REF!</definedName>
    <definedName name="cv_x_max_001">#REF!</definedName>
    <definedName name="cv_x_min_001">#REF!</definedName>
    <definedName name="cv_x_nor_001">#REF!</definedName>
    <definedName name="cv_xt_max_001">#REF!</definedName>
    <definedName name="cv_xt_min_001">#REF!</definedName>
    <definedName name="cv_xt_nor_001">#REF!</definedName>
    <definedName name="cv_xtp_max_001">#REF!</definedName>
    <definedName name="cv_xtp_min_001">#REF!</definedName>
    <definedName name="cv_xtp_nor_001">#REF!</definedName>
    <definedName name="cv_y_max_001">#REF!</definedName>
    <definedName name="cv_y_min_001">#REF!</definedName>
    <definedName name="cv_y_nor_001">#REF!</definedName>
    <definedName name="cVisAApp">#REF!</definedName>
    <definedName name="cVisAApp10">#REF!</definedName>
    <definedName name="cVisAApp11">#REF!</definedName>
    <definedName name="cVisAApp2">#REF!</definedName>
    <definedName name="cVisAApp3">#REF!</definedName>
    <definedName name="cVisAApp4">#REF!</definedName>
    <definedName name="cVisAApp5">#REF!</definedName>
    <definedName name="cVisAApp6">#REF!</definedName>
    <definedName name="cVisAApp7">#REF!</definedName>
    <definedName name="cVisAApp8">#REF!</definedName>
    <definedName name="cVisAApp9">#REF!</definedName>
    <definedName name="cVisASig">#REF!</definedName>
    <definedName name="cVisASig10">#REF!</definedName>
    <definedName name="cVisASig11">#REF!</definedName>
    <definedName name="cVisASig2">#REF!</definedName>
    <definedName name="cVisASig3">#REF!</definedName>
    <definedName name="cVisASig4">#REF!</definedName>
    <definedName name="cVisASig5">#REF!</definedName>
    <definedName name="cVisASig6">#REF!</definedName>
    <definedName name="cVisASig7">#REF!</definedName>
    <definedName name="cVisASig8">#REF!</definedName>
    <definedName name="cVisASig9">#REF!</definedName>
    <definedName name="cVisAVer">#REF!</definedName>
    <definedName name="cVisAVer10">#REF!</definedName>
    <definedName name="cVisAVer11">#REF!</definedName>
    <definedName name="cVisAver2">#REF!</definedName>
    <definedName name="cVisAVer3">#REF!</definedName>
    <definedName name="cVisAVer4">#REF!</definedName>
    <definedName name="cVisAVer5">#REF!</definedName>
    <definedName name="cVisAVer6">#REF!</definedName>
    <definedName name="cVisAVer7">#REF!</definedName>
    <definedName name="cVisAVer8">#REF!</definedName>
    <definedName name="cVisAVer9">#REF!</definedName>
    <definedName name="d" localSheetId="13">BlankMacro1</definedName>
    <definedName name="d" localSheetId="14">BlankMacro1</definedName>
    <definedName name="d">BlankMacro1</definedName>
    <definedName name="d_dddw_pd_temp_uom__uom_code">[9]DWTables!$AI$11:$AI$14</definedName>
    <definedName name="d_dddw_pd_visc_uom__uom_code">[10]DWTables!$AJ$11:$AJ$28</definedName>
    <definedName name="d_dddw_spec_cmpnt_mfr__cmpnt_mfr_id">[9]DWTables!$W$11:$W$20</definedName>
    <definedName name="d_dddw_spec_cmpnt_mfr__cmpnt_mfr_name">[9]DWTables!$V$11:$V$20</definedName>
    <definedName name="d_dddw_spec_cmpnt_mod__cmpnt_mod_id">[9]DWTables!$S$11:$S$237</definedName>
    <definedName name="d_dddw_spec_cmpnt_mod__cmpnt_mod_name">[9]DWTables!$T$11:$T$237</definedName>
    <definedName name="d_dddw_uom__uom_code">[10]DWTables!$AM$11:$AM$379</definedName>
    <definedName name="_xlnm.Database" localSheetId="13">#REF!</definedName>
    <definedName name="_xlnm.Database" localSheetId="14">#REF!</definedName>
    <definedName name="_xlnm.Database">#REF!</definedName>
    <definedName name="DATE" localSheetId="13">#REF!</definedName>
    <definedName name="DATE" localSheetId="14">#REF!</definedName>
    <definedName name="DATE">#REF!</definedName>
    <definedName name="dcs_range_max_001" localSheetId="13">#REF!</definedName>
    <definedName name="dcs_range_max_001" localSheetId="14">#REF!</definedName>
    <definedName name="dcs_range_max_001">#REF!</definedName>
    <definedName name="dcs_range_min_001">#REF!</definedName>
    <definedName name="dcs_range_uflg_001">#REF!</definedName>
    <definedName name="dcs_range_uom_001">#REF!</definedName>
    <definedName name="dellf_001">#REF!</definedName>
    <definedName name="DelUnWantedLines">#REF!</definedName>
    <definedName name="df">'[1]Units+rev'!$E$7</definedName>
    <definedName name="disp_scale1_max_001" localSheetId="13">#REF!</definedName>
    <definedName name="disp_scale1_max_001" localSheetId="14">#REF!</definedName>
    <definedName name="disp_scale1_max_001">#REF!</definedName>
    <definedName name="disp_scale1_min_001" localSheetId="13">#REF!</definedName>
    <definedName name="disp_scale1_min_001" localSheetId="14">#REF!</definedName>
    <definedName name="disp_scale1_min_001">#REF!</definedName>
    <definedName name="disp_scale1_uflg_001" localSheetId="13">#REF!</definedName>
    <definedName name="disp_scale1_uflg_001" localSheetId="14">#REF!</definedName>
    <definedName name="disp_scale1_uflg_001">#REF!</definedName>
    <definedName name="disp_scale1_uid_001">#REF!</definedName>
    <definedName name="disp_scale2_max_001">#REF!</definedName>
    <definedName name="disp_scale2_min_001">#REF!</definedName>
    <definedName name="disp_scale2_uflg_001">#REF!</definedName>
    <definedName name="disp_scale2_uid_001">#REF!</definedName>
    <definedName name="DJDJ" localSheetId="13">BlankMacro1</definedName>
    <definedName name="DJDJ" localSheetId="14">BlankMacro1</definedName>
    <definedName name="DJDJ">BlankMacro1</definedName>
    <definedName name="dp">'[1]Units+rev'!$E$25</definedName>
    <definedName name="dry_weight_001" localSheetId="13">#REF!</definedName>
    <definedName name="dry_weight_001" localSheetId="14">#REF!</definedName>
    <definedName name="dry_weight_001">#REF!</definedName>
    <definedName name="Duty" localSheetId="13">#REF!</definedName>
    <definedName name="Duty" localSheetId="14">#REF!</definedName>
    <definedName name="Duty">#REF!</definedName>
    <definedName name="dw_uom_dn__uom_code">[9]DWTables!$AO$11:$AO$28</definedName>
    <definedName name="dw_uom_ln__uom_code">[9]DWTables!$AS$11:$AS$22</definedName>
    <definedName name="dw_uom_pr__uom_code">[9]DWTables!$AC$11:$AC$94</definedName>
    <definedName name="dw_uom_tm__uom_code">[9]DWTables!$AF$11:$AF$15</definedName>
    <definedName name="dw_uom_vs__uom_code">[9]DWTables!$AM$11:$AM$29</definedName>
    <definedName name="dwg_id_001" localSheetId="13">#REF!</definedName>
    <definedName name="dwg_id_001" localSheetId="14">#REF!</definedName>
    <definedName name="dwg_id_001">#REF!</definedName>
    <definedName name="dwg_name" localSheetId="13">#REF!</definedName>
    <definedName name="dwg_name" localSheetId="14">#REF!</definedName>
    <definedName name="dwg_name">#REF!</definedName>
    <definedName name="dwg_name_001" localSheetId="13">#REF!</definedName>
    <definedName name="dwg_name_001" localSheetId="14">#REF!</definedName>
    <definedName name="dwg_name_001">#REF!</definedName>
    <definedName name="dwg_schematic_id_001">#REF!</definedName>
    <definedName name="e">'[1]Units+rev'!$E$8</definedName>
    <definedName name="EDB_Document_Name" localSheetId="13">#REF!</definedName>
    <definedName name="EDB_Document_Name" localSheetId="14">#REF!</definedName>
    <definedName name="EDB_Document_Name">#REF!</definedName>
    <definedName name="EDB_File_Description" localSheetId="13">#REF!</definedName>
    <definedName name="EDB_File_Description" localSheetId="14">#REF!</definedName>
    <definedName name="EDB_File_Description">#REF!</definedName>
    <definedName name="ef_001" localSheetId="13">#REF!</definedName>
    <definedName name="ef_001" localSheetId="14">#REF!</definedName>
    <definedName name="ef_001">#REF!</definedName>
    <definedName name="elect_equip_id_001">#REF!</definedName>
    <definedName name="elect_load_equip_id_001">#REF!</definedName>
    <definedName name="EndCell">#REF!</definedName>
    <definedName name="eng_proj_id_001">#REF!</definedName>
    <definedName name="eng_ref_id_001">#REF!</definedName>
    <definedName name="ENTETE">#REF!</definedName>
    <definedName name="equip_id_001">#REF!</definedName>
    <definedName name="EQUIPMENT_____LIST">#REF!</definedName>
    <definedName name="ERE">[7]BATCH!#REF!</definedName>
    <definedName name="EW">[11]내역!#REF!</definedName>
    <definedName name="F" localSheetId="13">BlankMacro1</definedName>
    <definedName name="F" localSheetId="14">BlankMacro1</definedName>
    <definedName name="F">BlankMacro1</definedName>
    <definedName name="fb_dc_cur_001" localSheetId="13">#REF!</definedName>
    <definedName name="fb_dc_cur_001" localSheetId="14">#REF!</definedName>
    <definedName name="fb_dc_cur_001">#REF!</definedName>
    <definedName name="fb_dev_address_001" localSheetId="13">#REF!</definedName>
    <definedName name="fb_dev_address_001" localSheetId="14">#REF!</definedName>
    <definedName name="fb_dev_address_001">#REF!</definedName>
    <definedName name="fb_dev_id_001" localSheetId="13">#REF!</definedName>
    <definedName name="fb_dev_id_001" localSheetId="14">#REF!</definedName>
    <definedName name="fb_dev_id_001">#REF!</definedName>
    <definedName name="fb_max_volt_001">#REF!</definedName>
    <definedName name="fb_min_transmit_level_001">#REF!</definedName>
    <definedName name="fb_min_volt_001">#REF!</definedName>
    <definedName name="fb_standard_001">#REF!</definedName>
    <definedName name="fb_tag_no_001">#REF!</definedName>
    <definedName name="fc">'[1]Units+rev'!$E$9</definedName>
    <definedName name="FDW" localSheetId="13">BlankMacro1</definedName>
    <definedName name="FDW" localSheetId="14">BlankMacro1</definedName>
    <definedName name="FDW">BlankMacro1</definedName>
    <definedName name="fe_isize_anbsensor_001" localSheetId="13">[12]Sheet1!#REF!</definedName>
    <definedName name="fe_isize_anbsensor_001" localSheetId="14">[12]Sheet1!#REF!</definedName>
    <definedName name="fe_isize_anbsensor_001">[12]Sheet1!#REF!</definedName>
    <definedName name="fe_isize_anbtype_001">[12]Sheet1!#REF!</definedName>
    <definedName name="fe_isize_calctype_indx_001">[12]Sheet1!#REF!</definedName>
    <definedName name="fe_isize_decplaces_001" localSheetId="13">#REF!</definedName>
    <definedName name="fe_isize_decplaces_001" localSheetId="14">#REF!</definedName>
    <definedName name="fe_isize_decplaces_001">#REF!</definedName>
    <definedName name="fe_isize_drainvent_indx_001">[12]Sheet1!#REF!</definedName>
    <definedName name="fe_isize_elemmtl_indx_001">[12]Sheet1!#REF!</definedName>
    <definedName name="fe_isize_ifoasize_001">[12]Sheet1!#REF!</definedName>
    <definedName name="fe_isize_ifoatype_001">[12]Sheet1!#REF!</definedName>
    <definedName name="fe_isize_instrtype_indx_001">[12]Sheet1!#REF!</definedName>
    <definedName name="fe_isize_pipemtl_indx_001">[12]Sheet1!#REF!</definedName>
    <definedName name="fe_isize_standard_indx_001">[12]Sheet1!#REF!</definedName>
    <definedName name="fe_isize_wedgehdr_001">[12]Sheet1!#REF!</definedName>
    <definedName name="fe_isize_wedgemodel_001">[12]Sheet1!#REF!</definedName>
    <definedName name="fe_isize_wedgesize_001">[12]Sheet1!#REF!</definedName>
    <definedName name="FF" localSheetId="13">#REF!</definedName>
    <definedName name="FF" localSheetId="14">#REF!</definedName>
    <definedName name="FF">#REF!</definedName>
    <definedName name="FFF" localSheetId="13" hidden="1">{#N/A,#N/A,TRUE,"SUMMARY";#N/A,#N/A,TRUE,"ISBL";#N/A,#N/A,TRUE,"OSBL";#N/A,#N/A,TRUE,"OFFSITE";#N/A,#N/A,TRUE,"STEAM"}</definedName>
    <definedName name="FFF" localSheetId="14" hidden="1">{#N/A,#N/A,TRUE,"SUMMARY";#N/A,#N/A,TRUE,"ISBL";#N/A,#N/A,TRUE,"OSBL";#N/A,#N/A,TRUE,"OFFSITE";#N/A,#N/A,TRUE,"STEAM"}</definedName>
    <definedName name="FFF" hidden="1">{#N/A,#N/A,TRUE,"SUMMARY";#N/A,#N/A,TRUE,"ISBL";#N/A,#N/A,TRUE,"OSBL";#N/A,#N/A,TRUE,"OFFSITE";#N/A,#N/A,TRUE,"STEAM"}</definedName>
    <definedName name="fg">'[1]Units+rev'!$E$10</definedName>
    <definedName name="fieldbus_device_rev_001" localSheetId="13">#REF!</definedName>
    <definedName name="fieldbus_device_rev_001" localSheetId="14">#REF!</definedName>
    <definedName name="fieldbus_device_rev_001">#REF!</definedName>
    <definedName name="FIT" localSheetId="13">#REF!</definedName>
    <definedName name="FIT" localSheetId="14">#REF!</definedName>
    <definedName name="FIT">#REF!</definedName>
    <definedName name="flow_flag_001" localSheetId="13">#REF!</definedName>
    <definedName name="flow_flag_001" localSheetId="14">#REF!</definedName>
    <definedName name="flow_flag_001">#REF!</definedName>
    <definedName name="fluid_id_001">#REF!</definedName>
    <definedName name="fm">'[1]Units+rev'!$E$11</definedName>
    <definedName name="fm_amb_temp_001">[12]Sheet1!#REF!</definedName>
    <definedName name="fm_amb_temp_uid_001">[12]Sheet1!#REF!</definedName>
    <definedName name="fm_ann_coef_001">[12]Sheet1!#REF!</definedName>
    <definedName name="fm_ann_exp_fac_001">[12]Sheet1!#REF!</definedName>
    <definedName name="fm_ann_flow_coeff_001">[12]Sheet1!#REF!</definedName>
    <definedName name="fm_ann_reyn_corr_fac_001">[12]Sheet1!#REF!</definedName>
    <definedName name="fm_ann_unit_conv_001">[12]Sheet1!#REF!</definedName>
    <definedName name="fm_beta_001">[12]Sheet1!#REF!</definedName>
    <definedName name="fm_beta_lim_001">[12]Sheet1!#REF!</definedName>
    <definedName name="fm_bleed_hole_diam_001">[12]Sheet1!#REF!</definedName>
    <definedName name="fm_bleed_hole_diam_uid_001">[12]Sheet1!#REF!</definedName>
    <definedName name="fm_calc_type_001">[12]Sheet1!#REF!</definedName>
    <definedName name="fm_calculate_gas_exp_fac_001">[12]Sheet1!#REF!</definedName>
    <definedName name="fm_crit_001">[12]Sheet1!#REF!</definedName>
    <definedName name="fm_crit_press_ratio_001">[12]Sheet1!#REF!</definedName>
    <definedName name="fm_critical_flow_001">[12]Sheet1!#REF!</definedName>
    <definedName name="fm_delta_001">[12]Sheet1!#REF!</definedName>
    <definedName name="fm_diff_press_tr_001">[12]Sheet1!#REF!</definedName>
    <definedName name="fm_diff_press_tr_uid_001">[12]Sheet1!#REF!</definedName>
    <definedName name="fm_disch_coef_001">[12]Sheet1!#REF!</definedName>
    <definedName name="fm_disch_coef_calc_001">[12]Sheet1!#REF!</definedName>
    <definedName name="fm_downstream_len_1st_fit1_001">[12]Sheet1!#REF!</definedName>
    <definedName name="fm_flow_max_001">[12]Sheet1!#REF!</definedName>
    <definedName name="fm_flow_uflg_001">[12]Sheet1!#REF!</definedName>
    <definedName name="fm_flow_uid_001">[12]Sheet1!#REF!</definedName>
    <definedName name="fm_gas_exp_fac_001">[12]Sheet1!#REF!</definedName>
    <definedName name="fm_meter_type_001">[12]Sheet1!#REF!</definedName>
    <definedName name="fm_oper_flow_001">[12]Sheet1!#REF!</definedName>
    <definedName name="fm_orif_diam_001">[12]Sheet1!#REF!</definedName>
    <definedName name="fm_orif_diam_uid_001">[12]Sheet1!#REF!</definedName>
    <definedName name="fm_orif_lim_001">[12]Sheet1!#REF!</definedName>
    <definedName name="fm_orif_lin_exp_coef_001">[12]Sheet1!#REF!</definedName>
    <definedName name="fm_orif_lin_exp_uid_001">[12]Sheet1!#REF!</definedName>
    <definedName name="fm_orif_mat_001">[12]Sheet1!#REF!</definedName>
    <definedName name="fm_orif_mat_id_001">[12]Sheet1!#REF!</definedName>
    <definedName name="fm_pipe_lim_001">[12]Sheet1!#REF!</definedName>
    <definedName name="fm_pipe_lin_exp_coef_001">[12]Sheet1!#REF!</definedName>
    <definedName name="fm_pipe_lin_exp_uid_001">[12]Sheet1!#REF!</definedName>
    <definedName name="fm_pipe_mat_001">[12]Sheet1!#REF!</definedName>
    <definedName name="fm_press_loss_001">[12]Sheet1!#REF!</definedName>
    <definedName name="fm_press_loss_max_001">[12]Sheet1!#REF!</definedName>
    <definedName name="fm_press_loss_max_15_001">[12]Sheet1!#REF!</definedName>
    <definedName name="fm_press_loss_nor_001">[12]Sheet1!#REF!</definedName>
    <definedName name="fm_press_loss_nor_15_001">[12]Sheet1!#REF!</definedName>
    <definedName name="fm_press_loss_uid_001">[12]Sheet1!#REF!</definedName>
    <definedName name="fm_rad_quart_001">[12]Sheet1!#REF!</definedName>
    <definedName name="fm_radius_001">[12]Sheet1!#REF!</definedName>
    <definedName name="fm_radius_uid_001">[12]Sheet1!#REF!</definedName>
    <definedName name="fm_rect_height_001">[12]Sheet1!#REF!</definedName>
    <definedName name="fm_rect_uid_001">[12]Sheet1!#REF!</definedName>
    <definedName name="fm_rect_width_001">[12]Sheet1!#REF!</definedName>
    <definedName name="fm_reyn_001">[12]Sheet1!#REF!</definedName>
    <definedName name="fm_reyn_lim_001">[12]Sheet1!#REF!</definedName>
    <definedName name="fm_seg_height_001">[12]Sheet1!#REF!</definedName>
    <definedName name="fm_seg_radius_001">[12]Sheet1!#REF!</definedName>
    <definedName name="fm_seg_uid_001">[12]Sheet1!#REF!</definedName>
    <definedName name="fm_steam_fac_001">[12]Sheet1!#REF!</definedName>
    <definedName name="fm_steam_prcnt_001">[12]Sheet1!#REF!</definedName>
    <definedName name="fm_sub_meter_type_001">[12]Sheet1!#REF!</definedName>
    <definedName name="fm_true_flow_max_001">[12]Sheet1!#REF!</definedName>
    <definedName name="fm_upstream_len_1st_fit1_001">[12]Sheet1!#REF!</definedName>
    <definedName name="fm_upstream_len_1st_fit11_001">[12]Sheet1!#REF!</definedName>
    <definedName name="fm_upstream_len_2nd_fit1_001">[12]Sheet1!#REF!</definedName>
    <definedName name="fm_upstream_len_2nd_fit11_001">[12]Sheet1!#REF!</definedName>
    <definedName name="fml">'[1]Units+rev'!$E$12</definedName>
    <definedName name="frequency_id_001" localSheetId="13">#REF!</definedName>
    <definedName name="frequency_id_001" localSheetId="14">#REF!</definedName>
    <definedName name="frequency_id_001">#REF!</definedName>
    <definedName name="full_load_current_001" localSheetId="13">#REF!</definedName>
    <definedName name="full_load_current_001" localSheetId="14">#REF!</definedName>
    <definedName name="full_load_current_001">#REF!</definedName>
    <definedName name="full_weight_001" localSheetId="13">#REF!</definedName>
    <definedName name="full_weight_001" localSheetId="14">#REF!</definedName>
    <definedName name="full_weight_001">#REF!</definedName>
    <definedName name="fv">'[1]Units+rev'!$E$13</definedName>
    <definedName name="GGGGGG" localSheetId="13">#REF!</definedName>
    <definedName name="GGGGGG" localSheetId="14">#REF!</definedName>
    <definedName name="GGGGGG">#REF!</definedName>
    <definedName name="GGGGGGGGGG" localSheetId="13">#REF!</definedName>
    <definedName name="GGGGGGGGGG" localSheetId="14">#REF!</definedName>
    <definedName name="GGGGGGGGGG">#REF!</definedName>
    <definedName name="governing_case_001" localSheetId="13">#REF!</definedName>
    <definedName name="governing_case_001" localSheetId="14">#REF!</definedName>
    <definedName name="governing_case_001">#REF!</definedName>
    <definedName name="hf">'[1]Units+rev'!$E$14</definedName>
    <definedName name="HJK" hidden="1">'[13]L V Separator'!#REF!</definedName>
    <definedName name="htc">'[1]Units+rev'!$E$15</definedName>
    <definedName name="hybrid_max_001" localSheetId="13">#REF!</definedName>
    <definedName name="hybrid_max_001" localSheetId="14">#REF!</definedName>
    <definedName name="hybrid_max_001">#REF!</definedName>
    <definedName name="hybrid_min_001" localSheetId="13">#REF!</definedName>
    <definedName name="hybrid_min_001" localSheetId="14">#REF!</definedName>
    <definedName name="hybrid_min_001">#REF!</definedName>
    <definedName name="hybrid_norm_001" localSheetId="13">#REF!</definedName>
    <definedName name="hybrid_norm_001" localSheetId="14">#REF!</definedName>
    <definedName name="hybrid_norm_001">#REF!</definedName>
    <definedName name="iDocDDif">#REF!</definedName>
    <definedName name="iDocDDif10">#REF!</definedName>
    <definedName name="iDocDDif11">#REF!</definedName>
    <definedName name="iDocDDif2">#REF!</definedName>
    <definedName name="iDocDDif3">#REF!</definedName>
    <definedName name="iDocDDif4">#REF!</definedName>
    <definedName name="iDocDDif5">#REF!</definedName>
    <definedName name="iDocDDif6">#REF!</definedName>
    <definedName name="iDocDDif7">#REF!</definedName>
    <definedName name="iDocDDif8">#REF!</definedName>
    <definedName name="iDocDDif9">#REF!</definedName>
    <definedName name="iDocObjRev">#REF!</definedName>
    <definedName name="iDocObjRev10">#REF!</definedName>
    <definedName name="iDocObjRev11">#REF!</definedName>
    <definedName name="iDocObjRev2">#REF!</definedName>
    <definedName name="iDocObjRev3">#REF!</definedName>
    <definedName name="iDocObjRev4">#REF!</definedName>
    <definedName name="iDocObjRev5">#REF!</definedName>
    <definedName name="iDocObjRev6">#REF!</definedName>
    <definedName name="iDocObjRev7">#REF!</definedName>
    <definedName name="iDocObjRev8">#REF!</definedName>
    <definedName name="iDocObjRev9">#REF!</definedName>
    <definedName name="iDocRev">#REF!</definedName>
    <definedName name="iDocRev10">#REF!</definedName>
    <definedName name="iDocRev11">#REF!</definedName>
    <definedName name="iDocRev2">#REF!</definedName>
    <definedName name="iDocRev3">#REF!</definedName>
    <definedName name="iDocRev4">#REF!</definedName>
    <definedName name="iDocRev5">#REF!</definedName>
    <definedName name="iDocRev6">#REF!</definedName>
    <definedName name="iDocRev7">#REF!</definedName>
    <definedName name="iDocRev8">#REF!</definedName>
    <definedName name="iDocRev9">#REF!</definedName>
    <definedName name="IN">#REF!</definedName>
    <definedName name="INDEX">#REF!</definedName>
    <definedName name="INST">'[14]INST LIST'!#REF!</definedName>
    <definedName name="inst_range_max_001" localSheetId="13">#REF!</definedName>
    <definedName name="inst_range_max_001" localSheetId="14">#REF!</definedName>
    <definedName name="inst_range_max_001">#REF!</definedName>
    <definedName name="inst_range_min_001" localSheetId="13">#REF!</definedName>
    <definedName name="inst_range_min_001" localSheetId="14">#REF!</definedName>
    <definedName name="inst_range_min_001">#REF!</definedName>
    <definedName name="inst_range_uflg_max_001" localSheetId="13">#REF!</definedName>
    <definedName name="inst_range_uflg_max_001" localSheetId="14">#REF!</definedName>
    <definedName name="inst_range_uflg_max_001">#REF!</definedName>
    <definedName name="inst_range_uflg_min_001">#REF!</definedName>
    <definedName name="inst_range_uom_max_001">#REF!</definedName>
    <definedName name="inst_range_uom_min_001">#REF!</definedName>
    <definedName name="INST2">#REF!</definedName>
    <definedName name="instr_pd_flg_001">#REF!</definedName>
    <definedName name="Instrument_Database1">#REF!</definedName>
    <definedName name="Instrument_Database2">#REF!</definedName>
    <definedName name="insulation_desc_001">'[8]Y-MOV2011'!#REF!</definedName>
    <definedName name="insulation_type_001">'[8]Y-MOV2011'!#REF!</definedName>
    <definedName name="ITEM_No" localSheetId="13">#REF!</definedName>
    <definedName name="ITEM_No" localSheetId="14">#REF!</definedName>
    <definedName name="ITEM_No">#REF!</definedName>
    <definedName name="jeClientNumber" localSheetId="13">#REF!</definedName>
    <definedName name="jeClientNumber" localSheetId="14">#REF!</definedName>
    <definedName name="jeClientNumber">#REF!</definedName>
    <definedName name="jeNumber" localSheetId="13">#REF!</definedName>
    <definedName name="jeNumber" localSheetId="14">#REF!</definedName>
    <definedName name="jeNumber">#REF!</definedName>
    <definedName name="jeTitle1">#REF!</definedName>
    <definedName name="JGJRG" hidden="1">#REF!</definedName>
    <definedName name="k_001">#REF!</definedName>
    <definedName name="K23.">#REF!</definedName>
    <definedName name="KJKT">'[13]L V Separator'!#REF!</definedName>
    <definedName name="kvs">'[1]Units+rev'!$E$44</definedName>
    <definedName name="l">'[1]Units+rev'!$E$17</definedName>
    <definedName name="la">'[1]Units+rev'!$E$18</definedName>
    <definedName name="ld">'[1]Units+rev'!$E$19</definedName>
    <definedName name="lf">'[1]Units+rev'!$E$20</definedName>
    <definedName name="lfr">'[1]Units+rev'!$E$21</definedName>
    <definedName name="lh">'[1]Units+rev'!$E$16</definedName>
    <definedName name="line_cmpnt_id_001" localSheetId="13">#REF!</definedName>
    <definedName name="line_cmpnt_id_001" localSheetId="14">#REF!</definedName>
    <definedName name="line_cmpnt_id_001">#REF!</definedName>
    <definedName name="line_i_d_001" localSheetId="13">#REF!</definedName>
    <definedName name="line_i_d_001" localSheetId="14">#REF!</definedName>
    <definedName name="line_i_d_001">#REF!</definedName>
    <definedName name="line_id_001" localSheetId="13">#REF!</definedName>
    <definedName name="line_id_001" localSheetId="14">#REF!</definedName>
    <definedName name="line_id_001">#REF!</definedName>
    <definedName name="LINE_NO">#REF!</definedName>
    <definedName name="line_num_001">#REF!</definedName>
    <definedName name="line_sched_001">#REF!</definedName>
    <definedName name="line_size_001">#REF!</definedName>
    <definedName name="line_uom_001">#REF!</definedName>
    <definedName name="linear_exp_coef_001">'[8]Y-MOV2011'!#REF!</definedName>
    <definedName name="linear_exp_coef_add_001">'[8]Y-MOV2011'!#REF!</definedName>
    <definedName name="linear_exp_coef_uid_001">'[8]Y-MOV2011'!#REF!</definedName>
    <definedName name="liquid_compres_calc_flg_001" localSheetId="13">#REF!</definedName>
    <definedName name="liquid_compres_calc_flg_001" localSheetId="14">#REF!</definedName>
    <definedName name="liquid_compres_calc_flg_001">#REF!</definedName>
    <definedName name="lnd">'[1]Units+rev'!$E$22</definedName>
    <definedName name="load_watt_001" localSheetId="13">#REF!</definedName>
    <definedName name="load_watt_001" localSheetId="14">#REF!</definedName>
    <definedName name="load_watt_001">#REF!</definedName>
    <definedName name="Location">[1]Sheeta!$C$9</definedName>
    <definedName name="logo_001">#REF!</definedName>
    <definedName name="m">'[1]Units+rev'!$E$23</definedName>
    <definedName name="m_001" localSheetId="13">#REF!</definedName>
    <definedName name="m_001" localSheetId="14">#REF!</definedName>
    <definedName name="m_001">#REF!</definedName>
    <definedName name="master_cmpnt_id_001" localSheetId="13">#REF!</definedName>
    <definedName name="master_cmpnt_id_001" localSheetId="14">#REF!</definedName>
    <definedName name="master_cmpnt_id_001">#REF!</definedName>
    <definedName name="material_001" localSheetId="13">'[8]Y-MOV2011'!#REF!</definedName>
    <definedName name="material_001" localSheetId="14">'[8]Y-MOV2011'!#REF!</definedName>
    <definedName name="material_001">'[8]Y-MOV2011'!#REF!</definedName>
    <definedName name="MergeComments" localSheetId="13">#REF!</definedName>
    <definedName name="MergeComments" localSheetId="14">#REF!</definedName>
    <definedName name="MergeComments">#REF!</definedName>
    <definedName name="MergeCritRating" localSheetId="13">#REF!</definedName>
    <definedName name="MergeCritRating" localSheetId="14">#REF!</definedName>
    <definedName name="MergeCritRating">#REF!</definedName>
    <definedName name="MergeDesPress" localSheetId="13">#REF!</definedName>
    <definedName name="MergeDesPress" localSheetId="14">#REF!</definedName>
    <definedName name="MergeDesPress">#REF!</definedName>
    <definedName name="MergeDesTemp">#REF!</definedName>
    <definedName name="MergeFluid">#REF!</definedName>
    <definedName name="MergeFrom">#REF!</definedName>
    <definedName name="MergeInsulCode">#REF!</definedName>
    <definedName name="MergeInsulThk">#REF!</definedName>
    <definedName name="MergeLine">#REF!</definedName>
    <definedName name="MergeLineNumber">#REF!</definedName>
    <definedName name="MergeLineSize">#REF!</definedName>
    <definedName name="MergeMatClass">#REF!</definedName>
    <definedName name="MergeNDE">#REF!</definedName>
    <definedName name="MergeOperPress">#REF!</definedName>
    <definedName name="MergeOperTemp">#REF!</definedName>
    <definedName name="MergePaintCode">#REF!</definedName>
    <definedName name="MergePIDNumber">#REF!</definedName>
    <definedName name="MergeRev">#REF!</definedName>
    <definedName name="MergeStressAnalysis">#REF!</definedName>
    <definedName name="MergeTestMedia">#REF!</definedName>
    <definedName name="MergeTestPress">#REF!</definedName>
    <definedName name="MergeTo">#REF!</definedName>
    <definedName name="Module1.NOTES">[4]!Module1.NOTES</definedName>
    <definedName name="Module1.UNITOK">[4]!Module1.UNITOK</definedName>
    <definedName name="note_note">#REF!</definedName>
    <definedName name="number_of_phases_id_001">#REF!</definedName>
    <definedName name="ooo">#REF!</definedName>
    <definedName name="operating_mode_id_001">#REF!</definedName>
    <definedName name="orifice_flg_001">#REF!</definedName>
    <definedName name="OutField">#REF!</definedName>
    <definedName name="p">'[1]Units+rev'!$E$24</definedName>
    <definedName name="pa">'[1]Units+rev'!$E$26</definedName>
    <definedName name="page_001" localSheetId="13">#REF!</definedName>
    <definedName name="page_001" localSheetId="14">#REF!</definedName>
    <definedName name="page_001">#REF!</definedName>
    <definedName name="PAGE11" localSheetId="13">#REF!</definedName>
    <definedName name="PAGE11" localSheetId="14">#REF!</definedName>
    <definedName name="PAGE11">#REF!</definedName>
    <definedName name="PAGE13" localSheetId="13">#REF!</definedName>
    <definedName name="PAGE13" localSheetId="14">#REF!</definedName>
    <definedName name="PAGE13">#REF!</definedName>
    <definedName name="PAGE15">#REF!</definedName>
    <definedName name="PAGE2">'[15]Pag. 1'!$X$6</definedName>
    <definedName name="pageof_001" localSheetId="13">#REF!</definedName>
    <definedName name="pageof_001" localSheetId="14">#REF!</definedName>
    <definedName name="pageof_001">#REF!</definedName>
    <definedName name="panel_id_001" localSheetId="13">#REF!</definedName>
    <definedName name="panel_id_001" localSheetId="14">#REF!</definedName>
    <definedName name="panel_id_001">#REF!</definedName>
    <definedName name="PCK" localSheetId="13">#REF!</definedName>
    <definedName name="PCK" localSheetId="14">#REF!</definedName>
    <definedName name="PCK">#REF!</definedName>
    <definedName name="pd">'[1]Units+rev'!$E$27</definedName>
    <definedName name="pd_angle_of_repose_001" localSheetId="13">#REF!</definedName>
    <definedName name="pd_angle_of_repose_001" localSheetId="14">#REF!</definedName>
    <definedName name="pd_angle_of_repose_001">#REF!</definedName>
    <definedName name="pd_api_calc_type_001" localSheetId="13">#REF!</definedName>
    <definedName name="pd_api_calc_type_001" localSheetId="14">#REF!</definedName>
    <definedName name="pd_api_calc_type_001">#REF!</definedName>
    <definedName name="pd_api_degree_max_001" localSheetId="13">#REF!</definedName>
    <definedName name="pd_api_degree_max_001" localSheetId="14">#REF!</definedName>
    <definedName name="pd_api_degree_max_001">#REF!</definedName>
    <definedName name="pd_api_degree_min_001">#REF!</definedName>
    <definedName name="pd_api_degree_nor_001">#REF!</definedName>
    <definedName name="pd_api_group_id_001">#REF!</definedName>
    <definedName name="pd_body_material_001">#REF!</definedName>
    <definedName name="pd_bubble_pt_max_001">#REF!</definedName>
    <definedName name="pd_bubble_pt_min_001">#REF!</definedName>
    <definedName name="pd_bubble_pt_nor_001">#REF!</definedName>
    <definedName name="pd_bubble_pt_uid_001">#REF!</definedName>
    <definedName name="pd_build_tend_001">#REF!</definedName>
    <definedName name="pd_c_alarm_high_001">#REF!</definedName>
    <definedName name="pd_c_alarm_high_high_001">#REF!</definedName>
    <definedName name="pd_c_alarm_low_001">#REF!</definedName>
    <definedName name="pd_c_alarm_low_low_001">#REF!</definedName>
    <definedName name="pd_c_trip_alarm_uid_001">#REF!</definedName>
    <definedName name="pd_c_trip_high_001">#REF!</definedName>
    <definedName name="pd_c_trip_high_high_001">#REF!</definedName>
    <definedName name="pd_c_trip_low_001">#REF!</definedName>
    <definedName name="pd_c_trip_low_low_001">#REF!</definedName>
    <definedName name="pd_chim_abstr_num_001">#REF!</definedName>
    <definedName name="pd_coagulat_001">#REF!</definedName>
    <definedName name="pd_colored_001">#REF!</definedName>
    <definedName name="pd_compres_base_001">#REF!</definedName>
    <definedName name="pd_compres_flow_max_001">[12]Sheet1!#REF!</definedName>
    <definedName name="pd_compres_flow_min_001">[12]Sheet1!#REF!</definedName>
    <definedName name="pd_compres_flow_nor_001">[12]Sheet1!#REF!</definedName>
    <definedName name="pd_conduct_resist_flg_001" localSheetId="13">#REF!</definedName>
    <definedName name="pd_conduct_resist_flg_001" localSheetId="14">#REF!</definedName>
    <definedName name="pd_conduct_resist_flg_001">#REF!</definedName>
    <definedName name="pd_conductivity_max_001" localSheetId="13">#REF!</definedName>
    <definedName name="pd_conductivity_max_001" localSheetId="14">#REF!</definedName>
    <definedName name="pd_conductivity_max_001">#REF!</definedName>
    <definedName name="pd_conductivity_min_001" localSheetId="13">#REF!</definedName>
    <definedName name="pd_conductivity_min_001" localSheetId="14">#REF!</definedName>
    <definedName name="pd_conductivity_min_001">#REF!</definedName>
    <definedName name="pd_conductivity_nor_001">#REF!</definedName>
    <definedName name="pd_conductivity_uid_001">#REF!</definedName>
    <definedName name="pd_contain_parts_001">#REF!</definedName>
    <definedName name="pd_corrosive_001">#REF!</definedName>
    <definedName name="pd_cp_cv_max_001">[12]Sheet1!#REF!</definedName>
    <definedName name="pd_cp_cv_min_001">[12]Sheet1!#REF!</definedName>
    <definedName name="pd_cp_cv_nor_001">[12]Sheet1!#REF!</definedName>
    <definedName name="pd_critic_press" localSheetId="13">#REF!</definedName>
    <definedName name="pd_critic_press" localSheetId="14">#REF!</definedName>
    <definedName name="pd_critic_press">#REF!</definedName>
    <definedName name="pd_critic_press_001" localSheetId="13">#REF!</definedName>
    <definedName name="pd_critic_press_001" localSheetId="14">#REF!</definedName>
    <definedName name="pd_critic_press_001">#REF!</definedName>
    <definedName name="pd_critic_press_uflg_001" localSheetId="13">#REF!</definedName>
    <definedName name="pd_critic_press_uflg_001" localSheetId="14">#REF!</definedName>
    <definedName name="pd_critic_press_uflg_001">#REF!</definedName>
    <definedName name="pd_critic_press_uid_001">#REF!</definedName>
    <definedName name="pd_dens_at_bas_uid_001">#REF!</definedName>
    <definedName name="pd_dens_at_base_001">#REF!</definedName>
    <definedName name="pd_dens_comp_base_flg_001">#REF!</definedName>
    <definedName name="pd_dens_grav_base_flg_001">#REF!</definedName>
    <definedName name="pd_dens_grav_flg_001">#REF!</definedName>
    <definedName name="pd_dens_max_001">[12]Sheet1!#REF!</definedName>
    <definedName name="pd_dens_min_001">[12]Sheet1!#REF!</definedName>
    <definedName name="pd_dens_nor_001">[12]Sheet1!#REF!</definedName>
    <definedName name="pd_dens_ref_001" localSheetId="13">#REF!</definedName>
    <definedName name="pd_dens_ref_001" localSheetId="14">#REF!</definedName>
    <definedName name="pd_dens_ref_001">#REF!</definedName>
    <definedName name="pd_dens_ref_uid_001" localSheetId="13">#REF!</definedName>
    <definedName name="pd_dens_ref_uid_001" localSheetId="14">#REF!</definedName>
    <definedName name="pd_dens_ref_uid_001">#REF!</definedName>
    <definedName name="pd_dens_uid_001" localSheetId="13">#REF!</definedName>
    <definedName name="pd_dens_uid_001" localSheetId="14">#REF!</definedName>
    <definedName name="pd_dens_uid_001">#REF!</definedName>
    <definedName name="pd_design_temp_max_001">#REF!</definedName>
    <definedName name="pd_design_temp_min_001">#REF!</definedName>
    <definedName name="pd_design_temp_uid_001">#REF!</definedName>
    <definedName name="pd_dew_pt_max_001">#REF!</definedName>
    <definedName name="pd_dew_pt_min_001">#REF!</definedName>
    <definedName name="pd_dew_pt_nor_001">#REF!</definedName>
    <definedName name="pd_dew_pt_uid_001">#REF!</definedName>
    <definedName name="pd_entrained_gas_001">[12]Sheet1!#REF!</definedName>
    <definedName name="pd_entrained_gas_uid_001">[12]Sheet1!#REF!</definedName>
    <definedName name="pd_erosive_001" localSheetId="13">#REF!</definedName>
    <definedName name="pd_erosive_001" localSheetId="14">#REF!</definedName>
    <definedName name="pd_erosive_001">#REF!</definedName>
    <definedName name="pd_f_alarm_high_001">[12]Sheet1!#REF!</definedName>
    <definedName name="pd_f_alarm_high_high_001">[12]Sheet1!#REF!</definedName>
    <definedName name="pd_f_alarm_high_high_high_001">[12]Sheet1!#REF!</definedName>
    <definedName name="pd_f_alarm_low_001">[12]Sheet1!#REF!</definedName>
    <definedName name="pd_f_alarm_low_low_001">[12]Sheet1!#REF!</definedName>
    <definedName name="pd_f_alarm_low_low_low_001">[12]Sheet1!#REF!</definedName>
    <definedName name="pd_f_cntrl_pnt_001">[12]Sheet1!#REF!</definedName>
    <definedName name="pd_f_cntrl_pnt_uid_001">[12]Sheet1!#REF!</definedName>
    <definedName name="pd_f_range_max_001" localSheetId="13">#REF!</definedName>
    <definedName name="pd_f_range_max_001" localSheetId="14">#REF!</definedName>
    <definedName name="pd_f_range_max_001">#REF!</definedName>
    <definedName name="pd_f_range_min_001">[12]Sheet1!#REF!</definedName>
    <definedName name="pd_f_range_nor_001">[12]Sheet1!#REF!</definedName>
    <definedName name="pd_f_range_uflg_001">[12]Sheet1!#REF!</definedName>
    <definedName name="pd_f_range_uid_001">[12]Sheet1!#REF!</definedName>
    <definedName name="pd_f_trac_jacet_001">[12]Sheet1!#REF!</definedName>
    <definedName name="pd_f_trip_alarm_uflg_001">[12]Sheet1!#REF!</definedName>
    <definedName name="pd_f_trip_alarm_uid_001">[12]Sheet1!#REF!</definedName>
    <definedName name="pd_f_trip_high_001">[12]Sheet1!#REF!</definedName>
    <definedName name="pd_f_trip_high_high_001">[12]Sheet1!#REF!</definedName>
    <definedName name="pd_f_trip_high_high_high_001">[12]Sheet1!#REF!</definedName>
    <definedName name="pd_f_trip_low_001">[12]Sheet1!#REF!</definedName>
    <definedName name="pd_f_trip_low_low_001">[12]Sheet1!#REF!</definedName>
    <definedName name="pd_f_trip_low_low_low_001">[12]Sheet1!#REF!</definedName>
    <definedName name="pd_f_valvtend_001">[12]Sheet1!#REF!</definedName>
    <definedName name="pd_failure_action_001" localSheetId="13">#REF!</definedName>
    <definedName name="pd_failure_action_001" localSheetId="14">#REF!</definedName>
    <definedName name="pd_failure_action_001">#REF!</definedName>
    <definedName name="pd_fire_test_001" localSheetId="13">#REF!</definedName>
    <definedName name="pd_fire_test_001" localSheetId="14">#REF!</definedName>
    <definedName name="pd_fire_test_001">#REF!</definedName>
    <definedName name="pd_flow_add_flag_001" localSheetId="13">#REF!</definedName>
    <definedName name="pd_flow_add_flag_001" localSheetId="14">#REF!</definedName>
    <definedName name="pd_flow_add_flag_001">#REF!</definedName>
    <definedName name="pd_flow_alarm_flag_001">#REF!</definedName>
    <definedName name="pd_flow_flag_001">#REF!</definedName>
    <definedName name="pd_flow_max">#REF!</definedName>
    <definedName name="pd_flow_max_001">#REF!</definedName>
    <definedName name="pd_flow_min">#REF!</definedName>
    <definedName name="pd_flow_min_001">#REF!</definedName>
    <definedName name="pd_flow_nor">#REF!</definedName>
    <definedName name="pd_flow_nor_001">#REF!</definedName>
    <definedName name="pd_flow_uflg_001">#REF!</definedName>
    <definedName name="pd_flow_uid_001">#REF!</definedName>
    <definedName name="pd_fluid_name">#REF!</definedName>
    <definedName name="pd_fluid_name_001">#REF!</definedName>
    <definedName name="pd_fluid_phase_001">#REF!</definedName>
    <definedName name="pd_fluid_stat_001">#REF!</definedName>
    <definedName name="pd_gas_comp_dens_flg_001">#REF!</definedName>
    <definedName name="pd_gas_mm_grav_flg_001">#REF!</definedName>
    <definedName name="pd_gas_sg_as_mm_001">#REF!</definedName>
    <definedName name="pd_handwheel_001">#REF!</definedName>
    <definedName name="pd_heat_max_001">#REF!</definedName>
    <definedName name="pd_heat_min_001">#REF!</definedName>
    <definedName name="pd_heat_nor_001">#REF!</definedName>
    <definedName name="pd_heat_uid_001">#REF!</definedName>
    <definedName name="pd_isize_insul_001">#REF!</definedName>
    <definedName name="pd_isize_insulation_001">#REF!</definedName>
    <definedName name="pd_isize_phase_001">#REF!</definedName>
    <definedName name="pd_latent_heat_max_001">#REF!</definedName>
    <definedName name="pd_latent_heat_min_001">#REF!</definedName>
    <definedName name="pd_latent_heat_nor_001">#REF!</definedName>
    <definedName name="pd_latent_heat_uid_001">#REF!</definedName>
    <definedName name="pd_line_eq_flg_001">#REF!</definedName>
    <definedName name="pd_lmt_pres_001">[12]Sheet1!#REF!</definedName>
    <definedName name="pd_lmt_pres_uid_001">[12]Sheet1!#REF!</definedName>
    <definedName name="pd_max_shut_off_press_dif" localSheetId="13">#REF!</definedName>
    <definedName name="pd_max_shut_off_press_dif" localSheetId="14">#REF!</definedName>
    <definedName name="pd_max_shut_off_press_dif">#REF!</definedName>
    <definedName name="pd_max_shut_off_press_dif_001" localSheetId="13">#REF!</definedName>
    <definedName name="pd_max_shut_off_press_dif_001" localSheetId="14">#REF!</definedName>
    <definedName name="pd_max_shut_off_press_dif_001">#REF!</definedName>
    <definedName name="pd_max_shut_off_press_dif_uid_001" localSheetId="13">#REF!</definedName>
    <definedName name="pd_max_shut_off_press_dif_uid_001" localSheetId="14">#REF!</definedName>
    <definedName name="pd_max_shut_off_press_dif_uid_001">#REF!</definedName>
    <definedName name="pd_molecular_mass_001" localSheetId="13">'[8]Y-MOV2011'!#REF!</definedName>
    <definedName name="pd_molecular_mass_001" localSheetId="14">'[8]Y-MOV2011'!#REF!</definedName>
    <definedName name="pd_molecular_mass_001">'[8]Y-MOV2011'!#REF!</definedName>
    <definedName name="pd_note_001" localSheetId="13">#REF!</definedName>
    <definedName name="pd_note_001" localSheetId="14">#REF!</definedName>
    <definedName name="pd_note_001">#REF!</definedName>
    <definedName name="pd_oxidizing_001" localSheetId="13">#REF!</definedName>
    <definedName name="pd_oxidizing_001" localSheetId="14">#REF!</definedName>
    <definedName name="pd_oxidizing_001">#REF!</definedName>
    <definedName name="pd_ph_orp_max_001" localSheetId="13">#REF!</definedName>
    <definedName name="pd_ph_orp_max_001" localSheetId="14">#REF!</definedName>
    <definedName name="pd_ph_orp_max_001">#REF!</definedName>
    <definedName name="pd_ph_orp_min_001">#REF!</definedName>
    <definedName name="pd_ph_orp_nor_001">#REF!</definedName>
    <definedName name="pd_ph_orp_uid_001">#REF!</definedName>
    <definedName name="pd_press_base_001">#REF!</definedName>
    <definedName name="pd_press_base_uid_001">#REF!</definedName>
    <definedName name="pd_press_des_001">#REF!</definedName>
    <definedName name="pd_press_des_min_001">#REF!</definedName>
    <definedName name="pd_press_des_min_uflg_001">#REF!</definedName>
    <definedName name="pd_press_des_min_uid_001">#REF!</definedName>
    <definedName name="pd_press_des_uflg_001">#REF!</definedName>
    <definedName name="pd_press_des_uid_001">#REF!</definedName>
    <definedName name="pd_press_drp_max">#REF!</definedName>
    <definedName name="pd_press_drp_max_001">#REF!</definedName>
    <definedName name="pd_press_drp_min">#REF!</definedName>
    <definedName name="pd_press_drp_min_001">#REF!</definedName>
    <definedName name="pd_press_drp_nor">#REF!</definedName>
    <definedName name="pd_press_drp_nor_001">#REF!</definedName>
    <definedName name="pd_press_drp_uid_001">#REF!</definedName>
    <definedName name="pd_press_max">#REF!</definedName>
    <definedName name="pd_press_max_001">#REF!</definedName>
    <definedName name="pd_press_min">#REF!</definedName>
    <definedName name="pd_press_min_001">#REF!</definedName>
    <definedName name="pd_press_nor">#REF!</definedName>
    <definedName name="pd_press_nor_001">#REF!</definedName>
    <definedName name="pd_press_uflg_001">#REF!</definedName>
    <definedName name="pd_press_uid_001">#REF!</definedName>
    <definedName name="pd_pulsation_001">#REF!</definedName>
    <definedName name="pd_pump_drop_001">#REF!</definedName>
    <definedName name="pd_pump_drop_max_001">#REF!</definedName>
    <definedName name="pd_pump_drop_min_001">#REF!</definedName>
    <definedName name="pd_pump_drop_uid_001">#REF!</definedName>
    <definedName name="pd_resistivity_max_001">#REF!</definedName>
    <definedName name="pd_resistivity_min_001">#REF!</definedName>
    <definedName name="pd_resistivity_nor_001">#REF!</definedName>
    <definedName name="pd_resistivity_uid_001">#REF!</definedName>
    <definedName name="pd_return_pres_design_001">#REF!</definedName>
    <definedName name="pd_return_pres_design_uflg_001">#REF!</definedName>
    <definedName name="pd_return_pres_design_uid_001">#REF!</definedName>
    <definedName name="pd_return_pres_max_001">#REF!</definedName>
    <definedName name="pd_return_pres_min_001">#REF!</definedName>
    <definedName name="pd_return_pres_nor_001">#REF!</definedName>
    <definedName name="pd_return_pres_uflg_001">#REF!</definedName>
    <definedName name="pd_return_pres_uid_001">#REF!</definedName>
    <definedName name="pd_return_temp_max_001">#REF!</definedName>
    <definedName name="pd_return_temp_min_001">#REF!</definedName>
    <definedName name="pd_return_temp_nor_001">#REF!</definedName>
    <definedName name="pd_return_temp_uid_001">#REF!</definedName>
    <definedName name="pd_saturat_temp_001">#REF!</definedName>
    <definedName name="pd_schedul_001">#REF!</definedName>
    <definedName name="pd_seat_leak_001">#REF!</definedName>
    <definedName name="pd_size_001">#REF!</definedName>
    <definedName name="pd_size_uid_001">#REF!</definedName>
    <definedName name="pd_solidfy_001">#REF!</definedName>
    <definedName name="pd_solids_qt_001">#REF!</definedName>
    <definedName name="pd_solids_qt_uid_001">#REF!</definedName>
    <definedName name="pd_solids_size_001">#REF!</definedName>
    <definedName name="pd_solids_size_uid_001">#REF!</definedName>
    <definedName name="pd_source_001">#REF!</definedName>
    <definedName name="pd_source_type_001">#REF!</definedName>
    <definedName name="pd_spec_grav_base_001">#REF!</definedName>
    <definedName name="pd_spec_grav_max">#REF!</definedName>
    <definedName name="pd_spec_grav_max_001">#REF!</definedName>
    <definedName name="pd_spec_grav_min">#REF!</definedName>
    <definedName name="pd_spec_grav_min_001">#REF!</definedName>
    <definedName name="pd_spec_grav_nor">#REF!</definedName>
    <definedName name="pd_spec_grav_nor_001">#REF!</definedName>
    <definedName name="pd_spec_grav_ref_001">#REF!</definedName>
    <definedName name="pd_stat_001">#REF!</definedName>
    <definedName name="pd_sys_fric_loss_001">#REF!</definedName>
    <definedName name="pd_sys_fric_loss_uid_001">#REF!</definedName>
    <definedName name="pd_temp_base_001">#REF!</definedName>
    <definedName name="pd_temp_base_uid_001">#REF!</definedName>
    <definedName name="pd_temp_max">#REF!</definedName>
    <definedName name="pd_temp_max_001">#REF!</definedName>
    <definedName name="pd_temp_min">#REF!</definedName>
    <definedName name="pd_temp_min_001">#REF!</definedName>
    <definedName name="pd_temp_nor">#REF!</definedName>
    <definedName name="pd_temp_nor_001">#REF!</definedName>
    <definedName name="pd_temp_ref_001">#REF!</definedName>
    <definedName name="pd_temp_ref_uid_001">#REF!</definedName>
    <definedName name="pd_temp_uid_001">#REF!</definedName>
    <definedName name="pd_term_shock_001">#REF!</definedName>
    <definedName name="pd_toxic_001">#REF!</definedName>
    <definedName name="pd_transparent_001">#REF!</definedName>
    <definedName name="pd_udf_c01">#REF!</definedName>
    <definedName name="pd_udf_c01_001">[12]Sheet1!#REF!</definedName>
    <definedName name="pd_udf_c02_001">[12]Sheet1!#REF!</definedName>
    <definedName name="pd_udf_c03_001" localSheetId="13">#REF!</definedName>
    <definedName name="pd_udf_c03_001" localSheetId="14">#REF!</definedName>
    <definedName name="pd_udf_c03_001">#REF!</definedName>
    <definedName name="pd_udf_c04_001" localSheetId="13">#REF!</definedName>
    <definedName name="pd_udf_c04_001" localSheetId="14">#REF!</definedName>
    <definedName name="pd_udf_c04_001">#REF!</definedName>
    <definedName name="pd_udf_c05_001" localSheetId="13">#REF!</definedName>
    <definedName name="pd_udf_c05_001" localSheetId="14">#REF!</definedName>
    <definedName name="pd_udf_c05_001">#REF!</definedName>
    <definedName name="pd_udf_c06_001">#REF!</definedName>
    <definedName name="pd_udf_c07_001">#REF!</definedName>
    <definedName name="pd_udf_c08_001">#REF!</definedName>
    <definedName name="pd_udf_c09_001">#REF!</definedName>
    <definedName name="pd_udf_c10_001">#REF!</definedName>
    <definedName name="pd_udf_c11_001">#REF!</definedName>
    <definedName name="pd_udf_c12_001">#REF!</definedName>
    <definedName name="pd_udf_c13_001">#REF!</definedName>
    <definedName name="pd_udf_c14_001">#REF!</definedName>
    <definedName name="pd_udf_c15_001">#REF!</definedName>
    <definedName name="pd_udf_c16_001">#REF!</definedName>
    <definedName name="pd_udf_c17_001">#REF!</definedName>
    <definedName name="pd_udf_c18_001">#REF!</definedName>
    <definedName name="pd_udf_c19_001">#REF!</definedName>
    <definedName name="pd_udf_c20_001">#REF!</definedName>
    <definedName name="pd_unit_percent_001">[12]Sheet1!#REF!</definedName>
    <definedName name="pd_vap_press_max" localSheetId="13">#REF!</definedName>
    <definedName name="pd_vap_press_max" localSheetId="14">#REF!</definedName>
    <definedName name="pd_vap_press_max">#REF!</definedName>
    <definedName name="pd_vap_press_max_001" localSheetId="13">#REF!</definedName>
    <definedName name="pd_vap_press_max_001" localSheetId="14">#REF!</definedName>
    <definedName name="pd_vap_press_max_001">#REF!</definedName>
    <definedName name="pd_vap_press_min" localSheetId="13">#REF!</definedName>
    <definedName name="pd_vap_press_min" localSheetId="14">#REF!</definedName>
    <definedName name="pd_vap_press_min">#REF!</definedName>
    <definedName name="pd_vap_press_min_001">#REF!</definedName>
    <definedName name="pd_vap_press_nor">#REF!</definedName>
    <definedName name="pd_vap_press_nor_001">#REF!</definedName>
    <definedName name="pd_vap_press_uflg_001">#REF!</definedName>
    <definedName name="pd_vap_press_uid_001">#REF!</definedName>
    <definedName name="pd_velocity_max_001">#REF!</definedName>
    <definedName name="pd_velocity_min_001">#REF!</definedName>
    <definedName name="pd_velocity_nor_001">#REF!</definedName>
    <definedName name="pd_velocity_uid_001">#REF!</definedName>
    <definedName name="pd_vibration_001">#REF!</definedName>
    <definedName name="pd_visc_max">#REF!</definedName>
    <definedName name="pd_visc_max_001">#REF!</definedName>
    <definedName name="pd_visc_min">#REF!</definedName>
    <definedName name="pd_visc_min_001">#REF!</definedName>
    <definedName name="pd_visc_nor">#REF!</definedName>
    <definedName name="pd_visc_nor_001">#REF!</definedName>
    <definedName name="pd_visc_uid_001">#REF!</definedName>
    <definedName name="PercentChange">#REF!</definedName>
    <definedName name="phase1_001">#REF!</definedName>
    <definedName name="phase2_001">#REF!</definedName>
    <definedName name="phase3_001">#REF!</definedName>
    <definedName name="pid_no_001">#REF!</definedName>
    <definedName name="pipe_class_001">#REF!</definedName>
    <definedName name="pipe_class_id_001">#REF!</definedName>
    <definedName name="pipe_mat_name_001">'[8]Y-MOV2011'!#REF!</definedName>
    <definedName name="plant_id_001" localSheetId="13">#REF!</definedName>
    <definedName name="plant_id_001" localSheetId="14">#REF!</definedName>
    <definedName name="plant_id_001">#REF!</definedName>
    <definedName name="power_distribution_board_001" localSheetId="13">#REF!</definedName>
    <definedName name="power_distribution_board_001" localSheetId="14">#REF!</definedName>
    <definedName name="power_distribution_board_001">#REF!</definedName>
    <definedName name="power_factor_full_load_001" localSheetId="13">#REF!</definedName>
    <definedName name="power_factor_full_load_001" localSheetId="14">#REF!</definedName>
    <definedName name="power_factor_full_load_001">#REF!</definedName>
    <definedName name="power_supply_type_flag_001">#REF!</definedName>
    <definedName name="_xlnm.Print_Area" localSheetId="16">'1000-300LB'!$A$1:$T$70</definedName>
    <definedName name="_xlnm.Print_Area" localSheetId="3">'100-300LB'!$A$1:$T$70</definedName>
    <definedName name="_xlnm.Print_Area" localSheetId="17">'1050-300LB'!$A$1:$T$70</definedName>
    <definedName name="_xlnm.Print_Area" localSheetId="18">'1200-300LB'!$A$1:$T$70</definedName>
    <definedName name="_xlnm.Print_Area" localSheetId="19">'1400-300LB'!$A$1:$T$70</definedName>
    <definedName name="_xlnm.Print_Area" localSheetId="4">'150-300LB'!$A$1:$T$70</definedName>
    <definedName name="_xlnm.Print_Area" localSheetId="5">'200-300LB'!$A$1:$T$70</definedName>
    <definedName name="_xlnm.Print_Area" localSheetId="6">'250-300LB'!$A$1:$T$70</definedName>
    <definedName name="_xlnm.Print_Area" localSheetId="7">'300-300LB'!$A$1:$T$70</definedName>
    <definedName name="_xlnm.Print_Area" localSheetId="8">'350-300LB'!$A$1:$T$70</definedName>
    <definedName name="_xlnm.Print_Area" localSheetId="9">'400-300LB'!$A$1:$T$70</definedName>
    <definedName name="_xlnm.Print_Area" localSheetId="10">'450-300LB'!$A$1:$T$70</definedName>
    <definedName name="_xlnm.Print_Area" localSheetId="11">'500-300LB'!$A$1:$T$70</definedName>
    <definedName name="_xlnm.Print_Area" localSheetId="12">'600-300LB'!$A$1:$T$70</definedName>
    <definedName name="_xlnm.Print_Area" localSheetId="13">'750-300LB'!$A$1:$T$70</definedName>
    <definedName name="_xlnm.Print_Area" localSheetId="14">'800-300LB '!$A$1:$T$70</definedName>
    <definedName name="_xlnm.Print_Area" localSheetId="2">'80-300LB'!$A$1:$T$70</definedName>
    <definedName name="_xlnm.Print_Area" localSheetId="15">'900-300LB'!$A$1:$T$70</definedName>
    <definedName name="_xlnm.Print_Area" localSheetId="1">주조단가!$A$1:$Z$44</definedName>
    <definedName name="_xlnm.Print_Area">#REF!</definedName>
    <definedName name="PRINT_AREA_MI" localSheetId="13">#REF!</definedName>
    <definedName name="PRINT_AREA_MI" localSheetId="14">#REF!</definedName>
    <definedName name="PRINT_AREA_MI">#REF!</definedName>
    <definedName name="proc_func_id_001" localSheetId="13">#REF!</definedName>
    <definedName name="proc_func_id_001" localSheetId="14">#REF!</definedName>
    <definedName name="proc_func_id_001">#REF!</definedName>
    <definedName name="procedure_no_001">#REF!</definedName>
    <definedName name="Profile">#REF!</definedName>
    <definedName name="proj_id_001">#REF!</definedName>
    <definedName name="ps">'[1]Units+rev'!$E$28</definedName>
    <definedName name="psa">'[1]Units+rev'!$E$29</definedName>
    <definedName name="psd">'[1]Units+rev'!$E$30</definedName>
    <definedName name="PSV006AB" localSheetId="13" hidden="1">{#N/A,#N/A,TRUE,"sheet 1";#N/A,#N/A,TRUE,"sheet 2";#N/A,#N/A,TRUE,"PSV Calculation";#N/A,#N/A,TRUE,"Stoffdaten"}</definedName>
    <definedName name="PSV006AB" localSheetId="14" hidden="1">{#N/A,#N/A,TRUE,"sheet 1";#N/A,#N/A,TRUE,"sheet 2";#N/A,#N/A,TRUE,"PSV Calculation";#N/A,#N/A,TRUE,"Stoffdaten"}</definedName>
    <definedName name="PSV006AB" hidden="1">{#N/A,#N/A,TRUE,"sheet 1";#N/A,#N/A,TRUE,"sheet 2";#N/A,#N/A,TRUE,"PSV Calculation";#N/A,#N/A,TRUE,"Stoffdaten"}</definedName>
    <definedName name="pump" localSheetId="13">BlankMacro1</definedName>
    <definedName name="pump" localSheetId="14">BlankMacro1</definedName>
    <definedName name="pump">BlankMacro1</definedName>
    <definedName name="pv">'[1]Units+rev'!$E$31</definedName>
    <definedName name="pw">'[1]Units+rev'!$E$32</definedName>
    <definedName name="QERYE">'[13]L V Separator'!#REF!</definedName>
    <definedName name="QUANTSHELL" localSheetId="13">#REF!</definedName>
    <definedName name="QUANTSHELL" localSheetId="14">#REF!</definedName>
    <definedName name="QUANTSHELL">#REF!</definedName>
    <definedName name="QWY">'[13]L V Separator'!$A$1:$AC$65</definedName>
    <definedName name="rated_active_load_001" localSheetId="13">#REF!</definedName>
    <definedName name="rated_active_load_001" localSheetId="14">#REF!</definedName>
    <definedName name="rated_active_load_001">#REF!</definedName>
    <definedName name="rated_apparent_load_001" localSheetId="13">#REF!</definedName>
    <definedName name="rated_apparent_load_001" localSheetId="14">#REF!</definedName>
    <definedName name="rated_apparent_load_001">#REF!</definedName>
    <definedName name="rated_reactive_load_001" localSheetId="13">#REF!</definedName>
    <definedName name="rated_reactive_load_001" localSheetId="14">#REF!</definedName>
    <definedName name="rated_reactive_load_001">#REF!</definedName>
    <definedName name="rated_voltage_id_001">#REF!</definedName>
    <definedName name="related_voltage_id_001">#REF!</definedName>
    <definedName name="RemoveDuplicates">#REF!</definedName>
    <definedName name="RemoveLineFrmTo">#REF!</definedName>
    <definedName name="req_no_001">#REF!</definedName>
    <definedName name="requires_power_supply_001">#REF!</definedName>
    <definedName name="Rerv">#REF!</definedName>
    <definedName name="rev">[1]Sheeta!$I$7</definedName>
    <definedName name="rev_id_001">#REF!</definedName>
    <definedName name="rev_range">[1]Sheeta!$I$7:$I$11</definedName>
    <definedName name="revrange">#REF!</definedName>
    <definedName name="revtextvalue">'[1]Units+rev'!$A$3</definedName>
    <definedName name="revtextvalue1">'[1]Units+rev'!$C$3</definedName>
    <definedName name="revtextvaluea" localSheetId="13">#REF!</definedName>
    <definedName name="revtextvaluea" localSheetId="14">#REF!</definedName>
    <definedName name="revtextvaluea">#REF!</definedName>
    <definedName name="rho">'[1]Units+rev'!$E$33</definedName>
    <definedName name="Risk_Class">[16]Cover!$N$6:$O$14</definedName>
    <definedName name="rop_001" localSheetId="13">#REF!</definedName>
    <definedName name="rop_001" localSheetId="14">#REF!</definedName>
    <definedName name="rop_001">#REF!</definedName>
    <definedName name="Rrev" localSheetId="13">#REF!</definedName>
    <definedName name="Rrev" localSheetId="14">#REF!</definedName>
    <definedName name="Rrev">#REF!</definedName>
    <definedName name="s">'[1]Units+rev'!$E$34</definedName>
    <definedName name="sddd" localSheetId="13">BlankMacro1</definedName>
    <definedName name="sddd" localSheetId="14">BlankMacro1</definedName>
    <definedName name="sddd">BlankMacro1</definedName>
    <definedName name="Sel_calib_set_output_uom_001">[10]DWTables!$L$2</definedName>
    <definedName name="Sel_cmpnt_mfr_id_001">[9]DWTables!$G$2</definedName>
    <definedName name="Sel_cmpnt_mod_id_001">[9]DWTables!$F$2</definedName>
    <definedName name="Sel_cv_valve_diam_uid_001">[9]DWTables!$O$2</definedName>
    <definedName name="Sel_pd_dens_uid_001">[9]DWTables!$M$2</definedName>
    <definedName name="Sel_pd_design_temp_uid_001">[9]DWTables!$K$2</definedName>
    <definedName name="Sel_pd_max_shut_off_press_dif_uid_001">[9]DWTables!$N$2</definedName>
    <definedName name="Sel_pd_press_drp_uid_001">[9]DWTables!$I$2</definedName>
    <definedName name="Sel_pd_temp_uid_001">[9]DWTables!$J$2</definedName>
    <definedName name="Sel_pd_visc_uid_001">[9]DWTables!$L$2</definedName>
    <definedName name="Sel_spec_udf_c03_001">[9]DWTables!$R$2</definedName>
    <definedName name="Sel_spec_udf_c04_001">[10]DWTables!$M$2</definedName>
    <definedName name="Sel_spec_udf_c05_001">[9]DWTables!$Q$2</definedName>
    <definedName name="Sel_spec_udf_c11_001">[9]DWTables!$P$2</definedName>
    <definedName name="Sel_spec_udf_c20_001">[17]DWTables!$Q$2</definedName>
    <definedName name="Sel_spec_udf_c25_001">[17]DWTables!$P$2</definedName>
    <definedName name="Sel_spec_udf_c29_001">[17]DWTables!$O$2</definedName>
    <definedName name="Sel_spec_udf_c32_001">[17]DWTables!$N$2</definedName>
    <definedName name="Sel_spec_udf_c36_001">[17]DWTables!$M$2</definedName>
    <definedName name="Service" localSheetId="13">#REF!</definedName>
    <definedName name="Service" localSheetId="14">#REF!</definedName>
    <definedName name="Service">#REF!</definedName>
    <definedName name="SetWrapText" localSheetId="13">#REF!</definedName>
    <definedName name="SetWrapText" localSheetId="14">#REF!</definedName>
    <definedName name="SetWrapText">#REF!</definedName>
    <definedName name="Sheet1Remark0" localSheetId="13">#REF!</definedName>
    <definedName name="Sheet1Remark0" localSheetId="14">#REF!</definedName>
    <definedName name="Sheet1Remark0">#REF!</definedName>
    <definedName name="Sheet1Remark1">#REF!</definedName>
    <definedName name="Sheet1Remark10">#REF!</definedName>
    <definedName name="Sheet1Remark11">#REF!</definedName>
    <definedName name="Sheet1Remark12">#REF!</definedName>
    <definedName name="Sheet1Remark13">#REF!</definedName>
    <definedName name="Sheet1Remark14">#REF!</definedName>
    <definedName name="Sheet1Remark15">#REF!</definedName>
    <definedName name="Sheet1Remark16">#REF!</definedName>
    <definedName name="Sheet1Remark17">#REF!</definedName>
    <definedName name="Sheet1Remark18">#REF!</definedName>
    <definedName name="Sheet1Remark19">#REF!</definedName>
    <definedName name="Sheet1Remark2">#REF!</definedName>
    <definedName name="Sheet1Remark20">#REF!</definedName>
    <definedName name="Sheet1Remark21">#REF!</definedName>
    <definedName name="Sheet1Remark22">#REF!</definedName>
    <definedName name="Sheet1Remark3">#REF!</definedName>
    <definedName name="Sheet1Remark4">#REF!</definedName>
    <definedName name="Sheet1Remark5">#REF!</definedName>
    <definedName name="Sheet1Remark6">#REF!</definedName>
    <definedName name="Sheet1Remark7">#REF!</definedName>
    <definedName name="Sheet1Remark8">#REF!</definedName>
    <definedName name="Sheet1Remark9">#REF!</definedName>
    <definedName name="Sheet1Value10">#REF!</definedName>
    <definedName name="Sheet1Value11">#REF!</definedName>
    <definedName name="Sheet1Value12">#REF!</definedName>
    <definedName name="Sheet1Value13">#REF!</definedName>
    <definedName name="Sheet1Value14">#REF!</definedName>
    <definedName name="Sheet1Value15">#REF!</definedName>
    <definedName name="Sheet1Value16">#REF!</definedName>
    <definedName name="Sheet1Value17">#REF!</definedName>
    <definedName name="Sheet1Value18">#REF!</definedName>
    <definedName name="Sheet1Value19">#REF!</definedName>
    <definedName name="Sheet1Value20">#REF!</definedName>
    <definedName name="Sheet1Value21">#REF!</definedName>
    <definedName name="Sheet1Value22">#REF!</definedName>
    <definedName name="Sheet1Value23">#REF!</definedName>
    <definedName name="Sheet1Value24">#REF!</definedName>
    <definedName name="Sheet1Value25">#REF!</definedName>
    <definedName name="Sheet1Value26">#REF!</definedName>
    <definedName name="Sheet1Value27">#REF!</definedName>
    <definedName name="Sheet1Value28">#REF!</definedName>
    <definedName name="Sheet1Value29">#REF!</definedName>
    <definedName name="Sheet1Value30">#REF!</definedName>
    <definedName name="Sheet1Value31">#REF!</definedName>
    <definedName name="Sheet1Value32">#REF!</definedName>
    <definedName name="Sheet1Value33">#REF!</definedName>
    <definedName name="Sheet1Value34">#REF!</definedName>
    <definedName name="Sheet1Value35">#REF!</definedName>
    <definedName name="Sheet1Value36">#REF!</definedName>
    <definedName name="Sheet1Value37">#REF!</definedName>
    <definedName name="Sheet1Value38">#REF!</definedName>
    <definedName name="Sheet1Value39">#REF!</definedName>
    <definedName name="Sheet1Value40">#REF!</definedName>
    <definedName name="Sheet1Value41">#REF!</definedName>
    <definedName name="Sheet1Value42">#REF!</definedName>
    <definedName name="Sheet1Value43">#REF!</definedName>
    <definedName name="Sheet1Value44">#REF!</definedName>
    <definedName name="Sheet1Value45">#REF!</definedName>
    <definedName name="Sheet1Value46">#REF!</definedName>
    <definedName name="Sheet1Value47">#REF!</definedName>
    <definedName name="Sheet1Value48">#REF!</definedName>
    <definedName name="Sheet1Value49">#REF!</definedName>
    <definedName name="Sheet1Value50">#REF!</definedName>
    <definedName name="Sheet1Value51">#REF!</definedName>
    <definedName name="Sheet1Value52">#REF!</definedName>
    <definedName name="Sheet1Value53">#REF!</definedName>
    <definedName name="Sheet1Value54">#REF!</definedName>
    <definedName name="Sheet1Value55">#REF!</definedName>
    <definedName name="Sheet1Value56">#REF!</definedName>
    <definedName name="Sheet1Value57">#REF!</definedName>
    <definedName name="Sheet1Value58">#REF!</definedName>
    <definedName name="Sheet1Value59">#REF!</definedName>
    <definedName name="Sheet1Value60">#REF!</definedName>
    <definedName name="Sheet1Value61">#REF!</definedName>
    <definedName name="Sheet1Value62">#REF!</definedName>
    <definedName name="Sheet1Value9">#REF!</definedName>
    <definedName name="SHEET8" localSheetId="13">BlankMacro1</definedName>
    <definedName name="SHEET8" localSheetId="14">BlankMacro1</definedName>
    <definedName name="SHEET8">BlankMacro1</definedName>
    <definedName name="site_id_001" localSheetId="13">#REF!</definedName>
    <definedName name="site_id_001" localSheetId="14">#REF!</definedName>
    <definedName name="site_id_001">#REF!</definedName>
    <definedName name="SortRows" localSheetId="13">#REF!</definedName>
    <definedName name="SortRows" localSheetId="14">#REF!</definedName>
    <definedName name="SortRows">#REF!</definedName>
    <definedName name="spec_cmpnt_func_001" localSheetId="13">#REF!</definedName>
    <definedName name="spec_cmpnt_func_001" localSheetId="14">#REF!</definedName>
    <definedName name="spec_cmpnt_func_001">#REF!</definedName>
    <definedName name="spec_cmpnt_mounting_001">#REF!</definedName>
    <definedName name="spec_cmpnt_po_item_no_001">#REF!</definedName>
    <definedName name="spec_cmpnt_po_no">#REF!</definedName>
    <definedName name="spec_cmpnt_po_no_001">#REF!</definedName>
    <definedName name="spec_cmpnt_power_supply_001">#REF!</definedName>
    <definedName name="spec_cmpnt_price_001">#REF!</definedName>
    <definedName name="spec_cmpnt_sn">#REF!</definedName>
    <definedName name="spec_cmpnt_sn_001">#REF!</definedName>
    <definedName name="spec_cmpnt_type_001">#REF!</definedName>
    <definedName name="spec_enclosure_class_001">#REF!</definedName>
    <definedName name="spec_id_001">#REF!</definedName>
    <definedName name="spec_note">#REF!</definedName>
    <definedName name="spec_note_001">#REF!</definedName>
    <definedName name="spec_sheet_of">#REF!</definedName>
    <definedName name="spec_sheet_of_001">#REF!</definedName>
    <definedName name="spec_sheets">#REF!</definedName>
    <definedName name="spec_sheets_001">#REF!</definedName>
    <definedName name="spec_type_flg_001">#REF!</definedName>
    <definedName name="spec_udf_c01">#REF!</definedName>
    <definedName name="spec_udf_c01_001">#REF!</definedName>
    <definedName name="spec_udf_c02">#REF!</definedName>
    <definedName name="spec_udf_c02_001">#REF!</definedName>
    <definedName name="spec_udf_c03">#REF!</definedName>
    <definedName name="spec_udf_c03_001">#REF!</definedName>
    <definedName name="spec_udf_c04">#REF!</definedName>
    <definedName name="spec_udf_c04_001">#REF!</definedName>
    <definedName name="spec_udf_c05">#REF!</definedName>
    <definedName name="spec_udf_c05_001">#REF!</definedName>
    <definedName name="spec_udf_c06">#REF!</definedName>
    <definedName name="spec_udf_c06_001">#REF!</definedName>
    <definedName name="spec_udf_c07">#REF!</definedName>
    <definedName name="spec_udf_c07_001">#REF!</definedName>
    <definedName name="spec_udf_c08">#REF!</definedName>
    <definedName name="spec_udf_c08_001">#REF!</definedName>
    <definedName name="spec_udf_c09">#REF!</definedName>
    <definedName name="spec_udf_c09_001">#REF!</definedName>
    <definedName name="spec_udf_c10">#REF!</definedName>
    <definedName name="spec_udf_c10_001">#REF!</definedName>
    <definedName name="spec_udf_c100_001">[12]Sheet1!#REF!</definedName>
    <definedName name="spec_udf_c11" localSheetId="13">#REF!</definedName>
    <definedName name="spec_udf_c11" localSheetId="14">#REF!</definedName>
    <definedName name="spec_udf_c11">#REF!</definedName>
    <definedName name="spec_udf_c11_001" localSheetId="13">#REF!</definedName>
    <definedName name="spec_udf_c11_001" localSheetId="14">#REF!</definedName>
    <definedName name="spec_udf_c11_001">#REF!</definedName>
    <definedName name="spec_udf_c12" localSheetId="13">#REF!</definedName>
    <definedName name="spec_udf_c12" localSheetId="14">#REF!</definedName>
    <definedName name="spec_udf_c12">#REF!</definedName>
    <definedName name="spec_udf_c12_001">#REF!</definedName>
    <definedName name="spec_udf_c13">#REF!</definedName>
    <definedName name="spec_udf_c13_001">#REF!</definedName>
    <definedName name="spec_udf_c14">#REF!</definedName>
    <definedName name="spec_udf_c14_001">#REF!</definedName>
    <definedName name="spec_udf_c15">#REF!</definedName>
    <definedName name="spec_udf_c15_001">#REF!</definedName>
    <definedName name="spec_udf_c16">#REF!</definedName>
    <definedName name="spec_udf_c16_001">#REF!</definedName>
    <definedName name="spec_udf_c17">#REF!</definedName>
    <definedName name="spec_udf_c17_001">#REF!</definedName>
    <definedName name="spec_udf_c18">#REF!</definedName>
    <definedName name="spec_udf_c18_001">#REF!</definedName>
    <definedName name="spec_udf_c19">#REF!</definedName>
    <definedName name="spec_udf_c19_001">#REF!</definedName>
    <definedName name="spec_udf_c20">#REF!</definedName>
    <definedName name="spec_udf_c20_001">#REF!</definedName>
    <definedName name="spec_udf_c21">#REF!</definedName>
    <definedName name="spec_udf_c21_001">#REF!</definedName>
    <definedName name="spec_udf_c22">#REF!</definedName>
    <definedName name="spec_udf_c22_001">#REF!</definedName>
    <definedName name="spec_udf_c23">#REF!</definedName>
    <definedName name="spec_udf_c23_001">#REF!</definedName>
    <definedName name="spec_udf_c24">#REF!</definedName>
    <definedName name="spec_udf_c24_001">#REF!</definedName>
    <definedName name="spec_udf_c25">#REF!</definedName>
    <definedName name="spec_udf_c25_001">#REF!</definedName>
    <definedName name="spec_udf_c26">#REF!</definedName>
    <definedName name="spec_udf_c26_001">#REF!</definedName>
    <definedName name="spec_udf_c27">#REF!</definedName>
    <definedName name="spec_udf_c27_001">#REF!</definedName>
    <definedName name="spec_udf_c28">#REF!</definedName>
    <definedName name="spec_udf_c28_001">#REF!</definedName>
    <definedName name="spec_udf_c29">#REF!</definedName>
    <definedName name="spec_udf_c29_001">#REF!</definedName>
    <definedName name="spec_udf_c30">#REF!</definedName>
    <definedName name="spec_udf_c30_001">#REF!</definedName>
    <definedName name="spec_udf_c31">#REF!</definedName>
    <definedName name="spec_udf_c31_001">#REF!</definedName>
    <definedName name="spec_udf_c32">#REF!</definedName>
    <definedName name="spec_udf_c32_001">#REF!</definedName>
    <definedName name="spec_udf_c33">#REF!</definedName>
    <definedName name="spec_udf_c33_001">#REF!</definedName>
    <definedName name="spec_udf_c34">#REF!</definedName>
    <definedName name="spec_udf_c34_001">#REF!</definedName>
    <definedName name="spec_udf_c35">#REF!</definedName>
    <definedName name="spec_udf_c35_001">#REF!</definedName>
    <definedName name="spec_udf_c36">#REF!</definedName>
    <definedName name="spec_udf_c36_001">#REF!</definedName>
    <definedName name="spec_udf_c37">#REF!</definedName>
    <definedName name="spec_udf_c37_001">#REF!</definedName>
    <definedName name="spec_udf_c38">#REF!</definedName>
    <definedName name="spec_udf_c38_001">#REF!</definedName>
    <definedName name="spec_udf_c39">#REF!</definedName>
    <definedName name="spec_udf_c39_001">#REF!</definedName>
    <definedName name="spec_udf_c40">#REF!</definedName>
    <definedName name="spec_udf_c40_001">#REF!</definedName>
    <definedName name="spec_udf_c41">#REF!</definedName>
    <definedName name="spec_udf_c41_001">#REF!</definedName>
    <definedName name="spec_udf_c42">#REF!</definedName>
    <definedName name="spec_udf_c42_001">#REF!</definedName>
    <definedName name="spec_udf_c43">#REF!</definedName>
    <definedName name="spec_udf_c43_001">#REF!</definedName>
    <definedName name="spec_udf_c44">#REF!</definedName>
    <definedName name="spec_udf_c44_001">#REF!</definedName>
    <definedName name="spec_udf_c45">#REF!</definedName>
    <definedName name="spec_udf_c45_001">#REF!</definedName>
    <definedName name="spec_udf_c46">#REF!</definedName>
    <definedName name="spec_udf_c46_001">#REF!</definedName>
    <definedName name="spec_udf_c47">#REF!</definedName>
    <definedName name="spec_udf_c47_001">#REF!</definedName>
    <definedName name="spec_udf_c48">#REF!</definedName>
    <definedName name="spec_udf_c48_001">#REF!</definedName>
    <definedName name="spec_udf_c49">#REF!</definedName>
    <definedName name="spec_udf_c49_001">#REF!</definedName>
    <definedName name="spec_udf_c50">#REF!</definedName>
    <definedName name="spec_udf_c50_001">#REF!</definedName>
    <definedName name="spec_udf_c51">#REF!</definedName>
    <definedName name="spec_udf_c51_001">#REF!</definedName>
    <definedName name="spec_udf_c52">#REF!</definedName>
    <definedName name="spec_udf_c52_001">#REF!</definedName>
    <definedName name="spec_udf_c53">#REF!</definedName>
    <definedName name="spec_udf_c53_001">#REF!</definedName>
    <definedName name="spec_udf_c54">#REF!</definedName>
    <definedName name="spec_udf_c54_001">#REF!</definedName>
    <definedName name="spec_udf_c55">#REF!</definedName>
    <definedName name="spec_udf_c55_001">#REF!</definedName>
    <definedName name="spec_udf_c56">#REF!</definedName>
    <definedName name="spec_udf_c56_001">#REF!</definedName>
    <definedName name="spec_udf_c57">#REF!</definedName>
    <definedName name="spec_udf_c57_001">#REF!</definedName>
    <definedName name="spec_udf_c58">#REF!</definedName>
    <definedName name="spec_udf_c58_001">#REF!</definedName>
    <definedName name="spec_udf_c59">#REF!</definedName>
    <definedName name="spec_udf_c59_001">#REF!</definedName>
    <definedName name="spec_udf_c60">#REF!</definedName>
    <definedName name="spec_udf_c60_001">#REF!</definedName>
    <definedName name="spec_udf_c61">#REF!</definedName>
    <definedName name="spec_udf_c61_001">#REF!</definedName>
    <definedName name="spec_udf_c62">#REF!</definedName>
    <definedName name="spec_udf_c62_001">#REF!</definedName>
    <definedName name="spec_udf_c63">#REF!</definedName>
    <definedName name="spec_udf_c63_001">#REF!</definedName>
    <definedName name="spec_udf_c64">#REF!</definedName>
    <definedName name="spec_udf_c64_001">#REF!</definedName>
    <definedName name="spec_udf_c65">#REF!</definedName>
    <definedName name="spec_udf_c65_001">#REF!</definedName>
    <definedName name="spec_udf_c66">#REF!</definedName>
    <definedName name="spec_udf_c66_001">#REF!</definedName>
    <definedName name="spec_udf_c67">#REF!</definedName>
    <definedName name="spec_udf_c67_001">#REF!</definedName>
    <definedName name="spec_udf_c68">#REF!</definedName>
    <definedName name="spec_udf_c68_001">#REF!</definedName>
    <definedName name="spec_udf_c69_001">[12]Sheet1!#REF!</definedName>
    <definedName name="spec_udf_c70" localSheetId="13">#REF!</definedName>
    <definedName name="spec_udf_c70" localSheetId="14">#REF!</definedName>
    <definedName name="spec_udf_c70">#REF!</definedName>
    <definedName name="spec_udf_c70_001" localSheetId="13">#REF!</definedName>
    <definedName name="spec_udf_c70_001" localSheetId="14">#REF!</definedName>
    <definedName name="spec_udf_c70_001">#REF!</definedName>
    <definedName name="spec_udf_c71" localSheetId="13">#REF!</definedName>
    <definedName name="spec_udf_c71" localSheetId="14">#REF!</definedName>
    <definedName name="spec_udf_c71">#REF!</definedName>
    <definedName name="spec_udf_c71_001">#REF!</definedName>
    <definedName name="spec_udf_c72">#REF!</definedName>
    <definedName name="spec_udf_c72_001">#REF!</definedName>
    <definedName name="spec_udf_c73">#REF!</definedName>
    <definedName name="spec_udf_c73_001">#REF!</definedName>
    <definedName name="spec_udf_c74">#REF!</definedName>
    <definedName name="spec_udf_c74_001">#REF!</definedName>
    <definedName name="spec_udf_c75">#REF!</definedName>
    <definedName name="spec_udf_c75_001">#REF!</definedName>
    <definedName name="spec_udf_c76">#REF!</definedName>
    <definedName name="spec_udf_c76_001">#REF!</definedName>
    <definedName name="spec_udf_c77">#REF!</definedName>
    <definedName name="spec_udf_c77_001">#REF!</definedName>
    <definedName name="spec_udf_c78">#REF!</definedName>
    <definedName name="spec_udf_c78_001">#REF!</definedName>
    <definedName name="spec_udf_c79">#REF!</definedName>
    <definedName name="spec_udf_c79_001">#REF!</definedName>
    <definedName name="spec_udf_c80">#REF!</definedName>
    <definedName name="spec_udf_c80_001">#REF!</definedName>
    <definedName name="spec_udf_c81">#REF!</definedName>
    <definedName name="spec_udf_c81_001">#REF!</definedName>
    <definedName name="spec_udf_c82">#REF!</definedName>
    <definedName name="spec_udf_c82_001">#REF!</definedName>
    <definedName name="spec_udf_c83">#REF!</definedName>
    <definedName name="spec_udf_c83_001">#REF!</definedName>
    <definedName name="spec_udf_c84">#REF!</definedName>
    <definedName name="spec_udf_c84_001">#REF!</definedName>
    <definedName name="spec_udf_c85">#REF!</definedName>
    <definedName name="spec_udf_c85_001">#REF!</definedName>
    <definedName name="spec_udf_c86_001">#REF!</definedName>
    <definedName name="spec_udf_c87_001">#REF!</definedName>
    <definedName name="spec_udf_c88">#REF!</definedName>
    <definedName name="spec_udf_c88_001">#REF!</definedName>
    <definedName name="spec_udf_c89_001">[12]Sheet1!#REF!</definedName>
    <definedName name="spec_udf_c90" localSheetId="13">#REF!</definedName>
    <definedName name="spec_udf_c90" localSheetId="14">#REF!</definedName>
    <definedName name="spec_udf_c90">#REF!</definedName>
    <definedName name="spec_udf_c90_001" localSheetId="13">#REF!</definedName>
    <definedName name="spec_udf_c90_001" localSheetId="14">#REF!</definedName>
    <definedName name="spec_udf_c90_001">#REF!</definedName>
    <definedName name="spec_udf_c91" localSheetId="13">#REF!</definedName>
    <definedName name="spec_udf_c91" localSheetId="14">#REF!</definedName>
    <definedName name="spec_udf_c91">#REF!</definedName>
    <definedName name="spec_udf_c91_001">#REF!</definedName>
    <definedName name="spec_udf_c92">#REF!</definedName>
    <definedName name="spec_udf_c92_001">#REF!</definedName>
    <definedName name="spec_udf_c93">#REF!</definedName>
    <definedName name="spec_udf_c93_001">#REF!</definedName>
    <definedName name="spec_udf_c94">#REF!</definedName>
    <definedName name="spec_udf_c94_001">#REF!</definedName>
    <definedName name="spec_udf_c95_001">#REF!</definedName>
    <definedName name="spec_udf_c96_001">[12]Sheet1!#REF!</definedName>
    <definedName name="spec_udf_c97_001">[12]Sheet1!#REF!</definedName>
    <definedName name="spec_udf_c98_001" localSheetId="13">#REF!</definedName>
    <definedName name="spec_udf_c98_001" localSheetId="14">#REF!</definedName>
    <definedName name="spec_udf_c98_001">#REF!</definedName>
    <definedName name="spec_udf_c99_001" localSheetId="13">#REF!</definedName>
    <definedName name="spec_udf_c99_001" localSheetId="14">#REF!</definedName>
    <definedName name="spec_udf_c99_001">#REF!</definedName>
    <definedName name="SPP" localSheetId="13">#REF!</definedName>
    <definedName name="SPP" localSheetId="14">#REF!</definedName>
    <definedName name="SPP">#REF!</definedName>
    <definedName name="ss" localSheetId="13">BlankMacro1</definedName>
    <definedName name="ss" localSheetId="14">BlankMacro1</definedName>
    <definedName name="ss">BlankMacro1</definedName>
    <definedName name="sssssssssss" localSheetId="13">BlankMacro1</definedName>
    <definedName name="sssssssssss" localSheetId="14">BlankMacro1</definedName>
    <definedName name="sssssssssss">BlankMacro1</definedName>
    <definedName name="st">'[1]Units+rev'!$E$35</definedName>
    <definedName name="st_LB_cv_valve_type_001">[9]Connections!$M$23:$M$29</definedName>
    <definedName name="st_LB_pd_failure_action_001">[9]Connections!$G$23:$G$27</definedName>
    <definedName name="st_LB_pd_fluid_phase_001">[9]Connections!$D$23:$D$27</definedName>
    <definedName name="st_LB_pd_seat_leak_001">[9]Connections!$J$23:$J$34</definedName>
    <definedName name="st_LB_spec_udf_c50_001">[9]Connections!$V$23:$V$25</definedName>
    <definedName name="st_LB_spec_udf_c86_001">[9]Connections!$S$23:$S$25</definedName>
    <definedName name="st_LB_spec_udf_c87_001">[9]Connections!$P$23:$P$25</definedName>
    <definedName name="StartCell" localSheetId="13">#REF!</definedName>
    <definedName name="StartCell" localSheetId="14">#REF!</definedName>
    <definedName name="StartCell">#REF!</definedName>
    <definedName name="starting_current_001" localSheetId="13">#REF!</definedName>
    <definedName name="starting_current_001" localSheetId="14">#REF!</definedName>
    <definedName name="starting_current_001">#REF!</definedName>
    <definedName name="strip_id_001" localSheetId="13">#REF!</definedName>
    <definedName name="strip_id_001" localSheetId="14">#REF!</definedName>
    <definedName name="strip_id_001">#REF!</definedName>
    <definedName name="sv">'[1]Units+rev'!$E$36</definedName>
    <definedName name="t">'[1]Units+rev'!$E$37</definedName>
    <definedName name="tag_number_note" localSheetId="13">#REF!</definedName>
    <definedName name="tag_number_note" localSheetId="14">#REF!</definedName>
    <definedName name="tag_number_note">#REF!</definedName>
    <definedName name="tc">'[1]Units+rev'!$E$38</definedName>
    <definedName name="tc_field_equipment_id_001" localSheetId="13">#REF!</definedName>
    <definedName name="tc_field_equipment_id_001" localSheetId="14">#REF!</definedName>
    <definedName name="tc_field_equipment_id_001">#REF!</definedName>
    <definedName name="tc_fire_area_001" localSheetId="13">#REF!</definedName>
    <definedName name="tc_fire_area_001" localSheetId="14">#REF!</definedName>
    <definedName name="tc_fire_area_001">#REF!</definedName>
    <definedName name="tc_line_number_id_001" localSheetId="13">#REF!</definedName>
    <definedName name="tc_line_number_id_001" localSheetId="14">#REF!</definedName>
    <definedName name="tc_line_number_id_001">#REF!</definedName>
    <definedName name="tc_location_layout_001">#REF!</definedName>
    <definedName name="tc_signal_id_001">#REF!</definedName>
    <definedName name="TE">#REF!</definedName>
    <definedName name="temp_max_001">'[8]Y-MOV2011'!#REF!</definedName>
    <definedName name="temp_min_001">'[8]Y-MOV2011'!#REF!</definedName>
    <definedName name="temp_uid_001">'[8]Y-MOV2011'!#REF!</definedName>
    <definedName name="TidyUpFrom" localSheetId="13">#REF!</definedName>
    <definedName name="TidyUpFrom" localSheetId="14">#REF!</definedName>
    <definedName name="TidyUpFrom">#REF!</definedName>
    <definedName name="TidyUpTo" localSheetId="13">#REF!</definedName>
    <definedName name="TidyUpTo" localSheetId="14">#REF!</definedName>
    <definedName name="TidyUpTo">#REF!</definedName>
    <definedName name="tm">'[1]Units+rev'!$E$39</definedName>
    <definedName name="trip_set_desc_hi_001" localSheetId="13">#REF!</definedName>
    <definedName name="trip_set_desc_hi_001" localSheetId="14">#REF!</definedName>
    <definedName name="trip_set_desc_hi_001">#REF!</definedName>
    <definedName name="trip_set_desc_hihi_001" localSheetId="13">#REF!</definedName>
    <definedName name="trip_set_desc_hihi_001" localSheetId="14">#REF!</definedName>
    <definedName name="trip_set_desc_hihi_001">#REF!</definedName>
    <definedName name="trip_set_desc_lo_001" localSheetId="13">#REF!</definedName>
    <definedName name="trip_set_desc_lo_001" localSheetId="14">#REF!</definedName>
    <definedName name="trip_set_desc_lo_001">#REF!</definedName>
    <definedName name="trip_set_desc_lolo_001">#REF!</definedName>
    <definedName name="trip_set_dir_hi_001">#REF!</definedName>
    <definedName name="trip_set_dir_hihi_001">#REF!</definedName>
    <definedName name="trip_set_dir_lo_001">#REF!</definedName>
    <definedName name="trip_set_dir_lolo_001">#REF!</definedName>
    <definedName name="trip_set_hi_flg_001">#REF!</definedName>
    <definedName name="trip_set_hihi_flg_001">#REF!</definedName>
    <definedName name="trip_set_lo_flg_001">#REF!</definedName>
    <definedName name="trip_set_lolo_flg_001">#REF!</definedName>
    <definedName name="trip_set_max_hi_001">#REF!</definedName>
    <definedName name="trip_set_max_hihi_001">#REF!</definedName>
    <definedName name="trip_set_max_lo_001">#REF!</definedName>
    <definedName name="trip_set_max_lolo_001">#REF!</definedName>
    <definedName name="trip_set_min_hi_001">#REF!</definedName>
    <definedName name="trip_set_min_hihi_001">#REF!</definedName>
    <definedName name="trip_set_min_lo_001">#REF!</definedName>
    <definedName name="trip_set_min_lolo_001">#REF!</definedName>
    <definedName name="trip_set_point_hi_001">#REF!</definedName>
    <definedName name="trip_set_point_hihi_001">#REF!</definedName>
    <definedName name="trip_set_point_lo_001">#REF!</definedName>
    <definedName name="trip_set_point_lolo_001">#REF!</definedName>
    <definedName name="trip_set_uom_001">#REF!</definedName>
    <definedName name="trip_set_uom_uflg_001">#REF!</definedName>
    <definedName name="typical_schematic_001">#REF!</definedName>
    <definedName name="udf_c01_001">'[8]Y-MOV2011'!#REF!</definedName>
    <definedName name="udf_c02_001">'[8]Y-MOV2011'!#REF!</definedName>
    <definedName name="udf_c03_001">'[8]Y-MOV2011'!#REF!</definedName>
    <definedName name="udf_c04_001">'[8]Y-MOV2011'!#REF!</definedName>
    <definedName name="udf_c05_001">'[8]Y-MOV2011'!#REF!</definedName>
    <definedName name="udf_c06_001">'[8]Y-MOV2011'!#REF!</definedName>
    <definedName name="udf_c07_001">'[8]Y-MOV2011'!#REF!</definedName>
    <definedName name="udf_c08_001">'[8]Y-MOV2011'!#REF!</definedName>
    <definedName name="udf_c09_001">'[8]Y-MOV2011'!#REF!</definedName>
    <definedName name="udf_c10_001">'[8]Y-MOV2011'!#REF!</definedName>
    <definedName name="udt_support_id1_001" localSheetId="13">#REF!</definedName>
    <definedName name="udt_support_id1_001" localSheetId="14">#REF!</definedName>
    <definedName name="udt_support_id1_001">#REF!</definedName>
    <definedName name="udt_support_id10_001" localSheetId="13">#REF!</definedName>
    <definedName name="udt_support_id10_001" localSheetId="14">#REF!</definedName>
    <definedName name="udt_support_id10_001">#REF!</definedName>
    <definedName name="udt_support_id11_001" localSheetId="13">#REF!</definedName>
    <definedName name="udt_support_id11_001" localSheetId="14">#REF!</definedName>
    <definedName name="udt_support_id11_001">#REF!</definedName>
    <definedName name="udt_support_id12_001">#REF!</definedName>
    <definedName name="udt_support_id13_001">#REF!</definedName>
    <definedName name="udt_support_id14_001">#REF!</definedName>
    <definedName name="udt_support_id15_001">#REF!</definedName>
    <definedName name="udt_support_id16_001">#REF!</definedName>
    <definedName name="udt_support_id2_001">#REF!</definedName>
    <definedName name="udt_support_id3_001">#REF!</definedName>
    <definedName name="udt_support_id4_001">#REF!</definedName>
    <definedName name="udt_support_id5_001">#REF!</definedName>
    <definedName name="udt_support_id6_001">#REF!</definedName>
    <definedName name="udt_support_id7_001">#REF!</definedName>
    <definedName name="udt_support_id8_001">#REF!</definedName>
    <definedName name="udt_support_id9_001">#REF!</definedName>
    <definedName name="UNI_FILT_OFFSPEC">2</definedName>
    <definedName name="UNI_FILT_ONSPEC">1</definedName>
    <definedName name="UNI_NOTHING">0</definedName>
    <definedName name="UNI_PRES_FILTER">1</definedName>
    <definedName name="UNI_PRES_HEADINGS">16</definedName>
    <definedName name="UNI_PRES_INVERT">2</definedName>
    <definedName name="UNI_PRES_MATRIX">4</definedName>
    <definedName name="UNI_PRES_MERGED">8</definedName>
    <definedName name="UNI_PRES_OUTLIERS">32</definedName>
    <definedName name="UNI_RET_ATTRIB">64</definedName>
    <definedName name="UNI_RET_CONF">32</definedName>
    <definedName name="UNI_RET_DESC">4</definedName>
    <definedName name="UNI_RET_EQUIP">1</definedName>
    <definedName name="UNI_RET_OFFSPEC">512</definedName>
    <definedName name="UNI_RET_ONSPEC">256</definedName>
    <definedName name="UNI_RET_PROP">32</definedName>
    <definedName name="UNI_RET_PROPDESC">64</definedName>
    <definedName name="UNI_RET_SMPLPNT">4</definedName>
    <definedName name="UNI_RET_SPECMAX">2048</definedName>
    <definedName name="UNI_RET_SPECMIN">1024</definedName>
    <definedName name="UNI_RET_TAG">1</definedName>
    <definedName name="UNI_RET_TESTTIME">128</definedName>
    <definedName name="UNI_RET_TIME">8</definedName>
    <definedName name="UNI_RET_UNIT">2</definedName>
    <definedName name="UNI_RET_VALUE">16</definedName>
    <definedName name="Unique">#REF!</definedName>
    <definedName name="UniqueFrom">#REF!</definedName>
    <definedName name="UniqueTo">#REF!</definedName>
    <definedName name="UNIT">"MKH"</definedName>
    <definedName name="unit_id_001">#REF!</definedName>
    <definedName name="UNITOK">[4]!UNITOK</definedName>
    <definedName name="uom_id_001">#REF!</definedName>
    <definedName name="Update">[4]!Update</definedName>
    <definedName name="user_name_001">#REF!</definedName>
    <definedName name="v">'[1]Units+rev'!$E$40</definedName>
    <definedName name="vl">'[1]Units+rev'!$E$41</definedName>
    <definedName name="vlg">'[1]Units+rev'!$E$42</definedName>
    <definedName name="vs">'[1]Units+rev'!$E$43</definedName>
    <definedName name="WFC" localSheetId="13" hidden="1">#REF!</definedName>
    <definedName name="WFC" localSheetId="14" hidden="1">#REF!</definedName>
    <definedName name="WFC" hidden="1">#REF!</definedName>
    <definedName name="wfRevisionSubject" localSheetId="13">#REF!</definedName>
    <definedName name="wfRevisionSubject" localSheetId="14">#REF!</definedName>
    <definedName name="wfRevisionSubject">#REF!</definedName>
    <definedName name="wire_group_id_001" localSheetId="13">#REF!</definedName>
    <definedName name="wire_group_id_001" localSheetId="14">#REF!</definedName>
    <definedName name="wire_group_id_001">#REF!</definedName>
    <definedName name="wrn.BIDSUM." localSheetId="13" hidden="1">{#N/A,#N/A,TRUE,"SUMMARY";#N/A,#N/A,TRUE,"ISBL";#N/A,#N/A,TRUE,"OSBL";#N/A,#N/A,TRUE,"OFFSITE";#N/A,#N/A,TRUE,"STEAM"}</definedName>
    <definedName name="wrn.BIDSUM." localSheetId="14" hidden="1">{#N/A,#N/A,TRUE,"SUMMARY";#N/A,#N/A,TRUE,"ISBL";#N/A,#N/A,TRUE,"OSBL";#N/A,#N/A,TRUE,"OFFSITE";#N/A,#N/A,TRUE,"STEAM"}</definedName>
    <definedName name="wrn.BIDSUM." hidden="1">{#N/A,#N/A,TRUE,"SUMMARY";#N/A,#N/A,TRUE,"ISBL";#N/A,#N/A,TRUE,"OSBL";#N/A,#N/A,TRUE,"OFFSITE";#N/A,#N/A,TRUE,"STEAM"}</definedName>
    <definedName name="wrn.DIRLABR." localSheetId="13" hidden="1">{#N/A,#N/A,TRUE,"CS&amp;SS(AG)";#N/A,#N/A,TRUE,"CS(UG)";#N/A,#N/A,TRUE,"CSCL(UG)";#N/A,#N/A,TRUE,"KYNAR";#N/A,#N/A,TRUE,"ALLOY904";#N/A,#N/A,TRUE,"TITANIUM";#N/A,#N/A,TRUE,"STMTRACE"}</definedName>
    <definedName name="wrn.DIRLABR." localSheetId="14" hidden="1">{#N/A,#N/A,TRUE,"CS&amp;SS(AG)";#N/A,#N/A,TRUE,"CS(UG)";#N/A,#N/A,TRUE,"CSCL(UG)";#N/A,#N/A,TRUE,"KYNAR";#N/A,#N/A,TRUE,"ALLOY904";#N/A,#N/A,TRUE,"TITANIUM";#N/A,#N/A,TRUE,"STMTRACE"}</definedName>
    <definedName name="wrn.DIRLABR." hidden="1">{#N/A,#N/A,TRUE,"CS&amp;SS(AG)";#N/A,#N/A,TRUE,"CS(UG)";#N/A,#N/A,TRUE,"CSCL(UG)";#N/A,#N/A,TRUE,"KYNAR";#N/A,#N/A,TRUE,"ALLOY904";#N/A,#N/A,TRUE,"TITANIUM";#N/A,#N/A,TRUE,"STMTRACE"}</definedName>
    <definedName name="wrn.INDIRCOS." localSheetId="13" hidden="1">{#N/A,#N/A,TRUE,"FIELDOFF";#N/A,#N/A,TRUE,"SCAFF";#N/A,#N/A,TRUE,"CONSTEQP";#N/A,#N/A,TRUE,"FUELUBE";#N/A,#N/A,TRUE,"CONSUME";#N/A,#N/A,TRUE,"FIELDEXP";#N/A,#N/A,TRUE,"MANPLAN";#N/A,#N/A,TRUE,"EQPLAN"}</definedName>
    <definedName name="wrn.INDIRCOS." localSheetId="14" hidden="1">{#N/A,#N/A,TRUE,"FIELDOFF";#N/A,#N/A,TRUE,"SCAFF";#N/A,#N/A,TRUE,"CONSTEQP";#N/A,#N/A,TRUE,"FUELUBE";#N/A,#N/A,TRUE,"CONSUME";#N/A,#N/A,TRUE,"FIELDEXP";#N/A,#N/A,TRUE,"MANPLAN";#N/A,#N/A,TRUE,"EQPLAN"}</definedName>
    <definedName name="wrn.INDIRCOS." hidden="1">{#N/A,#N/A,TRUE,"FIELDOFF";#N/A,#N/A,TRUE,"SCAFF";#N/A,#N/A,TRUE,"CONSTEQP";#N/A,#N/A,TRUE,"FUELUBE";#N/A,#N/A,TRUE,"CONSUME";#N/A,#N/A,TRUE,"FIELDEXP";#N/A,#N/A,TRUE,"MANPLAN";#N/A,#N/A,TRUE,"EQPLAN"}</definedName>
    <definedName name="wrn.PSV." localSheetId="13" hidden="1">{#N/A,#N/A,TRUE,"sheet 1";#N/A,#N/A,TRUE,"sheet 2";#N/A,#N/A,TRUE,"PSV Calculation";#N/A,#N/A,TRUE,"Stoffdaten"}</definedName>
    <definedName name="wrn.PSV." localSheetId="14" hidden="1">{#N/A,#N/A,TRUE,"sheet 1";#N/A,#N/A,TRUE,"sheet 2";#N/A,#N/A,TRUE,"PSV Calculation";#N/A,#N/A,TRUE,"Stoffdaten"}</definedName>
    <definedName name="wrn.PSV." hidden="1">{#N/A,#N/A,TRUE,"sheet 1";#N/A,#N/A,TRUE,"sheet 2";#N/A,#N/A,TRUE,"PSV Calculation";#N/A,#N/A,TRUE,"Stoffdaten"}</definedName>
    <definedName name="ww" localSheetId="13" hidden="1">{#N/A,#N/A,TRUE,"SUMMARY";#N/A,#N/A,TRUE,"ISBL";#N/A,#N/A,TRUE,"OSBL";#N/A,#N/A,TRUE,"OFFSITE";#N/A,#N/A,TRUE,"STEAM"}</definedName>
    <definedName name="ww" localSheetId="14" hidden="1">{#N/A,#N/A,TRUE,"SUMMARY";#N/A,#N/A,TRUE,"ISBL";#N/A,#N/A,TRUE,"OSBL";#N/A,#N/A,TRUE,"OFFSITE";#N/A,#N/A,TRUE,"STEAM"}</definedName>
    <definedName name="ww" hidden="1">{#N/A,#N/A,TRUE,"SUMMARY";#N/A,#N/A,TRUE,"ISBL";#N/A,#N/A,TRUE,"OSBL";#N/A,#N/A,TRUE,"OFFSITE";#N/A,#N/A,TRUE,"STEAM"}</definedName>
    <definedName name="xcoincidencefactor_001">#REF!</definedName>
    <definedName name="xfz_001">#REF!</definedName>
    <definedName name="ycoincidencefactor_001">#REF!</definedName>
    <definedName name="z" localSheetId="13">BlankMacro1</definedName>
    <definedName name="z" localSheetId="14">BlankMacro1</definedName>
    <definedName name="z">BlankMacro1</definedName>
    <definedName name="zcoincidencefactor_001" localSheetId="13">#REF!</definedName>
    <definedName name="zcoincidencefactor_001" localSheetId="14">#REF!</definedName>
    <definedName name="zcoincidencefactor_001">#REF!</definedName>
    <definedName name="zzcoincidencefactor_001" localSheetId="13">#REF!</definedName>
    <definedName name="zzcoincidencefactor_001" localSheetId="14">#REF!</definedName>
    <definedName name="zzcoincidencefactor_001">#REF!</definedName>
    <definedName name="커버" localSheetId="13">BlankMacro1</definedName>
    <definedName name="커버" localSheetId="14">BlankMacro1</definedName>
    <definedName name="커버">BlankMacro1</definedName>
    <definedName name="템플리트모듈1" localSheetId="13">BlankMacro1</definedName>
    <definedName name="템플리트모듈1" localSheetId="14">BlankMacro1</definedName>
    <definedName name="템플리트모듈1">BlankMacro1</definedName>
    <definedName name="템플리트모듈2" localSheetId="13">BlankMacro1</definedName>
    <definedName name="템플리트모듈2" localSheetId="14">BlankMacro1</definedName>
    <definedName name="템플리트모듈2">BlankMacro1</definedName>
    <definedName name="템플리트모듈3" localSheetId="13">BlankMacro1</definedName>
    <definedName name="템플리트모듈3" localSheetId="14">BlankMacro1</definedName>
    <definedName name="템플리트모듈3">BlankMacro1</definedName>
    <definedName name="템플리트모듈4" localSheetId="13">BlankMacro1</definedName>
    <definedName name="템플리트모듈4" localSheetId="14">BlankMacro1</definedName>
    <definedName name="템플리트모듈4">BlankMacro1</definedName>
    <definedName name="템플리트모듈5" localSheetId="13">BlankMacro1</definedName>
    <definedName name="템플리트모듈5" localSheetId="14">BlankMacro1</definedName>
    <definedName name="템플리트모듈5">BlankMacro1</definedName>
    <definedName name="템플리트모듈6" localSheetId="13">BlankMacro1</definedName>
    <definedName name="템플리트모듈6" localSheetId="14">BlankMacro1</definedName>
    <definedName name="템플리트모듈6">BlankMacro1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9" i="7" l="1"/>
  <c r="R9" i="6"/>
  <c r="R9" i="5"/>
  <c r="R9" i="4"/>
  <c r="R8" i="4"/>
  <c r="R9" i="8"/>
  <c r="R8" i="8"/>
  <c r="R9" i="1"/>
  <c r="R8" i="1"/>
  <c r="R9" i="18"/>
  <c r="R8" i="18"/>
  <c r="R8" i="17"/>
  <c r="R9" i="17"/>
  <c r="R9" i="16"/>
  <c r="R8" i="16"/>
  <c r="R9" i="15"/>
  <c r="R8" i="15"/>
  <c r="R9" i="14"/>
  <c r="R8" i="14"/>
  <c r="R9" i="13"/>
  <c r="R8" i="13"/>
  <c r="R9" i="12"/>
  <c r="R8" i="12"/>
  <c r="R9" i="11"/>
  <c r="R8" i="11"/>
  <c r="R9" i="10"/>
  <c r="R8" i="10"/>
  <c r="R9" i="9"/>
  <c r="R8" i="9"/>
  <c r="G62" i="11" l="1"/>
  <c r="S62" i="11" s="1"/>
  <c r="G62" i="12"/>
  <c r="S62" i="12" s="1"/>
  <c r="G62" i="13"/>
  <c r="S62" i="13" s="1"/>
  <c r="G62" i="14"/>
  <c r="S62" i="14" s="1"/>
  <c r="G62" i="15"/>
  <c r="S62" i="15" s="1"/>
  <c r="G62" i="16"/>
  <c r="S62" i="16" s="1"/>
  <c r="G62" i="17"/>
  <c r="S62" i="17" s="1"/>
  <c r="G62" i="18"/>
  <c r="S62" i="18" s="1"/>
  <c r="G62" i="1"/>
  <c r="S62" i="1" s="1"/>
  <c r="G62" i="8"/>
  <c r="S62" i="8" s="1"/>
  <c r="G62" i="21"/>
  <c r="S62" i="21" s="1"/>
  <c r="G62" i="3"/>
  <c r="S62" i="3" s="1"/>
  <c r="G62" i="4"/>
  <c r="S62" i="4" s="1"/>
  <c r="G62" i="5"/>
  <c r="S62" i="5" s="1"/>
  <c r="G62" i="6"/>
  <c r="S62" i="6" s="1"/>
  <c r="G62" i="10"/>
  <c r="S62" i="10" s="1"/>
  <c r="D61" i="10"/>
  <c r="D61" i="11"/>
  <c r="D61" i="12"/>
  <c r="D61" i="13"/>
  <c r="F61" i="13" s="1"/>
  <c r="G61" i="13" s="1"/>
  <c r="S61" i="13" s="1"/>
  <c r="D61" i="14"/>
  <c r="D61" i="15"/>
  <c r="D61" i="16"/>
  <c r="D61" i="17"/>
  <c r="F61" i="17" s="1"/>
  <c r="G61" i="17" s="1"/>
  <c r="S61" i="17" s="1"/>
  <c r="D61" i="18"/>
  <c r="D61" i="1"/>
  <c r="D61" i="8"/>
  <c r="D61" i="21"/>
  <c r="F61" i="21" s="1"/>
  <c r="G61" i="21" s="1"/>
  <c r="S61" i="21" s="1"/>
  <c r="D61" i="3"/>
  <c r="D61" i="4"/>
  <c r="D61" i="5"/>
  <c r="D61" i="6"/>
  <c r="D61" i="7"/>
  <c r="D61" i="9"/>
  <c r="D60" i="10"/>
  <c r="D60" i="11"/>
  <c r="D60" i="12"/>
  <c r="D60" i="13"/>
  <c r="D60" i="14"/>
  <c r="D60" i="15"/>
  <c r="D60" i="16"/>
  <c r="D60" i="17"/>
  <c r="D60" i="18"/>
  <c r="D60" i="1"/>
  <c r="D60" i="8"/>
  <c r="D60" i="21"/>
  <c r="D60" i="3"/>
  <c r="D60" i="4"/>
  <c r="D60" i="5"/>
  <c r="D60" i="6"/>
  <c r="D60" i="7"/>
  <c r="D60" i="9"/>
  <c r="F61" i="11"/>
  <c r="G61" i="11" s="1"/>
  <c r="S61" i="11" s="1"/>
  <c r="F61" i="12"/>
  <c r="G61" i="12" s="1"/>
  <c r="S61" i="12" s="1"/>
  <c r="F61" i="14"/>
  <c r="G61" i="14" s="1"/>
  <c r="S61" i="14" s="1"/>
  <c r="F61" i="15"/>
  <c r="G61" i="15" s="1"/>
  <c r="S61" i="15" s="1"/>
  <c r="F61" i="16"/>
  <c r="G61" i="16" s="1"/>
  <c r="S61" i="16" s="1"/>
  <c r="F61" i="18"/>
  <c r="G61" i="18" s="1"/>
  <c r="S61" i="18" s="1"/>
  <c r="F61" i="1"/>
  <c r="G61" i="1" s="1"/>
  <c r="S61" i="1" s="1"/>
  <c r="F61" i="8"/>
  <c r="G61" i="8" s="1"/>
  <c r="S61" i="8" s="1"/>
  <c r="F61" i="3"/>
  <c r="G61" i="3" s="1"/>
  <c r="S61" i="3" s="1"/>
  <c r="F61" i="4"/>
  <c r="G61" i="4" s="1"/>
  <c r="S61" i="4" s="1"/>
  <c r="F61" i="5"/>
  <c r="G61" i="5" s="1"/>
  <c r="S61" i="5" s="1"/>
  <c r="F61" i="6"/>
  <c r="G61" i="6" s="1"/>
  <c r="S61" i="6" s="1"/>
  <c r="F61" i="10"/>
  <c r="G61" i="10" s="1"/>
  <c r="S61" i="10" s="1"/>
  <c r="Z118" i="10" l="1"/>
  <c r="Z118" i="11"/>
  <c r="Z118" i="12"/>
  <c r="Z118" i="13"/>
  <c r="Z118" i="14"/>
  <c r="Z118" i="15"/>
  <c r="Z118" i="16"/>
  <c r="Z118" i="17"/>
  <c r="Z118" i="18"/>
  <c r="Z118" i="1"/>
  <c r="Z118" i="8"/>
  <c r="Z118" i="21"/>
  <c r="Z118" i="3"/>
  <c r="Z118" i="4"/>
  <c r="Z118" i="5"/>
  <c r="Z118" i="6"/>
  <c r="Z118" i="9"/>
  <c r="G62" i="9"/>
  <c r="F61" i="9"/>
  <c r="G61" i="9" s="1"/>
  <c r="S61" i="9" s="1"/>
  <c r="D55" i="10"/>
  <c r="D55" i="11"/>
  <c r="D55" i="12"/>
  <c r="D55" i="13"/>
  <c r="D55" i="14"/>
  <c r="D55" i="15"/>
  <c r="D55" i="16"/>
  <c r="D55" i="17"/>
  <c r="D55" i="18"/>
  <c r="D55" i="1"/>
  <c r="D55" i="8"/>
  <c r="D55" i="21"/>
  <c r="D55" i="3"/>
  <c r="D55" i="4"/>
  <c r="D55" i="5"/>
  <c r="D55" i="6"/>
  <c r="D55" i="9"/>
  <c r="G38" i="21" l="1"/>
  <c r="S38" i="21" s="1"/>
  <c r="G38" i="8"/>
  <c r="S38" i="8" s="1"/>
  <c r="G38" i="1"/>
  <c r="S38" i="1" s="1"/>
  <c r="S10" i="10"/>
  <c r="S11" i="10"/>
  <c r="S13" i="10"/>
  <c r="S14" i="10"/>
  <c r="S15" i="10"/>
  <c r="S19" i="10"/>
  <c r="S20" i="10"/>
  <c r="S21" i="10"/>
  <c r="S25" i="10"/>
  <c r="S26" i="10"/>
  <c r="S27" i="10"/>
  <c r="S30" i="10"/>
  <c r="S31" i="10"/>
  <c r="S32" i="10"/>
  <c r="S34" i="10"/>
  <c r="S35" i="10"/>
  <c r="S36" i="10"/>
  <c r="S41" i="10"/>
  <c r="S42" i="10"/>
  <c r="S43" i="10"/>
  <c r="S47" i="10"/>
  <c r="S48" i="10"/>
  <c r="S49" i="10"/>
  <c r="S10" i="11"/>
  <c r="S11" i="11"/>
  <c r="S13" i="11"/>
  <c r="S14" i="11"/>
  <c r="S15" i="11"/>
  <c r="S19" i="11"/>
  <c r="S20" i="11"/>
  <c r="S21" i="11"/>
  <c r="S25" i="11"/>
  <c r="S26" i="11"/>
  <c r="S27" i="11"/>
  <c r="S30" i="11"/>
  <c r="S31" i="11"/>
  <c r="S32" i="11"/>
  <c r="S34" i="11"/>
  <c r="S35" i="11"/>
  <c r="S36" i="11"/>
  <c r="S41" i="11"/>
  <c r="S42" i="11"/>
  <c r="S43" i="11"/>
  <c r="S47" i="11"/>
  <c r="S48" i="11"/>
  <c r="S49" i="11"/>
  <c r="S10" i="12"/>
  <c r="S11" i="12"/>
  <c r="S13" i="12"/>
  <c r="S14" i="12"/>
  <c r="S15" i="12"/>
  <c r="S19" i="12"/>
  <c r="S20" i="12"/>
  <c r="S21" i="12"/>
  <c r="S25" i="12"/>
  <c r="S26" i="12"/>
  <c r="S27" i="12"/>
  <c r="S30" i="12"/>
  <c r="S31" i="12"/>
  <c r="S32" i="12"/>
  <c r="S34" i="12"/>
  <c r="S35" i="12"/>
  <c r="S36" i="12"/>
  <c r="S41" i="12"/>
  <c r="S42" i="12"/>
  <c r="S43" i="12"/>
  <c r="S47" i="12"/>
  <c r="S48" i="12"/>
  <c r="S49" i="12"/>
  <c r="S10" i="13"/>
  <c r="S11" i="13"/>
  <c r="S13" i="13"/>
  <c r="S14" i="13"/>
  <c r="S15" i="13"/>
  <c r="S19" i="13"/>
  <c r="S20" i="13"/>
  <c r="S21" i="13"/>
  <c r="S25" i="13"/>
  <c r="S26" i="13"/>
  <c r="S27" i="13"/>
  <c r="S30" i="13"/>
  <c r="S31" i="13"/>
  <c r="S32" i="13"/>
  <c r="S34" i="13"/>
  <c r="S35" i="13"/>
  <c r="S36" i="13"/>
  <c r="S41" i="13"/>
  <c r="S42" i="13"/>
  <c r="S43" i="13"/>
  <c r="S47" i="13"/>
  <c r="S48" i="13"/>
  <c r="S49" i="13"/>
  <c r="S10" i="14"/>
  <c r="S11" i="14"/>
  <c r="S13" i="14"/>
  <c r="S14" i="14"/>
  <c r="S15" i="14"/>
  <c r="S25" i="14"/>
  <c r="S26" i="14"/>
  <c r="S27" i="14"/>
  <c r="S30" i="14"/>
  <c r="S31" i="14"/>
  <c r="S32" i="14"/>
  <c r="S34" i="14"/>
  <c r="S35" i="14"/>
  <c r="S36" i="14"/>
  <c r="S41" i="14"/>
  <c r="S42" i="14"/>
  <c r="S43" i="14"/>
  <c r="S47" i="14"/>
  <c r="S48" i="14"/>
  <c r="S49" i="14"/>
  <c r="S10" i="15"/>
  <c r="S11" i="15"/>
  <c r="S13" i="15"/>
  <c r="S14" i="15"/>
  <c r="S15" i="15"/>
  <c r="S19" i="15"/>
  <c r="S20" i="15"/>
  <c r="S21" i="15"/>
  <c r="S25" i="15"/>
  <c r="S26" i="15"/>
  <c r="S27" i="15"/>
  <c r="S30" i="15"/>
  <c r="S31" i="15"/>
  <c r="S32" i="15"/>
  <c r="S34" i="15"/>
  <c r="S35" i="15"/>
  <c r="S36" i="15"/>
  <c r="S41" i="15"/>
  <c r="S42" i="15"/>
  <c r="S43" i="15"/>
  <c r="S47" i="15"/>
  <c r="S48" i="15"/>
  <c r="S49" i="15"/>
  <c r="S10" i="16"/>
  <c r="S11" i="16"/>
  <c r="S13" i="16"/>
  <c r="S14" i="16"/>
  <c r="S15" i="16"/>
  <c r="S19" i="16"/>
  <c r="S20" i="16"/>
  <c r="S21" i="16"/>
  <c r="S25" i="16"/>
  <c r="S26" i="16"/>
  <c r="S27" i="16"/>
  <c r="S30" i="16"/>
  <c r="S31" i="16"/>
  <c r="S32" i="16"/>
  <c r="S34" i="16"/>
  <c r="S35" i="16"/>
  <c r="S36" i="16"/>
  <c r="S41" i="16"/>
  <c r="S42" i="16"/>
  <c r="S43" i="16"/>
  <c r="S47" i="16"/>
  <c r="S48" i="16"/>
  <c r="S49" i="16"/>
  <c r="S10" i="17"/>
  <c r="S11" i="17"/>
  <c r="S13" i="17"/>
  <c r="S14" i="17"/>
  <c r="S15" i="17"/>
  <c r="S19" i="17"/>
  <c r="S20" i="17"/>
  <c r="S21" i="17"/>
  <c r="S25" i="17"/>
  <c r="S26" i="17"/>
  <c r="S27" i="17"/>
  <c r="S30" i="17"/>
  <c r="S31" i="17"/>
  <c r="S32" i="17"/>
  <c r="S34" i="17"/>
  <c r="S35" i="17"/>
  <c r="S36" i="17"/>
  <c r="S41" i="17"/>
  <c r="S42" i="17"/>
  <c r="S43" i="17"/>
  <c r="S47" i="17"/>
  <c r="S48" i="17"/>
  <c r="S49" i="17"/>
  <c r="S10" i="18"/>
  <c r="S11" i="18"/>
  <c r="S13" i="18"/>
  <c r="S14" i="18"/>
  <c r="S15" i="18"/>
  <c r="S19" i="18"/>
  <c r="S20" i="18"/>
  <c r="S21" i="18"/>
  <c r="S25" i="18"/>
  <c r="S26" i="18"/>
  <c r="S27" i="18"/>
  <c r="S30" i="18"/>
  <c r="S31" i="18"/>
  <c r="S32" i="18"/>
  <c r="S34" i="18"/>
  <c r="S35" i="18"/>
  <c r="S36" i="18"/>
  <c r="S41" i="18"/>
  <c r="S42" i="18"/>
  <c r="S43" i="18"/>
  <c r="S47" i="18"/>
  <c r="S48" i="18"/>
  <c r="S49" i="18"/>
  <c r="S10" i="1"/>
  <c r="S11" i="1"/>
  <c r="S13" i="1"/>
  <c r="S14" i="1"/>
  <c r="S15" i="1"/>
  <c r="S19" i="1"/>
  <c r="S20" i="1"/>
  <c r="S21" i="1"/>
  <c r="S25" i="1"/>
  <c r="S26" i="1"/>
  <c r="S27" i="1"/>
  <c r="S30" i="1"/>
  <c r="S31" i="1"/>
  <c r="S32" i="1"/>
  <c r="S34" i="1"/>
  <c r="S35" i="1"/>
  <c r="S36" i="1"/>
  <c r="S41" i="1"/>
  <c r="S42" i="1"/>
  <c r="S43" i="1"/>
  <c r="S47" i="1"/>
  <c r="S48" i="1"/>
  <c r="S49" i="1"/>
  <c r="S10" i="8"/>
  <c r="S11" i="8"/>
  <c r="S13" i="8"/>
  <c r="S14" i="8"/>
  <c r="S15" i="8"/>
  <c r="S19" i="8"/>
  <c r="S20" i="8"/>
  <c r="S21" i="8"/>
  <c r="S25" i="8"/>
  <c r="S26" i="8"/>
  <c r="S27" i="8"/>
  <c r="S30" i="8"/>
  <c r="S31" i="8"/>
  <c r="S32" i="8"/>
  <c r="S41" i="8"/>
  <c r="S42" i="8"/>
  <c r="S47" i="8"/>
  <c r="S48" i="8"/>
  <c r="S49" i="8"/>
  <c r="S10" i="21"/>
  <c r="S11" i="21"/>
  <c r="S13" i="21"/>
  <c r="S14" i="21"/>
  <c r="S15" i="21"/>
  <c r="S19" i="21"/>
  <c r="S20" i="21"/>
  <c r="S21" i="21"/>
  <c r="S25" i="21"/>
  <c r="S26" i="21"/>
  <c r="S27" i="21"/>
  <c r="S30" i="21"/>
  <c r="S31" i="21"/>
  <c r="S32" i="21"/>
  <c r="S41" i="21"/>
  <c r="S42" i="21"/>
  <c r="S47" i="21"/>
  <c r="S48" i="21"/>
  <c r="S49" i="21"/>
  <c r="S10" i="3"/>
  <c r="S11" i="3"/>
  <c r="S13" i="3"/>
  <c r="S14" i="3"/>
  <c r="S15" i="3"/>
  <c r="S19" i="3"/>
  <c r="S20" i="3"/>
  <c r="S21" i="3"/>
  <c r="S30" i="3"/>
  <c r="S31" i="3"/>
  <c r="S32" i="3"/>
  <c r="S34" i="3"/>
  <c r="S35" i="3"/>
  <c r="S36" i="3"/>
  <c r="S41" i="3"/>
  <c r="S42" i="3"/>
  <c r="S43" i="3"/>
  <c r="S47" i="3"/>
  <c r="S48" i="3"/>
  <c r="S49" i="3"/>
  <c r="S10" i="4"/>
  <c r="S11" i="4"/>
  <c r="S13" i="4"/>
  <c r="S14" i="4"/>
  <c r="S15" i="4"/>
  <c r="S19" i="4"/>
  <c r="S20" i="4"/>
  <c r="S21" i="4"/>
  <c r="S25" i="4"/>
  <c r="S26" i="4"/>
  <c r="S27" i="4"/>
  <c r="S30" i="4"/>
  <c r="S31" i="4"/>
  <c r="S32" i="4"/>
  <c r="S34" i="4"/>
  <c r="S35" i="4"/>
  <c r="S36" i="4"/>
  <c r="S41" i="4"/>
  <c r="S42" i="4"/>
  <c r="S43" i="4"/>
  <c r="S47" i="4"/>
  <c r="S48" i="4"/>
  <c r="S49" i="4"/>
  <c r="S10" i="5"/>
  <c r="S11" i="5"/>
  <c r="S13" i="5"/>
  <c r="S14" i="5"/>
  <c r="S15" i="5"/>
  <c r="S19" i="5"/>
  <c r="S20" i="5"/>
  <c r="S21" i="5"/>
  <c r="S25" i="5"/>
  <c r="S26" i="5"/>
  <c r="S27" i="5"/>
  <c r="S30" i="5"/>
  <c r="S31" i="5"/>
  <c r="S32" i="5"/>
  <c r="S34" i="5"/>
  <c r="S35" i="5"/>
  <c r="S36" i="5"/>
  <c r="S41" i="5"/>
  <c r="S42" i="5"/>
  <c r="S43" i="5"/>
  <c r="S47" i="5"/>
  <c r="S48" i="5"/>
  <c r="S49" i="5"/>
  <c r="S10" i="6"/>
  <c r="S11" i="6"/>
  <c r="S19" i="6"/>
  <c r="S20" i="6"/>
  <c r="S21" i="6"/>
  <c r="S25" i="6"/>
  <c r="S26" i="6"/>
  <c r="S27" i="6"/>
  <c r="S30" i="6"/>
  <c r="S31" i="6"/>
  <c r="S32" i="6"/>
  <c r="S34" i="6"/>
  <c r="S35" i="6"/>
  <c r="S36" i="6"/>
  <c r="S41" i="6"/>
  <c r="S42" i="6"/>
  <c r="S43" i="6"/>
  <c r="S47" i="6"/>
  <c r="S48" i="6"/>
  <c r="S49" i="6"/>
  <c r="S10" i="7"/>
  <c r="S11" i="7"/>
  <c r="S13" i="7"/>
  <c r="S14" i="7"/>
  <c r="S15" i="7"/>
  <c r="S19" i="7"/>
  <c r="S20" i="7"/>
  <c r="S21" i="7"/>
  <c r="S25" i="7"/>
  <c r="S26" i="7"/>
  <c r="S27" i="7"/>
  <c r="S30" i="7"/>
  <c r="S31" i="7"/>
  <c r="S32" i="7"/>
  <c r="S34" i="7"/>
  <c r="S35" i="7"/>
  <c r="S36" i="7"/>
  <c r="S41" i="7"/>
  <c r="S42" i="7"/>
  <c r="S43" i="7"/>
  <c r="S47" i="7"/>
  <c r="S48" i="7"/>
  <c r="S49" i="7"/>
  <c r="S10" i="9"/>
  <c r="S11" i="9"/>
  <c r="S13" i="9"/>
  <c r="S14" i="9"/>
  <c r="S15" i="9"/>
  <c r="S25" i="9"/>
  <c r="S26" i="9"/>
  <c r="S27" i="9"/>
  <c r="S30" i="9"/>
  <c r="S31" i="9"/>
  <c r="S32" i="9"/>
  <c r="S34" i="9"/>
  <c r="S35" i="9"/>
  <c r="S36" i="9"/>
  <c r="S41" i="9"/>
  <c r="S42" i="9"/>
  <c r="S43" i="9"/>
  <c r="S47" i="9"/>
  <c r="S48" i="9"/>
  <c r="S49" i="9"/>
  <c r="R51" i="6" l="1"/>
  <c r="I48" i="6"/>
  <c r="F45" i="6"/>
  <c r="G45" i="6" s="1"/>
  <c r="S45" i="6" s="1"/>
  <c r="G38" i="6"/>
  <c r="S38" i="6" s="1"/>
  <c r="I35" i="6"/>
  <c r="I33" i="6" s="1"/>
  <c r="Q33" i="6"/>
  <c r="P33" i="6"/>
  <c r="O33" i="6"/>
  <c r="N33" i="6"/>
  <c r="M33" i="6"/>
  <c r="L33" i="6"/>
  <c r="K33" i="6"/>
  <c r="J33" i="6"/>
  <c r="J31" i="6"/>
  <c r="J29" i="6" s="1"/>
  <c r="I31" i="6"/>
  <c r="I29" i="6" s="1"/>
  <c r="Q29" i="6"/>
  <c r="P29" i="6"/>
  <c r="O29" i="6"/>
  <c r="N29" i="6"/>
  <c r="M29" i="6"/>
  <c r="L29" i="6"/>
  <c r="K29" i="6"/>
  <c r="G28" i="6"/>
  <c r="S28" i="6" s="1"/>
  <c r="F22" i="6"/>
  <c r="G22" i="6" s="1"/>
  <c r="S22" i="6" s="1"/>
  <c r="Q20" i="6"/>
  <c r="Q18" i="6" s="1"/>
  <c r="P20" i="6"/>
  <c r="O20" i="6"/>
  <c r="O18" i="6" s="1"/>
  <c r="N20" i="6"/>
  <c r="N18" i="6" s="1"/>
  <c r="M20" i="6"/>
  <c r="L20" i="6"/>
  <c r="L18" i="6" s="1"/>
  <c r="K20" i="6"/>
  <c r="K18" i="6" s="1"/>
  <c r="J20" i="6"/>
  <c r="J18" i="6" s="1"/>
  <c r="I20" i="6"/>
  <c r="I18" i="6" s="1"/>
  <c r="R18" i="6"/>
  <c r="P18" i="6"/>
  <c r="M18" i="6"/>
  <c r="R17" i="6"/>
  <c r="F45" i="5"/>
  <c r="G45" i="5" s="1"/>
  <c r="S45" i="5" s="1"/>
  <c r="F22" i="5"/>
  <c r="G22" i="5" s="1"/>
  <c r="S22" i="5" s="1"/>
  <c r="Q20" i="5"/>
  <c r="P20" i="5"/>
  <c r="O20" i="5"/>
  <c r="N20" i="5"/>
  <c r="N18" i="5" s="1"/>
  <c r="M20" i="5"/>
  <c r="M18" i="5" s="1"/>
  <c r="L20" i="5"/>
  <c r="L18" i="5" s="1"/>
  <c r="K20" i="5"/>
  <c r="K18" i="5" s="1"/>
  <c r="J20" i="5"/>
  <c r="J18" i="5" s="1"/>
  <c r="I20" i="5"/>
  <c r="I18" i="5" s="1"/>
  <c r="R18" i="5"/>
  <c r="Q18" i="5"/>
  <c r="P18" i="5"/>
  <c r="O18" i="5"/>
  <c r="D18" i="5"/>
  <c r="F18" i="5" s="1"/>
  <c r="G18" i="5" s="1"/>
  <c r="D23" i="5"/>
  <c r="F23" i="5" s="1"/>
  <c r="G23" i="5" s="1"/>
  <c r="S23" i="5" s="1"/>
  <c r="D24" i="5"/>
  <c r="D51" i="5" s="1"/>
  <c r="F24" i="5"/>
  <c r="G24" i="5" s="1"/>
  <c r="J24" i="5"/>
  <c r="K24" i="5"/>
  <c r="L24" i="5"/>
  <c r="M24" i="5"/>
  <c r="N24" i="5"/>
  <c r="O24" i="5"/>
  <c r="P24" i="5"/>
  <c r="R24" i="5"/>
  <c r="I26" i="5"/>
  <c r="I24" i="5" s="1"/>
  <c r="Q26" i="5"/>
  <c r="Q24" i="5" s="1"/>
  <c r="G28" i="5"/>
  <c r="S28" i="5" s="1"/>
  <c r="D29" i="5"/>
  <c r="F29" i="5" s="1"/>
  <c r="K29" i="5"/>
  <c r="L29" i="5"/>
  <c r="M29" i="5"/>
  <c r="N29" i="5"/>
  <c r="O29" i="5"/>
  <c r="P29" i="5"/>
  <c r="Q29" i="5"/>
  <c r="I31" i="5"/>
  <c r="I29" i="5" s="1"/>
  <c r="J31" i="5"/>
  <c r="J29" i="5" s="1"/>
  <c r="D33" i="5"/>
  <c r="F33" i="5" s="1"/>
  <c r="G33" i="5" s="1"/>
  <c r="S33" i="5" s="1"/>
  <c r="J33" i="5"/>
  <c r="K33" i="5"/>
  <c r="L33" i="5"/>
  <c r="M33" i="5"/>
  <c r="N33" i="5"/>
  <c r="O33" i="5"/>
  <c r="P33" i="5"/>
  <c r="Q33" i="5"/>
  <c r="I35" i="5"/>
  <c r="I33" i="5" s="1"/>
  <c r="D37" i="5"/>
  <c r="F37" i="5" s="1"/>
  <c r="G37" i="5" s="1"/>
  <c r="S37" i="5" s="1"/>
  <c r="G38" i="5"/>
  <c r="S38" i="5" s="1"/>
  <c r="D39" i="5"/>
  <c r="F39" i="5" s="1"/>
  <c r="G39" i="5" s="1"/>
  <c r="S39" i="5" s="1"/>
  <c r="D40" i="5"/>
  <c r="F40" i="5" s="1"/>
  <c r="G40" i="5" s="1"/>
  <c r="S40" i="5" s="1"/>
  <c r="D44" i="5"/>
  <c r="F44" i="5" s="1"/>
  <c r="G44" i="5" s="1"/>
  <c r="S44" i="5" s="1"/>
  <c r="D46" i="5"/>
  <c r="F46" i="5" s="1"/>
  <c r="G46" i="5" s="1"/>
  <c r="S46" i="5" s="1"/>
  <c r="I48" i="5"/>
  <c r="D50" i="5"/>
  <c r="F50" i="5" s="1"/>
  <c r="G50" i="5" s="1"/>
  <c r="S50" i="5" s="1"/>
  <c r="R51" i="5"/>
  <c r="D52" i="5"/>
  <c r="F52" i="5" s="1"/>
  <c r="G52" i="5" s="1"/>
  <c r="S52" i="5" s="1"/>
  <c r="D53" i="5"/>
  <c r="F53" i="5" s="1"/>
  <c r="R17" i="5"/>
  <c r="R9" i="3"/>
  <c r="S8" i="3"/>
  <c r="F8" i="3"/>
  <c r="D8" i="3"/>
  <c r="R9" i="21"/>
  <c r="S8" i="21"/>
  <c r="F8" i="21"/>
  <c r="D8" i="21"/>
  <c r="S18" i="5" l="1"/>
  <c r="S24" i="5"/>
  <c r="G53" i="5"/>
  <c r="S53" i="5" s="1"/>
  <c r="F51" i="5"/>
  <c r="G51" i="5" s="1"/>
  <c r="S51" i="5" s="1"/>
  <c r="G29" i="5"/>
  <c r="S29" i="5" s="1"/>
  <c r="E8" i="1" l="1"/>
  <c r="E8" i="8" l="1"/>
  <c r="S8" i="1"/>
  <c r="F8" i="1"/>
  <c r="D8" i="1"/>
  <c r="E8" i="15"/>
  <c r="E8" i="14" l="1"/>
  <c r="E8" i="13"/>
  <c r="E8" i="12"/>
  <c r="F45" i="11"/>
  <c r="R18" i="11"/>
  <c r="F22" i="11"/>
  <c r="R17" i="11"/>
  <c r="E24" i="7" l="1"/>
  <c r="G68" i="21" l="1"/>
  <c r="D59" i="21"/>
  <c r="F59" i="21" s="1"/>
  <c r="G59" i="21" s="1"/>
  <c r="S59" i="21" s="1"/>
  <c r="D58" i="21"/>
  <c r="F58" i="21" s="1"/>
  <c r="G58" i="21" s="1"/>
  <c r="S58" i="21" s="1"/>
  <c r="D57" i="21"/>
  <c r="F57" i="21" s="1"/>
  <c r="G57" i="21" s="1"/>
  <c r="S57" i="21" s="1"/>
  <c r="D56" i="21"/>
  <c r="R56" i="21" s="1"/>
  <c r="F55" i="21"/>
  <c r="G55" i="21" s="1"/>
  <c r="S55" i="21" s="1"/>
  <c r="G54" i="21"/>
  <c r="S54" i="21" s="1"/>
  <c r="D53" i="21"/>
  <c r="F53" i="21" s="1"/>
  <c r="G53" i="21" s="1"/>
  <c r="S53" i="21" s="1"/>
  <c r="D52" i="21"/>
  <c r="F52" i="21" s="1"/>
  <c r="G52" i="21" s="1"/>
  <c r="S52" i="21" s="1"/>
  <c r="R51" i="21"/>
  <c r="D50" i="21"/>
  <c r="F50" i="21" s="1"/>
  <c r="G50" i="21" s="1"/>
  <c r="S50" i="21" s="1"/>
  <c r="I48" i="21"/>
  <c r="I46" i="21" s="1"/>
  <c r="D46" i="21"/>
  <c r="F46" i="21" s="1"/>
  <c r="G46" i="21" s="1"/>
  <c r="S46" i="21" s="1"/>
  <c r="G45" i="21"/>
  <c r="S45" i="21" s="1"/>
  <c r="F45" i="21"/>
  <c r="D44" i="21"/>
  <c r="F44" i="21" s="1"/>
  <c r="G44" i="21" s="1"/>
  <c r="S44" i="21" s="1"/>
  <c r="G43" i="21"/>
  <c r="S43" i="21" s="1"/>
  <c r="D40" i="21"/>
  <c r="F40" i="21" s="1"/>
  <c r="G40" i="21" s="1"/>
  <c r="S40" i="21" s="1"/>
  <c r="D39" i="21"/>
  <c r="F39" i="21" s="1"/>
  <c r="G39" i="21" s="1"/>
  <c r="S39" i="21" s="1"/>
  <c r="D37" i="21"/>
  <c r="F37" i="21" s="1"/>
  <c r="G37" i="21" s="1"/>
  <c r="S37" i="21" s="1"/>
  <c r="I35" i="21"/>
  <c r="I33" i="21" s="1"/>
  <c r="Q33" i="21"/>
  <c r="P33" i="21"/>
  <c r="O33" i="21"/>
  <c r="N33" i="21"/>
  <c r="M33" i="21"/>
  <c r="L33" i="21"/>
  <c r="K33" i="21"/>
  <c r="J33" i="21"/>
  <c r="D33" i="21"/>
  <c r="F33" i="21" s="1"/>
  <c r="G33" i="21" s="1"/>
  <c r="S33" i="21" s="1"/>
  <c r="J31" i="21"/>
  <c r="J29" i="21" s="1"/>
  <c r="I31" i="21"/>
  <c r="I29" i="21" s="1"/>
  <c r="Q29" i="21"/>
  <c r="P29" i="21"/>
  <c r="O29" i="21"/>
  <c r="N29" i="21"/>
  <c r="M29" i="21"/>
  <c r="L29" i="21"/>
  <c r="K29" i="21"/>
  <c r="D29" i="21"/>
  <c r="G28" i="21"/>
  <c r="S28" i="21" s="1"/>
  <c r="Q26" i="21"/>
  <c r="Q24" i="21" s="1"/>
  <c r="I26" i="21"/>
  <c r="I24" i="21" s="1"/>
  <c r="R24" i="21"/>
  <c r="P24" i="21"/>
  <c r="O24" i="21"/>
  <c r="N24" i="21"/>
  <c r="M24" i="21"/>
  <c r="L24" i="21"/>
  <c r="K24" i="21"/>
  <c r="J24" i="21"/>
  <c r="F24" i="21"/>
  <c r="G24" i="21" s="1"/>
  <c r="D24" i="21"/>
  <c r="D51" i="21" s="1"/>
  <c r="F51" i="21" s="1"/>
  <c r="D23" i="21"/>
  <c r="F23" i="21" s="1"/>
  <c r="G23" i="21" s="1"/>
  <c r="S23" i="21" s="1"/>
  <c r="F22" i="21"/>
  <c r="G22" i="21" s="1"/>
  <c r="S22" i="21" s="1"/>
  <c r="Q20" i="21"/>
  <c r="Q18" i="21" s="1"/>
  <c r="P20" i="21"/>
  <c r="P18" i="21" s="1"/>
  <c r="O20" i="21"/>
  <c r="N20" i="21"/>
  <c r="N18" i="21" s="1"/>
  <c r="M20" i="21"/>
  <c r="M18" i="21" s="1"/>
  <c r="L20" i="21"/>
  <c r="L18" i="21" s="1"/>
  <c r="K20" i="21"/>
  <c r="J20" i="21"/>
  <c r="I20" i="21"/>
  <c r="I18" i="21" s="1"/>
  <c r="R18" i="21"/>
  <c r="O18" i="21"/>
  <c r="K18" i="21"/>
  <c r="J18" i="21"/>
  <c r="D18" i="21"/>
  <c r="F18" i="21" s="1"/>
  <c r="G18" i="21" s="1"/>
  <c r="R17" i="21"/>
  <c r="D17" i="21"/>
  <c r="F17" i="21" s="1"/>
  <c r="G17" i="21" s="1"/>
  <c r="S17" i="21" s="1"/>
  <c r="D16" i="21"/>
  <c r="F16" i="21" s="1"/>
  <c r="G16" i="21" s="1"/>
  <c r="S16" i="21" s="1"/>
  <c r="Q14" i="21"/>
  <c r="Q12" i="21" s="1"/>
  <c r="P14" i="21"/>
  <c r="P12" i="21" s="1"/>
  <c r="O14" i="21"/>
  <c r="O12" i="21" s="1"/>
  <c r="N14" i="21"/>
  <c r="N12" i="21" s="1"/>
  <c r="M14" i="21"/>
  <c r="M12" i="21" s="1"/>
  <c r="L14" i="21"/>
  <c r="K14" i="21"/>
  <c r="K12" i="21" s="1"/>
  <c r="J14" i="21"/>
  <c r="J12" i="21" s="1"/>
  <c r="I14" i="21"/>
  <c r="I12" i="21" s="1"/>
  <c r="L12" i="21"/>
  <c r="F12" i="21"/>
  <c r="G12" i="21" s="1"/>
  <c r="S12" i="21" s="1"/>
  <c r="D12" i="21"/>
  <c r="Q10" i="21"/>
  <c r="Q9" i="21" s="1"/>
  <c r="P10" i="21"/>
  <c r="P9" i="21" s="1"/>
  <c r="O10" i="21"/>
  <c r="N10" i="21"/>
  <c r="M10" i="21"/>
  <c r="M9" i="21" s="1"/>
  <c r="L10" i="21"/>
  <c r="L9" i="21" s="1"/>
  <c r="K10" i="21"/>
  <c r="J10" i="21"/>
  <c r="J9" i="21" s="1"/>
  <c r="I10" i="21"/>
  <c r="I9" i="21" s="1"/>
  <c r="N9" i="21"/>
  <c r="F9" i="21"/>
  <c r="D9" i="21"/>
  <c r="C9" i="21"/>
  <c r="C8" i="21"/>
  <c r="G3" i="21"/>
  <c r="S18" i="21" l="1"/>
  <c r="L8" i="21"/>
  <c r="P8" i="21"/>
  <c r="I8" i="21"/>
  <c r="M8" i="21"/>
  <c r="Q8" i="21"/>
  <c r="S24" i="21"/>
  <c r="K9" i="21"/>
  <c r="K8" i="21" s="1"/>
  <c r="O9" i="21"/>
  <c r="O8" i="21" s="1"/>
  <c r="J8" i="21"/>
  <c r="N8" i="21"/>
  <c r="G9" i="21"/>
  <c r="S9" i="21" s="1"/>
  <c r="AA116" i="21"/>
  <c r="F60" i="21" s="1"/>
  <c r="G60" i="21" s="1"/>
  <c r="S60" i="21" s="1"/>
  <c r="Z116" i="21"/>
  <c r="F29" i="21"/>
  <c r="G29" i="21" s="1"/>
  <c r="S29" i="21" s="1"/>
  <c r="G51" i="21"/>
  <c r="S51" i="21" s="1"/>
  <c r="F56" i="21"/>
  <c r="G56" i="21" s="1"/>
  <c r="S56" i="21" s="1"/>
  <c r="S64" i="21" l="1"/>
  <c r="F29" i="19" s="1"/>
  <c r="S70" i="21" l="1"/>
  <c r="S65" i="21"/>
  <c r="S66" i="21" s="1"/>
  <c r="S67" i="21" s="1"/>
  <c r="S68" i="21" l="1"/>
  <c r="G29" i="19"/>
  <c r="S69" i="21" l="1"/>
  <c r="H29" i="19"/>
  <c r="D17" i="9"/>
  <c r="G3" i="6" l="1"/>
  <c r="G68" i="10"/>
  <c r="G68" i="11"/>
  <c r="G68" i="12"/>
  <c r="G68" i="13"/>
  <c r="G68" i="14"/>
  <c r="G68" i="15"/>
  <c r="G68" i="16"/>
  <c r="G68" i="17"/>
  <c r="G68" i="18"/>
  <c r="G68" i="1"/>
  <c r="G68" i="8"/>
  <c r="G68" i="3"/>
  <c r="G68" i="4"/>
  <c r="G68" i="5"/>
  <c r="G68" i="6"/>
  <c r="G68" i="7"/>
  <c r="G68" i="9"/>
  <c r="F55" i="10" l="1"/>
  <c r="G55" i="10" s="1"/>
  <c r="S55" i="10" s="1"/>
  <c r="F55" i="11"/>
  <c r="G55" i="11" s="1"/>
  <c r="S55" i="11" s="1"/>
  <c r="F55" i="12"/>
  <c r="G55" i="12" s="1"/>
  <c r="S55" i="12" s="1"/>
  <c r="F55" i="13"/>
  <c r="G55" i="13" s="1"/>
  <c r="S55" i="13" s="1"/>
  <c r="F55" i="14"/>
  <c r="G55" i="14" s="1"/>
  <c r="S55" i="14" s="1"/>
  <c r="F55" i="15"/>
  <c r="G55" i="15" s="1"/>
  <c r="S55" i="15" s="1"/>
  <c r="F55" i="16"/>
  <c r="G55" i="16" s="1"/>
  <c r="S55" i="16" s="1"/>
  <c r="F55" i="17"/>
  <c r="G55" i="17" s="1"/>
  <c r="S55" i="17" s="1"/>
  <c r="F55" i="18"/>
  <c r="G55" i="18" s="1"/>
  <c r="S55" i="18" s="1"/>
  <c r="F55" i="1"/>
  <c r="G55" i="1" s="1"/>
  <c r="S55" i="1" s="1"/>
  <c r="F55" i="8"/>
  <c r="G55" i="8" s="1"/>
  <c r="S55" i="8" s="1"/>
  <c r="F55" i="3"/>
  <c r="G55" i="3" s="1"/>
  <c r="S55" i="3" s="1"/>
  <c r="F55" i="4"/>
  <c r="G55" i="4" s="1"/>
  <c r="S55" i="4" s="1"/>
  <c r="F55" i="5"/>
  <c r="G55" i="5" s="1"/>
  <c r="S55" i="5" s="1"/>
  <c r="F55" i="6"/>
  <c r="G55" i="6" s="1"/>
  <c r="S55" i="6" s="1"/>
  <c r="D55" i="7"/>
  <c r="F55" i="7" s="1"/>
  <c r="G55" i="7" s="1"/>
  <c r="S55" i="7" s="1"/>
  <c r="F55" i="9"/>
  <c r="G55" i="9" l="1"/>
  <c r="S55" i="9" s="1"/>
  <c r="R24" i="10"/>
  <c r="R24" i="11"/>
  <c r="R24" i="12"/>
  <c r="R24" i="13"/>
  <c r="R24" i="14"/>
  <c r="R24" i="15"/>
  <c r="R24" i="16"/>
  <c r="R24" i="17"/>
  <c r="R24" i="18"/>
  <c r="R24" i="1"/>
  <c r="R24" i="8"/>
  <c r="R24" i="3"/>
  <c r="R24" i="4"/>
  <c r="R24" i="6"/>
  <c r="R24" i="7"/>
  <c r="R24" i="9"/>
  <c r="D53" i="9" l="1"/>
  <c r="F53" i="9" s="1"/>
  <c r="G53" i="9" s="1"/>
  <c r="S53" i="9" s="1"/>
  <c r="D33" i="10"/>
  <c r="F33" i="10" s="1"/>
  <c r="D33" i="11"/>
  <c r="F33" i="11" s="1"/>
  <c r="D33" i="12"/>
  <c r="F33" i="12" s="1"/>
  <c r="D33" i="13"/>
  <c r="F33" i="13" s="1"/>
  <c r="D33" i="14"/>
  <c r="F33" i="14" s="1"/>
  <c r="D33" i="15"/>
  <c r="F33" i="15" s="1"/>
  <c r="D33" i="16"/>
  <c r="F33" i="16" s="1"/>
  <c r="D33" i="17"/>
  <c r="F33" i="17" s="1"/>
  <c r="D33" i="18"/>
  <c r="F33" i="18" s="1"/>
  <c r="D33" i="1"/>
  <c r="F33" i="1" s="1"/>
  <c r="D33" i="8"/>
  <c r="F33" i="8" s="1"/>
  <c r="D33" i="3"/>
  <c r="F33" i="3" s="1"/>
  <c r="D33" i="4"/>
  <c r="D33" i="6"/>
  <c r="F33" i="6" s="1"/>
  <c r="G33" i="6" s="1"/>
  <c r="S33" i="6" s="1"/>
  <c r="D33" i="7"/>
  <c r="F33" i="7" s="1"/>
  <c r="D33" i="9"/>
  <c r="F33" i="9" s="1"/>
  <c r="F33" i="4"/>
  <c r="D53" i="10"/>
  <c r="F53" i="10" s="1"/>
  <c r="G53" i="10" s="1"/>
  <c r="S53" i="10" s="1"/>
  <c r="D53" i="11"/>
  <c r="D53" i="12"/>
  <c r="D53" i="13"/>
  <c r="D53" i="14"/>
  <c r="F53" i="14" s="1"/>
  <c r="G53" i="14" s="1"/>
  <c r="S53" i="14" s="1"/>
  <c r="D53" i="15"/>
  <c r="D53" i="16"/>
  <c r="F53" i="16" s="1"/>
  <c r="G53" i="16" s="1"/>
  <c r="S53" i="16" s="1"/>
  <c r="D53" i="17"/>
  <c r="F53" i="17" s="1"/>
  <c r="G53" i="17" s="1"/>
  <c r="S53" i="17" s="1"/>
  <c r="D53" i="18"/>
  <c r="F53" i="18" s="1"/>
  <c r="G53" i="18" s="1"/>
  <c r="S53" i="18" s="1"/>
  <c r="D53" i="1"/>
  <c r="D53" i="8"/>
  <c r="D53" i="3"/>
  <c r="F53" i="3" s="1"/>
  <c r="G53" i="3" s="1"/>
  <c r="S53" i="3" s="1"/>
  <c r="D53" i="4"/>
  <c r="F53" i="4" s="1"/>
  <c r="G53" i="4" s="1"/>
  <c r="S53" i="4" s="1"/>
  <c r="D53" i="6"/>
  <c r="F53" i="6" s="1"/>
  <c r="G53" i="6" s="1"/>
  <c r="S53" i="6" s="1"/>
  <c r="D53" i="7"/>
  <c r="F53" i="7" s="1"/>
  <c r="G53" i="7" s="1"/>
  <c r="S53" i="7" s="1"/>
  <c r="Z97" i="4"/>
  <c r="Z96" i="4"/>
  <c r="Y97" i="4"/>
  <c r="Y96" i="4"/>
  <c r="F45" i="3"/>
  <c r="F45" i="4"/>
  <c r="F45" i="7"/>
  <c r="F45" i="8"/>
  <c r="F45" i="10"/>
  <c r="F45" i="12"/>
  <c r="F45" i="13"/>
  <c r="F45" i="14"/>
  <c r="F45" i="15"/>
  <c r="F45" i="16"/>
  <c r="F45" i="17"/>
  <c r="F45" i="18"/>
  <c r="F45" i="1"/>
  <c r="F45" i="9"/>
  <c r="F22" i="16"/>
  <c r="F22" i="17"/>
  <c r="F22" i="18"/>
  <c r="F22" i="1"/>
  <c r="F22" i="8"/>
  <c r="F22" i="3"/>
  <c r="F22" i="4"/>
  <c r="F22" i="7"/>
  <c r="F22" i="15"/>
  <c r="F22" i="14"/>
  <c r="F22" i="13"/>
  <c r="F22" i="10"/>
  <c r="F22" i="12"/>
  <c r="F22" i="9"/>
  <c r="R17" i="10"/>
  <c r="R17" i="12"/>
  <c r="R17" i="13"/>
  <c r="R17" i="14"/>
  <c r="R17" i="15"/>
  <c r="R17" i="16"/>
  <c r="R17" i="17"/>
  <c r="R17" i="18"/>
  <c r="R17" i="1"/>
  <c r="R17" i="8"/>
  <c r="R17" i="3"/>
  <c r="R17" i="4"/>
  <c r="R17" i="7"/>
  <c r="R17" i="9"/>
  <c r="R18" i="10"/>
  <c r="R18" i="12"/>
  <c r="R18" i="13"/>
  <c r="R18" i="14"/>
  <c r="R18" i="15"/>
  <c r="R18" i="16"/>
  <c r="R18" i="17"/>
  <c r="R18" i="18"/>
  <c r="R18" i="1"/>
  <c r="R18" i="8"/>
  <c r="R18" i="3"/>
  <c r="R18" i="4"/>
  <c r="R18" i="7"/>
  <c r="R18" i="9"/>
  <c r="F17" i="9"/>
  <c r="D17" i="10"/>
  <c r="F17" i="10" s="1"/>
  <c r="D17" i="11"/>
  <c r="F17" i="11" s="1"/>
  <c r="D17" i="12"/>
  <c r="F17" i="12" s="1"/>
  <c r="D17" i="13"/>
  <c r="F17" i="13" s="1"/>
  <c r="D17" i="14"/>
  <c r="F17" i="14" s="1"/>
  <c r="D17" i="15"/>
  <c r="F17" i="15" s="1"/>
  <c r="D17" i="16"/>
  <c r="F17" i="16" s="1"/>
  <c r="D17" i="17"/>
  <c r="F17" i="17" s="1"/>
  <c r="D17" i="18"/>
  <c r="F17" i="18" s="1"/>
  <c r="D17" i="1"/>
  <c r="F17" i="1" s="1"/>
  <c r="D17" i="8"/>
  <c r="F17" i="8" s="1"/>
  <c r="D17" i="3"/>
  <c r="F17" i="3" s="1"/>
  <c r="D17" i="4"/>
  <c r="F17" i="4" s="1"/>
  <c r="D17" i="5"/>
  <c r="F17" i="5" s="1"/>
  <c r="G17" i="5" s="1"/>
  <c r="S17" i="5" s="1"/>
  <c r="D17" i="6"/>
  <c r="F17" i="6" s="1"/>
  <c r="G17" i="6" s="1"/>
  <c r="S17" i="6" s="1"/>
  <c r="D17" i="7"/>
  <c r="F17" i="7" s="1"/>
  <c r="R51" i="7"/>
  <c r="R51" i="4"/>
  <c r="R51" i="3"/>
  <c r="R51" i="8"/>
  <c r="R51" i="1"/>
  <c r="R51" i="18"/>
  <c r="R51" i="17"/>
  <c r="R51" i="16"/>
  <c r="R51" i="9"/>
  <c r="R51" i="15"/>
  <c r="R51" i="14"/>
  <c r="R51" i="13"/>
  <c r="R51" i="12"/>
  <c r="R51" i="11"/>
  <c r="R51" i="10"/>
  <c r="F53" i="13" l="1"/>
  <c r="G53" i="13" s="1"/>
  <c r="S53" i="13" s="1"/>
  <c r="F53" i="8"/>
  <c r="G53" i="8" s="1"/>
  <c r="S53" i="8" s="1"/>
  <c r="F53" i="12"/>
  <c r="G53" i="12" s="1"/>
  <c r="S53" i="12" s="1"/>
  <c r="F53" i="1"/>
  <c r="G53" i="1" s="1"/>
  <c r="S53" i="1" s="1"/>
  <c r="F53" i="15"/>
  <c r="G53" i="15" s="1"/>
  <c r="S53" i="15" s="1"/>
  <c r="F53" i="11"/>
  <c r="G53" i="11" s="1"/>
  <c r="S53" i="11" s="1"/>
  <c r="F24" i="10"/>
  <c r="F24" i="11"/>
  <c r="G24" i="11" s="1"/>
  <c r="S24" i="11" s="1"/>
  <c r="F24" i="12"/>
  <c r="F24" i="13"/>
  <c r="F24" i="14"/>
  <c r="G24" i="14" s="1"/>
  <c r="S24" i="14" s="1"/>
  <c r="F24" i="15"/>
  <c r="F24" i="16"/>
  <c r="F24" i="17"/>
  <c r="F24" i="18"/>
  <c r="F24" i="1"/>
  <c r="F24" i="8"/>
  <c r="F24" i="3"/>
  <c r="F24" i="4"/>
  <c r="F24" i="6"/>
  <c r="F24" i="7"/>
  <c r="G24" i="7" s="1"/>
  <c r="S24" i="7" s="1"/>
  <c r="F24" i="9"/>
  <c r="E24" i="16"/>
  <c r="E24" i="17"/>
  <c r="E24" i="18"/>
  <c r="E24" i="4"/>
  <c r="G24" i="17" l="1"/>
  <c r="S24" i="17" s="1"/>
  <c r="G24" i="18"/>
  <c r="S24" i="18" s="1"/>
  <c r="E9" i="4"/>
  <c r="V9" i="4"/>
  <c r="V9" i="3"/>
  <c r="V9" i="8"/>
  <c r="V9" i="18"/>
  <c r="V9" i="15"/>
  <c r="V9" i="14"/>
  <c r="V9" i="13"/>
  <c r="V9" i="12"/>
  <c r="V9" i="16"/>
  <c r="G3" i="10" l="1"/>
  <c r="G3" i="11"/>
  <c r="G3" i="12"/>
  <c r="G3" i="13"/>
  <c r="G3" i="14"/>
  <c r="G3" i="15"/>
  <c r="G3" i="16"/>
  <c r="G3" i="17"/>
  <c r="G3" i="18"/>
  <c r="G3" i="1"/>
  <c r="G3" i="8"/>
  <c r="G3" i="3"/>
  <c r="G3" i="4"/>
  <c r="G3" i="5"/>
  <c r="G3" i="7"/>
  <c r="G3" i="9"/>
  <c r="F8" i="10"/>
  <c r="F8" i="11"/>
  <c r="F8" i="12"/>
  <c r="F8" i="13"/>
  <c r="F8" i="14"/>
  <c r="F8" i="15"/>
  <c r="F8" i="16"/>
  <c r="F8" i="17"/>
  <c r="F8" i="18"/>
  <c r="F8" i="8"/>
  <c r="F8" i="4"/>
  <c r="F8" i="5"/>
  <c r="F8" i="6"/>
  <c r="F8" i="7"/>
  <c r="F8" i="9"/>
  <c r="F9" i="10"/>
  <c r="F9" i="11"/>
  <c r="F9" i="12"/>
  <c r="F9" i="13"/>
  <c r="G9" i="13" s="1"/>
  <c r="S9" i="13" s="1"/>
  <c r="F9" i="14"/>
  <c r="F9" i="15"/>
  <c r="F9" i="16"/>
  <c r="F9" i="17"/>
  <c r="F9" i="18"/>
  <c r="F9" i="1"/>
  <c r="F9" i="8"/>
  <c r="F9" i="3"/>
  <c r="F9" i="4"/>
  <c r="F9" i="5"/>
  <c r="F9" i="6"/>
  <c r="F9" i="7"/>
  <c r="G9" i="7" s="1"/>
  <c r="S9" i="7" s="1"/>
  <c r="F9" i="9"/>
  <c r="D9" i="10"/>
  <c r="D9" i="11"/>
  <c r="D9" i="12"/>
  <c r="D9" i="13"/>
  <c r="D9" i="14"/>
  <c r="D9" i="15"/>
  <c r="D9" i="16"/>
  <c r="D9" i="17"/>
  <c r="D9" i="18"/>
  <c r="D9" i="1"/>
  <c r="D9" i="8"/>
  <c r="D9" i="3"/>
  <c r="D9" i="4"/>
  <c r="D9" i="5"/>
  <c r="D9" i="6"/>
  <c r="D9" i="7"/>
  <c r="D9" i="9"/>
  <c r="C9" i="10"/>
  <c r="C9" i="11"/>
  <c r="C9" i="12"/>
  <c r="C9" i="13"/>
  <c r="C9" i="14"/>
  <c r="C9" i="15"/>
  <c r="C9" i="16"/>
  <c r="C9" i="17"/>
  <c r="C9" i="18"/>
  <c r="C9" i="1"/>
  <c r="C9" i="8"/>
  <c r="C9" i="3"/>
  <c r="C9" i="4"/>
  <c r="C9" i="5"/>
  <c r="C9" i="6"/>
  <c r="C9" i="7"/>
  <c r="C9" i="9"/>
  <c r="C8" i="10"/>
  <c r="C8" i="11"/>
  <c r="C8" i="12"/>
  <c r="C8" i="13"/>
  <c r="C8" i="14"/>
  <c r="C8" i="15"/>
  <c r="C8" i="16"/>
  <c r="C8" i="17"/>
  <c r="C8" i="18"/>
  <c r="C8" i="1"/>
  <c r="C8" i="8"/>
  <c r="C8" i="3"/>
  <c r="C8" i="4"/>
  <c r="C8" i="5"/>
  <c r="C8" i="6"/>
  <c r="C8" i="7"/>
  <c r="C8" i="9"/>
  <c r="G9" i="4" l="1"/>
  <c r="S9" i="4" s="1"/>
  <c r="Z116" i="4"/>
  <c r="AA116" i="4"/>
  <c r="F60" i="4" s="1"/>
  <c r="G60" i="4" s="1"/>
  <c r="S60" i="4" s="1"/>
  <c r="G9" i="14"/>
  <c r="S9" i="14" s="1"/>
  <c r="AA116" i="14"/>
  <c r="F60" i="14" s="1"/>
  <c r="G60" i="14" s="1"/>
  <c r="S60" i="14" s="1"/>
  <c r="Z116" i="14"/>
  <c r="G9" i="10"/>
  <c r="S9" i="10" s="1"/>
  <c r="AA116" i="10"/>
  <c r="F60" i="10" s="1"/>
  <c r="G60" i="10" s="1"/>
  <c r="S60" i="10" s="1"/>
  <c r="Z116" i="10"/>
  <c r="G9" i="3"/>
  <c r="S9" i="3" s="1"/>
  <c r="AA116" i="3"/>
  <c r="F60" i="3" s="1"/>
  <c r="G60" i="3" s="1"/>
  <c r="S60" i="3" s="1"/>
  <c r="Z116" i="3"/>
  <c r="G9" i="17"/>
  <c r="S9" i="17" s="1"/>
  <c r="AA116" i="17"/>
  <c r="F60" i="17" s="1"/>
  <c r="G60" i="17" s="1"/>
  <c r="S60" i="17" s="1"/>
  <c r="Z116" i="17"/>
  <c r="AA116" i="13"/>
  <c r="F60" i="13" s="1"/>
  <c r="G60" i="13" s="1"/>
  <c r="S60" i="13" s="1"/>
  <c r="Z116" i="13"/>
  <c r="G9" i="18"/>
  <c r="S9" i="18" s="1"/>
  <c r="AA116" i="18"/>
  <c r="F60" i="18" s="1"/>
  <c r="G60" i="18" s="1"/>
  <c r="S60" i="18" s="1"/>
  <c r="Z116" i="18"/>
  <c r="G9" i="8"/>
  <c r="S9" i="8" s="1"/>
  <c r="AA116" i="8"/>
  <c r="F60" i="8" s="1"/>
  <c r="G60" i="8" s="1"/>
  <c r="S60" i="8" s="1"/>
  <c r="Z116" i="8"/>
  <c r="G9" i="16"/>
  <c r="S9" i="16" s="1"/>
  <c r="AA116" i="16"/>
  <c r="F60" i="16" s="1"/>
  <c r="G60" i="16" s="1"/>
  <c r="S60" i="16" s="1"/>
  <c r="Z116" i="16"/>
  <c r="G9" i="12"/>
  <c r="S9" i="12" s="1"/>
  <c r="AA116" i="12"/>
  <c r="F60" i="12" s="1"/>
  <c r="G60" i="12" s="1"/>
  <c r="S60" i="12" s="1"/>
  <c r="Z116" i="12"/>
  <c r="AA116" i="9"/>
  <c r="F60" i="9" s="1"/>
  <c r="G60" i="9" s="1"/>
  <c r="S60" i="9" s="1"/>
  <c r="Z116" i="9"/>
  <c r="G9" i="9"/>
  <c r="S9" i="9" s="1"/>
  <c r="G9" i="6"/>
  <c r="S9" i="6" s="1"/>
  <c r="AA116" i="6"/>
  <c r="F60" i="6" s="1"/>
  <c r="G60" i="6" s="1"/>
  <c r="S60" i="6" s="1"/>
  <c r="Z116" i="6"/>
  <c r="G9" i="5"/>
  <c r="S9" i="5" s="1"/>
  <c r="AA116" i="5"/>
  <c r="F60" i="5" s="1"/>
  <c r="G60" i="5" s="1"/>
  <c r="S60" i="5" s="1"/>
  <c r="Z116" i="5"/>
  <c r="G9" i="1"/>
  <c r="S9" i="1" s="1"/>
  <c r="Z116" i="1"/>
  <c r="AA116" i="1"/>
  <c r="F60" i="1" s="1"/>
  <c r="G60" i="1" s="1"/>
  <c r="S60" i="1" s="1"/>
  <c r="G9" i="15"/>
  <c r="S9" i="15" s="1"/>
  <c r="Z116" i="15"/>
  <c r="AA116" i="15"/>
  <c r="F60" i="15" s="1"/>
  <c r="G60" i="15" s="1"/>
  <c r="S60" i="15" s="1"/>
  <c r="G9" i="11"/>
  <c r="S9" i="11" s="1"/>
  <c r="AA116" i="11"/>
  <c r="F60" i="11" s="1"/>
  <c r="G60" i="11" s="1"/>
  <c r="S60" i="11" s="1"/>
  <c r="Z116" i="11"/>
  <c r="D59" i="10"/>
  <c r="F59" i="10" s="1"/>
  <c r="D59" i="11"/>
  <c r="F59" i="11" s="1"/>
  <c r="D59" i="12"/>
  <c r="F59" i="12" s="1"/>
  <c r="D59" i="13"/>
  <c r="F59" i="13" s="1"/>
  <c r="D59" i="14"/>
  <c r="F59" i="14" s="1"/>
  <c r="D59" i="15"/>
  <c r="F59" i="15" s="1"/>
  <c r="D59" i="16"/>
  <c r="F59" i="16" s="1"/>
  <c r="D59" i="17"/>
  <c r="F59" i="17" s="1"/>
  <c r="D59" i="18"/>
  <c r="F59" i="18" s="1"/>
  <c r="D59" i="1"/>
  <c r="F59" i="1" s="1"/>
  <c r="D59" i="8"/>
  <c r="F59" i="8" s="1"/>
  <c r="D59" i="3"/>
  <c r="F59" i="3" s="1"/>
  <c r="D59" i="4"/>
  <c r="F59" i="4" s="1"/>
  <c r="D59" i="5"/>
  <c r="F59" i="5" s="1"/>
  <c r="D59" i="6"/>
  <c r="F59" i="6" s="1"/>
  <c r="G59" i="6" s="1"/>
  <c r="S59" i="6" s="1"/>
  <c r="D59" i="7"/>
  <c r="F59" i="7" s="1"/>
  <c r="D59" i="9"/>
  <c r="F59" i="9" s="1"/>
  <c r="D58" i="10"/>
  <c r="D58" i="11"/>
  <c r="D58" i="12"/>
  <c r="D58" i="13"/>
  <c r="D58" i="14"/>
  <c r="F58" i="14" s="1"/>
  <c r="G58" i="14" s="1"/>
  <c r="S58" i="14" s="1"/>
  <c r="D58" i="15"/>
  <c r="D58" i="16"/>
  <c r="F58" i="16" s="1"/>
  <c r="G58" i="16" s="1"/>
  <c r="S58" i="16" s="1"/>
  <c r="D58" i="17"/>
  <c r="F58" i="17" s="1"/>
  <c r="G58" i="17" s="1"/>
  <c r="S58" i="17" s="1"/>
  <c r="D58" i="18"/>
  <c r="F58" i="18" s="1"/>
  <c r="G58" i="18" s="1"/>
  <c r="S58" i="18" s="1"/>
  <c r="D58" i="1"/>
  <c r="D58" i="8"/>
  <c r="D58" i="3"/>
  <c r="D58" i="4"/>
  <c r="F58" i="4" s="1"/>
  <c r="G58" i="4" s="1"/>
  <c r="S58" i="4" s="1"/>
  <c r="D58" i="5"/>
  <c r="D58" i="6"/>
  <c r="F58" i="6" s="1"/>
  <c r="G58" i="6" s="1"/>
  <c r="S58" i="6" s="1"/>
  <c r="D58" i="7"/>
  <c r="F58" i="7" s="1"/>
  <c r="G58" i="7" s="1"/>
  <c r="S58" i="7" s="1"/>
  <c r="D58" i="9"/>
  <c r="F58" i="9" s="1"/>
  <c r="G58" i="9" s="1"/>
  <c r="S58" i="9" s="1"/>
  <c r="D57" i="10"/>
  <c r="D57" i="11"/>
  <c r="D57" i="12"/>
  <c r="D57" i="13"/>
  <c r="D57" i="14"/>
  <c r="F57" i="14" s="1"/>
  <c r="G57" i="14" s="1"/>
  <c r="S57" i="14" s="1"/>
  <c r="D57" i="15"/>
  <c r="D57" i="16"/>
  <c r="F57" i="16" s="1"/>
  <c r="G57" i="16" s="1"/>
  <c r="S57" i="16" s="1"/>
  <c r="D57" i="17"/>
  <c r="F57" i="17" s="1"/>
  <c r="G57" i="17" s="1"/>
  <c r="S57" i="17" s="1"/>
  <c r="D57" i="18"/>
  <c r="F57" i="18" s="1"/>
  <c r="G57" i="18" s="1"/>
  <c r="S57" i="18" s="1"/>
  <c r="D57" i="1"/>
  <c r="D57" i="8"/>
  <c r="D57" i="3"/>
  <c r="D57" i="4"/>
  <c r="F57" i="4" s="1"/>
  <c r="G57" i="4" s="1"/>
  <c r="S57" i="4" s="1"/>
  <c r="D57" i="5"/>
  <c r="D57" i="6"/>
  <c r="F57" i="6" s="1"/>
  <c r="G57" i="6" s="1"/>
  <c r="S57" i="6" s="1"/>
  <c r="D57" i="7"/>
  <c r="F57" i="7" s="1"/>
  <c r="G57" i="7" s="1"/>
  <c r="S57" i="7" s="1"/>
  <c r="D57" i="9"/>
  <c r="F57" i="9" s="1"/>
  <c r="G57" i="9" s="1"/>
  <c r="S57" i="9" s="1"/>
  <c r="D56" i="10"/>
  <c r="D56" i="11"/>
  <c r="D56" i="12"/>
  <c r="R56" i="12" s="1"/>
  <c r="D56" i="13"/>
  <c r="R56" i="13" s="1"/>
  <c r="D56" i="14"/>
  <c r="R56" i="14" s="1"/>
  <c r="D56" i="15"/>
  <c r="R56" i="15" s="1"/>
  <c r="D56" i="16"/>
  <c r="R56" i="16" s="1"/>
  <c r="D56" i="17"/>
  <c r="R56" i="17" s="1"/>
  <c r="D56" i="18"/>
  <c r="R56" i="18" s="1"/>
  <c r="D56" i="1"/>
  <c r="R56" i="1" s="1"/>
  <c r="D56" i="8"/>
  <c r="R56" i="8" s="1"/>
  <c r="D56" i="3"/>
  <c r="R56" i="3" s="1"/>
  <c r="D56" i="4"/>
  <c r="R56" i="4" s="1"/>
  <c r="D56" i="5"/>
  <c r="R56" i="5" s="1"/>
  <c r="D56" i="6"/>
  <c r="R56" i="6" s="1"/>
  <c r="D56" i="7"/>
  <c r="R56" i="7" s="1"/>
  <c r="D56" i="9"/>
  <c r="D52" i="10"/>
  <c r="F52" i="10" s="1"/>
  <c r="D52" i="11"/>
  <c r="F52" i="11" s="1"/>
  <c r="D52" i="12"/>
  <c r="F52" i="12" s="1"/>
  <c r="D52" i="13"/>
  <c r="F52" i="13" s="1"/>
  <c r="D52" i="14"/>
  <c r="F52" i="14" s="1"/>
  <c r="D52" i="15"/>
  <c r="F52" i="15" s="1"/>
  <c r="D52" i="16"/>
  <c r="F52" i="16" s="1"/>
  <c r="D52" i="17"/>
  <c r="F52" i="17" s="1"/>
  <c r="D52" i="18"/>
  <c r="F52" i="18" s="1"/>
  <c r="D52" i="1"/>
  <c r="F52" i="1" s="1"/>
  <c r="D52" i="8"/>
  <c r="F52" i="8" s="1"/>
  <c r="D52" i="3"/>
  <c r="F52" i="3" s="1"/>
  <c r="D52" i="4"/>
  <c r="F52" i="4" s="1"/>
  <c r="D52" i="6"/>
  <c r="F52" i="6" s="1"/>
  <c r="G52" i="6" s="1"/>
  <c r="S52" i="6" s="1"/>
  <c r="D52" i="7"/>
  <c r="F52" i="7" s="1"/>
  <c r="D52" i="9"/>
  <c r="F52" i="9" s="1"/>
  <c r="D50" i="10"/>
  <c r="F50" i="10" s="1"/>
  <c r="D50" i="11"/>
  <c r="F50" i="11" s="1"/>
  <c r="D50" i="12"/>
  <c r="F50" i="12" s="1"/>
  <c r="D50" i="13"/>
  <c r="F50" i="13" s="1"/>
  <c r="D50" i="14"/>
  <c r="F50" i="14" s="1"/>
  <c r="D50" i="15"/>
  <c r="F50" i="15" s="1"/>
  <c r="D50" i="16"/>
  <c r="F50" i="16" s="1"/>
  <c r="D50" i="17"/>
  <c r="F50" i="17" s="1"/>
  <c r="D50" i="18"/>
  <c r="F50" i="18" s="1"/>
  <c r="D50" i="1"/>
  <c r="F50" i="1" s="1"/>
  <c r="D50" i="8"/>
  <c r="F50" i="8" s="1"/>
  <c r="D50" i="3"/>
  <c r="F50" i="3" s="1"/>
  <c r="D50" i="4"/>
  <c r="F50" i="4" s="1"/>
  <c r="D50" i="6"/>
  <c r="F50" i="6" s="1"/>
  <c r="G50" i="6" s="1"/>
  <c r="S50" i="6" s="1"/>
  <c r="D50" i="7"/>
  <c r="F50" i="7" s="1"/>
  <c r="D50" i="9"/>
  <c r="F50" i="9" s="1"/>
  <c r="D46" i="10"/>
  <c r="F46" i="10" s="1"/>
  <c r="D46" i="11"/>
  <c r="F46" i="11" s="1"/>
  <c r="D46" i="12"/>
  <c r="F46" i="12" s="1"/>
  <c r="D46" i="13"/>
  <c r="F46" i="13" s="1"/>
  <c r="D46" i="14"/>
  <c r="F46" i="14" s="1"/>
  <c r="D46" i="15"/>
  <c r="F46" i="15" s="1"/>
  <c r="D46" i="16"/>
  <c r="F46" i="16" s="1"/>
  <c r="D46" i="17"/>
  <c r="F46" i="17" s="1"/>
  <c r="D46" i="18"/>
  <c r="F46" i="18" s="1"/>
  <c r="D46" i="1"/>
  <c r="F46" i="1" s="1"/>
  <c r="D46" i="8"/>
  <c r="F46" i="8" s="1"/>
  <c r="D46" i="3"/>
  <c r="F46" i="3" s="1"/>
  <c r="D46" i="4"/>
  <c r="F46" i="4" s="1"/>
  <c r="D46" i="6"/>
  <c r="F46" i="6" s="1"/>
  <c r="G46" i="6" s="1"/>
  <c r="S46" i="6" s="1"/>
  <c r="D46" i="7"/>
  <c r="F46" i="7" s="1"/>
  <c r="D46" i="9"/>
  <c r="F46" i="9" s="1"/>
  <c r="D44" i="10"/>
  <c r="F44" i="10" s="1"/>
  <c r="D44" i="11"/>
  <c r="F44" i="11" s="1"/>
  <c r="D44" i="12"/>
  <c r="F44" i="12" s="1"/>
  <c r="D44" i="13"/>
  <c r="F44" i="13" s="1"/>
  <c r="D44" i="14"/>
  <c r="F44" i="14" s="1"/>
  <c r="D44" i="15"/>
  <c r="F44" i="15" s="1"/>
  <c r="D44" i="16"/>
  <c r="F44" i="16" s="1"/>
  <c r="D44" i="17"/>
  <c r="F44" i="17" s="1"/>
  <c r="D44" i="18"/>
  <c r="F44" i="18" s="1"/>
  <c r="D44" i="1"/>
  <c r="F44" i="1" s="1"/>
  <c r="D44" i="8"/>
  <c r="F44" i="8" s="1"/>
  <c r="D44" i="3"/>
  <c r="F44" i="3" s="1"/>
  <c r="D44" i="4"/>
  <c r="F44" i="4" s="1"/>
  <c r="D44" i="6"/>
  <c r="F44" i="6" s="1"/>
  <c r="G44" i="6" s="1"/>
  <c r="S44" i="6" s="1"/>
  <c r="D44" i="7"/>
  <c r="F44" i="7" s="1"/>
  <c r="D44" i="9"/>
  <c r="F44" i="9" s="1"/>
  <c r="D40" i="10"/>
  <c r="F40" i="10" s="1"/>
  <c r="G40" i="10" s="1"/>
  <c r="S40" i="10" s="1"/>
  <c r="D40" i="11"/>
  <c r="F40" i="11" s="1"/>
  <c r="G40" i="11" s="1"/>
  <c r="S40" i="11" s="1"/>
  <c r="D40" i="12"/>
  <c r="F40" i="12" s="1"/>
  <c r="G40" i="12" s="1"/>
  <c r="S40" i="12" s="1"/>
  <c r="D40" i="13"/>
  <c r="F40" i="13" s="1"/>
  <c r="G40" i="13" s="1"/>
  <c r="S40" i="13" s="1"/>
  <c r="D40" i="14"/>
  <c r="F40" i="14" s="1"/>
  <c r="G40" i="14" s="1"/>
  <c r="S40" i="14" s="1"/>
  <c r="D40" i="15"/>
  <c r="F40" i="15" s="1"/>
  <c r="G40" i="15" s="1"/>
  <c r="S40" i="15" s="1"/>
  <c r="D40" i="16"/>
  <c r="F40" i="16" s="1"/>
  <c r="G40" i="16" s="1"/>
  <c r="S40" i="16" s="1"/>
  <c r="D40" i="17"/>
  <c r="F40" i="17" s="1"/>
  <c r="G40" i="17" s="1"/>
  <c r="S40" i="17" s="1"/>
  <c r="D40" i="18"/>
  <c r="F40" i="18" s="1"/>
  <c r="G40" i="18" s="1"/>
  <c r="S40" i="18" s="1"/>
  <c r="D40" i="1"/>
  <c r="F40" i="1" s="1"/>
  <c r="G40" i="1" s="1"/>
  <c r="S40" i="1" s="1"/>
  <c r="D40" i="8"/>
  <c r="F40" i="8" s="1"/>
  <c r="G40" i="8" s="1"/>
  <c r="S40" i="8" s="1"/>
  <c r="D40" i="3"/>
  <c r="F40" i="3" s="1"/>
  <c r="G40" i="3" s="1"/>
  <c r="S40" i="3" s="1"/>
  <c r="D40" i="4"/>
  <c r="F40" i="4" s="1"/>
  <c r="G40" i="4" s="1"/>
  <c r="S40" i="4" s="1"/>
  <c r="D40" i="6"/>
  <c r="F40" i="6" s="1"/>
  <c r="G40" i="6" s="1"/>
  <c r="S40" i="6" s="1"/>
  <c r="D40" i="7"/>
  <c r="F40" i="7" s="1"/>
  <c r="G40" i="7" s="1"/>
  <c r="S40" i="7" s="1"/>
  <c r="D40" i="9"/>
  <c r="F40" i="9" s="1"/>
  <c r="G40" i="9" s="1"/>
  <c r="S40" i="9" s="1"/>
  <c r="D39" i="10"/>
  <c r="F39" i="10" s="1"/>
  <c r="G39" i="10" s="1"/>
  <c r="S39" i="10" s="1"/>
  <c r="D39" i="11"/>
  <c r="F39" i="11" s="1"/>
  <c r="G39" i="11" s="1"/>
  <c r="S39" i="11" s="1"/>
  <c r="D39" i="12"/>
  <c r="F39" i="12" s="1"/>
  <c r="G39" i="12" s="1"/>
  <c r="S39" i="12" s="1"/>
  <c r="D39" i="13"/>
  <c r="F39" i="13" s="1"/>
  <c r="G39" i="13" s="1"/>
  <c r="S39" i="13" s="1"/>
  <c r="D39" i="14"/>
  <c r="F39" i="14" s="1"/>
  <c r="G39" i="14" s="1"/>
  <c r="S39" i="14" s="1"/>
  <c r="D39" i="15"/>
  <c r="F39" i="15" s="1"/>
  <c r="G39" i="15" s="1"/>
  <c r="S39" i="15" s="1"/>
  <c r="D39" i="16"/>
  <c r="F39" i="16" s="1"/>
  <c r="G39" i="16" s="1"/>
  <c r="S39" i="16" s="1"/>
  <c r="D39" i="17"/>
  <c r="F39" i="17" s="1"/>
  <c r="G39" i="17" s="1"/>
  <c r="S39" i="17" s="1"/>
  <c r="D39" i="18"/>
  <c r="F39" i="18" s="1"/>
  <c r="G39" i="18" s="1"/>
  <c r="S39" i="18" s="1"/>
  <c r="D39" i="1"/>
  <c r="F39" i="1" s="1"/>
  <c r="G39" i="1" s="1"/>
  <c r="S39" i="1" s="1"/>
  <c r="D39" i="8"/>
  <c r="F39" i="8" s="1"/>
  <c r="G39" i="8" s="1"/>
  <c r="S39" i="8" s="1"/>
  <c r="D39" i="3"/>
  <c r="F39" i="3" s="1"/>
  <c r="G39" i="3" s="1"/>
  <c r="S39" i="3" s="1"/>
  <c r="D39" i="4"/>
  <c r="F39" i="4" s="1"/>
  <c r="G39" i="4" s="1"/>
  <c r="S39" i="4" s="1"/>
  <c r="D39" i="6"/>
  <c r="F39" i="6" s="1"/>
  <c r="G39" i="6" s="1"/>
  <c r="S39" i="6" s="1"/>
  <c r="D39" i="7"/>
  <c r="F39" i="7" s="1"/>
  <c r="G39" i="7" s="1"/>
  <c r="S39" i="7" s="1"/>
  <c r="D39" i="9"/>
  <c r="F39" i="9" s="1"/>
  <c r="G39" i="9" s="1"/>
  <c r="S39" i="9" s="1"/>
  <c r="D37" i="10"/>
  <c r="F37" i="10" s="1"/>
  <c r="D37" i="11"/>
  <c r="F37" i="11" s="1"/>
  <c r="D37" i="12"/>
  <c r="F37" i="12" s="1"/>
  <c r="D37" i="13"/>
  <c r="F37" i="13" s="1"/>
  <c r="D37" i="14"/>
  <c r="F37" i="14" s="1"/>
  <c r="D37" i="15"/>
  <c r="F37" i="15" s="1"/>
  <c r="D37" i="16"/>
  <c r="F37" i="16" s="1"/>
  <c r="D37" i="17"/>
  <c r="F37" i="17" s="1"/>
  <c r="D37" i="18"/>
  <c r="F37" i="18" s="1"/>
  <c r="D37" i="1"/>
  <c r="F37" i="1" s="1"/>
  <c r="D37" i="8"/>
  <c r="F37" i="8" s="1"/>
  <c r="D37" i="3"/>
  <c r="F37" i="3" s="1"/>
  <c r="D37" i="4"/>
  <c r="F37" i="4" s="1"/>
  <c r="D37" i="6"/>
  <c r="F37" i="6" s="1"/>
  <c r="G37" i="6" s="1"/>
  <c r="S37" i="6" s="1"/>
  <c r="D37" i="7"/>
  <c r="F37" i="7" s="1"/>
  <c r="D37" i="9"/>
  <c r="F37" i="9" s="1"/>
  <c r="D29" i="10"/>
  <c r="F29" i="10" s="1"/>
  <c r="D29" i="11"/>
  <c r="F29" i="11" s="1"/>
  <c r="D29" i="12"/>
  <c r="F29" i="12" s="1"/>
  <c r="D29" i="13"/>
  <c r="F29" i="13" s="1"/>
  <c r="D29" i="14"/>
  <c r="F29" i="14" s="1"/>
  <c r="D29" i="15"/>
  <c r="F29" i="15" s="1"/>
  <c r="D29" i="16"/>
  <c r="F29" i="16" s="1"/>
  <c r="D29" i="17"/>
  <c r="F29" i="17" s="1"/>
  <c r="D29" i="18"/>
  <c r="F29" i="18" s="1"/>
  <c r="D29" i="1"/>
  <c r="F29" i="1" s="1"/>
  <c r="D29" i="8"/>
  <c r="F29" i="8" s="1"/>
  <c r="D29" i="3"/>
  <c r="F29" i="3" s="1"/>
  <c r="D29" i="4"/>
  <c r="F29" i="4" s="1"/>
  <c r="D29" i="6"/>
  <c r="F29" i="6" s="1"/>
  <c r="G29" i="6" s="1"/>
  <c r="S29" i="6" s="1"/>
  <c r="D29" i="7"/>
  <c r="F29" i="7" s="1"/>
  <c r="D29" i="9"/>
  <c r="F29" i="9" s="1"/>
  <c r="D24" i="10"/>
  <c r="D51" i="10" s="1"/>
  <c r="F51" i="10" s="1"/>
  <c r="D24" i="11"/>
  <c r="D51" i="11" s="1"/>
  <c r="F51" i="11" s="1"/>
  <c r="D24" i="12"/>
  <c r="D51" i="12" s="1"/>
  <c r="F51" i="12" s="1"/>
  <c r="D24" i="13"/>
  <c r="D51" i="13" s="1"/>
  <c r="F51" i="13" s="1"/>
  <c r="D24" i="14"/>
  <c r="D51" i="14" s="1"/>
  <c r="F51" i="14" s="1"/>
  <c r="D24" i="15"/>
  <c r="D51" i="15" s="1"/>
  <c r="F51" i="15" s="1"/>
  <c r="D24" i="16"/>
  <c r="D51" i="16" s="1"/>
  <c r="F51" i="16" s="1"/>
  <c r="D24" i="17"/>
  <c r="D51" i="17" s="1"/>
  <c r="F51" i="17" s="1"/>
  <c r="D24" i="18"/>
  <c r="D51" i="18" s="1"/>
  <c r="F51" i="18" s="1"/>
  <c r="D24" i="1"/>
  <c r="D51" i="1" s="1"/>
  <c r="F51" i="1" s="1"/>
  <c r="D24" i="8"/>
  <c r="D51" i="8" s="1"/>
  <c r="F51" i="8" s="1"/>
  <c r="D24" i="3"/>
  <c r="D51" i="3" s="1"/>
  <c r="F51" i="3" s="1"/>
  <c r="D24" i="4"/>
  <c r="D51" i="4" s="1"/>
  <c r="F51" i="4" s="1"/>
  <c r="D24" i="6"/>
  <c r="D51" i="6" s="1"/>
  <c r="D24" i="7"/>
  <c r="D51" i="7" s="1"/>
  <c r="F51" i="7" s="1"/>
  <c r="D24" i="9"/>
  <c r="D51" i="9" s="1"/>
  <c r="F51" i="9" s="1"/>
  <c r="D23" i="10"/>
  <c r="F23" i="10" s="1"/>
  <c r="D23" i="11"/>
  <c r="F23" i="11" s="1"/>
  <c r="D23" i="12"/>
  <c r="F23" i="12" s="1"/>
  <c r="D23" i="13"/>
  <c r="F23" i="13" s="1"/>
  <c r="D23" i="14"/>
  <c r="F23" i="14" s="1"/>
  <c r="D23" i="15"/>
  <c r="F23" i="15" s="1"/>
  <c r="D23" i="16"/>
  <c r="F23" i="16" s="1"/>
  <c r="D23" i="17"/>
  <c r="F23" i="17" s="1"/>
  <c r="D23" i="18"/>
  <c r="F23" i="18" s="1"/>
  <c r="D23" i="1"/>
  <c r="F23" i="1" s="1"/>
  <c r="D23" i="8"/>
  <c r="F23" i="8" s="1"/>
  <c r="D23" i="3"/>
  <c r="F23" i="3" s="1"/>
  <c r="D23" i="4"/>
  <c r="F23" i="4" s="1"/>
  <c r="D23" i="6"/>
  <c r="F23" i="6" s="1"/>
  <c r="G23" i="6" s="1"/>
  <c r="S23" i="6" s="1"/>
  <c r="D23" i="7"/>
  <c r="F23" i="7" s="1"/>
  <c r="D23" i="9"/>
  <c r="F23" i="9" s="1"/>
  <c r="D18" i="10"/>
  <c r="F18" i="10" s="1"/>
  <c r="D18" i="11"/>
  <c r="F18" i="11" s="1"/>
  <c r="D18" i="12"/>
  <c r="F18" i="12" s="1"/>
  <c r="D18" i="13"/>
  <c r="F18" i="13" s="1"/>
  <c r="D18" i="14"/>
  <c r="F18" i="14" s="1"/>
  <c r="D18" i="15"/>
  <c r="F18" i="15" s="1"/>
  <c r="D18" i="16"/>
  <c r="F18" i="16" s="1"/>
  <c r="D18" i="17"/>
  <c r="F18" i="17" s="1"/>
  <c r="D18" i="18"/>
  <c r="F18" i="18" s="1"/>
  <c r="D18" i="1"/>
  <c r="F18" i="1" s="1"/>
  <c r="D18" i="8"/>
  <c r="F18" i="8" s="1"/>
  <c r="D18" i="3"/>
  <c r="F18" i="3" s="1"/>
  <c r="D18" i="4"/>
  <c r="F18" i="4" s="1"/>
  <c r="D18" i="6"/>
  <c r="F18" i="6" s="1"/>
  <c r="G18" i="6" s="1"/>
  <c r="S18" i="6" s="1"/>
  <c r="D18" i="7"/>
  <c r="F18" i="7" s="1"/>
  <c r="D18" i="9"/>
  <c r="F18" i="9" s="1"/>
  <c r="D16" i="10"/>
  <c r="F16" i="10" s="1"/>
  <c r="D16" i="11"/>
  <c r="F16" i="11" s="1"/>
  <c r="D16" i="12"/>
  <c r="F16" i="12" s="1"/>
  <c r="D16" i="13"/>
  <c r="F16" i="13" s="1"/>
  <c r="D16" i="14"/>
  <c r="F16" i="14" s="1"/>
  <c r="D16" i="15"/>
  <c r="F16" i="15" s="1"/>
  <c r="D16" i="16"/>
  <c r="F16" i="16" s="1"/>
  <c r="D16" i="17"/>
  <c r="F16" i="17" s="1"/>
  <c r="D16" i="18"/>
  <c r="F16" i="18" s="1"/>
  <c r="D16" i="1"/>
  <c r="F16" i="1" s="1"/>
  <c r="D16" i="8"/>
  <c r="F16" i="8" s="1"/>
  <c r="D16" i="3"/>
  <c r="F16" i="3" s="1"/>
  <c r="D16" i="4"/>
  <c r="F16" i="4" s="1"/>
  <c r="D16" i="5"/>
  <c r="F16" i="5" s="1"/>
  <c r="D16" i="6"/>
  <c r="F16" i="6" s="1"/>
  <c r="G16" i="6" s="1"/>
  <c r="S16" i="6" s="1"/>
  <c r="D16" i="7"/>
  <c r="F16" i="7" s="1"/>
  <c r="D16" i="9"/>
  <c r="F16" i="9" s="1"/>
  <c r="D12" i="10"/>
  <c r="D12" i="11"/>
  <c r="D12" i="12"/>
  <c r="D12" i="13"/>
  <c r="D12" i="14"/>
  <c r="D12" i="15"/>
  <c r="D12" i="16"/>
  <c r="D12" i="17"/>
  <c r="D12" i="18"/>
  <c r="D12" i="1"/>
  <c r="D12" i="8"/>
  <c r="D12" i="3"/>
  <c r="D12" i="4"/>
  <c r="D12" i="5"/>
  <c r="D12" i="6"/>
  <c r="D12" i="7"/>
  <c r="D12" i="9"/>
  <c r="D8" i="10"/>
  <c r="D8" i="11"/>
  <c r="D8" i="12"/>
  <c r="D8" i="13"/>
  <c r="D8" i="14"/>
  <c r="D8" i="15"/>
  <c r="D8" i="16"/>
  <c r="D8" i="17"/>
  <c r="D8" i="18"/>
  <c r="D8" i="8"/>
  <c r="D8" i="4"/>
  <c r="D8" i="5"/>
  <c r="D8" i="6"/>
  <c r="D8" i="7"/>
  <c r="D8" i="9"/>
  <c r="G8" i="10"/>
  <c r="G8" i="11"/>
  <c r="G8" i="12"/>
  <c r="G8" i="13"/>
  <c r="G8" i="14"/>
  <c r="G8" i="15"/>
  <c r="G8" i="16"/>
  <c r="G8" i="17"/>
  <c r="G8" i="18"/>
  <c r="G8" i="8"/>
  <c r="G8" i="4"/>
  <c r="G8" i="9"/>
  <c r="F12" i="10"/>
  <c r="G12" i="10" s="1"/>
  <c r="S12" i="10" s="1"/>
  <c r="F12" i="11"/>
  <c r="G12" i="11" s="1"/>
  <c r="S12" i="11" s="1"/>
  <c r="F12" i="12"/>
  <c r="G12" i="12" s="1"/>
  <c r="S12" i="12" s="1"/>
  <c r="F12" i="13"/>
  <c r="G12" i="13" s="1"/>
  <c r="S12" i="13" s="1"/>
  <c r="F12" i="14"/>
  <c r="G12" i="14" s="1"/>
  <c r="S12" i="14" s="1"/>
  <c r="F12" i="15"/>
  <c r="G12" i="15" s="1"/>
  <c r="S12" i="15" s="1"/>
  <c r="F12" i="16"/>
  <c r="G12" i="16" s="1"/>
  <c r="S12" i="16" s="1"/>
  <c r="F12" i="17"/>
  <c r="G12" i="17" s="1"/>
  <c r="S12" i="17" s="1"/>
  <c r="F12" i="18"/>
  <c r="G12" i="18" s="1"/>
  <c r="S12" i="18" s="1"/>
  <c r="F12" i="1"/>
  <c r="G12" i="1" s="1"/>
  <c r="S12" i="1" s="1"/>
  <c r="F12" i="8"/>
  <c r="G12" i="8" s="1"/>
  <c r="S12" i="8" s="1"/>
  <c r="F12" i="3"/>
  <c r="G12" i="3" s="1"/>
  <c r="S12" i="3" s="1"/>
  <c r="F12" i="4"/>
  <c r="G12" i="4" s="1"/>
  <c r="S12" i="4" s="1"/>
  <c r="F12" i="5"/>
  <c r="G12" i="5" s="1"/>
  <c r="S12" i="5" s="1"/>
  <c r="F12" i="6"/>
  <c r="G12" i="6" s="1"/>
  <c r="S12" i="6" s="1"/>
  <c r="F12" i="7"/>
  <c r="G12" i="7" s="1"/>
  <c r="S12" i="7" s="1"/>
  <c r="F12" i="9"/>
  <c r="G12" i="9" s="1"/>
  <c r="S12" i="9" s="1"/>
  <c r="F56" i="9" l="1"/>
  <c r="R56" i="9"/>
  <c r="F56" i="10"/>
  <c r="R56" i="10"/>
  <c r="F57" i="5"/>
  <c r="G57" i="5" s="1"/>
  <c r="S57" i="5" s="1"/>
  <c r="F57" i="1"/>
  <c r="G57" i="1" s="1"/>
  <c r="S57" i="1" s="1"/>
  <c r="F57" i="15"/>
  <c r="G57" i="15" s="1"/>
  <c r="S57" i="15" s="1"/>
  <c r="F57" i="11"/>
  <c r="G57" i="11" s="1"/>
  <c r="S57" i="11" s="1"/>
  <c r="F58" i="8"/>
  <c r="G58" i="8" s="1"/>
  <c r="S58" i="8" s="1"/>
  <c r="F58" i="12"/>
  <c r="G58" i="12" s="1"/>
  <c r="S58" i="12" s="1"/>
  <c r="F57" i="10"/>
  <c r="G57" i="10" s="1"/>
  <c r="S57" i="10" s="1"/>
  <c r="F58" i="5"/>
  <c r="G58" i="5" s="1"/>
  <c r="S58" i="5" s="1"/>
  <c r="F58" i="1"/>
  <c r="G58" i="1" s="1"/>
  <c r="S58" i="1" s="1"/>
  <c r="F58" i="15"/>
  <c r="G58" i="15" s="1"/>
  <c r="S58" i="15" s="1"/>
  <c r="F58" i="11"/>
  <c r="G58" i="11" s="1"/>
  <c r="S58" i="11" s="1"/>
  <c r="F51" i="6"/>
  <c r="G51" i="6" s="1"/>
  <c r="S51" i="6" s="1"/>
  <c r="F57" i="3"/>
  <c r="G57" i="3" s="1"/>
  <c r="S57" i="3" s="1"/>
  <c r="F57" i="13"/>
  <c r="G57" i="13" s="1"/>
  <c r="S57" i="13" s="1"/>
  <c r="F58" i="10"/>
  <c r="G58" i="10" s="1"/>
  <c r="S58" i="10" s="1"/>
  <c r="F56" i="11"/>
  <c r="R56" i="11"/>
  <c r="F57" i="8"/>
  <c r="G57" i="8" s="1"/>
  <c r="S57" i="8" s="1"/>
  <c r="F57" i="12"/>
  <c r="G57" i="12" s="1"/>
  <c r="S57" i="12" s="1"/>
  <c r="F58" i="3"/>
  <c r="G58" i="3" s="1"/>
  <c r="S58" i="3" s="1"/>
  <c r="F58" i="13"/>
  <c r="G58" i="13" s="1"/>
  <c r="S58" i="13" s="1"/>
  <c r="G51" i="9"/>
  <c r="S51" i="9" s="1"/>
  <c r="F56" i="6"/>
  <c r="G56" i="6" s="1"/>
  <c r="S56" i="6" s="1"/>
  <c r="F56" i="12"/>
  <c r="G56" i="12" s="1"/>
  <c r="S56" i="12" s="1"/>
  <c r="F56" i="4"/>
  <c r="F56" i="18"/>
  <c r="F56" i="14"/>
  <c r="F56" i="7"/>
  <c r="F56" i="3"/>
  <c r="F56" i="17"/>
  <c r="F56" i="13"/>
  <c r="G56" i="13" s="1"/>
  <c r="S56" i="13" s="1"/>
  <c r="F56" i="8"/>
  <c r="F56" i="16"/>
  <c r="F56" i="5"/>
  <c r="F56" i="1"/>
  <c r="F56" i="15"/>
  <c r="G59" i="9"/>
  <c r="S59" i="9" s="1"/>
  <c r="G56" i="9"/>
  <c r="S56" i="9" s="1"/>
  <c r="G52" i="9"/>
  <c r="S52" i="9" s="1"/>
  <c r="G50" i="9"/>
  <c r="S50" i="9" s="1"/>
  <c r="G46" i="9"/>
  <c r="S46" i="9" s="1"/>
  <c r="G45" i="9"/>
  <c r="S45" i="9" s="1"/>
  <c r="G44" i="9"/>
  <c r="S44" i="9" s="1"/>
  <c r="Q40" i="9"/>
  <c r="Q39" i="9" s="1"/>
  <c r="P40" i="9"/>
  <c r="O40" i="9"/>
  <c r="O39" i="9" s="1"/>
  <c r="N40" i="9"/>
  <c r="N39" i="9" s="1"/>
  <c r="M40" i="9"/>
  <c r="L40" i="9"/>
  <c r="L39" i="9" s="1"/>
  <c r="K40" i="9"/>
  <c r="K39" i="9" s="1"/>
  <c r="J40" i="9"/>
  <c r="J39" i="9" s="1"/>
  <c r="I40" i="9"/>
  <c r="I39" i="9" s="1"/>
  <c r="P39" i="9"/>
  <c r="M39" i="9"/>
  <c r="G37" i="9"/>
  <c r="S37" i="9" s="1"/>
  <c r="Q33" i="9"/>
  <c r="P33" i="9"/>
  <c r="O33" i="9"/>
  <c r="N33" i="9"/>
  <c r="M33" i="9"/>
  <c r="L33" i="9"/>
  <c r="K33" i="9"/>
  <c r="J33" i="9"/>
  <c r="G33" i="9"/>
  <c r="S33" i="9" s="1"/>
  <c r="Q29" i="9"/>
  <c r="P29" i="9"/>
  <c r="O29" i="9"/>
  <c r="N29" i="9"/>
  <c r="M29" i="9"/>
  <c r="L29" i="9"/>
  <c r="K29" i="9"/>
  <c r="G29" i="9"/>
  <c r="S29" i="9" s="1"/>
  <c r="G28" i="9"/>
  <c r="S28" i="9" s="1"/>
  <c r="G24" i="9"/>
  <c r="S24" i="9" s="1"/>
  <c r="P24" i="9"/>
  <c r="O24" i="9"/>
  <c r="N24" i="9"/>
  <c r="M24" i="9"/>
  <c r="L24" i="9"/>
  <c r="K24" i="9"/>
  <c r="J24" i="9"/>
  <c r="G23" i="9"/>
  <c r="S23" i="9" s="1"/>
  <c r="G22" i="9"/>
  <c r="S22" i="9" s="1"/>
  <c r="G18" i="9"/>
  <c r="S18" i="9" s="1"/>
  <c r="G17" i="9"/>
  <c r="S17" i="9" s="1"/>
  <c r="G16" i="9"/>
  <c r="S16" i="9" s="1"/>
  <c r="G59" i="10"/>
  <c r="S59" i="10" s="1"/>
  <c r="G56" i="10"/>
  <c r="G52" i="10"/>
  <c r="S52" i="10" s="1"/>
  <c r="G51" i="10"/>
  <c r="S51" i="10" s="1"/>
  <c r="G50" i="10"/>
  <c r="S50" i="10" s="1"/>
  <c r="G46" i="10"/>
  <c r="S46" i="10" s="1"/>
  <c r="G45" i="10"/>
  <c r="S45" i="10" s="1"/>
  <c r="G44" i="10"/>
  <c r="S44" i="10" s="1"/>
  <c r="Q40" i="10"/>
  <c r="Q39" i="10" s="1"/>
  <c r="P40" i="10"/>
  <c r="P39" i="10" s="1"/>
  <c r="O40" i="10"/>
  <c r="O39" i="10" s="1"/>
  <c r="N40" i="10"/>
  <c r="N39" i="10" s="1"/>
  <c r="M40" i="10"/>
  <c r="M39" i="10" s="1"/>
  <c r="L40" i="10"/>
  <c r="L39" i="10" s="1"/>
  <c r="K40" i="10"/>
  <c r="K39" i="10" s="1"/>
  <c r="J40" i="10"/>
  <c r="J39" i="10" s="1"/>
  <c r="I40" i="10"/>
  <c r="I39" i="10" s="1"/>
  <c r="G37" i="10"/>
  <c r="S37" i="10" s="1"/>
  <c r="Q33" i="10"/>
  <c r="P33" i="10"/>
  <c r="O33" i="10"/>
  <c r="N33" i="10"/>
  <c r="M33" i="10"/>
  <c r="L33" i="10"/>
  <c r="K33" i="10"/>
  <c r="J33" i="10"/>
  <c r="G33" i="10"/>
  <c r="S33" i="10" s="1"/>
  <c r="Q29" i="10"/>
  <c r="P29" i="10"/>
  <c r="O29" i="10"/>
  <c r="N29" i="10"/>
  <c r="M29" i="10"/>
  <c r="L29" i="10"/>
  <c r="K29" i="10"/>
  <c r="G29" i="10"/>
  <c r="S29" i="10" s="1"/>
  <c r="G28" i="10"/>
  <c r="S28" i="10" s="1"/>
  <c r="G24" i="10"/>
  <c r="S24" i="10" s="1"/>
  <c r="P24" i="10"/>
  <c r="O24" i="10"/>
  <c r="N24" i="10"/>
  <c r="M24" i="10"/>
  <c r="L24" i="10"/>
  <c r="K24" i="10"/>
  <c r="J24" i="10"/>
  <c r="G23" i="10"/>
  <c r="S23" i="10" s="1"/>
  <c r="G22" i="10"/>
  <c r="S22" i="10" s="1"/>
  <c r="G18" i="10"/>
  <c r="S18" i="10" s="1"/>
  <c r="G17" i="10"/>
  <c r="S17" i="10" s="1"/>
  <c r="G16" i="10"/>
  <c r="S16" i="10" s="1"/>
  <c r="G59" i="11"/>
  <c r="S59" i="11" s="1"/>
  <c r="G56" i="11"/>
  <c r="S56" i="11" s="1"/>
  <c r="G52" i="11"/>
  <c r="S52" i="11" s="1"/>
  <c r="G51" i="11"/>
  <c r="S51" i="11" s="1"/>
  <c r="G50" i="11"/>
  <c r="S50" i="11" s="1"/>
  <c r="G46" i="11"/>
  <c r="S46" i="11" s="1"/>
  <c r="G45" i="11"/>
  <c r="S45" i="11" s="1"/>
  <c r="G44" i="11"/>
  <c r="S44" i="11" s="1"/>
  <c r="Q40" i="11"/>
  <c r="Q39" i="11" s="1"/>
  <c r="P40" i="11"/>
  <c r="P39" i="11" s="1"/>
  <c r="O40" i="11"/>
  <c r="O39" i="11" s="1"/>
  <c r="N40" i="11"/>
  <c r="N39" i="11" s="1"/>
  <c r="M40" i="11"/>
  <c r="M39" i="11" s="1"/>
  <c r="L40" i="11"/>
  <c r="L39" i="11" s="1"/>
  <c r="K40" i="11"/>
  <c r="K39" i="11" s="1"/>
  <c r="J40" i="11"/>
  <c r="I40" i="11"/>
  <c r="I39" i="11" s="1"/>
  <c r="J39" i="11"/>
  <c r="G37" i="11"/>
  <c r="S37" i="11" s="1"/>
  <c r="Q33" i="11"/>
  <c r="P33" i="11"/>
  <c r="O33" i="11"/>
  <c r="N33" i="11"/>
  <c r="M33" i="11"/>
  <c r="L33" i="11"/>
  <c r="K33" i="11"/>
  <c r="J33" i="11"/>
  <c r="G33" i="11"/>
  <c r="S33" i="11" s="1"/>
  <c r="Q29" i="11"/>
  <c r="P29" i="11"/>
  <c r="O29" i="11"/>
  <c r="N29" i="11"/>
  <c r="M29" i="11"/>
  <c r="L29" i="11"/>
  <c r="K29" i="11"/>
  <c r="G29" i="11"/>
  <c r="S29" i="11" s="1"/>
  <c r="G28" i="11"/>
  <c r="S28" i="11" s="1"/>
  <c r="G24" i="12"/>
  <c r="S24" i="12" s="1"/>
  <c r="P24" i="11"/>
  <c r="O24" i="11"/>
  <c r="N24" i="11"/>
  <c r="M24" i="11"/>
  <c r="L24" i="11"/>
  <c r="K24" i="11"/>
  <c r="J24" i="11"/>
  <c r="G23" i="11"/>
  <c r="S23" i="11" s="1"/>
  <c r="G22" i="11"/>
  <c r="S22" i="11" s="1"/>
  <c r="G18" i="11"/>
  <c r="S18" i="11" s="1"/>
  <c r="G17" i="11"/>
  <c r="S17" i="11" s="1"/>
  <c r="G16" i="11"/>
  <c r="S16" i="11" s="1"/>
  <c r="G52" i="12"/>
  <c r="S52" i="12" s="1"/>
  <c r="G51" i="12"/>
  <c r="S51" i="12" s="1"/>
  <c r="G59" i="12"/>
  <c r="S59" i="12" s="1"/>
  <c r="G50" i="12"/>
  <c r="S50" i="12" s="1"/>
  <c r="G46" i="12"/>
  <c r="S46" i="12" s="1"/>
  <c r="G45" i="12"/>
  <c r="S45" i="12" s="1"/>
  <c r="G44" i="12"/>
  <c r="S44" i="12" s="1"/>
  <c r="Q40" i="12"/>
  <c r="Q39" i="12" s="1"/>
  <c r="P40" i="12"/>
  <c r="P39" i="12" s="1"/>
  <c r="O40" i="12"/>
  <c r="O39" i="12" s="1"/>
  <c r="N40" i="12"/>
  <c r="N39" i="12" s="1"/>
  <c r="M40" i="12"/>
  <c r="M39" i="12" s="1"/>
  <c r="L40" i="12"/>
  <c r="L39" i="12" s="1"/>
  <c r="K40" i="12"/>
  <c r="K39" i="12" s="1"/>
  <c r="J40" i="12"/>
  <c r="J39" i="12" s="1"/>
  <c r="I40" i="12"/>
  <c r="I39" i="12" s="1"/>
  <c r="G37" i="12"/>
  <c r="S37" i="12" s="1"/>
  <c r="Q33" i="12"/>
  <c r="P33" i="12"/>
  <c r="O33" i="12"/>
  <c r="N33" i="12"/>
  <c r="M33" i="12"/>
  <c r="L33" i="12"/>
  <c r="K33" i="12"/>
  <c r="J33" i="12"/>
  <c r="G33" i="12"/>
  <c r="S33" i="12" s="1"/>
  <c r="Q29" i="12"/>
  <c r="P29" i="12"/>
  <c r="O29" i="12"/>
  <c r="N29" i="12"/>
  <c r="M29" i="12"/>
  <c r="L29" i="12"/>
  <c r="K29" i="12"/>
  <c r="G29" i="12"/>
  <c r="S29" i="12" s="1"/>
  <c r="G28" i="12"/>
  <c r="S28" i="12" s="1"/>
  <c r="P24" i="12"/>
  <c r="O24" i="12"/>
  <c r="N24" i="12"/>
  <c r="M24" i="12"/>
  <c r="L24" i="12"/>
  <c r="K24" i="12"/>
  <c r="J24" i="12"/>
  <c r="G23" i="12"/>
  <c r="S23" i="12" s="1"/>
  <c r="G22" i="12"/>
  <c r="S22" i="12" s="1"/>
  <c r="Q20" i="12"/>
  <c r="Q18" i="12" s="1"/>
  <c r="P20" i="12"/>
  <c r="P18" i="12" s="1"/>
  <c r="O20" i="12"/>
  <c r="O18" i="12" s="1"/>
  <c r="N20" i="12"/>
  <c r="N18" i="12" s="1"/>
  <c r="M20" i="12"/>
  <c r="M18" i="12" s="1"/>
  <c r="L20" i="12"/>
  <c r="L18" i="12" s="1"/>
  <c r="K20" i="12"/>
  <c r="K18" i="12" s="1"/>
  <c r="J20" i="12"/>
  <c r="J18" i="12" s="1"/>
  <c r="I20" i="12"/>
  <c r="I18" i="12" s="1"/>
  <c r="G18" i="12"/>
  <c r="S18" i="12" s="1"/>
  <c r="G17" i="12"/>
  <c r="S17" i="12" s="1"/>
  <c r="G16" i="12"/>
  <c r="S16" i="12" s="1"/>
  <c r="G59" i="13"/>
  <c r="S59" i="13" s="1"/>
  <c r="G52" i="13"/>
  <c r="S52" i="13" s="1"/>
  <c r="G51" i="13"/>
  <c r="S51" i="13" s="1"/>
  <c r="G50" i="13"/>
  <c r="S50" i="13" s="1"/>
  <c r="G46" i="13"/>
  <c r="S46" i="13" s="1"/>
  <c r="G45" i="13"/>
  <c r="S45" i="13" s="1"/>
  <c r="G44" i="13"/>
  <c r="S44" i="13" s="1"/>
  <c r="Q40" i="13"/>
  <c r="Q39" i="13" s="1"/>
  <c r="P40" i="13"/>
  <c r="P39" i="13" s="1"/>
  <c r="O40" i="13"/>
  <c r="O39" i="13" s="1"/>
  <c r="N40" i="13"/>
  <c r="M40" i="13"/>
  <c r="M39" i="13" s="1"/>
  <c r="L40" i="13"/>
  <c r="L39" i="13" s="1"/>
  <c r="K40" i="13"/>
  <c r="K39" i="13" s="1"/>
  <c r="J40" i="13"/>
  <c r="J39" i="13" s="1"/>
  <c r="I40" i="13"/>
  <c r="I39" i="13" s="1"/>
  <c r="N39" i="13"/>
  <c r="G37" i="13"/>
  <c r="S37" i="13" s="1"/>
  <c r="Q33" i="13"/>
  <c r="P33" i="13"/>
  <c r="O33" i="13"/>
  <c r="N33" i="13"/>
  <c r="M33" i="13"/>
  <c r="L33" i="13"/>
  <c r="K33" i="13"/>
  <c r="J33" i="13"/>
  <c r="G33" i="13"/>
  <c r="S33" i="13" s="1"/>
  <c r="Q29" i="13"/>
  <c r="P29" i="13"/>
  <c r="O29" i="13"/>
  <c r="N29" i="13"/>
  <c r="M29" i="13"/>
  <c r="L29" i="13"/>
  <c r="K29" i="13"/>
  <c r="G29" i="13"/>
  <c r="S29" i="13" s="1"/>
  <c r="G28" i="13"/>
  <c r="S28" i="13" s="1"/>
  <c r="G24" i="13"/>
  <c r="S24" i="13" s="1"/>
  <c r="P24" i="13"/>
  <c r="O24" i="13"/>
  <c r="N24" i="13"/>
  <c r="M24" i="13"/>
  <c r="L24" i="13"/>
  <c r="K24" i="13"/>
  <c r="J24" i="13"/>
  <c r="G23" i="13"/>
  <c r="S23" i="13" s="1"/>
  <c r="G22" i="13"/>
  <c r="S22" i="13" s="1"/>
  <c r="G18" i="13"/>
  <c r="S18" i="13" s="1"/>
  <c r="G17" i="13"/>
  <c r="S17" i="13" s="1"/>
  <c r="G16" i="13"/>
  <c r="S16" i="13" s="1"/>
  <c r="G59" i="14"/>
  <c r="S59" i="14" s="1"/>
  <c r="G56" i="14"/>
  <c r="S56" i="14" s="1"/>
  <c r="G52" i="14"/>
  <c r="S52" i="14" s="1"/>
  <c r="G51" i="14"/>
  <c r="S51" i="14" s="1"/>
  <c r="G50" i="14"/>
  <c r="S50" i="14" s="1"/>
  <c r="I48" i="14"/>
  <c r="I46" i="14" s="1"/>
  <c r="G46" i="14"/>
  <c r="S46" i="14" s="1"/>
  <c r="G45" i="14"/>
  <c r="S45" i="14" s="1"/>
  <c r="G44" i="14"/>
  <c r="S44" i="14" s="1"/>
  <c r="Q40" i="14"/>
  <c r="Q39" i="14" s="1"/>
  <c r="P40" i="14"/>
  <c r="P39" i="14" s="1"/>
  <c r="O40" i="14"/>
  <c r="O39" i="14" s="1"/>
  <c r="N40" i="14"/>
  <c r="N39" i="14" s="1"/>
  <c r="M40" i="14"/>
  <c r="M39" i="14" s="1"/>
  <c r="L40" i="14"/>
  <c r="L39" i="14" s="1"/>
  <c r="K40" i="14"/>
  <c r="K39" i="14" s="1"/>
  <c r="J40" i="14"/>
  <c r="J39" i="14" s="1"/>
  <c r="I40" i="14"/>
  <c r="I39" i="14" s="1"/>
  <c r="G37" i="14"/>
  <c r="S37" i="14" s="1"/>
  <c r="Q33" i="14"/>
  <c r="P33" i="14"/>
  <c r="O33" i="14"/>
  <c r="N33" i="14"/>
  <c r="M33" i="14"/>
  <c r="L33" i="14"/>
  <c r="K33" i="14"/>
  <c r="J33" i="14"/>
  <c r="G33" i="14"/>
  <c r="S33" i="14" s="1"/>
  <c r="Q29" i="14"/>
  <c r="P29" i="14"/>
  <c r="O29" i="14"/>
  <c r="N29" i="14"/>
  <c r="M29" i="14"/>
  <c r="L29" i="14"/>
  <c r="K29" i="14"/>
  <c r="G29" i="14"/>
  <c r="S29" i="14" s="1"/>
  <c r="G28" i="14"/>
  <c r="S28" i="14" s="1"/>
  <c r="P24" i="14"/>
  <c r="O24" i="14"/>
  <c r="N24" i="14"/>
  <c r="M24" i="14"/>
  <c r="L24" i="14"/>
  <c r="K24" i="14"/>
  <c r="J24" i="14"/>
  <c r="G23" i="14"/>
  <c r="S23" i="14" s="1"/>
  <c r="G22" i="14"/>
  <c r="S22" i="14" s="1"/>
  <c r="G18" i="14"/>
  <c r="S18" i="14" s="1"/>
  <c r="G17" i="14"/>
  <c r="S17" i="14" s="1"/>
  <c r="G16" i="14"/>
  <c r="S16" i="14" s="1"/>
  <c r="G59" i="15"/>
  <c r="S59" i="15" s="1"/>
  <c r="G56" i="15"/>
  <c r="S56" i="15" s="1"/>
  <c r="G52" i="15"/>
  <c r="S52" i="15" s="1"/>
  <c r="G51" i="15"/>
  <c r="S51" i="15" s="1"/>
  <c r="G50" i="15"/>
  <c r="S50" i="15" s="1"/>
  <c r="G46" i="15"/>
  <c r="S46" i="15" s="1"/>
  <c r="G45" i="15"/>
  <c r="S45" i="15" s="1"/>
  <c r="G44" i="15"/>
  <c r="S44" i="15" s="1"/>
  <c r="Q40" i="15"/>
  <c r="Q39" i="15" s="1"/>
  <c r="P40" i="15"/>
  <c r="P39" i="15" s="1"/>
  <c r="O40" i="15"/>
  <c r="O39" i="15" s="1"/>
  <c r="N40" i="15"/>
  <c r="M40" i="15"/>
  <c r="L40" i="15"/>
  <c r="L39" i="15" s="1"/>
  <c r="K40" i="15"/>
  <c r="K39" i="15" s="1"/>
  <c r="J40" i="15"/>
  <c r="J39" i="15" s="1"/>
  <c r="I40" i="15"/>
  <c r="I39" i="15" s="1"/>
  <c r="N39" i="15"/>
  <c r="M39" i="15"/>
  <c r="G37" i="15"/>
  <c r="S37" i="15" s="1"/>
  <c r="Q33" i="15"/>
  <c r="P33" i="15"/>
  <c r="O33" i="15"/>
  <c r="N33" i="15"/>
  <c r="M33" i="15"/>
  <c r="L33" i="15"/>
  <c r="K33" i="15"/>
  <c r="J33" i="15"/>
  <c r="G33" i="15"/>
  <c r="S33" i="15" s="1"/>
  <c r="Q29" i="15"/>
  <c r="P29" i="15"/>
  <c r="O29" i="15"/>
  <c r="N29" i="15"/>
  <c r="M29" i="15"/>
  <c r="L29" i="15"/>
  <c r="K29" i="15"/>
  <c r="G29" i="15"/>
  <c r="S29" i="15" s="1"/>
  <c r="G28" i="15"/>
  <c r="S28" i="15" s="1"/>
  <c r="G24" i="15"/>
  <c r="P24" i="15"/>
  <c r="O24" i="15"/>
  <c r="N24" i="15"/>
  <c r="M24" i="15"/>
  <c r="L24" i="15"/>
  <c r="K24" i="15"/>
  <c r="J24" i="15"/>
  <c r="G23" i="15"/>
  <c r="S23" i="15" s="1"/>
  <c r="S56" i="10" l="1"/>
  <c r="V45" i="15"/>
  <c r="S24" i="15"/>
  <c r="W45" i="13"/>
  <c r="G22" i="15"/>
  <c r="S22" i="15" s="1"/>
  <c r="G18" i="15"/>
  <c r="S18" i="15" s="1"/>
  <c r="G17" i="15"/>
  <c r="S17" i="15" s="1"/>
  <c r="G16" i="15"/>
  <c r="S16" i="15" s="1"/>
  <c r="G59" i="16"/>
  <c r="S59" i="16" s="1"/>
  <c r="G56" i="16"/>
  <c r="S56" i="16" s="1"/>
  <c r="G52" i="16"/>
  <c r="S52" i="16" s="1"/>
  <c r="G51" i="16"/>
  <c r="S51" i="16" s="1"/>
  <c r="G50" i="16"/>
  <c r="S50" i="16" s="1"/>
  <c r="G46" i="16"/>
  <c r="S46" i="16" s="1"/>
  <c r="G45" i="16"/>
  <c r="S45" i="16" s="1"/>
  <c r="G44" i="16"/>
  <c r="S44" i="16" s="1"/>
  <c r="Q40" i="16"/>
  <c r="Q39" i="16" s="1"/>
  <c r="P40" i="16"/>
  <c r="P39" i="16" s="1"/>
  <c r="O40" i="16"/>
  <c r="O39" i="16" s="1"/>
  <c r="N40" i="16"/>
  <c r="N39" i="16" s="1"/>
  <c r="M40" i="16"/>
  <c r="M39" i="16" s="1"/>
  <c r="L40" i="16"/>
  <c r="L39" i="16" s="1"/>
  <c r="K40" i="16"/>
  <c r="K39" i="16" s="1"/>
  <c r="J40" i="16"/>
  <c r="J39" i="16" s="1"/>
  <c r="I40" i="16"/>
  <c r="I39" i="16"/>
  <c r="G37" i="16"/>
  <c r="S37" i="16" s="1"/>
  <c r="Q33" i="16"/>
  <c r="P33" i="16"/>
  <c r="O33" i="16"/>
  <c r="N33" i="16"/>
  <c r="M33" i="16"/>
  <c r="L33" i="16"/>
  <c r="K33" i="16"/>
  <c r="J33" i="16"/>
  <c r="G33" i="16"/>
  <c r="S33" i="16" s="1"/>
  <c r="Q29" i="16"/>
  <c r="P29" i="16"/>
  <c r="O29" i="16"/>
  <c r="N29" i="16"/>
  <c r="M29" i="16"/>
  <c r="L29" i="16"/>
  <c r="K29" i="16"/>
  <c r="G29" i="16"/>
  <c r="S29" i="16" s="1"/>
  <c r="G28" i="16"/>
  <c r="S28" i="16" s="1"/>
  <c r="G28" i="17"/>
  <c r="S28" i="17" s="1"/>
  <c r="G28" i="18"/>
  <c r="S28" i="18" s="1"/>
  <c r="G28" i="1"/>
  <c r="S28" i="1" s="1"/>
  <c r="G28" i="8"/>
  <c r="S28" i="8" s="1"/>
  <c r="G24" i="16"/>
  <c r="S24" i="16" s="1"/>
  <c r="P24" i="16"/>
  <c r="O24" i="16"/>
  <c r="N24" i="16"/>
  <c r="M24" i="16"/>
  <c r="L24" i="16"/>
  <c r="K24" i="16"/>
  <c r="J24" i="16"/>
  <c r="G23" i="16"/>
  <c r="S23" i="16" s="1"/>
  <c r="G22" i="16"/>
  <c r="S22" i="16" s="1"/>
  <c r="G18" i="16"/>
  <c r="S18" i="16" s="1"/>
  <c r="G17" i="16"/>
  <c r="S17" i="16" s="1"/>
  <c r="G16" i="16"/>
  <c r="S16" i="16" s="1"/>
  <c r="G59" i="17"/>
  <c r="S59" i="17" s="1"/>
  <c r="G56" i="17"/>
  <c r="S56" i="17" s="1"/>
  <c r="G52" i="17"/>
  <c r="S52" i="17" s="1"/>
  <c r="G51" i="17"/>
  <c r="S51" i="17" s="1"/>
  <c r="G50" i="17"/>
  <c r="S50" i="17" s="1"/>
  <c r="G46" i="17"/>
  <c r="S46" i="17" s="1"/>
  <c r="G45" i="17"/>
  <c r="S45" i="17" s="1"/>
  <c r="G44" i="17"/>
  <c r="S44" i="17" s="1"/>
  <c r="Q40" i="17"/>
  <c r="Q39" i="17" s="1"/>
  <c r="P40" i="17"/>
  <c r="P39" i="17" s="1"/>
  <c r="O40" i="17"/>
  <c r="O39" i="17" s="1"/>
  <c r="N40" i="17"/>
  <c r="M40" i="17"/>
  <c r="M39" i="17" s="1"/>
  <c r="L40" i="17"/>
  <c r="L39" i="17" s="1"/>
  <c r="K40" i="17"/>
  <c r="K39" i="17" s="1"/>
  <c r="J40" i="17"/>
  <c r="J39" i="17" s="1"/>
  <c r="I40" i="17"/>
  <c r="I39" i="17" s="1"/>
  <c r="N39" i="17"/>
  <c r="G37" i="17"/>
  <c r="S37" i="17" s="1"/>
  <c r="Q33" i="17"/>
  <c r="P33" i="17"/>
  <c r="O33" i="17"/>
  <c r="N33" i="17"/>
  <c r="M33" i="17"/>
  <c r="L33" i="17"/>
  <c r="K33" i="17"/>
  <c r="J33" i="17"/>
  <c r="G33" i="17"/>
  <c r="S33" i="17" s="1"/>
  <c r="Q29" i="17"/>
  <c r="P29" i="17"/>
  <c r="O29" i="17"/>
  <c r="N29" i="17"/>
  <c r="M29" i="17"/>
  <c r="L29" i="17"/>
  <c r="K29" i="17"/>
  <c r="G29" i="17"/>
  <c r="S29" i="17" s="1"/>
  <c r="P24" i="17"/>
  <c r="O24" i="17"/>
  <c r="N24" i="17"/>
  <c r="M24" i="17"/>
  <c r="L24" i="17"/>
  <c r="K24" i="17"/>
  <c r="J24" i="17"/>
  <c r="G23" i="17"/>
  <c r="S23" i="17" s="1"/>
  <c r="G22" i="17"/>
  <c r="S22" i="17" s="1"/>
  <c r="G18" i="17"/>
  <c r="S18" i="17" s="1"/>
  <c r="G17" i="17"/>
  <c r="S17" i="17" s="1"/>
  <c r="G16" i="17"/>
  <c r="S16" i="17" s="1"/>
  <c r="G56" i="18"/>
  <c r="S56" i="18" s="1"/>
  <c r="G52" i="18"/>
  <c r="S52" i="18" s="1"/>
  <c r="G51" i="18"/>
  <c r="S51" i="18" s="1"/>
  <c r="G50" i="18"/>
  <c r="S50" i="18" s="1"/>
  <c r="G46" i="18"/>
  <c r="S46" i="18" s="1"/>
  <c r="G45" i="1"/>
  <c r="S45" i="1" s="1"/>
  <c r="G44" i="18"/>
  <c r="S44" i="18" s="1"/>
  <c r="Q40" i="18"/>
  <c r="Q39" i="18" s="1"/>
  <c r="P40" i="18"/>
  <c r="P39" i="18" s="1"/>
  <c r="O40" i="18"/>
  <c r="O39" i="18" s="1"/>
  <c r="N40" i="18"/>
  <c r="N39" i="18" s="1"/>
  <c r="M40" i="18"/>
  <c r="M39" i="18" s="1"/>
  <c r="L40" i="18"/>
  <c r="L39" i="18" s="1"/>
  <c r="K40" i="18"/>
  <c r="K39" i="18" s="1"/>
  <c r="J40" i="18"/>
  <c r="J39" i="18" s="1"/>
  <c r="I40" i="18"/>
  <c r="I39" i="18" s="1"/>
  <c r="G37" i="18"/>
  <c r="S37" i="18" s="1"/>
  <c r="Q33" i="18"/>
  <c r="P33" i="18"/>
  <c r="O33" i="18"/>
  <c r="N33" i="18"/>
  <c r="M33" i="18"/>
  <c r="L33" i="18"/>
  <c r="K33" i="18"/>
  <c r="J33" i="18"/>
  <c r="G33" i="18"/>
  <c r="S33" i="18" s="1"/>
  <c r="Q29" i="18"/>
  <c r="P29" i="18"/>
  <c r="O29" i="18"/>
  <c r="N29" i="18"/>
  <c r="M29" i="18"/>
  <c r="L29" i="18"/>
  <c r="K29" i="18"/>
  <c r="G29" i="18"/>
  <c r="S29" i="18" s="1"/>
  <c r="P24" i="18"/>
  <c r="O24" i="18"/>
  <c r="N24" i="18"/>
  <c r="M24" i="18"/>
  <c r="L24" i="18"/>
  <c r="K24" i="18"/>
  <c r="J24" i="18"/>
  <c r="G23" i="18"/>
  <c r="S23" i="18" s="1"/>
  <c r="G23" i="1"/>
  <c r="S23" i="1" s="1"/>
  <c r="G22" i="18"/>
  <c r="S22" i="18" s="1"/>
  <c r="G18" i="18"/>
  <c r="S18" i="18" s="1"/>
  <c r="G18" i="1"/>
  <c r="S18" i="1" s="1"/>
  <c r="G18" i="8"/>
  <c r="S18" i="8" s="1"/>
  <c r="G17" i="18"/>
  <c r="S17" i="18" s="1"/>
  <c r="G16" i="18"/>
  <c r="S16" i="18" s="1"/>
  <c r="G45" i="18" l="1"/>
  <c r="S45" i="18" s="1"/>
  <c r="G59" i="18"/>
  <c r="S59" i="18" s="1"/>
  <c r="G54" i="18"/>
  <c r="S54" i="18" s="1"/>
  <c r="I48" i="18"/>
  <c r="I46" i="18" s="1"/>
  <c r="G38" i="18"/>
  <c r="S38" i="18" s="1"/>
  <c r="I35" i="18"/>
  <c r="I33" i="18" s="1"/>
  <c r="J31" i="18"/>
  <c r="J29" i="18" s="1"/>
  <c r="I31" i="18"/>
  <c r="I29" i="18" s="1"/>
  <c r="Q26" i="18"/>
  <c r="Q24" i="18" s="1"/>
  <c r="I26" i="18"/>
  <c r="I24" i="18" s="1"/>
  <c r="Q20" i="18"/>
  <c r="Q18" i="18" s="1"/>
  <c r="P20" i="18"/>
  <c r="P18" i="18" s="1"/>
  <c r="O20" i="18"/>
  <c r="O18" i="18" s="1"/>
  <c r="N20" i="18"/>
  <c r="N18" i="18" s="1"/>
  <c r="M20" i="18"/>
  <c r="M18" i="18" s="1"/>
  <c r="L20" i="18"/>
  <c r="L18" i="18" s="1"/>
  <c r="K20" i="18"/>
  <c r="K18" i="18" s="1"/>
  <c r="J20" i="18"/>
  <c r="J18" i="18" s="1"/>
  <c r="I20" i="18"/>
  <c r="I18" i="18" s="1"/>
  <c r="Q14" i="18"/>
  <c r="Q12" i="18" s="1"/>
  <c r="P14" i="18"/>
  <c r="P12" i="18" s="1"/>
  <c r="O14" i="18"/>
  <c r="O12" i="18" s="1"/>
  <c r="N14" i="18"/>
  <c r="N12" i="18" s="1"/>
  <c r="M14" i="18"/>
  <c r="M12" i="18" s="1"/>
  <c r="L14" i="18"/>
  <c r="L12" i="18" s="1"/>
  <c r="K14" i="18"/>
  <c r="J14" i="18"/>
  <c r="J12" i="18" s="1"/>
  <c r="I14" i="18"/>
  <c r="I12" i="18" s="1"/>
  <c r="K12" i="18"/>
  <c r="Q10" i="18"/>
  <c r="P10" i="18"/>
  <c r="O10" i="18"/>
  <c r="N10" i="18"/>
  <c r="M10" i="18"/>
  <c r="L10" i="18"/>
  <c r="K10" i="18"/>
  <c r="J10" i="18"/>
  <c r="J9" i="18" s="1"/>
  <c r="I10" i="18"/>
  <c r="S8" i="18"/>
  <c r="G54" i="17"/>
  <c r="S54" i="17" s="1"/>
  <c r="I48" i="17"/>
  <c r="I46" i="17" s="1"/>
  <c r="G38" i="17"/>
  <c r="S38" i="17" s="1"/>
  <c r="I35" i="17"/>
  <c r="I33" i="17" s="1"/>
  <c r="J31" i="17"/>
  <c r="J29" i="17" s="1"/>
  <c r="I31" i="17"/>
  <c r="I29" i="17" s="1"/>
  <c r="Q26" i="17"/>
  <c r="Q24" i="17" s="1"/>
  <c r="I26" i="17"/>
  <c r="I24" i="17" s="1"/>
  <c r="Q20" i="17"/>
  <c r="Q18" i="17" s="1"/>
  <c r="P20" i="17"/>
  <c r="P18" i="17" s="1"/>
  <c r="O20" i="17"/>
  <c r="O18" i="17" s="1"/>
  <c r="N20" i="17"/>
  <c r="N18" i="17" s="1"/>
  <c r="M20" i="17"/>
  <c r="M18" i="17" s="1"/>
  <c r="L20" i="17"/>
  <c r="L18" i="17" s="1"/>
  <c r="K20" i="17"/>
  <c r="K18" i="17" s="1"/>
  <c r="J20" i="17"/>
  <c r="J18" i="17" s="1"/>
  <c r="I20" i="17"/>
  <c r="I18" i="17" s="1"/>
  <c r="Q14" i="17"/>
  <c r="Q12" i="17" s="1"/>
  <c r="P14" i="17"/>
  <c r="P12" i="17" s="1"/>
  <c r="O14" i="17"/>
  <c r="O12" i="17" s="1"/>
  <c r="N14" i="17"/>
  <c r="N12" i="17" s="1"/>
  <c r="M14" i="17"/>
  <c r="M12" i="17" s="1"/>
  <c r="L14" i="17"/>
  <c r="L12" i="17" s="1"/>
  <c r="K14" i="17"/>
  <c r="K12" i="17" s="1"/>
  <c r="J14" i="17"/>
  <c r="J12" i="17" s="1"/>
  <c r="I14" i="17"/>
  <c r="I12" i="17" s="1"/>
  <c r="Q10" i="17"/>
  <c r="P10" i="17"/>
  <c r="O10" i="17"/>
  <c r="N10" i="17"/>
  <c r="N9" i="17" s="1"/>
  <c r="M10" i="17"/>
  <c r="L10" i="17"/>
  <c r="K10" i="17"/>
  <c r="J10" i="17"/>
  <c r="J9" i="17" s="1"/>
  <c r="I10" i="17"/>
  <c r="S8" i="17"/>
  <c r="G54" i="16"/>
  <c r="S54" i="16" s="1"/>
  <c r="I48" i="16"/>
  <c r="I46" i="16" s="1"/>
  <c r="G38" i="16"/>
  <c r="S38" i="16" s="1"/>
  <c r="I35" i="16"/>
  <c r="I33" i="16" s="1"/>
  <c r="J31" i="16"/>
  <c r="J29" i="16" s="1"/>
  <c r="I31" i="16"/>
  <c r="I29" i="16" s="1"/>
  <c r="Q26" i="16"/>
  <c r="Q24" i="16" s="1"/>
  <c r="I26" i="16"/>
  <c r="I24" i="16" s="1"/>
  <c r="Q20" i="16"/>
  <c r="Q18" i="16" s="1"/>
  <c r="P20" i="16"/>
  <c r="P18" i="16" s="1"/>
  <c r="O20" i="16"/>
  <c r="O18" i="16" s="1"/>
  <c r="N20" i="16"/>
  <c r="N18" i="16" s="1"/>
  <c r="M20" i="16"/>
  <c r="M18" i="16" s="1"/>
  <c r="L20" i="16"/>
  <c r="L18" i="16" s="1"/>
  <c r="K20" i="16"/>
  <c r="K18" i="16" s="1"/>
  <c r="J20" i="16"/>
  <c r="J18" i="16" s="1"/>
  <c r="I20" i="16"/>
  <c r="I18" i="16" s="1"/>
  <c r="Q14" i="16"/>
  <c r="P14" i="16"/>
  <c r="P12" i="16" s="1"/>
  <c r="O14" i="16"/>
  <c r="O12" i="16" s="1"/>
  <c r="N14" i="16"/>
  <c r="N12" i="16" s="1"/>
  <c r="M14" i="16"/>
  <c r="M12" i="16" s="1"/>
  <c r="L14" i="16"/>
  <c r="L12" i="16" s="1"/>
  <c r="K14" i="16"/>
  <c r="J14" i="16"/>
  <c r="J12" i="16" s="1"/>
  <c r="I14" i="16"/>
  <c r="I12" i="16" s="1"/>
  <c r="Q12" i="16"/>
  <c r="K12" i="16"/>
  <c r="Q10" i="16"/>
  <c r="P10" i="16"/>
  <c r="P9" i="16" s="1"/>
  <c r="O10" i="16"/>
  <c r="N10" i="16"/>
  <c r="N9" i="16" s="1"/>
  <c r="M10" i="16"/>
  <c r="L10" i="16"/>
  <c r="K10" i="16"/>
  <c r="J10" i="16"/>
  <c r="J9" i="16" s="1"/>
  <c r="I10" i="16"/>
  <c r="N8" i="16"/>
  <c r="S8" i="16"/>
  <c r="G54" i="15"/>
  <c r="S54" i="15" s="1"/>
  <c r="I48" i="15"/>
  <c r="I46" i="15" s="1"/>
  <c r="G38" i="15"/>
  <c r="S38" i="15" s="1"/>
  <c r="I35" i="15"/>
  <c r="I33" i="15" s="1"/>
  <c r="J31" i="15"/>
  <c r="J29" i="15" s="1"/>
  <c r="I31" i="15"/>
  <c r="I29" i="15" s="1"/>
  <c r="Q26" i="15"/>
  <c r="Q24" i="15" s="1"/>
  <c r="I26" i="15"/>
  <c r="I24" i="15" s="1"/>
  <c r="Q20" i="15"/>
  <c r="Q18" i="15" s="1"/>
  <c r="P20" i="15"/>
  <c r="P18" i="15" s="1"/>
  <c r="O20" i="15"/>
  <c r="O18" i="15" s="1"/>
  <c r="N20" i="15"/>
  <c r="N18" i="15" s="1"/>
  <c r="M20" i="15"/>
  <c r="M18" i="15" s="1"/>
  <c r="L20" i="15"/>
  <c r="L18" i="15" s="1"/>
  <c r="K20" i="15"/>
  <c r="K18" i="15" s="1"/>
  <c r="J20" i="15"/>
  <c r="J18" i="15" s="1"/>
  <c r="I20" i="15"/>
  <c r="I18" i="15" s="1"/>
  <c r="Q14" i="15"/>
  <c r="Q12" i="15" s="1"/>
  <c r="P14" i="15"/>
  <c r="P12" i="15" s="1"/>
  <c r="O14" i="15"/>
  <c r="N14" i="15"/>
  <c r="N12" i="15" s="1"/>
  <c r="M14" i="15"/>
  <c r="M12" i="15" s="1"/>
  <c r="L14" i="15"/>
  <c r="L12" i="15" s="1"/>
  <c r="K14" i="15"/>
  <c r="K12" i="15" s="1"/>
  <c r="J14" i="15"/>
  <c r="J12" i="15" s="1"/>
  <c r="I14" i="15"/>
  <c r="I12" i="15" s="1"/>
  <c r="O12" i="15"/>
  <c r="Q10" i="15"/>
  <c r="P10" i="15"/>
  <c r="P9" i="15" s="1"/>
  <c r="O10" i="15"/>
  <c r="N10" i="15"/>
  <c r="N9" i="15" s="1"/>
  <c r="N8" i="15" s="1"/>
  <c r="M10" i="15"/>
  <c r="L10" i="15"/>
  <c r="K10" i="15"/>
  <c r="J10" i="15"/>
  <c r="J9" i="15" s="1"/>
  <c r="I10" i="15"/>
  <c r="S8" i="15"/>
  <c r="G54" i="14"/>
  <c r="S54" i="14" s="1"/>
  <c r="G38" i="14"/>
  <c r="S38" i="14" s="1"/>
  <c r="I35" i="14"/>
  <c r="I33" i="14" s="1"/>
  <c r="J31" i="14"/>
  <c r="J29" i="14" s="1"/>
  <c r="I31" i="14"/>
  <c r="I29" i="14" s="1"/>
  <c r="Q26" i="14"/>
  <c r="Q24" i="14" s="1"/>
  <c r="I26" i="14"/>
  <c r="I24" i="14" s="1"/>
  <c r="G21" i="14"/>
  <c r="S21" i="14" s="1"/>
  <c r="Q20" i="14"/>
  <c r="Q18" i="14" s="1"/>
  <c r="P20" i="14"/>
  <c r="P18" i="14" s="1"/>
  <c r="O20" i="14"/>
  <c r="O18" i="14" s="1"/>
  <c r="N20" i="14"/>
  <c r="N18" i="14" s="1"/>
  <c r="M20" i="14"/>
  <c r="M18" i="14" s="1"/>
  <c r="L20" i="14"/>
  <c r="L18" i="14" s="1"/>
  <c r="K20" i="14"/>
  <c r="K18" i="14" s="1"/>
  <c r="J20" i="14"/>
  <c r="J18" i="14" s="1"/>
  <c r="I20" i="14"/>
  <c r="I18" i="14" s="1"/>
  <c r="G20" i="14"/>
  <c r="S20" i="14" s="1"/>
  <c r="G19" i="14"/>
  <c r="S19" i="14" s="1"/>
  <c r="Q14" i="14"/>
  <c r="Q12" i="14" s="1"/>
  <c r="P14" i="14"/>
  <c r="P12" i="14" s="1"/>
  <c r="O14" i="14"/>
  <c r="O12" i="14" s="1"/>
  <c r="N14" i="14"/>
  <c r="N12" i="14" s="1"/>
  <c r="M14" i="14"/>
  <c r="M12" i="14" s="1"/>
  <c r="L14" i="14"/>
  <c r="L12" i="14" s="1"/>
  <c r="K14" i="14"/>
  <c r="K12" i="14" s="1"/>
  <c r="J14" i="14"/>
  <c r="J12" i="14" s="1"/>
  <c r="I14" i="14"/>
  <c r="I12" i="14" s="1"/>
  <c r="Q10" i="14"/>
  <c r="Q9" i="14" s="1"/>
  <c r="P10" i="14"/>
  <c r="O10" i="14"/>
  <c r="N10" i="14"/>
  <c r="M10" i="14"/>
  <c r="M9" i="14" s="1"/>
  <c r="L10" i="14"/>
  <c r="K10" i="14"/>
  <c r="J10" i="14"/>
  <c r="I10" i="14"/>
  <c r="I9" i="14" s="1"/>
  <c r="I8" i="14" s="1"/>
  <c r="S8" i="14"/>
  <c r="G54" i="13"/>
  <c r="S54" i="13" s="1"/>
  <c r="I48" i="13"/>
  <c r="I46" i="13" s="1"/>
  <c r="G38" i="13"/>
  <c r="S38" i="13" s="1"/>
  <c r="I35" i="13"/>
  <c r="I33" i="13" s="1"/>
  <c r="J31" i="13"/>
  <c r="J29" i="13" s="1"/>
  <c r="I31" i="13"/>
  <c r="I29" i="13" s="1"/>
  <c r="Q26" i="13"/>
  <c r="Q24" i="13" s="1"/>
  <c r="I26" i="13"/>
  <c r="I24" i="13" s="1"/>
  <c r="Q20" i="13"/>
  <c r="Q18" i="13" s="1"/>
  <c r="P20" i="13"/>
  <c r="P18" i="13" s="1"/>
  <c r="O20" i="13"/>
  <c r="O18" i="13" s="1"/>
  <c r="N20" i="13"/>
  <c r="N18" i="13" s="1"/>
  <c r="M20" i="13"/>
  <c r="M18" i="13" s="1"/>
  <c r="L20" i="13"/>
  <c r="L18" i="13" s="1"/>
  <c r="K20" i="13"/>
  <c r="K18" i="13" s="1"/>
  <c r="J20" i="13"/>
  <c r="J18" i="13" s="1"/>
  <c r="I20" i="13"/>
  <c r="I18" i="13" s="1"/>
  <c r="Q14" i="13"/>
  <c r="Q12" i="13" s="1"/>
  <c r="P14" i="13"/>
  <c r="P12" i="13" s="1"/>
  <c r="O14" i="13"/>
  <c r="O12" i="13" s="1"/>
  <c r="N14" i="13"/>
  <c r="N12" i="13" s="1"/>
  <c r="M14" i="13"/>
  <c r="M12" i="13" s="1"/>
  <c r="L14" i="13"/>
  <c r="L12" i="13" s="1"/>
  <c r="K14" i="13"/>
  <c r="J14" i="13"/>
  <c r="J12" i="13" s="1"/>
  <c r="I14" i="13"/>
  <c r="I12" i="13" s="1"/>
  <c r="K12" i="13"/>
  <c r="Q10" i="13"/>
  <c r="P10" i="13"/>
  <c r="O10" i="13"/>
  <c r="O9" i="13" s="1"/>
  <c r="N10" i="13"/>
  <c r="M10" i="13"/>
  <c r="M9" i="13" s="1"/>
  <c r="L10" i="13"/>
  <c r="K10" i="13"/>
  <c r="K9" i="13" s="1"/>
  <c r="J10" i="13"/>
  <c r="I10" i="13"/>
  <c r="S8" i="13"/>
  <c r="G54" i="12"/>
  <c r="S54" i="12" s="1"/>
  <c r="I48" i="12"/>
  <c r="I46" i="12" s="1"/>
  <c r="G38" i="12"/>
  <c r="S38" i="12" s="1"/>
  <c r="I35" i="12"/>
  <c r="I33" i="12" s="1"/>
  <c r="J31" i="12"/>
  <c r="J29" i="12" s="1"/>
  <c r="I31" i="12"/>
  <c r="I29" i="12" s="1"/>
  <c r="Q26" i="12"/>
  <c r="Q24" i="12" s="1"/>
  <c r="I26" i="12"/>
  <c r="I24" i="12" s="1"/>
  <c r="Q14" i="12"/>
  <c r="Q12" i="12" s="1"/>
  <c r="P14" i="12"/>
  <c r="P12" i="12" s="1"/>
  <c r="O14" i="12"/>
  <c r="O12" i="12" s="1"/>
  <c r="N14" i="12"/>
  <c r="M14" i="12"/>
  <c r="M12" i="12" s="1"/>
  <c r="L14" i="12"/>
  <c r="K14" i="12"/>
  <c r="K12" i="12" s="1"/>
  <c r="J14" i="12"/>
  <c r="J12" i="12" s="1"/>
  <c r="I14" i="12"/>
  <c r="I12" i="12" s="1"/>
  <c r="N12" i="12"/>
  <c r="L12" i="12"/>
  <c r="Q10" i="12"/>
  <c r="Q9" i="12" s="1"/>
  <c r="P10" i="12"/>
  <c r="O10" i="12"/>
  <c r="N10" i="12"/>
  <c r="M10" i="12"/>
  <c r="M9" i="12" s="1"/>
  <c r="L10" i="12"/>
  <c r="K10" i="12"/>
  <c r="J10" i="12"/>
  <c r="I10" i="12"/>
  <c r="I9" i="12" s="1"/>
  <c r="S8" i="12"/>
  <c r="G54" i="11"/>
  <c r="S54" i="11" s="1"/>
  <c r="I48" i="11"/>
  <c r="I46" i="11" s="1"/>
  <c r="G38" i="11"/>
  <c r="S38" i="11" s="1"/>
  <c r="I35" i="11"/>
  <c r="I33" i="11" s="1"/>
  <c r="J31" i="11"/>
  <c r="J29" i="11" s="1"/>
  <c r="I31" i="11"/>
  <c r="I29" i="11" s="1"/>
  <c r="Q26" i="11"/>
  <c r="Q24" i="11" s="1"/>
  <c r="I26" i="11"/>
  <c r="I24" i="11" s="1"/>
  <c r="Q20" i="11"/>
  <c r="Q18" i="11" s="1"/>
  <c r="P20" i="11"/>
  <c r="P18" i="11" s="1"/>
  <c r="O20" i="11"/>
  <c r="O18" i="11" s="1"/>
  <c r="N20" i="11"/>
  <c r="N18" i="11" s="1"/>
  <c r="M20" i="11"/>
  <c r="M18" i="11" s="1"/>
  <c r="L20" i="11"/>
  <c r="L18" i="11" s="1"/>
  <c r="K20" i="11"/>
  <c r="K18" i="11" s="1"/>
  <c r="J20" i="11"/>
  <c r="J18" i="11" s="1"/>
  <c r="I20" i="11"/>
  <c r="I18" i="11" s="1"/>
  <c r="Q14" i="11"/>
  <c r="Q12" i="11" s="1"/>
  <c r="P14" i="11"/>
  <c r="O14" i="11"/>
  <c r="O12" i="11" s="1"/>
  <c r="N14" i="11"/>
  <c r="N12" i="11" s="1"/>
  <c r="M14" i="11"/>
  <c r="M12" i="11" s="1"/>
  <c r="L14" i="11"/>
  <c r="L12" i="11" s="1"/>
  <c r="K14" i="11"/>
  <c r="K12" i="11" s="1"/>
  <c r="J14" i="11"/>
  <c r="J12" i="11" s="1"/>
  <c r="I14" i="11"/>
  <c r="I12" i="11" s="1"/>
  <c r="P12" i="11"/>
  <c r="Q10" i="11"/>
  <c r="P10" i="11"/>
  <c r="O10" i="11"/>
  <c r="O9" i="11" s="1"/>
  <c r="N10" i="11"/>
  <c r="M10" i="11"/>
  <c r="M9" i="11" s="1"/>
  <c r="L10" i="11"/>
  <c r="K10" i="11"/>
  <c r="K9" i="11" s="1"/>
  <c r="J10" i="11"/>
  <c r="I10" i="11"/>
  <c r="S8" i="11"/>
  <c r="G54" i="10"/>
  <c r="S54" i="10" s="1"/>
  <c r="I48" i="10"/>
  <c r="I46" i="10" s="1"/>
  <c r="G38" i="10"/>
  <c r="S38" i="10" s="1"/>
  <c r="I35" i="10"/>
  <c r="I33" i="10" s="1"/>
  <c r="J31" i="10"/>
  <c r="J29" i="10" s="1"/>
  <c r="I31" i="10"/>
  <c r="I29" i="10" s="1"/>
  <c r="Q26" i="10"/>
  <c r="Q24" i="10" s="1"/>
  <c r="I26" i="10"/>
  <c r="I24" i="10" s="1"/>
  <c r="Q20" i="10"/>
  <c r="Q18" i="10" s="1"/>
  <c r="P20" i="10"/>
  <c r="P18" i="10" s="1"/>
  <c r="O20" i="10"/>
  <c r="O18" i="10" s="1"/>
  <c r="N20" i="10"/>
  <c r="N18" i="10" s="1"/>
  <c r="M20" i="10"/>
  <c r="M18" i="10" s="1"/>
  <c r="L20" i="10"/>
  <c r="L18" i="10" s="1"/>
  <c r="K20" i="10"/>
  <c r="K18" i="10" s="1"/>
  <c r="J20" i="10"/>
  <c r="J18" i="10" s="1"/>
  <c r="I20" i="10"/>
  <c r="I18" i="10" s="1"/>
  <c r="Q14" i="10"/>
  <c r="Q12" i="10" s="1"/>
  <c r="P14" i="10"/>
  <c r="P12" i="10" s="1"/>
  <c r="O14" i="10"/>
  <c r="O12" i="10" s="1"/>
  <c r="N14" i="10"/>
  <c r="N12" i="10" s="1"/>
  <c r="M14" i="10"/>
  <c r="M12" i="10" s="1"/>
  <c r="L14" i="10"/>
  <c r="L12" i="10" s="1"/>
  <c r="K14" i="10"/>
  <c r="K12" i="10" s="1"/>
  <c r="J14" i="10"/>
  <c r="J12" i="10" s="1"/>
  <c r="I14" i="10"/>
  <c r="I12" i="10" s="1"/>
  <c r="Q10" i="10"/>
  <c r="Q9" i="10" s="1"/>
  <c r="P10" i="10"/>
  <c r="O10" i="10"/>
  <c r="O9" i="10" s="1"/>
  <c r="N10" i="10"/>
  <c r="M10" i="10"/>
  <c r="M9" i="10" s="1"/>
  <c r="L10" i="10"/>
  <c r="K10" i="10"/>
  <c r="J10" i="10"/>
  <c r="I10" i="10"/>
  <c r="I9" i="10" s="1"/>
  <c r="S8" i="10"/>
  <c r="S62" i="9"/>
  <c r="G54" i="9"/>
  <c r="S54" i="9" s="1"/>
  <c r="I48" i="9"/>
  <c r="I46" i="9" s="1"/>
  <c r="G38" i="9"/>
  <c r="S38" i="9" s="1"/>
  <c r="I35" i="9"/>
  <c r="I33" i="9" s="1"/>
  <c r="J31" i="9"/>
  <c r="J29" i="9" s="1"/>
  <c r="I31" i="9"/>
  <c r="I29" i="9" s="1"/>
  <c r="Q26" i="9"/>
  <c r="Q24" i="9" s="1"/>
  <c r="I26" i="9"/>
  <c r="I24" i="9" s="1"/>
  <c r="G21" i="9"/>
  <c r="S21" i="9" s="1"/>
  <c r="Q20" i="9"/>
  <c r="Q18" i="9" s="1"/>
  <c r="P20" i="9"/>
  <c r="P18" i="9" s="1"/>
  <c r="O20" i="9"/>
  <c r="O18" i="9" s="1"/>
  <c r="N20" i="9"/>
  <c r="N18" i="9" s="1"/>
  <c r="M20" i="9"/>
  <c r="M18" i="9" s="1"/>
  <c r="L20" i="9"/>
  <c r="L18" i="9" s="1"/>
  <c r="K20" i="9"/>
  <c r="K18" i="9" s="1"/>
  <c r="J20" i="9"/>
  <c r="J18" i="9" s="1"/>
  <c r="I20" i="9"/>
  <c r="I18" i="9" s="1"/>
  <c r="G20" i="9"/>
  <c r="S20" i="9" s="1"/>
  <c r="G19" i="9"/>
  <c r="S19" i="9" s="1"/>
  <c r="Q14" i="9"/>
  <c r="Q12" i="9" s="1"/>
  <c r="P14" i="9"/>
  <c r="P12" i="9" s="1"/>
  <c r="O14" i="9"/>
  <c r="O12" i="9" s="1"/>
  <c r="N14" i="9"/>
  <c r="M14" i="9"/>
  <c r="M12" i="9" s="1"/>
  <c r="L14" i="9"/>
  <c r="L12" i="9" s="1"/>
  <c r="K14" i="9"/>
  <c r="K12" i="9" s="1"/>
  <c r="J14" i="9"/>
  <c r="J12" i="9" s="1"/>
  <c r="I14" i="9"/>
  <c r="I12" i="9" s="1"/>
  <c r="N12" i="9"/>
  <c r="Q10" i="9"/>
  <c r="Q9" i="9" s="1"/>
  <c r="P10" i="9"/>
  <c r="O10" i="9"/>
  <c r="N10" i="9"/>
  <c r="M10" i="9"/>
  <c r="M9" i="9" s="1"/>
  <c r="L10" i="9"/>
  <c r="K10" i="9"/>
  <c r="J10" i="9"/>
  <c r="I10" i="9"/>
  <c r="I9" i="9" s="1"/>
  <c r="S8" i="9"/>
  <c r="Q8" i="12" l="1"/>
  <c r="J8" i="15"/>
  <c r="I8" i="10"/>
  <c r="O8" i="10"/>
  <c r="M8" i="13"/>
  <c r="O8" i="13"/>
  <c r="J8" i="18"/>
  <c r="I8" i="9"/>
  <c r="M8" i="11"/>
  <c r="P8" i="15"/>
  <c r="M8" i="9"/>
  <c r="M8" i="10"/>
  <c r="Q8" i="9"/>
  <c r="M8" i="14"/>
  <c r="Q8" i="10"/>
  <c r="Q8" i="14"/>
  <c r="J8" i="17"/>
  <c r="N8" i="17"/>
  <c r="K8" i="13"/>
  <c r="J8" i="16"/>
  <c r="P8" i="16"/>
  <c r="O8" i="11"/>
  <c r="K8" i="11"/>
  <c r="L9" i="10"/>
  <c r="L8" i="10" s="1"/>
  <c r="P9" i="10"/>
  <c r="P8" i="10" s="1"/>
  <c r="M8" i="12"/>
  <c r="K9" i="12"/>
  <c r="K8" i="12" s="1"/>
  <c r="O9" i="12"/>
  <c r="O8" i="12" s="1"/>
  <c r="L9" i="13"/>
  <c r="L8" i="13" s="1"/>
  <c r="P9" i="13"/>
  <c r="P8" i="13" s="1"/>
  <c r="K9" i="14"/>
  <c r="K8" i="14" s="1"/>
  <c r="O9" i="14"/>
  <c r="O8" i="14" s="1"/>
  <c r="K9" i="15"/>
  <c r="K8" i="15" s="1"/>
  <c r="O9" i="15"/>
  <c r="O8" i="15" s="1"/>
  <c r="K9" i="16"/>
  <c r="K8" i="16" s="1"/>
  <c r="O9" i="16"/>
  <c r="O8" i="16" s="1"/>
  <c r="I9" i="17"/>
  <c r="I8" i="17" s="1"/>
  <c r="M9" i="17"/>
  <c r="M8" i="17" s="1"/>
  <c r="Q9" i="17"/>
  <c r="Q8" i="17" s="1"/>
  <c r="K9" i="18"/>
  <c r="K8" i="18" s="1"/>
  <c r="O9" i="18"/>
  <c r="O8" i="18" s="1"/>
  <c r="J9" i="9"/>
  <c r="J8" i="9" s="1"/>
  <c r="N9" i="9"/>
  <c r="N8" i="9" s="1"/>
  <c r="L9" i="11"/>
  <c r="L8" i="11" s="1"/>
  <c r="P9" i="11"/>
  <c r="P8" i="11" s="1"/>
  <c r="L9" i="12"/>
  <c r="L8" i="12" s="1"/>
  <c r="P9" i="12"/>
  <c r="P8" i="12" s="1"/>
  <c r="I9" i="13"/>
  <c r="I8" i="13" s="1"/>
  <c r="Q9" i="13"/>
  <c r="Q8" i="13" s="1"/>
  <c r="L8" i="14"/>
  <c r="L9" i="14"/>
  <c r="P9" i="14"/>
  <c r="P8" i="14" s="1"/>
  <c r="L8" i="15"/>
  <c r="L9" i="15"/>
  <c r="L9" i="16"/>
  <c r="L8" i="16" s="1"/>
  <c r="L9" i="18"/>
  <c r="L8" i="18" s="1"/>
  <c r="P9" i="18"/>
  <c r="P8" i="18" s="1"/>
  <c r="K9" i="9"/>
  <c r="K8" i="9" s="1"/>
  <c r="O8" i="9"/>
  <c r="O9" i="9"/>
  <c r="J9" i="10"/>
  <c r="J8" i="10" s="1"/>
  <c r="N9" i="10"/>
  <c r="N8" i="10" s="1"/>
  <c r="I9" i="11"/>
  <c r="I8" i="11" s="1"/>
  <c r="Q9" i="11"/>
  <c r="Q8" i="11" s="1"/>
  <c r="J9" i="13"/>
  <c r="J8" i="13" s="1"/>
  <c r="N9" i="13"/>
  <c r="N8" i="13" s="1"/>
  <c r="I9" i="15"/>
  <c r="I8" i="15" s="1"/>
  <c r="M9" i="15"/>
  <c r="M8" i="15" s="1"/>
  <c r="Q9" i="15"/>
  <c r="Q8" i="15" s="1"/>
  <c r="I8" i="16"/>
  <c r="I9" i="16"/>
  <c r="M9" i="16"/>
  <c r="M8" i="16" s="1"/>
  <c r="Q9" i="16"/>
  <c r="Q8" i="16" s="1"/>
  <c r="K9" i="17"/>
  <c r="K8" i="17" s="1"/>
  <c r="O9" i="17"/>
  <c r="O8" i="17" s="1"/>
  <c r="I9" i="18"/>
  <c r="I8" i="18" s="1"/>
  <c r="M9" i="18"/>
  <c r="M8" i="18" s="1"/>
  <c r="Q9" i="18"/>
  <c r="Q8" i="18" s="1"/>
  <c r="L8" i="9"/>
  <c r="L9" i="9"/>
  <c r="P9" i="9"/>
  <c r="P8" i="9" s="1"/>
  <c r="K9" i="10"/>
  <c r="K8" i="10" s="1"/>
  <c r="J9" i="11"/>
  <c r="J8" i="11" s="1"/>
  <c r="N9" i="11"/>
  <c r="N8" i="11" s="1"/>
  <c r="I8" i="12"/>
  <c r="J9" i="12"/>
  <c r="J8" i="12" s="1"/>
  <c r="N9" i="12"/>
  <c r="N8" i="12" s="1"/>
  <c r="J9" i="14"/>
  <c r="J8" i="14" s="1"/>
  <c r="N9" i="14"/>
  <c r="N8" i="14" s="1"/>
  <c r="L9" i="17"/>
  <c r="L8" i="17" s="1"/>
  <c r="P9" i="17"/>
  <c r="P8" i="17" s="1"/>
  <c r="N9" i="18"/>
  <c r="N8" i="18" s="1"/>
  <c r="S64" i="18"/>
  <c r="S64" i="13"/>
  <c r="F18" i="19" s="1"/>
  <c r="S64" i="16"/>
  <c r="S64" i="12"/>
  <c r="F17" i="19" s="1"/>
  <c r="S64" i="10"/>
  <c r="F15" i="19" s="1"/>
  <c r="S64" i="9"/>
  <c r="F14" i="19" s="1"/>
  <c r="S64" i="11"/>
  <c r="F16" i="19" s="1"/>
  <c r="S64" i="15"/>
  <c r="F20" i="19" s="1"/>
  <c r="S64" i="17"/>
  <c r="S64" i="14"/>
  <c r="F19" i="19" s="1"/>
  <c r="S70" i="12" l="1"/>
  <c r="S65" i="11"/>
  <c r="S66" i="11" s="1"/>
  <c r="S67" i="11" s="1"/>
  <c r="G16" i="19" s="1"/>
  <c r="S65" i="17"/>
  <c r="S66" i="17" s="1"/>
  <c r="S65" i="18"/>
  <c r="S66" i="18" s="1"/>
  <c r="S67" i="18" s="1"/>
  <c r="S70" i="11"/>
  <c r="S65" i="12"/>
  <c r="S66" i="12" s="1"/>
  <c r="S67" i="12" s="1"/>
  <c r="G17" i="19" s="1"/>
  <c r="S70" i="17"/>
  <c r="S70" i="18"/>
  <c r="S70" i="15"/>
  <c r="S65" i="15"/>
  <c r="S70" i="14"/>
  <c r="S65" i="14"/>
  <c r="S66" i="14" s="1"/>
  <c r="S67" i="14" s="1"/>
  <c r="G19" i="19" s="1"/>
  <c r="S65" i="10"/>
  <c r="S70" i="10"/>
  <c r="S65" i="16"/>
  <c r="S66" i="16" s="1"/>
  <c r="S70" i="16"/>
  <c r="S65" i="13"/>
  <c r="S66" i="13" s="1"/>
  <c r="S67" i="13" s="1"/>
  <c r="G18" i="19" s="1"/>
  <c r="S70" i="13"/>
  <c r="S65" i="9"/>
  <c r="S66" i="9" s="1"/>
  <c r="S70" i="9"/>
  <c r="S67" i="17" l="1"/>
  <c r="S68" i="17" s="1"/>
  <c r="S68" i="18"/>
  <c r="S68" i="13"/>
  <c r="H18" i="19" s="1"/>
  <c r="S68" i="11"/>
  <c r="H16" i="19" s="1"/>
  <c r="S68" i="14"/>
  <c r="H19" i="19" s="1"/>
  <c r="S68" i="12"/>
  <c r="H17" i="19" s="1"/>
  <c r="S67" i="9"/>
  <c r="G14" i="19" s="1"/>
  <c r="S67" i="16"/>
  <c r="S66" i="10"/>
  <c r="S67" i="10" s="1"/>
  <c r="G15" i="19" s="1"/>
  <c r="S66" i="15"/>
  <c r="S67" i="15" s="1"/>
  <c r="G20" i="19" s="1"/>
  <c r="S68" i="10" l="1"/>
  <c r="H15" i="19" s="1"/>
  <c r="S69" i="17"/>
  <c r="S69" i="13"/>
  <c r="S69" i="12"/>
  <c r="S68" i="15"/>
  <c r="H20" i="19" s="1"/>
  <c r="S68" i="16"/>
  <c r="S69" i="14"/>
  <c r="S69" i="11"/>
  <c r="S69" i="18"/>
  <c r="S68" i="9"/>
  <c r="H14" i="19" s="1"/>
  <c r="G54" i="7"/>
  <c r="S54" i="7" s="1"/>
  <c r="G56" i="7"/>
  <c r="S56" i="7" s="1"/>
  <c r="G52" i="7"/>
  <c r="S52" i="7" s="1"/>
  <c r="G51" i="7"/>
  <c r="S51" i="7" s="1"/>
  <c r="G50" i="7"/>
  <c r="S50" i="7" s="1"/>
  <c r="G46" i="7"/>
  <c r="S46" i="7" s="1"/>
  <c r="G45" i="7"/>
  <c r="S45" i="7" s="1"/>
  <c r="G44" i="7"/>
  <c r="S44" i="7" s="1"/>
  <c r="G37" i="7"/>
  <c r="S37" i="7" s="1"/>
  <c r="Q33" i="7"/>
  <c r="P33" i="7"/>
  <c r="O33" i="7"/>
  <c r="N33" i="7"/>
  <c r="M33" i="7"/>
  <c r="L33" i="7"/>
  <c r="K33" i="7"/>
  <c r="J33" i="7"/>
  <c r="G33" i="7"/>
  <c r="S33" i="7" s="1"/>
  <c r="Q29" i="7"/>
  <c r="P29" i="7"/>
  <c r="O29" i="7"/>
  <c r="N29" i="7"/>
  <c r="M29" i="7"/>
  <c r="L29" i="7"/>
  <c r="K29" i="7"/>
  <c r="G29" i="7"/>
  <c r="S29" i="7" s="1"/>
  <c r="G28" i="7"/>
  <c r="S28" i="7" s="1"/>
  <c r="P24" i="7"/>
  <c r="O24" i="7"/>
  <c r="N24" i="7"/>
  <c r="M24" i="7"/>
  <c r="L24" i="7"/>
  <c r="K24" i="7"/>
  <c r="J24" i="7"/>
  <c r="G23" i="7"/>
  <c r="S23" i="7" s="1"/>
  <c r="G22" i="7"/>
  <c r="S22" i="7" s="1"/>
  <c r="G18" i="7"/>
  <c r="S18" i="7" s="1"/>
  <c r="G17" i="7"/>
  <c r="S17" i="7" s="1"/>
  <c r="G16" i="7"/>
  <c r="S16" i="7" s="1"/>
  <c r="S69" i="9" l="1"/>
  <c r="S69" i="16"/>
  <c r="S69" i="15"/>
  <c r="S69" i="10"/>
  <c r="G24" i="6"/>
  <c r="S24" i="6" s="1"/>
  <c r="P24" i="6"/>
  <c r="O24" i="6"/>
  <c r="N24" i="6"/>
  <c r="M24" i="6"/>
  <c r="L24" i="6"/>
  <c r="K24" i="6"/>
  <c r="J24" i="6"/>
  <c r="G56" i="5"/>
  <c r="S56" i="5" s="1"/>
  <c r="G16" i="5"/>
  <c r="S16" i="5" s="1"/>
  <c r="G56" i="4" l="1"/>
  <c r="S56" i="4" s="1"/>
  <c r="G52" i="4"/>
  <c r="S52" i="4" s="1"/>
  <c r="G51" i="4"/>
  <c r="S51" i="4" s="1"/>
  <c r="G46" i="4"/>
  <c r="S46" i="4" s="1"/>
  <c r="G45" i="4"/>
  <c r="S45" i="4" s="1"/>
  <c r="G44" i="4"/>
  <c r="S44" i="4" s="1"/>
  <c r="G37" i="4"/>
  <c r="S37" i="4" s="1"/>
  <c r="Q29" i="4"/>
  <c r="P29" i="4"/>
  <c r="O29" i="4"/>
  <c r="N29" i="4"/>
  <c r="M29" i="4"/>
  <c r="L29" i="4"/>
  <c r="K29" i="4"/>
  <c r="G29" i="4"/>
  <c r="S29" i="4" s="1"/>
  <c r="G28" i="4"/>
  <c r="S28" i="4" s="1"/>
  <c r="G24" i="4"/>
  <c r="S24" i="4" s="1"/>
  <c r="G23" i="4"/>
  <c r="S23" i="4" s="1"/>
  <c r="G22" i="4"/>
  <c r="S22" i="4" s="1"/>
  <c r="G18" i="4"/>
  <c r="S18" i="4" s="1"/>
  <c r="G17" i="4" l="1"/>
  <c r="S17" i="4" s="1"/>
  <c r="G16" i="4"/>
  <c r="S16" i="4" s="1"/>
  <c r="G56" i="3"/>
  <c r="S56" i="3" s="1"/>
  <c r="G52" i="3"/>
  <c r="S52" i="3" s="1"/>
  <c r="G43" i="8" l="1"/>
  <c r="S43" i="8" s="1"/>
  <c r="G25" i="3"/>
  <c r="S25" i="3" s="1"/>
  <c r="G26" i="3"/>
  <c r="S26" i="3" s="1"/>
  <c r="G27" i="3"/>
  <c r="S27" i="3" s="1"/>
  <c r="G28" i="3"/>
  <c r="S28" i="3" s="1"/>
  <c r="G37" i="3"/>
  <c r="S37" i="3" s="1"/>
  <c r="G24" i="3"/>
  <c r="S24" i="3" s="1"/>
  <c r="G23" i="3"/>
  <c r="S23" i="3" s="1"/>
  <c r="G22" i="3"/>
  <c r="S22" i="3" s="1"/>
  <c r="G17" i="3"/>
  <c r="S17" i="3" s="1"/>
  <c r="G17" i="8"/>
  <c r="S17" i="8" s="1"/>
  <c r="G17" i="1"/>
  <c r="S17" i="1" s="1"/>
  <c r="G16" i="3" l="1"/>
  <c r="S16" i="3" s="1"/>
  <c r="G56" i="8" l="1"/>
  <c r="S56" i="8" s="1"/>
  <c r="G45" i="8"/>
  <c r="S45" i="8" s="1"/>
  <c r="G44" i="8"/>
  <c r="S44" i="8" s="1"/>
  <c r="Q33" i="8" l="1"/>
  <c r="P33" i="8"/>
  <c r="O33" i="8"/>
  <c r="N33" i="8"/>
  <c r="M33" i="8"/>
  <c r="L33" i="8"/>
  <c r="K33" i="8"/>
  <c r="J33" i="8"/>
  <c r="G33" i="8"/>
  <c r="S33" i="8" s="1"/>
  <c r="G24" i="8"/>
  <c r="S24" i="8" s="1"/>
  <c r="G23" i="8"/>
  <c r="S23" i="8" s="1"/>
  <c r="G22" i="8"/>
  <c r="S22" i="8" s="1"/>
  <c r="G16" i="8" l="1"/>
  <c r="S16" i="8" s="1"/>
  <c r="G24" i="1" l="1"/>
  <c r="S24" i="1" s="1"/>
  <c r="G16" i="1" l="1"/>
  <c r="S16" i="1" s="1"/>
  <c r="G56" i="1" l="1"/>
  <c r="S56" i="1" s="1"/>
  <c r="G33" i="1"/>
  <c r="S33" i="1" s="1"/>
  <c r="G44" i="1"/>
  <c r="S44" i="1" s="1"/>
  <c r="G29" i="1"/>
  <c r="S29" i="1" s="1"/>
  <c r="G51" i="1" l="1"/>
  <c r="S51" i="1" s="1"/>
  <c r="G52" i="1"/>
  <c r="S52" i="1" s="1"/>
  <c r="G22" i="1"/>
  <c r="S22" i="1" s="1"/>
  <c r="G46" i="1"/>
  <c r="S46" i="1" s="1"/>
  <c r="Q40" i="1"/>
  <c r="Q39" i="1" s="1"/>
  <c r="P40" i="1"/>
  <c r="P39" i="1" s="1"/>
  <c r="O40" i="1"/>
  <c r="O39" i="1" s="1"/>
  <c r="N40" i="1"/>
  <c r="N39" i="1" s="1"/>
  <c r="M40" i="1"/>
  <c r="M39" i="1" s="1"/>
  <c r="L40" i="1"/>
  <c r="L39" i="1" s="1"/>
  <c r="K40" i="1"/>
  <c r="K39" i="1" s="1"/>
  <c r="J40" i="1"/>
  <c r="J39" i="1" s="1"/>
  <c r="I40" i="1"/>
  <c r="I39" i="1" s="1"/>
  <c r="G37" i="1"/>
  <c r="S37" i="1" s="1"/>
  <c r="Q33" i="1"/>
  <c r="P33" i="1"/>
  <c r="O33" i="1"/>
  <c r="N33" i="1"/>
  <c r="M33" i="1"/>
  <c r="L33" i="1"/>
  <c r="K33" i="1"/>
  <c r="J33" i="1"/>
  <c r="G59" i="8" l="1"/>
  <c r="S59" i="8" s="1"/>
  <c r="G54" i="8"/>
  <c r="S54" i="8" s="1"/>
  <c r="G52" i="8"/>
  <c r="S52" i="8" s="1"/>
  <c r="G51" i="8"/>
  <c r="S51" i="8" s="1"/>
  <c r="G50" i="8"/>
  <c r="S50" i="8" s="1"/>
  <c r="I48" i="8"/>
  <c r="I46" i="8" s="1"/>
  <c r="G46" i="8"/>
  <c r="S46" i="8" s="1"/>
  <c r="G37" i="8"/>
  <c r="S37" i="8" s="1"/>
  <c r="I35" i="8"/>
  <c r="I33" i="8" s="1"/>
  <c r="J31" i="8"/>
  <c r="J29" i="8" s="1"/>
  <c r="I31" i="8"/>
  <c r="I29" i="8" s="1"/>
  <c r="Q29" i="8"/>
  <c r="P29" i="8"/>
  <c r="O29" i="8"/>
  <c r="N29" i="8"/>
  <c r="M29" i="8"/>
  <c r="L29" i="8"/>
  <c r="K29" i="8"/>
  <c r="G29" i="8"/>
  <c r="S29" i="8" s="1"/>
  <c r="Q26" i="8"/>
  <c r="Q24" i="8" s="1"/>
  <c r="I26" i="8"/>
  <c r="I24" i="8" s="1"/>
  <c r="P24" i="8"/>
  <c r="O24" i="8"/>
  <c r="N24" i="8"/>
  <c r="M24" i="8"/>
  <c r="L24" i="8"/>
  <c r="K24" i="8"/>
  <c r="J24" i="8"/>
  <c r="Q20" i="8"/>
  <c r="Q18" i="8" s="1"/>
  <c r="P20" i="8"/>
  <c r="P18" i="8" s="1"/>
  <c r="O20" i="8"/>
  <c r="O18" i="8" s="1"/>
  <c r="N20" i="8"/>
  <c r="N18" i="8" s="1"/>
  <c r="M20" i="8"/>
  <c r="M18" i="8" s="1"/>
  <c r="L20" i="8"/>
  <c r="L18" i="8" s="1"/>
  <c r="K20" i="8"/>
  <c r="K18" i="8" s="1"/>
  <c r="J20" i="8"/>
  <c r="J18" i="8" s="1"/>
  <c r="I20" i="8"/>
  <c r="I18" i="8" s="1"/>
  <c r="Q14" i="8"/>
  <c r="Q12" i="8" s="1"/>
  <c r="P14" i="8"/>
  <c r="O14" i="8"/>
  <c r="O12" i="8" s="1"/>
  <c r="N14" i="8"/>
  <c r="N12" i="8" s="1"/>
  <c r="M14" i="8"/>
  <c r="M12" i="8" s="1"/>
  <c r="L14" i="8"/>
  <c r="L12" i="8" s="1"/>
  <c r="K14" i="8"/>
  <c r="K12" i="8" s="1"/>
  <c r="J14" i="8"/>
  <c r="J12" i="8" s="1"/>
  <c r="I14" i="8"/>
  <c r="I12" i="8" s="1"/>
  <c r="P12" i="8"/>
  <c r="Q10" i="8"/>
  <c r="P10" i="8"/>
  <c r="O10" i="8"/>
  <c r="N10" i="8"/>
  <c r="N9" i="8" s="1"/>
  <c r="M10" i="8"/>
  <c r="L10" i="8"/>
  <c r="K10" i="8"/>
  <c r="J10" i="8"/>
  <c r="I10" i="8"/>
  <c r="N8" i="8"/>
  <c r="K9" i="8" l="1"/>
  <c r="K8" i="8" s="1"/>
  <c r="O9" i="8"/>
  <c r="O8" i="8" s="1"/>
  <c r="L9" i="8"/>
  <c r="L8" i="8" s="1"/>
  <c r="P9" i="8"/>
  <c r="P8" i="8" s="1"/>
  <c r="I9" i="8"/>
  <c r="I8" i="8" s="1"/>
  <c r="M9" i="8"/>
  <c r="M8" i="8" s="1"/>
  <c r="Q9" i="8"/>
  <c r="Q8" i="8" s="1"/>
  <c r="J9" i="8"/>
  <c r="J8" i="8" s="1"/>
  <c r="S8" i="8"/>
  <c r="S64" i="8" l="1"/>
  <c r="F28" i="19" s="1"/>
  <c r="S70" i="8" l="1"/>
  <c r="S65" i="8"/>
  <c r="S66" i="8" s="1"/>
  <c r="S67" i="8" l="1"/>
  <c r="G28" i="19" s="1"/>
  <c r="S61" i="7"/>
  <c r="S60" i="7"/>
  <c r="G59" i="7"/>
  <c r="S59" i="7" s="1"/>
  <c r="I48" i="7"/>
  <c r="G38" i="7"/>
  <c r="S38" i="7" s="1"/>
  <c r="I35" i="7"/>
  <c r="I33" i="7" s="1"/>
  <c r="J31" i="7"/>
  <c r="J29" i="7" s="1"/>
  <c r="I31" i="7"/>
  <c r="I29" i="7" s="1"/>
  <c r="Q26" i="7"/>
  <c r="Q24" i="7" s="1"/>
  <c r="I26" i="7"/>
  <c r="I24" i="7" s="1"/>
  <c r="Q20" i="7"/>
  <c r="Q18" i="7" s="1"/>
  <c r="P20" i="7"/>
  <c r="P18" i="7" s="1"/>
  <c r="O20" i="7"/>
  <c r="O18" i="7" s="1"/>
  <c r="N20" i="7"/>
  <c r="N18" i="7" s="1"/>
  <c r="M20" i="7"/>
  <c r="M18" i="7" s="1"/>
  <c r="L20" i="7"/>
  <c r="L18" i="7" s="1"/>
  <c r="K20" i="7"/>
  <c r="K18" i="7" s="1"/>
  <c r="J20" i="7"/>
  <c r="J18" i="7" s="1"/>
  <c r="I20" i="7"/>
  <c r="I18" i="7" s="1"/>
  <c r="Q14" i="7"/>
  <c r="Q12" i="7" s="1"/>
  <c r="P14" i="7"/>
  <c r="P12" i="7" s="1"/>
  <c r="O14" i="7"/>
  <c r="O12" i="7" s="1"/>
  <c r="N14" i="7"/>
  <c r="N12" i="7" s="1"/>
  <c r="M14" i="7"/>
  <c r="M12" i="7" s="1"/>
  <c r="L14" i="7"/>
  <c r="L12" i="7" s="1"/>
  <c r="K14" i="7"/>
  <c r="K12" i="7" s="1"/>
  <c r="J14" i="7"/>
  <c r="J12" i="7" s="1"/>
  <c r="I14" i="7"/>
  <c r="I12" i="7" s="1"/>
  <c r="Q10" i="7"/>
  <c r="P10" i="7"/>
  <c r="O10" i="7"/>
  <c r="O9" i="7" s="1"/>
  <c r="N10" i="7"/>
  <c r="M10" i="7"/>
  <c r="L10" i="7"/>
  <c r="K10" i="7"/>
  <c r="K9" i="7" s="1"/>
  <c r="J10" i="7"/>
  <c r="I10" i="7"/>
  <c r="S8" i="7"/>
  <c r="G54" i="6"/>
  <c r="S54" i="6" s="1"/>
  <c r="Q26" i="6"/>
  <c r="Q24" i="6" s="1"/>
  <c r="I26" i="6"/>
  <c r="I24" i="6" s="1"/>
  <c r="G15" i="6"/>
  <c r="S15" i="6" s="1"/>
  <c r="Q14" i="6"/>
  <c r="P14" i="6"/>
  <c r="P12" i="6" s="1"/>
  <c r="O14" i="6"/>
  <c r="O12" i="6" s="1"/>
  <c r="N14" i="6"/>
  <c r="N12" i="6" s="1"/>
  <c r="M14" i="6"/>
  <c r="M12" i="6" s="1"/>
  <c r="L14" i="6"/>
  <c r="L12" i="6" s="1"/>
  <c r="K14" i="6"/>
  <c r="K12" i="6" s="1"/>
  <c r="J14" i="6"/>
  <c r="J12" i="6" s="1"/>
  <c r="I14" i="6"/>
  <c r="G14" i="6"/>
  <c r="S14" i="6" s="1"/>
  <c r="G13" i="6"/>
  <c r="S13" i="6" s="1"/>
  <c r="Q12" i="6"/>
  <c r="I12" i="6"/>
  <c r="Q10" i="6"/>
  <c r="Q9" i="6" s="1"/>
  <c r="P10" i="6"/>
  <c r="O10" i="6"/>
  <c r="N10" i="6"/>
  <c r="N9" i="6" s="1"/>
  <c r="M10" i="6"/>
  <c r="M9" i="6" s="1"/>
  <c r="M8" i="6" s="1"/>
  <c r="L10" i="6"/>
  <c r="K10" i="6"/>
  <c r="K9" i="6" s="1"/>
  <c r="J10" i="6"/>
  <c r="I10" i="6"/>
  <c r="I9" i="6" s="1"/>
  <c r="I8" i="6" s="1"/>
  <c r="G59" i="5"/>
  <c r="S59" i="5" s="1"/>
  <c r="G54" i="5"/>
  <c r="S54" i="5" s="1"/>
  <c r="Q14" i="5"/>
  <c r="Q12" i="5" s="1"/>
  <c r="P14" i="5"/>
  <c r="P12" i="5" s="1"/>
  <c r="O14" i="5"/>
  <c r="O12" i="5" s="1"/>
  <c r="N14" i="5"/>
  <c r="N12" i="5" s="1"/>
  <c r="M14" i="5"/>
  <c r="M12" i="5" s="1"/>
  <c r="L14" i="5"/>
  <c r="L12" i="5" s="1"/>
  <c r="K14" i="5"/>
  <c r="K12" i="5" s="1"/>
  <c r="J14" i="5"/>
  <c r="J12" i="5" s="1"/>
  <c r="I14" i="5"/>
  <c r="I12" i="5" s="1"/>
  <c r="Q10" i="5"/>
  <c r="Q9" i="5" s="1"/>
  <c r="P10" i="5"/>
  <c r="O10" i="5"/>
  <c r="N10" i="5"/>
  <c r="M10" i="5"/>
  <c r="M9" i="5" s="1"/>
  <c r="L10" i="5"/>
  <c r="K10" i="5"/>
  <c r="J10" i="5"/>
  <c r="I10" i="5"/>
  <c r="I9" i="5" s="1"/>
  <c r="S8" i="5"/>
  <c r="V62" i="4"/>
  <c r="W62" i="4" s="1"/>
  <c r="G59" i="4"/>
  <c r="S59" i="4" s="1"/>
  <c r="G54" i="4"/>
  <c r="S54" i="4" s="1"/>
  <c r="G50" i="4"/>
  <c r="S50" i="4" s="1"/>
  <c r="I48" i="4"/>
  <c r="G38" i="4"/>
  <c r="S38" i="4" s="1"/>
  <c r="I35" i="4"/>
  <c r="I33" i="4" s="1"/>
  <c r="Q33" i="4"/>
  <c r="P33" i="4"/>
  <c r="O33" i="4"/>
  <c r="N33" i="4"/>
  <c r="M33" i="4"/>
  <c r="L33" i="4"/>
  <c r="K33" i="4"/>
  <c r="J33" i="4"/>
  <c r="G33" i="4"/>
  <c r="S33" i="4" s="1"/>
  <c r="J31" i="4"/>
  <c r="J29" i="4" s="1"/>
  <c r="I31" i="4"/>
  <c r="I29" i="4" s="1"/>
  <c r="Q26" i="4"/>
  <c r="Q24" i="4" s="1"/>
  <c r="I26" i="4"/>
  <c r="I24" i="4" s="1"/>
  <c r="P24" i="4"/>
  <c r="O24" i="4"/>
  <c r="N24" i="4"/>
  <c r="M24" i="4"/>
  <c r="L24" i="4"/>
  <c r="K24" i="4"/>
  <c r="J24" i="4"/>
  <c r="Q20" i="4"/>
  <c r="Q18" i="4" s="1"/>
  <c r="P20" i="4"/>
  <c r="P18" i="4" s="1"/>
  <c r="O20" i="4"/>
  <c r="O18" i="4" s="1"/>
  <c r="N20" i="4"/>
  <c r="M20" i="4"/>
  <c r="M18" i="4" s="1"/>
  <c r="L20" i="4"/>
  <c r="L18" i="4" s="1"/>
  <c r="K20" i="4"/>
  <c r="K18" i="4" s="1"/>
  <c r="J20" i="4"/>
  <c r="I20" i="4"/>
  <c r="I18" i="4" s="1"/>
  <c r="N18" i="4"/>
  <c r="J18" i="4"/>
  <c r="Q14" i="4"/>
  <c r="Q12" i="4" s="1"/>
  <c r="P14" i="4"/>
  <c r="P12" i="4" s="1"/>
  <c r="O14" i="4"/>
  <c r="O12" i="4" s="1"/>
  <c r="N14" i="4"/>
  <c r="N12" i="4" s="1"/>
  <c r="M14" i="4"/>
  <c r="M12" i="4" s="1"/>
  <c r="L14" i="4"/>
  <c r="L12" i="4" s="1"/>
  <c r="K14" i="4"/>
  <c r="K12" i="4" s="1"/>
  <c r="J14" i="4"/>
  <c r="J12" i="4" s="1"/>
  <c r="I14" i="4"/>
  <c r="I12" i="4" s="1"/>
  <c r="Q10" i="4"/>
  <c r="P10" i="4"/>
  <c r="P9" i="4" s="1"/>
  <c r="O10" i="4"/>
  <c r="N10" i="4"/>
  <c r="N9" i="4" s="1"/>
  <c r="M10" i="4"/>
  <c r="L10" i="4"/>
  <c r="L9" i="4" s="1"/>
  <c r="K10" i="4"/>
  <c r="K9" i="4" s="1"/>
  <c r="J10" i="4"/>
  <c r="J9" i="4" s="1"/>
  <c r="I10" i="4"/>
  <c r="S8" i="4"/>
  <c r="G59" i="3"/>
  <c r="S59" i="3" s="1"/>
  <c r="G54" i="3"/>
  <c r="S54" i="3" s="1"/>
  <c r="G51" i="3"/>
  <c r="S51" i="3" s="1"/>
  <c r="G50" i="3"/>
  <c r="S50" i="3" s="1"/>
  <c r="I48" i="3"/>
  <c r="I46" i="3" s="1"/>
  <c r="G46" i="3"/>
  <c r="S46" i="3" s="1"/>
  <c r="G45" i="3"/>
  <c r="S45" i="3" s="1"/>
  <c r="G44" i="3"/>
  <c r="S44" i="3" s="1"/>
  <c r="G38" i="3"/>
  <c r="S38" i="3" s="1"/>
  <c r="I35" i="3"/>
  <c r="I33" i="3" s="1"/>
  <c r="Q33" i="3"/>
  <c r="P33" i="3"/>
  <c r="O33" i="3"/>
  <c r="N33" i="3"/>
  <c r="M33" i="3"/>
  <c r="L33" i="3"/>
  <c r="K33" i="3"/>
  <c r="J33" i="3"/>
  <c r="G33" i="3"/>
  <c r="S33" i="3" s="1"/>
  <c r="J31" i="3"/>
  <c r="J29" i="3" s="1"/>
  <c r="I31" i="3"/>
  <c r="I29" i="3" s="1"/>
  <c r="Q29" i="3"/>
  <c r="P29" i="3"/>
  <c r="O29" i="3"/>
  <c r="N29" i="3"/>
  <c r="M29" i="3"/>
  <c r="L29" i="3"/>
  <c r="K29" i="3"/>
  <c r="G29" i="3"/>
  <c r="S29" i="3" s="1"/>
  <c r="Q26" i="3"/>
  <c r="Q24" i="3" s="1"/>
  <c r="I26" i="3"/>
  <c r="I24" i="3" s="1"/>
  <c r="P24" i="3"/>
  <c r="O24" i="3"/>
  <c r="N24" i="3"/>
  <c r="M24" i="3"/>
  <c r="L24" i="3"/>
  <c r="K24" i="3"/>
  <c r="J24" i="3"/>
  <c r="Q20" i="3"/>
  <c r="Q18" i="3" s="1"/>
  <c r="P20" i="3"/>
  <c r="P18" i="3" s="1"/>
  <c r="O20" i="3"/>
  <c r="O18" i="3" s="1"/>
  <c r="N20" i="3"/>
  <c r="N18" i="3" s="1"/>
  <c r="M20" i="3"/>
  <c r="M18" i="3" s="1"/>
  <c r="L20" i="3"/>
  <c r="L18" i="3" s="1"/>
  <c r="K20" i="3"/>
  <c r="K18" i="3" s="1"/>
  <c r="J20" i="3"/>
  <c r="J18" i="3" s="1"/>
  <c r="I20" i="3"/>
  <c r="I18" i="3" s="1"/>
  <c r="G18" i="3"/>
  <c r="S18" i="3" s="1"/>
  <c r="Q14" i="3"/>
  <c r="Q12" i="3" s="1"/>
  <c r="P14" i="3"/>
  <c r="P12" i="3" s="1"/>
  <c r="O14" i="3"/>
  <c r="O12" i="3" s="1"/>
  <c r="N14" i="3"/>
  <c r="N12" i="3" s="1"/>
  <c r="M14" i="3"/>
  <c r="M12" i="3" s="1"/>
  <c r="L14" i="3"/>
  <c r="L12" i="3" s="1"/>
  <c r="K14" i="3"/>
  <c r="K12" i="3" s="1"/>
  <c r="J14" i="3"/>
  <c r="J12" i="3" s="1"/>
  <c r="I14" i="3"/>
  <c r="I12" i="3" s="1"/>
  <c r="Q10" i="3"/>
  <c r="P10" i="3"/>
  <c r="O10" i="3"/>
  <c r="N10" i="3"/>
  <c r="M10" i="3"/>
  <c r="L10" i="3"/>
  <c r="K10" i="3"/>
  <c r="J10" i="3"/>
  <c r="I10" i="3"/>
  <c r="G59" i="1"/>
  <c r="S59" i="1" s="1"/>
  <c r="G54" i="1"/>
  <c r="S54" i="1" s="1"/>
  <c r="G50" i="1"/>
  <c r="S50" i="1" s="1"/>
  <c r="I48" i="1"/>
  <c r="I46" i="1" s="1"/>
  <c r="I35" i="1"/>
  <c r="I33" i="1" s="1"/>
  <c r="J31" i="1"/>
  <c r="J29" i="1" s="1"/>
  <c r="I31" i="1"/>
  <c r="I29" i="1" s="1"/>
  <c r="Q29" i="1"/>
  <c r="P29" i="1"/>
  <c r="O29" i="1"/>
  <c r="N29" i="1"/>
  <c r="M29" i="1"/>
  <c r="L29" i="1"/>
  <c r="K29" i="1"/>
  <c r="Q26" i="1"/>
  <c r="Q24" i="1" s="1"/>
  <c r="I26" i="1"/>
  <c r="I24" i="1" s="1"/>
  <c r="P24" i="1"/>
  <c r="O24" i="1"/>
  <c r="N24" i="1"/>
  <c r="M24" i="1"/>
  <c r="L24" i="1"/>
  <c r="K24" i="1"/>
  <c r="J24" i="1"/>
  <c r="Q20" i="1"/>
  <c r="Q18" i="1" s="1"/>
  <c r="P20" i="1"/>
  <c r="P18" i="1" s="1"/>
  <c r="O20" i="1"/>
  <c r="O18" i="1" s="1"/>
  <c r="N20" i="1"/>
  <c r="N18" i="1" s="1"/>
  <c r="M20" i="1"/>
  <c r="M18" i="1" s="1"/>
  <c r="L20" i="1"/>
  <c r="L18" i="1" s="1"/>
  <c r="K20" i="1"/>
  <c r="K18" i="1" s="1"/>
  <c r="J20" i="1"/>
  <c r="J18" i="1" s="1"/>
  <c r="I20" i="1"/>
  <c r="I18" i="1" s="1"/>
  <c r="Q14" i="1"/>
  <c r="Q12" i="1" s="1"/>
  <c r="P14" i="1"/>
  <c r="P12" i="1" s="1"/>
  <c r="O14" i="1"/>
  <c r="O12" i="1" s="1"/>
  <c r="N14" i="1"/>
  <c r="N12" i="1" s="1"/>
  <c r="M14" i="1"/>
  <c r="M12" i="1" s="1"/>
  <c r="L14" i="1"/>
  <c r="L12" i="1" s="1"/>
  <c r="K14" i="1"/>
  <c r="K12" i="1" s="1"/>
  <c r="J14" i="1"/>
  <c r="J12" i="1" s="1"/>
  <c r="I14" i="1"/>
  <c r="I12" i="1" s="1"/>
  <c r="Q10" i="1"/>
  <c r="P10" i="1"/>
  <c r="O10" i="1"/>
  <c r="N10" i="1"/>
  <c r="M10" i="1"/>
  <c r="L10" i="1"/>
  <c r="K10" i="1"/>
  <c r="J10" i="1"/>
  <c r="I10" i="1"/>
  <c r="L8" i="4" l="1"/>
  <c r="N8" i="4"/>
  <c r="K8" i="7"/>
  <c r="K8" i="1"/>
  <c r="P8" i="4"/>
  <c r="O8" i="7"/>
  <c r="P9" i="3"/>
  <c r="P8" i="3" s="1"/>
  <c r="K8" i="6"/>
  <c r="N8" i="1"/>
  <c r="N8" i="6"/>
  <c r="Q8" i="6"/>
  <c r="Q8" i="5"/>
  <c r="K9" i="1"/>
  <c r="J9" i="1"/>
  <c r="J8" i="1" s="1"/>
  <c r="N9" i="1"/>
  <c r="K9" i="3"/>
  <c r="K8" i="3" s="1"/>
  <c r="O9" i="3"/>
  <c r="O8" i="3" s="1"/>
  <c r="I8" i="5"/>
  <c r="J9" i="5"/>
  <c r="J8" i="5" s="1"/>
  <c r="N9" i="5"/>
  <c r="N8" i="5" s="1"/>
  <c r="J8" i="6"/>
  <c r="J9" i="6"/>
  <c r="I9" i="7"/>
  <c r="I8" i="7" s="1"/>
  <c r="M9" i="7"/>
  <c r="M8" i="7" s="1"/>
  <c r="Q9" i="7"/>
  <c r="Q8" i="7" s="1"/>
  <c r="L9" i="3"/>
  <c r="L8" i="3" s="1"/>
  <c r="O9" i="4"/>
  <c r="O8" i="4" s="1"/>
  <c r="M8" i="5"/>
  <c r="K9" i="5"/>
  <c r="K8" i="5" s="1"/>
  <c r="O9" i="5"/>
  <c r="O8" i="5" s="1"/>
  <c r="O9" i="6"/>
  <c r="O8" i="6" s="1"/>
  <c r="J9" i="7"/>
  <c r="J8" i="7" s="1"/>
  <c r="N9" i="7"/>
  <c r="N8" i="7" s="1"/>
  <c r="O9" i="1"/>
  <c r="O8" i="1" s="1"/>
  <c r="L9" i="1"/>
  <c r="L8" i="1" s="1"/>
  <c r="P9" i="1"/>
  <c r="P8" i="1" s="1"/>
  <c r="I9" i="3"/>
  <c r="I8" i="3" s="1"/>
  <c r="M9" i="3"/>
  <c r="M8" i="3" s="1"/>
  <c r="Q9" i="3"/>
  <c r="Q8" i="3" s="1"/>
  <c r="J8" i="4"/>
  <c r="L9" i="5"/>
  <c r="L8" i="5" s="1"/>
  <c r="P9" i="5"/>
  <c r="P8" i="5" s="1"/>
  <c r="L9" i="6"/>
  <c r="L8" i="6" s="1"/>
  <c r="P9" i="6"/>
  <c r="P8" i="6" s="1"/>
  <c r="I9" i="1"/>
  <c r="I8" i="1" s="1"/>
  <c r="M9" i="1"/>
  <c r="M8" i="1" s="1"/>
  <c r="Q9" i="1"/>
  <c r="Q8" i="1" s="1"/>
  <c r="J9" i="3"/>
  <c r="J8" i="3" s="1"/>
  <c r="N9" i="3"/>
  <c r="N8" i="3" s="1"/>
  <c r="K8" i="4"/>
  <c r="I8" i="4"/>
  <c r="I9" i="4"/>
  <c r="M9" i="4"/>
  <c r="M8" i="4" s="1"/>
  <c r="Q9" i="4"/>
  <c r="Q8" i="4" s="1"/>
  <c r="L8" i="7"/>
  <c r="L9" i="7"/>
  <c r="P9" i="7"/>
  <c r="P8" i="7" s="1"/>
  <c r="S68" i="8"/>
  <c r="H28" i="19" s="1"/>
  <c r="S64" i="5"/>
  <c r="F34" i="19" s="1"/>
  <c r="S64" i="7"/>
  <c r="S64" i="1"/>
  <c r="F25" i="19" s="1"/>
  <c r="S64" i="4"/>
  <c r="S64" i="3"/>
  <c r="F31" i="19" s="1"/>
  <c r="R8" i="6" l="1"/>
  <c r="S8" i="6" s="1"/>
  <c r="S64" i="6" s="1"/>
  <c r="F37" i="19" s="1"/>
  <c r="S70" i="3"/>
  <c r="S69" i="8"/>
  <c r="S65" i="3"/>
  <c r="S66" i="3" s="1"/>
  <c r="S67" i="3" s="1"/>
  <c r="G31" i="19" s="1"/>
  <c r="S70" i="7"/>
  <c r="S65" i="7"/>
  <c r="S66" i="7" s="1"/>
  <c r="S67" i="7" s="1"/>
  <c r="S70" i="4"/>
  <c r="S65" i="4"/>
  <c r="S66" i="4" s="1"/>
  <c r="S67" i="4" s="1"/>
  <c r="S70" i="5"/>
  <c r="S65" i="5"/>
  <c r="S65" i="6" l="1"/>
  <c r="S66" i="6" s="1"/>
  <c r="S67" i="6" s="1"/>
  <c r="G37" i="19" s="1"/>
  <c r="S70" i="6"/>
  <c r="S68" i="3"/>
  <c r="H31" i="19" s="1"/>
  <c r="S68" i="7"/>
  <c r="S68" i="4"/>
  <c r="S66" i="5"/>
  <c r="S67" i="5" s="1"/>
  <c r="G34" i="19" s="1"/>
  <c r="S70" i="1"/>
  <c r="S68" i="6" l="1"/>
  <c r="H37" i="19" s="1"/>
  <c r="S69" i="6"/>
  <c r="S68" i="5"/>
  <c r="H34" i="19" s="1"/>
  <c r="S69" i="7"/>
  <c r="S69" i="3"/>
  <c r="S69" i="4"/>
  <c r="S65" i="1"/>
  <c r="S66" i="1" s="1"/>
  <c r="S69" i="5" l="1"/>
  <c r="S67" i="1"/>
  <c r="G25" i="19" s="1"/>
  <c r="S68" i="1" l="1"/>
  <c r="H25" i="19" s="1"/>
  <c r="S69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이승민</author>
  </authors>
  <commentList>
    <comment ref="X73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임의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지정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이승민</author>
  </authors>
  <commentList>
    <comment ref="X73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임의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지정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김강모</author>
  </authors>
  <commentList>
    <comment ref="AE79" authorId="0" shapeId="0" xr:uid="{00000000-0006-0000-0800-000001000000}">
      <text>
        <r>
          <rPr>
            <b/>
            <sz val="9"/>
            <color indexed="81"/>
            <rFont val="돋움"/>
            <family val="3"/>
            <charset val="129"/>
          </rPr>
          <t>단조생산비용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납기</t>
        </r>
        <r>
          <rPr>
            <b/>
            <sz val="9"/>
            <color indexed="81"/>
            <rFont val="Tahoma"/>
            <family val="2"/>
          </rPr>
          <t xml:space="preserve"> 5</t>
        </r>
        <r>
          <rPr>
            <b/>
            <sz val="9"/>
            <color indexed="81"/>
            <rFont val="돋움"/>
            <family val="3"/>
            <charset val="129"/>
          </rPr>
          <t>주</t>
        </r>
        <r>
          <rPr>
            <b/>
            <sz val="9"/>
            <color indexed="81"/>
            <rFont val="Tahoma"/>
            <family val="2"/>
          </rPr>
          <t>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김강모</author>
  </authors>
  <commentList>
    <comment ref="AE79" authorId="0" shapeId="0" xr:uid="{00000000-0006-0000-0A00-000001000000}">
      <text>
        <r>
          <rPr>
            <b/>
            <sz val="9"/>
            <color indexed="81"/>
            <rFont val="돋움"/>
            <family val="3"/>
            <charset val="129"/>
          </rPr>
          <t>단조생산비용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납기</t>
        </r>
        <r>
          <rPr>
            <b/>
            <sz val="9"/>
            <color indexed="81"/>
            <rFont val="Tahoma"/>
            <family val="2"/>
          </rPr>
          <t xml:space="preserve"> 5</t>
        </r>
        <r>
          <rPr>
            <b/>
            <sz val="9"/>
            <color indexed="81"/>
            <rFont val="돋움"/>
            <family val="3"/>
            <charset val="129"/>
          </rPr>
          <t>주</t>
        </r>
        <r>
          <rPr>
            <b/>
            <sz val="9"/>
            <color indexed="81"/>
            <rFont val="Tahoma"/>
            <family val="2"/>
          </rPr>
          <t>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김강모</author>
  </authors>
  <commentList>
    <comment ref="AE79" authorId="0" shapeId="0" xr:uid="{00000000-0006-0000-0B00-000001000000}">
      <text>
        <r>
          <rPr>
            <b/>
            <sz val="9"/>
            <color indexed="81"/>
            <rFont val="돋움"/>
            <family val="3"/>
            <charset val="129"/>
          </rPr>
          <t>단조생산비용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납기</t>
        </r>
        <r>
          <rPr>
            <b/>
            <sz val="9"/>
            <color indexed="81"/>
            <rFont val="Tahoma"/>
            <family val="2"/>
          </rPr>
          <t xml:space="preserve"> 5</t>
        </r>
        <r>
          <rPr>
            <b/>
            <sz val="9"/>
            <color indexed="81"/>
            <rFont val="돋움"/>
            <family val="3"/>
            <charset val="129"/>
          </rPr>
          <t>주</t>
        </r>
        <r>
          <rPr>
            <b/>
            <sz val="9"/>
            <color indexed="81"/>
            <rFont val="Tahoma"/>
            <family val="2"/>
          </rPr>
          <t>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이승민</author>
    <author>김강모</author>
  </authors>
  <commentList>
    <comment ref="E8" authorId="0" shapeId="0" xr:uid="{00000000-0006-0000-0C00-000001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임의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지정</t>
        </r>
      </text>
    </comment>
    <comment ref="AE79" authorId="1" shapeId="0" xr:uid="{00000000-0006-0000-0C00-000002000000}">
      <text>
        <r>
          <rPr>
            <b/>
            <sz val="9"/>
            <color indexed="81"/>
            <rFont val="돋움"/>
            <family val="3"/>
            <charset val="129"/>
          </rPr>
          <t>단조생산비용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납기</t>
        </r>
        <r>
          <rPr>
            <b/>
            <sz val="9"/>
            <color indexed="81"/>
            <rFont val="Tahoma"/>
            <family val="2"/>
          </rPr>
          <t xml:space="preserve"> 5</t>
        </r>
        <r>
          <rPr>
            <b/>
            <sz val="9"/>
            <color indexed="81"/>
            <rFont val="돋움"/>
            <family val="3"/>
            <charset val="129"/>
          </rPr>
          <t>주</t>
        </r>
        <r>
          <rPr>
            <b/>
            <sz val="9"/>
            <color indexed="81"/>
            <rFont val="Tahoma"/>
            <family val="2"/>
          </rPr>
          <t>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김강모</author>
  </authors>
  <commentList>
    <comment ref="AE79" authorId="0" shapeId="0" xr:uid="{00000000-0006-0000-0D00-000001000000}">
      <text>
        <r>
          <rPr>
            <b/>
            <sz val="9"/>
            <color indexed="81"/>
            <rFont val="돋움"/>
            <family val="3"/>
            <charset val="129"/>
          </rPr>
          <t>단조생산비용(납기 5주)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이승민</author>
    <author>김강모</author>
  </authors>
  <commentList>
    <comment ref="E9" authorId="0" shapeId="0" xr:uid="{00000000-0006-0000-0E00-000001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750A </t>
        </r>
        <r>
          <rPr>
            <sz val="9"/>
            <color indexed="81"/>
            <rFont val="돋움"/>
            <family val="3"/>
            <charset val="129"/>
          </rPr>
          <t>보다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작음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확인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필요</t>
        </r>
      </text>
    </comment>
    <comment ref="AE79" authorId="1" shapeId="0" xr:uid="{00000000-0006-0000-0E00-000002000000}">
      <text>
        <r>
          <rPr>
            <b/>
            <sz val="9"/>
            <color indexed="81"/>
            <rFont val="돋움"/>
            <family val="3"/>
            <charset val="129"/>
          </rPr>
          <t>단조생산비용(납기 5주)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김강모</author>
  </authors>
  <commentList>
    <comment ref="AE79" authorId="0" shapeId="0" xr:uid="{00000000-0006-0000-0F00-000001000000}">
      <text>
        <r>
          <rPr>
            <b/>
            <sz val="9"/>
            <color indexed="81"/>
            <rFont val="돋움"/>
            <family val="3"/>
            <charset val="129"/>
          </rPr>
          <t>단조생산비용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납기</t>
        </r>
        <r>
          <rPr>
            <b/>
            <sz val="9"/>
            <color indexed="81"/>
            <rFont val="Tahoma"/>
            <family val="2"/>
          </rPr>
          <t xml:space="preserve"> 5</t>
        </r>
        <r>
          <rPr>
            <b/>
            <sz val="9"/>
            <color indexed="81"/>
            <rFont val="돋움"/>
            <family val="3"/>
            <charset val="129"/>
          </rPr>
          <t>주</t>
        </r>
        <r>
          <rPr>
            <b/>
            <sz val="9"/>
            <color indexed="81"/>
            <rFont val="Tahoma"/>
            <family val="2"/>
          </rPr>
          <t>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이승민</author>
    <author>김강모</author>
  </authors>
  <commentList>
    <comment ref="E9" authorId="0" shapeId="0" xr:uid="{00000000-0006-0000-1000-000001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190604 </t>
        </r>
        <r>
          <rPr>
            <sz val="9"/>
            <color indexed="81"/>
            <rFont val="돋움"/>
            <family val="3"/>
            <charset val="129"/>
          </rPr>
          <t>확인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필요
</t>
        </r>
      </text>
    </comment>
    <comment ref="E12" authorId="0" shapeId="0" xr:uid="{00000000-0006-0000-1000-000002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190604 </t>
        </r>
        <r>
          <rPr>
            <sz val="9"/>
            <color indexed="81"/>
            <rFont val="돋움"/>
            <family val="3"/>
            <charset val="129"/>
          </rPr>
          <t>확인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필요
</t>
        </r>
      </text>
    </comment>
    <comment ref="X73" authorId="1" shapeId="0" xr:uid="{00000000-0006-0000-1000-000003000000}">
      <text>
        <r>
          <rPr>
            <b/>
            <sz val="9"/>
            <color indexed="81"/>
            <rFont val="Tahoma"/>
            <family val="2"/>
          </rPr>
          <t>BE180044 OJI PAPER 10K</t>
        </r>
      </text>
    </comment>
    <comment ref="AE79" authorId="1" shapeId="0" xr:uid="{00000000-0006-0000-1000-000004000000}">
      <text>
        <r>
          <rPr>
            <b/>
            <sz val="9"/>
            <color indexed="81"/>
            <rFont val="돋움"/>
            <family val="3"/>
            <charset val="129"/>
          </rPr>
          <t>단조생산비용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납기</t>
        </r>
        <r>
          <rPr>
            <b/>
            <sz val="9"/>
            <color indexed="81"/>
            <rFont val="Tahoma"/>
            <family val="2"/>
          </rPr>
          <t xml:space="preserve"> 5</t>
        </r>
        <r>
          <rPr>
            <b/>
            <sz val="9"/>
            <color indexed="81"/>
            <rFont val="돋움"/>
            <family val="3"/>
            <charset val="129"/>
          </rPr>
          <t>주</t>
        </r>
        <r>
          <rPr>
            <b/>
            <sz val="9"/>
            <color indexed="81"/>
            <rFont val="Tahoma"/>
            <family val="2"/>
          </rPr>
          <t>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이승민</author>
    <author>김강모</author>
  </authors>
  <commentList>
    <comment ref="E9" authorId="0" shapeId="0" xr:uid="{00000000-0006-0000-1100-000001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900A </t>
        </r>
        <r>
          <rPr>
            <sz val="9"/>
            <color indexed="81"/>
            <rFont val="돋움"/>
            <family val="3"/>
            <charset val="129"/>
          </rPr>
          <t>보다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나감</t>
        </r>
        <r>
          <rPr>
            <sz val="9"/>
            <color indexed="81"/>
            <rFont val="Tahoma"/>
            <family val="2"/>
          </rPr>
          <t>.</t>
        </r>
      </text>
    </comment>
    <comment ref="AE79" authorId="1" shapeId="0" xr:uid="{00000000-0006-0000-1100-000002000000}">
      <text>
        <r>
          <rPr>
            <b/>
            <sz val="9"/>
            <color indexed="81"/>
            <rFont val="돋움"/>
            <family val="3"/>
            <charset val="129"/>
          </rPr>
          <t>단조생산비용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납기</t>
        </r>
        <r>
          <rPr>
            <b/>
            <sz val="9"/>
            <color indexed="81"/>
            <rFont val="Tahoma"/>
            <family val="2"/>
          </rPr>
          <t xml:space="preserve"> 5</t>
        </r>
        <r>
          <rPr>
            <b/>
            <sz val="9"/>
            <color indexed="81"/>
            <rFont val="돋움"/>
            <family val="3"/>
            <charset val="129"/>
          </rPr>
          <t>주</t>
        </r>
        <r>
          <rPr>
            <b/>
            <sz val="9"/>
            <color indexed="81"/>
            <rFont val="Tahoma"/>
            <family val="2"/>
          </rPr>
          <t>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김강모</author>
  </authors>
  <commentList>
    <comment ref="AE79" authorId="0" shapeId="0" xr:uid="{00000000-0006-0000-1200-000001000000}">
      <text>
        <r>
          <rPr>
            <b/>
            <sz val="9"/>
            <color indexed="81"/>
            <rFont val="돋움"/>
            <family val="3"/>
            <charset val="129"/>
          </rPr>
          <t>단조생산비용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납기</t>
        </r>
        <r>
          <rPr>
            <b/>
            <sz val="9"/>
            <color indexed="81"/>
            <rFont val="Tahoma"/>
            <family val="2"/>
          </rPr>
          <t xml:space="preserve"> 5</t>
        </r>
        <r>
          <rPr>
            <b/>
            <sz val="9"/>
            <color indexed="81"/>
            <rFont val="돋움"/>
            <family val="3"/>
            <charset val="129"/>
          </rPr>
          <t>주</t>
        </r>
        <r>
          <rPr>
            <b/>
            <sz val="9"/>
            <color indexed="81"/>
            <rFont val="Tahoma"/>
            <family val="2"/>
          </rPr>
          <t>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김강모</author>
  </authors>
  <commentList>
    <comment ref="AE79" authorId="0" shapeId="0" xr:uid="{00000000-0006-0000-1300-000001000000}">
      <text>
        <r>
          <rPr>
            <b/>
            <sz val="9"/>
            <color indexed="81"/>
            <rFont val="돋움"/>
            <family val="3"/>
            <charset val="129"/>
          </rPr>
          <t>단조생산비용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납기</t>
        </r>
        <r>
          <rPr>
            <b/>
            <sz val="9"/>
            <color indexed="81"/>
            <rFont val="Tahoma"/>
            <family val="2"/>
          </rPr>
          <t xml:space="preserve"> 5</t>
        </r>
        <r>
          <rPr>
            <b/>
            <sz val="9"/>
            <color indexed="81"/>
            <rFont val="돋움"/>
            <family val="3"/>
            <charset val="129"/>
          </rPr>
          <t>주</t>
        </r>
        <r>
          <rPr>
            <b/>
            <sz val="9"/>
            <color indexed="81"/>
            <rFont val="Tahoma"/>
            <family val="2"/>
          </rPr>
          <t>)</t>
        </r>
      </text>
    </comment>
  </commentList>
</comments>
</file>

<file path=xl/sharedStrings.xml><?xml version="1.0" encoding="utf-8"?>
<sst xmlns="http://schemas.openxmlformats.org/spreadsheetml/2006/main" count="5561" uniqueCount="1532">
  <si>
    <t>단위 : 원</t>
    <phoneticPr fontId="3" type="noConversion"/>
  </si>
  <si>
    <t>SIZE</t>
    <phoneticPr fontId="3" type="noConversion"/>
  </si>
  <si>
    <t>DN 600</t>
    <phoneticPr fontId="3" type="noConversion"/>
  </si>
  <si>
    <t>CLASS</t>
    <phoneticPr fontId="3" type="noConversion"/>
  </si>
  <si>
    <t>TYPE</t>
    <phoneticPr fontId="3" type="noConversion"/>
  </si>
  <si>
    <t xml:space="preserve">TRIPLE  가공공정 </t>
    <phoneticPr fontId="3" type="noConversion"/>
  </si>
  <si>
    <t>F TO F</t>
    <phoneticPr fontId="3" type="noConversion"/>
  </si>
  <si>
    <t>API 609 CAT'- B
SHROT PATTERN</t>
    <phoneticPr fontId="3" type="noConversion"/>
  </si>
  <si>
    <t>REMARK</t>
    <phoneticPr fontId="3" type="noConversion"/>
  </si>
  <si>
    <t>NO.</t>
    <phoneticPr fontId="3" type="noConversion"/>
  </si>
  <si>
    <t>DESCRIPTION</t>
    <phoneticPr fontId="3" type="noConversion"/>
  </si>
  <si>
    <t>MATERIAL</t>
    <phoneticPr fontId="3" type="noConversion"/>
  </si>
  <si>
    <t xml:space="preserve">재료비 </t>
    <phoneticPr fontId="3" type="noConversion"/>
  </si>
  <si>
    <t>ST</t>
    <phoneticPr fontId="3" type="noConversion"/>
  </si>
  <si>
    <t xml:space="preserve"> 세부 가공비</t>
    <phoneticPr fontId="3" type="noConversion"/>
  </si>
  <si>
    <t xml:space="preserve">가공비 </t>
    <phoneticPr fontId="3" type="noConversion"/>
  </si>
  <si>
    <t>소 계 
( 재료비 + 가공비 )</t>
    <phoneticPr fontId="3" type="noConversion"/>
  </si>
  <si>
    <t>A</t>
    <phoneticPr fontId="3" type="noConversion"/>
  </si>
  <si>
    <t>B</t>
    <phoneticPr fontId="3" type="noConversion"/>
  </si>
  <si>
    <t>C</t>
    <phoneticPr fontId="3" type="noConversion"/>
  </si>
  <si>
    <t>D</t>
    <phoneticPr fontId="3" type="noConversion"/>
  </si>
  <si>
    <t>E</t>
    <phoneticPr fontId="3" type="noConversion"/>
  </si>
  <si>
    <t>F</t>
    <phoneticPr fontId="3" type="noConversion"/>
  </si>
  <si>
    <t>G</t>
    <phoneticPr fontId="3" type="noConversion"/>
  </si>
  <si>
    <t>H</t>
    <phoneticPr fontId="3" type="noConversion"/>
  </si>
  <si>
    <t>I</t>
    <phoneticPr fontId="3" type="noConversion"/>
  </si>
  <si>
    <t>중량</t>
    <phoneticPr fontId="3" type="noConversion"/>
  </si>
  <si>
    <t>단가</t>
    <phoneticPr fontId="3" type="noConversion"/>
  </si>
  <si>
    <t>소재비</t>
    <phoneticPr fontId="3" type="noConversion"/>
  </si>
  <si>
    <t>터닝/선반</t>
    <phoneticPr fontId="3" type="noConversion"/>
  </si>
  <si>
    <t>레디알</t>
    <phoneticPr fontId="3" type="noConversion"/>
  </si>
  <si>
    <t>보링</t>
    <phoneticPr fontId="3" type="noConversion"/>
  </si>
  <si>
    <t>동시보링</t>
    <phoneticPr fontId="3" type="noConversion"/>
  </si>
  <si>
    <t xml:space="preserve">레이알 </t>
    <phoneticPr fontId="3" type="noConversion"/>
  </si>
  <si>
    <t>선반</t>
    <phoneticPr fontId="3" type="noConversion"/>
  </si>
  <si>
    <t>밀링</t>
    <phoneticPr fontId="3" type="noConversion"/>
  </si>
  <si>
    <t>기타</t>
    <phoneticPr fontId="3" type="noConversion"/>
  </si>
  <si>
    <t>S
T
A
N
D
A
R
D</t>
    <phoneticPr fontId="3" type="noConversion"/>
  </si>
  <si>
    <t xml:space="preserve"> </t>
    <phoneticPr fontId="3" type="noConversion"/>
  </si>
  <si>
    <t>표준가공
( S/T : EA/H)</t>
    <phoneticPr fontId="3" type="noConversion"/>
  </si>
  <si>
    <t>기계임률 / H</t>
    <phoneticPr fontId="3" type="noConversion"/>
  </si>
  <si>
    <t>기계임률 / DAY
(10시간)</t>
    <phoneticPr fontId="3" type="noConversion"/>
  </si>
  <si>
    <t xml:space="preserve">DISC </t>
    <phoneticPr fontId="3" type="noConversion"/>
  </si>
  <si>
    <t>기계임률 / DAY</t>
    <phoneticPr fontId="3" type="noConversion"/>
  </si>
  <si>
    <t>STEM</t>
    <phoneticPr fontId="3" type="noConversion"/>
  </si>
  <si>
    <t>PACKING</t>
    <phoneticPr fontId="3" type="noConversion"/>
  </si>
  <si>
    <t>PACKING GLAND</t>
    <phoneticPr fontId="3" type="noConversion"/>
  </si>
  <si>
    <t>PACKING PLATE</t>
    <phoneticPr fontId="3" type="noConversion"/>
  </si>
  <si>
    <t>표준가공
( S/T : EA/H)</t>
    <phoneticPr fontId="3" type="noConversion"/>
  </si>
  <si>
    <t>LIVE LOADING SPRING</t>
    <phoneticPr fontId="3" type="noConversion"/>
  </si>
  <si>
    <t>BUSH(MAIN)</t>
    <phoneticPr fontId="3" type="noConversion"/>
  </si>
  <si>
    <t>BUSH(STUB)</t>
    <phoneticPr fontId="3" type="noConversion"/>
  </si>
  <si>
    <t>COLLAR ( STUB )</t>
    <phoneticPr fontId="3" type="noConversion"/>
  </si>
  <si>
    <t>END COVER GASKET</t>
    <phoneticPr fontId="3" type="noConversion"/>
  </si>
  <si>
    <t>END COVER</t>
    <phoneticPr fontId="3" type="noConversion"/>
  </si>
  <si>
    <t>END COVER BOLT</t>
    <phoneticPr fontId="3" type="noConversion"/>
  </si>
  <si>
    <t>DISC PIN</t>
    <phoneticPr fontId="3" type="noConversion"/>
  </si>
  <si>
    <t>TOP COVER BOLT</t>
    <phoneticPr fontId="3" type="noConversion"/>
  </si>
  <si>
    <t>GEAR BOX KEY</t>
    <phoneticPr fontId="3" type="noConversion"/>
  </si>
  <si>
    <t>GEAR BOX</t>
    <phoneticPr fontId="3" type="noConversion"/>
  </si>
  <si>
    <t>GEAR BOX BOLT</t>
    <phoneticPr fontId="3" type="noConversion"/>
  </si>
  <si>
    <t>PAINTING</t>
    <phoneticPr fontId="3" type="noConversion"/>
  </si>
  <si>
    <t>ASSEMBLY</t>
    <phoneticPr fontId="3" type="noConversion"/>
  </si>
  <si>
    <t>포 장 비 ( 실비 적용 )</t>
    <phoneticPr fontId="3" type="noConversion"/>
  </si>
  <si>
    <t>운 송 비 ( 실비 적용 )</t>
    <phoneticPr fontId="3" type="noConversion"/>
  </si>
  <si>
    <t>합 계 ( 제조원가 )</t>
    <phoneticPr fontId="3" type="noConversion"/>
  </si>
  <si>
    <t>일반관리 ( 10 % )</t>
    <phoneticPr fontId="3" type="noConversion"/>
  </si>
  <si>
    <t>영업이익 ( 10 % )</t>
    <phoneticPr fontId="3" type="noConversion"/>
  </si>
  <si>
    <t>표준원가  [재료비+가공비+일반관리비+영업이익(+포장비+운송비+후처리) ]</t>
    <phoneticPr fontId="3" type="noConversion"/>
  </si>
  <si>
    <t>표준원가</t>
    <phoneticPr fontId="3" type="noConversion"/>
  </si>
  <si>
    <t>FACTOR 적용</t>
    <phoneticPr fontId="3" type="noConversion"/>
  </si>
  <si>
    <t>견적 적용 금액  ( A  or   B )</t>
    <phoneticPr fontId="3" type="noConversion"/>
  </si>
  <si>
    <t>표준원가 X FACTOR 적용</t>
    <phoneticPr fontId="3" type="noConversion"/>
  </si>
  <si>
    <t>제조원가 X FACTOR 적용</t>
    <phoneticPr fontId="3" type="noConversion"/>
  </si>
  <si>
    <t xml:space="preserve">     ▣ 표준원가 = 재료비 + 가공비 + 일반관리비 + 영업이익(+포장비+운반비+후가공비)</t>
    <phoneticPr fontId="3" type="noConversion"/>
  </si>
  <si>
    <t xml:space="preserve">     ▣ 재료비 =[【 (NET+S/R) * (1+조건LOSS+가공LOSS) * 원자재가】- 회수재료비]+매입부품비</t>
    <phoneticPr fontId="3" type="noConversion"/>
  </si>
  <si>
    <t xml:space="preserve">     ▣ 가공비 = 적용기계별 가공임률 적용</t>
    <phoneticPr fontId="3" type="noConversion"/>
  </si>
  <si>
    <t xml:space="preserve">     ▣ 일반관리비 = [재료비*재료비 일반관리율]+[가공비* 가공비 일반관리율]</t>
    <phoneticPr fontId="3" type="noConversion"/>
  </si>
  <si>
    <t xml:space="preserve">     ▣ 영업이익 = 가공비 * 이익율</t>
    <phoneticPr fontId="3" type="noConversion"/>
  </si>
  <si>
    <t xml:space="preserve">     ▣ 포장비 = 실비인정(포장재가÷회전수÷포장수량</t>
    <phoneticPr fontId="3" type="noConversion"/>
  </si>
  <si>
    <t xml:space="preserve">     ▣ 운반비 = [기준운반비÷적재수량]-[가공일반비율*80]</t>
    <phoneticPr fontId="3" type="noConversion"/>
  </si>
  <si>
    <t>【 임율산출근거】</t>
    <phoneticPr fontId="3" type="noConversion"/>
  </si>
  <si>
    <t xml:space="preserve">  ⓐ 가동율 = 24시간의 92%, 가동시간=22HR/일</t>
    <phoneticPr fontId="3" type="noConversion"/>
  </si>
  <si>
    <t xml:space="preserve">  ⓑ 기계감가상각비 = 기계취득가격÷5년÷300일</t>
    <phoneticPr fontId="3" type="noConversion"/>
  </si>
  <si>
    <t xml:space="preserve">  ⓒ 건물감가상각비 = 기계고유면적(3평)×5×100만원/평÷50년÷300일</t>
    <phoneticPr fontId="3" type="noConversion"/>
  </si>
  <si>
    <t xml:space="preserve">  ⓓ 전력비 = 산업전력단가(70원)×전력용량×24HR</t>
    <phoneticPr fontId="3" type="noConversion"/>
  </si>
  <si>
    <t xml:space="preserve">  ⓔ 용수비 = 냉각수유량×단가(￦30/ton)×24HR</t>
    <phoneticPr fontId="3" type="noConversion"/>
  </si>
  <si>
    <t xml:space="preserve">  ⓕ OIL비 = (￦193,300/200L×2회/년÷300일)×OIL탱크용량</t>
    <phoneticPr fontId="3" type="noConversion"/>
  </si>
  <si>
    <t xml:space="preserve">  ⓖ 공통비 = 기계가격×6%÷300일</t>
    <phoneticPr fontId="3" type="noConversion"/>
  </si>
  <si>
    <t xml:space="preserve">  ⓗ 인건비 = 시급당 ￦4,370 시급기준[4대보험,식대,기타 포함/12년03월29일 기준]</t>
    <phoneticPr fontId="3" type="noConversion"/>
  </si>
  <si>
    <t>【 생산량 산출근거 】</t>
    <phoneticPr fontId="3" type="noConversion"/>
  </si>
  <si>
    <t xml:space="preserve">  ⓐ 생산량 = 최적생산량×(1-저하요인)</t>
    <phoneticPr fontId="3" type="noConversion"/>
  </si>
  <si>
    <t xml:space="preserve">  ⓑ 최적생산량 = 1일 생산 수량 </t>
    <phoneticPr fontId="3" type="noConversion"/>
  </si>
  <si>
    <t>SIZE</t>
    <phoneticPr fontId="3" type="noConversion"/>
  </si>
  <si>
    <t>TYPE</t>
    <phoneticPr fontId="3" type="noConversion"/>
  </si>
  <si>
    <t>F TO F</t>
    <phoneticPr fontId="3" type="noConversion"/>
  </si>
  <si>
    <t>REMARK</t>
    <phoneticPr fontId="3" type="noConversion"/>
  </si>
  <si>
    <t>TOP COVER BOLT</t>
    <phoneticPr fontId="3" type="noConversion"/>
  </si>
  <si>
    <t>DN 900</t>
    <phoneticPr fontId="3" type="noConversion"/>
  </si>
  <si>
    <t>CLASS</t>
    <phoneticPr fontId="3" type="noConversion"/>
  </si>
  <si>
    <t>API 609 CAT'- B
SHROT PATTERN</t>
    <phoneticPr fontId="3" type="noConversion"/>
  </si>
  <si>
    <t xml:space="preserve">재료비 </t>
    <phoneticPr fontId="3" type="noConversion"/>
  </si>
  <si>
    <t>ST</t>
    <phoneticPr fontId="3" type="noConversion"/>
  </si>
  <si>
    <t>B</t>
    <phoneticPr fontId="3" type="noConversion"/>
  </si>
  <si>
    <t>C</t>
    <phoneticPr fontId="3" type="noConversion"/>
  </si>
  <si>
    <t>F</t>
    <phoneticPr fontId="3" type="noConversion"/>
  </si>
  <si>
    <t>G</t>
    <phoneticPr fontId="3" type="noConversion"/>
  </si>
  <si>
    <t>단가</t>
    <phoneticPr fontId="3" type="noConversion"/>
  </si>
  <si>
    <t>소재비</t>
    <phoneticPr fontId="3" type="noConversion"/>
  </si>
  <si>
    <t>터닝/선반</t>
    <phoneticPr fontId="3" type="noConversion"/>
  </si>
  <si>
    <t>레디알</t>
    <phoneticPr fontId="3" type="noConversion"/>
  </si>
  <si>
    <t xml:space="preserve">레이알 </t>
    <phoneticPr fontId="3" type="noConversion"/>
  </si>
  <si>
    <t>밀링</t>
    <phoneticPr fontId="3" type="noConversion"/>
  </si>
  <si>
    <t>기계임률 / H</t>
    <phoneticPr fontId="3" type="noConversion"/>
  </si>
  <si>
    <t>기계임률 / DAY
(10시간)</t>
    <phoneticPr fontId="3" type="noConversion"/>
  </si>
  <si>
    <t>표준가공
( S/T : EA/H)</t>
    <phoneticPr fontId="3" type="noConversion"/>
  </si>
  <si>
    <t>기계임률 / H</t>
    <phoneticPr fontId="3" type="noConversion"/>
  </si>
  <si>
    <t>기계임률 / DAY</t>
    <phoneticPr fontId="3" type="noConversion"/>
  </si>
  <si>
    <t>표준가공
( S/T : EA/H)</t>
    <phoneticPr fontId="3" type="noConversion"/>
  </si>
  <si>
    <t>표준가공
( S/T : EA/H)</t>
    <phoneticPr fontId="3" type="noConversion"/>
  </si>
  <si>
    <t>LIVE LOADING SPRING</t>
    <phoneticPr fontId="3" type="noConversion"/>
  </si>
  <si>
    <t>BUSH(MAIN)</t>
    <phoneticPr fontId="3" type="noConversion"/>
  </si>
  <si>
    <t>BUSH(STUB)</t>
    <phoneticPr fontId="3" type="noConversion"/>
  </si>
  <si>
    <t>표준가공
( S/T : EA/H)</t>
    <phoneticPr fontId="3" type="noConversion"/>
  </si>
  <si>
    <t>COLLAR ( STUB )</t>
    <phoneticPr fontId="3" type="noConversion"/>
  </si>
  <si>
    <t>END COVER GASKET</t>
    <phoneticPr fontId="3" type="noConversion"/>
  </si>
  <si>
    <t>표준가공
( S/T : EA/H)</t>
    <phoneticPr fontId="3" type="noConversion"/>
  </si>
  <si>
    <t>표준가공
( S/T : EA/H)</t>
    <phoneticPr fontId="3" type="noConversion"/>
  </si>
  <si>
    <t>END COVER BOLT</t>
    <phoneticPr fontId="3" type="noConversion"/>
  </si>
  <si>
    <t>DISC PIN</t>
    <phoneticPr fontId="3" type="noConversion"/>
  </si>
  <si>
    <t>TOP COVER BOLT</t>
    <phoneticPr fontId="3" type="noConversion"/>
  </si>
  <si>
    <t>GEAR BOX KEY</t>
    <phoneticPr fontId="3" type="noConversion"/>
  </si>
  <si>
    <t>GEAR BOX</t>
    <phoneticPr fontId="3" type="noConversion"/>
  </si>
  <si>
    <t xml:space="preserve"> </t>
    <phoneticPr fontId="3" type="noConversion"/>
  </si>
  <si>
    <t>GEAR BOX BOLT</t>
    <phoneticPr fontId="3" type="noConversion"/>
  </si>
  <si>
    <t>PAINTING</t>
    <phoneticPr fontId="3" type="noConversion"/>
  </si>
  <si>
    <t>ASSEMBLY</t>
    <phoneticPr fontId="3" type="noConversion"/>
  </si>
  <si>
    <t xml:space="preserve"> </t>
    <phoneticPr fontId="3" type="noConversion"/>
  </si>
  <si>
    <t>B</t>
    <phoneticPr fontId="3" type="noConversion"/>
  </si>
  <si>
    <t>D</t>
    <phoneticPr fontId="3" type="noConversion"/>
  </si>
  <si>
    <t>포 장 비 ( 실비 적용 )</t>
    <phoneticPr fontId="3" type="noConversion"/>
  </si>
  <si>
    <t>운 송 비 ( 실비 적용 )</t>
    <phoneticPr fontId="3" type="noConversion"/>
  </si>
  <si>
    <t xml:space="preserve"> </t>
    <phoneticPr fontId="3" type="noConversion"/>
  </si>
  <si>
    <t xml:space="preserve"> </t>
    <phoneticPr fontId="3" type="noConversion"/>
  </si>
  <si>
    <t>합 계 ( 제조원가 )</t>
    <phoneticPr fontId="3" type="noConversion"/>
  </si>
  <si>
    <t>제조원가</t>
    <phoneticPr fontId="3" type="noConversion"/>
  </si>
  <si>
    <t>일반관리 ( 10 % )</t>
    <phoneticPr fontId="3" type="noConversion"/>
  </si>
  <si>
    <t>영업이익 ( 10 % )</t>
    <phoneticPr fontId="3" type="noConversion"/>
  </si>
  <si>
    <t>표준원가  [재료비+가공비+일반관리비+영업이익(+포장비+운송비+후처리) ]</t>
    <phoneticPr fontId="3" type="noConversion"/>
  </si>
  <si>
    <t>표준원가</t>
    <phoneticPr fontId="3" type="noConversion"/>
  </si>
  <si>
    <t>FACTOR 적용</t>
    <phoneticPr fontId="3" type="noConversion"/>
  </si>
  <si>
    <t>견적 적용 금액  ( A  or   B )</t>
    <phoneticPr fontId="3" type="noConversion"/>
  </si>
  <si>
    <t>A</t>
    <phoneticPr fontId="3" type="noConversion"/>
  </si>
  <si>
    <t>표준원가 X FACTOR 적용</t>
    <phoneticPr fontId="3" type="noConversion"/>
  </si>
  <si>
    <t>제조원가 X FACTOR 적용</t>
    <phoneticPr fontId="3" type="noConversion"/>
  </si>
  <si>
    <t xml:space="preserve">     ▣ 표준원가 = 재료비 + 가공비 + 일반관리비 + 영업이익(+포장비+운반비+후가공비)</t>
    <phoneticPr fontId="3" type="noConversion"/>
  </si>
  <si>
    <t xml:space="preserve">     ▣ 재료비 =[【 (NET+S/R) * (1+조건LOSS+가공LOSS) * 원자재가】- 회수재료비]+매입부품비</t>
    <phoneticPr fontId="3" type="noConversion"/>
  </si>
  <si>
    <t xml:space="preserve">     ▣ 가공비 = 적용기계별 가공임률 적용</t>
    <phoneticPr fontId="3" type="noConversion"/>
  </si>
  <si>
    <t xml:space="preserve">     ▣ 일반관리비 = [재료비*재료비 일반관리율]+[가공비* 가공비 일반관리율]</t>
    <phoneticPr fontId="3" type="noConversion"/>
  </si>
  <si>
    <t xml:space="preserve">     ▣ 영업이익 = 가공비 * 이익율</t>
    <phoneticPr fontId="3" type="noConversion"/>
  </si>
  <si>
    <t xml:space="preserve">     ▣ 포장비 = 실비인정(포장재가÷회전수÷포장수량</t>
    <phoneticPr fontId="3" type="noConversion"/>
  </si>
  <si>
    <t xml:space="preserve">     ▣ 운반비 = [기준운반비÷적재수량]-[가공일반비율*80]</t>
    <phoneticPr fontId="3" type="noConversion"/>
  </si>
  <si>
    <t>【 임율산출근거】</t>
    <phoneticPr fontId="3" type="noConversion"/>
  </si>
  <si>
    <t xml:space="preserve">  ⓐ 가동율 = 24시간의 92%, 가동시간=22HR/일</t>
    <phoneticPr fontId="3" type="noConversion"/>
  </si>
  <si>
    <t xml:space="preserve">  ⓑ 기계감가상각비 = 기계취득가격÷5년÷300일</t>
    <phoneticPr fontId="3" type="noConversion"/>
  </si>
  <si>
    <t xml:space="preserve">  ⓒ 건물감가상각비 = 기계고유면적(3평)×5×100만원/평÷50년÷300일</t>
    <phoneticPr fontId="3" type="noConversion"/>
  </si>
  <si>
    <t xml:space="preserve">  ⓓ 전력비 = 산업전력단가(70원)×전력용량×24HR</t>
    <phoneticPr fontId="3" type="noConversion"/>
  </si>
  <si>
    <t xml:space="preserve">  ⓔ 용수비 = 냉각수유량×단가(￦30/ton)×24HR</t>
    <phoneticPr fontId="3" type="noConversion"/>
  </si>
  <si>
    <t xml:space="preserve">  ⓕ OIL비 = (￦193,300/200L×2회/년÷300일)×OIL탱크용량</t>
    <phoneticPr fontId="3" type="noConversion"/>
  </si>
  <si>
    <t xml:space="preserve">  ⓖ 공통비 = 기계가격×6%÷300일</t>
    <phoneticPr fontId="3" type="noConversion"/>
  </si>
  <si>
    <t xml:space="preserve">  ⓗ 인건비 = 시급당 ￦4,370 시급기준[4대보험,식대,기타 포함/12년03월29일 기준]</t>
    <phoneticPr fontId="3" type="noConversion"/>
  </si>
  <si>
    <t>【 생산량 산출근거 】</t>
    <phoneticPr fontId="3" type="noConversion"/>
  </si>
  <si>
    <t xml:space="preserve">  ⓐ 생산량 = 최적생산량×(1-저하요인)</t>
    <phoneticPr fontId="3" type="noConversion"/>
  </si>
  <si>
    <t xml:space="preserve">  ⓑ 최적생산량 = 1일 생산 수량 </t>
    <phoneticPr fontId="3" type="noConversion"/>
  </si>
  <si>
    <t>단위 : 원</t>
    <phoneticPr fontId="3" type="noConversion"/>
  </si>
  <si>
    <t>SIZE</t>
    <phoneticPr fontId="3" type="noConversion"/>
  </si>
  <si>
    <t>DN 1000</t>
    <phoneticPr fontId="3" type="noConversion"/>
  </si>
  <si>
    <t>CLASS</t>
    <phoneticPr fontId="3" type="noConversion"/>
  </si>
  <si>
    <t>F TO F</t>
    <phoneticPr fontId="3" type="noConversion"/>
  </si>
  <si>
    <t>API 609 CAT'- B
SHROT PATTERN</t>
    <phoneticPr fontId="3" type="noConversion"/>
  </si>
  <si>
    <t>REMARK</t>
    <phoneticPr fontId="3" type="noConversion"/>
  </si>
  <si>
    <t>NO.</t>
    <phoneticPr fontId="3" type="noConversion"/>
  </si>
  <si>
    <t>DESCRIPTION</t>
    <phoneticPr fontId="3" type="noConversion"/>
  </si>
  <si>
    <t>MATERIAL</t>
    <phoneticPr fontId="3" type="noConversion"/>
  </si>
  <si>
    <t xml:space="preserve">재료비 </t>
    <phoneticPr fontId="3" type="noConversion"/>
  </si>
  <si>
    <t>ST</t>
    <phoneticPr fontId="3" type="noConversion"/>
  </si>
  <si>
    <t xml:space="preserve"> 세부 가공비</t>
    <phoneticPr fontId="3" type="noConversion"/>
  </si>
  <si>
    <t xml:space="preserve">가공비 </t>
    <phoneticPr fontId="3" type="noConversion"/>
  </si>
  <si>
    <t>소 계 
( 재료비 + 가공비 )</t>
    <phoneticPr fontId="3" type="noConversion"/>
  </si>
  <si>
    <t>C</t>
    <phoneticPr fontId="3" type="noConversion"/>
  </si>
  <si>
    <t>F</t>
    <phoneticPr fontId="3" type="noConversion"/>
  </si>
  <si>
    <t>G</t>
    <phoneticPr fontId="3" type="noConversion"/>
  </si>
  <si>
    <t>H</t>
    <phoneticPr fontId="3" type="noConversion"/>
  </si>
  <si>
    <t>I</t>
    <phoneticPr fontId="3" type="noConversion"/>
  </si>
  <si>
    <t>중량</t>
    <phoneticPr fontId="3" type="noConversion"/>
  </si>
  <si>
    <t>터닝/선반</t>
    <phoneticPr fontId="3" type="noConversion"/>
  </si>
  <si>
    <t>보링</t>
    <phoneticPr fontId="3" type="noConversion"/>
  </si>
  <si>
    <t>동시보링</t>
    <phoneticPr fontId="3" type="noConversion"/>
  </si>
  <si>
    <t xml:space="preserve">레이알 </t>
    <phoneticPr fontId="3" type="noConversion"/>
  </si>
  <si>
    <t>선반</t>
    <phoneticPr fontId="3" type="noConversion"/>
  </si>
  <si>
    <t>밀링</t>
    <phoneticPr fontId="3" type="noConversion"/>
  </si>
  <si>
    <t>S
T
A
N
D
A
R
D</t>
    <phoneticPr fontId="3" type="noConversion"/>
  </si>
  <si>
    <t>기계임률 / DAY
(10시간)</t>
    <phoneticPr fontId="3" type="noConversion"/>
  </si>
  <si>
    <t xml:space="preserve">DISC </t>
    <phoneticPr fontId="3" type="noConversion"/>
  </si>
  <si>
    <t>기계임률 / H</t>
    <phoneticPr fontId="3" type="noConversion"/>
  </si>
  <si>
    <t>STEM</t>
    <phoneticPr fontId="3" type="noConversion"/>
  </si>
  <si>
    <t>PACKING</t>
    <phoneticPr fontId="3" type="noConversion"/>
  </si>
  <si>
    <t>PACKING GLAND</t>
    <phoneticPr fontId="3" type="noConversion"/>
  </si>
  <si>
    <t>PACKING PLATE</t>
    <phoneticPr fontId="3" type="noConversion"/>
  </si>
  <si>
    <t>LIVE LOADING SPRING</t>
    <phoneticPr fontId="3" type="noConversion"/>
  </si>
  <si>
    <t>BUSH(MAIN)</t>
    <phoneticPr fontId="3" type="noConversion"/>
  </si>
  <si>
    <t>BUSH(STUB)</t>
    <phoneticPr fontId="3" type="noConversion"/>
  </si>
  <si>
    <t>COLLAR ( STUB )</t>
    <phoneticPr fontId="3" type="noConversion"/>
  </si>
  <si>
    <t>END COVER GASKET</t>
    <phoneticPr fontId="3" type="noConversion"/>
  </si>
  <si>
    <t>DISC PIN</t>
    <phoneticPr fontId="3" type="noConversion"/>
  </si>
  <si>
    <t>TOP COVER BOLT</t>
    <phoneticPr fontId="3" type="noConversion"/>
  </si>
  <si>
    <t>GEAR BOX</t>
    <phoneticPr fontId="3" type="noConversion"/>
  </si>
  <si>
    <t>GEAR BOX BOLT</t>
    <phoneticPr fontId="3" type="noConversion"/>
  </si>
  <si>
    <t>PAINTING</t>
    <phoneticPr fontId="3" type="noConversion"/>
  </si>
  <si>
    <t>ASSEMBLY</t>
    <phoneticPr fontId="3" type="noConversion"/>
  </si>
  <si>
    <t>MANUAL 2EA</t>
    <phoneticPr fontId="3" type="noConversion"/>
  </si>
  <si>
    <t>포 장 비 ( 실비 적용 )</t>
    <phoneticPr fontId="3" type="noConversion"/>
  </si>
  <si>
    <t>CBM</t>
    <phoneticPr fontId="3" type="noConversion"/>
  </si>
  <si>
    <t>운 송 비 ( 실비 적용 )</t>
    <phoneticPr fontId="3" type="noConversion"/>
  </si>
  <si>
    <t>영업이익 ( 10 % )</t>
    <phoneticPr fontId="3" type="noConversion"/>
  </si>
  <si>
    <t>표준원가</t>
    <phoneticPr fontId="3" type="noConversion"/>
  </si>
  <si>
    <t>표준원가 X FACTOR 적용</t>
    <phoneticPr fontId="3" type="noConversion"/>
  </si>
  <si>
    <t>B</t>
    <phoneticPr fontId="3" type="noConversion"/>
  </si>
  <si>
    <t>제조원가 X FACTOR 적용</t>
    <phoneticPr fontId="3" type="noConversion"/>
  </si>
  <si>
    <t xml:space="preserve">     ▣ 표준원가 = 재료비 + 가공비 + 일반관리비 + 영업이익(+포장비+운반비+후가공비)</t>
    <phoneticPr fontId="3" type="noConversion"/>
  </si>
  <si>
    <t xml:space="preserve">     ▣ 가공비 = 적용기계별 가공임률 적용</t>
    <phoneticPr fontId="3" type="noConversion"/>
  </si>
  <si>
    <t xml:space="preserve">     ▣ 영업이익 = 가공비 * 이익율</t>
    <phoneticPr fontId="3" type="noConversion"/>
  </si>
  <si>
    <t xml:space="preserve">     ▣ 포장비 = 실비인정(포장재가÷회전수÷포장수량</t>
    <phoneticPr fontId="3" type="noConversion"/>
  </si>
  <si>
    <t xml:space="preserve">     ▣ 운반비 = [기준운반비÷적재수량]-[가공일반비율*80]</t>
    <phoneticPr fontId="3" type="noConversion"/>
  </si>
  <si>
    <t>【 임율산출근거】</t>
    <phoneticPr fontId="3" type="noConversion"/>
  </si>
  <si>
    <t xml:space="preserve">  ⓐ 가동율 = 24시간의 92%, 가동시간=22HR/일</t>
    <phoneticPr fontId="3" type="noConversion"/>
  </si>
  <si>
    <t xml:space="preserve">  ⓓ 전력비 = 산업전력단가(70원)×전력용량×24HR</t>
    <phoneticPr fontId="3" type="noConversion"/>
  </si>
  <si>
    <t xml:space="preserve">  ⓔ 용수비 = 냉각수유량×단가(￦30/ton)×24HR</t>
    <phoneticPr fontId="3" type="noConversion"/>
  </si>
  <si>
    <t xml:space="preserve">  ⓕ OIL비 = (￦193,300/200L×2회/년÷300일)×OIL탱크용량</t>
    <phoneticPr fontId="3" type="noConversion"/>
  </si>
  <si>
    <t xml:space="preserve">  ⓐ 생산량 = 최적생산량×(1-저하요인)</t>
    <phoneticPr fontId="3" type="noConversion"/>
  </si>
  <si>
    <t xml:space="preserve">  ⓑ 최적생산량 = 1일 생산 수량 </t>
    <phoneticPr fontId="3" type="noConversion"/>
  </si>
  <si>
    <t>DN 1050</t>
    <phoneticPr fontId="3" type="noConversion"/>
  </si>
  <si>
    <t>CLASS</t>
    <phoneticPr fontId="3" type="noConversion"/>
  </si>
  <si>
    <t>TYPE</t>
    <phoneticPr fontId="3" type="noConversion"/>
  </si>
  <si>
    <t xml:space="preserve">TRIPLE  가공공정 </t>
    <phoneticPr fontId="3" type="noConversion"/>
  </si>
  <si>
    <t>NO.</t>
    <phoneticPr fontId="3" type="noConversion"/>
  </si>
  <si>
    <t>ST</t>
    <phoneticPr fontId="3" type="noConversion"/>
  </si>
  <si>
    <t xml:space="preserve"> 세부 가공비</t>
    <phoneticPr fontId="3" type="noConversion"/>
  </si>
  <si>
    <t xml:space="preserve">가공비 </t>
    <phoneticPr fontId="3" type="noConversion"/>
  </si>
  <si>
    <t>소 계 
( 재료비 + 가공비 )</t>
    <phoneticPr fontId="3" type="noConversion"/>
  </si>
  <si>
    <t>B</t>
    <phoneticPr fontId="3" type="noConversion"/>
  </si>
  <si>
    <t>D</t>
    <phoneticPr fontId="3" type="noConversion"/>
  </si>
  <si>
    <t>E</t>
    <phoneticPr fontId="3" type="noConversion"/>
  </si>
  <si>
    <t>F</t>
    <phoneticPr fontId="3" type="noConversion"/>
  </si>
  <si>
    <t>I</t>
    <phoneticPr fontId="3" type="noConversion"/>
  </si>
  <si>
    <t>중량</t>
    <phoneticPr fontId="3" type="noConversion"/>
  </si>
  <si>
    <t>단가</t>
    <phoneticPr fontId="3" type="noConversion"/>
  </si>
  <si>
    <t>소재비</t>
    <phoneticPr fontId="3" type="noConversion"/>
  </si>
  <si>
    <t>터닝/선반</t>
    <phoneticPr fontId="3" type="noConversion"/>
  </si>
  <si>
    <t>레디알</t>
    <phoneticPr fontId="3" type="noConversion"/>
  </si>
  <si>
    <t>보링</t>
    <phoneticPr fontId="3" type="noConversion"/>
  </si>
  <si>
    <t>터닝/선반</t>
    <phoneticPr fontId="3" type="noConversion"/>
  </si>
  <si>
    <t>동시보링</t>
    <phoneticPr fontId="3" type="noConversion"/>
  </si>
  <si>
    <t>밀링</t>
    <phoneticPr fontId="3" type="noConversion"/>
  </si>
  <si>
    <t>기타</t>
    <phoneticPr fontId="3" type="noConversion"/>
  </si>
  <si>
    <t>기계임률 / H</t>
    <phoneticPr fontId="3" type="noConversion"/>
  </si>
  <si>
    <t>기계임률 / DAY
(10시간)</t>
    <phoneticPr fontId="3" type="noConversion"/>
  </si>
  <si>
    <t xml:space="preserve">DISC </t>
    <phoneticPr fontId="3" type="noConversion"/>
  </si>
  <si>
    <t>기계임률 / DAY</t>
    <phoneticPr fontId="3" type="noConversion"/>
  </si>
  <si>
    <t>표준가공
( S/T : EA/H)</t>
    <phoneticPr fontId="3" type="noConversion"/>
  </si>
  <si>
    <t>표준가공
( S/T : EA/H)</t>
    <phoneticPr fontId="3" type="noConversion"/>
  </si>
  <si>
    <t>STEM</t>
    <phoneticPr fontId="3" type="noConversion"/>
  </si>
  <si>
    <t>SIZE</t>
    <phoneticPr fontId="3" type="noConversion"/>
  </si>
  <si>
    <t>DN 1200</t>
    <phoneticPr fontId="3" type="noConversion"/>
  </si>
  <si>
    <t>NO.</t>
    <phoneticPr fontId="3" type="noConversion"/>
  </si>
  <si>
    <t>DESCRIPTION</t>
    <phoneticPr fontId="3" type="noConversion"/>
  </si>
  <si>
    <t xml:space="preserve">가공비 </t>
    <phoneticPr fontId="3" type="noConversion"/>
  </si>
  <si>
    <t>A</t>
    <phoneticPr fontId="3" type="noConversion"/>
  </si>
  <si>
    <t>터닝/선반</t>
    <phoneticPr fontId="3" type="noConversion"/>
  </si>
  <si>
    <t>S
T
A
N
D
A
R
D</t>
    <phoneticPr fontId="3" type="noConversion"/>
  </si>
  <si>
    <t>표준가공
( S/T : EA/H)</t>
    <phoneticPr fontId="3" type="noConversion"/>
  </si>
  <si>
    <t>기계임률 / H</t>
    <phoneticPr fontId="3" type="noConversion"/>
  </si>
  <si>
    <t>기계임률 / DAY
(10시간)</t>
    <phoneticPr fontId="3" type="noConversion"/>
  </si>
  <si>
    <t xml:space="preserve">DISC </t>
    <phoneticPr fontId="3" type="noConversion"/>
  </si>
  <si>
    <t>표준가공
( S/T : EA/H)</t>
    <phoneticPr fontId="3" type="noConversion"/>
  </si>
  <si>
    <t>기계임률 / DAY</t>
    <phoneticPr fontId="3" type="noConversion"/>
  </si>
  <si>
    <t>PACKING</t>
    <phoneticPr fontId="3" type="noConversion"/>
  </si>
  <si>
    <t>PACKING GLAND</t>
    <phoneticPr fontId="3" type="noConversion"/>
  </si>
  <si>
    <t>PACKING PLATE</t>
    <phoneticPr fontId="3" type="noConversion"/>
  </si>
  <si>
    <t>LIVE LOADING SPRING</t>
    <phoneticPr fontId="3" type="noConversion"/>
  </si>
  <si>
    <t>BUSH(MAIN)</t>
    <phoneticPr fontId="3" type="noConversion"/>
  </si>
  <si>
    <t>BUSH(STUB)</t>
    <phoneticPr fontId="3" type="noConversion"/>
  </si>
  <si>
    <t>COLLAR ( STUB )</t>
    <phoneticPr fontId="3" type="noConversion"/>
  </si>
  <si>
    <t>END COVER BOLT</t>
    <phoneticPr fontId="3" type="noConversion"/>
  </si>
  <si>
    <t>DISC PIN</t>
    <phoneticPr fontId="3" type="noConversion"/>
  </si>
  <si>
    <t>GEAR BOX</t>
    <phoneticPr fontId="3" type="noConversion"/>
  </si>
  <si>
    <t xml:space="preserve"> </t>
    <phoneticPr fontId="3" type="noConversion"/>
  </si>
  <si>
    <t>GEAR BOX BOLT</t>
    <phoneticPr fontId="3" type="noConversion"/>
  </si>
  <si>
    <t>PAINTING</t>
    <phoneticPr fontId="3" type="noConversion"/>
  </si>
  <si>
    <t>ASSEMBLY</t>
    <phoneticPr fontId="3" type="noConversion"/>
  </si>
  <si>
    <t>포 장 비 ( 실비 적용 )</t>
    <phoneticPr fontId="3" type="noConversion"/>
  </si>
  <si>
    <t>합 계 ( 제조원가 )</t>
    <phoneticPr fontId="3" type="noConversion"/>
  </si>
  <si>
    <t>제조원가</t>
    <phoneticPr fontId="3" type="noConversion"/>
  </si>
  <si>
    <t>일반관리 ( 10 % )</t>
    <phoneticPr fontId="3" type="noConversion"/>
  </si>
  <si>
    <t>표준원가  [재료비+가공비+일반관리비+영업이익(+포장비+운송비+후처리) ]</t>
    <phoneticPr fontId="3" type="noConversion"/>
  </si>
  <si>
    <t>표준원가</t>
    <phoneticPr fontId="3" type="noConversion"/>
  </si>
  <si>
    <t>FACTOR 적용</t>
    <phoneticPr fontId="3" type="noConversion"/>
  </si>
  <si>
    <t>표준원가 X FACTOR 적용</t>
    <phoneticPr fontId="3" type="noConversion"/>
  </si>
  <si>
    <t>B</t>
    <phoneticPr fontId="3" type="noConversion"/>
  </si>
  <si>
    <t>제조원가 X FACTOR 적용</t>
    <phoneticPr fontId="3" type="noConversion"/>
  </si>
  <si>
    <t xml:space="preserve">     ▣ 표준원가 = 재료비 + 가공비 + 일반관리비 + 영업이익(+포장비+운반비+후가공비)</t>
    <phoneticPr fontId="3" type="noConversion"/>
  </si>
  <si>
    <t xml:space="preserve">     ▣ 재료비 =[【 (NET+S/R) * (1+조건LOSS+가공LOSS) * 원자재가】- 회수재료비]+매입부품비</t>
    <phoneticPr fontId="3" type="noConversion"/>
  </si>
  <si>
    <t xml:space="preserve">     ▣ 가공비 = 적용기계별 가공임률 적용</t>
    <phoneticPr fontId="3" type="noConversion"/>
  </si>
  <si>
    <t xml:space="preserve">     ▣ 일반관리비 = [재료비*재료비 일반관리율]+[가공비* 가공비 일반관리율]</t>
    <phoneticPr fontId="3" type="noConversion"/>
  </si>
  <si>
    <t xml:space="preserve">     ▣ 영업이익 = 가공비 * 이익율</t>
    <phoneticPr fontId="3" type="noConversion"/>
  </si>
  <si>
    <t xml:space="preserve">     ▣ 포장비 = 실비인정(포장재가÷회전수÷포장수량</t>
    <phoneticPr fontId="3" type="noConversion"/>
  </si>
  <si>
    <t xml:space="preserve">     ▣ 운반비 = [기준운반비÷적재수량]-[가공일반비율*80]</t>
    <phoneticPr fontId="3" type="noConversion"/>
  </si>
  <si>
    <t>【 임율산출근거】</t>
    <phoneticPr fontId="3" type="noConversion"/>
  </si>
  <si>
    <t xml:space="preserve">  ⓐ 가동율 = 24시간의 92%, 가동시간=22HR/일</t>
    <phoneticPr fontId="3" type="noConversion"/>
  </si>
  <si>
    <t xml:space="preserve">  ⓑ 기계감가상각비 = 기계취득가격÷5년÷300일</t>
    <phoneticPr fontId="3" type="noConversion"/>
  </si>
  <si>
    <t xml:space="preserve">  ⓒ 건물감가상각비 = 기계고유면적(3평)×5×100만원/평÷50년÷300일</t>
    <phoneticPr fontId="3" type="noConversion"/>
  </si>
  <si>
    <t xml:space="preserve">  ⓓ 전력비 = 산업전력단가(70원)×전력용량×24HR</t>
    <phoneticPr fontId="3" type="noConversion"/>
  </si>
  <si>
    <t xml:space="preserve">  ⓔ 용수비 = 냉각수유량×단가(￦30/ton)×24HR</t>
    <phoneticPr fontId="3" type="noConversion"/>
  </si>
  <si>
    <t xml:space="preserve">  ⓕ OIL비 = (￦193,300/200L×2회/년÷300일)×OIL탱크용량</t>
    <phoneticPr fontId="3" type="noConversion"/>
  </si>
  <si>
    <t xml:space="preserve">  ⓖ 공통비 = 기계가격×6%÷300일</t>
    <phoneticPr fontId="3" type="noConversion"/>
  </si>
  <si>
    <t xml:space="preserve">  ⓗ 인건비 = 시급당 ￦4,370 시급기준[4대보험,식대,기타 포함/12년03월29일 기준]</t>
    <phoneticPr fontId="3" type="noConversion"/>
  </si>
  <si>
    <t>【 생산량 산출근거 】</t>
    <phoneticPr fontId="3" type="noConversion"/>
  </si>
  <si>
    <t xml:space="preserve">  ⓐ 생산량 = 최적생산량×(1-저하요인)</t>
    <phoneticPr fontId="3" type="noConversion"/>
  </si>
  <si>
    <t xml:space="preserve">  ⓑ 최적생산량 = 1일 생산 수량 </t>
    <phoneticPr fontId="3" type="noConversion"/>
  </si>
  <si>
    <t>단위 : 원</t>
    <phoneticPr fontId="3" type="noConversion"/>
  </si>
  <si>
    <t>DN 1400</t>
    <phoneticPr fontId="3" type="noConversion"/>
  </si>
  <si>
    <t>CLASS</t>
    <phoneticPr fontId="3" type="noConversion"/>
  </si>
  <si>
    <t>DESCRIPTION</t>
    <phoneticPr fontId="3" type="noConversion"/>
  </si>
  <si>
    <t>ST</t>
    <phoneticPr fontId="3" type="noConversion"/>
  </si>
  <si>
    <t>A</t>
    <phoneticPr fontId="3" type="noConversion"/>
  </si>
  <si>
    <t>C</t>
    <phoneticPr fontId="3" type="noConversion"/>
  </si>
  <si>
    <t>G</t>
    <phoneticPr fontId="3" type="noConversion"/>
  </si>
  <si>
    <t>단가</t>
    <phoneticPr fontId="3" type="noConversion"/>
  </si>
  <si>
    <t>소재비</t>
    <phoneticPr fontId="3" type="noConversion"/>
  </si>
  <si>
    <t>보링</t>
    <phoneticPr fontId="3" type="noConversion"/>
  </si>
  <si>
    <t>동시보링</t>
    <phoneticPr fontId="3" type="noConversion"/>
  </si>
  <si>
    <t>선반</t>
    <phoneticPr fontId="3" type="noConversion"/>
  </si>
  <si>
    <t>기타</t>
    <phoneticPr fontId="3" type="noConversion"/>
  </si>
  <si>
    <t>표준가공
( S/T : EA/H)</t>
    <phoneticPr fontId="3" type="noConversion"/>
  </si>
  <si>
    <t xml:space="preserve">DISC </t>
    <phoneticPr fontId="3" type="noConversion"/>
  </si>
  <si>
    <t>기계임률 / H</t>
    <phoneticPr fontId="3" type="noConversion"/>
  </si>
  <si>
    <t>PACKING</t>
    <phoneticPr fontId="3" type="noConversion"/>
  </si>
  <si>
    <t>PACKING GLAND</t>
    <phoneticPr fontId="3" type="noConversion"/>
  </si>
  <si>
    <t>표준가공
( S/T : EA/H)</t>
    <phoneticPr fontId="3" type="noConversion"/>
  </si>
  <si>
    <t>표준가공
( S/T : EA/H)</t>
    <phoneticPr fontId="3" type="noConversion"/>
  </si>
  <si>
    <t>BUSH(MAIN)</t>
    <phoneticPr fontId="3" type="noConversion"/>
  </si>
  <si>
    <t>BUSH(STUB)</t>
    <phoneticPr fontId="3" type="noConversion"/>
  </si>
  <si>
    <t>COLLAR ( STUB )</t>
    <phoneticPr fontId="3" type="noConversion"/>
  </si>
  <si>
    <t>END COVER GASKET</t>
    <phoneticPr fontId="3" type="noConversion"/>
  </si>
  <si>
    <t>END COVER BOLT</t>
    <phoneticPr fontId="3" type="noConversion"/>
  </si>
  <si>
    <t>DISC PIN</t>
    <phoneticPr fontId="3" type="noConversion"/>
  </si>
  <si>
    <t>GEAR BOX KEY</t>
    <phoneticPr fontId="3" type="noConversion"/>
  </si>
  <si>
    <t>GEAR BOX</t>
    <phoneticPr fontId="3" type="noConversion"/>
  </si>
  <si>
    <t>PAINTING</t>
    <phoneticPr fontId="3" type="noConversion"/>
  </si>
  <si>
    <t>ASSEMBLY</t>
    <phoneticPr fontId="3" type="noConversion"/>
  </si>
  <si>
    <t>포 장 비 ( 실비 적용 )</t>
    <phoneticPr fontId="3" type="noConversion"/>
  </si>
  <si>
    <t xml:space="preserve"> </t>
    <phoneticPr fontId="3" type="noConversion"/>
  </si>
  <si>
    <t xml:space="preserve"> </t>
    <phoneticPr fontId="3" type="noConversion"/>
  </si>
  <si>
    <t>운 송 비 ( 실비 적용 )</t>
    <phoneticPr fontId="3" type="noConversion"/>
  </si>
  <si>
    <t xml:space="preserve"> </t>
    <phoneticPr fontId="3" type="noConversion"/>
  </si>
  <si>
    <t>합 계 ( 제조원가 )</t>
    <phoneticPr fontId="3" type="noConversion"/>
  </si>
  <si>
    <t>제조원가</t>
    <phoneticPr fontId="3" type="noConversion"/>
  </si>
  <si>
    <t>일반관리 ( 10 % )</t>
    <phoneticPr fontId="3" type="noConversion"/>
  </si>
  <si>
    <t xml:space="preserve"> </t>
    <phoneticPr fontId="3" type="noConversion"/>
  </si>
  <si>
    <t>영업이익 ( 10 % )</t>
    <phoneticPr fontId="3" type="noConversion"/>
  </si>
  <si>
    <t>표준원가  [재료비+가공비+일반관리비+영업이익(+포장비+운송비+후처리) ]</t>
    <phoneticPr fontId="3" type="noConversion"/>
  </si>
  <si>
    <t>표준원가</t>
    <phoneticPr fontId="3" type="noConversion"/>
  </si>
  <si>
    <t>FACTOR 적용</t>
    <phoneticPr fontId="3" type="noConversion"/>
  </si>
  <si>
    <t>견적 적용 금액  ( A  or   B )</t>
    <phoneticPr fontId="3" type="noConversion"/>
  </si>
  <si>
    <t>A</t>
    <phoneticPr fontId="3" type="noConversion"/>
  </si>
  <si>
    <t>표준원가 X FACTOR 적용</t>
    <phoneticPr fontId="3" type="noConversion"/>
  </si>
  <si>
    <t>B</t>
    <phoneticPr fontId="3" type="noConversion"/>
  </si>
  <si>
    <t>제조원가 X FACTOR 적용</t>
    <phoneticPr fontId="3" type="noConversion"/>
  </si>
  <si>
    <t xml:space="preserve">     ▣ 표준원가 = 재료비 + 가공비 + 일반관리비 + 영업이익(+포장비+운반비+후가공비)</t>
    <phoneticPr fontId="3" type="noConversion"/>
  </si>
  <si>
    <t xml:space="preserve">     ▣ 재료비 =[【 (NET+S/R) * (1+조건LOSS+가공LOSS) * 원자재가】- 회수재료비]+매입부품비</t>
    <phoneticPr fontId="3" type="noConversion"/>
  </si>
  <si>
    <t xml:space="preserve">     ▣ 가공비 = 적용기계별 가공임률 적용</t>
    <phoneticPr fontId="3" type="noConversion"/>
  </si>
  <si>
    <t xml:space="preserve">     ▣ 일반관리비 = [재료비*재료비 일반관리율]+[가공비* 가공비 일반관리율]</t>
    <phoneticPr fontId="3" type="noConversion"/>
  </si>
  <si>
    <t xml:space="preserve">     ▣ 영업이익 = 가공비 * 이익율</t>
    <phoneticPr fontId="3" type="noConversion"/>
  </si>
  <si>
    <t xml:space="preserve">     ▣ 포장비 = 실비인정(포장재가÷회전수÷포장수량</t>
    <phoneticPr fontId="3" type="noConversion"/>
  </si>
  <si>
    <t xml:space="preserve">     ▣ 운반비 = [기준운반비÷적재수량]-[가공일반비율*80]</t>
    <phoneticPr fontId="3" type="noConversion"/>
  </si>
  <si>
    <t>【 임율산출근거】</t>
    <phoneticPr fontId="3" type="noConversion"/>
  </si>
  <si>
    <t xml:space="preserve">  ⓐ 가동율 = 24시간의 92%, 가동시간=22HR/일</t>
    <phoneticPr fontId="3" type="noConversion"/>
  </si>
  <si>
    <t xml:space="preserve">  ⓑ 기계감가상각비 = 기계취득가격÷5년÷300일</t>
    <phoneticPr fontId="3" type="noConversion"/>
  </si>
  <si>
    <t xml:space="preserve">  ⓒ 건물감가상각비 = 기계고유면적(3평)×5×100만원/평÷50년÷300일</t>
    <phoneticPr fontId="3" type="noConversion"/>
  </si>
  <si>
    <t xml:space="preserve">  ⓓ 전력비 = 산업전력단가(70원)×전력용량×24HR</t>
    <phoneticPr fontId="3" type="noConversion"/>
  </si>
  <si>
    <t xml:space="preserve">  ⓔ 용수비 = 냉각수유량×단가(￦30/ton)×24HR</t>
    <phoneticPr fontId="3" type="noConversion"/>
  </si>
  <si>
    <t xml:space="preserve">  ⓕ OIL비 = (￦193,300/200L×2회/년÷300일)×OIL탱크용량</t>
    <phoneticPr fontId="3" type="noConversion"/>
  </si>
  <si>
    <t xml:space="preserve">  ⓖ 공통비 = 기계가격×6%÷300일</t>
    <phoneticPr fontId="3" type="noConversion"/>
  </si>
  <si>
    <t xml:space="preserve">  ⓗ 인건비 = 시급당 ￦4,370 시급기준[4대보험,식대,기타 포함/12년03월29일 기준]</t>
    <phoneticPr fontId="3" type="noConversion"/>
  </si>
  <si>
    <t>【 생산량 산출근거 】</t>
    <phoneticPr fontId="3" type="noConversion"/>
  </si>
  <si>
    <t xml:space="preserve">  ⓐ 생산량 = 최적생산량×(1-저하요인)</t>
    <phoneticPr fontId="3" type="noConversion"/>
  </si>
  <si>
    <t xml:space="preserve">  ⓑ 최적생산량 = 1일 생산 수량 </t>
    <phoneticPr fontId="3" type="noConversion"/>
  </si>
  <si>
    <t>SIZE</t>
    <phoneticPr fontId="3" type="noConversion"/>
  </si>
  <si>
    <t>DN 750</t>
    <phoneticPr fontId="3" type="noConversion"/>
  </si>
  <si>
    <t>TYPE</t>
    <phoneticPr fontId="3" type="noConversion"/>
  </si>
  <si>
    <t xml:space="preserve">TRIPLE  가공공정 </t>
    <phoneticPr fontId="3" type="noConversion"/>
  </si>
  <si>
    <t>REMARK</t>
    <phoneticPr fontId="3" type="noConversion"/>
  </si>
  <si>
    <t xml:space="preserve">가공비 </t>
    <phoneticPr fontId="3" type="noConversion"/>
  </si>
  <si>
    <t>A</t>
    <phoneticPr fontId="3" type="noConversion"/>
  </si>
  <si>
    <t>C</t>
    <phoneticPr fontId="3" type="noConversion"/>
  </si>
  <si>
    <t>F</t>
    <phoneticPr fontId="3" type="noConversion"/>
  </si>
  <si>
    <t>터닝/선반</t>
    <phoneticPr fontId="3" type="noConversion"/>
  </si>
  <si>
    <t xml:space="preserve">레이알 </t>
    <phoneticPr fontId="3" type="noConversion"/>
  </si>
  <si>
    <t>기타</t>
    <phoneticPr fontId="3" type="noConversion"/>
  </si>
  <si>
    <t>S
T
A
N
D
A
R
D</t>
    <phoneticPr fontId="3" type="noConversion"/>
  </si>
  <si>
    <t>표준가공
( S/T : EA/H)</t>
    <phoneticPr fontId="3" type="noConversion"/>
  </si>
  <si>
    <t>기계임률 / DAY
(10시간)</t>
    <phoneticPr fontId="3" type="noConversion"/>
  </si>
  <si>
    <t>기계임률 / DAY</t>
    <phoneticPr fontId="3" type="noConversion"/>
  </si>
  <si>
    <t>표준가공
( S/T : EA/H)</t>
    <phoneticPr fontId="3" type="noConversion"/>
  </si>
  <si>
    <t>표준가공
( S/T : EA/H)</t>
    <phoneticPr fontId="3" type="noConversion"/>
  </si>
  <si>
    <t>표준가공
( S/T : EA/H)</t>
    <phoneticPr fontId="3" type="noConversion"/>
  </si>
  <si>
    <t>PACKING PLATE</t>
    <phoneticPr fontId="3" type="noConversion"/>
  </si>
  <si>
    <t>BUSH(MAIN)</t>
    <phoneticPr fontId="3" type="noConversion"/>
  </si>
  <si>
    <t>BUSH(STUB)</t>
    <phoneticPr fontId="3" type="noConversion"/>
  </si>
  <si>
    <t>COLLAR ( STUB )</t>
    <phoneticPr fontId="3" type="noConversion"/>
  </si>
  <si>
    <t>END COVER GASKET</t>
    <phoneticPr fontId="3" type="noConversion"/>
  </si>
  <si>
    <t>표준가공
( S/T : EA/H)</t>
    <phoneticPr fontId="3" type="noConversion"/>
  </si>
  <si>
    <t>END COVER BOLT</t>
    <phoneticPr fontId="3" type="noConversion"/>
  </si>
  <si>
    <t>DISC PIN</t>
    <phoneticPr fontId="3" type="noConversion"/>
  </si>
  <si>
    <t>TOP COVER BOLT</t>
    <phoneticPr fontId="3" type="noConversion"/>
  </si>
  <si>
    <t>GEAR BOX KEY</t>
    <phoneticPr fontId="3" type="noConversion"/>
  </si>
  <si>
    <t>GEAR BOX BOLT</t>
    <phoneticPr fontId="3" type="noConversion"/>
  </si>
  <si>
    <t>PAINTING</t>
    <phoneticPr fontId="3" type="noConversion"/>
  </si>
  <si>
    <t>ASSEMBLY</t>
    <phoneticPr fontId="3" type="noConversion"/>
  </si>
  <si>
    <t xml:space="preserve"> </t>
    <phoneticPr fontId="3" type="noConversion"/>
  </si>
  <si>
    <t>포 장 비 ( 실비 적용 )</t>
    <phoneticPr fontId="3" type="noConversion"/>
  </si>
  <si>
    <t>운 송 비 ( 실비 적용 )</t>
    <phoneticPr fontId="3" type="noConversion"/>
  </si>
  <si>
    <t>합 계 ( 제조원가 )</t>
    <phoneticPr fontId="3" type="noConversion"/>
  </si>
  <si>
    <t>일반관리 ( 10 % )</t>
    <phoneticPr fontId="3" type="noConversion"/>
  </si>
  <si>
    <t>영업이익 ( 10 % )</t>
    <phoneticPr fontId="3" type="noConversion"/>
  </si>
  <si>
    <t xml:space="preserve"> </t>
    <phoneticPr fontId="3" type="noConversion"/>
  </si>
  <si>
    <t>표준원가  [재료비+가공비+일반관리비+영업이익(+포장비+운송비+후처리) ]</t>
    <phoneticPr fontId="3" type="noConversion"/>
  </si>
  <si>
    <t>표준원가</t>
    <phoneticPr fontId="3" type="noConversion"/>
  </si>
  <si>
    <t>FACTOR 적용</t>
    <phoneticPr fontId="3" type="noConversion"/>
  </si>
  <si>
    <t>A</t>
    <phoneticPr fontId="3" type="noConversion"/>
  </si>
  <si>
    <t>표준원가 X FACTOR 적용</t>
    <phoneticPr fontId="3" type="noConversion"/>
  </si>
  <si>
    <t>B</t>
    <phoneticPr fontId="3" type="noConversion"/>
  </si>
  <si>
    <t>제조원가 X FACTOR 적용</t>
    <phoneticPr fontId="3" type="noConversion"/>
  </si>
  <si>
    <t xml:space="preserve">     ▣ 표준원가 = 재료비 + 가공비 + 일반관리비 + 영업이익(+포장비+운반비+후가공비)</t>
    <phoneticPr fontId="3" type="noConversion"/>
  </si>
  <si>
    <t xml:space="preserve">     ▣ 재료비 =[【 (NET+S/R) * (1+조건LOSS+가공LOSS) * 원자재가】- 회수재료비]+매입부품비</t>
    <phoneticPr fontId="3" type="noConversion"/>
  </si>
  <si>
    <t xml:space="preserve">     ▣ 가공비 = 적용기계별 가공임률 적용</t>
    <phoneticPr fontId="3" type="noConversion"/>
  </si>
  <si>
    <t xml:space="preserve">     ▣ 영업이익 = 가공비 * 이익율</t>
    <phoneticPr fontId="3" type="noConversion"/>
  </si>
  <si>
    <t xml:space="preserve">     ▣ 포장비 = 실비인정(포장재가÷회전수÷포장수량</t>
    <phoneticPr fontId="3" type="noConversion"/>
  </si>
  <si>
    <t xml:space="preserve">     ▣ 운반비 = [기준운반비÷적재수량]-[가공일반비율*80]</t>
    <phoneticPr fontId="3" type="noConversion"/>
  </si>
  <si>
    <t xml:space="preserve">  ⓐ 가동율 = 24시간의 92%, 가동시간=22HR/일</t>
    <phoneticPr fontId="3" type="noConversion"/>
  </si>
  <si>
    <t xml:space="preserve">  ⓑ 기계감가상각비 = 기계취득가격÷5년÷300일</t>
    <phoneticPr fontId="3" type="noConversion"/>
  </si>
  <si>
    <t xml:space="preserve">  ⓒ 건물감가상각비 = 기계고유면적(3평)×5×100만원/평÷50년÷300일</t>
    <phoneticPr fontId="3" type="noConversion"/>
  </si>
  <si>
    <t xml:space="preserve">  ⓓ 전력비 = 산업전력단가(70원)×전력용량×24HR</t>
    <phoneticPr fontId="3" type="noConversion"/>
  </si>
  <si>
    <t xml:space="preserve">  ⓕ OIL비 = (￦193,300/200L×2회/년÷300일)×OIL탱크용량</t>
    <phoneticPr fontId="3" type="noConversion"/>
  </si>
  <si>
    <t xml:space="preserve">  ⓖ 공통비 = 기계가격×6%÷300일</t>
    <phoneticPr fontId="3" type="noConversion"/>
  </si>
  <si>
    <t xml:space="preserve">  ⓗ 인건비 = 시급당 ￦4,370 시급기준[4대보험,식대,기타 포함/12년03월29일 기준]</t>
    <phoneticPr fontId="3" type="noConversion"/>
  </si>
  <si>
    <t xml:space="preserve">  ⓐ 생산량 = 최적생산량×(1-저하요인)</t>
    <phoneticPr fontId="3" type="noConversion"/>
  </si>
  <si>
    <t>-</t>
    <phoneticPr fontId="13" type="noConversion"/>
  </si>
  <si>
    <t>DISC SEAT Ret-Gasket</t>
    <phoneticPr fontId="3" type="noConversion"/>
  </si>
  <si>
    <t>A564T630</t>
    <phoneticPr fontId="3" type="noConversion"/>
  </si>
  <si>
    <t>SS400</t>
  </si>
  <si>
    <t>B8M</t>
  </si>
  <si>
    <t>B8M</t>
    <phoneticPr fontId="13" type="noConversion"/>
  </si>
  <si>
    <t>316L+G/P</t>
    <phoneticPr fontId="13" type="noConversion"/>
  </si>
  <si>
    <t>중량/개수</t>
    <phoneticPr fontId="3" type="noConversion"/>
  </si>
  <si>
    <t xml:space="preserve"> </t>
    <phoneticPr fontId="13" type="noConversion"/>
  </si>
  <si>
    <t>WCB</t>
    <phoneticPr fontId="13" type="noConversion"/>
  </si>
  <si>
    <t>THRUST BEARING</t>
  </si>
  <si>
    <t>BEARING</t>
  </si>
  <si>
    <t xml:space="preserve"> </t>
    <phoneticPr fontId="13" type="noConversion"/>
  </si>
  <si>
    <t xml:space="preserve"> </t>
    <phoneticPr fontId="3" type="noConversion"/>
  </si>
  <si>
    <t>SIZE</t>
    <phoneticPr fontId="3" type="noConversion"/>
  </si>
  <si>
    <t>DN 80</t>
    <phoneticPr fontId="3" type="noConversion"/>
  </si>
  <si>
    <t>CLASS</t>
    <phoneticPr fontId="3" type="noConversion"/>
  </si>
  <si>
    <t xml:space="preserve">TRIPLE  가공공정 </t>
    <phoneticPr fontId="3" type="noConversion"/>
  </si>
  <si>
    <t>F TO F</t>
    <phoneticPr fontId="3" type="noConversion"/>
  </si>
  <si>
    <t>API 609 CAT'- B
SHROT PATTERN</t>
    <phoneticPr fontId="3" type="noConversion"/>
  </si>
  <si>
    <t>REMARK</t>
    <phoneticPr fontId="3" type="noConversion"/>
  </si>
  <si>
    <t>NO.</t>
    <phoneticPr fontId="3" type="noConversion"/>
  </si>
  <si>
    <t>DESCRIPTION</t>
    <phoneticPr fontId="3" type="noConversion"/>
  </si>
  <si>
    <t>MATERIAL</t>
    <phoneticPr fontId="3" type="noConversion"/>
  </si>
  <si>
    <t xml:space="preserve">재료비 </t>
    <phoneticPr fontId="3" type="noConversion"/>
  </si>
  <si>
    <t>ST</t>
    <phoneticPr fontId="3" type="noConversion"/>
  </si>
  <si>
    <t xml:space="preserve"> 세부 가공비</t>
    <phoneticPr fontId="3" type="noConversion"/>
  </si>
  <si>
    <t xml:space="preserve">가공비 </t>
    <phoneticPr fontId="3" type="noConversion"/>
  </si>
  <si>
    <t>소 계 
( 재료비 + 가공비 )</t>
    <phoneticPr fontId="3" type="noConversion"/>
  </si>
  <si>
    <t>A</t>
    <phoneticPr fontId="3" type="noConversion"/>
  </si>
  <si>
    <t>B</t>
    <phoneticPr fontId="3" type="noConversion"/>
  </si>
  <si>
    <t>C</t>
    <phoneticPr fontId="3" type="noConversion"/>
  </si>
  <si>
    <t>D</t>
    <phoneticPr fontId="3" type="noConversion"/>
  </si>
  <si>
    <t>E</t>
    <phoneticPr fontId="3" type="noConversion"/>
  </si>
  <si>
    <t>F</t>
    <phoneticPr fontId="3" type="noConversion"/>
  </si>
  <si>
    <t>G</t>
    <phoneticPr fontId="3" type="noConversion"/>
  </si>
  <si>
    <t>H</t>
    <phoneticPr fontId="3" type="noConversion"/>
  </si>
  <si>
    <t>I</t>
    <phoneticPr fontId="3" type="noConversion"/>
  </si>
  <si>
    <t>중량</t>
    <phoneticPr fontId="3" type="noConversion"/>
  </si>
  <si>
    <t>단가</t>
    <phoneticPr fontId="3" type="noConversion"/>
  </si>
  <si>
    <t>소재비</t>
    <phoneticPr fontId="3" type="noConversion"/>
  </si>
  <si>
    <t>터닝/선반</t>
    <phoneticPr fontId="3" type="noConversion"/>
  </si>
  <si>
    <t>보링</t>
    <phoneticPr fontId="3" type="noConversion"/>
  </si>
  <si>
    <t>동시보링</t>
    <phoneticPr fontId="3" type="noConversion"/>
  </si>
  <si>
    <t xml:space="preserve">레이알 </t>
    <phoneticPr fontId="3" type="noConversion"/>
  </si>
  <si>
    <t>선반</t>
    <phoneticPr fontId="3" type="noConversion"/>
  </si>
  <si>
    <t>밀링</t>
    <phoneticPr fontId="3" type="noConversion"/>
  </si>
  <si>
    <t>기타</t>
    <phoneticPr fontId="3" type="noConversion"/>
  </si>
  <si>
    <t xml:space="preserve"> </t>
    <phoneticPr fontId="3" type="noConversion"/>
  </si>
  <si>
    <t>표준가공
( S/T : EA/H)</t>
    <phoneticPr fontId="3" type="noConversion"/>
  </si>
  <si>
    <t>기계임률 / H</t>
    <phoneticPr fontId="3" type="noConversion"/>
  </si>
  <si>
    <t>기계임률 / DAY
(10시간)</t>
    <phoneticPr fontId="3" type="noConversion"/>
  </si>
  <si>
    <t xml:space="preserve">DISC </t>
    <phoneticPr fontId="3" type="noConversion"/>
  </si>
  <si>
    <t>표준가공
( S/T : EA/H)</t>
    <phoneticPr fontId="3" type="noConversion"/>
  </si>
  <si>
    <t>기계임률 / DAY</t>
    <phoneticPr fontId="3" type="noConversion"/>
  </si>
  <si>
    <t>표준가공
( S/T : EA/H)</t>
    <phoneticPr fontId="3" type="noConversion"/>
  </si>
  <si>
    <t>STEM</t>
    <phoneticPr fontId="3" type="noConversion"/>
  </si>
  <si>
    <t>표준가공
( S/T : EA/H)</t>
    <phoneticPr fontId="3" type="noConversion"/>
  </si>
  <si>
    <t>표준가공
( S/T : EA/H)</t>
    <phoneticPr fontId="3" type="noConversion"/>
  </si>
  <si>
    <t>PACKING</t>
    <phoneticPr fontId="3" type="noConversion"/>
  </si>
  <si>
    <t>PACKING GLAND</t>
    <phoneticPr fontId="3" type="noConversion"/>
  </si>
  <si>
    <t>표준가공
( S/T : EA/H)</t>
    <phoneticPr fontId="3" type="noConversion"/>
  </si>
  <si>
    <t>PACKING PLATE</t>
    <phoneticPr fontId="3" type="noConversion"/>
  </si>
  <si>
    <t>LIVE LOADING SPRING</t>
    <phoneticPr fontId="3" type="noConversion"/>
  </si>
  <si>
    <t>BUSH(MAIN)</t>
    <phoneticPr fontId="3" type="noConversion"/>
  </si>
  <si>
    <t>BUSH(STUB)</t>
    <phoneticPr fontId="3" type="noConversion"/>
  </si>
  <si>
    <t>COLLAR ( STUB )</t>
    <phoneticPr fontId="3" type="noConversion"/>
  </si>
  <si>
    <t>END COVER GASKET</t>
    <phoneticPr fontId="3" type="noConversion"/>
  </si>
  <si>
    <t>END COVER BOLT</t>
    <phoneticPr fontId="3" type="noConversion"/>
  </si>
  <si>
    <t>DISC PIN</t>
    <phoneticPr fontId="3" type="noConversion"/>
  </si>
  <si>
    <t>TOP COVER BOLT</t>
    <phoneticPr fontId="3" type="noConversion"/>
  </si>
  <si>
    <t>GEAR BOX KEY</t>
    <phoneticPr fontId="3" type="noConversion"/>
  </si>
  <si>
    <t>GEAR BOX</t>
    <phoneticPr fontId="3" type="noConversion"/>
  </si>
  <si>
    <t>PAINTING</t>
    <phoneticPr fontId="3" type="noConversion"/>
  </si>
  <si>
    <t>ASSEMBLY</t>
    <phoneticPr fontId="3" type="noConversion"/>
  </si>
  <si>
    <t>포 장 비 ( 실비 적용 )</t>
    <phoneticPr fontId="3" type="noConversion"/>
  </si>
  <si>
    <t xml:space="preserve"> </t>
    <phoneticPr fontId="3" type="noConversion"/>
  </si>
  <si>
    <t>운 송 비 ( 실비 적용 )</t>
    <phoneticPr fontId="3" type="noConversion"/>
  </si>
  <si>
    <t xml:space="preserve"> </t>
    <phoneticPr fontId="3" type="noConversion"/>
  </si>
  <si>
    <t>합 계 ( 제조원가 )</t>
    <phoneticPr fontId="3" type="noConversion"/>
  </si>
  <si>
    <t xml:space="preserve">제조원가 </t>
    <phoneticPr fontId="3" type="noConversion"/>
  </si>
  <si>
    <t>일반관리 ( 10 % )</t>
    <phoneticPr fontId="3" type="noConversion"/>
  </si>
  <si>
    <t>영업이익 ( 10 % )</t>
    <phoneticPr fontId="3" type="noConversion"/>
  </si>
  <si>
    <t xml:space="preserve"> </t>
    <phoneticPr fontId="3" type="noConversion"/>
  </si>
  <si>
    <t>표준원가  [재료비+가공비+일반관리비+영업이익(+포장비+운송비+후처리) ]</t>
    <phoneticPr fontId="3" type="noConversion"/>
  </si>
  <si>
    <t>표준원가</t>
    <phoneticPr fontId="3" type="noConversion"/>
  </si>
  <si>
    <t>FACTOR 적용</t>
    <phoneticPr fontId="3" type="noConversion"/>
  </si>
  <si>
    <t xml:space="preserve"> </t>
    <phoneticPr fontId="3" type="noConversion"/>
  </si>
  <si>
    <t>견적 적용 금액  ( A  or   B )</t>
    <phoneticPr fontId="3" type="noConversion"/>
  </si>
  <si>
    <t>A</t>
    <phoneticPr fontId="3" type="noConversion"/>
  </si>
  <si>
    <t>표준원가 X FACTOR 적용</t>
    <phoneticPr fontId="3" type="noConversion"/>
  </si>
  <si>
    <t>B</t>
    <phoneticPr fontId="3" type="noConversion"/>
  </si>
  <si>
    <t>제조원가 X FACTOR 적용</t>
    <phoneticPr fontId="3" type="noConversion"/>
  </si>
  <si>
    <t xml:space="preserve">     ▣ 표준원가 = 재료비 + 가공비 + 일반관리비 + 영업이익(+포장비+운반비+후가공비)</t>
    <phoneticPr fontId="3" type="noConversion"/>
  </si>
  <si>
    <t xml:space="preserve">     ▣ 재료비 =[【 (NET+S/R) * (1+조건LOSS+가공LOSS) * 원자재가】- 회수재료비]+매입부품비</t>
    <phoneticPr fontId="3" type="noConversion"/>
  </si>
  <si>
    <t xml:space="preserve">     ▣ 가공비 = 적용기계별 가공임률 적용</t>
    <phoneticPr fontId="3" type="noConversion"/>
  </si>
  <si>
    <t xml:space="preserve">     ▣ 일반관리비 = [재료비*재료비 일반관리율]+[가공비* 가공비 일반관리율]</t>
    <phoneticPr fontId="3" type="noConversion"/>
  </si>
  <si>
    <t xml:space="preserve">     ▣ 영업이익 = 가공비 * 이익율</t>
    <phoneticPr fontId="3" type="noConversion"/>
  </si>
  <si>
    <t xml:space="preserve">     ▣ 포장비 = 실비인정(포장재가÷회전수÷포장수량</t>
    <phoneticPr fontId="3" type="noConversion"/>
  </si>
  <si>
    <t xml:space="preserve">     ▣ 운반비 = [기준운반비÷적재수량]-[가공일반비율*80]</t>
    <phoneticPr fontId="3" type="noConversion"/>
  </si>
  <si>
    <t>【 임율산출근거】</t>
    <phoneticPr fontId="3" type="noConversion"/>
  </si>
  <si>
    <t xml:space="preserve">  ⓐ 가동율 = 24시간의 92%, 가동시간=22HR/일</t>
    <phoneticPr fontId="3" type="noConversion"/>
  </si>
  <si>
    <t xml:space="preserve">  ⓑ 기계감가상각비 = 기계취득가격÷5년÷300일</t>
    <phoneticPr fontId="3" type="noConversion"/>
  </si>
  <si>
    <t xml:space="preserve">  ⓒ 건물감가상각비 = 기계고유면적(3평)×5×100만원/평÷50년÷300일</t>
    <phoneticPr fontId="3" type="noConversion"/>
  </si>
  <si>
    <t xml:space="preserve">  ⓓ 전력비 = 산업전력단가(70원)×전력용량×24HR</t>
    <phoneticPr fontId="3" type="noConversion"/>
  </si>
  <si>
    <t xml:space="preserve">  ⓔ 용수비 = 냉각수유량×단가(￦30/ton)×24HR</t>
    <phoneticPr fontId="3" type="noConversion"/>
  </si>
  <si>
    <t xml:space="preserve">  ⓕ OIL비 = (￦193,300/200L×2회/년÷300일)×OIL탱크용량</t>
    <phoneticPr fontId="3" type="noConversion"/>
  </si>
  <si>
    <t xml:space="preserve">  ⓖ 공통비 = 기계가격×6%÷300일</t>
    <phoneticPr fontId="3" type="noConversion"/>
  </si>
  <si>
    <t xml:space="preserve">  ⓗ 인건비 = 시급당 ￦4,370 시급기준[4대보험,식대,기타 포함/12년03월29일 기준]</t>
    <phoneticPr fontId="3" type="noConversion"/>
  </si>
  <si>
    <t xml:space="preserve"> </t>
    <phoneticPr fontId="3" type="noConversion"/>
  </si>
  <si>
    <t>【 생산량 산출근거 】</t>
    <phoneticPr fontId="3" type="noConversion"/>
  </si>
  <si>
    <t xml:space="preserve">  ⓐ 생산량 = 최적생산량×(1-저하요인)</t>
    <phoneticPr fontId="3" type="noConversion"/>
  </si>
  <si>
    <t xml:space="preserve">  ⓑ 최적생산량 = 1일 생산 수량 </t>
    <phoneticPr fontId="3" type="noConversion"/>
  </si>
  <si>
    <t>SIZE</t>
    <phoneticPr fontId="3" type="noConversion"/>
  </si>
  <si>
    <t>DN 100</t>
    <phoneticPr fontId="3" type="noConversion"/>
  </si>
  <si>
    <t>TYPE</t>
    <phoneticPr fontId="3" type="noConversion"/>
  </si>
  <si>
    <t xml:space="preserve">TRIPLE  가공공정 </t>
    <phoneticPr fontId="3" type="noConversion"/>
  </si>
  <si>
    <t>API 609 CAT'- B
SHROT PATTERN</t>
    <phoneticPr fontId="3" type="noConversion"/>
  </si>
  <si>
    <t>NO.</t>
    <phoneticPr fontId="3" type="noConversion"/>
  </si>
  <si>
    <t xml:space="preserve"> 세부 가공비</t>
    <phoneticPr fontId="3" type="noConversion"/>
  </si>
  <si>
    <t>C</t>
    <phoneticPr fontId="3" type="noConversion"/>
  </si>
  <si>
    <t>단가</t>
    <phoneticPr fontId="3" type="noConversion"/>
  </si>
  <si>
    <t>터닝/선반</t>
    <phoneticPr fontId="3" type="noConversion"/>
  </si>
  <si>
    <t>밀링</t>
    <phoneticPr fontId="3" type="noConversion"/>
  </si>
  <si>
    <t>S
T
A
N
D
A
R
D</t>
    <phoneticPr fontId="3" type="noConversion"/>
  </si>
  <si>
    <t>기계임률 / DAY
(10시간)</t>
    <phoneticPr fontId="3" type="noConversion"/>
  </si>
  <si>
    <t>표준가공
( S/T : EA/H)</t>
    <phoneticPr fontId="3" type="noConversion"/>
  </si>
  <si>
    <t>LIVE LOADING SPRING</t>
    <phoneticPr fontId="3" type="noConversion"/>
  </si>
  <si>
    <t>BUSH(MAIN)</t>
    <phoneticPr fontId="3" type="noConversion"/>
  </si>
  <si>
    <t>BUSH(STUB)</t>
    <phoneticPr fontId="3" type="noConversion"/>
  </si>
  <si>
    <t>COLLAR ( STUB )</t>
    <phoneticPr fontId="3" type="noConversion"/>
  </si>
  <si>
    <t>END COVER GASKET</t>
    <phoneticPr fontId="3" type="noConversion"/>
  </si>
  <si>
    <t>END COVER BOLT</t>
    <phoneticPr fontId="3" type="noConversion"/>
  </si>
  <si>
    <t>DISC PIN</t>
    <phoneticPr fontId="3" type="noConversion"/>
  </si>
  <si>
    <t>GEAR BOX KEY</t>
    <phoneticPr fontId="3" type="noConversion"/>
  </si>
  <si>
    <t>PAINTING</t>
    <phoneticPr fontId="3" type="noConversion"/>
  </si>
  <si>
    <t>포 장 비 ( 실비 적용 )</t>
    <phoneticPr fontId="3" type="noConversion"/>
  </si>
  <si>
    <t xml:space="preserve"> </t>
    <phoneticPr fontId="3" type="noConversion"/>
  </si>
  <si>
    <t xml:space="preserve">제조원가 </t>
    <phoneticPr fontId="3" type="noConversion"/>
  </si>
  <si>
    <t>영업이익 ( 10 % )</t>
    <phoneticPr fontId="3" type="noConversion"/>
  </si>
  <si>
    <t>표준원가 X FACTOR 적용</t>
    <phoneticPr fontId="3" type="noConversion"/>
  </si>
  <si>
    <t>B</t>
    <phoneticPr fontId="3" type="noConversion"/>
  </si>
  <si>
    <t>제조원가 X FACTOR 적용</t>
    <phoneticPr fontId="3" type="noConversion"/>
  </si>
  <si>
    <t xml:space="preserve">     ▣ 표준원가 = 재료비 + 가공비 + 일반관리비 + 영업이익(+포장비+운반비+후가공비)</t>
    <phoneticPr fontId="3" type="noConversion"/>
  </si>
  <si>
    <t xml:space="preserve">     ▣ 일반관리비 = [재료비*재료비 일반관리율]+[가공비* 가공비 일반관리율]</t>
    <phoneticPr fontId="3" type="noConversion"/>
  </si>
  <si>
    <t xml:space="preserve">     ▣ 영업이익 = 가공비 * 이익율</t>
    <phoneticPr fontId="3" type="noConversion"/>
  </si>
  <si>
    <t xml:space="preserve">  ⓐ 가동율 = 24시간의 92%, 가동시간=22HR/일</t>
    <phoneticPr fontId="3" type="noConversion"/>
  </si>
  <si>
    <t xml:space="preserve">  ⓓ 전력비 = 산업전력단가(70원)×전력용량×24HR</t>
    <phoneticPr fontId="3" type="noConversion"/>
  </si>
  <si>
    <t xml:space="preserve">  ⓕ OIL비 = (￦193,300/200L×2회/년÷300일)×OIL탱크용량</t>
    <phoneticPr fontId="3" type="noConversion"/>
  </si>
  <si>
    <t xml:space="preserve">  ⓖ 공통비 = 기계가격×6%÷300일</t>
    <phoneticPr fontId="3" type="noConversion"/>
  </si>
  <si>
    <t xml:space="preserve">  ⓗ 인건비 = 시급당 ￦4,370 시급기준[4대보험,식대,기타 포함/12년03월29일 기준]</t>
    <phoneticPr fontId="3" type="noConversion"/>
  </si>
  <si>
    <t>단위 : 원</t>
    <phoneticPr fontId="3" type="noConversion"/>
  </si>
  <si>
    <t>DN 150</t>
    <phoneticPr fontId="3" type="noConversion"/>
  </si>
  <si>
    <t>CLASS</t>
    <phoneticPr fontId="3" type="noConversion"/>
  </si>
  <si>
    <t>TYPE</t>
    <phoneticPr fontId="3" type="noConversion"/>
  </si>
  <si>
    <t xml:space="preserve">TRIPLE  가공공정 </t>
    <phoneticPr fontId="3" type="noConversion"/>
  </si>
  <si>
    <t>F TO F</t>
    <phoneticPr fontId="3" type="noConversion"/>
  </si>
  <si>
    <t>API 609 CAT'- B
SHROT PATTERN</t>
    <phoneticPr fontId="3" type="noConversion"/>
  </si>
  <si>
    <t>REMARK</t>
    <phoneticPr fontId="3" type="noConversion"/>
  </si>
  <si>
    <t>NO.</t>
    <phoneticPr fontId="3" type="noConversion"/>
  </si>
  <si>
    <t>DESCRIPTION</t>
    <phoneticPr fontId="3" type="noConversion"/>
  </si>
  <si>
    <t xml:space="preserve">재료비 </t>
    <phoneticPr fontId="3" type="noConversion"/>
  </si>
  <si>
    <t>ST</t>
    <phoneticPr fontId="3" type="noConversion"/>
  </si>
  <si>
    <t xml:space="preserve"> 세부 가공비</t>
    <phoneticPr fontId="3" type="noConversion"/>
  </si>
  <si>
    <t>소 계 
( 재료비 + 가공비 )</t>
    <phoneticPr fontId="3" type="noConversion"/>
  </si>
  <si>
    <t>B</t>
    <phoneticPr fontId="3" type="noConversion"/>
  </si>
  <si>
    <t>C</t>
    <phoneticPr fontId="3" type="noConversion"/>
  </si>
  <si>
    <t>E</t>
    <phoneticPr fontId="3" type="noConversion"/>
  </si>
  <si>
    <t>H</t>
    <phoneticPr fontId="3" type="noConversion"/>
  </si>
  <si>
    <t>중량</t>
    <phoneticPr fontId="3" type="noConversion"/>
  </si>
  <si>
    <t>소재비</t>
    <phoneticPr fontId="3" type="noConversion"/>
  </si>
  <si>
    <t>터닝/선반</t>
    <phoneticPr fontId="3" type="noConversion"/>
  </si>
  <si>
    <t>레디알</t>
    <phoneticPr fontId="3" type="noConversion"/>
  </si>
  <si>
    <t>보링</t>
    <phoneticPr fontId="3" type="noConversion"/>
  </si>
  <si>
    <t>동시보링</t>
    <phoneticPr fontId="3" type="noConversion"/>
  </si>
  <si>
    <t xml:space="preserve">레이알 </t>
    <phoneticPr fontId="3" type="noConversion"/>
  </si>
  <si>
    <t>선반</t>
    <phoneticPr fontId="3" type="noConversion"/>
  </si>
  <si>
    <t>밀링</t>
    <phoneticPr fontId="3" type="noConversion"/>
  </si>
  <si>
    <t>표준가공
( S/T : EA/H)</t>
    <phoneticPr fontId="3" type="noConversion"/>
  </si>
  <si>
    <t xml:space="preserve">DISC </t>
    <phoneticPr fontId="3" type="noConversion"/>
  </si>
  <si>
    <t>PACKING GLAND</t>
    <phoneticPr fontId="3" type="noConversion"/>
  </si>
  <si>
    <t>END COVER BOLT</t>
    <phoneticPr fontId="3" type="noConversion"/>
  </si>
  <si>
    <t>포 장 비 ( 실비 적용 )</t>
    <phoneticPr fontId="3" type="noConversion"/>
  </si>
  <si>
    <t xml:space="preserve"> </t>
    <phoneticPr fontId="3" type="noConversion"/>
  </si>
  <si>
    <t>합 계 ( 제조원가 )</t>
    <phoneticPr fontId="3" type="noConversion"/>
  </si>
  <si>
    <t xml:space="preserve">제조원가  </t>
    <phoneticPr fontId="3" type="noConversion"/>
  </si>
  <si>
    <t xml:space="preserve">제조원가  </t>
    <phoneticPr fontId="3" type="noConversion"/>
  </si>
  <si>
    <t>일반관리 ( 10 % )</t>
    <phoneticPr fontId="3" type="noConversion"/>
  </si>
  <si>
    <t>표준원가</t>
    <phoneticPr fontId="3" type="noConversion"/>
  </si>
  <si>
    <t>표준원가 X FACTOR 적용</t>
    <phoneticPr fontId="3" type="noConversion"/>
  </si>
  <si>
    <t>B</t>
    <phoneticPr fontId="3" type="noConversion"/>
  </si>
  <si>
    <t>제조원가 X FACTOR 적용</t>
    <phoneticPr fontId="3" type="noConversion"/>
  </si>
  <si>
    <t xml:space="preserve">     ▣ 표준원가 = 재료비 + 가공비 + 일반관리비 + 영업이익(+포장비+운반비+후가공비)</t>
    <phoneticPr fontId="3" type="noConversion"/>
  </si>
  <si>
    <t xml:space="preserve">     ▣ 재료비 =[【 (NET+S/R) * (1+조건LOSS+가공LOSS) * 원자재가】- 회수재료비]+매입부품비</t>
    <phoneticPr fontId="3" type="noConversion"/>
  </si>
  <si>
    <t xml:space="preserve">     ▣ 가공비 = 적용기계별 가공임률 적용</t>
    <phoneticPr fontId="3" type="noConversion"/>
  </si>
  <si>
    <t xml:space="preserve">     ▣ 일반관리비 = [재료비*재료비 일반관리율]+[가공비* 가공비 일반관리율]</t>
    <phoneticPr fontId="3" type="noConversion"/>
  </si>
  <si>
    <t xml:space="preserve">     ▣ 영업이익 = 가공비 * 이익율</t>
    <phoneticPr fontId="3" type="noConversion"/>
  </si>
  <si>
    <t xml:space="preserve">     ▣ 포장비 = 실비인정(포장재가÷회전수÷포장수량</t>
    <phoneticPr fontId="3" type="noConversion"/>
  </si>
  <si>
    <t xml:space="preserve">     ▣ 운반비 = [기준운반비÷적재수량]-[가공일반비율*80]</t>
    <phoneticPr fontId="3" type="noConversion"/>
  </si>
  <si>
    <t>【 임율산출근거】</t>
    <phoneticPr fontId="3" type="noConversion"/>
  </si>
  <si>
    <t xml:space="preserve">  ⓐ 가동율 = 24시간의 92%, 가동시간=22HR/일</t>
    <phoneticPr fontId="3" type="noConversion"/>
  </si>
  <si>
    <t xml:space="preserve">  ⓑ 기계감가상각비 = 기계취득가격÷5년÷300일</t>
    <phoneticPr fontId="3" type="noConversion"/>
  </si>
  <si>
    <t xml:space="preserve">  ⓓ 전력비 = 산업전력단가(70원)×전력용량×24HR</t>
    <phoneticPr fontId="3" type="noConversion"/>
  </si>
  <si>
    <t xml:space="preserve">  ⓔ 용수비 = 냉각수유량×단가(￦30/ton)×24HR</t>
    <phoneticPr fontId="3" type="noConversion"/>
  </si>
  <si>
    <t xml:space="preserve">  ⓕ OIL비 = (￦193,300/200L×2회/년÷300일)×OIL탱크용량</t>
    <phoneticPr fontId="3" type="noConversion"/>
  </si>
  <si>
    <t xml:space="preserve">  ⓖ 공통비 = 기계가격×6%÷300일</t>
    <phoneticPr fontId="3" type="noConversion"/>
  </si>
  <si>
    <t>【 생산량 산출근거 】</t>
    <phoneticPr fontId="3" type="noConversion"/>
  </si>
  <si>
    <t xml:space="preserve">  ⓐ 생산량 = 최적생산량×(1-저하요인)</t>
    <phoneticPr fontId="3" type="noConversion"/>
  </si>
  <si>
    <t xml:space="preserve">  ⓑ 최적생산량 = 1일 생산 수량 </t>
    <phoneticPr fontId="3" type="noConversion"/>
  </si>
  <si>
    <t>DN 200</t>
    <phoneticPr fontId="3" type="noConversion"/>
  </si>
  <si>
    <t>기계임률 / DAY
(10시간)</t>
    <phoneticPr fontId="3" type="noConversion"/>
  </si>
  <si>
    <t>표준가공
( S/T : EA/H)</t>
    <phoneticPr fontId="3" type="noConversion"/>
  </si>
  <si>
    <t>DN 250</t>
    <phoneticPr fontId="3" type="noConversion"/>
  </si>
  <si>
    <t>레디알</t>
    <phoneticPr fontId="3" type="noConversion"/>
  </si>
  <si>
    <t>기계임률 / H</t>
    <phoneticPr fontId="3" type="noConversion"/>
  </si>
  <si>
    <t>DN 300</t>
    <phoneticPr fontId="3" type="noConversion"/>
  </si>
  <si>
    <t>API 609 CAT'- B
SHROT PATTERN</t>
    <phoneticPr fontId="3" type="noConversion"/>
  </si>
  <si>
    <t>NO.</t>
    <phoneticPr fontId="3" type="noConversion"/>
  </si>
  <si>
    <t xml:space="preserve">재료비 </t>
    <phoneticPr fontId="3" type="noConversion"/>
  </si>
  <si>
    <t xml:space="preserve">가공비 </t>
    <phoneticPr fontId="3" type="noConversion"/>
  </si>
  <si>
    <t>소 계 
( 재료비 + 가공비 )</t>
    <phoneticPr fontId="3" type="noConversion"/>
  </si>
  <si>
    <t>C</t>
    <phoneticPr fontId="3" type="noConversion"/>
  </si>
  <si>
    <t>PACKING GLAND</t>
    <phoneticPr fontId="3" type="noConversion"/>
  </si>
  <si>
    <t>DN 350</t>
    <phoneticPr fontId="3" type="noConversion"/>
  </si>
  <si>
    <t>END COVER BOLT</t>
    <phoneticPr fontId="3" type="noConversion"/>
  </si>
  <si>
    <t xml:space="preserve"> </t>
    <phoneticPr fontId="3" type="noConversion"/>
  </si>
  <si>
    <t xml:space="preserve">  ⓔ 용수비 = 냉각수유량×단가(￦30/ton)×24HR</t>
    <phoneticPr fontId="3" type="noConversion"/>
  </si>
  <si>
    <t xml:space="preserve">  ⓕ OIL비 = (￦193,300/200L×2회/년÷300일)×OIL탱크용량</t>
    <phoneticPr fontId="3" type="noConversion"/>
  </si>
  <si>
    <t>DN 400</t>
    <phoneticPr fontId="3" type="noConversion"/>
  </si>
  <si>
    <t>CLASS</t>
    <phoneticPr fontId="3" type="noConversion"/>
  </si>
  <si>
    <t>API 609 CAT'- B
SHROT PATTERN</t>
    <phoneticPr fontId="3" type="noConversion"/>
  </si>
  <si>
    <t>D</t>
    <phoneticPr fontId="3" type="noConversion"/>
  </si>
  <si>
    <t>I</t>
    <phoneticPr fontId="3" type="noConversion"/>
  </si>
  <si>
    <t>보링</t>
    <phoneticPr fontId="3" type="noConversion"/>
  </si>
  <si>
    <t>기타</t>
    <phoneticPr fontId="3" type="noConversion"/>
  </si>
  <si>
    <t>표준가공
( S/T : EA/H)</t>
    <phoneticPr fontId="3" type="noConversion"/>
  </si>
  <si>
    <t>PACKING PLATE</t>
    <phoneticPr fontId="3" type="noConversion"/>
  </si>
  <si>
    <t>DN 450</t>
    <phoneticPr fontId="3" type="noConversion"/>
  </si>
  <si>
    <t>F TO F</t>
    <phoneticPr fontId="3" type="noConversion"/>
  </si>
  <si>
    <t>NO.</t>
    <phoneticPr fontId="3" type="noConversion"/>
  </si>
  <si>
    <t xml:space="preserve">재료비 </t>
    <phoneticPr fontId="3" type="noConversion"/>
  </si>
  <si>
    <t>소 계 
( 재료비 + 가공비 )</t>
    <phoneticPr fontId="3" type="noConversion"/>
  </si>
  <si>
    <t>E</t>
    <phoneticPr fontId="3" type="noConversion"/>
  </si>
  <si>
    <t>G</t>
    <phoneticPr fontId="3" type="noConversion"/>
  </si>
  <si>
    <t>H</t>
    <phoneticPr fontId="3" type="noConversion"/>
  </si>
  <si>
    <t>단가</t>
    <phoneticPr fontId="3" type="noConversion"/>
  </si>
  <si>
    <t>터닝/선반</t>
    <phoneticPr fontId="3" type="noConversion"/>
  </si>
  <si>
    <t xml:space="preserve"> </t>
    <phoneticPr fontId="3" type="noConversion"/>
  </si>
  <si>
    <t>기계임률 / H</t>
    <phoneticPr fontId="3" type="noConversion"/>
  </si>
  <si>
    <t>표준가공
( S/T : EA/H)</t>
    <phoneticPr fontId="3" type="noConversion"/>
  </si>
  <si>
    <t>표준가공
( S/T : EA/H)</t>
    <phoneticPr fontId="3" type="noConversion"/>
  </si>
  <si>
    <t>PACKING</t>
    <phoneticPr fontId="3" type="noConversion"/>
  </si>
  <si>
    <t>표준가공
( S/T : EA/H)</t>
    <phoneticPr fontId="3" type="noConversion"/>
  </si>
  <si>
    <t>PACKING PLATE</t>
    <phoneticPr fontId="3" type="noConversion"/>
  </si>
  <si>
    <t>BUSH(STUB)</t>
    <phoneticPr fontId="3" type="noConversion"/>
  </si>
  <si>
    <t>END COVER GASKET</t>
    <phoneticPr fontId="3" type="noConversion"/>
  </si>
  <si>
    <t>END COVER BOLT</t>
    <phoneticPr fontId="3" type="noConversion"/>
  </si>
  <si>
    <t>GEAR BOX BOLT</t>
    <phoneticPr fontId="3" type="noConversion"/>
  </si>
  <si>
    <t>PAINTING</t>
    <phoneticPr fontId="3" type="noConversion"/>
  </si>
  <si>
    <t>ASSEMBLY</t>
    <phoneticPr fontId="3" type="noConversion"/>
  </si>
  <si>
    <t>포 장 비 ( 실비 적용 )</t>
    <phoneticPr fontId="3" type="noConversion"/>
  </si>
  <si>
    <t>합 계 ( 제조원가 )</t>
    <phoneticPr fontId="3" type="noConversion"/>
  </si>
  <si>
    <t>표준원가</t>
    <phoneticPr fontId="3" type="noConversion"/>
  </si>
  <si>
    <t>FACTOR 적용</t>
    <phoneticPr fontId="3" type="noConversion"/>
  </si>
  <si>
    <t>견적 적용 금액  ( A  or   B )</t>
    <phoneticPr fontId="3" type="noConversion"/>
  </si>
  <si>
    <t>A</t>
    <phoneticPr fontId="3" type="noConversion"/>
  </si>
  <si>
    <t>표준원가 X FACTOR 적용</t>
    <phoneticPr fontId="3" type="noConversion"/>
  </si>
  <si>
    <t>B</t>
    <phoneticPr fontId="3" type="noConversion"/>
  </si>
  <si>
    <t xml:space="preserve">     ▣ 재료비 =[【 (NET+S/R) * (1+조건LOSS+가공LOSS) * 원자재가】- 회수재료비]+매입부품비</t>
    <phoneticPr fontId="3" type="noConversion"/>
  </si>
  <si>
    <t xml:space="preserve">     ▣ 가공비 = 적용기계별 가공임률 적용</t>
    <phoneticPr fontId="3" type="noConversion"/>
  </si>
  <si>
    <t xml:space="preserve">     ▣ 포장비 = 실비인정(포장재가÷회전수÷포장수량</t>
    <phoneticPr fontId="3" type="noConversion"/>
  </si>
  <si>
    <t xml:space="preserve">     ▣ 운반비 = [기준운반비÷적재수량]-[가공일반비율*80]</t>
    <phoneticPr fontId="3" type="noConversion"/>
  </si>
  <si>
    <t xml:space="preserve">  ⓒ 건물감가상각비 = 기계고유면적(3평)×5×100만원/평÷50년÷300일</t>
    <phoneticPr fontId="3" type="noConversion"/>
  </si>
  <si>
    <t xml:space="preserve">  ⓓ 전력비 = 산업전력단가(70원)×전력용량×24HR</t>
    <phoneticPr fontId="3" type="noConversion"/>
  </si>
  <si>
    <t xml:space="preserve">  ⓖ 공통비 = 기계가격×6%÷300일</t>
    <phoneticPr fontId="3" type="noConversion"/>
  </si>
  <si>
    <t xml:space="preserve">  ⓗ 인건비 = 시급당 ￦4,370 시급기준[4대보험,식대,기타 포함/12년03월29일 기준]</t>
    <phoneticPr fontId="3" type="noConversion"/>
  </si>
  <si>
    <t>【 생산량 산출근거 】</t>
    <phoneticPr fontId="3" type="noConversion"/>
  </si>
  <si>
    <t xml:space="preserve">  ⓐ 생산량 = 최적생산량×(1-저하요인)</t>
    <phoneticPr fontId="3" type="noConversion"/>
  </si>
  <si>
    <t>DN 500</t>
    <phoneticPr fontId="3" type="noConversion"/>
  </si>
  <si>
    <t>ST</t>
    <phoneticPr fontId="3" type="noConversion"/>
  </si>
  <si>
    <t>중량</t>
    <phoneticPr fontId="3" type="noConversion"/>
  </si>
  <si>
    <t>선반</t>
    <phoneticPr fontId="3" type="noConversion"/>
  </si>
  <si>
    <t>S
T
A
N
D
A
R
D</t>
    <phoneticPr fontId="3" type="noConversion"/>
  </si>
  <si>
    <t xml:space="preserve"> </t>
    <phoneticPr fontId="3" type="noConversion"/>
  </si>
  <si>
    <t>SS400</t>
    <phoneticPr fontId="13" type="noConversion"/>
  </si>
  <si>
    <t>SIZE</t>
    <phoneticPr fontId="3" type="noConversion"/>
  </si>
  <si>
    <t>DISC</t>
    <phoneticPr fontId="3" type="noConversion"/>
  </si>
  <si>
    <t>STEM</t>
    <phoneticPr fontId="3" type="noConversion"/>
  </si>
  <si>
    <t>SEAT GLAND</t>
    <phoneticPr fontId="3" type="noConversion"/>
  </si>
  <si>
    <t>STELLITE</t>
    <phoneticPr fontId="3" type="noConversion"/>
  </si>
  <si>
    <t>ASSEMBLY BOLT</t>
    <phoneticPr fontId="3" type="noConversion"/>
  </si>
  <si>
    <t>BUSH</t>
    <phoneticPr fontId="3" type="noConversion"/>
  </si>
  <si>
    <t>PACKING GLAND</t>
    <phoneticPr fontId="3" type="noConversion"/>
  </si>
  <si>
    <t>DESCRIPTION</t>
    <phoneticPr fontId="3" type="noConversion"/>
  </si>
  <si>
    <t>MATERIAL</t>
    <phoneticPr fontId="3" type="noConversion"/>
  </si>
  <si>
    <t>PRICE</t>
    <phoneticPr fontId="3" type="noConversion"/>
  </si>
  <si>
    <t>업체/재질별 주조 단가 (2019-05-21)</t>
    <phoneticPr fontId="24" type="noConversion"/>
  </si>
  <si>
    <t>업체</t>
    <phoneticPr fontId="24" type="noConversion"/>
  </si>
  <si>
    <t>REV</t>
    <phoneticPr fontId="24" type="noConversion"/>
  </si>
  <si>
    <t>관리CAPA.</t>
    <phoneticPr fontId="24" type="noConversion"/>
  </si>
  <si>
    <t>MONEL
K500</t>
    <phoneticPr fontId="24" type="noConversion"/>
  </si>
  <si>
    <t>ALBC3</t>
    <phoneticPr fontId="24" type="noConversion"/>
  </si>
  <si>
    <t>B148</t>
    <phoneticPr fontId="24" type="noConversion"/>
  </si>
  <si>
    <t>A536</t>
    <phoneticPr fontId="24" type="noConversion"/>
  </si>
  <si>
    <t>제흥금속</t>
    <phoneticPr fontId="24" type="noConversion"/>
  </si>
  <si>
    <t>폐업(2018년5월)</t>
    <phoneticPr fontId="24" type="noConversion"/>
  </si>
  <si>
    <t>50KG이상</t>
    <phoneticPr fontId="24" type="noConversion"/>
  </si>
  <si>
    <t>HTF</t>
    <phoneticPr fontId="24" type="noConversion"/>
  </si>
  <si>
    <t>품질문제로 품질부 거래 holding</t>
    <phoneticPr fontId="24" type="noConversion"/>
  </si>
  <si>
    <t>101KG 이상</t>
    <phoneticPr fontId="24" type="noConversion"/>
  </si>
  <si>
    <t>100KG 이하</t>
    <phoneticPr fontId="24" type="noConversion"/>
  </si>
  <si>
    <t>영광스틸</t>
    <phoneticPr fontId="24" type="noConversion"/>
  </si>
  <si>
    <t>단가인상요청 미반영 거래 반납</t>
    <phoneticPr fontId="24" type="noConversion"/>
  </si>
  <si>
    <t>21KG 이상</t>
    <phoneticPr fontId="24" type="noConversion"/>
  </si>
  <si>
    <t>20KG 이하</t>
    <phoneticPr fontId="24" type="noConversion"/>
  </si>
  <si>
    <t>대림산업</t>
    <phoneticPr fontId="24" type="noConversion"/>
  </si>
  <si>
    <t>2018년 10월 rev.</t>
    <phoneticPr fontId="24" type="noConversion"/>
  </si>
  <si>
    <t>200KG이상</t>
    <phoneticPr fontId="24" type="noConversion"/>
  </si>
  <si>
    <t>대신금속</t>
    <phoneticPr fontId="24" type="noConversion"/>
  </si>
  <si>
    <t>2018년 11월 rev.</t>
    <phoneticPr fontId="24" type="noConversion"/>
  </si>
  <si>
    <t>300KG미만</t>
    <phoneticPr fontId="24" type="noConversion"/>
  </si>
  <si>
    <t>300KG이상</t>
    <phoneticPr fontId="24" type="noConversion"/>
  </si>
  <si>
    <t>주원특수강</t>
    <phoneticPr fontId="24" type="noConversion"/>
  </si>
  <si>
    <t>100kg 이하는 별도 견적</t>
    <phoneticPr fontId="24" type="noConversion"/>
  </si>
  <si>
    <t>100~300KG</t>
    <phoneticPr fontId="24" type="noConversion"/>
  </si>
  <si>
    <t>금화STEEL</t>
    <phoneticPr fontId="24" type="noConversion"/>
  </si>
  <si>
    <t>2018년 6월 거래 개시</t>
    <phoneticPr fontId="24" type="noConversion"/>
  </si>
  <si>
    <t>광명금속</t>
    <phoneticPr fontId="24" type="noConversion"/>
  </si>
  <si>
    <t>신규 개발진행 업체</t>
    <phoneticPr fontId="24" type="noConversion"/>
  </si>
  <si>
    <t>~20KG</t>
    <phoneticPr fontId="24" type="noConversion"/>
  </si>
  <si>
    <t>21~50KG</t>
    <phoneticPr fontId="24" type="noConversion"/>
  </si>
  <si>
    <t>50KG~</t>
    <phoneticPr fontId="24" type="noConversion"/>
  </si>
  <si>
    <t>디에스케스텍</t>
    <phoneticPr fontId="24" type="noConversion"/>
  </si>
  <si>
    <t>대원테크</t>
    <phoneticPr fontId="24" type="noConversion"/>
  </si>
  <si>
    <t>정밀주조업체</t>
    <phoneticPr fontId="24" type="noConversion"/>
  </si>
  <si>
    <t>SY메탈</t>
    <phoneticPr fontId="24" type="noConversion"/>
  </si>
  <si>
    <t>삼성금속</t>
    <phoneticPr fontId="24" type="noConversion"/>
  </si>
  <si>
    <t>진우 ENG</t>
    <phoneticPr fontId="24" type="noConversion"/>
  </si>
  <si>
    <t>REV.1(17-01-24)
NEGO금액 
ALBC,B148 -150원-</t>
    <phoneticPr fontId="24" type="noConversion"/>
  </si>
  <si>
    <t>DN350이하</t>
    <phoneticPr fontId="24" type="noConversion"/>
  </si>
  <si>
    <t>DN400이상</t>
    <phoneticPr fontId="24" type="noConversion"/>
  </si>
  <si>
    <t>진우 ENG</t>
    <phoneticPr fontId="24" type="noConversion"/>
  </si>
  <si>
    <t>마천캐스트</t>
    <phoneticPr fontId="24" type="noConversion"/>
  </si>
  <si>
    <t>2019-01-21 단가인상요청
(1950원-&gt;2100원)</t>
    <phoneticPr fontId="24" type="noConversion"/>
  </si>
  <si>
    <t>DN500~1000</t>
    <phoneticPr fontId="24" type="noConversion"/>
  </si>
  <si>
    <t>DN2200 이하</t>
    <phoneticPr fontId="24" type="noConversion"/>
  </si>
  <si>
    <t>DN2200 초과</t>
    <phoneticPr fontId="24" type="noConversion"/>
  </si>
  <si>
    <t>화성금속</t>
    <phoneticPr fontId="24" type="noConversion"/>
  </si>
  <si>
    <t>1500이상</t>
    <phoneticPr fontId="24" type="noConversion"/>
  </si>
  <si>
    <t>신우공업</t>
    <phoneticPr fontId="24" type="noConversion"/>
  </si>
  <si>
    <t>450A이하</t>
    <phoneticPr fontId="24" type="noConversion"/>
  </si>
  <si>
    <t>500A이상</t>
    <phoneticPr fontId="24" type="noConversion"/>
  </si>
  <si>
    <t>800KG이상</t>
    <phoneticPr fontId="24" type="noConversion"/>
  </si>
  <si>
    <t>NOTE</t>
    <phoneticPr fontId="24" type="noConversion"/>
  </si>
  <si>
    <t>주강 선급품 기존 단가에서 +100원/KG 추가됨</t>
    <phoneticPr fontId="24" type="noConversion"/>
  </si>
  <si>
    <t>중공형 DISC는 용접비 +400원/KG 추가됨 (SY메탈 DN1000미만 +2000원/KG , DN1000이상 +1500원/KG)</t>
    <phoneticPr fontId="24" type="noConversion"/>
  </si>
  <si>
    <t>영광 STEEL 주강 -100원 SUS -200원 NEGO(2017-01-12)</t>
    <phoneticPr fontId="24" type="noConversion"/>
  </si>
  <si>
    <t>신우공업 - DN500이상 -70원, 800KG이상 -20원(2017-01-24)</t>
    <phoneticPr fontId="24" type="noConversion"/>
  </si>
  <si>
    <t>신우공업 - DN450이하 -50원 NEGO(2017-10-10)</t>
    <phoneticPr fontId="24" type="noConversion"/>
  </si>
  <si>
    <t>HTF,대원 - 단가적용(2017-10-10)</t>
    <phoneticPr fontId="24" type="noConversion"/>
  </si>
  <si>
    <t>주원특수강 전체 단가 인상 적용(2018년 6월 14일)</t>
    <phoneticPr fontId="24" type="noConversion"/>
  </si>
  <si>
    <t>광명금속 신규 추가(2018년 11월 15일)</t>
    <phoneticPr fontId="24" type="noConversion"/>
  </si>
  <si>
    <t>광명금속 단가 NEGO 적용(2019년 5월 21일)</t>
    <phoneticPr fontId="24" type="noConversion"/>
  </si>
  <si>
    <t>A216 WCB</t>
    <phoneticPr fontId="24" type="noConversion"/>
  </si>
  <si>
    <t>A217 WC9</t>
    <phoneticPr fontId="24" type="noConversion"/>
  </si>
  <si>
    <t>A217 WC1</t>
    <phoneticPr fontId="24" type="noConversion"/>
  </si>
  <si>
    <t>A352 LCC</t>
    <phoneticPr fontId="24" type="noConversion"/>
  </si>
  <si>
    <t>A217 WC6</t>
    <phoneticPr fontId="24" type="noConversion"/>
  </si>
  <si>
    <t>A217 CA15</t>
    <phoneticPr fontId="24" type="noConversion"/>
  </si>
  <si>
    <t>A351 CG8M</t>
    <phoneticPr fontId="24" type="noConversion"/>
  </si>
  <si>
    <t>A351 CG3M</t>
    <phoneticPr fontId="24" type="noConversion"/>
  </si>
  <si>
    <t>A351 CF8</t>
    <phoneticPr fontId="24" type="noConversion"/>
  </si>
  <si>
    <t>A351 CF8M</t>
    <phoneticPr fontId="24" type="noConversion"/>
  </si>
  <si>
    <t>A351 CF3M</t>
    <phoneticPr fontId="24" type="noConversion"/>
  </si>
  <si>
    <t>A890 4A</t>
    <phoneticPr fontId="24" type="noConversion"/>
  </si>
  <si>
    <t>A890 5A</t>
    <phoneticPr fontId="24" type="noConversion"/>
  </si>
  <si>
    <t>A890 6A</t>
    <phoneticPr fontId="24" type="noConversion"/>
  </si>
  <si>
    <t>A351 CF3</t>
    <phoneticPr fontId="24" type="noConversion"/>
  </si>
  <si>
    <t>A351 CF8C</t>
    <phoneticPr fontId="24" type="noConversion"/>
  </si>
  <si>
    <t>CW6MC</t>
    <phoneticPr fontId="24" type="noConversion"/>
  </si>
  <si>
    <t>INCOLOY
25-6Mo</t>
    <phoneticPr fontId="24" type="noConversion"/>
  </si>
  <si>
    <t>A351 CN7M</t>
    <phoneticPr fontId="24" type="noConversion"/>
  </si>
  <si>
    <t>A240T316L+GARPHITE</t>
    <phoneticPr fontId="3" type="noConversion"/>
  </si>
  <si>
    <t>A240T316L</t>
    <phoneticPr fontId="3" type="noConversion"/>
  </si>
  <si>
    <t>B443 N06625</t>
    <phoneticPr fontId="3" type="noConversion"/>
  </si>
  <si>
    <t>B443 N06625+GRAPHITE</t>
    <phoneticPr fontId="3" type="noConversion"/>
  </si>
  <si>
    <t>A276T304</t>
    <phoneticPr fontId="3" type="noConversion"/>
  </si>
  <si>
    <t>A479T410</t>
    <phoneticPr fontId="3" type="noConversion"/>
  </si>
  <si>
    <t>UNS S32750</t>
    <phoneticPr fontId="3" type="noConversion"/>
  </si>
  <si>
    <t>SUS+#6</t>
    <phoneticPr fontId="13" type="noConversion"/>
  </si>
  <si>
    <t>WCB+309+#6</t>
    <phoneticPr fontId="13" type="noConversion"/>
  </si>
  <si>
    <t>SUS+#6</t>
    <phoneticPr fontId="3" type="noConversion"/>
  </si>
  <si>
    <t>WCB+309+#6</t>
    <phoneticPr fontId="3" type="noConversion"/>
  </si>
  <si>
    <t>SEAT GLAND BOLT</t>
    <phoneticPr fontId="3" type="noConversion"/>
  </si>
  <si>
    <t>TOP COVER</t>
    <phoneticPr fontId="3" type="noConversion"/>
  </si>
  <si>
    <t>SEAT GLAND</t>
    <phoneticPr fontId="3" type="noConversion"/>
  </si>
  <si>
    <t>B8</t>
    <phoneticPr fontId="13" type="noConversion"/>
  </si>
  <si>
    <t>B8M</t>
    <phoneticPr fontId="13" type="noConversion"/>
  </si>
  <si>
    <t>B7(다크로)</t>
    <phoneticPr fontId="13" type="noConversion"/>
  </si>
  <si>
    <t>B8</t>
  </si>
  <si>
    <t>316+NICKEL</t>
  </si>
  <si>
    <t>B148 C95400</t>
  </si>
  <si>
    <t>TOP COVER</t>
    <phoneticPr fontId="3" type="noConversion"/>
  </si>
  <si>
    <t>WCB</t>
  </si>
  <si>
    <t>CF8M</t>
  </si>
  <si>
    <t>DISC SEAT TYPE TRIPLE OFFSET BFV 원가 TABLE</t>
    <phoneticPr fontId="13" type="noConversion"/>
  </si>
  <si>
    <t>PART</t>
    <phoneticPr fontId="13" type="noConversion"/>
  </si>
  <si>
    <t>규격</t>
    <phoneticPr fontId="13" type="noConversion"/>
  </si>
  <si>
    <t>수량/단중</t>
    <phoneticPr fontId="13" type="noConversion"/>
  </si>
  <si>
    <t>단가</t>
    <phoneticPr fontId="13" type="noConversion"/>
  </si>
  <si>
    <t>REAMRK</t>
    <phoneticPr fontId="13" type="noConversion"/>
  </si>
  <si>
    <t>BODY</t>
    <phoneticPr fontId="13" type="noConversion"/>
  </si>
  <si>
    <t>FLANGE TYPE</t>
    <phoneticPr fontId="13" type="noConversion"/>
  </si>
  <si>
    <t>재질/업체별 단가 적용</t>
    <phoneticPr fontId="13" type="noConversion"/>
  </si>
  <si>
    <t>재질별 단가표 참조</t>
    <phoneticPr fontId="13" type="noConversion"/>
  </si>
  <si>
    <t>LUG TYPE</t>
    <phoneticPr fontId="13" type="noConversion"/>
  </si>
  <si>
    <t>10KG</t>
    <phoneticPr fontId="13" type="noConversion"/>
  </si>
  <si>
    <t>DISC</t>
    <phoneticPr fontId="13" type="noConversion"/>
  </si>
  <si>
    <t>공용</t>
    <phoneticPr fontId="13" type="noConversion"/>
  </si>
  <si>
    <t>1KG</t>
    <phoneticPr fontId="13" type="noConversion"/>
  </si>
  <si>
    <t>BODY STELLITE</t>
    <phoneticPr fontId="13" type="noConversion"/>
  </si>
  <si>
    <t>STEM</t>
    <phoneticPr fontId="13" type="noConversion"/>
  </si>
  <si>
    <t>1EA</t>
    <phoneticPr fontId="13" type="noConversion"/>
  </si>
  <si>
    <t>316L</t>
    <phoneticPr fontId="13" type="noConversion"/>
  </si>
  <si>
    <t>630(H1150)</t>
    <phoneticPr fontId="13" type="noConversion"/>
  </si>
  <si>
    <t>410 C.2</t>
    <phoneticPr fontId="13" type="noConversion"/>
  </si>
  <si>
    <t>S31803</t>
    <phoneticPr fontId="13" type="noConversion"/>
  </si>
  <si>
    <t>S32750</t>
    <phoneticPr fontId="13" type="noConversion"/>
  </si>
  <si>
    <t>MONEL K-500</t>
    <phoneticPr fontId="13" type="noConversion"/>
  </si>
  <si>
    <t>소재비/EA</t>
    <phoneticPr fontId="13" type="noConversion"/>
  </si>
  <si>
    <t>DISC PIN</t>
    <phoneticPr fontId="13" type="noConversion"/>
  </si>
  <si>
    <t>2EA</t>
    <phoneticPr fontId="13" type="noConversion"/>
  </si>
  <si>
    <t>SET 단가</t>
    <phoneticPr fontId="13" type="noConversion"/>
  </si>
  <si>
    <t>SEAT GLAND</t>
    <phoneticPr fontId="13" type="noConversion"/>
  </si>
  <si>
    <t>Ø19.2 * Ø70 * 11T</t>
    <phoneticPr fontId="13" type="noConversion"/>
  </si>
  <si>
    <t>가공비</t>
    <phoneticPr fontId="13" type="noConversion"/>
  </si>
  <si>
    <t>LAMINATE SEAT</t>
    <phoneticPr fontId="13" type="noConversion"/>
  </si>
  <si>
    <t>Ø45 * Ø78 * 5T(316L 2T 2EA+G/P 1T 1EA)</t>
    <phoneticPr fontId="13" type="noConversion"/>
  </si>
  <si>
    <t>SUS 소재비</t>
    <phoneticPr fontId="13" type="noConversion"/>
  </si>
  <si>
    <t>제작비</t>
    <phoneticPr fontId="13" type="noConversion"/>
  </si>
  <si>
    <t>1SET분</t>
    <phoneticPr fontId="13" type="noConversion"/>
  </si>
  <si>
    <t>SEAT GASKET</t>
    <phoneticPr fontId="13" type="noConversion"/>
  </si>
  <si>
    <t>Ø48 * Ø58 * 1.5T</t>
    <phoneticPr fontId="13" type="noConversion"/>
  </si>
  <si>
    <t>TH4000T</t>
    <phoneticPr fontId="13" type="noConversion"/>
  </si>
  <si>
    <t>택 1</t>
    <phoneticPr fontId="13" type="noConversion"/>
  </si>
  <si>
    <t>Ø48 * Ø58 * 3.2T</t>
    <phoneticPr fontId="13" type="noConversion"/>
  </si>
  <si>
    <t>316L+G/P</t>
    <phoneticPr fontId="13" type="noConversion"/>
  </si>
  <si>
    <t>END GASKET</t>
    <phoneticPr fontId="13" type="noConversion"/>
  </si>
  <si>
    <t>Ø31 * Ø42 * 3.2T</t>
    <phoneticPr fontId="13" type="noConversion"/>
  </si>
  <si>
    <t>ASS'Y BOLT</t>
    <phoneticPr fontId="13" type="noConversion"/>
  </si>
  <si>
    <t>GEARBOX BOLT</t>
    <phoneticPr fontId="13" type="noConversion"/>
  </si>
  <si>
    <t>M8 * 22L, HEX/SW</t>
    <phoneticPr fontId="13" type="noConversion"/>
  </si>
  <si>
    <t>4EA</t>
    <phoneticPr fontId="13" type="noConversion"/>
  </si>
  <si>
    <t>단가*수량</t>
    <phoneticPr fontId="13" type="noConversion"/>
  </si>
  <si>
    <t>TOP COVER BOLT</t>
    <phoneticPr fontId="13" type="noConversion"/>
  </si>
  <si>
    <t>M10 * 60L, STUD/2N/2SW</t>
    <phoneticPr fontId="13" type="noConversion"/>
  </si>
  <si>
    <t>SEAT GLAND BOLT</t>
    <phoneticPr fontId="13" type="noConversion"/>
  </si>
  <si>
    <t>M6 * 10L, WRENCH</t>
    <phoneticPr fontId="13" type="noConversion"/>
  </si>
  <si>
    <t>6EA</t>
    <phoneticPr fontId="13" type="noConversion"/>
  </si>
  <si>
    <t>PACKING GLAND BOLT</t>
    <phoneticPr fontId="13" type="noConversion"/>
  </si>
  <si>
    <t>M8 * 45L, STUD/N/SW</t>
    <phoneticPr fontId="13" type="noConversion"/>
  </si>
  <si>
    <t>END COVER BOLT</t>
    <phoneticPr fontId="13" type="noConversion"/>
  </si>
  <si>
    <t>M8 * 25L, HEX/SW</t>
    <phoneticPr fontId="13" type="noConversion"/>
  </si>
  <si>
    <t>PACKING(6617+6710)</t>
    <phoneticPr fontId="13" type="noConversion"/>
  </si>
  <si>
    <t>Ø18 * Ø31 * 32H(5단)</t>
    <phoneticPr fontId="13" type="noConversion"/>
  </si>
  <si>
    <t>BUSH/BEARING</t>
    <phoneticPr fontId="13" type="noConversion"/>
  </si>
  <si>
    <t>316+NICKEL</t>
    <phoneticPr fontId="13" type="noConversion"/>
  </si>
  <si>
    <t>B148 C95400</t>
    <phoneticPr fontId="13" type="noConversion"/>
  </si>
  <si>
    <t>MAIN BUSH</t>
    <phoneticPr fontId="13" type="noConversion"/>
  </si>
  <si>
    <t>STUB BUSH</t>
    <phoneticPr fontId="13" type="noConversion"/>
  </si>
  <si>
    <t>PACKING GLAND</t>
    <phoneticPr fontId="13" type="noConversion"/>
  </si>
  <si>
    <t>Ø18.5 * Ø30.8 * Ø69(10+15)</t>
    <phoneticPr fontId="13" type="noConversion"/>
  </si>
  <si>
    <t>COLLAR</t>
    <phoneticPr fontId="13" type="noConversion"/>
  </si>
  <si>
    <t>Ø13.1 * Ø22.9 * 5T</t>
    <phoneticPr fontId="13" type="noConversion"/>
  </si>
  <si>
    <t>PACKING PLATE</t>
    <phoneticPr fontId="13" type="noConversion"/>
  </si>
  <si>
    <t>Ø18.1 * Ø31 * 6T</t>
    <phoneticPr fontId="13" type="noConversion"/>
  </si>
  <si>
    <t>THRUST BEARING</t>
    <phoneticPr fontId="13" type="noConversion"/>
  </si>
  <si>
    <t>Ø19 * Ø30.9 * 5T</t>
    <phoneticPr fontId="13" type="noConversion"/>
  </si>
  <si>
    <t>BEARING</t>
    <phoneticPr fontId="13" type="noConversion"/>
  </si>
  <si>
    <t>Ø6 * Ø18 * 3T</t>
    <phoneticPr fontId="13" type="noConversion"/>
  </si>
  <si>
    <t>END COVER</t>
    <phoneticPr fontId="13" type="noConversion"/>
  </si>
  <si>
    <t>Ø72 * 17T</t>
    <phoneticPr fontId="13" type="noConversion"/>
  </si>
  <si>
    <t>SS400</t>
    <phoneticPr fontId="13" type="noConversion"/>
  </si>
  <si>
    <t>가공비 별도</t>
    <phoneticPr fontId="13" type="noConversion"/>
  </si>
  <si>
    <t>TOP COVER(절곡)</t>
    <phoneticPr fontId="13" type="noConversion"/>
  </si>
  <si>
    <t>F07(Ø90)</t>
    <phoneticPr fontId="13" type="noConversion"/>
  </si>
  <si>
    <t>완제작</t>
    <phoneticPr fontId="13" type="noConversion"/>
  </si>
  <si>
    <t>OPERATION</t>
    <phoneticPr fontId="3" type="noConversion"/>
  </si>
  <si>
    <t>GEAR</t>
    <phoneticPr fontId="3" type="noConversion"/>
  </si>
  <si>
    <t>MOTOR</t>
    <phoneticPr fontId="3" type="noConversion"/>
  </si>
  <si>
    <t>PNEUMATIC</t>
    <phoneticPr fontId="3" type="noConversion"/>
  </si>
  <si>
    <t>SEAT GLAND BOLT</t>
    <phoneticPr fontId="3" type="noConversion"/>
  </si>
  <si>
    <t>THRUST BEARING</t>
    <phoneticPr fontId="3" type="noConversion"/>
  </si>
  <si>
    <t>BEARING</t>
    <phoneticPr fontId="3" type="noConversion"/>
  </si>
  <si>
    <t>STELLITE on BODY</t>
    <phoneticPr fontId="3" type="noConversion"/>
  </si>
  <si>
    <t>STELLITE on BODY</t>
    <phoneticPr fontId="3" type="noConversion"/>
  </si>
  <si>
    <t>COLLAR</t>
    <phoneticPr fontId="3" type="noConversion"/>
  </si>
  <si>
    <t>PACKING GLAND
BOLT / NUT</t>
    <phoneticPr fontId="3" type="noConversion"/>
  </si>
  <si>
    <t>Ø8 * 32L</t>
    <phoneticPr fontId="13" type="noConversion"/>
  </si>
  <si>
    <t>Ø35.2 * Ø88 * 11T</t>
    <phoneticPr fontId="13" type="noConversion"/>
  </si>
  <si>
    <t>Ø61 * Ø95 * 5T(316L 2T 2EA+G/P 1T 1EA)</t>
    <phoneticPr fontId="13" type="noConversion"/>
  </si>
  <si>
    <t>1SET 분</t>
    <phoneticPr fontId="13" type="noConversion"/>
  </si>
  <si>
    <t>Ø64 * Ø76 * 1.5T</t>
    <phoneticPr fontId="13" type="noConversion"/>
  </si>
  <si>
    <t>Ø64 * Ø76 * 3.2T</t>
    <phoneticPr fontId="13" type="noConversion"/>
  </si>
  <si>
    <t>Ø33 * Ø45 * 3.2T</t>
    <phoneticPr fontId="13" type="noConversion"/>
  </si>
  <si>
    <t>M10 * 25L, HEX/SW</t>
    <phoneticPr fontId="13" type="noConversion"/>
  </si>
  <si>
    <t>M6 * 12L, WRENCH</t>
    <phoneticPr fontId="13" type="noConversion"/>
  </si>
  <si>
    <t>M8 * 30L, HEX/SW</t>
    <phoneticPr fontId="13" type="noConversion"/>
  </si>
  <si>
    <t>Ø20.5 * Ø32.8 * Ø69(10+15)</t>
    <phoneticPr fontId="13" type="noConversion"/>
  </si>
  <si>
    <t>Ø16.1 * Ø26.9 * 5T</t>
    <phoneticPr fontId="13" type="noConversion"/>
  </si>
  <si>
    <t>Ø22.1 * Ø33 * 7T</t>
    <phoneticPr fontId="13" type="noConversion"/>
  </si>
  <si>
    <t>Ø21 * Ø32.8 * 5T</t>
    <phoneticPr fontId="13" type="noConversion"/>
  </si>
  <si>
    <t>Ø6 * Ø22 * 3T</t>
    <phoneticPr fontId="13" type="noConversion"/>
  </si>
  <si>
    <t>Ø76 * 20T</t>
    <phoneticPr fontId="13" type="noConversion"/>
  </si>
  <si>
    <t>F10(Ø125)</t>
    <phoneticPr fontId="13" type="noConversion"/>
  </si>
  <si>
    <t>DISC SEAT TYPE TRIPLE OFFSET BFV 원가 TABLE</t>
    <phoneticPr fontId="13" type="noConversion"/>
  </si>
  <si>
    <t>40KG</t>
    <phoneticPr fontId="13" type="noConversion"/>
  </si>
  <si>
    <t>Ø69.2 * Ø134 * 11T</t>
    <phoneticPr fontId="13" type="noConversion"/>
  </si>
  <si>
    <t>Ø101 * Ø138 * 5T(316L 2T 2EA+G/P 1T 1EA)</t>
    <phoneticPr fontId="13" type="noConversion"/>
  </si>
  <si>
    <t>M12 * 70L, STUD/2N/2SW</t>
    <phoneticPr fontId="13" type="noConversion"/>
  </si>
  <si>
    <t>M6 * 16L, WRENCH</t>
    <phoneticPr fontId="13" type="noConversion"/>
  </si>
  <si>
    <t>12EA</t>
    <phoneticPr fontId="13" type="noConversion"/>
  </si>
  <si>
    <t>M8 * 50L, STUD/N/SW</t>
    <phoneticPr fontId="13" type="noConversion"/>
  </si>
  <si>
    <t>M10 * 35L, HEX/SW</t>
    <phoneticPr fontId="13" type="noConversion"/>
  </si>
  <si>
    <t>3EA</t>
    <phoneticPr fontId="13" type="noConversion"/>
  </si>
  <si>
    <t>10EA</t>
    <phoneticPr fontId="13" type="noConversion"/>
  </si>
  <si>
    <t>M16 * 90L, STUD/2N/2SW</t>
    <phoneticPr fontId="13" type="noConversion"/>
  </si>
  <si>
    <t>14EA</t>
    <phoneticPr fontId="13" type="noConversion"/>
  </si>
  <si>
    <t>TOP COVER(주조+가공)</t>
    <phoneticPr fontId="13" type="noConversion"/>
  </si>
  <si>
    <t>중량</t>
    <phoneticPr fontId="13" type="noConversion"/>
  </si>
  <si>
    <t>WCB</t>
    <phoneticPr fontId="13" type="noConversion"/>
  </si>
  <si>
    <t>CF8M</t>
    <phoneticPr fontId="13" type="noConversion"/>
  </si>
  <si>
    <t>WCB 가공비</t>
    <phoneticPr fontId="13" type="noConversion"/>
  </si>
  <si>
    <t>CF8M 가공비</t>
    <phoneticPr fontId="13" type="noConversion"/>
  </si>
  <si>
    <t>주조비+가공비</t>
    <phoneticPr fontId="13" type="noConversion"/>
  </si>
  <si>
    <t>M8 * 16L, WRENCH</t>
    <phoneticPr fontId="13" type="noConversion"/>
  </si>
  <si>
    <t>18EA</t>
    <phoneticPr fontId="13" type="noConversion"/>
  </si>
  <si>
    <t>F14(Ø175)</t>
    <phoneticPr fontId="13" type="noConversion"/>
  </si>
  <si>
    <t>Ø16 * 64L</t>
    <phoneticPr fontId="13" type="noConversion"/>
  </si>
  <si>
    <t>Ø76 * Ø63 * 3.2T</t>
    <phoneticPr fontId="13" type="noConversion"/>
  </si>
  <si>
    <t>M24 * 120L, STUD/2N/2SW</t>
    <phoneticPr fontId="13" type="noConversion"/>
  </si>
  <si>
    <t>M12 * 16L, WRENCH</t>
    <phoneticPr fontId="13" type="noConversion"/>
  </si>
  <si>
    <t>M12 * 20L, WRENCH</t>
    <phoneticPr fontId="13" type="noConversion"/>
  </si>
  <si>
    <t>M16 * 75L, STUD/N/SW</t>
    <phoneticPr fontId="13" type="noConversion"/>
  </si>
  <si>
    <t>M16 * 45L, HEX/SW</t>
    <phoneticPr fontId="13" type="noConversion"/>
  </si>
  <si>
    <t>Ø44 * Ø63 * 47.5H(5단)</t>
    <phoneticPr fontId="13" type="noConversion"/>
  </si>
  <si>
    <t>Ø44.5 * Ø62.8 * Ø122(15+25)</t>
    <phoneticPr fontId="13" type="noConversion"/>
  </si>
  <si>
    <t>Ø30.1 * Ø53.9 * 10T</t>
    <phoneticPr fontId="13" type="noConversion"/>
  </si>
  <si>
    <t>Ø44.1 * Ø63 * 13T</t>
    <phoneticPr fontId="13" type="noConversion"/>
  </si>
  <si>
    <t>Ø45 * Ø62.9 * 10T</t>
    <phoneticPr fontId="13" type="noConversion"/>
  </si>
  <si>
    <t>Ø21 * Ø44 * 4T</t>
    <phoneticPr fontId="13" type="noConversion"/>
  </si>
  <si>
    <t>Ø130 * 32T</t>
    <phoneticPr fontId="13" type="noConversion"/>
  </si>
  <si>
    <t>F16(Ø210)</t>
    <phoneticPr fontId="13" type="noConversion"/>
  </si>
  <si>
    <t>DN400 150LB</t>
    <phoneticPr fontId="13" type="noConversion"/>
  </si>
  <si>
    <t>198KG</t>
    <phoneticPr fontId="13" type="noConversion"/>
  </si>
  <si>
    <t>135KG</t>
    <phoneticPr fontId="13" type="noConversion"/>
  </si>
  <si>
    <t>34KG</t>
    <phoneticPr fontId="13" type="noConversion"/>
  </si>
  <si>
    <t>Ø50 * 1039L</t>
    <phoneticPr fontId="13" type="noConversion"/>
  </si>
  <si>
    <t>Ø16 * 69L</t>
    <phoneticPr fontId="13" type="noConversion"/>
  </si>
  <si>
    <t>Ø276.5 * Ø383 * 18.8T</t>
    <phoneticPr fontId="13" type="noConversion"/>
  </si>
  <si>
    <t>Ø326 * Ø389 * 11T(316L 3T 3EA+G/P 1T 2EA)</t>
    <phoneticPr fontId="13" type="noConversion"/>
  </si>
  <si>
    <t>Ø330 * Ø354 * 1.5T</t>
    <phoneticPr fontId="13" type="noConversion"/>
  </si>
  <si>
    <t>Ø330 * Ø354 * 3.2T</t>
    <phoneticPr fontId="13" type="noConversion"/>
  </si>
  <si>
    <t>Ø69 * Ø82 * 3.2T</t>
    <phoneticPr fontId="13" type="noConversion"/>
  </si>
  <si>
    <t>M20 * 75L, HEX/SW</t>
    <phoneticPr fontId="13" type="noConversion"/>
  </si>
  <si>
    <t>Ø50 * Ø60 * 81.5L</t>
    <phoneticPr fontId="13" type="noConversion"/>
  </si>
  <si>
    <t>Ø50 * Ø60 * 62.5L</t>
    <phoneticPr fontId="13" type="noConversion"/>
  </si>
  <si>
    <t>Ø50.5 * Ø68.8 * Ø138(15+25)</t>
    <phoneticPr fontId="13" type="noConversion"/>
  </si>
  <si>
    <t>Ø32.1 * Ø59.9 * 10T</t>
    <phoneticPr fontId="13" type="noConversion"/>
  </si>
  <si>
    <t>Ø50.1 * Ø69 * 13T</t>
    <phoneticPr fontId="13" type="noConversion"/>
  </si>
  <si>
    <t>Ø51 * Ø68.9 * 10T</t>
    <phoneticPr fontId="13" type="noConversion"/>
  </si>
  <si>
    <t>Ø21 * Ø50 * 4T</t>
    <phoneticPr fontId="13" type="noConversion"/>
  </si>
  <si>
    <t>Ø140 * 32T</t>
    <phoneticPr fontId="13" type="noConversion"/>
  </si>
  <si>
    <t>DN450 150LB</t>
    <phoneticPr fontId="13" type="noConversion"/>
  </si>
  <si>
    <t>227KG</t>
    <phoneticPr fontId="13" type="noConversion"/>
  </si>
  <si>
    <t>155KG</t>
    <phoneticPr fontId="13" type="noConversion"/>
  </si>
  <si>
    <t>49KG</t>
    <phoneticPr fontId="13" type="noConversion"/>
  </si>
  <si>
    <t>Ø55 * 1081L</t>
    <phoneticPr fontId="13" type="noConversion"/>
  </si>
  <si>
    <t>Ø16 * 78L</t>
    <phoneticPr fontId="13" type="noConversion"/>
  </si>
  <si>
    <t>Ø322.5 * Ø430 * 18.8T</t>
    <phoneticPr fontId="13" type="noConversion"/>
  </si>
  <si>
    <t>Ø376 * Ø438 * 11T(316L 3T 3EA+G/P 1T 2EA)</t>
    <phoneticPr fontId="13" type="noConversion"/>
  </si>
  <si>
    <t>Ø381 * Ø395 * 1.5T</t>
    <phoneticPr fontId="13" type="noConversion"/>
  </si>
  <si>
    <t>Ø381 * Ø395 * 3.2T</t>
    <phoneticPr fontId="13" type="noConversion"/>
  </si>
  <si>
    <t>Ø93 * Ø81 * 3.2T</t>
    <phoneticPr fontId="13" type="noConversion"/>
  </si>
  <si>
    <t>M20 * 50L, HEX/SW</t>
    <phoneticPr fontId="13" type="noConversion"/>
  </si>
  <si>
    <t>20EA</t>
    <phoneticPr fontId="13" type="noConversion"/>
  </si>
  <si>
    <t>M16 * 90L, STUD/N/SW</t>
    <phoneticPr fontId="13" type="noConversion"/>
  </si>
  <si>
    <t>M16 * 50L, HEX/SW</t>
    <phoneticPr fontId="13" type="noConversion"/>
  </si>
  <si>
    <t>Ø55 * Ø81 * 63.5H(5단)</t>
    <phoneticPr fontId="13" type="noConversion"/>
  </si>
  <si>
    <t>Ø55 * Ø65 * 72.5L</t>
    <phoneticPr fontId="13" type="noConversion"/>
  </si>
  <si>
    <t>Ø55 * Ø65 * 56.5L</t>
    <phoneticPr fontId="13" type="noConversion"/>
  </si>
  <si>
    <t>Ø55.5 * Ø80.8 * Ø145(20+30)</t>
    <phoneticPr fontId="13" type="noConversion"/>
  </si>
  <si>
    <t>Ø37.1 * Ø66.9 * 15T</t>
    <phoneticPr fontId="13" type="noConversion"/>
  </si>
  <si>
    <t>Ø55.1 * Ø81 * 20T</t>
    <phoneticPr fontId="13" type="noConversion"/>
  </si>
  <si>
    <t>Ø56 * Ø80.8 * 10T</t>
    <phoneticPr fontId="13" type="noConversion"/>
  </si>
  <si>
    <t>Ø21 * Ø55 * 4T</t>
    <phoneticPr fontId="13" type="noConversion"/>
  </si>
  <si>
    <t>Ø155 * 32T</t>
    <phoneticPr fontId="13" type="noConversion"/>
  </si>
  <si>
    <t>DN500 150LB</t>
    <phoneticPr fontId="13" type="noConversion"/>
  </si>
  <si>
    <t>270KG</t>
    <phoneticPr fontId="13" type="noConversion"/>
  </si>
  <si>
    <t>210KG</t>
    <phoneticPr fontId="13" type="noConversion"/>
  </si>
  <si>
    <t>71KG</t>
    <phoneticPr fontId="13" type="noConversion"/>
  </si>
  <si>
    <t>Ø60 * 1151L</t>
    <phoneticPr fontId="13" type="noConversion"/>
  </si>
  <si>
    <t>Ø16 * 87L</t>
    <phoneticPr fontId="13" type="noConversion"/>
  </si>
  <si>
    <t>Ø358.5 * Ø480 * 24.7T</t>
    <phoneticPr fontId="13" type="noConversion"/>
  </si>
  <si>
    <t>Ø426 * Ø488 * 11T(316L 3T 3EA+G/P 1T 2EA)</t>
    <phoneticPr fontId="13" type="noConversion"/>
  </si>
  <si>
    <t>Ø430 * Ø454 * 1.5T</t>
    <phoneticPr fontId="13" type="noConversion"/>
  </si>
  <si>
    <t>Ø430 * Ø454 * 3.2T</t>
    <phoneticPr fontId="13" type="noConversion"/>
  </si>
  <si>
    <t>Ø86 * Ø98 * 3.2T</t>
    <phoneticPr fontId="13" type="noConversion"/>
  </si>
  <si>
    <t>M20 * 75L, STUD/N/SW</t>
    <phoneticPr fontId="13" type="noConversion"/>
  </si>
  <si>
    <t>M16 * 20L, WRENCH</t>
    <phoneticPr fontId="13" type="noConversion"/>
  </si>
  <si>
    <t>M16 * 25L, WRENCH</t>
    <phoneticPr fontId="13" type="noConversion"/>
  </si>
  <si>
    <t>22EA</t>
    <phoneticPr fontId="13" type="noConversion"/>
  </si>
  <si>
    <t>M16 * 80L, STUD/N/SW</t>
    <phoneticPr fontId="13" type="noConversion"/>
  </si>
  <si>
    <t>Ø60 * Ø86 * 63.5H(5단)</t>
    <phoneticPr fontId="13" type="noConversion"/>
  </si>
  <si>
    <t>Ø60 * Ø70 * 74L</t>
    <phoneticPr fontId="13" type="noConversion"/>
  </si>
  <si>
    <t>Ø60 * Ø70 * 60.5L</t>
    <phoneticPr fontId="13" type="noConversion"/>
  </si>
  <si>
    <t>Ø60.5 * Ø85.8 * Ø155(20+30)</t>
    <phoneticPr fontId="13" type="noConversion"/>
  </si>
  <si>
    <t>Ø42 * Ø72.9 * 15T</t>
    <phoneticPr fontId="13" type="noConversion"/>
  </si>
  <si>
    <t>Ø60.1 * Ø86 * 20T</t>
    <phoneticPr fontId="13" type="noConversion"/>
  </si>
  <si>
    <t>Ø61 * Ø85.8 * 10T</t>
    <phoneticPr fontId="13" type="noConversion"/>
  </si>
  <si>
    <t>Ø21 * Ø60 * 4T</t>
    <phoneticPr fontId="13" type="noConversion"/>
  </si>
  <si>
    <t>Ø155 * 34T</t>
    <phoneticPr fontId="13" type="noConversion"/>
  </si>
  <si>
    <t>Ø112 * Ø96 * 3.2T</t>
    <phoneticPr fontId="13" type="noConversion"/>
  </si>
  <si>
    <t>M16 * 70L, STUD/N/SW</t>
    <phoneticPr fontId="13" type="noConversion"/>
  </si>
  <si>
    <t>8EA</t>
    <phoneticPr fontId="13" type="noConversion"/>
  </si>
  <si>
    <t>M16 * 55L, HEX/SW</t>
    <phoneticPr fontId="13" type="noConversion"/>
  </si>
  <si>
    <t>Ø70 * Ø96 * 63.5H(5단)</t>
    <phoneticPr fontId="13" type="noConversion"/>
  </si>
  <si>
    <t>Ø50.1 * Ø82.9 * 15T</t>
    <phoneticPr fontId="13" type="noConversion"/>
  </si>
  <si>
    <t>Ø71 * Ø95.8 * 10T</t>
    <phoneticPr fontId="13" type="noConversion"/>
  </si>
  <si>
    <t>Ø21 * Ø70 * 4T</t>
    <phoneticPr fontId="13" type="noConversion"/>
  </si>
  <si>
    <t>Ø180 * 38T</t>
    <phoneticPr fontId="13" type="noConversion"/>
  </si>
  <si>
    <t>F25(Ø300)</t>
    <phoneticPr fontId="13" type="noConversion"/>
  </si>
  <si>
    <t>M16 * 30L, WRENCH</t>
    <phoneticPr fontId="13" type="noConversion"/>
  </si>
  <si>
    <t>M20 * 60L, HEX/SW</t>
    <phoneticPr fontId="13" type="noConversion"/>
  </si>
  <si>
    <t>-</t>
    <phoneticPr fontId="13" type="noConversion"/>
  </si>
  <si>
    <t>Ø790 * Ø770 * 4.5T</t>
    <phoneticPr fontId="13" type="noConversion"/>
  </si>
  <si>
    <t>Ø178 * Ø158 * 3.2T</t>
    <phoneticPr fontId="13" type="noConversion"/>
  </si>
  <si>
    <t>M30 * 130L, STUD/N/SW</t>
    <phoneticPr fontId="13" type="noConversion"/>
  </si>
  <si>
    <t>M30 * 165L, STUD/2N/2SW</t>
    <phoneticPr fontId="13" type="noConversion"/>
  </si>
  <si>
    <t>M20 * 40L, WRENCH</t>
    <phoneticPr fontId="13" type="noConversion"/>
  </si>
  <si>
    <t>M20 * 45L, WRENCH</t>
    <phoneticPr fontId="13" type="noConversion"/>
  </si>
  <si>
    <t>28EA</t>
    <phoneticPr fontId="13" type="noConversion"/>
  </si>
  <si>
    <t>M20 * 150L, STUD/N/SW</t>
    <phoneticPr fontId="13" type="noConversion"/>
  </si>
  <si>
    <t>Ø120 * Ø158 * 95H(5단)</t>
    <phoneticPr fontId="13" type="noConversion"/>
  </si>
  <si>
    <t>Ø120 * Ø140 * 145L</t>
    <phoneticPr fontId="13" type="noConversion"/>
  </si>
  <si>
    <t>Ø120.5 * Ø157.8 * Ø270(25+45)</t>
    <phoneticPr fontId="13" type="noConversion"/>
  </si>
  <si>
    <t>Ø88.1 * Ø137.9 * 25T</t>
    <phoneticPr fontId="13" type="noConversion"/>
  </si>
  <si>
    <t>Ø120 * Ø158 * 27T</t>
    <phoneticPr fontId="13" type="noConversion"/>
  </si>
  <si>
    <t>Ø121 * Ø157.8 * 15T</t>
    <phoneticPr fontId="13" type="noConversion"/>
  </si>
  <si>
    <t>Ø21 * Ø120 * 4T</t>
    <phoneticPr fontId="13" type="noConversion"/>
  </si>
  <si>
    <t>Ø250 * 43T</t>
    <phoneticPr fontId="13" type="noConversion"/>
  </si>
  <si>
    <t>F35(Ø415)</t>
    <phoneticPr fontId="13" type="noConversion"/>
  </si>
  <si>
    <t>DN1000 150LB</t>
    <phoneticPr fontId="13" type="noConversion"/>
  </si>
  <si>
    <t>740KG</t>
    <phoneticPr fontId="13" type="noConversion"/>
  </si>
  <si>
    <t>935KG</t>
    <phoneticPr fontId="13" type="noConversion"/>
  </si>
  <si>
    <t>470KG</t>
    <phoneticPr fontId="13" type="noConversion"/>
  </si>
  <si>
    <t>Ø120 * 1921L</t>
    <phoneticPr fontId="13" type="noConversion"/>
  </si>
  <si>
    <t>Ø36 * 168L</t>
    <phoneticPr fontId="13" type="noConversion"/>
  </si>
  <si>
    <t>Ø855 * Ø980 * 28.2T</t>
    <phoneticPr fontId="13" type="noConversion"/>
  </si>
  <si>
    <t>Ø921 * Ø989 * 11T(316L 3T 3EA+G/P 1T 2EA)</t>
    <phoneticPr fontId="13" type="noConversion"/>
  </si>
  <si>
    <t>Ø939 * Ø925 * 4.5T</t>
    <phoneticPr fontId="13" type="noConversion"/>
  </si>
  <si>
    <t>Ø158 * Ø178 * 3.2T</t>
    <phoneticPr fontId="13" type="noConversion"/>
  </si>
  <si>
    <t>M36 * 145L, STUD/N/SW</t>
    <phoneticPr fontId="13" type="noConversion"/>
  </si>
  <si>
    <t>M42 * 195L, STUD/2N/2SW</t>
    <phoneticPr fontId="13" type="noConversion"/>
  </si>
  <si>
    <t>36EA</t>
    <phoneticPr fontId="13" type="noConversion"/>
  </si>
  <si>
    <t>M20 * 110L, STUD/N/SW</t>
    <phoneticPr fontId="13" type="noConversion"/>
  </si>
  <si>
    <t>Ø120 * Ø136 * 176L</t>
    <phoneticPr fontId="13" type="noConversion"/>
  </si>
  <si>
    <t>Ø120 * Ø136 * 142L</t>
    <phoneticPr fontId="13" type="noConversion"/>
  </si>
  <si>
    <t>Ø120.5 * Ø157.8 * Ø240(25+45)</t>
    <phoneticPr fontId="13" type="noConversion"/>
  </si>
  <si>
    <t>Ø121 * Ø158 * 27T</t>
    <phoneticPr fontId="13" type="noConversion"/>
  </si>
  <si>
    <t>F40(Ø475)</t>
    <phoneticPr fontId="13" type="noConversion"/>
  </si>
  <si>
    <t>Ø205 * Ø179 * 3.2T</t>
    <phoneticPr fontId="13" type="noConversion"/>
  </si>
  <si>
    <t>M24 * 30L, WRENCH</t>
    <phoneticPr fontId="13" type="noConversion"/>
  </si>
  <si>
    <t>M24 * 40L, WRENCH</t>
    <phoneticPr fontId="13" type="noConversion"/>
  </si>
  <si>
    <t>Ø135 * Ø179 * 110H(5단)</t>
    <phoneticPr fontId="13" type="noConversion"/>
  </si>
  <si>
    <t>Ø135.5 * Ø178.8 * Ø300(25+47)</t>
    <phoneticPr fontId="13" type="noConversion"/>
  </si>
  <si>
    <t>Ø140 * Ø179 * 30T</t>
    <phoneticPr fontId="13" type="noConversion"/>
  </si>
  <si>
    <t>Ø136 * Ø178.8 * 15T</t>
    <phoneticPr fontId="13" type="noConversion"/>
  </si>
  <si>
    <t>Ø141 * Ø178.8 * 15T</t>
    <phoneticPr fontId="13" type="noConversion"/>
  </si>
  <si>
    <t>Ø336 * 50T</t>
    <phoneticPr fontId="13" type="noConversion"/>
  </si>
  <si>
    <t>1300KG</t>
    <phoneticPr fontId="13" type="noConversion"/>
  </si>
  <si>
    <t>M20 * 50L, WRENCH</t>
    <phoneticPr fontId="13" type="noConversion"/>
  </si>
  <si>
    <t>56EA</t>
    <phoneticPr fontId="13" type="noConversion"/>
  </si>
  <si>
    <t>M24 * 70L, HEX/SW</t>
    <phoneticPr fontId="13" type="noConversion"/>
  </si>
  <si>
    <t>DN1400 150LB</t>
    <phoneticPr fontId="13" type="noConversion"/>
  </si>
  <si>
    <t>2972KG</t>
    <phoneticPr fontId="13" type="noConversion"/>
  </si>
  <si>
    <t>1828KG</t>
    <phoneticPr fontId="13" type="noConversion"/>
  </si>
  <si>
    <t>Ø200 * 2446L</t>
    <phoneticPr fontId="13" type="noConversion"/>
  </si>
  <si>
    <t>Ø60 * 281L</t>
    <phoneticPr fontId="13" type="noConversion"/>
  </si>
  <si>
    <t>Ø1123 * Ø1344 * 50T</t>
    <phoneticPr fontId="13" type="noConversion"/>
  </si>
  <si>
    <t>Ø1242 * Ø1356 * 19T(316L 3T 5EA+G/P 1T 4EA)</t>
    <phoneticPr fontId="13" type="noConversion"/>
  </si>
  <si>
    <t>Ø1274 * Ø1248 * 4.5T</t>
    <phoneticPr fontId="13" type="noConversion"/>
  </si>
  <si>
    <t>Ø278 * Ø252 * 3.2T</t>
    <phoneticPr fontId="13" type="noConversion"/>
  </si>
  <si>
    <t>M42 * 210L, STUD/2N/2SW</t>
    <phoneticPr fontId="13" type="noConversion"/>
  </si>
  <si>
    <t>M24 * 45L, WRENCH</t>
    <phoneticPr fontId="13" type="noConversion"/>
  </si>
  <si>
    <t>M24 * 60L, WRENCH</t>
    <phoneticPr fontId="13" type="noConversion"/>
  </si>
  <si>
    <t>M24 * 180L, STUD/N/SW</t>
    <phoneticPr fontId="13" type="noConversion"/>
  </si>
  <si>
    <t>M30 * 90L, HEX/SW</t>
    <phoneticPr fontId="13" type="noConversion"/>
  </si>
  <si>
    <t>PACKING(6610+6710 태화)</t>
    <phoneticPr fontId="13" type="noConversion"/>
  </si>
  <si>
    <t>Ø200 * Ø240 * 100H</t>
    <phoneticPr fontId="13" type="noConversion"/>
  </si>
  <si>
    <t>Ø200 * Ø220 * 151L</t>
    <phoneticPr fontId="13" type="noConversion"/>
  </si>
  <si>
    <t>Ø200 * Ø220 * 147L</t>
    <phoneticPr fontId="13" type="noConversion"/>
  </si>
  <si>
    <t>Ø201 * Ø240.3 * Ø330(30+55)</t>
    <phoneticPr fontId="13" type="noConversion"/>
  </si>
  <si>
    <t>Ø154.1 * Ø225.9 * 35T</t>
    <phoneticPr fontId="13" type="noConversion"/>
  </si>
  <si>
    <t>Ø200 * Ø252 * 45T</t>
    <phoneticPr fontId="13" type="noConversion"/>
  </si>
  <si>
    <t>Ø201 * Ø239.8 * 15T</t>
    <phoneticPr fontId="13" type="noConversion"/>
  </si>
  <si>
    <t>Ø201 * Ø251.8 * 20T</t>
    <phoneticPr fontId="13" type="noConversion"/>
  </si>
  <si>
    <t>Ø81 * Ø200 * 4T</t>
    <phoneticPr fontId="13" type="noConversion"/>
  </si>
  <si>
    <t>Ø385 * 60T</t>
    <phoneticPr fontId="13" type="noConversion"/>
  </si>
  <si>
    <t>1-1</t>
    <phoneticPr fontId="3" type="noConversion"/>
  </si>
  <si>
    <t>1-1</t>
    <phoneticPr fontId="3" type="noConversion"/>
  </si>
  <si>
    <t>FLANGE</t>
    <phoneticPr fontId="3" type="noConversion"/>
  </si>
  <si>
    <t>FLANGE</t>
    <phoneticPr fontId="3" type="noConversion"/>
  </si>
  <si>
    <t>LUG</t>
    <phoneticPr fontId="3" type="noConversion"/>
  </si>
  <si>
    <t>LUG</t>
    <phoneticPr fontId="3" type="noConversion"/>
  </si>
  <si>
    <t>END CONNECTION</t>
    <phoneticPr fontId="3" type="noConversion"/>
  </si>
  <si>
    <t>N/A</t>
    <phoneticPr fontId="3" type="noConversion"/>
  </si>
  <si>
    <t>UNS S31803</t>
    <phoneticPr fontId="3" type="noConversion"/>
  </si>
  <si>
    <t>SS304</t>
    <phoneticPr fontId="3" type="noConversion"/>
  </si>
  <si>
    <t>SS316L</t>
    <phoneticPr fontId="3" type="noConversion"/>
  </si>
  <si>
    <t>SEAT GLAND</t>
    <phoneticPr fontId="3" type="noConversion"/>
  </si>
  <si>
    <t>DISC SEAT Ret-Gasket</t>
    <phoneticPr fontId="3" type="noConversion"/>
  </si>
  <si>
    <t xml:space="preserve">DISC SEAT </t>
    <phoneticPr fontId="3" type="noConversion"/>
  </si>
  <si>
    <t>DISC SEAT</t>
    <phoneticPr fontId="3" type="noConversion"/>
  </si>
  <si>
    <t>A240T316L+GARPHITE</t>
  </si>
  <si>
    <t xml:space="preserve">DISC SEAT </t>
    <phoneticPr fontId="3" type="noConversion"/>
  </si>
  <si>
    <t xml:space="preserve">DISC SEAT </t>
    <phoneticPr fontId="3" type="noConversion"/>
  </si>
  <si>
    <t xml:space="preserve">DISC SEAT </t>
    <phoneticPr fontId="3" type="noConversion"/>
  </si>
  <si>
    <t xml:space="preserve">DISC SEAT </t>
    <phoneticPr fontId="3" type="noConversion"/>
  </si>
  <si>
    <t xml:space="preserve">DISC SEAT </t>
    <phoneticPr fontId="3" type="noConversion"/>
  </si>
  <si>
    <t xml:space="preserve">DISC SEAT </t>
    <phoneticPr fontId="3" type="noConversion"/>
  </si>
  <si>
    <t xml:space="preserve">DISC SEAT </t>
    <phoneticPr fontId="3" type="noConversion"/>
  </si>
  <si>
    <t>316L+G/P</t>
    <phoneticPr fontId="13" type="noConversion"/>
  </si>
  <si>
    <t>DISC SEAT Ret-Gasket</t>
    <phoneticPr fontId="3" type="noConversion"/>
  </si>
  <si>
    <t>DISC SEAT Ret-Gasket</t>
    <phoneticPr fontId="3" type="noConversion"/>
  </si>
  <si>
    <t>DISC SEAT Ret-Gasket</t>
    <phoneticPr fontId="3" type="noConversion"/>
  </si>
  <si>
    <t>DISC SEAT Ret-Gasket</t>
    <phoneticPr fontId="3" type="noConversion"/>
  </si>
  <si>
    <t>DISC SEAT Ret-Gasket</t>
    <phoneticPr fontId="3" type="noConversion"/>
  </si>
  <si>
    <t>DISC SEAT Ret-Gasket</t>
    <phoneticPr fontId="3" type="noConversion"/>
  </si>
  <si>
    <t>PILLAR</t>
    <phoneticPr fontId="3" type="noConversion"/>
  </si>
  <si>
    <t>PILLAR</t>
    <phoneticPr fontId="3" type="noConversion"/>
  </si>
  <si>
    <t>PACKING PLATE</t>
    <phoneticPr fontId="3" type="noConversion"/>
  </si>
  <si>
    <t>GEAR BOX PLATE</t>
    <phoneticPr fontId="3" type="noConversion"/>
  </si>
  <si>
    <t>SET 단가</t>
    <phoneticPr fontId="13" type="noConversion"/>
  </si>
  <si>
    <t>SS316</t>
    <phoneticPr fontId="3" type="noConversion"/>
  </si>
  <si>
    <t>GEAR BOX PLATE</t>
    <phoneticPr fontId="3" type="noConversion"/>
  </si>
  <si>
    <t>GEAR BOX PLATE</t>
    <phoneticPr fontId="3" type="noConversion"/>
  </si>
  <si>
    <t>END COVER</t>
    <phoneticPr fontId="3" type="noConversion"/>
  </si>
  <si>
    <t>END COVER</t>
    <phoneticPr fontId="3" type="noConversion"/>
  </si>
  <si>
    <t>END COVER</t>
    <phoneticPr fontId="3" type="noConversion"/>
  </si>
  <si>
    <t>END COVER</t>
    <phoneticPr fontId="3" type="noConversion"/>
  </si>
  <si>
    <t>END COVER</t>
    <phoneticPr fontId="3" type="noConversion"/>
  </si>
  <si>
    <t>END COVER</t>
    <phoneticPr fontId="3" type="noConversion"/>
  </si>
  <si>
    <t>END COVER</t>
    <phoneticPr fontId="3" type="noConversion"/>
  </si>
  <si>
    <t>REMARK</t>
    <phoneticPr fontId="3" type="noConversion"/>
  </si>
  <si>
    <t>제조원가</t>
    <phoneticPr fontId="3" type="noConversion"/>
  </si>
  <si>
    <t>표준원가</t>
    <phoneticPr fontId="3" type="noConversion"/>
  </si>
  <si>
    <t>FACTOR</t>
    <phoneticPr fontId="3" type="noConversion"/>
  </si>
  <si>
    <t>FACTOR</t>
    <phoneticPr fontId="3" type="noConversion"/>
  </si>
  <si>
    <t>(표준원가 X Factor)</t>
    <phoneticPr fontId="3" type="noConversion"/>
  </si>
  <si>
    <t>CLASS</t>
    <phoneticPr fontId="3" type="noConversion"/>
  </si>
  <si>
    <t>TYPE</t>
    <phoneticPr fontId="3" type="noConversion"/>
  </si>
  <si>
    <t xml:space="preserve">TRIPLE  가공공정 </t>
    <phoneticPr fontId="3" type="noConversion"/>
  </si>
  <si>
    <t>F TO F</t>
    <phoneticPr fontId="3" type="noConversion"/>
  </si>
  <si>
    <t>API 609 CAT'- B
SHROT PATTERN</t>
    <phoneticPr fontId="3" type="noConversion"/>
  </si>
  <si>
    <t>REMARK</t>
    <phoneticPr fontId="3" type="noConversion"/>
  </si>
  <si>
    <t>MATERIAL</t>
    <phoneticPr fontId="3" type="noConversion"/>
  </si>
  <si>
    <t xml:space="preserve">재료비 </t>
    <phoneticPr fontId="3" type="noConversion"/>
  </si>
  <si>
    <t>ST</t>
    <phoneticPr fontId="3" type="noConversion"/>
  </si>
  <si>
    <t xml:space="preserve"> 세부 가공비</t>
    <phoneticPr fontId="3" type="noConversion"/>
  </si>
  <si>
    <t xml:space="preserve">가공비 </t>
    <phoneticPr fontId="3" type="noConversion"/>
  </si>
  <si>
    <t>소 계 
( 재료비 + 가공비 )</t>
    <phoneticPr fontId="3" type="noConversion"/>
  </si>
  <si>
    <t>A</t>
    <phoneticPr fontId="3" type="noConversion"/>
  </si>
  <si>
    <t>B</t>
    <phoneticPr fontId="3" type="noConversion"/>
  </si>
  <si>
    <t>C</t>
    <phoneticPr fontId="3" type="noConversion"/>
  </si>
  <si>
    <t>D</t>
    <phoneticPr fontId="3" type="noConversion"/>
  </si>
  <si>
    <t>E</t>
    <phoneticPr fontId="3" type="noConversion"/>
  </si>
  <si>
    <t>F</t>
    <phoneticPr fontId="3" type="noConversion"/>
  </si>
  <si>
    <t>G</t>
    <phoneticPr fontId="3" type="noConversion"/>
  </si>
  <si>
    <t>H</t>
    <phoneticPr fontId="3" type="noConversion"/>
  </si>
  <si>
    <t>I</t>
    <phoneticPr fontId="3" type="noConversion"/>
  </si>
  <si>
    <t>중량</t>
    <phoneticPr fontId="3" type="noConversion"/>
  </si>
  <si>
    <t>단가</t>
    <phoneticPr fontId="3" type="noConversion"/>
  </si>
  <si>
    <t>소재비</t>
    <phoneticPr fontId="3" type="noConversion"/>
  </si>
  <si>
    <t>터닝/선반</t>
    <phoneticPr fontId="3" type="noConversion"/>
  </si>
  <si>
    <t>레디알</t>
    <phoneticPr fontId="3" type="noConversion"/>
  </si>
  <si>
    <t>보링</t>
    <phoneticPr fontId="3" type="noConversion"/>
  </si>
  <si>
    <t>동시보링</t>
    <phoneticPr fontId="3" type="noConversion"/>
  </si>
  <si>
    <t xml:space="preserve">레이알 </t>
    <phoneticPr fontId="3" type="noConversion"/>
  </si>
  <si>
    <t>선반</t>
    <phoneticPr fontId="3" type="noConversion"/>
  </si>
  <si>
    <t>밀링</t>
    <phoneticPr fontId="3" type="noConversion"/>
  </si>
  <si>
    <t>기타</t>
    <phoneticPr fontId="3" type="noConversion"/>
  </si>
  <si>
    <t>FLANGE</t>
  </si>
  <si>
    <t>GEAR BOX PLATE</t>
    <phoneticPr fontId="3" type="noConversion"/>
  </si>
  <si>
    <r>
      <t>BODY</t>
    </r>
    <r>
      <rPr>
        <sz val="11"/>
        <color rgb="FFFF0000"/>
        <rFont val="Arial"/>
        <family val="2"/>
      </rPr>
      <t>(LUG)</t>
    </r>
    <phoneticPr fontId="3" type="noConversion"/>
  </si>
  <si>
    <r>
      <t>BODY</t>
    </r>
    <r>
      <rPr>
        <sz val="11"/>
        <color rgb="FFFF0000"/>
        <rFont val="Arial"/>
        <family val="2"/>
      </rPr>
      <t>(FLANGE)</t>
    </r>
    <phoneticPr fontId="3" type="noConversion"/>
  </si>
  <si>
    <t>SEAT</t>
    <phoneticPr fontId="3" type="noConversion"/>
  </si>
  <si>
    <r>
      <t>B7(</t>
    </r>
    <r>
      <rPr>
        <sz val="11"/>
        <rFont val="돋움"/>
        <family val="3"/>
        <charset val="129"/>
      </rPr>
      <t>다크로</t>
    </r>
    <r>
      <rPr>
        <sz val="11"/>
        <rFont val="Arial"/>
        <family val="2"/>
      </rPr>
      <t>)</t>
    </r>
  </si>
  <si>
    <t>A276T316</t>
    <phoneticPr fontId="3" type="noConversion"/>
  </si>
  <si>
    <t>BODY MATERIAL</t>
    <phoneticPr fontId="3" type="noConversion"/>
  </si>
  <si>
    <t>A351 CF8</t>
    <phoneticPr fontId="24" type="noConversion"/>
  </si>
  <si>
    <t>A351 CF8M</t>
    <phoneticPr fontId="24" type="noConversion"/>
  </si>
  <si>
    <t>A351 CF3</t>
    <phoneticPr fontId="24" type="noConversion"/>
  </si>
  <si>
    <t>A351 CF3M</t>
    <phoneticPr fontId="24" type="noConversion"/>
  </si>
  <si>
    <t>A890 4A</t>
    <phoneticPr fontId="24" type="noConversion"/>
  </si>
  <si>
    <t>A890 5A</t>
    <phoneticPr fontId="24" type="noConversion"/>
  </si>
  <si>
    <t>A890 6A</t>
    <phoneticPr fontId="24" type="noConversion"/>
  </si>
  <si>
    <t>A536 Gr65-45-12</t>
    <phoneticPr fontId="24" type="noConversion"/>
  </si>
  <si>
    <t>B148 C95800</t>
    <phoneticPr fontId="24" type="noConversion"/>
  </si>
  <si>
    <t>A217 WC9</t>
    <phoneticPr fontId="24" type="noConversion"/>
  </si>
  <si>
    <t>A217 WC1</t>
    <phoneticPr fontId="24" type="noConversion"/>
  </si>
  <si>
    <t>A352 LCC</t>
    <phoneticPr fontId="24" type="noConversion"/>
  </si>
  <si>
    <t>A217 WC6</t>
    <phoneticPr fontId="24" type="noConversion"/>
  </si>
  <si>
    <t>A217 CA15</t>
    <phoneticPr fontId="24" type="noConversion"/>
  </si>
  <si>
    <t>A351 CG8M</t>
    <phoneticPr fontId="24" type="noConversion"/>
  </si>
  <si>
    <t>A351 CG3M</t>
    <phoneticPr fontId="24" type="noConversion"/>
  </si>
  <si>
    <t>A351 CF8C</t>
    <phoneticPr fontId="24" type="noConversion"/>
  </si>
  <si>
    <t>CW6MC</t>
    <phoneticPr fontId="24" type="noConversion"/>
  </si>
  <si>
    <t>A351 CN7M</t>
    <phoneticPr fontId="24" type="noConversion"/>
  </si>
  <si>
    <t>DISC MATERIAL</t>
    <phoneticPr fontId="3" type="noConversion"/>
  </si>
  <si>
    <t>SEAT
MATERIAL</t>
    <phoneticPr fontId="24" type="noConversion"/>
  </si>
  <si>
    <t>STEM
MATERIAL</t>
    <phoneticPr fontId="24" type="noConversion"/>
  </si>
  <si>
    <t>A276T316L</t>
    <phoneticPr fontId="24" type="noConversion"/>
  </si>
  <si>
    <t>A276T304L</t>
    <phoneticPr fontId="24" type="noConversion"/>
  </si>
  <si>
    <t>INCOLOY 25-6Mo</t>
    <phoneticPr fontId="24" type="noConversion"/>
  </si>
  <si>
    <t>INCOLOY 25-6Mo</t>
    <phoneticPr fontId="24" type="noConversion"/>
  </si>
  <si>
    <t>MONEL K-400</t>
    <phoneticPr fontId="24" type="noConversion"/>
  </si>
  <si>
    <t>MONEL K-500</t>
    <phoneticPr fontId="24" type="noConversion"/>
  </si>
  <si>
    <t>INCONEL 625</t>
    <phoneticPr fontId="24" type="noConversion"/>
  </si>
  <si>
    <t>STELLITE</t>
    <phoneticPr fontId="24" type="noConversion"/>
  </si>
  <si>
    <t>SEAT GLAND</t>
    <phoneticPr fontId="24" type="noConversion"/>
  </si>
  <si>
    <t>SEAT GLAND 
BOLT</t>
    <phoneticPr fontId="24" type="noConversion"/>
  </si>
  <si>
    <t>ASSEMBLY BOLT</t>
    <phoneticPr fontId="24" type="noConversion"/>
  </si>
  <si>
    <t>BUSH</t>
    <phoneticPr fontId="24" type="noConversion"/>
  </si>
  <si>
    <t>PACKING 
GLAND</t>
    <phoneticPr fontId="24" type="noConversion"/>
  </si>
  <si>
    <t>COLLAR</t>
    <phoneticPr fontId="24" type="noConversion"/>
  </si>
  <si>
    <t>PACKING PLATE</t>
    <phoneticPr fontId="24" type="noConversion"/>
  </si>
  <si>
    <t>THRUST BEARING</t>
    <phoneticPr fontId="24" type="noConversion"/>
  </si>
  <si>
    <t>BEARING</t>
    <phoneticPr fontId="24" type="noConversion"/>
  </si>
  <si>
    <t>END COVER</t>
    <phoneticPr fontId="24" type="noConversion"/>
  </si>
  <si>
    <t>TOP COVER</t>
    <phoneticPr fontId="24" type="noConversion"/>
  </si>
  <si>
    <t>OPERATION</t>
    <phoneticPr fontId="24" type="noConversion"/>
  </si>
  <si>
    <t xml:space="preserve">END CONNECTION </t>
    <phoneticPr fontId="24" type="noConversion"/>
  </si>
  <si>
    <t>LUG</t>
    <phoneticPr fontId="24" type="noConversion"/>
  </si>
  <si>
    <t>FLANGE</t>
    <phoneticPr fontId="24" type="noConversion"/>
  </si>
  <si>
    <t>WCB+309+#6</t>
  </si>
  <si>
    <t>SS316L</t>
  </si>
  <si>
    <t>GEAR</t>
  </si>
  <si>
    <t>DN80 300LB</t>
    <phoneticPr fontId="13" type="noConversion"/>
  </si>
  <si>
    <t>14KG</t>
    <phoneticPr fontId="13" type="noConversion"/>
  </si>
  <si>
    <t>Ø18 * 427L</t>
    <phoneticPr fontId="13" type="noConversion"/>
  </si>
  <si>
    <t>Ø6 * 28L</t>
  </si>
  <si>
    <t>2EA</t>
  </si>
  <si>
    <t>Ø18 * Ø24 * 44.5L</t>
    <phoneticPr fontId="13" type="noConversion"/>
  </si>
  <si>
    <t>Ø18 * Ø24 * 38L</t>
    <phoneticPr fontId="13" type="noConversion"/>
  </si>
  <si>
    <t xml:space="preserve"> TREIPLE VALVE  원가분석 ( 300# FLANGE SHORT)</t>
    <phoneticPr fontId="3" type="noConversion"/>
  </si>
  <si>
    <t>300LB</t>
    <phoneticPr fontId="3" type="noConversion"/>
  </si>
  <si>
    <t>DN100 300LB</t>
    <phoneticPr fontId="13" type="noConversion"/>
  </si>
  <si>
    <t>21KG</t>
    <phoneticPr fontId="13" type="noConversion"/>
  </si>
  <si>
    <t>Ø22 * 494L</t>
    <phoneticPr fontId="13" type="noConversion"/>
  </si>
  <si>
    <t>M6 * 8L, WRENCH</t>
    <phoneticPr fontId="13" type="noConversion"/>
  </si>
  <si>
    <t>Ø20 * Ø33 * 32H(5단)</t>
    <phoneticPr fontId="13" type="noConversion"/>
  </si>
  <si>
    <t>Ø22 * Ø28 * 52.5L</t>
    <phoneticPr fontId="13" type="noConversion"/>
  </si>
  <si>
    <t>Ø22 * Ø28 * 48.5L</t>
    <phoneticPr fontId="13" type="noConversion"/>
  </si>
  <si>
    <t>Ø23 * Ø32.8 * 5T</t>
    <phoneticPr fontId="13" type="noConversion"/>
  </si>
  <si>
    <t>DN150 300LB</t>
    <phoneticPr fontId="13" type="noConversion"/>
  </si>
  <si>
    <t>46KG</t>
    <phoneticPr fontId="13" type="noConversion"/>
  </si>
  <si>
    <t>37KG</t>
    <phoneticPr fontId="13" type="noConversion"/>
  </si>
  <si>
    <t>3KG</t>
    <phoneticPr fontId="13" type="noConversion"/>
  </si>
  <si>
    <t>Ø32 * 640L</t>
    <phoneticPr fontId="13" type="noConversion"/>
  </si>
  <si>
    <t>Ø10 * 44L</t>
    <phoneticPr fontId="13" type="noConversion"/>
  </si>
  <si>
    <t>Ø104 * Ø120 * 1.5T</t>
    <phoneticPr fontId="13" type="noConversion"/>
  </si>
  <si>
    <t>Ø104 * Ø120 * 3.2T</t>
    <phoneticPr fontId="13" type="noConversion"/>
  </si>
  <si>
    <t>Ø48 * Ø60 * 3.2T</t>
    <phoneticPr fontId="13" type="noConversion"/>
  </si>
  <si>
    <t>M12 * 30L, HEX/SW</t>
    <phoneticPr fontId="13" type="noConversion"/>
  </si>
  <si>
    <t>Ø32 * Ø48 * 39.4H(5단)</t>
    <phoneticPr fontId="13" type="noConversion"/>
  </si>
  <si>
    <t>Ø32 * Ø37 * 53L</t>
    <phoneticPr fontId="13" type="noConversion"/>
  </si>
  <si>
    <t>Ø32 * Ø37 * 46L</t>
    <phoneticPr fontId="13" type="noConversion"/>
  </si>
  <si>
    <t>Ø32.5 * Ø47.8 * Ø90(10+20)</t>
    <phoneticPr fontId="13" type="noConversion"/>
  </si>
  <si>
    <t>Ø22.1 * Ø39.9 * 8T</t>
    <phoneticPr fontId="13" type="noConversion"/>
  </si>
  <si>
    <t>Ø32 * Ø48 * 11T</t>
    <phoneticPr fontId="13" type="noConversion"/>
  </si>
  <si>
    <t>Ø33 * Ø47.8 * 6T</t>
    <phoneticPr fontId="13" type="noConversion"/>
  </si>
  <si>
    <t>Ø6 * Ø32 * 3T</t>
    <phoneticPr fontId="13" type="noConversion"/>
  </si>
  <si>
    <t>Ø100 * 24T</t>
    <phoneticPr fontId="13" type="noConversion"/>
  </si>
  <si>
    <t>F12(Ø150)</t>
    <phoneticPr fontId="13" type="noConversion"/>
  </si>
  <si>
    <t>DN200 300LB</t>
    <phoneticPr fontId="13" type="noConversion"/>
  </si>
  <si>
    <t>94KG</t>
    <phoneticPr fontId="13" type="noConversion"/>
  </si>
  <si>
    <t>9KG</t>
    <phoneticPr fontId="13" type="noConversion"/>
  </si>
  <si>
    <t>Ø32 * 727L</t>
    <phoneticPr fontId="13" type="noConversion"/>
  </si>
  <si>
    <t>Ø111.5 * Ø182 * 14T</t>
    <phoneticPr fontId="13" type="noConversion"/>
  </si>
  <si>
    <t>Ø149 * Ø190 * 7T(316L 3T 2EA+G/P 1T 1EA)</t>
    <phoneticPr fontId="13" type="noConversion"/>
  </si>
  <si>
    <t>Ø152 * Ø164 * 1.5T</t>
    <phoneticPr fontId="13" type="noConversion"/>
  </si>
  <si>
    <t>Ø152 * Ø164 * 3.2T</t>
    <phoneticPr fontId="13" type="noConversion"/>
  </si>
  <si>
    <t>M8 * 13L, WRENCH</t>
    <phoneticPr fontId="13" type="noConversion"/>
  </si>
  <si>
    <t>Ø32 * Ø39 * 60L</t>
    <phoneticPr fontId="13" type="noConversion"/>
  </si>
  <si>
    <t>Ø32 * Ø39 * 45L</t>
    <phoneticPr fontId="13" type="noConversion"/>
  </si>
  <si>
    <t>Ø32 * Ø39 * 56.5L</t>
    <phoneticPr fontId="13" type="noConversion"/>
  </si>
  <si>
    <t>Ø32.1 * Ø48 * 11T</t>
    <phoneticPr fontId="13" type="noConversion"/>
  </si>
  <si>
    <t>Ø33 * Ø47.9 * 6T</t>
    <phoneticPr fontId="13" type="noConversion"/>
  </si>
  <si>
    <t>DN250 300LB</t>
    <phoneticPr fontId="13" type="noConversion"/>
  </si>
  <si>
    <t>144KG</t>
    <phoneticPr fontId="13" type="noConversion"/>
  </si>
  <si>
    <t>Ø50 * 877L</t>
    <phoneticPr fontId="13" type="noConversion"/>
  </si>
  <si>
    <t>Ø19 * 86L</t>
    <phoneticPr fontId="13" type="noConversion"/>
  </si>
  <si>
    <t>Ø110.5 * Ø210 * 16T</t>
    <phoneticPr fontId="13" type="noConversion"/>
  </si>
  <si>
    <t>Ø169.5 * Ø233 * 15T(316L 3T 4EA+G/P 1T 3EA)</t>
    <phoneticPr fontId="13" type="noConversion"/>
  </si>
  <si>
    <t>Ø189 * Ø177 * 1.5T</t>
    <phoneticPr fontId="13" type="noConversion"/>
  </si>
  <si>
    <t>Ø189 * Ø177 * 3.2T</t>
    <phoneticPr fontId="13" type="noConversion"/>
  </si>
  <si>
    <t>Ø82 * Ø69 * 3.2T</t>
    <phoneticPr fontId="13" type="noConversion"/>
  </si>
  <si>
    <t>M10 * 16L, WRENCH</t>
    <phoneticPr fontId="13" type="noConversion"/>
  </si>
  <si>
    <t>M10 * 20L, WRENCH</t>
    <phoneticPr fontId="13" type="noConversion"/>
  </si>
  <si>
    <t>M16 * 105L, STUD/N/SW</t>
    <phoneticPr fontId="13" type="noConversion"/>
  </si>
  <si>
    <t>Ø50 * Ø69 * 47.5H(5단)</t>
    <phoneticPr fontId="13" type="noConversion"/>
  </si>
  <si>
    <t>Ø50 * Ø60 * 89.5L</t>
    <phoneticPr fontId="13" type="noConversion"/>
  </si>
  <si>
    <t>Ø50 * Ø60 * 39L</t>
    <phoneticPr fontId="13" type="noConversion"/>
  </si>
  <si>
    <t>Ø50 * Ø60 * 83L</t>
    <phoneticPr fontId="13" type="noConversion"/>
  </si>
  <si>
    <t>Ø50 * Ø69 * 13T</t>
    <phoneticPr fontId="13" type="noConversion"/>
  </si>
  <si>
    <t>Ø51 * Ø68.8 * 10T</t>
    <phoneticPr fontId="13" type="noConversion"/>
  </si>
  <si>
    <t>F16(Ø300)</t>
    <phoneticPr fontId="13" type="noConversion"/>
  </si>
  <si>
    <t>DN300 300LB</t>
    <phoneticPr fontId="13" type="noConversion"/>
  </si>
  <si>
    <t>190KG</t>
    <phoneticPr fontId="13" type="noConversion"/>
  </si>
  <si>
    <t>23KG</t>
    <phoneticPr fontId="13" type="noConversion"/>
  </si>
  <si>
    <t>Ø44 * 934L</t>
    <phoneticPr fontId="13" type="noConversion"/>
  </si>
  <si>
    <t>Ø191.5 * Ø288 * 16.7T</t>
    <phoneticPr fontId="13" type="noConversion"/>
  </si>
  <si>
    <t>Ø237 * Ø295 * 11T(316L 3T 3EA+G/P 1T 2EA)</t>
    <phoneticPr fontId="13" type="noConversion"/>
  </si>
  <si>
    <t>Ø241 * Ø253 * 1.5T</t>
    <phoneticPr fontId="13" type="noConversion"/>
  </si>
  <si>
    <t>Ø241 * Ø253 * 3.2T</t>
    <phoneticPr fontId="13" type="noConversion"/>
  </si>
  <si>
    <t>M10 * 15L, WRENCH</t>
    <phoneticPr fontId="13" type="noConversion"/>
  </si>
  <si>
    <t>Ø44 * Ø51 * 87L</t>
    <phoneticPr fontId="13" type="noConversion"/>
  </si>
  <si>
    <t>Ø44 * Ø51 * 65.5L</t>
    <phoneticPr fontId="13" type="noConversion"/>
  </si>
  <si>
    <t>DN350 300LB</t>
    <phoneticPr fontId="13" type="noConversion"/>
  </si>
  <si>
    <t>264KG</t>
    <phoneticPr fontId="13" type="noConversion"/>
  </si>
  <si>
    <t>Ø70 * 1035L</t>
    <phoneticPr fontId="13" type="noConversion"/>
  </si>
  <si>
    <t>Ø24 * 106L</t>
    <phoneticPr fontId="13" type="noConversion"/>
  </si>
  <si>
    <t>Ø245.5 * Ø334 * 25T</t>
    <phoneticPr fontId="13" type="noConversion"/>
  </si>
  <si>
    <t>Ø222.5 * Ø324 * 15T(316L 3T 4EA+G/P 1T 3EA)</t>
    <phoneticPr fontId="13" type="noConversion"/>
  </si>
  <si>
    <t>Ø247 * Ø231 * 1.5T</t>
    <phoneticPr fontId="13" type="noConversion"/>
  </si>
  <si>
    <t>Ø247 * Ø231 * 3.2T</t>
    <phoneticPr fontId="13" type="noConversion"/>
  </si>
  <si>
    <t>M12 * 30L, WRENCH</t>
    <phoneticPr fontId="13" type="noConversion"/>
  </si>
  <si>
    <t>16EA</t>
    <phoneticPr fontId="13" type="noConversion"/>
  </si>
  <si>
    <t>M16 * 120L, STUD/N/SW</t>
    <phoneticPr fontId="13" type="noConversion"/>
  </si>
  <si>
    <t>Ø70 * Ø80 * 80L</t>
    <phoneticPr fontId="13" type="noConversion"/>
  </si>
  <si>
    <t>Ø70 * Ø80 * 69L</t>
    <phoneticPr fontId="13" type="noConversion"/>
  </si>
  <si>
    <t>Ø70 * Ø80 * 128.5L</t>
    <phoneticPr fontId="13" type="noConversion"/>
  </si>
  <si>
    <t>Ø70.5 * Ø95.8 * Ø167(20+30)</t>
    <phoneticPr fontId="13" type="noConversion"/>
  </si>
  <si>
    <t>Ø70 * Ø96 * 20T</t>
    <phoneticPr fontId="13" type="noConversion"/>
  </si>
  <si>
    <t>DN600 300LB</t>
    <phoneticPr fontId="13" type="noConversion"/>
  </si>
  <si>
    <t>718KG</t>
    <phoneticPr fontId="13" type="noConversion"/>
  </si>
  <si>
    <t>Ø120 * 1491L</t>
    <phoneticPr fontId="13" type="noConversion"/>
  </si>
  <si>
    <t>Ø36 * 171L</t>
    <phoneticPr fontId="13" type="noConversion"/>
  </si>
  <si>
    <t>Ø370 * Ø552 * 45T</t>
    <phoneticPr fontId="13" type="noConversion"/>
  </si>
  <si>
    <t>Ø470 * Ø568 * 15T(316L 3T 4EA+G/P 1T 3EA)</t>
    <phoneticPr fontId="13" type="noConversion"/>
  </si>
  <si>
    <t>Ø498 * Ø478 * 1.5T</t>
    <phoneticPr fontId="13" type="noConversion"/>
  </si>
  <si>
    <t>Ø498 * Ø478 * 4.5T</t>
    <phoneticPr fontId="13" type="noConversion"/>
  </si>
  <si>
    <t>24EA</t>
    <phoneticPr fontId="13" type="noConversion"/>
  </si>
  <si>
    <t>Ø120 * Ø140 * 110L</t>
    <phoneticPr fontId="13" type="noConversion"/>
  </si>
  <si>
    <t>Ø120 * Ø140 * 131L</t>
    <phoneticPr fontId="13" type="noConversion"/>
  </si>
  <si>
    <t>DN750 300LB</t>
    <phoneticPr fontId="13" type="noConversion"/>
  </si>
  <si>
    <t>1100KG</t>
    <phoneticPr fontId="13" type="noConversion"/>
  </si>
  <si>
    <t>265KG</t>
    <phoneticPr fontId="13" type="noConversion"/>
  </si>
  <si>
    <t>Ø120 * 1726L</t>
    <phoneticPr fontId="13" type="noConversion"/>
  </si>
  <si>
    <t>Ø35 * 168L</t>
    <phoneticPr fontId="13" type="noConversion"/>
  </si>
  <si>
    <t>Ø553 * Ø728 * 35.5T</t>
    <phoneticPr fontId="13" type="noConversion"/>
  </si>
  <si>
    <t>Ø641 * Ø732 * 15T(316L 3T 4EA+G/P 1T 3EA)</t>
    <phoneticPr fontId="13" type="noConversion"/>
  </si>
  <si>
    <t>Ø648 * Ø668 * 4.5T</t>
    <phoneticPr fontId="13" type="noConversion"/>
  </si>
  <si>
    <t>M20 * 30L, WRENCH</t>
    <phoneticPr fontId="13" type="noConversion"/>
  </si>
  <si>
    <t>Ø120 * Ø136 * 192L</t>
    <phoneticPr fontId="13" type="noConversion"/>
  </si>
  <si>
    <t>Ø120 * Ø136 * 172L</t>
    <phoneticPr fontId="13" type="noConversion"/>
  </si>
  <si>
    <t>DN800 300LB</t>
    <phoneticPr fontId="13" type="noConversion"/>
  </si>
  <si>
    <t>910KG</t>
    <phoneticPr fontId="13" type="noConversion"/>
  </si>
  <si>
    <t>322KG</t>
    <phoneticPr fontId="13" type="noConversion"/>
  </si>
  <si>
    <t>Ø130 * 1701L</t>
    <phoneticPr fontId="13" type="noConversion"/>
  </si>
  <si>
    <t>Ø36 * 186L</t>
    <phoneticPr fontId="13" type="noConversion"/>
  </si>
  <si>
    <t>Ø605 * Ø778 * 37.7T</t>
    <phoneticPr fontId="13" type="noConversion"/>
  </si>
  <si>
    <t>Ø695 * Ø787 * 15T(316L 3T 4EA+G/P 1T 3EA)</t>
    <phoneticPr fontId="13" type="noConversion"/>
  </si>
  <si>
    <t>Ø702 * Ø738 * 4.5T</t>
    <phoneticPr fontId="13" type="noConversion"/>
  </si>
  <si>
    <t>Ø188 * Ø168 * 3.2T</t>
    <phoneticPr fontId="13" type="noConversion"/>
  </si>
  <si>
    <t>M30 * 120L, STUD/N/SW</t>
    <phoneticPr fontId="13" type="noConversion"/>
  </si>
  <si>
    <t>Ø125 * Ø163 * 95H(5단)</t>
    <phoneticPr fontId="13" type="noConversion"/>
  </si>
  <si>
    <t>Ø130 * Ø146 * 165L</t>
    <phoneticPr fontId="13" type="noConversion"/>
  </si>
  <si>
    <t>Ø130 * Ø146 * 131L</t>
    <phoneticPr fontId="13" type="noConversion"/>
  </si>
  <si>
    <t>Ø126 * Ø162.8 * Ø245(25+45)</t>
    <phoneticPr fontId="13" type="noConversion"/>
  </si>
  <si>
    <t>Ø98 * Ø147.9 * 25T</t>
    <phoneticPr fontId="13" type="noConversion"/>
  </si>
  <si>
    <t>Ø131 * Ø168 * 27T</t>
    <phoneticPr fontId="13" type="noConversion"/>
  </si>
  <si>
    <t>Ø126 * Ø162.8 * 15T</t>
    <phoneticPr fontId="13" type="noConversion"/>
  </si>
  <si>
    <t>Ø131 * Ø167.8 * 15T</t>
    <phoneticPr fontId="13" type="noConversion"/>
  </si>
  <si>
    <t>Ø21 * Ø130 * 4T</t>
    <phoneticPr fontId="13" type="noConversion"/>
  </si>
  <si>
    <t>Ø270 * 43T</t>
    <phoneticPr fontId="13" type="noConversion"/>
  </si>
  <si>
    <t>DN900 300LB</t>
    <phoneticPr fontId="13" type="noConversion"/>
  </si>
  <si>
    <t>1775KG</t>
    <phoneticPr fontId="13" type="noConversion"/>
  </si>
  <si>
    <t>490KG</t>
    <phoneticPr fontId="13" type="noConversion"/>
  </si>
  <si>
    <t>Ø140 * 2021L</t>
    <phoneticPr fontId="13" type="noConversion"/>
  </si>
  <si>
    <t>Ø47 * 191L</t>
    <phoneticPr fontId="13" type="noConversion"/>
  </si>
  <si>
    <t>Ø681 * Ø848 * 40T</t>
    <phoneticPr fontId="13" type="noConversion"/>
  </si>
  <si>
    <t>Ø763 * Ø848 * 17T(316L 2T 6EA+G/P 1T 5EA)</t>
    <phoneticPr fontId="13" type="noConversion"/>
  </si>
  <si>
    <t>M36 * 130L, STUD/N/SW</t>
    <phoneticPr fontId="13" type="noConversion"/>
  </si>
  <si>
    <t>M24 * 190L, STUD/2N/2SW</t>
    <phoneticPr fontId="13" type="noConversion"/>
  </si>
  <si>
    <t>M24 * 80L, HEX/SW</t>
    <phoneticPr fontId="13" type="noConversion"/>
  </si>
  <si>
    <t>Ø140 * Ø160 * 130L</t>
    <phoneticPr fontId="13" type="noConversion"/>
  </si>
  <si>
    <t>Ø140 * Ø160 * 68L</t>
    <phoneticPr fontId="13" type="noConversion"/>
  </si>
  <si>
    <t>Ø140 * Ø160 * 95.5L</t>
    <phoneticPr fontId="13" type="noConversion"/>
  </si>
  <si>
    <t>Ø95.1 * Ø154.9 * 25T</t>
    <phoneticPr fontId="13" type="noConversion"/>
  </si>
  <si>
    <t>Ø41 * Ø135 * 4T</t>
    <phoneticPr fontId="13" type="noConversion"/>
  </si>
  <si>
    <t>DN1050 300LB</t>
    <phoneticPr fontId="13" type="noConversion"/>
  </si>
  <si>
    <t>1566KG</t>
    <phoneticPr fontId="13" type="noConversion"/>
  </si>
  <si>
    <t>868KG</t>
    <phoneticPr fontId="13" type="noConversion"/>
  </si>
  <si>
    <t>Ø180 * 2016L</t>
    <phoneticPr fontId="13" type="noConversion"/>
  </si>
  <si>
    <t>Ø42 * 259L</t>
    <phoneticPr fontId="13" type="noConversion"/>
  </si>
  <si>
    <t>Ø791 * Ø980 * 49.5T</t>
    <phoneticPr fontId="13" type="noConversion"/>
  </si>
  <si>
    <t>Ø896 * Ø996 * 19T(316L 3T 5EA+G/P 1T 4EA)</t>
    <phoneticPr fontId="13" type="noConversion"/>
  </si>
  <si>
    <t>Ø902 * Ø926 * 4.5T</t>
    <phoneticPr fontId="13" type="noConversion"/>
  </si>
  <si>
    <t>Ø222 * Ø248 * 3.2T</t>
    <phoneticPr fontId="13" type="noConversion"/>
  </si>
  <si>
    <t>M36 * 155L, STUD/N/SW</t>
    <phoneticPr fontId="13" type="noConversion"/>
  </si>
  <si>
    <t>M45 * 215L, STUD/2N/2SW</t>
    <phoneticPr fontId="13" type="noConversion"/>
  </si>
  <si>
    <t>M24 * 55L, WRENCH</t>
    <phoneticPr fontId="13" type="noConversion"/>
  </si>
  <si>
    <t>46EA</t>
    <phoneticPr fontId="13" type="noConversion"/>
  </si>
  <si>
    <t>M24 * 130L, STUD/N/SW</t>
    <phoneticPr fontId="13" type="noConversion"/>
  </si>
  <si>
    <t>Ø180 * Ø215 * 87.5H</t>
    <phoneticPr fontId="13" type="noConversion"/>
  </si>
  <si>
    <t>Ø180 * Ø200 * 150L</t>
    <phoneticPr fontId="13" type="noConversion"/>
  </si>
  <si>
    <t>Ø180 * Ø200 * 119L</t>
    <phoneticPr fontId="13" type="noConversion"/>
  </si>
  <si>
    <t>Ø180 * Ø200 * 49L</t>
    <phoneticPr fontId="13" type="noConversion"/>
  </si>
  <si>
    <t>Ø180.5 * Ø214.8 * Ø315(25+60)</t>
    <phoneticPr fontId="13" type="noConversion"/>
  </si>
  <si>
    <t>Ø140 * Ø201.9 * 35T</t>
    <phoneticPr fontId="13" type="noConversion"/>
  </si>
  <si>
    <t>Ø180 * Ø222 * 40T</t>
    <phoneticPr fontId="13" type="noConversion"/>
  </si>
  <si>
    <t>Ø181 * Ø214.9 * 15T</t>
    <phoneticPr fontId="13" type="noConversion"/>
  </si>
  <si>
    <t>Ø71 * Ø180 * 4T</t>
    <phoneticPr fontId="13" type="noConversion"/>
  </si>
  <si>
    <t>Ø335 * 55T</t>
    <phoneticPr fontId="13" type="noConversion"/>
  </si>
  <si>
    <t>F48(Ø560)</t>
    <phoneticPr fontId="13" type="noConversion"/>
  </si>
  <si>
    <t>DN1200 300LB</t>
    <phoneticPr fontId="13" type="noConversion"/>
  </si>
  <si>
    <t>2865KG</t>
    <phoneticPr fontId="13" type="noConversion"/>
  </si>
  <si>
    <t>Ø200 * 2326L</t>
    <phoneticPr fontId="13" type="noConversion"/>
  </si>
  <si>
    <t>Ø50 * 281L</t>
    <phoneticPr fontId="13" type="noConversion"/>
  </si>
  <si>
    <t>Ø935 * Ø1168 * 59.5T</t>
    <phoneticPr fontId="13" type="noConversion"/>
  </si>
  <si>
    <t>Ø1067 * Ø1180 * 19T(316L 3T 5EA+G/P 1T 4EA)</t>
    <phoneticPr fontId="13" type="noConversion"/>
  </si>
  <si>
    <t>Ø1074 * Ø1098 * 4.5T</t>
    <phoneticPr fontId="13" type="noConversion"/>
  </si>
  <si>
    <t>Ø252 * Ø278 * 3.2T</t>
    <phoneticPr fontId="13" type="noConversion"/>
  </si>
  <si>
    <t>LOCKING BOLT</t>
    <phoneticPr fontId="13" type="noConversion"/>
  </si>
  <si>
    <t>M45 * 165L, STUD/N/SW</t>
    <phoneticPr fontId="13" type="noConversion"/>
  </si>
  <si>
    <t>M30 * 40L, WRENCH</t>
    <phoneticPr fontId="13" type="noConversion"/>
  </si>
  <si>
    <t>M30 * 60L, WRENCH</t>
    <phoneticPr fontId="13" type="noConversion"/>
  </si>
  <si>
    <t>44EA</t>
    <phoneticPr fontId="13" type="noConversion"/>
  </si>
  <si>
    <t>M30 * 95L, HEX/SW</t>
    <phoneticPr fontId="13" type="noConversion"/>
  </si>
  <si>
    <t>Ø200 * Ø220 * 190L</t>
    <phoneticPr fontId="13" type="noConversion"/>
  </si>
  <si>
    <t>Ø201 * Ø239.8 * Ø330(30+55)</t>
    <phoneticPr fontId="13" type="noConversion"/>
  </si>
  <si>
    <t>Ø201 * Ø252 * 40T</t>
    <phoneticPr fontId="13" type="noConversion"/>
  </si>
  <si>
    <t>41KG</t>
    <phoneticPr fontId="3" type="noConversion"/>
  </si>
  <si>
    <t>A351 CF8M</t>
  </si>
  <si>
    <t>38KG</t>
    <phoneticPr fontId="3" type="noConversion"/>
  </si>
  <si>
    <t>태화</t>
    <phoneticPr fontId="3" type="noConversion"/>
  </si>
  <si>
    <t>조립비용</t>
    <phoneticPr fontId="3" type="noConversion"/>
  </si>
  <si>
    <t>VALVE MARGIN</t>
    <phoneticPr fontId="3" type="noConversion"/>
  </si>
  <si>
    <t>N/A</t>
  </si>
  <si>
    <t>VALVE MARGIN</t>
    <phoneticPr fontId="24" type="noConversion"/>
  </si>
  <si>
    <t>PAINTING/COATING</t>
  </si>
  <si>
    <t>조립비용</t>
    <phoneticPr fontId="24" type="noConversion"/>
  </si>
  <si>
    <t>APPLICATION</t>
  </si>
  <si>
    <t>기존 단가</t>
    <phoneticPr fontId="24" type="noConversion"/>
  </si>
  <si>
    <t>외주 2COATING</t>
  </si>
  <si>
    <t>신규</t>
    <phoneticPr fontId="24" type="noConversion"/>
  </si>
  <si>
    <t>외주 3COATING</t>
  </si>
  <si>
    <t>PAINT</t>
    <phoneticPr fontId="13" type="noConversion"/>
  </si>
  <si>
    <t>기존단가</t>
    <phoneticPr fontId="13" type="noConversion"/>
  </si>
  <si>
    <t>2 COATING</t>
    <phoneticPr fontId="13" type="noConversion"/>
  </si>
  <si>
    <t>3 COATING</t>
    <phoneticPr fontId="13" type="noConversion"/>
  </si>
  <si>
    <t>조립비용</t>
    <phoneticPr fontId="13" type="noConversion"/>
  </si>
  <si>
    <t>신규</t>
    <phoneticPr fontId="13" type="noConversion"/>
  </si>
  <si>
    <t>포장비</t>
    <phoneticPr fontId="13" type="noConversion"/>
  </si>
  <si>
    <t>GEAR</t>
    <phoneticPr fontId="13" type="noConversion"/>
  </si>
  <si>
    <t>MOTOR</t>
    <phoneticPr fontId="13" type="noConversion"/>
  </si>
  <si>
    <t>PNEUMATIC</t>
    <phoneticPr fontId="13" type="noConversion"/>
  </si>
  <si>
    <t>DELETED</t>
    <phoneticPr fontId="3" type="noConversion"/>
  </si>
  <si>
    <t>신규</t>
  </si>
  <si>
    <t>A564T630</t>
  </si>
  <si>
    <r>
      <t xml:space="preserve">SEAT </t>
    </r>
    <r>
      <rPr>
        <sz val="11"/>
        <color rgb="FFFF0000"/>
        <rFont val="Arial Unicode MS"/>
        <family val="2"/>
        <charset val="129"/>
      </rPr>
      <t>재질 동일</t>
    </r>
    <phoneticPr fontId="3" type="noConversion"/>
  </si>
  <si>
    <t>A216 WCB</t>
  </si>
  <si>
    <t>B7(다크로)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</si>
</sst>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-&quot;₩&quot;* #,##0_-;\-&quot;₩&quot;* #,##0_-;_-&quot;₩&quot;* &quot;-&quot;_-;_-@_-"/>
    <numFmt numFmtId="41" formatCode="_-* #,##0_-;\-* #,##0_-;_-* &quot;-&quot;_-;_-@_-"/>
    <numFmt numFmtId="176" formatCode="#,##0.0"/>
    <numFmt numFmtId="177" formatCode="#,##0.00_ "/>
    <numFmt numFmtId="178" formatCode="#,##0_ "/>
    <numFmt numFmtId="179" formatCode="mm&quot;월&quot;\ dd&quot;일&quot;"/>
  </numFmts>
  <fonts count="40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8"/>
      <name val="굴림"/>
      <family val="3"/>
      <charset val="129"/>
    </font>
    <font>
      <sz val="8"/>
      <name val="돋움"/>
      <family val="3"/>
      <charset val="129"/>
    </font>
    <font>
      <b/>
      <sz val="24"/>
      <name val="굴림"/>
      <family val="3"/>
      <charset val="129"/>
    </font>
    <font>
      <b/>
      <sz val="10"/>
      <name val="돋움"/>
      <family val="3"/>
      <charset val="129"/>
    </font>
    <font>
      <b/>
      <sz val="12"/>
      <name val="돋움"/>
      <family val="3"/>
      <charset val="129"/>
    </font>
    <font>
      <b/>
      <sz val="11"/>
      <name val="돋움"/>
      <family val="3"/>
      <charset val="129"/>
    </font>
    <font>
      <b/>
      <sz val="11"/>
      <color rgb="FFFF0000"/>
      <name val="돋움"/>
      <family val="3"/>
      <charset val="129"/>
    </font>
    <font>
      <b/>
      <sz val="14"/>
      <name val="돋움"/>
      <family val="3"/>
      <charset val="129"/>
    </font>
    <font>
      <b/>
      <sz val="16"/>
      <name val="돋움"/>
      <family val="3"/>
      <charset val="129"/>
    </font>
    <font>
      <b/>
      <sz val="18"/>
      <name val="돋움"/>
      <family val="3"/>
      <charset val="129"/>
    </font>
    <font>
      <sz val="16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14"/>
      <color rgb="FFFF0000"/>
      <name val="돋움"/>
      <family val="3"/>
      <charset val="129"/>
    </font>
    <font>
      <b/>
      <sz val="18"/>
      <color rgb="FFFF0000"/>
      <name val="돋움"/>
      <family val="3"/>
      <charset val="129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Tahoma"/>
      <family val="2"/>
    </font>
    <font>
      <sz val="10"/>
      <name val="돋움"/>
      <family val="3"/>
      <charset val="129"/>
    </font>
    <font>
      <sz val="10"/>
      <name val="Arial"/>
      <family val="2"/>
    </font>
    <font>
      <sz val="11"/>
      <name val="Arial"/>
      <family val="2"/>
    </font>
    <font>
      <sz val="12"/>
      <name val="Arial"/>
      <family val="2"/>
    </font>
    <font>
      <b/>
      <sz val="18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8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name val="돋움"/>
      <family val="3"/>
    </font>
    <font>
      <sz val="11"/>
      <color theme="1"/>
      <name val="맑은 고딕"/>
      <family val="3"/>
      <charset val="129"/>
      <scheme val="minor"/>
    </font>
    <font>
      <sz val="11"/>
      <color rgb="FFFF0000"/>
      <name val="돋움"/>
      <family val="3"/>
      <charset val="129"/>
    </font>
    <font>
      <sz val="9"/>
      <color indexed="81"/>
      <name val="돋움"/>
      <family val="3"/>
      <charset val="129"/>
    </font>
    <font>
      <sz val="11"/>
      <name val="맑은 고딕"/>
      <family val="3"/>
      <charset val="129"/>
    </font>
    <font>
      <b/>
      <sz val="10"/>
      <color rgb="FFFF0000"/>
      <name val="돋움"/>
      <family val="3"/>
      <charset val="129"/>
    </font>
    <font>
      <sz val="11"/>
      <color rgb="FFFF0000"/>
      <name val="Arial"/>
      <family val="2"/>
    </font>
    <font>
      <sz val="18"/>
      <color theme="1"/>
      <name val="Arial"/>
      <family val="2"/>
    </font>
    <font>
      <sz val="11"/>
      <color theme="1"/>
      <name val="맑은 고딕"/>
      <family val="3"/>
      <charset val="129"/>
    </font>
    <font>
      <b/>
      <sz val="9"/>
      <name val="돋움"/>
      <family val="3"/>
      <charset val="129"/>
    </font>
    <font>
      <sz val="11"/>
      <color rgb="FFFFFF00"/>
      <name val="돋움"/>
      <family val="3"/>
      <charset val="129"/>
    </font>
    <font>
      <sz val="11"/>
      <name val="Arial Unicode MS"/>
      <family val="2"/>
      <charset val="129"/>
    </font>
    <font>
      <sz val="11"/>
      <color rgb="FFFF0000"/>
      <name val="Arial Unicode MS"/>
      <family val="2"/>
      <charset val="129"/>
    </font>
  </fonts>
  <fills count="1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00B0F0"/>
        <bgColor indexed="64"/>
      </patternFill>
    </fill>
  </fills>
  <borders count="7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5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27" fillId="0" borderId="0"/>
    <xf numFmtId="42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20" fillId="0" borderId="0"/>
    <xf numFmtId="0" fontId="1" fillId="0" borderId="0">
      <alignment vertical="center"/>
    </xf>
    <xf numFmtId="0" fontId="28" fillId="0" borderId="0"/>
    <xf numFmtId="0" fontId="28" fillId="0" borderId="0">
      <alignment vertical="center"/>
    </xf>
  </cellStyleXfs>
  <cellXfs count="515">
    <xf numFmtId="0" fontId="0" fillId="0" borderId="0" xfId="0">
      <alignment vertical="center"/>
    </xf>
    <xf numFmtId="0" fontId="4" fillId="0" borderId="3" xfId="0" applyFont="1" applyBorder="1" applyAlignment="1">
      <alignment horizontal="centerContinuous"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5" fillId="0" borderId="0" xfId="0" applyFont="1" applyAlignment="1">
      <alignment horizontal="center" vertical="center" shrinkToFit="1"/>
    </xf>
    <xf numFmtId="0" fontId="7" fillId="0" borderId="0" xfId="2" applyFont="1" applyAlignment="1">
      <alignment horizontal="left" vertical="center"/>
    </xf>
    <xf numFmtId="0" fontId="1" fillId="0" borderId="0" xfId="2" applyAlignment="1">
      <alignment horizontal="left" vertical="center"/>
    </xf>
    <xf numFmtId="0" fontId="6" fillId="0" borderId="26" xfId="0" applyFont="1" applyBorder="1" applyAlignment="1">
      <alignment horizontal="center" vertical="center" shrinkToFit="1"/>
    </xf>
    <xf numFmtId="0" fontId="6" fillId="6" borderId="26" xfId="0" applyFont="1" applyFill="1" applyBorder="1" applyAlignment="1">
      <alignment horizontal="center" vertical="center" shrinkToFit="1"/>
    </xf>
    <xf numFmtId="0" fontId="6" fillId="0" borderId="21" xfId="0" applyFont="1" applyBorder="1" applyAlignment="1">
      <alignment horizontal="center" vertical="center" shrinkToFit="1"/>
    </xf>
    <xf numFmtId="0" fontId="6" fillId="5" borderId="29" xfId="0" applyFont="1" applyFill="1" applyBorder="1" applyAlignment="1">
      <alignment horizontal="center" vertical="center" wrapText="1"/>
    </xf>
    <xf numFmtId="0" fontId="7" fillId="0" borderId="17" xfId="0" applyFont="1" applyBorder="1" applyAlignment="1">
      <alignment horizontal="left" vertical="center"/>
    </xf>
    <xf numFmtId="176" fontId="7" fillId="0" borderId="26" xfId="0" applyNumberFormat="1" applyFont="1" applyBorder="1" applyAlignment="1">
      <alignment horizontal="center" vertical="center" shrinkToFit="1"/>
    </xf>
    <xf numFmtId="3" fontId="7" fillId="0" borderId="26" xfId="0" applyNumberFormat="1" applyFont="1" applyBorder="1" applyAlignment="1">
      <alignment horizontal="center" vertical="center" shrinkToFit="1"/>
    </xf>
    <xf numFmtId="3" fontId="7" fillId="0" borderId="26" xfId="0" applyNumberFormat="1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 wrapText="1" shrinkToFit="1"/>
    </xf>
    <xf numFmtId="3" fontId="7" fillId="0" borderId="26" xfId="0" applyNumberFormat="1" applyFont="1" applyBorder="1" applyAlignment="1">
      <alignment horizontal="center" vertical="center" wrapText="1" shrinkToFit="1"/>
    </xf>
    <xf numFmtId="0" fontId="7" fillId="0" borderId="32" xfId="0" applyFont="1" applyBorder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7" fillId="0" borderId="26" xfId="0" applyFont="1" applyBorder="1" applyAlignment="1">
      <alignment horizontal="center" vertical="center" wrapText="1"/>
    </xf>
    <xf numFmtId="176" fontId="7" fillId="0" borderId="26" xfId="0" applyNumberFormat="1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9" fillId="0" borderId="0" xfId="2" applyFont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 wrapText="1" shrinkToFit="1"/>
    </xf>
    <xf numFmtId="0" fontId="6" fillId="0" borderId="0" xfId="2" applyFont="1" applyAlignment="1">
      <alignment horizontal="left" vertical="center"/>
    </xf>
    <xf numFmtId="0" fontId="7" fillId="0" borderId="32" xfId="0" applyFont="1" applyBorder="1" applyAlignment="1">
      <alignment horizontal="center" vertical="center" wrapText="1"/>
    </xf>
    <xf numFmtId="0" fontId="1" fillId="0" borderId="0" xfId="2">
      <alignment vertical="center"/>
    </xf>
    <xf numFmtId="0" fontId="7" fillId="0" borderId="17" xfId="0" applyFont="1" applyBorder="1" applyAlignment="1">
      <alignment horizontal="left" vertical="center" wrapText="1"/>
    </xf>
    <xf numFmtId="0" fontId="7" fillId="0" borderId="26" xfId="0" applyFont="1" applyBorder="1" applyAlignment="1">
      <alignment horizontal="left" vertical="center"/>
    </xf>
    <xf numFmtId="0" fontId="7" fillId="0" borderId="11" xfId="0" applyFont="1" applyBorder="1" applyAlignment="1">
      <alignment horizontal="left" vertical="center"/>
    </xf>
    <xf numFmtId="0" fontId="7" fillId="7" borderId="26" xfId="0" applyFont="1" applyFill="1" applyBorder="1" applyAlignment="1">
      <alignment vertical="center" wrapText="1"/>
    </xf>
    <xf numFmtId="3" fontId="7" fillId="7" borderId="26" xfId="0" applyNumberFormat="1" applyFont="1" applyFill="1" applyBorder="1" applyAlignment="1">
      <alignment horizontal="center" vertical="center"/>
    </xf>
    <xf numFmtId="3" fontId="9" fillId="8" borderId="26" xfId="0" applyNumberFormat="1" applyFont="1" applyFill="1" applyBorder="1" applyAlignment="1">
      <alignment horizontal="center" vertical="center"/>
    </xf>
    <xf numFmtId="3" fontId="9" fillId="7" borderId="26" xfId="0" applyNumberFormat="1" applyFont="1" applyFill="1" applyBorder="1" applyAlignment="1">
      <alignment horizontal="center" vertical="center"/>
    </xf>
    <xf numFmtId="3" fontId="9" fillId="5" borderId="26" xfId="0" applyNumberFormat="1" applyFont="1" applyFill="1" applyBorder="1" applyAlignment="1">
      <alignment horizontal="center" vertical="center"/>
    </xf>
    <xf numFmtId="0" fontId="6" fillId="7" borderId="17" xfId="0" applyFont="1" applyFill="1" applyBorder="1" applyAlignment="1">
      <alignment horizontal="center" vertical="center" wrapText="1"/>
    </xf>
    <xf numFmtId="0" fontId="7" fillId="7" borderId="18" xfId="0" applyFont="1" applyFill="1" applyBorder="1" applyAlignment="1">
      <alignment vertical="center" wrapText="1"/>
    </xf>
    <xf numFmtId="0" fontId="11" fillId="5" borderId="18" xfId="0" applyFont="1" applyFill="1" applyBorder="1" applyAlignment="1">
      <alignment horizontal="center" vertical="center" wrapText="1"/>
    </xf>
    <xf numFmtId="3" fontId="11" fillId="5" borderId="18" xfId="0" applyNumberFormat="1" applyFont="1" applyFill="1" applyBorder="1" applyAlignment="1">
      <alignment horizontal="center" vertical="center"/>
    </xf>
    <xf numFmtId="0" fontId="6" fillId="7" borderId="36" xfId="0" applyFont="1" applyFill="1" applyBorder="1" applyAlignment="1">
      <alignment horizontal="center" vertical="center" wrapText="1"/>
    </xf>
    <xf numFmtId="3" fontId="7" fillId="7" borderId="37" xfId="0" applyNumberFormat="1" applyFont="1" applyFill="1" applyBorder="1" applyAlignment="1">
      <alignment horizontal="center" vertical="center"/>
    </xf>
    <xf numFmtId="3" fontId="11" fillId="8" borderId="37" xfId="0" applyNumberFormat="1" applyFont="1" applyFill="1" applyBorder="1" applyAlignment="1">
      <alignment horizontal="center" vertical="center"/>
    </xf>
    <xf numFmtId="0" fontId="10" fillId="0" borderId="0" xfId="2" applyFont="1" applyAlignment="1">
      <alignment horizontal="left" vertical="center"/>
    </xf>
    <xf numFmtId="0" fontId="10" fillId="0" borderId="0" xfId="2" applyFont="1" applyAlignment="1">
      <alignment horizontal="center" vertical="center"/>
    </xf>
    <xf numFmtId="0" fontId="12" fillId="0" borderId="0" xfId="2" applyFont="1" applyAlignment="1">
      <alignment horizontal="left" vertical="center"/>
    </xf>
    <xf numFmtId="0" fontId="12" fillId="0" borderId="0" xfId="3" applyFont="1" applyAlignment="1">
      <alignment horizontal="left" vertical="center"/>
    </xf>
    <xf numFmtId="0" fontId="12" fillId="0" borderId="0" xfId="2" applyFont="1">
      <alignment vertical="center"/>
    </xf>
    <xf numFmtId="0" fontId="5" fillId="0" borderId="0" xfId="0" applyFont="1" applyAlignment="1">
      <alignment horizontal="left" vertical="center"/>
    </xf>
    <xf numFmtId="41" fontId="5" fillId="7" borderId="39" xfId="1" applyFont="1" applyFill="1" applyBorder="1" applyAlignment="1">
      <alignment horizontal="center" vertical="center"/>
    </xf>
    <xf numFmtId="177" fontId="5" fillId="7" borderId="39" xfId="1" applyNumberFormat="1" applyFont="1" applyFill="1" applyBorder="1" applyAlignment="1">
      <alignment horizontal="center" vertical="center"/>
    </xf>
    <xf numFmtId="0" fontId="4" fillId="0" borderId="3" xfId="4" applyFont="1" applyBorder="1" applyAlignment="1">
      <alignment horizontal="centerContinuous" vertical="center"/>
    </xf>
    <xf numFmtId="0" fontId="5" fillId="0" borderId="0" xfId="4" applyFont="1">
      <alignment vertical="center"/>
    </xf>
    <xf numFmtId="0" fontId="5" fillId="0" borderId="0" xfId="4" applyFont="1" applyAlignment="1">
      <alignment horizontal="center" vertical="center"/>
    </xf>
    <xf numFmtId="0" fontId="6" fillId="0" borderId="0" xfId="4" applyFont="1" applyAlignment="1">
      <alignment horizontal="right" vertical="center"/>
    </xf>
    <xf numFmtId="0" fontId="5" fillId="0" borderId="0" xfId="4" applyFont="1" applyAlignment="1">
      <alignment horizontal="center" vertical="center" shrinkToFit="1"/>
    </xf>
    <xf numFmtId="0" fontId="6" fillId="0" borderId="26" xfId="4" applyFont="1" applyBorder="1" applyAlignment="1">
      <alignment horizontal="center" vertical="center" shrinkToFit="1"/>
    </xf>
    <xf numFmtId="0" fontId="6" fillId="6" borderId="26" xfId="4" applyFont="1" applyFill="1" applyBorder="1" applyAlignment="1">
      <alignment horizontal="center" vertical="center" shrinkToFit="1"/>
    </xf>
    <xf numFmtId="0" fontId="6" fillId="0" borderId="21" xfId="4" applyFont="1" applyBorder="1" applyAlignment="1">
      <alignment horizontal="center" vertical="center" shrinkToFit="1"/>
    </xf>
    <xf numFmtId="0" fontId="6" fillId="5" borderId="29" xfId="4" applyFont="1" applyFill="1" applyBorder="1" applyAlignment="1">
      <alignment horizontal="center" vertical="center" wrapText="1"/>
    </xf>
    <xf numFmtId="0" fontId="7" fillId="0" borderId="17" xfId="4" applyFont="1" applyBorder="1" applyAlignment="1">
      <alignment horizontal="left" vertical="center"/>
    </xf>
    <xf numFmtId="3" fontId="7" fillId="0" borderId="26" xfId="4" applyNumberFormat="1" applyFont="1" applyBorder="1" applyAlignment="1">
      <alignment horizontal="center" vertical="center" shrinkToFit="1"/>
    </xf>
    <xf numFmtId="3" fontId="7" fillId="0" borderId="26" xfId="4" applyNumberFormat="1" applyFont="1" applyBorder="1" applyAlignment="1">
      <alignment horizontal="center" vertical="center"/>
    </xf>
    <xf numFmtId="0" fontId="7" fillId="0" borderId="30" xfId="4" applyFont="1" applyBorder="1" applyAlignment="1">
      <alignment horizontal="center" vertical="center" wrapText="1" shrinkToFit="1"/>
    </xf>
    <xf numFmtId="0" fontId="7" fillId="0" borderId="26" xfId="4" applyFont="1" applyBorder="1" applyAlignment="1">
      <alignment horizontal="center" vertical="center" wrapText="1"/>
    </xf>
    <xf numFmtId="176" fontId="7" fillId="0" borderId="26" xfId="4" applyNumberFormat="1" applyFont="1" applyBorder="1" applyAlignment="1">
      <alignment horizontal="center" vertical="center" shrinkToFit="1"/>
    </xf>
    <xf numFmtId="3" fontId="7" fillId="0" borderId="26" xfId="4" applyNumberFormat="1" applyFont="1" applyBorder="1" applyAlignment="1">
      <alignment horizontal="center" vertical="center" wrapText="1" shrinkToFit="1"/>
    </xf>
    <xf numFmtId="0" fontId="7" fillId="0" borderId="32" xfId="4" applyFont="1" applyBorder="1" applyAlignment="1">
      <alignment horizontal="center" vertical="center"/>
    </xf>
    <xf numFmtId="0" fontId="5" fillId="7" borderId="0" xfId="4" applyFont="1" applyFill="1" applyAlignment="1">
      <alignment horizontal="center" vertical="center"/>
    </xf>
    <xf numFmtId="176" fontId="7" fillId="0" borderId="26" xfId="4" applyNumberFormat="1" applyFont="1" applyBorder="1" applyAlignment="1">
      <alignment horizontal="center" vertical="center"/>
    </xf>
    <xf numFmtId="0" fontId="7" fillId="0" borderId="27" xfId="4" applyFont="1" applyBorder="1" applyAlignment="1">
      <alignment horizontal="center" vertical="center"/>
    </xf>
    <xf numFmtId="0" fontId="7" fillId="0" borderId="27" xfId="4" applyFont="1" applyBorder="1" applyAlignment="1">
      <alignment horizontal="center" vertical="center" wrapText="1" shrinkToFit="1"/>
    </xf>
    <xf numFmtId="0" fontId="7" fillId="0" borderId="26" xfId="4" applyFont="1" applyBorder="1" applyAlignment="1">
      <alignment horizontal="center" vertical="center"/>
    </xf>
    <xf numFmtId="0" fontId="7" fillId="0" borderId="32" xfId="4" applyFont="1" applyBorder="1" applyAlignment="1">
      <alignment horizontal="center" vertical="center" wrapText="1"/>
    </xf>
    <xf numFmtId="0" fontId="7" fillId="0" borderId="17" xfId="4" applyFont="1" applyBorder="1" applyAlignment="1">
      <alignment horizontal="left" vertical="center" wrapText="1"/>
    </xf>
    <xf numFmtId="0" fontId="7" fillId="0" borderId="11" xfId="4" applyFont="1" applyBorder="1" applyAlignment="1">
      <alignment horizontal="left" vertical="center"/>
    </xf>
    <xf numFmtId="0" fontId="7" fillId="7" borderId="26" xfId="4" applyFont="1" applyFill="1" applyBorder="1" applyAlignment="1">
      <alignment vertical="center" wrapText="1"/>
    </xf>
    <xf numFmtId="3" fontId="7" fillId="7" borderId="26" xfId="4" applyNumberFormat="1" applyFont="1" applyFill="1" applyBorder="1" applyAlignment="1">
      <alignment horizontal="center" vertical="center"/>
    </xf>
    <xf numFmtId="3" fontId="9" fillId="8" borderId="26" xfId="4" applyNumberFormat="1" applyFont="1" applyFill="1" applyBorder="1" applyAlignment="1">
      <alignment horizontal="center" vertical="center"/>
    </xf>
    <xf numFmtId="3" fontId="9" fillId="7" borderId="26" xfId="4" applyNumberFormat="1" applyFont="1" applyFill="1" applyBorder="1" applyAlignment="1">
      <alignment horizontal="center" vertical="center"/>
    </xf>
    <xf numFmtId="3" fontId="9" fillId="5" borderId="26" xfId="4" applyNumberFormat="1" applyFont="1" applyFill="1" applyBorder="1" applyAlignment="1">
      <alignment horizontal="center" vertical="center"/>
    </xf>
    <xf numFmtId="0" fontId="6" fillId="7" borderId="17" xfId="4" applyFont="1" applyFill="1" applyBorder="1" applyAlignment="1">
      <alignment horizontal="center" vertical="center" wrapText="1"/>
    </xf>
    <xf numFmtId="0" fontId="7" fillId="7" borderId="18" xfId="4" applyFont="1" applyFill="1" applyBorder="1" applyAlignment="1">
      <alignment vertical="center" wrapText="1"/>
    </xf>
    <xf numFmtId="0" fontId="11" fillId="5" borderId="18" xfId="4" applyFont="1" applyFill="1" applyBorder="1" applyAlignment="1">
      <alignment horizontal="center" vertical="center" wrapText="1"/>
    </xf>
    <xf numFmtId="3" fontId="11" fillId="5" borderId="18" xfId="4" applyNumberFormat="1" applyFont="1" applyFill="1" applyBorder="1" applyAlignment="1">
      <alignment horizontal="center" vertical="center"/>
    </xf>
    <xf numFmtId="0" fontId="6" fillId="7" borderId="36" xfId="4" applyFont="1" applyFill="1" applyBorder="1" applyAlignment="1">
      <alignment horizontal="center" vertical="center" wrapText="1"/>
    </xf>
    <xf numFmtId="3" fontId="7" fillId="7" borderId="37" xfId="4" applyNumberFormat="1" applyFont="1" applyFill="1" applyBorder="1" applyAlignment="1">
      <alignment horizontal="center" vertical="center"/>
    </xf>
    <xf numFmtId="3" fontId="11" fillId="8" borderId="37" xfId="4" applyNumberFormat="1" applyFont="1" applyFill="1" applyBorder="1" applyAlignment="1">
      <alignment horizontal="center" vertical="center"/>
    </xf>
    <xf numFmtId="0" fontId="5" fillId="0" borderId="0" xfId="4" applyFont="1" applyAlignment="1">
      <alignment horizontal="left" vertical="center"/>
    </xf>
    <xf numFmtId="3" fontId="7" fillId="0" borderId="27" xfId="0" applyNumberFormat="1" applyFont="1" applyBorder="1" applyAlignment="1">
      <alignment horizontal="center" vertical="center" wrapText="1"/>
    </xf>
    <xf numFmtId="0" fontId="7" fillId="10" borderId="26" xfId="0" applyFont="1" applyFill="1" applyBorder="1" applyAlignment="1">
      <alignment horizontal="center" vertical="center"/>
    </xf>
    <xf numFmtId="0" fontId="7" fillId="0" borderId="26" xfId="0" applyFont="1" applyBorder="1" applyAlignment="1">
      <alignment horizontal="left" vertical="center" wrapText="1"/>
    </xf>
    <xf numFmtId="0" fontId="6" fillId="7" borderId="26" xfId="0" applyFont="1" applyFill="1" applyBorder="1" applyAlignment="1">
      <alignment vertical="center" wrapText="1"/>
    </xf>
    <xf numFmtId="0" fontId="7" fillId="7" borderId="26" xfId="0" applyFont="1" applyFill="1" applyBorder="1" applyAlignment="1">
      <alignment horizontal="center" vertical="center" wrapText="1"/>
    </xf>
    <xf numFmtId="0" fontId="7" fillId="7" borderId="26" xfId="0" applyFont="1" applyFill="1" applyBorder="1">
      <alignment vertical="center"/>
    </xf>
    <xf numFmtId="0" fontId="15" fillId="7" borderId="0" xfId="0" applyFont="1" applyFill="1" applyAlignment="1">
      <alignment horizontal="left" vertical="center"/>
    </xf>
    <xf numFmtId="0" fontId="0" fillId="0" borderId="0" xfId="2" applyFont="1" applyAlignment="1">
      <alignment horizontal="left" vertical="center"/>
    </xf>
    <xf numFmtId="0" fontId="20" fillId="0" borderId="0" xfId="0" applyFont="1" applyAlignment="1"/>
    <xf numFmtId="0" fontId="22" fillId="0" borderId="0" xfId="0" applyFont="1" applyAlignment="1"/>
    <xf numFmtId="0" fontId="25" fillId="0" borderId="0" xfId="0" applyFont="1">
      <alignment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26" fillId="0" borderId="42" xfId="0" applyFont="1" applyBorder="1" applyAlignment="1">
      <alignment horizontal="center" vertical="center" wrapText="1"/>
    </xf>
    <xf numFmtId="0" fontId="0" fillId="0" borderId="45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12" borderId="46" xfId="0" applyFill="1" applyBorder="1" applyAlignment="1">
      <alignment horizontal="center" vertical="center"/>
    </xf>
    <xf numFmtId="0" fontId="0" fillId="12" borderId="47" xfId="0" applyFill="1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178" fontId="0" fillId="0" borderId="48" xfId="0" applyNumberFormat="1" applyBorder="1" applyAlignment="1">
      <alignment horizontal="center" vertical="center"/>
    </xf>
    <xf numFmtId="178" fontId="0" fillId="0" borderId="12" xfId="0" applyNumberFormat="1" applyBorder="1" applyAlignment="1">
      <alignment horizontal="center" vertical="center"/>
    </xf>
    <xf numFmtId="178" fontId="0" fillId="0" borderId="49" xfId="0" applyNumberForma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178" fontId="0" fillId="0" borderId="26" xfId="0" applyNumberFormat="1" applyBorder="1" applyAlignment="1">
      <alignment horizontal="center" vertical="center"/>
    </xf>
    <xf numFmtId="178" fontId="0" fillId="0" borderId="32" xfId="0" applyNumberFormat="1" applyBorder="1" applyAlignment="1">
      <alignment horizontal="center" vertical="center"/>
    </xf>
    <xf numFmtId="0" fontId="0" fillId="12" borderId="50" xfId="0" applyFill="1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26" fillId="0" borderId="11" xfId="0" applyFont="1" applyBorder="1" applyAlignment="1">
      <alignment horizontal="center" vertical="center" wrapText="1" shrinkToFit="1"/>
    </xf>
    <xf numFmtId="0" fontId="0" fillId="12" borderId="31" xfId="0" applyFill="1" applyBorder="1" applyAlignment="1">
      <alignment horizontal="center" vertical="center"/>
    </xf>
    <xf numFmtId="0" fontId="26" fillId="12" borderId="24" xfId="0" applyFont="1" applyFill="1" applyBorder="1" applyAlignment="1">
      <alignment horizontal="center" vertical="center" wrapText="1" shrinkToFit="1"/>
    </xf>
    <xf numFmtId="0" fontId="0" fillId="0" borderId="18" xfId="0" applyBorder="1" applyAlignment="1">
      <alignment horizontal="center" vertical="center"/>
    </xf>
    <xf numFmtId="178" fontId="0" fillId="0" borderId="18" xfId="0" applyNumberFormat="1" applyBorder="1" applyAlignment="1">
      <alignment horizontal="center" vertical="center"/>
    </xf>
    <xf numFmtId="178" fontId="0" fillId="0" borderId="25" xfId="0" applyNumberFormat="1" applyBorder="1" applyAlignment="1">
      <alignment horizontal="center" vertical="center"/>
    </xf>
    <xf numFmtId="178" fontId="0" fillId="0" borderId="51" xfId="0" applyNumberForma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12" borderId="29" xfId="0" applyFill="1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178" fontId="0" fillId="0" borderId="37" xfId="0" applyNumberFormat="1" applyBorder="1" applyAlignment="1">
      <alignment horizontal="center" vertical="center"/>
    </xf>
    <xf numFmtId="178" fontId="0" fillId="0" borderId="38" xfId="0" applyNumberForma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 wrapText="1" shrinkToFit="1"/>
    </xf>
    <xf numFmtId="0" fontId="0" fillId="0" borderId="25" xfId="0" applyBorder="1" applyAlignment="1">
      <alignment horizontal="center" vertical="center"/>
    </xf>
    <xf numFmtId="178" fontId="0" fillId="0" borderId="15" xfId="0" applyNumberFormat="1" applyBorder="1" applyAlignment="1">
      <alignment horizontal="center" vertical="center"/>
    </xf>
    <xf numFmtId="0" fontId="0" fillId="12" borderId="52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9" fillId="0" borderId="0" xfId="0" applyFont="1" applyAlignment="1">
      <alignment horizontal="left" vertical="center"/>
    </xf>
    <xf numFmtId="0" fontId="7" fillId="5" borderId="17" xfId="0" applyFont="1" applyFill="1" applyBorder="1" applyAlignment="1">
      <alignment horizontal="left" vertical="center"/>
    </xf>
    <xf numFmtId="0" fontId="7" fillId="14" borderId="30" xfId="4" applyFont="1" applyFill="1" applyBorder="1" applyAlignment="1">
      <alignment horizontal="center" vertical="center" wrapText="1" shrinkToFit="1"/>
    </xf>
    <xf numFmtId="179" fontId="6" fillId="5" borderId="29" xfId="0" quotePrefix="1" applyNumberFormat="1" applyFont="1" applyFill="1" applyBorder="1" applyAlignment="1">
      <alignment horizontal="center" vertical="center" wrapText="1"/>
    </xf>
    <xf numFmtId="14" fontId="6" fillId="5" borderId="29" xfId="4" quotePrefix="1" applyNumberFormat="1" applyFont="1" applyFill="1" applyBorder="1" applyAlignment="1">
      <alignment horizontal="center" vertical="center" wrapText="1"/>
    </xf>
    <xf numFmtId="14" fontId="6" fillId="5" borderId="29" xfId="0" quotePrefix="1" applyNumberFormat="1" applyFont="1" applyFill="1" applyBorder="1" applyAlignment="1">
      <alignment horizontal="center" vertical="center" wrapText="1"/>
    </xf>
    <xf numFmtId="14" fontId="6" fillId="5" borderId="26" xfId="0" quotePrefix="1" applyNumberFormat="1" applyFont="1" applyFill="1" applyBorder="1" applyAlignment="1">
      <alignment horizontal="center" vertical="center" wrapText="1"/>
    </xf>
    <xf numFmtId="176" fontId="8" fillId="0" borderId="26" xfId="0" applyNumberFormat="1" applyFont="1" applyBorder="1" applyAlignment="1">
      <alignment horizontal="center" vertical="center" shrinkToFit="1"/>
    </xf>
    <xf numFmtId="41" fontId="7" fillId="0" borderId="0" xfId="1" applyFont="1" applyBorder="1" applyAlignment="1">
      <alignment horizontal="left" vertical="center"/>
    </xf>
    <xf numFmtId="3" fontId="7" fillId="0" borderId="0" xfId="2" applyNumberFormat="1" applyFont="1" applyAlignment="1">
      <alignment horizontal="left" vertical="center"/>
    </xf>
    <xf numFmtId="3" fontId="5" fillId="0" borderId="0" xfId="4" applyNumberFormat="1" applyFont="1" applyAlignment="1">
      <alignment horizontal="center" vertical="center"/>
    </xf>
    <xf numFmtId="3" fontId="1" fillId="0" borderId="0" xfId="2" applyNumberFormat="1" applyAlignment="1">
      <alignment horizontal="left" vertical="center"/>
    </xf>
    <xf numFmtId="3" fontId="5" fillId="0" borderId="0" xfId="0" applyNumberFormat="1" applyFont="1" applyAlignment="1">
      <alignment horizontal="center" vertical="center"/>
    </xf>
    <xf numFmtId="0" fontId="8" fillId="5" borderId="17" xfId="0" applyFont="1" applyFill="1" applyBorder="1" applyAlignment="1">
      <alignment horizontal="left" vertical="center"/>
    </xf>
    <xf numFmtId="0" fontId="8" fillId="5" borderId="17" xfId="4" applyFont="1" applyFill="1" applyBorder="1" applyAlignment="1">
      <alignment horizontal="left" vertical="center"/>
    </xf>
    <xf numFmtId="176" fontId="8" fillId="0" borderId="26" xfId="4" applyNumberFormat="1" applyFont="1" applyBorder="1" applyAlignment="1">
      <alignment horizontal="center" vertical="center" shrinkToFit="1"/>
    </xf>
    <xf numFmtId="0" fontId="7" fillId="0" borderId="0" xfId="2" quotePrefix="1" applyFont="1" applyAlignment="1">
      <alignment horizontal="left" vertical="center"/>
    </xf>
    <xf numFmtId="0" fontId="8" fillId="0" borderId="26" xfId="0" applyFont="1" applyBorder="1" applyAlignment="1">
      <alignment horizontal="center" vertical="center" wrapText="1"/>
    </xf>
    <xf numFmtId="3" fontId="8" fillId="0" borderId="26" xfId="0" applyNumberFormat="1" applyFont="1" applyBorder="1" applyAlignment="1">
      <alignment horizontal="center" vertical="center" shrinkToFit="1"/>
    </xf>
    <xf numFmtId="3" fontId="8" fillId="0" borderId="26" xfId="0" applyNumberFormat="1" applyFont="1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5" fillId="7" borderId="0" xfId="0" applyFont="1" applyFill="1" applyAlignment="1">
      <alignment horizontal="left" vertical="center"/>
    </xf>
    <xf numFmtId="0" fontId="5" fillId="7" borderId="0" xfId="4" applyFont="1" applyFill="1" applyAlignment="1">
      <alignment horizontal="left" vertical="center"/>
    </xf>
    <xf numFmtId="176" fontId="8" fillId="3" borderId="26" xfId="0" applyNumberFormat="1" applyFont="1" applyFill="1" applyBorder="1" applyAlignment="1">
      <alignment horizontal="center" vertical="center" shrinkToFit="1"/>
    </xf>
    <xf numFmtId="3" fontId="8" fillId="3" borderId="26" xfId="0" applyNumberFormat="1" applyFont="1" applyFill="1" applyBorder="1" applyAlignment="1">
      <alignment horizontal="center" vertical="center" shrinkToFit="1"/>
    </xf>
    <xf numFmtId="0" fontId="8" fillId="3" borderId="26" xfId="0" applyFont="1" applyFill="1" applyBorder="1" applyAlignment="1">
      <alignment horizontal="center" vertical="center" wrapText="1"/>
    </xf>
    <xf numFmtId="3" fontId="8" fillId="3" borderId="26" xfId="0" applyNumberFormat="1" applyFont="1" applyFill="1" applyBorder="1" applyAlignment="1">
      <alignment horizontal="center" vertical="center"/>
    </xf>
    <xf numFmtId="0" fontId="8" fillId="3" borderId="26" xfId="0" applyFont="1" applyFill="1" applyBorder="1" applyAlignment="1">
      <alignment horizontal="center" vertical="center"/>
    </xf>
    <xf numFmtId="0" fontId="7" fillId="5" borderId="17" xfId="0" applyFont="1" applyFill="1" applyBorder="1" applyAlignment="1">
      <alignment horizontal="left" vertical="center" wrapText="1"/>
    </xf>
    <xf numFmtId="0" fontId="0" fillId="0" borderId="28" xfId="0" applyBorder="1" applyAlignment="1">
      <alignment horizontal="center" vertical="center"/>
    </xf>
    <xf numFmtId="0" fontId="0" fillId="3" borderId="48" xfId="0" applyFill="1" applyBorder="1" applyAlignment="1">
      <alignment horizontal="center" vertical="center"/>
    </xf>
    <xf numFmtId="0" fontId="0" fillId="3" borderId="49" xfId="0" applyFill="1" applyBorder="1" applyAlignment="1">
      <alignment horizontal="center" vertical="center"/>
    </xf>
    <xf numFmtId="178" fontId="0" fillId="3" borderId="26" xfId="0" applyNumberFormat="1" applyFill="1" applyBorder="1" applyAlignment="1">
      <alignment horizontal="center" vertical="center"/>
    </xf>
    <xf numFmtId="0" fontId="0" fillId="3" borderId="32" xfId="0" applyFill="1" applyBorder="1" applyAlignment="1">
      <alignment horizontal="center" vertical="center"/>
    </xf>
    <xf numFmtId="0" fontId="7" fillId="5" borderId="26" xfId="0" applyFont="1" applyFill="1" applyBorder="1" applyAlignment="1">
      <alignment horizontal="left" vertical="center"/>
    </xf>
    <xf numFmtId="4" fontId="8" fillId="0" borderId="26" xfId="0" applyNumberFormat="1" applyFont="1" applyBorder="1" applyAlignment="1">
      <alignment horizontal="center" vertical="center" shrinkToFit="1"/>
    </xf>
    <xf numFmtId="0" fontId="8" fillId="0" borderId="27" xfId="0" applyFont="1" applyBorder="1" applyAlignment="1">
      <alignment horizontal="center" vertical="center" wrapText="1" shrinkToFit="1"/>
    </xf>
    <xf numFmtId="0" fontId="8" fillId="0" borderId="26" xfId="0" applyFont="1" applyBorder="1" applyAlignment="1">
      <alignment horizontal="center" vertical="center"/>
    </xf>
    <xf numFmtId="0" fontId="8" fillId="0" borderId="27" xfId="4" applyFont="1" applyBorder="1" applyAlignment="1">
      <alignment horizontal="center" vertical="center" wrapText="1" shrinkToFit="1"/>
    </xf>
    <xf numFmtId="0" fontId="21" fillId="5" borderId="40" xfId="0" applyFont="1" applyFill="1" applyBorder="1" applyAlignment="1">
      <alignment horizontal="center" vertical="center"/>
    </xf>
    <xf numFmtId="0" fontId="21" fillId="14" borderId="40" xfId="0" applyFont="1" applyFill="1" applyBorder="1" applyAlignment="1">
      <alignment horizontal="center" vertical="center"/>
    </xf>
    <xf numFmtId="0" fontId="21" fillId="11" borderId="40" xfId="0" applyFont="1" applyFill="1" applyBorder="1">
      <alignment vertical="center"/>
    </xf>
    <xf numFmtId="0" fontId="20" fillId="0" borderId="0" xfId="0" applyFont="1">
      <alignment vertical="center"/>
    </xf>
    <xf numFmtId="0" fontId="7" fillId="5" borderId="17" xfId="4" applyFont="1" applyFill="1" applyBorder="1" applyAlignment="1">
      <alignment horizontal="left" vertical="center"/>
    </xf>
    <xf numFmtId="0" fontId="7" fillId="5" borderId="17" xfId="4" applyFont="1" applyFill="1" applyBorder="1" applyAlignment="1">
      <alignment horizontal="left" vertical="center" wrapText="1"/>
    </xf>
    <xf numFmtId="0" fontId="7" fillId="5" borderId="26" xfId="0" applyFont="1" applyFill="1" applyBorder="1" applyAlignment="1">
      <alignment horizontal="left" vertical="center" wrapText="1"/>
    </xf>
    <xf numFmtId="3" fontId="8" fillId="0" borderId="26" xfId="0" applyNumberFormat="1" applyFont="1" applyBorder="1" applyAlignment="1">
      <alignment horizontal="center" vertical="center" wrapText="1" shrinkToFit="1"/>
    </xf>
    <xf numFmtId="176" fontId="8" fillId="0" borderId="26" xfId="0" applyNumberFormat="1" applyFont="1" applyBorder="1" applyAlignment="1">
      <alignment horizontal="center" vertical="center"/>
    </xf>
    <xf numFmtId="3" fontId="8" fillId="0" borderId="26" xfId="4" applyNumberFormat="1" applyFont="1" applyBorder="1" applyAlignment="1">
      <alignment horizontal="center" vertical="center" shrinkToFit="1"/>
    </xf>
    <xf numFmtId="3" fontId="8" fillId="0" borderId="26" xfId="4" applyNumberFormat="1" applyFont="1" applyBorder="1" applyAlignment="1">
      <alignment horizontal="center" vertical="center"/>
    </xf>
    <xf numFmtId="3" fontId="8" fillId="0" borderId="26" xfId="4" applyNumberFormat="1" applyFont="1" applyBorder="1" applyAlignment="1">
      <alignment horizontal="center" vertical="center" wrapText="1" shrinkToFit="1"/>
    </xf>
    <xf numFmtId="176" fontId="8" fillId="0" borderId="26" xfId="4" applyNumberFormat="1" applyFont="1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13" borderId="12" xfId="0" applyFill="1" applyBorder="1" applyAlignment="1">
      <alignment horizontal="center" vertical="center"/>
    </xf>
    <xf numFmtId="178" fontId="0" fillId="13" borderId="18" xfId="0" applyNumberFormat="1" applyFill="1" applyBorder="1" applyAlignment="1">
      <alignment horizontal="center" vertical="center"/>
    </xf>
    <xf numFmtId="0" fontId="0" fillId="13" borderId="48" xfId="0" applyFill="1" applyBorder="1" applyAlignment="1">
      <alignment horizontal="center" vertical="center"/>
    </xf>
    <xf numFmtId="0" fontId="31" fillId="0" borderId="37" xfId="0" applyFont="1" applyBorder="1" applyAlignment="1">
      <alignment horizontal="center" vertical="center"/>
    </xf>
    <xf numFmtId="178" fontId="0" fillId="13" borderId="37" xfId="0" applyNumberFormat="1" applyFill="1" applyBorder="1" applyAlignment="1">
      <alignment horizontal="center" vertical="center"/>
    </xf>
    <xf numFmtId="0" fontId="31" fillId="0" borderId="12" xfId="0" applyFont="1" applyBorder="1" applyAlignment="1">
      <alignment horizontal="center" vertical="center"/>
    </xf>
    <xf numFmtId="178" fontId="0" fillId="13" borderId="12" xfId="0" applyNumberFormat="1" applyFill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31" fillId="0" borderId="18" xfId="0" applyFont="1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31" fillId="0" borderId="6" xfId="0" applyFont="1" applyBorder="1" applyAlignment="1">
      <alignment horizontal="center" vertical="center"/>
    </xf>
    <xf numFmtId="178" fontId="0" fillId="0" borderId="6" xfId="0" applyNumberFormat="1" applyBorder="1" applyAlignment="1">
      <alignment horizontal="center" vertical="center"/>
    </xf>
    <xf numFmtId="178" fontId="0" fillId="13" borderId="6" xfId="0" applyNumberFormat="1" applyFill="1" applyBorder="1" applyAlignment="1">
      <alignment horizontal="center" vertical="center"/>
    </xf>
    <xf numFmtId="0" fontId="31" fillId="0" borderId="26" xfId="0" applyFont="1" applyBorder="1" applyAlignment="1">
      <alignment horizontal="center" vertical="center"/>
    </xf>
    <xf numFmtId="178" fontId="0" fillId="13" borderId="26" xfId="0" applyNumberFormat="1" applyFill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178" fontId="0" fillId="0" borderId="42" xfId="0" applyNumberFormat="1" applyBorder="1" applyAlignment="1">
      <alignment horizontal="center" vertical="center"/>
    </xf>
    <xf numFmtId="178" fontId="0" fillId="13" borderId="42" xfId="0" applyNumberForma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37" xfId="0" quotePrefix="1" applyBorder="1" applyAlignment="1">
      <alignment horizontal="center" vertical="center"/>
    </xf>
    <xf numFmtId="0" fontId="0" fillId="5" borderId="48" xfId="0" applyFill="1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7" fillId="5" borderId="26" xfId="4" applyFont="1" applyFill="1" applyBorder="1" applyAlignment="1">
      <alignment horizontal="left" vertical="center"/>
    </xf>
    <xf numFmtId="0" fontId="8" fillId="0" borderId="26" xfId="4" applyFont="1" applyBorder="1" applyAlignment="1">
      <alignment horizontal="center" vertical="center" wrapText="1"/>
    </xf>
    <xf numFmtId="0" fontId="8" fillId="0" borderId="27" xfId="0" applyFont="1" applyBorder="1" applyAlignment="1">
      <alignment horizontal="center" vertical="center"/>
    </xf>
    <xf numFmtId="0" fontId="8" fillId="0" borderId="27" xfId="4" applyFont="1" applyBorder="1" applyAlignment="1">
      <alignment horizontal="center" vertical="center"/>
    </xf>
    <xf numFmtId="0" fontId="7" fillId="5" borderId="11" xfId="0" applyFont="1" applyFill="1" applyBorder="1" applyAlignment="1">
      <alignment horizontal="left" vertical="center"/>
    </xf>
    <xf numFmtId="0" fontId="32" fillId="0" borderId="0" xfId="0" applyFont="1" applyAlignment="1">
      <alignment horizontal="left" vertical="center"/>
    </xf>
    <xf numFmtId="0" fontId="32" fillId="0" borderId="0" xfId="0" applyFont="1" applyAlignment="1">
      <alignment horizontal="center" vertical="center"/>
    </xf>
    <xf numFmtId="0" fontId="32" fillId="0" borderId="0" xfId="4" applyFont="1" applyAlignment="1">
      <alignment horizontal="left" vertical="center"/>
    </xf>
    <xf numFmtId="0" fontId="32" fillId="0" borderId="0" xfId="4" applyFont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0" fontId="8" fillId="0" borderId="32" xfId="4" applyFont="1" applyBorder="1" applyAlignment="1">
      <alignment horizontal="center" vertical="center"/>
    </xf>
    <xf numFmtId="0" fontId="7" fillId="5" borderId="29" xfId="0" applyFont="1" applyFill="1" applyBorder="1" applyAlignment="1">
      <alignment horizontal="left" vertical="center"/>
    </xf>
    <xf numFmtId="0" fontId="7" fillId="5" borderId="29" xfId="4" applyFont="1" applyFill="1" applyBorder="1" applyAlignment="1">
      <alignment horizontal="left" vertical="center"/>
    </xf>
    <xf numFmtId="3" fontId="8" fillId="0" borderId="26" xfId="0" quotePrefix="1" applyNumberFormat="1" applyFont="1" applyBorder="1" applyAlignment="1">
      <alignment horizontal="center" vertical="center" shrinkToFit="1"/>
    </xf>
    <xf numFmtId="0" fontId="5" fillId="7" borderId="0" xfId="0" quotePrefix="1" applyFont="1" applyFill="1" applyAlignment="1">
      <alignment horizontal="left" vertical="center"/>
    </xf>
    <xf numFmtId="0" fontId="5" fillId="7" borderId="0" xfId="4" quotePrefix="1" applyFont="1" applyFill="1" applyAlignment="1">
      <alignment horizontal="left" vertical="center"/>
    </xf>
    <xf numFmtId="0" fontId="21" fillId="5" borderId="58" xfId="0" applyFont="1" applyFill="1" applyBorder="1" applyAlignment="1">
      <alignment horizontal="center" vertical="center"/>
    </xf>
    <xf numFmtId="0" fontId="21" fillId="11" borderId="60" xfId="0" applyFont="1" applyFill="1" applyBorder="1">
      <alignment vertical="center"/>
    </xf>
    <xf numFmtId="0" fontId="21" fillId="11" borderId="61" xfId="0" applyFont="1" applyFill="1" applyBorder="1">
      <alignment vertical="center"/>
    </xf>
    <xf numFmtId="0" fontId="21" fillId="11" borderId="63" xfId="0" applyFont="1" applyFill="1" applyBorder="1">
      <alignment vertical="center"/>
    </xf>
    <xf numFmtId="0" fontId="21" fillId="11" borderId="65" xfId="0" applyFont="1" applyFill="1" applyBorder="1">
      <alignment vertical="center"/>
    </xf>
    <xf numFmtId="0" fontId="21" fillId="11" borderId="66" xfId="0" applyFont="1" applyFill="1" applyBorder="1">
      <alignment vertical="center"/>
    </xf>
    <xf numFmtId="0" fontId="8" fillId="0" borderId="26" xfId="4" applyFont="1" applyBorder="1" applyAlignment="1">
      <alignment horizontal="center" vertical="center"/>
    </xf>
    <xf numFmtId="3" fontId="7" fillId="14" borderId="26" xfId="0" applyNumberFormat="1" applyFont="1" applyFill="1" applyBorder="1" applyAlignment="1">
      <alignment horizontal="center" vertical="center"/>
    </xf>
    <xf numFmtId="0" fontId="7" fillId="5" borderId="15" xfId="0" applyFont="1" applyFill="1" applyBorder="1" applyAlignment="1">
      <alignment horizontal="left" vertical="center" shrinkToFit="1"/>
    </xf>
    <xf numFmtId="0" fontId="7" fillId="8" borderId="38" xfId="0" applyFont="1" applyFill="1" applyBorder="1" applyAlignment="1">
      <alignment horizontal="left" vertical="center" shrinkToFit="1"/>
    </xf>
    <xf numFmtId="0" fontId="7" fillId="5" borderId="15" xfId="4" applyFont="1" applyFill="1" applyBorder="1" applyAlignment="1">
      <alignment horizontal="left" vertical="center" shrinkToFit="1"/>
    </xf>
    <xf numFmtId="0" fontId="7" fillId="8" borderId="38" xfId="4" applyFont="1" applyFill="1" applyBorder="1" applyAlignment="1">
      <alignment horizontal="left" vertical="center" shrinkToFit="1"/>
    </xf>
    <xf numFmtId="0" fontId="7" fillId="5" borderId="11" xfId="4" applyFont="1" applyFill="1" applyBorder="1" applyAlignment="1">
      <alignment horizontal="left" vertical="center"/>
    </xf>
    <xf numFmtId="41" fontId="20" fillId="0" borderId="26" xfId="0" applyNumberFormat="1" applyFont="1" applyBorder="1" applyAlignment="1">
      <alignment horizontal="center" vertical="center"/>
    </xf>
    <xf numFmtId="0" fontId="5" fillId="7" borderId="68" xfId="0" applyFont="1" applyFill="1" applyBorder="1" applyAlignment="1">
      <alignment horizontal="center" vertical="center"/>
    </xf>
    <xf numFmtId="0" fontId="7" fillId="7" borderId="26" xfId="0" applyFont="1" applyFill="1" applyBorder="1" applyAlignment="1">
      <alignment horizontal="center" vertical="center"/>
    </xf>
    <xf numFmtId="0" fontId="10" fillId="7" borderId="26" xfId="0" applyFont="1" applyFill="1" applyBorder="1" applyAlignment="1">
      <alignment horizontal="center" vertical="center"/>
    </xf>
    <xf numFmtId="0" fontId="7" fillId="7" borderId="26" xfId="4" applyFont="1" applyFill="1" applyBorder="1" applyAlignment="1">
      <alignment horizontal="center" vertical="center"/>
    </xf>
    <xf numFmtId="0" fontId="6" fillId="7" borderId="26" xfId="4" applyFont="1" applyFill="1" applyBorder="1" applyAlignment="1">
      <alignment vertical="center" wrapText="1"/>
    </xf>
    <xf numFmtId="0" fontId="7" fillId="7" borderId="26" xfId="4" applyFont="1" applyFill="1" applyBorder="1" applyAlignment="1">
      <alignment horizontal="center" vertical="center" wrapText="1"/>
    </xf>
    <xf numFmtId="0" fontId="10" fillId="7" borderId="26" xfId="4" applyFont="1" applyFill="1" applyBorder="1" applyAlignment="1">
      <alignment horizontal="center" vertical="center"/>
    </xf>
    <xf numFmtId="0" fontId="7" fillId="7" borderId="26" xfId="4" applyFont="1" applyFill="1" applyBorder="1">
      <alignment vertical="center"/>
    </xf>
    <xf numFmtId="0" fontId="7" fillId="14" borderId="26" xfId="0" applyFont="1" applyFill="1" applyBorder="1" applyAlignment="1">
      <alignment horizontal="center" vertical="center" wrapText="1"/>
    </xf>
    <xf numFmtId="176" fontId="7" fillId="14" borderId="26" xfId="4" applyNumberFormat="1" applyFont="1" applyFill="1" applyBorder="1" applyAlignment="1">
      <alignment horizontal="center" vertical="center" shrinkToFit="1"/>
    </xf>
    <xf numFmtId="3" fontId="7" fillId="14" borderId="26" xfId="4" applyNumberFormat="1" applyFont="1" applyFill="1" applyBorder="1" applyAlignment="1">
      <alignment horizontal="center" vertical="center" shrinkToFit="1"/>
    </xf>
    <xf numFmtId="3" fontId="7" fillId="14" borderId="26" xfId="4" applyNumberFormat="1" applyFont="1" applyFill="1" applyBorder="1" applyAlignment="1">
      <alignment horizontal="center" vertical="center"/>
    </xf>
    <xf numFmtId="0" fontId="29" fillId="0" borderId="0" xfId="0" applyFont="1">
      <alignment vertical="center"/>
    </xf>
    <xf numFmtId="0" fontId="21" fillId="15" borderId="59" xfId="0" applyFont="1" applyFill="1" applyBorder="1">
      <alignment vertical="center"/>
    </xf>
    <xf numFmtId="0" fontId="21" fillId="15" borderId="40" xfId="0" applyFont="1" applyFill="1" applyBorder="1">
      <alignment vertical="center"/>
    </xf>
    <xf numFmtId="0" fontId="20" fillId="5" borderId="69" xfId="0" applyFont="1" applyFill="1" applyBorder="1" applyAlignment="1">
      <alignment horizontal="center" vertical="center"/>
    </xf>
    <xf numFmtId="0" fontId="19" fillId="5" borderId="70" xfId="0" applyFont="1" applyFill="1" applyBorder="1" applyAlignment="1">
      <alignment horizontal="center" vertical="center"/>
    </xf>
    <xf numFmtId="0" fontId="20" fillId="5" borderId="71" xfId="0" applyFont="1" applyFill="1" applyBorder="1" applyAlignment="1">
      <alignment horizontal="center" vertical="center"/>
    </xf>
    <xf numFmtId="0" fontId="20" fillId="0" borderId="72" xfId="0" applyFont="1" applyBorder="1" applyAlignment="1">
      <alignment horizontal="center" vertical="center"/>
    </xf>
    <xf numFmtId="0" fontId="20" fillId="0" borderId="73" xfId="0" applyFont="1" applyBorder="1" applyAlignment="1">
      <alignment horizontal="center" vertical="center"/>
    </xf>
    <xf numFmtId="41" fontId="21" fillId="14" borderId="62" xfId="1" applyFont="1" applyFill="1" applyBorder="1" applyAlignment="1">
      <alignment vertical="center"/>
    </xf>
    <xf numFmtId="41" fontId="21" fillId="14" borderId="64" xfId="1" applyFont="1" applyFill="1" applyBorder="1" applyAlignment="1">
      <alignment vertical="center"/>
    </xf>
    <xf numFmtId="41" fontId="21" fillId="14" borderId="67" xfId="1" applyFont="1" applyFill="1" applyBorder="1" applyAlignment="1">
      <alignment vertical="center"/>
    </xf>
    <xf numFmtId="3" fontId="14" fillId="16" borderId="26" xfId="0" applyNumberFormat="1" applyFont="1" applyFill="1" applyBorder="1" applyAlignment="1">
      <alignment horizontal="center" vertical="center"/>
    </xf>
    <xf numFmtId="3" fontId="14" fillId="16" borderId="26" xfId="4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1" fillId="5" borderId="40" xfId="0" applyFont="1" applyFill="1" applyBorder="1" applyAlignment="1">
      <alignment horizontal="left" vertical="center"/>
    </xf>
    <xf numFmtId="0" fontId="34" fillId="0" borderId="0" xfId="0" applyFont="1">
      <alignment vertical="center"/>
    </xf>
    <xf numFmtId="0" fontId="21" fillId="0" borderId="0" xfId="0" applyFont="1">
      <alignment vertical="center"/>
    </xf>
    <xf numFmtId="0" fontId="21" fillId="0" borderId="40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40" xfId="0" applyFont="1" applyBorder="1" applyAlignment="1">
      <alignment horizontal="center" vertical="center" wrapText="1"/>
    </xf>
    <xf numFmtId="0" fontId="21" fillId="0" borderId="74" xfId="0" applyFont="1" applyBorder="1" applyAlignment="1">
      <alignment horizontal="center" vertical="center"/>
    </xf>
    <xf numFmtId="0" fontId="6" fillId="5" borderId="26" xfId="0" applyFont="1" applyFill="1" applyBorder="1" applyAlignment="1">
      <alignment horizontal="center" vertical="center" wrapText="1"/>
    </xf>
    <xf numFmtId="0" fontId="35" fillId="0" borderId="37" xfId="0" applyFont="1" applyBorder="1" applyAlignment="1">
      <alignment horizontal="center" vertical="center"/>
    </xf>
    <xf numFmtId="0" fontId="35" fillId="0" borderId="12" xfId="0" applyFont="1" applyBorder="1" applyAlignment="1">
      <alignment horizontal="center" vertical="center"/>
    </xf>
    <xf numFmtId="0" fontId="35" fillId="0" borderId="18" xfId="0" applyFont="1" applyBorder="1" applyAlignment="1">
      <alignment horizontal="center" vertical="center"/>
    </xf>
    <xf numFmtId="0" fontId="35" fillId="0" borderId="6" xfId="0" applyFont="1" applyBorder="1" applyAlignment="1">
      <alignment horizontal="center" vertical="center"/>
    </xf>
    <xf numFmtId="0" fontId="35" fillId="0" borderId="26" xfId="0" applyFont="1" applyBorder="1" applyAlignment="1">
      <alignment horizontal="center" vertical="center"/>
    </xf>
    <xf numFmtId="0" fontId="35" fillId="0" borderId="42" xfId="0" applyFont="1" applyBorder="1" applyAlignment="1">
      <alignment horizontal="center" vertical="center"/>
    </xf>
    <xf numFmtId="0" fontId="1" fillId="5" borderId="0" xfId="2" applyFill="1" applyAlignment="1">
      <alignment horizontal="left" vertical="center"/>
    </xf>
    <xf numFmtId="178" fontId="0" fillId="6" borderId="26" xfId="0" applyNumberFormat="1" applyFill="1" applyBorder="1" applyAlignment="1">
      <alignment horizontal="center" vertical="center"/>
    </xf>
    <xf numFmtId="3" fontId="9" fillId="16" borderId="26" xfId="0" applyNumberFormat="1" applyFont="1" applyFill="1" applyBorder="1" applyAlignment="1">
      <alignment horizontal="center" vertical="center"/>
    </xf>
    <xf numFmtId="0" fontId="37" fillId="0" borderId="48" xfId="0" quotePrefix="1" applyFont="1" applyBorder="1" applyAlignment="1">
      <alignment horizontal="center" vertical="center"/>
    </xf>
    <xf numFmtId="178" fontId="29" fillId="0" borderId="37" xfId="0" applyNumberFormat="1" applyFont="1" applyBorder="1" applyAlignment="1">
      <alignment horizontal="center" vertical="center"/>
    </xf>
    <xf numFmtId="0" fontId="8" fillId="3" borderId="26" xfId="0" applyFont="1" applyFill="1" applyBorder="1" applyAlignment="1">
      <alignment horizontal="center" vertical="center" shrinkToFit="1"/>
    </xf>
    <xf numFmtId="0" fontId="38" fillId="5" borderId="40" xfId="0" applyFont="1" applyFill="1" applyBorder="1" applyAlignment="1">
      <alignment horizontal="left" vertical="center"/>
    </xf>
    <xf numFmtId="0" fontId="38" fillId="0" borderId="40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 wrapText="1"/>
    </xf>
    <xf numFmtId="4" fontId="7" fillId="0" borderId="26" xfId="0" applyNumberFormat="1" applyFont="1" applyBorder="1" applyAlignment="1">
      <alignment horizontal="center" vertical="center" shrinkToFit="1"/>
    </xf>
    <xf numFmtId="3" fontId="7" fillId="0" borderId="26" xfId="0" quotePrefix="1" applyNumberFormat="1" applyFont="1" applyBorder="1" applyAlignment="1">
      <alignment horizontal="center" vertical="center" shrinkToFit="1"/>
    </xf>
    <xf numFmtId="0" fontId="7" fillId="0" borderId="26" xfId="0" applyFont="1" applyBorder="1" applyAlignment="1">
      <alignment horizontal="center" vertical="center" shrinkToFit="1"/>
    </xf>
    <xf numFmtId="0" fontId="36" fillId="0" borderId="27" xfId="0" applyFont="1" applyBorder="1" applyAlignment="1">
      <alignment horizontal="center" vertical="center" wrapText="1" shrinkToFit="1"/>
    </xf>
    <xf numFmtId="0" fontId="8" fillId="0" borderId="26" xfId="0" applyFont="1" applyBorder="1" applyAlignment="1">
      <alignment horizontal="center" vertical="center" shrinkToFit="1"/>
    </xf>
    <xf numFmtId="178" fontId="29" fillId="3" borderId="26" xfId="0" applyNumberFormat="1" applyFont="1" applyFill="1" applyBorder="1" applyAlignment="1">
      <alignment horizontal="center" vertical="center"/>
    </xf>
    <xf numFmtId="176" fontId="7" fillId="14" borderId="26" xfId="0" applyNumberFormat="1" applyFont="1" applyFill="1" applyBorder="1" applyAlignment="1">
      <alignment horizontal="center" vertical="center" shrinkToFit="1"/>
    </xf>
    <xf numFmtId="3" fontId="7" fillId="14" borderId="26" xfId="0" applyNumberFormat="1" applyFont="1" applyFill="1" applyBorder="1" applyAlignment="1">
      <alignment horizontal="center" vertical="center" shrinkToFit="1"/>
    </xf>
    <xf numFmtId="0" fontId="7" fillId="14" borderId="30" xfId="0" applyFont="1" applyFill="1" applyBorder="1" applyAlignment="1">
      <alignment horizontal="center" vertical="center" wrapText="1" shrinkToFit="1"/>
    </xf>
    <xf numFmtId="0" fontId="20" fillId="6" borderId="72" xfId="0" applyFont="1" applyFill="1" applyBorder="1" applyAlignment="1">
      <alignment horizontal="center" vertical="center"/>
    </xf>
    <xf numFmtId="41" fontId="20" fillId="6" borderId="26" xfId="0" applyNumberFormat="1" applyFont="1" applyFill="1" applyBorder="1" applyAlignment="1">
      <alignment horizontal="center" vertical="center"/>
    </xf>
    <xf numFmtId="0" fontId="20" fillId="6" borderId="73" xfId="0" applyFont="1" applyFill="1" applyBorder="1" applyAlignment="1">
      <alignment horizontal="center" vertical="center"/>
    </xf>
    <xf numFmtId="0" fontId="33" fillId="15" borderId="59" xfId="0" applyFont="1" applyFill="1" applyBorder="1" applyAlignment="1">
      <alignment horizontal="center" vertical="center"/>
    </xf>
    <xf numFmtId="0" fontId="21" fillId="14" borderId="59" xfId="0" applyFont="1" applyFill="1" applyBorder="1">
      <alignment vertical="center"/>
    </xf>
    <xf numFmtId="0" fontId="21" fillId="14" borderId="40" xfId="0" applyFont="1" applyFill="1" applyBorder="1" applyAlignment="1">
      <alignment horizontal="left" vertical="center"/>
    </xf>
    <xf numFmtId="0" fontId="21" fillId="14" borderId="40" xfId="0" applyFont="1" applyFill="1" applyBorder="1">
      <alignment vertical="center"/>
    </xf>
    <xf numFmtId="41" fontId="5" fillId="7" borderId="0" xfId="1" applyFont="1" applyFill="1" applyAlignment="1">
      <alignment horizontal="center" vertical="center"/>
    </xf>
    <xf numFmtId="3" fontId="8" fillId="5" borderId="26" xfId="0" applyNumberFormat="1" applyFont="1" applyFill="1" applyBorder="1" applyAlignment="1">
      <alignment horizontal="center" vertical="center"/>
    </xf>
    <xf numFmtId="0" fontId="26" fillId="0" borderId="18" xfId="0" applyFont="1" applyBorder="1" applyAlignment="1">
      <alignment horizontal="center" vertical="center" wrapText="1" shrinkToFit="1"/>
    </xf>
    <xf numFmtId="0" fontId="26" fillId="0" borderId="25" xfId="0" applyFont="1" applyBorder="1" applyAlignment="1">
      <alignment horizontal="center" vertical="center" wrapText="1" shrinkToFit="1"/>
    </xf>
    <xf numFmtId="0" fontId="26" fillId="0" borderId="53" xfId="0" applyFont="1" applyBorder="1" applyAlignment="1">
      <alignment horizontal="center" vertical="center" wrapText="1" shrinkToFit="1"/>
    </xf>
    <xf numFmtId="0" fontId="26" fillId="12" borderId="18" xfId="0" applyFont="1" applyFill="1" applyBorder="1" applyAlignment="1">
      <alignment horizontal="center" vertical="center" wrapText="1"/>
    </xf>
    <xf numFmtId="0" fontId="26" fillId="12" borderId="25" xfId="0" applyFont="1" applyFill="1" applyBorder="1" applyAlignment="1">
      <alignment horizontal="center" vertical="center" wrapText="1"/>
    </xf>
    <xf numFmtId="0" fontId="26" fillId="12" borderId="53" xfId="0" applyFont="1" applyFill="1" applyBorder="1" applyAlignment="1">
      <alignment horizontal="center" vertical="center" wrapText="1"/>
    </xf>
    <xf numFmtId="0" fontId="26" fillId="12" borderId="18" xfId="0" applyFont="1" applyFill="1" applyBorder="1" applyAlignment="1">
      <alignment horizontal="center" vertical="center" wrapText="1" shrinkToFit="1"/>
    </xf>
    <xf numFmtId="0" fontId="26" fillId="12" borderId="12" xfId="0" applyFont="1" applyFill="1" applyBorder="1" applyAlignment="1">
      <alignment horizontal="center" vertical="center" wrapText="1" shrinkToFit="1"/>
    </xf>
    <xf numFmtId="0" fontId="0" fillId="0" borderId="18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26" fillId="0" borderId="12" xfId="0" applyFont="1" applyBorder="1" applyAlignment="1">
      <alignment horizontal="center" vertical="center" wrapText="1" shrinkToFit="1"/>
    </xf>
    <xf numFmtId="0" fontId="23" fillId="0" borderId="0" xfId="0" applyFont="1" applyAlignment="1">
      <alignment horizontal="center" vertical="center"/>
    </xf>
    <xf numFmtId="178" fontId="0" fillId="0" borderId="18" xfId="0" applyNumberFormat="1" applyBorder="1" applyAlignment="1">
      <alignment horizontal="center" vertical="center"/>
    </xf>
    <xf numFmtId="178" fontId="0" fillId="0" borderId="12" xfId="0" applyNumberForma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31" fillId="3" borderId="48" xfId="0" applyFont="1" applyFill="1" applyBorder="1" applyAlignment="1">
      <alignment horizontal="center" vertical="center"/>
    </xf>
    <xf numFmtId="0" fontId="31" fillId="3" borderId="26" xfId="0" applyFont="1" applyFill="1" applyBorder="1" applyAlignment="1">
      <alignment horizontal="center" vertical="center"/>
    </xf>
    <xf numFmtId="0" fontId="0" fillId="3" borderId="48" xfId="0" applyFill="1" applyBorder="1" applyAlignment="1">
      <alignment horizontal="center" vertical="center"/>
    </xf>
    <xf numFmtId="0" fontId="0" fillId="3" borderId="26" xfId="0" applyFill="1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35" fillId="0" borderId="48" xfId="0" applyFont="1" applyBorder="1" applyAlignment="1">
      <alignment horizontal="center" vertical="center"/>
    </xf>
    <xf numFmtId="0" fontId="35" fillId="0" borderId="37" xfId="0" applyFont="1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7" fillId="0" borderId="0" xfId="2" applyFont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35" fillId="0" borderId="12" xfId="0" applyFont="1" applyBorder="1" applyAlignment="1">
      <alignment horizontal="center" vertical="center"/>
    </xf>
    <xf numFmtId="0" fontId="35" fillId="0" borderId="18" xfId="0" applyFont="1" applyBorder="1" applyAlignment="1">
      <alignment horizontal="center" vertical="center"/>
    </xf>
    <xf numFmtId="178" fontId="29" fillId="0" borderId="48" xfId="0" applyNumberFormat="1" applyFont="1" applyBorder="1" applyAlignment="1">
      <alignment horizontal="center" vertical="center"/>
    </xf>
    <xf numFmtId="178" fontId="29" fillId="0" borderId="18" xfId="0" applyNumberFormat="1" applyFont="1" applyBorder="1" applyAlignment="1">
      <alignment horizontal="center" vertical="center"/>
    </xf>
    <xf numFmtId="0" fontId="35" fillId="0" borderId="26" xfId="0" applyFon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6" fillId="5" borderId="21" xfId="0" applyFont="1" applyFill="1" applyBorder="1" applyAlignment="1">
      <alignment horizontal="center" vertical="center"/>
    </xf>
    <xf numFmtId="0" fontId="6" fillId="5" borderId="22" xfId="0" applyFont="1" applyFill="1" applyBorder="1" applyAlignment="1">
      <alignment horizontal="center" vertical="center"/>
    </xf>
    <xf numFmtId="0" fontId="6" fillId="5" borderId="29" xfId="0" applyFont="1" applyFill="1" applyBorder="1" applyAlignment="1">
      <alignment horizontal="center" vertical="center"/>
    </xf>
    <xf numFmtId="0" fontId="6" fillId="9" borderId="21" xfId="0" applyFont="1" applyFill="1" applyBorder="1" applyAlignment="1">
      <alignment horizontal="center" vertical="center" wrapText="1"/>
    </xf>
    <xf numFmtId="0" fontId="6" fillId="9" borderId="22" xfId="0" applyFont="1" applyFill="1" applyBorder="1" applyAlignment="1">
      <alignment horizontal="center" vertical="center" wrapText="1"/>
    </xf>
    <xf numFmtId="0" fontId="6" fillId="9" borderId="29" xfId="0" applyFont="1" applyFill="1" applyBorder="1" applyAlignment="1">
      <alignment horizontal="center" vertical="center" wrapText="1"/>
    </xf>
    <xf numFmtId="0" fontId="6" fillId="7" borderId="21" xfId="0" applyFont="1" applyFill="1" applyBorder="1" applyAlignment="1">
      <alignment horizontal="center" vertical="center" wrapText="1"/>
    </xf>
    <xf numFmtId="0" fontId="6" fillId="7" borderId="22" xfId="0" applyFont="1" applyFill="1" applyBorder="1" applyAlignment="1">
      <alignment horizontal="center" vertical="center" wrapText="1"/>
    </xf>
    <xf numFmtId="0" fontId="6" fillId="7" borderId="29" xfId="0" applyFont="1" applyFill="1" applyBorder="1" applyAlignment="1">
      <alignment horizontal="center" vertical="center" wrapText="1"/>
    </xf>
    <xf numFmtId="0" fontId="6" fillId="7" borderId="16" xfId="0" applyFont="1" applyFill="1" applyBorder="1" applyAlignment="1">
      <alignment horizontal="center" vertical="center" wrapText="1"/>
    </xf>
    <xf numFmtId="0" fontId="6" fillId="7" borderId="20" xfId="0" applyFont="1" applyFill="1" applyBorder="1" applyAlignment="1">
      <alignment horizontal="center" vertical="center" wrapText="1"/>
    </xf>
    <xf numFmtId="0" fontId="6" fillId="7" borderId="17" xfId="0" applyFont="1" applyFill="1" applyBorder="1" applyAlignment="1">
      <alignment horizontal="center" vertical="center" wrapText="1"/>
    </xf>
    <xf numFmtId="0" fontId="6" fillId="7" borderId="34" xfId="0" applyFont="1" applyFill="1" applyBorder="1" applyAlignment="1">
      <alignment horizontal="center" vertical="center" wrapText="1"/>
    </xf>
    <xf numFmtId="0" fontId="6" fillId="7" borderId="35" xfId="0" applyFont="1" applyFill="1" applyBorder="1" applyAlignment="1">
      <alignment horizontal="center" vertical="center" wrapText="1"/>
    </xf>
    <xf numFmtId="0" fontId="6" fillId="7" borderId="36" xfId="0" applyFont="1" applyFill="1" applyBorder="1" applyAlignment="1">
      <alignment horizontal="center" vertical="center" wrapText="1"/>
    </xf>
    <xf numFmtId="0" fontId="6" fillId="5" borderId="28" xfId="0" applyFont="1" applyFill="1" applyBorder="1" applyAlignment="1">
      <alignment horizontal="center" vertical="center" wrapText="1"/>
    </xf>
    <xf numFmtId="0" fontId="6" fillId="5" borderId="31" xfId="0" applyFont="1" applyFill="1" applyBorder="1" applyAlignment="1">
      <alignment horizontal="center" vertical="center" wrapText="1"/>
    </xf>
    <xf numFmtId="0" fontId="6" fillId="5" borderId="33" xfId="0" applyFont="1" applyFill="1" applyBorder="1" applyAlignment="1">
      <alignment horizontal="center" vertical="center" wrapText="1"/>
    </xf>
    <xf numFmtId="0" fontId="6" fillId="5" borderId="21" xfId="0" applyFont="1" applyFill="1" applyBorder="1" applyAlignment="1">
      <alignment horizontal="center" vertical="center" wrapText="1"/>
    </xf>
    <xf numFmtId="0" fontId="6" fillId="5" borderId="22" xfId="0" applyFont="1" applyFill="1" applyBorder="1" applyAlignment="1">
      <alignment horizontal="center" vertical="center" wrapText="1"/>
    </xf>
    <xf numFmtId="0" fontId="6" fillId="5" borderId="29" xfId="0" applyFont="1" applyFill="1" applyBorder="1" applyAlignment="1">
      <alignment horizontal="center" vertical="center" wrapText="1"/>
    </xf>
    <xf numFmtId="0" fontId="6" fillId="4" borderId="9" xfId="0" applyFont="1" applyFill="1" applyBorder="1" applyAlignment="1">
      <alignment horizontal="center" vertical="center" shrinkToFit="1"/>
    </xf>
    <xf numFmtId="0" fontId="6" fillId="4" borderId="15" xfId="0" applyFont="1" applyFill="1" applyBorder="1" applyAlignment="1">
      <alignment horizontal="center" vertical="center" shrinkToFit="1"/>
    </xf>
    <xf numFmtId="0" fontId="6" fillId="4" borderId="27" xfId="0" applyFont="1" applyFill="1" applyBorder="1" applyAlignment="1">
      <alignment horizontal="center" vertical="center" shrinkToFit="1"/>
    </xf>
    <xf numFmtId="0" fontId="6" fillId="4" borderId="16" xfId="0" applyFont="1" applyFill="1" applyBorder="1" applyAlignment="1">
      <alignment horizontal="center" vertical="center" shrinkToFit="1"/>
    </xf>
    <xf numFmtId="0" fontId="6" fillId="4" borderId="17" xfId="0" applyFont="1" applyFill="1" applyBorder="1" applyAlignment="1">
      <alignment horizontal="center" vertical="center" shrinkToFit="1"/>
    </xf>
    <xf numFmtId="0" fontId="6" fillId="4" borderId="23" xfId="0" applyFont="1" applyFill="1" applyBorder="1" applyAlignment="1">
      <alignment horizontal="center" vertical="center" shrinkToFit="1"/>
    </xf>
    <xf numFmtId="0" fontId="6" fillId="4" borderId="24" xfId="0" applyFont="1" applyFill="1" applyBorder="1" applyAlignment="1">
      <alignment horizontal="center" vertical="center" shrinkToFit="1"/>
    </xf>
    <xf numFmtId="0" fontId="6" fillId="4" borderId="10" xfId="0" applyFont="1" applyFill="1" applyBorder="1" applyAlignment="1">
      <alignment horizontal="center" vertical="center" shrinkToFit="1"/>
    </xf>
    <xf numFmtId="0" fontId="6" fillId="4" borderId="11" xfId="0" applyFont="1" applyFill="1" applyBorder="1" applyAlignment="1">
      <alignment horizontal="center" vertical="center" shrinkToFit="1"/>
    </xf>
    <xf numFmtId="0" fontId="6" fillId="4" borderId="18" xfId="0" applyFont="1" applyFill="1" applyBorder="1" applyAlignment="1">
      <alignment horizontal="center" vertical="center" shrinkToFit="1"/>
    </xf>
    <xf numFmtId="0" fontId="6" fillId="4" borderId="25" xfId="0" applyFont="1" applyFill="1" applyBorder="1" applyAlignment="1">
      <alignment horizontal="center" vertical="center" shrinkToFit="1"/>
    </xf>
    <xf numFmtId="0" fontId="6" fillId="4" borderId="12" xfId="0" applyFont="1" applyFill="1" applyBorder="1" applyAlignment="1">
      <alignment horizontal="center" vertical="center" shrinkToFit="1"/>
    </xf>
    <xf numFmtId="0" fontId="6" fillId="4" borderId="18" xfId="0" applyFont="1" applyFill="1" applyBorder="1" applyAlignment="1">
      <alignment horizontal="center" vertical="center"/>
    </xf>
    <xf numFmtId="0" fontId="6" fillId="4" borderId="25" xfId="0" applyFont="1" applyFill="1" applyBorder="1" applyAlignment="1">
      <alignment horizontal="center" vertical="center"/>
    </xf>
    <xf numFmtId="0" fontId="6" fillId="4" borderId="12" xfId="0" applyFont="1" applyFill="1" applyBorder="1" applyAlignment="1">
      <alignment horizontal="center" vertical="center"/>
    </xf>
    <xf numFmtId="0" fontId="6" fillId="5" borderId="19" xfId="0" applyFont="1" applyFill="1" applyBorder="1" applyAlignment="1">
      <alignment horizontal="center" vertical="center" shrinkToFit="1"/>
    </xf>
    <xf numFmtId="0" fontId="6" fillId="5" borderId="20" xfId="0" applyFont="1" applyFill="1" applyBorder="1" applyAlignment="1">
      <alignment horizontal="center" vertical="center" shrinkToFit="1"/>
    </xf>
    <xf numFmtId="0" fontId="6" fillId="5" borderId="17" xfId="0" applyFont="1" applyFill="1" applyBorder="1" applyAlignment="1">
      <alignment horizontal="center" vertical="center" shrinkToFit="1"/>
    </xf>
    <xf numFmtId="0" fontId="6" fillId="5" borderId="13" xfId="0" applyFont="1" applyFill="1" applyBorder="1" applyAlignment="1">
      <alignment horizontal="center" vertical="center" shrinkToFit="1"/>
    </xf>
    <xf numFmtId="0" fontId="6" fillId="5" borderId="14" xfId="0" applyFont="1" applyFill="1" applyBorder="1" applyAlignment="1">
      <alignment horizontal="center" vertical="center" shrinkToFit="1"/>
    </xf>
    <xf numFmtId="0" fontId="6" fillId="5" borderId="11" xfId="0" applyFont="1" applyFill="1" applyBorder="1" applyAlignment="1">
      <alignment horizontal="center" vertical="center" shrinkToFit="1"/>
    </xf>
    <xf numFmtId="0" fontId="6" fillId="5" borderId="18" xfId="0" applyFont="1" applyFill="1" applyBorder="1" applyAlignment="1">
      <alignment horizontal="center" vertical="center" shrinkToFit="1"/>
    </xf>
    <xf numFmtId="0" fontId="6" fillId="5" borderId="12" xfId="0" applyFont="1" applyFill="1" applyBorder="1" applyAlignment="1">
      <alignment horizontal="center" vertical="center" shrinkToFit="1"/>
    </xf>
    <xf numFmtId="0" fontId="6" fillId="5" borderId="21" xfId="0" applyFont="1" applyFill="1" applyBorder="1" applyAlignment="1">
      <alignment horizontal="center" vertical="center" shrinkToFit="1"/>
    </xf>
    <xf numFmtId="0" fontId="6" fillId="5" borderId="22" xfId="0" applyFont="1" applyFill="1" applyBorder="1" applyAlignment="1">
      <alignment horizontal="center" vertical="center" shrinkToFit="1"/>
    </xf>
    <xf numFmtId="0" fontId="6" fillId="5" borderId="18" xfId="0" applyFont="1" applyFill="1" applyBorder="1" applyAlignment="1">
      <alignment horizontal="center" vertical="center" wrapText="1" shrinkToFit="1"/>
    </xf>
    <xf numFmtId="0" fontId="6" fillId="5" borderId="25" xfId="0" applyFont="1" applyFill="1" applyBorder="1" applyAlignment="1">
      <alignment horizontal="center" vertical="center" shrinkToFit="1"/>
    </xf>
    <xf numFmtId="0" fontId="6" fillId="0" borderId="18" xfId="0" applyFont="1" applyBorder="1" applyAlignment="1">
      <alignment horizontal="center" vertical="center" wrapText="1" shrinkToFit="1"/>
    </xf>
    <xf numFmtId="0" fontId="6" fillId="0" borderId="25" xfId="0" applyFont="1" applyBorder="1" applyAlignment="1">
      <alignment horizontal="center" vertical="center" shrinkToFit="1"/>
    </xf>
    <xf numFmtId="0" fontId="6" fillId="0" borderId="12" xfId="0" applyFont="1" applyBorder="1" applyAlignment="1">
      <alignment horizontal="center" vertical="center" shrinkToFi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6" fillId="2" borderId="4" xfId="0" applyFont="1" applyFill="1" applyBorder="1" applyAlignment="1">
      <alignment horizontal="center" vertical="center" shrinkToFit="1"/>
    </xf>
    <xf numFmtId="0" fontId="6" fillId="2" borderId="5" xfId="0" applyFont="1" applyFill="1" applyBorder="1" applyAlignment="1">
      <alignment horizontal="center" vertical="center" shrinkToFit="1"/>
    </xf>
    <xf numFmtId="0" fontId="6" fillId="2" borderId="10" xfId="0" applyFont="1" applyFill="1" applyBorder="1" applyAlignment="1">
      <alignment horizontal="center" vertical="center" shrinkToFit="1"/>
    </xf>
    <xf numFmtId="0" fontId="6" fillId="2" borderId="11" xfId="0" applyFont="1" applyFill="1" applyBorder="1" applyAlignment="1">
      <alignment horizontal="center" vertical="center" shrinkToFit="1"/>
    </xf>
    <xf numFmtId="0" fontId="6" fillId="3" borderId="6" xfId="0" applyFont="1" applyFill="1" applyBorder="1" applyAlignment="1">
      <alignment horizontal="center" vertical="center" shrinkToFit="1"/>
    </xf>
    <xf numFmtId="0" fontId="6" fillId="3" borderId="12" xfId="0" applyFont="1" applyFill="1" applyBorder="1" applyAlignment="1">
      <alignment horizontal="center" vertical="center" shrinkToFit="1"/>
    </xf>
    <xf numFmtId="0" fontId="6" fillId="2" borderId="6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 shrinkToFit="1"/>
    </xf>
    <xf numFmtId="0" fontId="6" fillId="0" borderId="13" xfId="0" applyFont="1" applyBorder="1" applyAlignment="1">
      <alignment horizontal="center" vertical="center" shrinkToFit="1"/>
    </xf>
    <xf numFmtId="0" fontId="6" fillId="2" borderId="6" xfId="0" applyFont="1" applyFill="1" applyBorder="1" applyAlignment="1">
      <alignment horizontal="center" vertical="center" shrinkToFit="1"/>
    </xf>
    <xf numFmtId="0" fontId="6" fillId="2" borderId="12" xfId="0" applyFont="1" applyFill="1" applyBorder="1" applyAlignment="1">
      <alignment horizontal="center" vertical="center" shrinkToFit="1"/>
    </xf>
    <xf numFmtId="0" fontId="6" fillId="14" borderId="6" xfId="0" applyFont="1" applyFill="1" applyBorder="1" applyAlignment="1">
      <alignment horizontal="center" vertical="center" shrinkToFit="1"/>
    </xf>
    <xf numFmtId="0" fontId="6" fillId="14" borderId="12" xfId="0" applyFont="1" applyFill="1" applyBorder="1" applyAlignment="1">
      <alignment horizontal="center" vertical="center" shrinkToFit="1"/>
    </xf>
    <xf numFmtId="0" fontId="6" fillId="0" borderId="8" xfId="0" applyFont="1" applyBorder="1" applyAlignment="1">
      <alignment horizontal="center" vertical="center" shrinkToFit="1"/>
    </xf>
    <xf numFmtId="0" fontId="6" fillId="0" borderId="5" xfId="0" applyFont="1" applyBorder="1" applyAlignment="1">
      <alignment horizontal="center" vertical="center" shrinkToFit="1"/>
    </xf>
    <xf numFmtId="0" fontId="6" fillId="0" borderId="14" xfId="0" applyFont="1" applyBorder="1" applyAlignment="1">
      <alignment horizontal="center" vertical="center" shrinkToFit="1"/>
    </xf>
    <xf numFmtId="0" fontId="6" fillId="0" borderId="11" xfId="0" applyFont="1" applyBorder="1" applyAlignment="1">
      <alignment horizontal="center" vertical="center" shrinkToFit="1"/>
    </xf>
    <xf numFmtId="0" fontId="6" fillId="0" borderId="6" xfId="0" applyFont="1" applyBorder="1" applyAlignment="1">
      <alignment horizontal="center" vertical="center" wrapText="1" shrinkToFit="1"/>
    </xf>
    <xf numFmtId="0" fontId="5" fillId="0" borderId="0" xfId="0" applyFont="1" applyAlignment="1">
      <alignment horizontal="center" vertical="center" shrinkToFit="1"/>
    </xf>
    <xf numFmtId="178" fontId="0" fillId="0" borderId="54" xfId="0" applyNumberFormat="1" applyBorder="1" applyAlignment="1">
      <alignment horizontal="center" vertical="center"/>
    </xf>
    <xf numFmtId="178" fontId="0" fillId="0" borderId="55" xfId="0" applyNumberFormat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31" fillId="0" borderId="37" xfId="0" applyFont="1" applyBorder="1" applyAlignment="1">
      <alignment horizontal="center" vertical="center"/>
    </xf>
    <xf numFmtId="0" fontId="31" fillId="0" borderId="12" xfId="0" applyFont="1" applyBorder="1" applyAlignment="1">
      <alignment horizontal="center" vertical="center"/>
    </xf>
    <xf numFmtId="0" fontId="31" fillId="0" borderId="18" xfId="0" applyFont="1" applyBorder="1" applyAlignment="1">
      <alignment horizontal="center" vertical="center"/>
    </xf>
    <xf numFmtId="0" fontId="6" fillId="5" borderId="26" xfId="0" applyFont="1" applyFill="1" applyBorder="1" applyAlignment="1">
      <alignment horizontal="center" vertical="center" wrapText="1"/>
    </xf>
    <xf numFmtId="0" fontId="6" fillId="5" borderId="26" xfId="0" applyFont="1" applyFill="1" applyBorder="1" applyAlignment="1">
      <alignment horizontal="center" vertical="center"/>
    </xf>
    <xf numFmtId="0" fontId="5" fillId="7" borderId="39" xfId="0" applyFont="1" applyFill="1" applyBorder="1" applyAlignment="1">
      <alignment horizontal="center" vertical="center"/>
    </xf>
    <xf numFmtId="0" fontId="5" fillId="0" borderId="0" xfId="4" applyFont="1" applyAlignment="1">
      <alignment horizontal="center" vertical="center" shrinkToFit="1"/>
    </xf>
    <xf numFmtId="0" fontId="2" fillId="0" borderId="1" xfId="4" applyFont="1" applyBorder="1" applyAlignment="1">
      <alignment horizontal="left" vertical="center" wrapText="1"/>
    </xf>
    <xf numFmtId="0" fontId="2" fillId="0" borderId="2" xfId="4" applyFont="1" applyBorder="1" applyAlignment="1">
      <alignment horizontal="left" vertical="center" wrapText="1"/>
    </xf>
    <xf numFmtId="0" fontId="6" fillId="2" borderId="4" xfId="4" applyFont="1" applyFill="1" applyBorder="1" applyAlignment="1">
      <alignment horizontal="center" vertical="center" shrinkToFit="1"/>
    </xf>
    <xf numFmtId="0" fontId="6" fillId="2" borderId="5" xfId="4" applyFont="1" applyFill="1" applyBorder="1" applyAlignment="1">
      <alignment horizontal="center" vertical="center" shrinkToFit="1"/>
    </xf>
    <xf numFmtId="0" fontId="6" fillId="2" borderId="10" xfId="4" applyFont="1" applyFill="1" applyBorder="1" applyAlignment="1">
      <alignment horizontal="center" vertical="center" shrinkToFit="1"/>
    </xf>
    <xf numFmtId="0" fontId="6" fillId="2" borderId="11" xfId="4" applyFont="1" applyFill="1" applyBorder="1" applyAlignment="1">
      <alignment horizontal="center" vertical="center" shrinkToFit="1"/>
    </xf>
    <xf numFmtId="0" fontId="6" fillId="3" borderId="6" xfId="4" applyFont="1" applyFill="1" applyBorder="1" applyAlignment="1">
      <alignment horizontal="center" vertical="center" shrinkToFit="1"/>
    </xf>
    <xf numFmtId="0" fontId="6" fillId="3" borderId="12" xfId="4" applyFont="1" applyFill="1" applyBorder="1" applyAlignment="1">
      <alignment horizontal="center" vertical="center" shrinkToFit="1"/>
    </xf>
    <xf numFmtId="0" fontId="6" fillId="2" borderId="6" xfId="4" applyFont="1" applyFill="1" applyBorder="1" applyAlignment="1">
      <alignment horizontal="center" vertical="center"/>
    </xf>
    <xf numFmtId="0" fontId="6" fillId="2" borderId="12" xfId="4" applyFont="1" applyFill="1" applyBorder="1" applyAlignment="1">
      <alignment horizontal="center" vertical="center"/>
    </xf>
    <xf numFmtId="0" fontId="6" fillId="0" borderId="7" xfId="4" applyFont="1" applyBorder="1" applyAlignment="1">
      <alignment horizontal="center" vertical="center" shrinkToFit="1"/>
    </xf>
    <xf numFmtId="0" fontId="6" fillId="0" borderId="13" xfId="4" applyFont="1" applyBorder="1" applyAlignment="1">
      <alignment horizontal="center" vertical="center" shrinkToFit="1"/>
    </xf>
    <xf numFmtId="0" fontId="6" fillId="2" borderId="6" xfId="4" applyFont="1" applyFill="1" applyBorder="1" applyAlignment="1">
      <alignment horizontal="center" vertical="center" shrinkToFit="1"/>
    </xf>
    <xf numFmtId="0" fontId="6" fillId="2" borderId="12" xfId="4" applyFont="1" applyFill="1" applyBorder="1" applyAlignment="1">
      <alignment horizontal="center" vertical="center" shrinkToFit="1"/>
    </xf>
    <xf numFmtId="0" fontId="6" fillId="14" borderId="6" xfId="4" applyFont="1" applyFill="1" applyBorder="1" applyAlignment="1">
      <alignment horizontal="center" vertical="center" shrinkToFit="1"/>
    </xf>
    <xf numFmtId="0" fontId="6" fillId="14" borderId="12" xfId="4" applyFont="1" applyFill="1" applyBorder="1" applyAlignment="1">
      <alignment horizontal="center" vertical="center" shrinkToFit="1"/>
    </xf>
    <xf numFmtId="0" fontId="6" fillId="0" borderId="8" xfId="4" applyFont="1" applyBorder="1" applyAlignment="1">
      <alignment horizontal="center" vertical="center" shrinkToFit="1"/>
    </xf>
    <xf numFmtId="0" fontId="6" fillId="0" borderId="5" xfId="4" applyFont="1" applyBorder="1" applyAlignment="1">
      <alignment horizontal="center" vertical="center" shrinkToFit="1"/>
    </xf>
    <xf numFmtId="0" fontId="6" fillId="0" borderId="14" xfId="4" applyFont="1" applyBorder="1" applyAlignment="1">
      <alignment horizontal="center" vertical="center" shrinkToFit="1"/>
    </xf>
    <xf numFmtId="0" fontId="6" fillId="0" borderId="11" xfId="4" applyFont="1" applyBorder="1" applyAlignment="1">
      <alignment horizontal="center" vertical="center" shrinkToFit="1"/>
    </xf>
    <xf numFmtId="0" fontId="6" fillId="0" borderId="6" xfId="4" applyFont="1" applyBorder="1" applyAlignment="1">
      <alignment horizontal="center" vertical="center" wrapText="1" shrinkToFit="1"/>
    </xf>
    <xf numFmtId="0" fontId="6" fillId="0" borderId="12" xfId="4" applyFont="1" applyBorder="1" applyAlignment="1">
      <alignment horizontal="center" vertical="center" shrinkToFit="1"/>
    </xf>
    <xf numFmtId="0" fontId="6" fillId="4" borderId="9" xfId="4" applyFont="1" applyFill="1" applyBorder="1" applyAlignment="1">
      <alignment horizontal="center" vertical="center" shrinkToFit="1"/>
    </xf>
    <xf numFmtId="0" fontId="6" fillId="4" borderId="15" xfId="4" applyFont="1" applyFill="1" applyBorder="1" applyAlignment="1">
      <alignment horizontal="center" vertical="center" shrinkToFit="1"/>
    </xf>
    <xf numFmtId="0" fontId="6" fillId="4" borderId="27" xfId="4" applyFont="1" applyFill="1" applyBorder="1" applyAlignment="1">
      <alignment horizontal="center" vertical="center" shrinkToFit="1"/>
    </xf>
    <xf numFmtId="0" fontId="6" fillId="4" borderId="16" xfId="4" applyFont="1" applyFill="1" applyBorder="1" applyAlignment="1">
      <alignment horizontal="center" vertical="center" shrinkToFit="1"/>
    </xf>
    <xf numFmtId="0" fontId="6" fillId="4" borderId="17" xfId="4" applyFont="1" applyFill="1" applyBorder="1" applyAlignment="1">
      <alignment horizontal="center" vertical="center" shrinkToFit="1"/>
    </xf>
    <xf numFmtId="0" fontId="6" fillId="4" borderId="23" xfId="4" applyFont="1" applyFill="1" applyBorder="1" applyAlignment="1">
      <alignment horizontal="center" vertical="center" shrinkToFit="1"/>
    </xf>
    <xf numFmtId="0" fontId="6" fillId="4" borderId="24" xfId="4" applyFont="1" applyFill="1" applyBorder="1" applyAlignment="1">
      <alignment horizontal="center" vertical="center" shrinkToFit="1"/>
    </xf>
    <xf numFmtId="0" fontId="6" fillId="4" borderId="10" xfId="4" applyFont="1" applyFill="1" applyBorder="1" applyAlignment="1">
      <alignment horizontal="center" vertical="center" shrinkToFit="1"/>
    </xf>
    <xf numFmtId="0" fontId="6" fillId="4" borderId="11" xfId="4" applyFont="1" applyFill="1" applyBorder="1" applyAlignment="1">
      <alignment horizontal="center" vertical="center" shrinkToFit="1"/>
    </xf>
    <xf numFmtId="0" fontId="6" fillId="4" borderId="18" xfId="4" applyFont="1" applyFill="1" applyBorder="1" applyAlignment="1">
      <alignment horizontal="center" vertical="center" shrinkToFit="1"/>
    </xf>
    <xf numFmtId="0" fontId="6" fillId="4" borderId="25" xfId="4" applyFont="1" applyFill="1" applyBorder="1" applyAlignment="1">
      <alignment horizontal="center" vertical="center" shrinkToFit="1"/>
    </xf>
    <xf numFmtId="0" fontId="6" fillId="4" borderId="12" xfId="4" applyFont="1" applyFill="1" applyBorder="1" applyAlignment="1">
      <alignment horizontal="center" vertical="center" shrinkToFit="1"/>
    </xf>
    <xf numFmtId="0" fontId="6" fillId="4" borderId="18" xfId="4" applyFont="1" applyFill="1" applyBorder="1" applyAlignment="1">
      <alignment horizontal="center" vertical="center"/>
    </xf>
    <xf numFmtId="0" fontId="6" fillId="4" borderId="25" xfId="4" applyFont="1" applyFill="1" applyBorder="1" applyAlignment="1">
      <alignment horizontal="center" vertical="center"/>
    </xf>
    <xf numFmtId="0" fontId="6" fillId="4" borderId="12" xfId="4" applyFont="1" applyFill="1" applyBorder="1" applyAlignment="1">
      <alignment horizontal="center" vertical="center"/>
    </xf>
    <xf numFmtId="0" fontId="6" fillId="5" borderId="19" xfId="4" applyFont="1" applyFill="1" applyBorder="1" applyAlignment="1">
      <alignment horizontal="center" vertical="center" shrinkToFit="1"/>
    </xf>
    <xf numFmtId="0" fontId="6" fillId="5" borderId="20" xfId="4" applyFont="1" applyFill="1" applyBorder="1" applyAlignment="1">
      <alignment horizontal="center" vertical="center" shrinkToFit="1"/>
    </xf>
    <xf numFmtId="0" fontId="6" fillId="5" borderId="17" xfId="4" applyFont="1" applyFill="1" applyBorder="1" applyAlignment="1">
      <alignment horizontal="center" vertical="center" shrinkToFit="1"/>
    </xf>
    <xf numFmtId="0" fontId="6" fillId="5" borderId="13" xfId="4" applyFont="1" applyFill="1" applyBorder="1" applyAlignment="1">
      <alignment horizontal="center" vertical="center" shrinkToFit="1"/>
    </xf>
    <xf numFmtId="0" fontId="6" fillId="5" borderId="14" xfId="4" applyFont="1" applyFill="1" applyBorder="1" applyAlignment="1">
      <alignment horizontal="center" vertical="center" shrinkToFit="1"/>
    </xf>
    <xf numFmtId="0" fontId="6" fillId="5" borderId="11" xfId="4" applyFont="1" applyFill="1" applyBorder="1" applyAlignment="1">
      <alignment horizontal="center" vertical="center" shrinkToFit="1"/>
    </xf>
    <xf numFmtId="0" fontId="6" fillId="5" borderId="18" xfId="4" applyFont="1" applyFill="1" applyBorder="1" applyAlignment="1">
      <alignment horizontal="center" vertical="center" shrinkToFit="1"/>
    </xf>
    <xf numFmtId="0" fontId="6" fillId="5" borderId="12" xfId="4" applyFont="1" applyFill="1" applyBorder="1" applyAlignment="1">
      <alignment horizontal="center" vertical="center" shrinkToFit="1"/>
    </xf>
    <xf numFmtId="0" fontId="6" fillId="5" borderId="21" xfId="4" applyFont="1" applyFill="1" applyBorder="1" applyAlignment="1">
      <alignment horizontal="center" vertical="center" shrinkToFit="1"/>
    </xf>
    <xf numFmtId="0" fontId="6" fillId="5" borderId="22" xfId="4" applyFont="1" applyFill="1" applyBorder="1" applyAlignment="1">
      <alignment horizontal="center" vertical="center" shrinkToFit="1"/>
    </xf>
    <xf numFmtId="0" fontId="6" fillId="5" borderId="18" xfId="4" applyFont="1" applyFill="1" applyBorder="1" applyAlignment="1">
      <alignment horizontal="center" vertical="center" wrapText="1" shrinkToFit="1"/>
    </xf>
    <xf numFmtId="0" fontId="6" fillId="5" borderId="25" xfId="4" applyFont="1" applyFill="1" applyBorder="1" applyAlignment="1">
      <alignment horizontal="center" vertical="center" shrinkToFit="1"/>
    </xf>
    <xf numFmtId="0" fontId="6" fillId="0" borderId="18" xfId="4" applyFont="1" applyBorder="1" applyAlignment="1">
      <alignment horizontal="center" vertical="center" wrapText="1" shrinkToFit="1"/>
    </xf>
    <xf numFmtId="0" fontId="6" fillId="0" borderId="25" xfId="4" applyFont="1" applyBorder="1" applyAlignment="1">
      <alignment horizontal="center" vertical="center" shrinkToFit="1"/>
    </xf>
    <xf numFmtId="0" fontId="6" fillId="9" borderId="21" xfId="4" applyFont="1" applyFill="1" applyBorder="1" applyAlignment="1">
      <alignment horizontal="center" vertical="center" wrapText="1"/>
    </xf>
    <xf numFmtId="0" fontId="6" fillId="9" borderId="22" xfId="4" applyFont="1" applyFill="1" applyBorder="1" applyAlignment="1">
      <alignment horizontal="center" vertical="center" wrapText="1"/>
    </xf>
    <xf numFmtId="0" fontId="6" fillId="9" borderId="29" xfId="4" applyFont="1" applyFill="1" applyBorder="1" applyAlignment="1">
      <alignment horizontal="center" vertical="center" wrapText="1"/>
    </xf>
    <xf numFmtId="0" fontId="6" fillId="7" borderId="21" xfId="4" applyFont="1" applyFill="1" applyBorder="1" applyAlignment="1">
      <alignment horizontal="center" vertical="center" wrapText="1"/>
    </xf>
    <xf numFmtId="0" fontId="6" fillId="7" borderId="22" xfId="4" applyFont="1" applyFill="1" applyBorder="1" applyAlignment="1">
      <alignment horizontal="center" vertical="center" wrapText="1"/>
    </xf>
    <xf numFmtId="0" fontId="6" fillId="7" borderId="29" xfId="4" applyFont="1" applyFill="1" applyBorder="1" applyAlignment="1">
      <alignment horizontal="center" vertical="center" wrapText="1"/>
    </xf>
    <xf numFmtId="0" fontId="6" fillId="7" borderId="16" xfId="4" applyFont="1" applyFill="1" applyBorder="1" applyAlignment="1">
      <alignment horizontal="center" vertical="center" wrapText="1"/>
    </xf>
    <xf numFmtId="0" fontId="6" fillId="7" borderId="20" xfId="4" applyFont="1" applyFill="1" applyBorder="1" applyAlignment="1">
      <alignment horizontal="center" vertical="center" wrapText="1"/>
    </xf>
    <xf numFmtId="0" fontId="6" fillId="7" borderId="17" xfId="4" applyFont="1" applyFill="1" applyBorder="1" applyAlignment="1">
      <alignment horizontal="center" vertical="center" wrapText="1"/>
    </xf>
    <xf numFmtId="0" fontId="6" fillId="7" borderId="34" xfId="4" applyFont="1" applyFill="1" applyBorder="1" applyAlignment="1">
      <alignment horizontal="center" vertical="center" wrapText="1"/>
    </xf>
    <xf numFmtId="0" fontId="6" fillId="7" borderId="35" xfId="4" applyFont="1" applyFill="1" applyBorder="1" applyAlignment="1">
      <alignment horizontal="center" vertical="center" wrapText="1"/>
    </xf>
    <xf numFmtId="0" fontId="6" fillId="7" borderId="36" xfId="4" applyFont="1" applyFill="1" applyBorder="1" applyAlignment="1">
      <alignment horizontal="center" vertical="center" wrapText="1"/>
    </xf>
    <xf numFmtId="0" fontId="6" fillId="5" borderId="28" xfId="4" applyFont="1" applyFill="1" applyBorder="1" applyAlignment="1">
      <alignment horizontal="center" vertical="center" wrapText="1"/>
    </xf>
    <xf numFmtId="0" fontId="6" fillId="5" borderId="31" xfId="4" applyFont="1" applyFill="1" applyBorder="1" applyAlignment="1">
      <alignment horizontal="center" vertical="center" wrapText="1"/>
    </xf>
    <xf numFmtId="0" fontId="6" fillId="5" borderId="33" xfId="4" applyFont="1" applyFill="1" applyBorder="1" applyAlignment="1">
      <alignment horizontal="center" vertical="center" wrapText="1"/>
    </xf>
    <xf numFmtId="0" fontId="6" fillId="5" borderId="21" xfId="4" applyFont="1" applyFill="1" applyBorder="1" applyAlignment="1">
      <alignment horizontal="center" vertical="center" wrapText="1"/>
    </xf>
    <xf numFmtId="0" fontId="6" fillId="5" borderId="22" xfId="4" applyFont="1" applyFill="1" applyBorder="1" applyAlignment="1">
      <alignment horizontal="center" vertical="center" wrapText="1"/>
    </xf>
    <xf numFmtId="0" fontId="6" fillId="5" borderId="29" xfId="4" applyFont="1" applyFill="1" applyBorder="1" applyAlignment="1">
      <alignment horizontal="center" vertical="center" wrapText="1"/>
    </xf>
    <xf numFmtId="0" fontId="6" fillId="5" borderId="21" xfId="4" applyFont="1" applyFill="1" applyBorder="1" applyAlignment="1">
      <alignment horizontal="center" vertical="center"/>
    </xf>
    <xf numFmtId="0" fontId="6" fillId="5" borderId="22" xfId="4" applyFont="1" applyFill="1" applyBorder="1" applyAlignment="1">
      <alignment horizontal="center" vertical="center"/>
    </xf>
    <xf numFmtId="0" fontId="6" fillId="5" borderId="29" xfId="4" applyFont="1" applyFill="1" applyBorder="1" applyAlignment="1">
      <alignment horizontal="center" vertical="center"/>
    </xf>
  </cellXfs>
  <cellStyles count="15">
    <cellStyle name="Normal_bm for Inquiry-FCC" xfId="6" xr:uid="{00000000-0005-0000-0000-000000000000}"/>
    <cellStyle name="쉼표 [0]" xfId="1" builtinId="6"/>
    <cellStyle name="쉼표 [0] 10" xfId="5" xr:uid="{00000000-0005-0000-0000-000002000000}"/>
    <cellStyle name="쉼표 [0] 3" xfId="7" xr:uid="{00000000-0005-0000-0000-000003000000}"/>
    <cellStyle name="一般_5_piping_ASSK_CWV-R1" xfId="8" xr:uid="{00000000-0005-0000-0000-000004000000}"/>
    <cellStyle name="통화 [0] 2" xfId="9" xr:uid="{00000000-0005-0000-0000-000005000000}"/>
    <cellStyle name="표준" xfId="0" builtinId="0"/>
    <cellStyle name="표준 10 11" xfId="4" xr:uid="{00000000-0005-0000-0000-000007000000}"/>
    <cellStyle name="표준 18 7" xfId="10" xr:uid="{00000000-0005-0000-0000-000008000000}"/>
    <cellStyle name="표준 2" xfId="11" xr:uid="{00000000-0005-0000-0000-000009000000}"/>
    <cellStyle name="표준 2 2 2" xfId="12" xr:uid="{00000000-0005-0000-0000-00000A000000}"/>
    <cellStyle name="표준 5 6 4" xfId="13" xr:uid="{00000000-0005-0000-0000-00000B000000}"/>
    <cellStyle name="표준 6 26" xfId="14" xr:uid="{00000000-0005-0000-0000-00000C000000}"/>
    <cellStyle name="표준_050318_JF_CASE 원가분석자료-R" xfId="2" xr:uid="{00000000-0005-0000-0000-00000D000000}"/>
    <cellStyle name="표준_VC 5L KEYPAD JF원가분석자료" xfId="3" xr:uid="{00000000-0005-0000-0000-00000E000000}"/>
  </cellStyles>
  <dxfs count="0"/>
  <tableStyles count="0" defaultTableStyle="TableStyleMedium2" defaultPivotStyle="PivotStyleLight16"/>
  <colors>
    <mruColors>
      <color rgb="FF66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6.xml"/><Relationship Id="rId39" Type="http://schemas.openxmlformats.org/officeDocument/2006/relationships/theme" Target="theme/theme1.xml"/><Relationship Id="rId21" Type="http://schemas.openxmlformats.org/officeDocument/2006/relationships/externalLink" Target="externalLinks/externalLink1.xml"/><Relationship Id="rId34" Type="http://schemas.openxmlformats.org/officeDocument/2006/relationships/externalLink" Target="externalLinks/externalLink1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4.xml"/><Relationship Id="rId32" Type="http://schemas.openxmlformats.org/officeDocument/2006/relationships/externalLink" Target="externalLinks/externalLink12.xml"/><Relationship Id="rId37" Type="http://schemas.openxmlformats.org/officeDocument/2006/relationships/externalLink" Target="externalLinks/externalLink1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3.xml"/><Relationship Id="rId28" Type="http://schemas.openxmlformats.org/officeDocument/2006/relationships/externalLink" Target="externalLinks/externalLink8.xml"/><Relationship Id="rId36" Type="http://schemas.openxmlformats.org/officeDocument/2006/relationships/externalLink" Target="externalLinks/externalLink1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1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2.xml"/><Relationship Id="rId27" Type="http://schemas.openxmlformats.org/officeDocument/2006/relationships/externalLink" Target="externalLinks/externalLink7.xml"/><Relationship Id="rId30" Type="http://schemas.openxmlformats.org/officeDocument/2006/relationships/externalLink" Target="externalLinks/externalLink10.xml"/><Relationship Id="rId35" Type="http://schemas.openxmlformats.org/officeDocument/2006/relationships/externalLink" Target="externalLinks/externalLink1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5.xml"/><Relationship Id="rId33" Type="http://schemas.openxmlformats.org/officeDocument/2006/relationships/externalLink" Target="externalLinks/externalLink13.xml"/><Relationship Id="rId38" Type="http://schemas.openxmlformats.org/officeDocument/2006/relationships/externalLink" Target="externalLinks/externalLink18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674913</xdr:colOff>
      <xdr:row>6</xdr:row>
      <xdr:rowOff>53340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775370" cy="1163683"/>
        </a:xfrm>
        <a:prstGeom prst="ribbon2">
          <a:avLst>
            <a:gd name="adj1" fmla="val 12500"/>
            <a:gd name="adj2" fmla="val 50000"/>
          </a:avLst>
        </a:prstGeom>
        <a:solidFill>
          <a:srgbClr val="FFFFCC">
            <a:alpha val="61960"/>
          </a:srgbClr>
        </a:solidFill>
        <a:ln w="9525">
          <a:solidFill>
            <a:srgbClr val="800080"/>
          </a:solidFill>
          <a:prstDash val="lgDash"/>
          <a:round/>
          <a:headEnd/>
          <a:tailEnd/>
        </a:ln>
      </xdr:spPr>
    </xdr:sp>
    <xdr:clientData/>
  </xdr:twoCellAnchor>
  <xdr:twoCellAnchor>
    <xdr:from>
      <xdr:col>1</xdr:col>
      <xdr:colOff>1552574</xdr:colOff>
      <xdr:row>0</xdr:row>
      <xdr:rowOff>175713</xdr:rowOff>
    </xdr:from>
    <xdr:to>
      <xdr:col>5</xdr:col>
      <xdr:colOff>685800</xdr:colOff>
      <xdr:row>4</xdr:row>
      <xdr:rowOff>130628</xdr:rowOff>
    </xdr:to>
    <xdr:sp macro="" textlink="">
      <xdr:nvSpPr>
        <xdr:cNvPr id="3" name="Auto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Arrowheads="1"/>
        </xdr:cNvSpPr>
      </xdr:nvSpPr>
      <xdr:spPr bwMode="auto">
        <a:xfrm>
          <a:off x="3087460" y="175713"/>
          <a:ext cx="3922940" cy="695144"/>
        </a:xfrm>
        <a:prstGeom prst="flowChartProcess">
          <a:avLst/>
        </a:prstGeom>
        <a:solidFill>
          <a:srgbClr val="FFFFCC">
            <a:alpha val="70000"/>
          </a:srgbClr>
        </a:solidFill>
        <a:ln>
          <a:noFill/>
        </a:ln>
      </xdr:spPr>
      <xdr:txBody>
        <a:bodyPr vertOverflow="clip" wrap="square" lIns="54864" tIns="32004" rIns="54864" bIns="0" anchor="t" upright="1"/>
        <a:lstStyle/>
        <a:p>
          <a:pPr algn="ctr" rtl="0">
            <a:defRPr sz="1000"/>
          </a:pPr>
          <a:r>
            <a:rPr lang="en-US" altLang="ko-KR" sz="1800" b="1" i="0" u="none" strike="noStrike" baseline="0">
              <a:solidFill>
                <a:srgbClr val="808000"/>
              </a:solidFill>
              <a:latin typeface="돋움"/>
              <a:ea typeface="돋움"/>
            </a:rPr>
            <a:t>2019 TRIPLE OFFSET(DISC SEAT)</a:t>
          </a:r>
        </a:p>
        <a:p>
          <a:pPr algn="ctr" rtl="0">
            <a:defRPr sz="1000"/>
          </a:pPr>
          <a:r>
            <a:rPr lang="en-US" altLang="ko-KR" sz="1800" b="1" i="0" u="none" strike="noStrike" baseline="0">
              <a:solidFill>
                <a:srgbClr val="808000"/>
              </a:solidFill>
              <a:latin typeface="돋움"/>
              <a:ea typeface="돋움"/>
            </a:rPr>
            <a:t> #300 </a:t>
          </a:r>
          <a:r>
            <a:rPr lang="ko-KR" altLang="en-US" sz="1800" b="1" i="0" u="none" strike="noStrike" baseline="0">
              <a:solidFill>
                <a:srgbClr val="808000"/>
              </a:solidFill>
              <a:latin typeface="돋움"/>
              <a:ea typeface="돋움"/>
            </a:rPr>
            <a:t>원가분석표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83127</xdr:colOff>
      <xdr:row>1</xdr:row>
      <xdr:rowOff>96981</xdr:rowOff>
    </xdr:from>
    <xdr:to>
      <xdr:col>53</xdr:col>
      <xdr:colOff>320386</xdr:colOff>
      <xdr:row>44</xdr:row>
      <xdr:rowOff>244532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61782" y="748145"/>
          <a:ext cx="20197849" cy="91176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536369</xdr:colOff>
      <xdr:row>1</xdr:row>
      <xdr:rowOff>3958</xdr:rowOff>
    </xdr:from>
    <xdr:to>
      <xdr:col>51</xdr:col>
      <xdr:colOff>323801</xdr:colOff>
      <xdr:row>43</xdr:row>
      <xdr:rowOff>323305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886224" y="655122"/>
          <a:ext cx="20230507" cy="88966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110836</xdr:colOff>
      <xdr:row>0</xdr:row>
      <xdr:rowOff>0</xdr:rowOff>
    </xdr:from>
    <xdr:to>
      <xdr:col>59</xdr:col>
      <xdr:colOff>289214</xdr:colOff>
      <xdr:row>39</xdr:row>
      <xdr:rowOff>323850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17600" y="0"/>
          <a:ext cx="20999334" cy="91176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2826327</xdr:colOff>
      <xdr:row>0</xdr:row>
      <xdr:rowOff>96982</xdr:rowOff>
    </xdr:from>
    <xdr:to>
      <xdr:col>48</xdr:col>
      <xdr:colOff>167985</xdr:colOff>
      <xdr:row>39</xdr:row>
      <xdr:rowOff>207472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36691" y="96982"/>
          <a:ext cx="20447230" cy="88966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969819</xdr:colOff>
      <xdr:row>0</xdr:row>
      <xdr:rowOff>0</xdr:rowOff>
    </xdr:from>
    <xdr:to>
      <xdr:col>61</xdr:col>
      <xdr:colOff>231371</xdr:colOff>
      <xdr:row>39</xdr:row>
      <xdr:rowOff>323850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06074" y="0"/>
          <a:ext cx="21428825" cy="91176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0320\s370\WINNT\nsb8.xlb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EKI&#51060;&#51333;&#47749;\&#49900;&#44221;&#49453;\My%20Documents\Jebel%20Ali%20KII\MOBI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77;&#54868;&#49440;\D\project\pc0840\SPEC\BM-PC084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109;&#54812;&#48124;\turk\DATASHEET%20&#51089;&#50629;\Datasheet%20&#51228;&#52636;(&#50641;&#49472;%20&#51089;&#50629;)\%231%20ALK%20(E28)\In-Line%20&#44228;&#50676;\PD%20Flowmeter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Projects\0532938\PROCESS\BURF121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4592;&#54788;\C\Documents%20and%20Settings\&#49569;&#51064;\Local%20Settings\Temporary%20Internet%20Files\Content.IE5\6TR04OOL\DATA\JUNGSAN\CHOI\KGY\&#50696;&#49328;\DIKE_SIL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5500\div\Package\MA\DATASH\JOB\K-3872\EQLIST_U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109;&#54812;&#48124;\turk\Project\TURKMENGAS\DATA%20SHEET\sample\IN-7253%20Motor%20Operated%20Valve%20-%20Y85_Raw%20water%20intake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109;&#54812;&#48124;\turk\Project\TGDP\DATA%20SHEET\data%20sheet\END\Control%20Valve%20(100128)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109;&#54812;&#48124;\turk\Documents%20and%20Settings\&#49464;&#51652;&#51333;&#54633;&#44592;&#49696;\&#48148;&#53461;%20&#54868;&#47732;\6.%20Rotameter%20(E28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inson\Sc1069\2004-Job\Sc1069\Index\Index(IFC-1)1117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109;&#54812;&#48124;\turk\Project\TURKMENGAS\DATA%20SHEET\sample\IN721D%20Annubar%20-%20Y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1pr&#48149;&#51221;&#48124;\FCC\Engineering%20Disciplines\Process\CAMBRIDGE\LA%20McMonagle\Equipment%20Data%20Sheets\L%20V%20Separator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C15083\Group\Documents%20and%20Settings\08147\&#12487;&#12473;&#12463;&#12488;&#12483;&#12503;\&#38917;&#30446;&#25244;&#12365;&#20986;&#12375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001sf0002\AXENS\WINNT\Profiles\lv\Desktop\API%20datasheets%20references%20of%20KTI%20SPA%20ROME\BurnerDS-1_32940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2.215\&#44608;&#50725;&#48176;\BOQ_Reference\orifice\Book1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788;&#51221;\hdo%20%232\O2%20STRIPPER\MR\IN-7255%20Pressure%20Regulating%20Valve\Data%20Sheet\Unit%2050_PCV%20Datasheet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.LSM%20&#50629;&#47924;\4.&#45800;&#44032;TABLE\1.&#45236;&#49688;&#50857;\3.&#52572;&#49888;%20&#50896;&#44032;table(151001)\0.&#50896;&#44032;TABLE(190620)\1.SRS926TE(150LB)&#50896;&#44032;TABLE(REV.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sb8"/>
      <sheetName val="Units+rev"/>
      <sheetName val="Sheeta"/>
      <sheetName val="TEMA SHEE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TL"/>
      <sheetName val="기능공"/>
      <sheetName val="기능공 (3)"/>
      <sheetName val="연도별 자금"/>
      <sheetName val="월별자금"/>
      <sheetName val="기능공 (2)"/>
      <sheetName val="LOAD"/>
      <sheetName val="100A"/>
      <sheetName val="125A"/>
      <sheetName val="150A"/>
      <sheetName val="200A"/>
      <sheetName val="250A"/>
      <sheetName val="300A"/>
      <sheetName val="350A"/>
      <sheetName val="400A"/>
      <sheetName val="450A"/>
      <sheetName val="500A"/>
      <sheetName val="550A"/>
      <sheetName val="600A"/>
      <sheetName val="650A"/>
      <sheetName val="700A"/>
      <sheetName val="750A"/>
      <sheetName val="800A"/>
      <sheetName val="850A"/>
      <sheetName val="900A"/>
      <sheetName val="950A"/>
      <sheetName val="1000A"/>
      <sheetName val="1050A"/>
      <sheetName val="1100A"/>
      <sheetName val="1200A"/>
      <sheetName val="1300A"/>
      <sheetName val="1400A"/>
      <sheetName val="1500A"/>
      <sheetName val="1600A"/>
      <sheetName val="1700A"/>
      <sheetName val="1800A"/>
      <sheetName val="1900A"/>
      <sheetName val="1950A"/>
      <sheetName val="2000A"/>
      <sheetName val="2100A"/>
      <sheetName val="2250A"/>
      <sheetName val="2500A"/>
      <sheetName val="h-013211-2"/>
      <sheetName val="A7"/>
      <sheetName val="MOBIL"/>
      <sheetName val="Reference"/>
      <sheetName val="Eq. Mobilization"/>
      <sheetName val="COVER"/>
      <sheetName val="영업2"/>
      <sheetName val="영업3"/>
      <sheetName val="Sheet1"/>
      <sheetName val="DRUM"/>
      <sheetName val="대비표"/>
    </sheetNames>
    <sheetDataSet>
      <sheetData sheetId="0" refreshError="1">
        <row r="6">
          <cell r="G6">
            <v>1</v>
          </cell>
          <cell r="H6">
            <v>2</v>
          </cell>
          <cell r="I6">
            <v>3</v>
          </cell>
          <cell r="J6">
            <v>4</v>
          </cell>
          <cell r="K6">
            <v>5</v>
          </cell>
          <cell r="L6">
            <v>6</v>
          </cell>
          <cell r="M6">
            <v>7</v>
          </cell>
          <cell r="N6">
            <v>8</v>
          </cell>
          <cell r="O6">
            <v>9</v>
          </cell>
          <cell r="P6">
            <v>10</v>
          </cell>
          <cell r="Q6">
            <v>11</v>
          </cell>
          <cell r="R6">
            <v>12</v>
          </cell>
          <cell r="S6">
            <v>13</v>
          </cell>
          <cell r="T6">
            <v>14</v>
          </cell>
          <cell r="U6">
            <v>15</v>
          </cell>
          <cell r="V6">
            <v>16</v>
          </cell>
          <cell r="W6">
            <v>17</v>
          </cell>
          <cell r="X6">
            <v>18</v>
          </cell>
          <cell r="Y6">
            <v>19</v>
          </cell>
          <cell r="Z6">
            <v>20</v>
          </cell>
          <cell r="AA6">
            <v>21</v>
          </cell>
          <cell r="AB6">
            <v>22</v>
          </cell>
          <cell r="AC6">
            <v>23</v>
          </cell>
          <cell r="AD6">
            <v>24</v>
          </cell>
          <cell r="AE6">
            <v>25</v>
          </cell>
          <cell r="AF6">
            <v>26</v>
          </cell>
          <cell r="AG6">
            <v>27</v>
          </cell>
          <cell r="AH6">
            <v>28</v>
          </cell>
          <cell r="AI6">
            <v>29</v>
          </cell>
          <cell r="AJ6">
            <v>30</v>
          </cell>
          <cell r="AK6">
            <v>31</v>
          </cell>
          <cell r="AL6">
            <v>32</v>
          </cell>
          <cell r="AM6">
            <v>33</v>
          </cell>
          <cell r="AN6">
            <v>34</v>
          </cell>
          <cell r="AO6">
            <v>35</v>
          </cell>
          <cell r="AP6">
            <v>36</v>
          </cell>
          <cell r="AQ6">
            <v>37</v>
          </cell>
          <cell r="AR6">
            <v>38</v>
          </cell>
          <cell r="AS6">
            <v>39</v>
          </cell>
          <cell r="AT6">
            <v>40</v>
          </cell>
          <cell r="AU6">
            <v>41</v>
          </cell>
        </row>
      </sheetData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견적기준"/>
      <sheetName val="INDEX"/>
      <sheetName val="INSTR"/>
      <sheetName val="PLC"/>
      <sheetName val="CABLE"/>
      <sheetName val="TRAY"/>
      <sheetName val="JB"/>
      <sheetName val="PIPE"/>
      <sheetName val="TUBE"/>
      <sheetName val="MISC"/>
      <sheetName val="설계기준(내부)"/>
      <sheetName val="eq_data"/>
      <sheetName val="PipWT"/>
      <sheetName val="단면검토"/>
      <sheetName val="설계조건"/>
      <sheetName val="Piping Design Data"/>
      <sheetName val="TYPE-B 평균H"/>
      <sheetName val="직원동원SCH"/>
      <sheetName val="Sheet1"/>
      <sheetName val="MACRO(전선관)"/>
      <sheetName val="Sheet3"/>
      <sheetName val="look-up"/>
      <sheetName val="Lookup"/>
      <sheetName val="BM-PC0840"/>
      <sheetName val="DATA"/>
      <sheetName val="Hoja3"/>
      <sheetName val="Hoja2"/>
      <sheetName val="Table 1"/>
      <sheetName val="IN"/>
      <sheetName val="Total"/>
      <sheetName val="현황CODE"/>
      <sheetName val="손익현황"/>
      <sheetName val="SPEC"/>
      <sheetName val="RFP002"/>
      <sheetName val="Cover sheet"/>
      <sheetName val="BQ List"/>
      <sheetName val="SUM"/>
      <sheetName val="Basis"/>
      <sheetName val="purch-summ-data"/>
      <sheetName val="PEL"/>
      <sheetName val="IT-BAT"/>
      <sheetName val="정부노임단가"/>
      <sheetName val="steam table"/>
      <sheetName val="ISOP"/>
      <sheetName val="Piping_Design_Data"/>
      <sheetName val="TYPE-B_평균H"/>
      <sheetName val="Table_1"/>
      <sheetName val="Piping Cost"/>
      <sheetName val="PIPE-SUMMARY"/>
      <sheetName val="PIPE-LINK"/>
      <sheetName val="PSIZE"/>
      <sheetName val="F-302"/>
      <sheetName val="new급여T(4을-운전)"/>
      <sheetName val="Units"/>
      <sheetName val="Instructions"/>
      <sheetName val="가상data"/>
      <sheetName val="#4-1표지"/>
      <sheetName val="영업2"/>
      <sheetName val="영업3"/>
      <sheetName val="PBS"/>
      <sheetName val="steam_table"/>
      <sheetName val="h-013211-2"/>
      <sheetName val="산근"/>
      <sheetName val="공사비 내역 (가)"/>
      <sheetName val="Tipo Terzi"/>
      <sheetName val="간접비내역-1"/>
      <sheetName val="집계표"/>
      <sheetName val="piping"/>
      <sheetName val="CBE-VSL"/>
      <sheetName val="Testing"/>
      <sheetName val="Pag. 1"/>
      <sheetName val="HALOBUTYL"/>
      <sheetName val="P110"/>
      <sheetName val="CONTENTS"/>
      <sheetName val="DSCCI_Print"/>
      <sheetName val="할증 "/>
      <sheetName val="HRD"/>
      <sheetName val="Macro1"/>
      <sheetName val="Code_Magics"/>
      <sheetName val="Code"/>
      <sheetName val="견적 집계"/>
      <sheetName val="CALCULATION"/>
      <sheetName val="Anal-1 (Nox-SO2-CO)"/>
      <sheetName val="DATA LISTS"/>
      <sheetName val="DCS"/>
      <sheetName val="ANALYSER"/>
      <sheetName val="PROCURE"/>
      <sheetName val="SUMMARY"/>
      <sheetName val="TABLE"/>
      <sheetName val="Cover_sheet"/>
      <sheetName val="BQ_List"/>
      <sheetName val="갑지(추정)"/>
      <sheetName val="Graph (LGEN)"/>
      <sheetName val="out_prog"/>
      <sheetName val="선적schedule (2)"/>
      <sheetName val="PRICE LIST"/>
      <sheetName val="TABLE2-2 OSBL-(SITE PREP)"/>
      <sheetName val="TOTAL PIPING"/>
      <sheetName val="Bend_fact "/>
      <sheetName val="갑지"/>
      <sheetName val="15010"/>
      <sheetName val="24"/>
      <sheetName val="CPS"/>
      <sheetName val="boq"/>
      <sheetName val="WORK-VOL"/>
      <sheetName val="ld-sd-dt"/>
      <sheetName val="highlight"/>
      <sheetName val="ld-sd"/>
      <sheetName val="Process Piping"/>
      <sheetName val="Insts"/>
      <sheetName val="내역"/>
      <sheetName val="KP1590_E"/>
      <sheetName val="PAD-F"/>
      <sheetName val="갑지1"/>
      <sheetName val="Ex-Rate"/>
      <sheetName val="TTL"/>
      <sheetName val="SHL"/>
      <sheetName val="K1"/>
      <sheetName val="OSBL-TOTAL (SEA WATER)"/>
      <sheetName val="상반기손익차2총괄"/>
      <sheetName val="UG분석표"/>
      <sheetName val="95삼성급(본사)"/>
      <sheetName val="Daten"/>
      <sheetName val="Connections"/>
      <sheetName val="한강운반비"/>
      <sheetName val="세금자료"/>
      <sheetName val="개시대사 (2)"/>
      <sheetName val="OSBL-TOTAL (CIVIL WORK)"/>
      <sheetName val="MAN-STD"/>
      <sheetName val="Step"/>
      <sheetName val="E_Rate PM"/>
      <sheetName val="TIE-INS"/>
      <sheetName val="제출계산서"/>
      <sheetName val="ISO"/>
      <sheetName val="SOURCE"/>
      <sheetName val="Piping_Design_Data1"/>
      <sheetName val="TYPE-B_평균H1"/>
      <sheetName val="Table_11"/>
      <sheetName val="Piping_Cost"/>
      <sheetName val="Piping_Design_Data2"/>
      <sheetName val="TYPE-B_평균H2"/>
      <sheetName val="Table_12"/>
      <sheetName val="BQ_List1"/>
      <sheetName val="steam_table1"/>
      <sheetName val="Piping_Cost1"/>
      <sheetName val="Cover_sheet1"/>
      <sheetName val="TABLE2-1_ISBL-(SlTE_PREP)"/>
      <sheetName val="TABLE2_1_ISBL_(Soil_Invest)"/>
      <sheetName val="TABLE2-2_OSBL(GENERAL-CIVIL)"/>
      <sheetName val="TABLE2-2_OSBL-(SITE_PREP)"/>
      <sheetName val="#REF"/>
      <sheetName val="Sheeta"/>
      <sheetName val="Units+rev"/>
      <sheetName val="PROCESS"/>
      <sheetName val="내역서"/>
      <sheetName val="DRUM"/>
      <sheetName val="code data"/>
      <sheetName val="4002"/>
      <sheetName val="표지"/>
      <sheetName val="BQMPALOC"/>
      <sheetName val="PumpSpec"/>
      <sheetName val="footing"/>
      <sheetName val="INST LIST"/>
      <sheetName val="입력값1"/>
      <sheetName val="PRESSURE GAUGE"/>
      <sheetName val="SHUTDOWN VALVE"/>
      <sheetName val="조건표"/>
      <sheetName val="97 사업추정(WEKI)"/>
      <sheetName val="기준"/>
      <sheetName val="OSBL-TOTAL (OTHER WORK)"/>
      <sheetName val="ELECTRICAL"/>
      <sheetName val="대비표"/>
      <sheetName val=" 견적서"/>
      <sheetName val="터널조도"/>
      <sheetName val="견적의뢰"/>
      <sheetName val="B"/>
      <sheetName val="공사비_내역_(가)"/>
      <sheetName val="Tipo_Terzi"/>
      <sheetName val="DATA_LISTS"/>
      <sheetName val="B31.1"/>
      <sheetName val="CVA"/>
      <sheetName val="MEXICO-C"/>
      <sheetName val="TRICONIX"/>
      <sheetName val="DESIGN(77C-102A)-2"/>
      <sheetName val="COVER-P"/>
      <sheetName val="CABLE DATA"/>
      <sheetName val="Sheet5"/>
      <sheetName val="Engrg Est"/>
      <sheetName val="비교표"/>
      <sheetName val="BAY별 원가표준"/>
      <sheetName val="기본자료(실행)"/>
      <sheetName val="3cx95sq"/>
      <sheetName val="자재코드"/>
      <sheetName val="ST-CST1"/>
      <sheetName val="BQ"/>
      <sheetName val="000000"/>
      <sheetName val="Default"/>
      <sheetName val="Material_Group"/>
      <sheetName val="PTrating all"/>
      <sheetName val="E01"/>
      <sheetName val="MVE02"/>
      <sheetName val="WE'T"/>
      <sheetName val="수입"/>
      <sheetName val="41-42-1"/>
      <sheetName val="BASEINPUT"/>
      <sheetName val="VL"/>
      <sheetName val="TN"/>
      <sheetName val="ND"/>
      <sheetName val="MOTOR"/>
      <sheetName val="cbe-1"/>
      <sheetName val="Submission-Application"/>
      <sheetName val="배명(단가)"/>
      <sheetName val="DATE"/>
      <sheetName val="Pipe ID"/>
      <sheetName val="notifier"/>
      <sheetName val="OD5000"/>
      <sheetName val="Panel제작명세서"/>
      <sheetName val="소상 &quot;1&quot;"/>
      <sheetName val="list"/>
      <sheetName val=""/>
      <sheetName val="동결보온"/>
      <sheetName val="Substn, Pdt Trans, Pack, Others"/>
      <sheetName val="attach(2)"/>
      <sheetName val="소야공정계획표"/>
      <sheetName val="BQLIST"/>
      <sheetName val="1을"/>
      <sheetName val=" "/>
      <sheetName val="#3_일위대가목록"/>
      <sheetName val="연돌일위집계"/>
      <sheetName val="장비"/>
      <sheetName val="노무"/>
      <sheetName val="Line Details"/>
      <sheetName val="Two Phase"/>
      <sheetName val="ABB"/>
      <sheetName val="노임9월"/>
      <sheetName val="Y-WORK"/>
      <sheetName val="적용환율"/>
      <sheetName val="Taux"/>
      <sheetName val="SCHEDULE"/>
      <sheetName val="Factor"/>
      <sheetName val="당초"/>
      <sheetName val="CAT_5"/>
      <sheetName val="costing_Misc"/>
      <sheetName val="Summary Sheets"/>
      <sheetName val="HVAC"/>
      <sheetName val="DB@Acess"/>
      <sheetName val="Civil"/>
      <sheetName val="costing_Press"/>
      <sheetName val="costing_ESDV"/>
      <sheetName val=" 갑지"/>
      <sheetName val="costing_MOV"/>
      <sheetName val="REDUCER"/>
      <sheetName val="costing_CV"/>
      <sheetName val="Tables"/>
      <sheetName val="合成単価作成表-BLDG"/>
      <sheetName val="POWER"/>
      <sheetName val="w't table"/>
      <sheetName val="COA-17"/>
      <sheetName val="S N"/>
      <sheetName val="costing_FE"/>
      <sheetName val="C-18"/>
      <sheetName val="금액내역서"/>
      <sheetName val="LABTOTAL"/>
      <sheetName val="95신규호표"/>
      <sheetName val="VS배관내역서"/>
      <sheetName val="작성기준"/>
      <sheetName val="Macro"/>
      <sheetName val="노임단가"/>
      <sheetName val="CYP-O.F"/>
      <sheetName val="burner-spare"/>
      <sheetName val="조도계산서 (도서)"/>
      <sheetName val="Euro-conversion"/>
      <sheetName val="물량표"/>
      <sheetName val="설계서"/>
      <sheetName val="BM"/>
      <sheetName val="BOM_DWG"/>
      <sheetName val="Sheet2"/>
      <sheetName val="TYPE-B_평균H3"/>
      <sheetName val="Piping_Design_Data3"/>
      <sheetName val="Table_13"/>
      <sheetName val="BQ_List2"/>
      <sheetName val="steam_table2"/>
      <sheetName val="Piping_Cost2"/>
      <sheetName val="Cover_sheet2"/>
      <sheetName val="공사비_내역_(가)1"/>
      <sheetName val="Tipo_Terzi1"/>
      <sheetName val="할증_"/>
      <sheetName val="PRICE_LIST"/>
      <sheetName val="TABLE2-2_OSBL-(SITE_PREP)1"/>
      <sheetName val="TOTAL_PIPING"/>
      <sheetName val="Bend_fact_"/>
      <sheetName val="DATA_LISTS1"/>
      <sheetName val="Graph_(LGEN)"/>
      <sheetName val="선적schedule_(2)"/>
      <sheetName val="Pag__1"/>
      <sheetName val="견적_집계"/>
      <sheetName val="Anal-1_(Nox-SO2-CO)"/>
      <sheetName val="OSBL-TOTAL_(SEA_WATER)"/>
      <sheetName val="개시대사_(2)"/>
      <sheetName val="E_Rate_PM"/>
      <sheetName val="OSBL-TOTAL_(CIVIL_WORK)"/>
      <sheetName val="PRESSURE_GAUGE"/>
      <sheetName val="SHUTDOWN_VALVE"/>
      <sheetName val="B31_1"/>
      <sheetName val="Process_Piping"/>
      <sheetName val="code_data"/>
      <sheetName val="97_사업추정(WEKI)"/>
      <sheetName val="OSBL-TOTAL_(OTHER_WORK)"/>
      <sheetName val="Pipe_ID"/>
      <sheetName val="PTrating_all"/>
      <sheetName val="INST_LIST"/>
      <sheetName val="_견적서"/>
      <sheetName val="BAY별_원가표준"/>
      <sheetName val="CABLE_DATA"/>
      <sheetName val="Notes for BOQ"/>
      <sheetName val="PRO_DCI"/>
      <sheetName val="ELEC_DCI"/>
      <sheetName val="INST_DCI"/>
      <sheetName val="JOINT1"/>
      <sheetName val="Piping_Design_Data5"/>
      <sheetName val="TYPE-B_평균H5"/>
      <sheetName val="Table_15"/>
      <sheetName val="BQ_List4"/>
      <sheetName val="Piping_Cost4"/>
      <sheetName val="Cover_sheet4"/>
      <sheetName val="steam_table4"/>
      <sheetName val="공사비_내역_(가)2"/>
      <sheetName val="Tipo_Terzi2"/>
      <sheetName val="Pag__12"/>
      <sheetName val="할증_2"/>
      <sheetName val="견적_집계2"/>
      <sheetName val="Anal-1_(Nox-SO2-CO)2"/>
      <sheetName val="DATA_LISTS2"/>
      <sheetName val="TABLE2-2_OSBL-(SITE_PREP)3"/>
      <sheetName val="TOTAL_PIPING2"/>
      <sheetName val="Bend_fact_2"/>
      <sheetName val="PRICE_LIST2"/>
      <sheetName val="Graph_(LGEN)2"/>
      <sheetName val="선적schedule_(2)2"/>
      <sheetName val="Process_Piping2"/>
      <sheetName val="OSBL-TOTAL_(SEA_WATER)2"/>
      <sheetName val="INST_LIST2"/>
      <sheetName val="개시대사_(2)2"/>
      <sheetName val="OSBL-TOTAL_(CIVIL_WORK)2"/>
      <sheetName val="E_Rate_PM2"/>
      <sheetName val="code_data2"/>
      <sheetName val="Piping_Design_Data4"/>
      <sheetName val="TYPE-B_평균H4"/>
      <sheetName val="Table_14"/>
      <sheetName val="BQ_List3"/>
      <sheetName val="Piping_Cost3"/>
      <sheetName val="Cover_sheet3"/>
      <sheetName val="steam_table3"/>
      <sheetName val="Pag__11"/>
      <sheetName val="할증_1"/>
      <sheetName val="견적_집계1"/>
      <sheetName val="Anal-1_(Nox-SO2-CO)1"/>
      <sheetName val="TABLE2-2_OSBL-(SITE_PREP)2"/>
      <sheetName val="TOTAL_PIPING1"/>
      <sheetName val="Bend_fact_1"/>
      <sheetName val="PRICE_LIST1"/>
      <sheetName val="Graph_(LGEN)1"/>
      <sheetName val="선적schedule_(2)1"/>
      <sheetName val="Process_Piping1"/>
      <sheetName val="OSBL-TOTAL_(SEA_WATER)1"/>
      <sheetName val="INST_LIST1"/>
      <sheetName val="개시대사_(2)1"/>
      <sheetName val="OSBL-TOTAL_(CIVIL_WORK)1"/>
      <sheetName val="E_Rate_PM1"/>
      <sheetName val="code_data1"/>
      <sheetName val="Cost_Summary1"/>
      <sheetName val="Summary_Sheets1"/>
      <sheetName val="ITB_COST1"/>
      <sheetName val="DWTables"/>
      <sheetName val="BOM_DCS"/>
      <sheetName val="Piping_Design_Data6"/>
      <sheetName val="TYPE-B_평균H6"/>
      <sheetName val="Table_16"/>
      <sheetName val="BQ_List5"/>
      <sheetName val="Piping_Cost5"/>
      <sheetName val="Cover_sheet5"/>
      <sheetName val="steam_table5"/>
      <sheetName val="공사비_내역_(가)3"/>
      <sheetName val="Tipo_Terzi3"/>
      <sheetName val="Pag__13"/>
      <sheetName val="할증_3"/>
      <sheetName val="견적_집계3"/>
      <sheetName val="Anal-1_(Nox-SO2-CO)3"/>
      <sheetName val="DATA_LISTS3"/>
      <sheetName val="TABLE2-2_OSBL-(SITE_PREP)4"/>
      <sheetName val="TOTAL_PIPING3"/>
      <sheetName val="Bend_fact_3"/>
      <sheetName val="PRICE_LIST3"/>
      <sheetName val="Graph_(LGEN)3"/>
      <sheetName val="선적schedule_(2)3"/>
      <sheetName val="Process_Piping3"/>
      <sheetName val="OSBL-TOTAL_(SEA_WATER)3"/>
      <sheetName val="INST_LIST3"/>
      <sheetName val="개시대사_(2)3"/>
      <sheetName val="OSBL-TOTAL_(CIVIL_WORK)3"/>
      <sheetName val="E_Rate_PM3"/>
      <sheetName val="code_data3"/>
      <sheetName val="PAGE 3_GENERAL DETAILS"/>
    </sheetNames>
    <sheetDataSet>
      <sheetData sheetId="0">
        <row r="4">
          <cell r="B4" t="str">
            <v>Line N°</v>
          </cell>
        </row>
      </sheetData>
      <sheetData sheetId="1">
        <row r="5">
          <cell r="A5" t="str">
            <v>NO</v>
          </cell>
        </row>
      </sheetData>
      <sheetData sheetId="2">
        <row r="5">
          <cell r="A5" t="str">
            <v>NO</v>
          </cell>
        </row>
      </sheetData>
      <sheetData sheetId="3">
        <row r="5">
          <cell r="A5" t="str">
            <v>NO</v>
          </cell>
          <cell r="B5" t="str">
            <v>DESCRIPTION</v>
          </cell>
          <cell r="C5" t="str">
            <v>SIZE</v>
          </cell>
          <cell r="D5" t="str">
            <v>UNIT</v>
          </cell>
          <cell r="E5" t="str">
            <v>NET</v>
          </cell>
          <cell r="F5" t="str">
            <v>SPARE</v>
          </cell>
          <cell r="G5" t="str">
            <v>TOTAL</v>
          </cell>
          <cell r="H5" t="str">
            <v>UNIT</v>
          </cell>
          <cell r="I5" t="str">
            <v>TOTAL</v>
          </cell>
          <cell r="J5" t="str">
            <v>UNIT</v>
          </cell>
          <cell r="K5" t="str">
            <v>TOTAL</v>
          </cell>
          <cell r="L5" t="str">
            <v xml:space="preserve"> </v>
          </cell>
          <cell r="M5" t="str">
            <v xml:space="preserve"> </v>
          </cell>
        </row>
        <row r="6">
          <cell r="A6" t="str">
            <v>1.1</v>
          </cell>
          <cell r="B6" t="str">
            <v>ORIFICE PLATE ASSEMBLY</v>
          </cell>
          <cell r="C6" t="str">
            <v>4" 150#</v>
          </cell>
          <cell r="D6" t="str">
            <v>EA</v>
          </cell>
          <cell r="E6">
            <v>1</v>
          </cell>
        </row>
        <row r="7">
          <cell r="B7" t="str">
            <v xml:space="preserve">  FLANGE/PLATE : 304LSS/316LSS</v>
          </cell>
          <cell r="C7" t="str">
            <v>2" 150#</v>
          </cell>
          <cell r="D7" t="str">
            <v>EA</v>
          </cell>
          <cell r="E7">
            <v>2</v>
          </cell>
        </row>
        <row r="8">
          <cell r="B8" t="str">
            <v xml:space="preserve">  PROCESS CONN : ANSI, RF</v>
          </cell>
        </row>
        <row r="9">
          <cell r="B9" t="str">
            <v xml:space="preserve">  ACCESSORIES :</v>
          </cell>
        </row>
        <row r="10">
          <cell r="B10" t="str">
            <v xml:space="preserve">    - NIPPLE</v>
          </cell>
        </row>
        <row r="11">
          <cell r="B11" t="str">
            <v xml:space="preserve">    - BOLT &amp; NUT</v>
          </cell>
        </row>
        <row r="12">
          <cell r="B12" t="str">
            <v xml:space="preserve">    - GASKET</v>
          </cell>
        </row>
        <row r="13">
          <cell r="B13" t="str">
            <v xml:space="preserve">    - JACK SCREW</v>
          </cell>
        </row>
        <row r="17">
          <cell r="A17" t="str">
            <v>1.2</v>
          </cell>
          <cell r="B17" t="str">
            <v>MASS FLOWMETER</v>
          </cell>
          <cell r="C17" t="str">
            <v>6" 150#</v>
          </cell>
          <cell r="D17" t="str">
            <v>EA</v>
          </cell>
          <cell r="E17">
            <v>2</v>
          </cell>
        </row>
        <row r="18">
          <cell r="B18" t="str">
            <v xml:space="preserve">  TYPE : CORIOLIS</v>
          </cell>
          <cell r="C18" t="str">
            <v>4" 150#</v>
          </cell>
          <cell r="D18" t="str">
            <v>EA</v>
          </cell>
          <cell r="E18">
            <v>1</v>
          </cell>
        </row>
        <row r="19">
          <cell r="B19" t="str">
            <v xml:space="preserve">  BODY/ELEMENT : 304SS/316LSS</v>
          </cell>
          <cell r="C19" t="str">
            <v>5" 150#</v>
          </cell>
          <cell r="D19" t="str">
            <v>EA</v>
          </cell>
          <cell r="E19">
            <v>1</v>
          </cell>
        </row>
        <row r="20">
          <cell r="B20" t="str">
            <v xml:space="preserve">  OUTPUT : 4-20mA, SMART</v>
          </cell>
        </row>
        <row r="21">
          <cell r="B21" t="str">
            <v xml:space="preserve">  PROCESS CONN : ANSI, RF</v>
          </cell>
        </row>
        <row r="22">
          <cell r="B22" t="str">
            <v xml:space="preserve">  ELEC. ENCL.: INTRINSIC SAFETY (Exi)</v>
          </cell>
        </row>
        <row r="23">
          <cell r="B23" t="str">
            <v xml:space="preserve">  ACCESSORIES :</v>
          </cell>
        </row>
        <row r="24">
          <cell r="B24" t="str">
            <v xml:space="preserve">    - SPECIAL CABLE</v>
          </cell>
        </row>
        <row r="25">
          <cell r="B25" t="str">
            <v xml:space="preserve">    - CONVERTER (REMOTE)</v>
          </cell>
        </row>
        <row r="26">
          <cell r="B26" t="str">
            <v xml:space="preserve">    - MOUNTING BRACKET (FOR 2" PIPE)</v>
          </cell>
        </row>
        <row r="30">
          <cell r="A30" t="str">
            <v>1.3</v>
          </cell>
          <cell r="B30" t="str">
            <v>TURBINE FLOWMETER</v>
          </cell>
          <cell r="C30" t="str">
            <v>1" 150#</v>
          </cell>
          <cell r="D30" t="str">
            <v>EA</v>
          </cell>
          <cell r="E30">
            <v>1</v>
          </cell>
        </row>
        <row r="31">
          <cell r="B31" t="str">
            <v xml:space="preserve">  TYPE : TRANSMIT</v>
          </cell>
        </row>
        <row r="32">
          <cell r="B32" t="str">
            <v xml:space="preserve">  BODY/ELEMENT : 304LSS/316LSS</v>
          </cell>
        </row>
        <row r="33">
          <cell r="B33" t="str">
            <v xml:space="preserve">  OUTPUT : 4-20mA, SMART</v>
          </cell>
        </row>
        <row r="34">
          <cell r="B34" t="str">
            <v xml:space="preserve">  PROCESS CONN : ANSI, RF</v>
          </cell>
        </row>
        <row r="35">
          <cell r="B35" t="str">
            <v xml:space="preserve">  ELEC. ENCL.: INTRINSIC SAFETY (Exi)</v>
          </cell>
        </row>
        <row r="36">
          <cell r="B36" t="str">
            <v xml:space="preserve">  ACCESSORIES :</v>
          </cell>
        </row>
        <row r="37">
          <cell r="B37" t="str">
            <v xml:space="preserve">    - CONVERTER (INTEGRAL)</v>
          </cell>
        </row>
        <row r="38">
          <cell r="B38" t="str">
            <v xml:space="preserve">    - LOCAL TOTALIZER</v>
          </cell>
        </row>
        <row r="42">
          <cell r="A42" t="str">
            <v>1.4</v>
          </cell>
          <cell r="B42" t="str">
            <v>ULTRASONIC FLOWMETER</v>
          </cell>
          <cell r="C42" t="str">
            <v>8" 150#</v>
          </cell>
          <cell r="D42" t="str">
            <v>EA</v>
          </cell>
          <cell r="E42">
            <v>1</v>
          </cell>
        </row>
        <row r="43">
          <cell r="B43" t="str">
            <v xml:space="preserve">  TYPE : TRANSMIT</v>
          </cell>
        </row>
        <row r="44">
          <cell r="B44" t="str">
            <v xml:space="preserve">  BODY/ELEMENT : 304SS</v>
          </cell>
        </row>
        <row r="45">
          <cell r="B45" t="str">
            <v xml:space="preserve">  OUTPUT : 4-20mA, SMART</v>
          </cell>
        </row>
        <row r="46">
          <cell r="B46" t="str">
            <v xml:space="preserve">  PROCESS CONN : ANSI, RF</v>
          </cell>
        </row>
        <row r="47">
          <cell r="B47" t="str">
            <v xml:space="preserve">  ELEC. ENCL.: INTRINSIC SAFETY (Exi)</v>
          </cell>
        </row>
        <row r="51">
          <cell r="A51" t="str">
            <v>1.5</v>
          </cell>
          <cell r="B51" t="str">
            <v xml:space="preserve">DISPLACEMENT TYPE ,LEVEL </v>
          </cell>
          <cell r="C51" t="str">
            <v>500mm</v>
          </cell>
          <cell r="D51" t="str">
            <v>EA</v>
          </cell>
          <cell r="E51">
            <v>5</v>
          </cell>
        </row>
        <row r="52">
          <cell r="B52" t="str">
            <v xml:space="preserve">  MOUNTING : INTERNAL</v>
          </cell>
        </row>
        <row r="53">
          <cell r="B53" t="str">
            <v xml:space="preserve">  FUNCTION : SWITCH</v>
          </cell>
        </row>
        <row r="54">
          <cell r="B54" t="str">
            <v xml:space="preserve">  BODY/DISPLACER : 304SS/316LSS</v>
          </cell>
        </row>
        <row r="55">
          <cell r="B55" t="str">
            <v xml:space="preserve">  OUTPUT : 1 DPDT x 1</v>
          </cell>
        </row>
        <row r="56">
          <cell r="B56" t="str">
            <v xml:space="preserve">  PROCESS CONN : ANSI, 4" 150#</v>
          </cell>
        </row>
        <row r="57">
          <cell r="B57" t="str">
            <v xml:space="preserve">  ELEC. ENCL.: EXP. PF (Exd)</v>
          </cell>
        </row>
        <row r="61">
          <cell r="A61" t="str">
            <v>1.6</v>
          </cell>
          <cell r="B61" t="str">
            <v xml:space="preserve">DISPLACEMENT TYPE ,LEVEL </v>
          </cell>
          <cell r="C61" t="str">
            <v>2" 150#</v>
          </cell>
          <cell r="D61" t="str">
            <v>EA</v>
          </cell>
          <cell r="E61">
            <v>9</v>
          </cell>
        </row>
        <row r="62">
          <cell r="B62" t="str">
            <v xml:space="preserve">  MOUTING : SIDE, EXTERNAL</v>
          </cell>
        </row>
        <row r="63">
          <cell r="B63" t="str">
            <v xml:space="preserve">  FUNCTION : SWITCH</v>
          </cell>
        </row>
        <row r="64">
          <cell r="B64" t="str">
            <v xml:space="preserve">  BODY/FLOAT : 304SS/316LSS</v>
          </cell>
        </row>
        <row r="65">
          <cell r="B65" t="str">
            <v xml:space="preserve">  OUTPUT : 1 DPDT x 2</v>
          </cell>
        </row>
        <row r="66">
          <cell r="B66" t="str">
            <v xml:space="preserve">  PROCESS CONN : ANSI RF</v>
          </cell>
        </row>
        <row r="67">
          <cell r="B67" t="str">
            <v xml:space="preserve">  ELEC. ENCL.: EXP. PF (Exd)</v>
          </cell>
        </row>
        <row r="68">
          <cell r="B68" t="str">
            <v xml:space="preserve">  C-TO C : 440 MM</v>
          </cell>
        </row>
        <row r="72">
          <cell r="A72" t="str">
            <v>1.7</v>
          </cell>
          <cell r="B72" t="str">
            <v>AUTOMATIC TANK GAUGE (ENRAF 854)</v>
          </cell>
          <cell r="C72" t="str">
            <v>20000mm</v>
          </cell>
          <cell r="D72" t="str">
            <v>EA</v>
          </cell>
          <cell r="E72">
            <v>4</v>
          </cell>
        </row>
        <row r="73">
          <cell r="B73" t="str">
            <v xml:space="preserve">  TYPE : TRANSMIT,SERVO-BALANCE</v>
          </cell>
        </row>
        <row r="74">
          <cell r="B74" t="str">
            <v xml:space="preserve">  BODY/FLOAT : ADC/316LSS</v>
          </cell>
        </row>
        <row r="75">
          <cell r="B75" t="str">
            <v xml:space="preserve">  OUTPUT : 4-20mA, SMART</v>
          </cell>
        </row>
        <row r="76">
          <cell r="B76" t="str">
            <v xml:space="preserve">  PROCESS CONN : ANSI, RF</v>
          </cell>
        </row>
        <row r="77">
          <cell r="B77" t="str">
            <v xml:space="preserve">  ELEC. ENCL.: INTRINSIC SAFETY (Exi)</v>
          </cell>
        </row>
        <row r="78">
          <cell r="B78" t="str">
            <v xml:space="preserve">  ACCESSORIES :</v>
          </cell>
        </row>
        <row r="79">
          <cell r="B79" t="str">
            <v xml:space="preserve">    - TANK SIDE INDICATOR</v>
          </cell>
        </row>
        <row r="80">
          <cell r="B80" t="str">
            <v xml:space="preserve">    - CALIBRATION CHAMBER</v>
          </cell>
        </row>
        <row r="81">
          <cell r="B81" t="str">
            <v xml:space="preserve">    - BALL VALVE</v>
          </cell>
        </row>
        <row r="82">
          <cell r="B82" t="str">
            <v xml:space="preserve">    - MULTIPLE RESISTANCE THERMOMETER</v>
          </cell>
        </row>
        <row r="83">
          <cell r="B83" t="str">
            <v xml:space="preserve">      (865 MRT)</v>
          </cell>
        </row>
        <row r="84">
          <cell r="A84" t="str">
            <v xml:space="preserve"> </v>
          </cell>
        </row>
        <row r="87">
          <cell r="A87" t="str">
            <v>1.8</v>
          </cell>
          <cell r="B87" t="str">
            <v>LEVEL GAUGE</v>
          </cell>
          <cell r="C87" t="str">
            <v>1370MM</v>
          </cell>
          <cell r="D87" t="str">
            <v>EA</v>
          </cell>
          <cell r="E87">
            <v>4</v>
          </cell>
        </row>
        <row r="88">
          <cell r="B88" t="str">
            <v xml:space="preserve">  TYPE : REFLEX</v>
          </cell>
        </row>
        <row r="89">
          <cell r="B89" t="str">
            <v xml:space="preserve">  BODY/ELEMENT : 304SS/316LSS</v>
          </cell>
        </row>
        <row r="90">
          <cell r="A90" t="str">
            <v xml:space="preserve"> </v>
          </cell>
          <cell r="B90" t="str">
            <v xml:space="preserve">  PROCESS CONN : ANSI 2", 150#</v>
          </cell>
        </row>
        <row r="91">
          <cell r="B91" t="str">
            <v xml:space="preserve">  ACCESSORIES</v>
          </cell>
        </row>
        <row r="92">
          <cell r="B92" t="str">
            <v xml:space="preserve">    - GAUGE VALVE, OFFSET TYPE</v>
          </cell>
        </row>
        <row r="93">
          <cell r="B93" t="str">
            <v xml:space="preserve">    - VENT/DRAIN VALVE</v>
          </cell>
        </row>
        <row r="97">
          <cell r="A97" t="str">
            <v>1.9</v>
          </cell>
          <cell r="B97" t="str">
            <v>MAGNETIC LEVEL GAUGE</v>
          </cell>
          <cell r="C97" t="str">
            <v>2000MM</v>
          </cell>
          <cell r="D97" t="str">
            <v>EA</v>
          </cell>
          <cell r="E97">
            <v>7</v>
          </cell>
        </row>
        <row r="98">
          <cell r="B98" t="str">
            <v xml:space="preserve">  TYPE : MAGNETIC FLOAT</v>
          </cell>
        </row>
        <row r="99">
          <cell r="B99" t="str">
            <v xml:space="preserve">  BODY/ELEMENT : 304SS/316LSS</v>
          </cell>
        </row>
        <row r="100">
          <cell r="B100" t="str">
            <v xml:space="preserve">  PROCESS CONN : ANSI 2", 150#</v>
          </cell>
        </row>
        <row r="101">
          <cell r="B101" t="str">
            <v xml:space="preserve">  ACCESSORIES</v>
          </cell>
        </row>
        <row r="102">
          <cell r="B102" t="str">
            <v xml:space="preserve">    - VENT/DRAIN VALVE</v>
          </cell>
        </row>
        <row r="106">
          <cell r="A106" t="str">
            <v>1.10</v>
          </cell>
          <cell r="B106" t="str">
            <v>DITTO 1.8 BUT</v>
          </cell>
          <cell r="C106" t="str">
            <v>2000MM</v>
          </cell>
          <cell r="D106" t="str">
            <v>EA</v>
          </cell>
          <cell r="E106">
            <v>1</v>
          </cell>
        </row>
        <row r="107">
          <cell r="B107" t="str">
            <v xml:space="preserve">  ACCESSORIES</v>
          </cell>
        </row>
        <row r="108">
          <cell r="B108" t="str">
            <v xml:space="preserve">    - LEVEL SWITCH (1 EA)</v>
          </cell>
        </row>
        <row r="112">
          <cell r="A112" t="str">
            <v>1.11</v>
          </cell>
          <cell r="B112" t="str">
            <v>PRESSURE TRANSMITTER</v>
          </cell>
          <cell r="C112">
            <v>0</v>
          </cell>
          <cell r="D112" t="str">
            <v>EA</v>
          </cell>
          <cell r="E112">
            <v>7</v>
          </cell>
        </row>
        <row r="113">
          <cell r="B113" t="str">
            <v xml:space="preserve">  TYPE : DIAPHRAGM</v>
          </cell>
        </row>
        <row r="114">
          <cell r="B114" t="str">
            <v xml:space="preserve">  BODY/ELEMENT : 304SS/316LSS</v>
          </cell>
        </row>
        <row r="115">
          <cell r="B115" t="str">
            <v xml:space="preserve">  OUTPUT : 4-20mA, SMART</v>
          </cell>
        </row>
        <row r="116">
          <cell r="B116" t="str">
            <v xml:space="preserve">  PROCESS CONN : 1/2" NPT</v>
          </cell>
        </row>
        <row r="117">
          <cell r="B117" t="str">
            <v xml:space="preserve">  ELEC. ENCL.: INTRINSIC SAFETY (Exi)</v>
          </cell>
        </row>
        <row r="118">
          <cell r="B118" t="str">
            <v xml:space="preserve">  ACCESSORIES :</v>
          </cell>
        </row>
        <row r="119">
          <cell r="B119" t="str">
            <v xml:space="preserve">    - LOCAL INDICATOR</v>
          </cell>
        </row>
        <row r="120">
          <cell r="B120" t="str">
            <v xml:space="preserve">    - 2-VALVE MANIFOLD</v>
          </cell>
        </row>
        <row r="121">
          <cell r="B121" t="str">
            <v xml:space="preserve">    - MOUNTING BRACKET (FOR 2" PIPE)</v>
          </cell>
        </row>
        <row r="125">
          <cell r="A125" t="str">
            <v>1.12</v>
          </cell>
          <cell r="B125" t="str">
            <v>D/P TRANSMITTER,  FLOW</v>
          </cell>
          <cell r="C125">
            <v>0</v>
          </cell>
          <cell r="D125" t="str">
            <v>EA</v>
          </cell>
          <cell r="E125">
            <v>3</v>
          </cell>
        </row>
        <row r="126">
          <cell r="B126" t="str">
            <v xml:space="preserve">  TYPE : DIAPHRAGM</v>
          </cell>
        </row>
        <row r="127">
          <cell r="B127" t="str">
            <v xml:space="preserve">  BODY/ELEMENT : 304SS/316LSS</v>
          </cell>
        </row>
        <row r="128">
          <cell r="B128" t="str">
            <v xml:space="preserve">  OUTPUT : 4-20mA, SMART</v>
          </cell>
        </row>
        <row r="129">
          <cell r="B129" t="str">
            <v xml:space="preserve">  PROCESS CONN : 1/2" NPTF</v>
          </cell>
        </row>
        <row r="130">
          <cell r="B130" t="str">
            <v xml:space="preserve">  ELEC. ENCL.: INTRINSIC SAFETY (Exi)</v>
          </cell>
        </row>
        <row r="131">
          <cell r="B131" t="str">
            <v xml:space="preserve">  ACCESSORIES :</v>
          </cell>
        </row>
        <row r="132">
          <cell r="B132" t="str">
            <v xml:space="preserve">    - 3-VALVE MANIFOLD</v>
          </cell>
        </row>
        <row r="133">
          <cell r="B133" t="str">
            <v xml:space="preserve">    - LOCAL INDICATOR</v>
          </cell>
        </row>
        <row r="134">
          <cell r="B134" t="str">
            <v xml:space="preserve">    - MOUNTING BRACKET (FOR 2" PIPE)</v>
          </cell>
        </row>
        <row r="138">
          <cell r="A138" t="str">
            <v>1.13</v>
          </cell>
          <cell r="B138" t="str">
            <v>PRESSURE GAUGE</v>
          </cell>
          <cell r="C138">
            <v>0</v>
          </cell>
          <cell r="D138" t="str">
            <v>EA</v>
          </cell>
          <cell r="E138">
            <v>9</v>
          </cell>
        </row>
        <row r="139">
          <cell r="B139" t="str">
            <v xml:space="preserve">  TYPE : LIQUID FILLED</v>
          </cell>
        </row>
        <row r="140">
          <cell r="B140" t="str">
            <v xml:space="preserve">  DIAL SIZE : 6"</v>
          </cell>
        </row>
        <row r="141">
          <cell r="B141" t="str">
            <v xml:space="preserve">  CASE/ELEMENT : 304SS/316SS</v>
          </cell>
        </row>
        <row r="142">
          <cell r="B142" t="str">
            <v xml:space="preserve">  PROCESS CONN. : 1/2" NPT</v>
          </cell>
        </row>
        <row r="146">
          <cell r="A146" t="str">
            <v>1.14</v>
          </cell>
          <cell r="B146" t="str">
            <v>DIFF. PRESSURE GAUGE</v>
          </cell>
          <cell r="C146">
            <v>0</v>
          </cell>
          <cell r="D146" t="str">
            <v>EA</v>
          </cell>
          <cell r="E146">
            <v>7</v>
          </cell>
        </row>
        <row r="147">
          <cell r="B147" t="str">
            <v xml:space="preserve">  TYPE : DIAPHRAGM</v>
          </cell>
        </row>
        <row r="148">
          <cell r="B148" t="str">
            <v xml:space="preserve">  DIAL SIZE : 6"</v>
          </cell>
        </row>
        <row r="149">
          <cell r="B149" t="str">
            <v xml:space="preserve">  CASE/ELEMENT : 304SS/316SS</v>
          </cell>
        </row>
        <row r="150">
          <cell r="B150" t="str">
            <v xml:space="preserve">  PROCESS CONN. : 1/2" NPT</v>
          </cell>
        </row>
        <row r="151">
          <cell r="B151" t="str">
            <v xml:space="preserve">  ACCESSORIES :</v>
          </cell>
        </row>
        <row r="152">
          <cell r="B152" t="str">
            <v xml:space="preserve">    - MOUNTING BRACKET (FOR 2" PIPE)</v>
          </cell>
        </row>
        <row r="156">
          <cell r="A156" t="str">
            <v>1.15</v>
          </cell>
          <cell r="B156" t="str">
            <v>TEMPERATURE TRANSMITTER</v>
          </cell>
          <cell r="C156">
            <v>0</v>
          </cell>
          <cell r="D156" t="str">
            <v>EA</v>
          </cell>
          <cell r="E156">
            <v>6</v>
          </cell>
        </row>
        <row r="157">
          <cell r="B157" t="str">
            <v xml:space="preserve">  BODY/ELEMENT : 316SS/316LSS</v>
          </cell>
        </row>
        <row r="158">
          <cell r="B158" t="str">
            <v xml:space="preserve">  OUTPUT : 4-20mA, SMART</v>
          </cell>
        </row>
        <row r="159">
          <cell r="B159" t="str">
            <v xml:space="preserve">  ELEC. ENCL.: INTRINSIC SAFETY (Exi)</v>
          </cell>
        </row>
        <row r="160">
          <cell r="B160" t="str">
            <v xml:space="preserve">  ACCESSORIES :</v>
          </cell>
        </row>
        <row r="161">
          <cell r="B161" t="str">
            <v xml:space="preserve">    - LOCAL INDICATOR</v>
          </cell>
        </row>
        <row r="162">
          <cell r="B162" t="str">
            <v xml:space="preserve">    - MOUNTING BRACKET (FOR 2" PIPE)</v>
          </cell>
        </row>
        <row r="166">
          <cell r="A166" t="str">
            <v>1.16</v>
          </cell>
          <cell r="B166" t="str">
            <v>THERMOELEMENT ASSEMBLY</v>
          </cell>
          <cell r="C166">
            <v>0</v>
          </cell>
          <cell r="D166" t="str">
            <v>EA</v>
          </cell>
          <cell r="E166">
            <v>6</v>
          </cell>
        </row>
        <row r="167">
          <cell r="B167" t="str">
            <v xml:space="preserve">  SENSOR : RTD (SINGLE), Pt 100 ohm</v>
          </cell>
        </row>
        <row r="168">
          <cell r="B168" t="str">
            <v xml:space="preserve">  ELEMENT : 316SS</v>
          </cell>
        </row>
        <row r="169">
          <cell r="B169" t="str">
            <v xml:space="preserve">  ELEC. ENCL.: INTRINSIC SAFETY (Exi)</v>
          </cell>
        </row>
        <row r="170">
          <cell r="B170" t="str">
            <v xml:space="preserve">  WELL :</v>
          </cell>
        </row>
        <row r="171">
          <cell r="B171" t="str">
            <v xml:space="preserve">    - TYPE : DRILLED BAR</v>
          </cell>
        </row>
        <row r="172">
          <cell r="B172" t="str">
            <v xml:space="preserve">    - MATL : 316LSS</v>
          </cell>
        </row>
        <row r="173">
          <cell r="B173" t="str">
            <v xml:space="preserve">    - PROCESS CONN : ANSI 1 1/2", 150#</v>
          </cell>
        </row>
        <row r="174">
          <cell r="B174" t="str">
            <v xml:space="preserve">    - IMMER. LENGTH : 400mm</v>
          </cell>
        </row>
        <row r="178">
          <cell r="A178" t="str">
            <v>1.17</v>
          </cell>
          <cell r="B178" t="str">
            <v xml:space="preserve">INDICATING THERMOMETER </v>
          </cell>
          <cell r="C178">
            <v>0</v>
          </cell>
          <cell r="D178" t="str">
            <v>EA</v>
          </cell>
          <cell r="E178">
            <v>2</v>
          </cell>
        </row>
        <row r="179">
          <cell r="B179" t="str">
            <v xml:space="preserve">  TYPE/FORM : BIMETAL/ANY ANGLE TYPE</v>
          </cell>
        </row>
        <row r="180">
          <cell r="B180" t="str">
            <v xml:space="preserve">  DIAL SIZE : 5"</v>
          </cell>
        </row>
        <row r="181">
          <cell r="B181" t="str">
            <v xml:space="preserve">  CASE/ELEMENTL : 304SS/316SS</v>
          </cell>
        </row>
        <row r="182">
          <cell r="B182" t="str">
            <v xml:space="preserve">  WELL :</v>
          </cell>
        </row>
        <row r="183">
          <cell r="B183" t="str">
            <v xml:space="preserve">    - TYPE : DRILLED BAR</v>
          </cell>
        </row>
        <row r="184">
          <cell r="B184" t="str">
            <v xml:space="preserve">    - MATL : 316LSS</v>
          </cell>
        </row>
        <row r="185">
          <cell r="B185" t="str">
            <v xml:space="preserve">    - PROCESS CONN : ANSI 1 1/2", 150#</v>
          </cell>
        </row>
        <row r="186">
          <cell r="B186" t="str">
            <v xml:space="preserve">    - IMMER. LENGTH : 400mm</v>
          </cell>
        </row>
        <row r="190">
          <cell r="A190" t="str">
            <v>1.18</v>
          </cell>
          <cell r="B190" t="str">
            <v xml:space="preserve">TEST THERMOWELL </v>
          </cell>
          <cell r="C190">
            <v>0</v>
          </cell>
          <cell r="D190" t="str">
            <v>EA</v>
          </cell>
          <cell r="E190">
            <v>2</v>
          </cell>
        </row>
        <row r="191">
          <cell r="B191" t="str">
            <v xml:space="preserve">  TYPE : DRILLED BAR</v>
          </cell>
        </row>
        <row r="192">
          <cell r="B192" t="str">
            <v xml:space="preserve">  MATL : 316LSS</v>
          </cell>
        </row>
        <row r="193">
          <cell r="B193" t="str">
            <v xml:space="preserve">  PROCESS CONN : ANSI 1 1/2", 150#</v>
          </cell>
        </row>
        <row r="194">
          <cell r="B194" t="str">
            <v xml:space="preserve">  IMMER. LENGTH : 400mm</v>
          </cell>
        </row>
        <row r="198">
          <cell r="A198" t="str">
            <v>1.19</v>
          </cell>
          <cell r="B198" t="str">
            <v>CONTROL VALVE</v>
          </cell>
          <cell r="C198" t="str">
            <v>2" 300#</v>
          </cell>
          <cell r="D198" t="str">
            <v>EA</v>
          </cell>
          <cell r="E198">
            <v>4</v>
          </cell>
        </row>
        <row r="199">
          <cell r="B199" t="str">
            <v xml:space="preserve">  TYPE : GLOBE</v>
          </cell>
          <cell r="C199" t="str">
            <v>4" 300#</v>
          </cell>
          <cell r="D199" t="str">
            <v>EA</v>
          </cell>
          <cell r="E199">
            <v>3</v>
          </cell>
        </row>
        <row r="200">
          <cell r="B200" t="str">
            <v xml:space="preserve">  CONTROL ACTION : THROTTLING</v>
          </cell>
          <cell r="C200" t="str">
            <v>6" 300#</v>
          </cell>
          <cell r="D200" t="str">
            <v>EA</v>
          </cell>
          <cell r="E200">
            <v>1</v>
          </cell>
        </row>
        <row r="201">
          <cell r="B201" t="str">
            <v xml:space="preserve">  ACTUATOR : DIAPHRAGM</v>
          </cell>
        </row>
        <row r="202">
          <cell r="B202" t="str">
            <v xml:space="preserve">  BODY/TRIM : 304LSS/316LSS</v>
          </cell>
        </row>
        <row r="203">
          <cell r="B203" t="str">
            <v xml:space="preserve">  BONNET : STANDARD</v>
          </cell>
        </row>
        <row r="204">
          <cell r="B204" t="str">
            <v xml:space="preserve">  FLANGE RATING : ANSI,RF</v>
          </cell>
        </row>
        <row r="205">
          <cell r="B205" t="str">
            <v xml:space="preserve">  ELEC. ENCL.: INTRINSIC SAFETY (Exi)</v>
          </cell>
        </row>
        <row r="206">
          <cell r="B206" t="str">
            <v xml:space="preserve">  ACCESSORIES :</v>
          </cell>
        </row>
        <row r="207">
          <cell r="B207" t="str">
            <v xml:space="preserve">    - I/P POSITIONER</v>
          </cell>
        </row>
        <row r="208">
          <cell r="B208" t="str">
            <v xml:space="preserve">    - AIR SET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/>
      <sheetData sheetId="233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/>
      <sheetData sheetId="270" refreshError="1"/>
      <sheetData sheetId="271"/>
      <sheetData sheetId="272"/>
      <sheetData sheetId="273"/>
      <sheetData sheetId="274"/>
      <sheetData sheetId="275"/>
      <sheetData sheetId="276" refreshError="1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 refreshError="1"/>
      <sheetData sheetId="307" refreshError="1"/>
      <sheetData sheetId="308" refreshError="1"/>
      <sheetData sheetId="309"/>
      <sheetData sheetId="310"/>
      <sheetData sheetId="311"/>
      <sheetData sheetId="312"/>
      <sheetData sheetId="313"/>
      <sheetData sheetId="314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Index"/>
      <sheetName val="E28-FE-FT-050"/>
      <sheetName val="E28-FT-FE-088"/>
      <sheetName val="PD Flowmeter"/>
      <sheetName val="Sheeta"/>
      <sheetName val="Units+rev"/>
    </sheetNames>
    <definedNames>
      <definedName name="aaaa" refersTo="#REF!"/>
      <definedName name="AUTO" refersTo="#REF!"/>
      <definedName name="Module1.NOTES" refersTo="#REF!"/>
      <definedName name="Module1.UNITOK" refersTo="#REF!"/>
      <definedName name="_xlbgnm.OPT8" refersTo="#REF!"/>
      <definedName name="_xlbgnm.OPT9" refersTo="#REF!"/>
      <definedName name="UNITOK" refersTo="#REF!"/>
      <definedName name="Update" refersTo="#REF!"/>
    </defined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. 1"/>
      <sheetName val="L V Separator"/>
      <sheetName val="BURF1211"/>
      <sheetName val="Sheeta"/>
      <sheetName val="Units+rev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RING"/>
      <sheetName val="일위대가"/>
      <sheetName val="유지보수"/>
      <sheetName val="기계경비"/>
      <sheetName val="현장여건조사"/>
      <sheetName val="실행내역"/>
      <sheetName val="내역"/>
      <sheetName val="91-1"/>
      <sheetName val="sc0314 Index"/>
      <sheetName val="상반기손익차2총괄"/>
      <sheetName val="eq_data"/>
      <sheetName val="Cover"/>
      <sheetName val="B"/>
      <sheetName val="D-623D"/>
      <sheetName val="산근"/>
      <sheetName val="갑지"/>
      <sheetName val="INSTR"/>
      <sheetName val="OIL SYST DATA SHTS"/>
      <sheetName val="공장가공BM"/>
      <sheetName val="7.6.3.J.Inline Instrument"/>
      <sheetName val="DIKE_SIL"/>
      <sheetName val="L V Separator"/>
      <sheetName val="Sheet1"/>
      <sheetName val="Eq. Mobilization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TCH"/>
      <sheetName val="INSTR"/>
      <sheetName val="Pag. 1"/>
      <sheetName val="L V Separator"/>
      <sheetName val="B"/>
      <sheetName val="실행내역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Y-MOV2011"/>
      <sheetName val="Y-MOV2012"/>
      <sheetName val="Y-MOV2013"/>
      <sheetName val="Y-MOV2014"/>
      <sheetName val="Y-MOV2015"/>
      <sheetName val="Y-MOV2016"/>
      <sheetName val="Y-MOV94701"/>
      <sheetName val="Notes"/>
      <sheetName val="Database"/>
      <sheetName val="Connections"/>
      <sheetName val="DWTables"/>
      <sheetName val="Calc"/>
      <sheetName val="CmpName"/>
      <sheetName val="Template"/>
      <sheetName val="Functions"/>
      <sheetName val="BATCH"/>
      <sheetName val="INSTR"/>
      <sheetName val="Pag. 1"/>
      <sheetName val="BLDG_DCI"/>
      <sheetName val="BLDG_MC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Index"/>
      <sheetName val="101 AGR-1"/>
      <sheetName val="101 AGR-2"/>
      <sheetName val="101 AGR-1&amp;2"/>
      <sheetName val="101 AGR-3"/>
      <sheetName val="101 AGR-4"/>
      <sheetName val="101 AGR-3&amp;4"/>
      <sheetName val="201 SR-1"/>
      <sheetName val="201 SR-2"/>
      <sheetName val="201 SR"/>
      <sheetName val="301 DPC-1"/>
      <sheetName val="301 DPC-2"/>
      <sheetName val="301 DPC"/>
      <sheetName val="401 CS"/>
      <sheetName val="600 DPC"/>
      <sheetName val="620 FW"/>
      <sheetName val="750 FGS"/>
      <sheetName val="800 SG"/>
      <sheetName val="900 FAB"/>
      <sheetName val="910 BP"/>
      <sheetName val="101 AGR"/>
      <sheetName val="Database"/>
      <sheetName val="Connections"/>
      <sheetName val="DWTables"/>
      <sheetName val="Calc"/>
      <sheetName val="Template"/>
      <sheetName val="Functions"/>
      <sheetName val="Y-MOV2011"/>
      <sheetName val="BATCH"/>
      <sheetName val="INSTR"/>
      <sheetName val="환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21">
          <cell r="D21">
            <v>5</v>
          </cell>
          <cell r="G21">
            <v>1</v>
          </cell>
          <cell r="J21">
            <v>5</v>
          </cell>
          <cell r="M21">
            <v>2</v>
          </cell>
          <cell r="P21">
            <v>2</v>
          </cell>
          <cell r="S21">
            <v>2</v>
          </cell>
          <cell r="V21">
            <v>1</v>
          </cell>
        </row>
        <row r="23">
          <cell r="D23" t="str">
            <v>Solid/Powder</v>
          </cell>
          <cell r="E23" t="str">
            <v>P</v>
          </cell>
          <cell r="G23" t="str">
            <v>Close</v>
          </cell>
          <cell r="H23" t="str">
            <v>Close</v>
          </cell>
          <cell r="J23" t="str">
            <v/>
          </cell>
          <cell r="K23" t="str">
            <v/>
          </cell>
          <cell r="M23" t="str">
            <v/>
          </cell>
          <cell r="N23">
            <v>0</v>
          </cell>
          <cell r="P23" t="str">
            <v>Yes</v>
          </cell>
          <cell r="Q23" t="str">
            <v>Yes</v>
          </cell>
          <cell r="S23" t="str">
            <v>Yes</v>
          </cell>
          <cell r="T23" t="str">
            <v>Yes</v>
          </cell>
          <cell r="V23" t="str">
            <v>Yes</v>
          </cell>
          <cell r="W23" t="str">
            <v>Yes</v>
          </cell>
        </row>
        <row r="24">
          <cell r="D24" t="str">
            <v>Liquid</v>
          </cell>
          <cell r="E24" t="str">
            <v>L</v>
          </cell>
          <cell r="G24" t="str">
            <v>Open</v>
          </cell>
          <cell r="H24" t="str">
            <v>Open</v>
          </cell>
          <cell r="J24" t="str">
            <v>ANSI I</v>
          </cell>
          <cell r="K24" t="str">
            <v>ANSI I</v>
          </cell>
          <cell r="M24" t="str">
            <v>Single Seat Globe</v>
          </cell>
          <cell r="N24">
            <v>1</v>
          </cell>
          <cell r="P24" t="str">
            <v>No</v>
          </cell>
          <cell r="Q24" t="str">
            <v>No</v>
          </cell>
          <cell r="S24" t="str">
            <v>No</v>
          </cell>
          <cell r="T24" t="str">
            <v>No</v>
          </cell>
          <cell r="V24" t="str">
            <v>No</v>
          </cell>
          <cell r="W24" t="str">
            <v>No</v>
          </cell>
        </row>
        <row r="25">
          <cell r="D25" t="str">
            <v>Water</v>
          </cell>
          <cell r="E25" t="str">
            <v>W</v>
          </cell>
          <cell r="G25" t="str">
            <v>Last</v>
          </cell>
          <cell r="H25" t="str">
            <v>Last</v>
          </cell>
          <cell r="J25" t="str">
            <v>ANSI II</v>
          </cell>
          <cell r="K25" t="str">
            <v>ANSI II</v>
          </cell>
          <cell r="M25" t="str">
            <v>Double Seat Globe</v>
          </cell>
          <cell r="N25">
            <v>2</v>
          </cell>
          <cell r="P25" t="str">
            <v/>
          </cell>
          <cell r="Q25" t="str">
            <v>X</v>
          </cell>
          <cell r="S25" t="str">
            <v/>
          </cell>
          <cell r="T25" t="str">
            <v>X</v>
          </cell>
          <cell r="V25" t="str">
            <v/>
          </cell>
          <cell r="W25" t="str">
            <v/>
          </cell>
        </row>
        <row r="26">
          <cell r="D26" t="str">
            <v>Gas/Vapor</v>
          </cell>
          <cell r="E26" t="str">
            <v>G</v>
          </cell>
          <cell r="G26" t="str">
            <v xml:space="preserve">FLO </v>
          </cell>
          <cell r="H26" t="str">
            <v>FLO</v>
          </cell>
          <cell r="J26" t="str">
            <v>ANSI III</v>
          </cell>
          <cell r="K26" t="str">
            <v>ANSI III</v>
          </cell>
          <cell r="M26" t="str">
            <v>Angle</v>
          </cell>
          <cell r="N26">
            <v>3</v>
          </cell>
        </row>
        <row r="27">
          <cell r="D27" t="str">
            <v>Steam</v>
          </cell>
          <cell r="E27" t="str">
            <v>S</v>
          </cell>
          <cell r="G27" t="str">
            <v>FLC</v>
          </cell>
          <cell r="H27" t="str">
            <v>FLC</v>
          </cell>
          <cell r="J27" t="str">
            <v>ANSI IV (standard)</v>
          </cell>
          <cell r="K27" t="str">
            <v>ANSI IV (standard)</v>
          </cell>
          <cell r="M27" t="str">
            <v>Ball / Rotary</v>
          </cell>
          <cell r="N27">
            <v>4</v>
          </cell>
        </row>
        <row r="28">
          <cell r="J28" t="str">
            <v>ANSI V</v>
          </cell>
          <cell r="K28" t="str">
            <v>ANSI V</v>
          </cell>
          <cell r="M28" t="str">
            <v>Butterfly</v>
          </cell>
          <cell r="N28">
            <v>5</v>
          </cell>
        </row>
        <row r="29">
          <cell r="J29" t="str">
            <v>ANSI VI (TSO)</v>
          </cell>
          <cell r="K29" t="str">
            <v>ANSI VI (TSO)</v>
          </cell>
          <cell r="M29" t="str">
            <v>1/4 Turn Ball</v>
          </cell>
          <cell r="N29">
            <v>6</v>
          </cell>
        </row>
        <row r="30">
          <cell r="J30" t="str">
            <v>Tight Shut-Off</v>
          </cell>
          <cell r="K30" t="str">
            <v>Tight Shut-Off</v>
          </cell>
        </row>
        <row r="31">
          <cell r="J31" t="str">
            <v>No Tight Shut-Off</v>
          </cell>
          <cell r="K31" t="str">
            <v>No Tight Shut-Off</v>
          </cell>
        </row>
        <row r="32">
          <cell r="J32" t="str">
            <v>BS 6755A</v>
          </cell>
          <cell r="K32" t="str">
            <v>BS 6755A</v>
          </cell>
        </row>
        <row r="33">
          <cell r="J33" t="str">
            <v>BS 6755B</v>
          </cell>
          <cell r="K33" t="str">
            <v>BS 6755B</v>
          </cell>
        </row>
        <row r="34">
          <cell r="J34" t="str">
            <v>BS 6755C</v>
          </cell>
          <cell r="K34" t="str">
            <v>BS 6755C</v>
          </cell>
        </row>
      </sheetData>
      <sheetData sheetId="24">
        <row r="2">
          <cell r="I2">
            <v>49</v>
          </cell>
          <cell r="J2">
            <v>2</v>
          </cell>
          <cell r="L2">
            <v>6</v>
          </cell>
          <cell r="M2">
            <v>4</v>
          </cell>
          <cell r="N2">
            <v>49</v>
          </cell>
          <cell r="O2">
            <v>4</v>
          </cell>
          <cell r="P2">
            <v>51</v>
          </cell>
          <cell r="Q2">
            <v>2</v>
          </cell>
          <cell r="R2">
            <v>2</v>
          </cell>
        </row>
        <row r="11">
          <cell r="S11">
            <v>0</v>
          </cell>
          <cell r="T11" t="str">
            <v/>
          </cell>
          <cell r="V11" t="str">
            <v/>
          </cell>
          <cell r="W11">
            <v>0</v>
          </cell>
          <cell r="AC11" t="str">
            <v>Ksi</v>
          </cell>
          <cell r="AF11" t="str">
            <v>K</v>
          </cell>
          <cell r="AI11" t="str">
            <v xml:space="preserve">K         </v>
          </cell>
          <cell r="AM11" t="str">
            <v>P</v>
          </cell>
          <cell r="AO11" t="str">
            <v xml:space="preserve">g/cm³     </v>
          </cell>
          <cell r="AS11" t="str">
            <v>MILS</v>
          </cell>
        </row>
        <row r="12">
          <cell r="S12">
            <v>1</v>
          </cell>
          <cell r="T12" t="str">
            <v>RANGER QCT</v>
          </cell>
          <cell r="V12" t="str">
            <v>CASHCO</v>
          </cell>
          <cell r="W12">
            <v>1</v>
          </cell>
          <cell r="AC12" t="str">
            <v>Ksi-a</v>
          </cell>
          <cell r="AF12" t="str">
            <v>ºC</v>
          </cell>
          <cell r="AI12" t="str">
            <v xml:space="preserve">ºC        </v>
          </cell>
          <cell r="AM12" t="str">
            <v>Pa·s</v>
          </cell>
          <cell r="AO12" t="str">
            <v xml:space="preserve">g/ml      </v>
          </cell>
          <cell r="AS12" t="str">
            <v>cm</v>
          </cell>
        </row>
        <row r="13">
          <cell r="S13">
            <v>2</v>
          </cell>
          <cell r="T13" t="str">
            <v>CHEMICAL VALVE</v>
          </cell>
          <cell r="V13" t="str">
            <v>FISHER</v>
          </cell>
          <cell r="W13">
            <v>2</v>
          </cell>
          <cell r="AC13" t="str">
            <v>Ksi-g</v>
          </cell>
          <cell r="AF13" t="str">
            <v>ºF</v>
          </cell>
          <cell r="AI13" t="str">
            <v xml:space="preserve">ºF        </v>
          </cell>
          <cell r="AM13" t="str">
            <v>SSF</v>
          </cell>
          <cell r="AO13" t="str">
            <v xml:space="preserve">kg/l      </v>
          </cell>
          <cell r="AS13" t="str">
            <v>ft</v>
          </cell>
        </row>
        <row r="14">
          <cell r="S14">
            <v>3</v>
          </cell>
          <cell r="T14" t="str">
            <v>988</v>
          </cell>
          <cell r="V14" t="str">
            <v>FLOWSERVE-KAMMER</v>
          </cell>
          <cell r="W14">
            <v>5</v>
          </cell>
          <cell r="AC14" t="str">
            <v>MPa</v>
          </cell>
          <cell r="AF14" t="str">
            <v>ºR</v>
          </cell>
          <cell r="AI14" t="str">
            <v xml:space="preserve">ºR        </v>
          </cell>
          <cell r="AM14" t="str">
            <v>SSU</v>
          </cell>
          <cell r="AO14" t="str">
            <v xml:space="preserve">kg/m³     </v>
          </cell>
          <cell r="AS14" t="str">
            <v>in</v>
          </cell>
        </row>
        <row r="15">
          <cell r="S15">
            <v>4</v>
          </cell>
          <cell r="T15" t="str">
            <v>PREMIER-EZO</v>
          </cell>
          <cell r="V15" t="str">
            <v>FLOWSERVE-SEREG</v>
          </cell>
          <cell r="W15">
            <v>7</v>
          </cell>
          <cell r="AC15" t="str">
            <v>MPa-a</v>
          </cell>
          <cell r="AM15" t="str">
            <v>St</v>
          </cell>
          <cell r="AO15" t="str">
            <v xml:space="preserve">lb/UK gal </v>
          </cell>
          <cell r="AS15" t="str">
            <v>km</v>
          </cell>
        </row>
        <row r="16">
          <cell r="S16">
            <v>5</v>
          </cell>
          <cell r="T16" t="str">
            <v>PREMIER-Unlined</v>
          </cell>
          <cell r="V16" t="str">
            <v>FLOWSERVE-VALTEK</v>
          </cell>
          <cell r="W16">
            <v>6</v>
          </cell>
          <cell r="AC16" t="str">
            <v>MPa-g</v>
          </cell>
          <cell r="AM16" t="str">
            <v>cP</v>
          </cell>
          <cell r="AO16" t="str">
            <v xml:space="preserve">lb/US gal </v>
          </cell>
          <cell r="AS16" t="str">
            <v>m</v>
          </cell>
        </row>
        <row r="17">
          <cell r="S17">
            <v>6</v>
          </cell>
          <cell r="T17" t="str">
            <v>520</v>
          </cell>
          <cell r="V17" t="str">
            <v>MASONEILAN</v>
          </cell>
          <cell r="W17">
            <v>3</v>
          </cell>
          <cell r="AC17" t="str">
            <v>Pa</v>
          </cell>
          <cell r="AM17" t="str">
            <v>cS</v>
          </cell>
          <cell r="AO17" t="str">
            <v xml:space="preserve">lb/ft³    </v>
          </cell>
          <cell r="AS17" t="str">
            <v>micron</v>
          </cell>
        </row>
        <row r="18">
          <cell r="S18">
            <v>7</v>
          </cell>
          <cell r="T18" t="str">
            <v>521</v>
          </cell>
          <cell r="V18" t="str">
            <v>NILCOR</v>
          </cell>
          <cell r="W18">
            <v>8</v>
          </cell>
          <cell r="AC18" t="str">
            <v>Pa-a</v>
          </cell>
          <cell r="AM18" t="str">
            <v>cm²/s</v>
          </cell>
          <cell r="AO18" t="str">
            <v xml:space="preserve">lb/in³    </v>
          </cell>
          <cell r="AS18" t="str">
            <v>mile</v>
          </cell>
        </row>
        <row r="19">
          <cell r="S19">
            <v>8</v>
          </cell>
          <cell r="T19" t="str">
            <v>461</v>
          </cell>
          <cell r="V19" t="str">
            <v>VALTEK</v>
          </cell>
          <cell r="W19">
            <v>4</v>
          </cell>
          <cell r="AC19" t="str">
            <v>Pa-g</v>
          </cell>
          <cell r="AM19" t="str">
            <v>ft²/s</v>
          </cell>
          <cell r="AO19" t="str">
            <v xml:space="preserve">lb/yd³    </v>
          </cell>
          <cell r="AS19" t="str">
            <v>mm</v>
          </cell>
        </row>
        <row r="20">
          <cell r="S20">
            <v>9</v>
          </cell>
          <cell r="T20" t="str">
            <v>8522</v>
          </cell>
          <cell r="V20" t="str">
            <v>WITH  EQUIPMENT</v>
          </cell>
          <cell r="W20">
            <v>7958</v>
          </cell>
          <cell r="AC20" t="str">
            <v>Torr</v>
          </cell>
          <cell r="AM20" t="str">
            <v>in²/s</v>
          </cell>
          <cell r="AO20" t="str">
            <v xml:space="preserve">mg/l      </v>
          </cell>
          <cell r="AS20" t="str">
            <v>yd</v>
          </cell>
        </row>
        <row r="21">
          <cell r="S21">
            <v>10</v>
          </cell>
          <cell r="T21" t="str">
            <v>8532</v>
          </cell>
          <cell r="AC21" t="str">
            <v>Torr-a</v>
          </cell>
          <cell r="AM21" t="str">
            <v>lb/ft·h</v>
          </cell>
          <cell r="AO21" t="str">
            <v xml:space="preserve">mg/m³     </v>
          </cell>
          <cell r="AS21" t="str">
            <v>µm</v>
          </cell>
        </row>
        <row r="22">
          <cell r="S22">
            <v>11</v>
          </cell>
          <cell r="T22" t="str">
            <v>AA</v>
          </cell>
          <cell r="AC22" t="str">
            <v>Torr-g</v>
          </cell>
          <cell r="AM22" t="str">
            <v>lb/ft·s</v>
          </cell>
          <cell r="AO22" t="str">
            <v xml:space="preserve">oz/UK gal </v>
          </cell>
        </row>
        <row r="23">
          <cell r="S23">
            <v>12</v>
          </cell>
          <cell r="T23" t="str">
            <v>AC</v>
          </cell>
          <cell r="AC23" t="str">
            <v>at (tech)</v>
          </cell>
          <cell r="AM23" t="str">
            <v>lbf·s/ft²</v>
          </cell>
          <cell r="AO23" t="str">
            <v xml:space="preserve">oz/US gal </v>
          </cell>
        </row>
        <row r="24">
          <cell r="S24">
            <v>13</v>
          </cell>
          <cell r="T24" t="str">
            <v>BF</v>
          </cell>
          <cell r="AC24" t="str">
            <v>at (tech)-a</v>
          </cell>
          <cell r="AM24" t="str">
            <v>lbf·s/in²</v>
          </cell>
          <cell r="AO24" t="str">
            <v xml:space="preserve">oz/in³    </v>
          </cell>
        </row>
        <row r="25">
          <cell r="S25">
            <v>14</v>
          </cell>
          <cell r="T25" t="str">
            <v>CAV4</v>
          </cell>
          <cell r="AC25" t="str">
            <v>at (tech)-g</v>
          </cell>
          <cell r="AM25" t="str">
            <v>mPa·s</v>
          </cell>
          <cell r="AO25" t="str">
            <v xml:space="preserve">slug/ft³  </v>
          </cell>
        </row>
        <row r="26">
          <cell r="S26">
            <v>15</v>
          </cell>
          <cell r="T26" t="str">
            <v>CC</v>
          </cell>
          <cell r="AC26" t="str">
            <v>atm(stand)</v>
          </cell>
          <cell r="AM26" t="str">
            <v>mm²/s</v>
          </cell>
          <cell r="AO26" t="str">
            <v xml:space="preserve">tonl/yd³  </v>
          </cell>
        </row>
        <row r="27">
          <cell r="S27">
            <v>16</v>
          </cell>
          <cell r="T27" t="str">
            <v>CE</v>
          </cell>
          <cell r="AC27" t="str">
            <v>atm(stand)-a</v>
          </cell>
          <cell r="AM27" t="str">
            <v>m²/s</v>
          </cell>
          <cell r="AO27" t="str">
            <v xml:space="preserve">tons/yd³  </v>
          </cell>
        </row>
        <row r="28">
          <cell r="S28">
            <v>17</v>
          </cell>
          <cell r="T28" t="str">
            <v>CZA</v>
          </cell>
          <cell r="AC28" t="str">
            <v>atm(stand)-g</v>
          </cell>
          <cell r="AM28" t="str">
            <v>slug/ft·s</v>
          </cell>
        </row>
        <row r="29">
          <cell r="S29">
            <v>18</v>
          </cell>
          <cell r="T29" t="str">
            <v>EAD</v>
          </cell>
          <cell r="AC29" t="str">
            <v>bar</v>
          </cell>
        </row>
        <row r="30">
          <cell r="S30">
            <v>19</v>
          </cell>
          <cell r="T30" t="str">
            <v>EAS</v>
          </cell>
          <cell r="AC30" t="str">
            <v>bar-a</v>
          </cell>
        </row>
        <row r="31">
          <cell r="S31">
            <v>20</v>
          </cell>
          <cell r="T31" t="str">
            <v>EAT</v>
          </cell>
          <cell r="AC31" t="str">
            <v>bar-g</v>
          </cell>
        </row>
        <row r="32">
          <cell r="S32">
            <v>21</v>
          </cell>
          <cell r="T32" t="str">
            <v>EB</v>
          </cell>
          <cell r="AC32" t="str">
            <v>cmH2O 4ºC</v>
          </cell>
        </row>
        <row r="33">
          <cell r="S33">
            <v>22</v>
          </cell>
          <cell r="T33" t="str">
            <v>EHD</v>
          </cell>
          <cell r="AC33" t="str">
            <v>cmH2O 4ºC-a</v>
          </cell>
        </row>
        <row r="34">
          <cell r="S34">
            <v>23</v>
          </cell>
          <cell r="T34" t="str">
            <v>EHT</v>
          </cell>
          <cell r="AC34" t="str">
            <v>cmH2O 4ºC-g</v>
          </cell>
        </row>
        <row r="35">
          <cell r="S35">
            <v>24</v>
          </cell>
          <cell r="T35" t="str">
            <v>EHP</v>
          </cell>
          <cell r="AC35" t="str">
            <v>cmHg 0ºC</v>
          </cell>
        </row>
        <row r="36">
          <cell r="S36">
            <v>25</v>
          </cell>
          <cell r="T36" t="str">
            <v>EHS</v>
          </cell>
          <cell r="AC36" t="str">
            <v>cmHg 0ºC-a</v>
          </cell>
        </row>
        <row r="37">
          <cell r="S37">
            <v>26</v>
          </cell>
          <cell r="T37" t="str">
            <v>EK</v>
          </cell>
          <cell r="AC37" t="str">
            <v>cmHg 0ºC-g</v>
          </cell>
        </row>
        <row r="38">
          <cell r="S38">
            <v>27</v>
          </cell>
          <cell r="T38" t="str">
            <v>EKR</v>
          </cell>
          <cell r="AC38" t="str">
            <v>dyne/cm²</v>
          </cell>
        </row>
        <row r="39">
          <cell r="S39">
            <v>28</v>
          </cell>
          <cell r="T39" t="str">
            <v>ELD</v>
          </cell>
          <cell r="AC39" t="str">
            <v>dyne/cm²-a</v>
          </cell>
        </row>
        <row r="40">
          <cell r="S40">
            <v>29</v>
          </cell>
          <cell r="T40" t="str">
            <v>ELT</v>
          </cell>
          <cell r="AC40" t="str">
            <v>dyne/cm²-g</v>
          </cell>
        </row>
        <row r="41">
          <cell r="S41">
            <v>30</v>
          </cell>
          <cell r="T41" t="str">
            <v>ELS</v>
          </cell>
          <cell r="AC41" t="str">
            <v>ftH2O</v>
          </cell>
        </row>
        <row r="42">
          <cell r="S42">
            <v>31</v>
          </cell>
          <cell r="T42" t="str">
            <v>EWD</v>
          </cell>
          <cell r="AC42" t="str">
            <v>ftH2O-a</v>
          </cell>
        </row>
        <row r="43">
          <cell r="S43">
            <v>32</v>
          </cell>
          <cell r="T43" t="str">
            <v>EWT</v>
          </cell>
          <cell r="AC43" t="str">
            <v>ftH2O-g</v>
          </cell>
        </row>
        <row r="44">
          <cell r="S44">
            <v>33</v>
          </cell>
          <cell r="T44" t="str">
            <v>EWD-1</v>
          </cell>
          <cell r="AC44" t="str">
            <v>gf/cm²</v>
          </cell>
        </row>
        <row r="45">
          <cell r="S45">
            <v>34</v>
          </cell>
          <cell r="T45" t="str">
            <v>EWT-1</v>
          </cell>
          <cell r="AC45" t="str">
            <v>gf/cm²-a</v>
          </cell>
        </row>
        <row r="46">
          <cell r="S46">
            <v>35</v>
          </cell>
          <cell r="T46" t="str">
            <v>EWND</v>
          </cell>
          <cell r="AC46" t="str">
            <v>gf/cm²-g</v>
          </cell>
        </row>
        <row r="47">
          <cell r="S47">
            <v>36</v>
          </cell>
          <cell r="T47" t="str">
            <v>EWNT</v>
          </cell>
          <cell r="AC47" t="str">
            <v>hPa</v>
          </cell>
        </row>
        <row r="48">
          <cell r="S48">
            <v>37</v>
          </cell>
          <cell r="T48" t="str">
            <v>EWND-1</v>
          </cell>
          <cell r="AC48" t="str">
            <v>hPa-a</v>
          </cell>
        </row>
        <row r="49">
          <cell r="S49">
            <v>38</v>
          </cell>
          <cell r="T49" t="str">
            <v>EWNT-2</v>
          </cell>
          <cell r="AC49" t="str">
            <v>hPa-g</v>
          </cell>
        </row>
        <row r="50">
          <cell r="S50">
            <v>39</v>
          </cell>
          <cell r="T50" t="str">
            <v>EWNT-1</v>
          </cell>
          <cell r="AC50" t="str">
            <v>inH2O</v>
          </cell>
        </row>
        <row r="51">
          <cell r="S51">
            <v>40</v>
          </cell>
          <cell r="T51" t="str">
            <v>EWS</v>
          </cell>
          <cell r="AC51" t="str">
            <v>inH2O-a</v>
          </cell>
        </row>
        <row r="52">
          <cell r="S52">
            <v>41</v>
          </cell>
          <cell r="T52" t="str">
            <v>FBD</v>
          </cell>
          <cell r="AC52" t="str">
            <v>inH2O-g</v>
          </cell>
        </row>
        <row r="53">
          <cell r="S53">
            <v>42</v>
          </cell>
          <cell r="T53" t="str">
            <v>FBS</v>
          </cell>
          <cell r="AC53" t="str">
            <v>inHg</v>
          </cell>
        </row>
        <row r="54">
          <cell r="S54">
            <v>43</v>
          </cell>
          <cell r="T54" t="str">
            <v>FBT</v>
          </cell>
          <cell r="AC54" t="str">
            <v>inHg-a</v>
          </cell>
        </row>
        <row r="55">
          <cell r="S55">
            <v>44</v>
          </cell>
          <cell r="T55" t="str">
            <v>GS</v>
          </cell>
          <cell r="AC55" t="str">
            <v>inHg-g</v>
          </cell>
        </row>
        <row r="56">
          <cell r="S56">
            <v>45</v>
          </cell>
          <cell r="T56" t="str">
            <v>HSV</v>
          </cell>
          <cell r="AC56" t="str">
            <v>kPa</v>
          </cell>
        </row>
        <row r="57">
          <cell r="S57">
            <v>46</v>
          </cell>
          <cell r="T57" t="str">
            <v>K</v>
          </cell>
          <cell r="AC57" t="str">
            <v>kPa-a</v>
          </cell>
        </row>
        <row r="58">
          <cell r="S58">
            <v>47</v>
          </cell>
          <cell r="T58" t="str">
            <v>KB</v>
          </cell>
          <cell r="AC58" t="str">
            <v>kPa-g</v>
          </cell>
        </row>
        <row r="59">
          <cell r="S59">
            <v>48</v>
          </cell>
          <cell r="T59" t="str">
            <v>KBR</v>
          </cell>
          <cell r="AC59" t="str">
            <v>kgf/cm²</v>
          </cell>
        </row>
        <row r="60">
          <cell r="S60">
            <v>49</v>
          </cell>
          <cell r="T60" t="str">
            <v>KR</v>
          </cell>
          <cell r="AC60" t="str">
            <v>kgf/cm²-a</v>
          </cell>
        </row>
        <row r="61">
          <cell r="S61">
            <v>50</v>
          </cell>
          <cell r="T61" t="str">
            <v>PQ</v>
          </cell>
          <cell r="AC61" t="str">
            <v>kgf/cm²-g</v>
          </cell>
        </row>
        <row r="62">
          <cell r="S62">
            <v>51</v>
          </cell>
          <cell r="T62" t="str">
            <v>PQA</v>
          </cell>
          <cell r="AC62" t="str">
            <v>kgf/mm²</v>
          </cell>
        </row>
        <row r="63">
          <cell r="S63">
            <v>52</v>
          </cell>
          <cell r="T63" t="str">
            <v>PQC</v>
          </cell>
          <cell r="AC63" t="str">
            <v>kgf/mm²-a</v>
          </cell>
        </row>
        <row r="64">
          <cell r="S64">
            <v>53</v>
          </cell>
          <cell r="T64" t="str">
            <v>PQF</v>
          </cell>
          <cell r="AC64" t="str">
            <v>kgf/mm²-g</v>
          </cell>
        </row>
        <row r="65">
          <cell r="S65">
            <v>54</v>
          </cell>
          <cell r="T65" t="str">
            <v>PT</v>
          </cell>
          <cell r="AC65" t="str">
            <v>kgf/m²</v>
          </cell>
        </row>
        <row r="66">
          <cell r="S66">
            <v>55</v>
          </cell>
          <cell r="T66" t="str">
            <v>RSS</v>
          </cell>
          <cell r="AC66" t="str">
            <v>kgf/m²-a</v>
          </cell>
        </row>
        <row r="67">
          <cell r="S67">
            <v>56</v>
          </cell>
          <cell r="T67" t="str">
            <v>U</v>
          </cell>
          <cell r="AC67" t="str">
            <v>kgf/m²-g</v>
          </cell>
        </row>
        <row r="68">
          <cell r="S68">
            <v>57</v>
          </cell>
          <cell r="T68" t="str">
            <v>V150</v>
          </cell>
          <cell r="AC68" t="str">
            <v>lbf/ft²</v>
          </cell>
        </row>
        <row r="69">
          <cell r="S69">
            <v>58</v>
          </cell>
          <cell r="T69" t="str">
            <v>V200</v>
          </cell>
          <cell r="AC69" t="str">
            <v>lbf/ft²-a</v>
          </cell>
        </row>
        <row r="70">
          <cell r="S70">
            <v>59</v>
          </cell>
          <cell r="T70" t="str">
            <v>V300</v>
          </cell>
          <cell r="AC70" t="str">
            <v>lbf/ft²-g</v>
          </cell>
        </row>
        <row r="71">
          <cell r="S71">
            <v>60</v>
          </cell>
          <cell r="T71" t="str">
            <v>V250</v>
          </cell>
          <cell r="AC71" t="str">
            <v>lbf/in²</v>
          </cell>
        </row>
        <row r="72">
          <cell r="S72">
            <v>61</v>
          </cell>
          <cell r="T72" t="str">
            <v>AR</v>
          </cell>
          <cell r="AC72" t="str">
            <v>lbf/in²-a</v>
          </cell>
        </row>
        <row r="73">
          <cell r="S73">
            <v>62</v>
          </cell>
          <cell r="T73" t="str">
            <v>V100</v>
          </cell>
          <cell r="AC73" t="str">
            <v>lbf/in²-g</v>
          </cell>
        </row>
        <row r="74">
          <cell r="S74">
            <v>63</v>
          </cell>
          <cell r="T74" t="str">
            <v>9100</v>
          </cell>
          <cell r="AC74" t="str">
            <v>mH2O 4ºC</v>
          </cell>
        </row>
        <row r="75">
          <cell r="S75">
            <v>64</v>
          </cell>
          <cell r="T75" t="str">
            <v>9500</v>
          </cell>
          <cell r="AC75" t="str">
            <v>mH2O 4ºC-a</v>
          </cell>
        </row>
        <row r="76">
          <cell r="S76">
            <v>65</v>
          </cell>
          <cell r="T76" t="str">
            <v>8500</v>
          </cell>
          <cell r="AC76" t="str">
            <v>mH2O 4ºC-g</v>
          </cell>
        </row>
        <row r="77">
          <cell r="S77">
            <v>66</v>
          </cell>
          <cell r="T77" t="str">
            <v>8501</v>
          </cell>
          <cell r="AC77" t="str">
            <v>mbar</v>
          </cell>
        </row>
        <row r="78">
          <cell r="S78">
            <v>67</v>
          </cell>
          <cell r="T78" t="str">
            <v>8510</v>
          </cell>
          <cell r="AC78" t="str">
            <v>mbar-a</v>
          </cell>
        </row>
        <row r="79">
          <cell r="S79">
            <v>68</v>
          </cell>
          <cell r="T79" t="str">
            <v>8511</v>
          </cell>
          <cell r="AC79" t="str">
            <v>mbar-g</v>
          </cell>
        </row>
        <row r="80">
          <cell r="S80">
            <v>69</v>
          </cell>
          <cell r="T80" t="str">
            <v>8550</v>
          </cell>
          <cell r="AC80" t="str">
            <v>mmH2O 4ºC</v>
          </cell>
        </row>
        <row r="81">
          <cell r="S81">
            <v>70</v>
          </cell>
          <cell r="T81" t="str">
            <v>EWP</v>
          </cell>
          <cell r="AC81" t="str">
            <v>mmH2O 4ºC-a</v>
          </cell>
        </row>
        <row r="82">
          <cell r="S82">
            <v>71</v>
          </cell>
          <cell r="T82" t="str">
            <v>EWNS</v>
          </cell>
          <cell r="AC82" t="str">
            <v>mmH2O 4ºC-g</v>
          </cell>
        </row>
        <row r="83">
          <cell r="S83">
            <v>72</v>
          </cell>
          <cell r="T83" t="str">
            <v>EP</v>
          </cell>
          <cell r="AC83" t="str">
            <v>mmHg 0ºC</v>
          </cell>
        </row>
        <row r="84">
          <cell r="S84">
            <v>73</v>
          </cell>
          <cell r="T84" t="str">
            <v>ENA</v>
          </cell>
          <cell r="AC84" t="str">
            <v>mmHg 0ºC-a</v>
          </cell>
        </row>
        <row r="85">
          <cell r="S85">
            <v>74</v>
          </cell>
          <cell r="T85" t="str">
            <v>A</v>
          </cell>
          <cell r="AC85" t="str">
            <v>mmHg 0ºC-g</v>
          </cell>
        </row>
        <row r="86">
          <cell r="S86">
            <v>75</v>
          </cell>
          <cell r="T86" t="str">
            <v>HS</v>
          </cell>
          <cell r="AC86" t="str">
            <v>oz/in²</v>
          </cell>
        </row>
        <row r="87">
          <cell r="S87">
            <v>76</v>
          </cell>
          <cell r="T87" t="str">
            <v>ESR</v>
          </cell>
          <cell r="AC87" t="str">
            <v>oz/in²-a</v>
          </cell>
        </row>
        <row r="88">
          <cell r="S88">
            <v>77</v>
          </cell>
          <cell r="T88" t="str">
            <v>ED</v>
          </cell>
          <cell r="AC88" t="str">
            <v>oz/in²-g</v>
          </cell>
        </row>
        <row r="89">
          <cell r="S89">
            <v>78</v>
          </cell>
          <cell r="T89" t="str">
            <v>ETR</v>
          </cell>
          <cell r="AC89" t="str">
            <v>psi</v>
          </cell>
        </row>
        <row r="90">
          <cell r="S90">
            <v>79</v>
          </cell>
          <cell r="T90" t="str">
            <v>ET</v>
          </cell>
          <cell r="AC90" t="str">
            <v>psi-a</v>
          </cell>
        </row>
        <row r="91">
          <cell r="S91">
            <v>80</v>
          </cell>
          <cell r="T91" t="str">
            <v>EDR</v>
          </cell>
          <cell r="AC91" t="str">
            <v>psi-g</v>
          </cell>
        </row>
        <row r="92">
          <cell r="S92">
            <v>81</v>
          </cell>
          <cell r="T92" t="str">
            <v>DBAQ</v>
          </cell>
        </row>
        <row r="93">
          <cell r="S93">
            <v>82</v>
          </cell>
          <cell r="T93" t="str">
            <v>7600</v>
          </cell>
        </row>
        <row r="94">
          <cell r="S94">
            <v>83</v>
          </cell>
          <cell r="T94" t="str">
            <v>7700</v>
          </cell>
        </row>
        <row r="95">
          <cell r="S95">
            <v>84</v>
          </cell>
          <cell r="T95" t="str">
            <v>9200</v>
          </cell>
        </row>
        <row r="96">
          <cell r="S96">
            <v>85</v>
          </cell>
          <cell r="T96" t="str">
            <v>7800</v>
          </cell>
        </row>
        <row r="97">
          <cell r="S97">
            <v>86</v>
          </cell>
          <cell r="T97" t="str">
            <v>EZ</v>
          </cell>
        </row>
        <row r="98">
          <cell r="S98">
            <v>87</v>
          </cell>
          <cell r="T98" t="str">
            <v>B</v>
          </cell>
        </row>
        <row r="99">
          <cell r="S99">
            <v>88</v>
          </cell>
          <cell r="T99" t="str">
            <v>D</v>
          </cell>
        </row>
        <row r="100">
          <cell r="S100">
            <v>89</v>
          </cell>
          <cell r="T100" t="str">
            <v>DB</v>
          </cell>
        </row>
        <row r="101">
          <cell r="S101">
            <v>90</v>
          </cell>
          <cell r="T101" t="str">
            <v>DA</v>
          </cell>
        </row>
        <row r="102">
          <cell r="S102">
            <v>91</v>
          </cell>
          <cell r="T102" t="str">
            <v>DBA</v>
          </cell>
        </row>
        <row r="103">
          <cell r="S103">
            <v>92</v>
          </cell>
          <cell r="T103" t="str">
            <v>V25</v>
          </cell>
        </row>
        <row r="104">
          <cell r="S104">
            <v>93</v>
          </cell>
          <cell r="T104" t="str">
            <v>EC</v>
          </cell>
        </row>
        <row r="105">
          <cell r="S105">
            <v>94</v>
          </cell>
          <cell r="T105" t="str">
            <v>ES</v>
          </cell>
        </row>
        <row r="106">
          <cell r="S106">
            <v>95</v>
          </cell>
          <cell r="T106" t="str">
            <v>8551</v>
          </cell>
        </row>
        <row r="107">
          <cell r="S107">
            <v>96</v>
          </cell>
          <cell r="T107" t="str">
            <v>8555</v>
          </cell>
        </row>
        <row r="108">
          <cell r="S108">
            <v>97</v>
          </cell>
          <cell r="T108" t="str">
            <v>8556</v>
          </cell>
        </row>
        <row r="109">
          <cell r="S109">
            <v>98</v>
          </cell>
          <cell r="T109" t="str">
            <v>8570</v>
          </cell>
        </row>
        <row r="110">
          <cell r="S110">
            <v>99</v>
          </cell>
          <cell r="T110" t="str">
            <v>G</v>
          </cell>
        </row>
        <row r="111">
          <cell r="S111">
            <v>100</v>
          </cell>
          <cell r="T111" t="str">
            <v>GL</v>
          </cell>
        </row>
        <row r="112">
          <cell r="S112">
            <v>101</v>
          </cell>
          <cell r="T112" t="str">
            <v>V500</v>
          </cell>
        </row>
        <row r="113">
          <cell r="S113">
            <v>102</v>
          </cell>
          <cell r="T113" t="str">
            <v>21000</v>
          </cell>
        </row>
        <row r="114">
          <cell r="S114">
            <v>103</v>
          </cell>
          <cell r="T114" t="str">
            <v>25000</v>
          </cell>
        </row>
        <row r="115">
          <cell r="S115">
            <v>104</v>
          </cell>
          <cell r="T115" t="str">
            <v>2600</v>
          </cell>
        </row>
        <row r="116">
          <cell r="S116">
            <v>105</v>
          </cell>
          <cell r="T116" t="str">
            <v>52600</v>
          </cell>
        </row>
        <row r="117">
          <cell r="S117">
            <v>106</v>
          </cell>
          <cell r="T117" t="str">
            <v>4500</v>
          </cell>
        </row>
        <row r="118">
          <cell r="S118">
            <v>107</v>
          </cell>
          <cell r="T118" t="str">
            <v>9600</v>
          </cell>
        </row>
        <row r="119">
          <cell r="S119">
            <v>108</v>
          </cell>
          <cell r="T119" t="str">
            <v>SE 30</v>
          </cell>
        </row>
        <row r="120">
          <cell r="S120">
            <v>109</v>
          </cell>
          <cell r="T120" t="str">
            <v>36003</v>
          </cell>
        </row>
        <row r="121">
          <cell r="S121">
            <v>110</v>
          </cell>
          <cell r="T121" t="str">
            <v>39002</v>
          </cell>
        </row>
        <row r="122">
          <cell r="S122">
            <v>111</v>
          </cell>
          <cell r="T122" t="str">
            <v>77000</v>
          </cell>
        </row>
        <row r="123">
          <cell r="S123">
            <v>112</v>
          </cell>
          <cell r="T123" t="str">
            <v>78200</v>
          </cell>
        </row>
        <row r="124">
          <cell r="S124">
            <v>113</v>
          </cell>
          <cell r="T124" t="str">
            <v>38002</v>
          </cell>
        </row>
        <row r="125">
          <cell r="S125">
            <v>114</v>
          </cell>
          <cell r="T125" t="str">
            <v>11000 Sigma F</v>
          </cell>
        </row>
        <row r="126">
          <cell r="S126">
            <v>115</v>
          </cell>
          <cell r="T126" t="str">
            <v>21000 Sigma F</v>
          </cell>
        </row>
        <row r="127">
          <cell r="S127">
            <v>116</v>
          </cell>
          <cell r="T127" t="str">
            <v>21000 Sigma FLO</v>
          </cell>
        </row>
        <row r="128">
          <cell r="S128">
            <v>117</v>
          </cell>
          <cell r="T128" t="str">
            <v>24000</v>
          </cell>
        </row>
        <row r="129">
          <cell r="S129">
            <v>118</v>
          </cell>
          <cell r="T129" t="str">
            <v>37000 TORK</v>
          </cell>
        </row>
        <row r="130">
          <cell r="S130">
            <v>119</v>
          </cell>
          <cell r="T130" t="str">
            <v>28000 VPAK</v>
          </cell>
        </row>
        <row r="131">
          <cell r="S131">
            <v>120</v>
          </cell>
          <cell r="T131" t="str">
            <v>29000 5PAK</v>
          </cell>
        </row>
        <row r="132">
          <cell r="S132">
            <v>121</v>
          </cell>
          <cell r="T132" t="str">
            <v>39000</v>
          </cell>
        </row>
        <row r="133">
          <cell r="S133">
            <v>122</v>
          </cell>
          <cell r="T133" t="str">
            <v>700</v>
          </cell>
        </row>
        <row r="134">
          <cell r="S134">
            <v>123</v>
          </cell>
          <cell r="T134" t="str">
            <v>26000 Sigma F</v>
          </cell>
        </row>
        <row r="135">
          <cell r="S135">
            <v>124</v>
          </cell>
          <cell r="T135" t="str">
            <v>26000 Sigma FLO</v>
          </cell>
        </row>
        <row r="136">
          <cell r="S136">
            <v>125</v>
          </cell>
          <cell r="T136" t="str">
            <v>5061</v>
          </cell>
        </row>
        <row r="137">
          <cell r="S137">
            <v>126</v>
          </cell>
          <cell r="T137" t="str">
            <v>CAMFLEX II</v>
          </cell>
        </row>
        <row r="138">
          <cell r="S138">
            <v>127</v>
          </cell>
          <cell r="T138" t="str">
            <v>10000 37</v>
          </cell>
        </row>
        <row r="139">
          <cell r="S139">
            <v>128</v>
          </cell>
          <cell r="T139" t="str">
            <v>41000 Sigma FLO</v>
          </cell>
        </row>
        <row r="140">
          <cell r="S140">
            <v>129</v>
          </cell>
          <cell r="T140" t="str">
            <v>41000 Sigma F</v>
          </cell>
        </row>
        <row r="141">
          <cell r="S141">
            <v>130</v>
          </cell>
          <cell r="T141" t="str">
            <v>41000 LO-DB DOMO</v>
          </cell>
        </row>
        <row r="142">
          <cell r="S142">
            <v>131</v>
          </cell>
          <cell r="T142" t="str">
            <v>41000 LO-DB 37/38</v>
          </cell>
        </row>
        <row r="143">
          <cell r="S143">
            <v>132</v>
          </cell>
          <cell r="T143" t="str">
            <v>41000 DOMO</v>
          </cell>
        </row>
        <row r="144">
          <cell r="S144">
            <v>133</v>
          </cell>
          <cell r="T144" t="str">
            <v>41000 37/38</v>
          </cell>
        </row>
        <row r="145">
          <cell r="S145">
            <v>134</v>
          </cell>
          <cell r="T145" t="str">
            <v>21000 37/38</v>
          </cell>
        </row>
        <row r="146">
          <cell r="S146">
            <v>135</v>
          </cell>
          <cell r="T146" t="str">
            <v>21000 LO-DB 37/38</v>
          </cell>
        </row>
        <row r="147">
          <cell r="S147">
            <v>136</v>
          </cell>
          <cell r="T147" t="str">
            <v>36002 BALL</v>
          </cell>
        </row>
        <row r="148">
          <cell r="S148">
            <v>137</v>
          </cell>
          <cell r="T148" t="str">
            <v>72000</v>
          </cell>
        </row>
        <row r="149">
          <cell r="S149">
            <v>196</v>
          </cell>
          <cell r="T149" t="str">
            <v>10000</v>
          </cell>
        </row>
        <row r="150">
          <cell r="S150">
            <v>197</v>
          </cell>
          <cell r="T150" t="str">
            <v>28000</v>
          </cell>
        </row>
        <row r="151">
          <cell r="S151">
            <v>198</v>
          </cell>
          <cell r="T151" t="str">
            <v>30000</v>
          </cell>
        </row>
        <row r="152">
          <cell r="S152">
            <v>199</v>
          </cell>
          <cell r="T152" t="str">
            <v>35000</v>
          </cell>
        </row>
        <row r="153">
          <cell r="S153">
            <v>200</v>
          </cell>
          <cell r="T153" t="str">
            <v>41000</v>
          </cell>
        </row>
        <row r="154">
          <cell r="S154">
            <v>201</v>
          </cell>
          <cell r="T154" t="str">
            <v>17</v>
          </cell>
        </row>
        <row r="155">
          <cell r="S155">
            <v>202</v>
          </cell>
          <cell r="T155" t="str">
            <v>18000</v>
          </cell>
        </row>
        <row r="156">
          <cell r="S156">
            <v>203</v>
          </cell>
          <cell r="T156" t="str">
            <v>31000</v>
          </cell>
        </row>
        <row r="157">
          <cell r="S157">
            <v>204</v>
          </cell>
          <cell r="T157" t="str">
            <v>36000</v>
          </cell>
        </row>
        <row r="158">
          <cell r="S158">
            <v>205</v>
          </cell>
          <cell r="T158" t="str">
            <v>37000</v>
          </cell>
        </row>
        <row r="159">
          <cell r="S159">
            <v>206</v>
          </cell>
          <cell r="T159" t="str">
            <v>38000</v>
          </cell>
        </row>
        <row r="160">
          <cell r="S160">
            <v>207</v>
          </cell>
          <cell r="T160" t="str">
            <v>40 C</v>
          </cell>
        </row>
        <row r="161">
          <cell r="S161">
            <v>208</v>
          </cell>
          <cell r="T161" t="str">
            <v>41004</v>
          </cell>
        </row>
        <row r="162">
          <cell r="S162">
            <v>209</v>
          </cell>
          <cell r="T162" t="str">
            <v>41017</v>
          </cell>
        </row>
        <row r="163">
          <cell r="S163">
            <v>210</v>
          </cell>
          <cell r="T163" t="str">
            <v>41018</v>
          </cell>
        </row>
        <row r="164">
          <cell r="S164">
            <v>211</v>
          </cell>
          <cell r="T164" t="str">
            <v>41037</v>
          </cell>
        </row>
        <row r="165">
          <cell r="S165">
            <v>212</v>
          </cell>
          <cell r="T165" t="str">
            <v>42 C</v>
          </cell>
        </row>
        <row r="166">
          <cell r="S166">
            <v>213</v>
          </cell>
          <cell r="T166" t="str">
            <v>525</v>
          </cell>
        </row>
        <row r="167">
          <cell r="S167">
            <v>214</v>
          </cell>
          <cell r="T167" t="str">
            <v>526</v>
          </cell>
        </row>
        <row r="168">
          <cell r="S168">
            <v>215</v>
          </cell>
          <cell r="T168" t="str">
            <v>535H</v>
          </cell>
        </row>
        <row r="169">
          <cell r="S169">
            <v>216</v>
          </cell>
          <cell r="T169" t="str">
            <v>78000</v>
          </cell>
        </row>
        <row r="170">
          <cell r="S170">
            <v>217</v>
          </cell>
          <cell r="T170" t="str">
            <v>80000</v>
          </cell>
        </row>
        <row r="171">
          <cell r="S171">
            <v>218</v>
          </cell>
          <cell r="T171" t="str">
            <v>89000</v>
          </cell>
        </row>
        <row r="172">
          <cell r="S172">
            <v>219</v>
          </cell>
          <cell r="T172" t="str">
            <v>TYPICAL 3 way</v>
          </cell>
        </row>
        <row r="173">
          <cell r="S173">
            <v>220</v>
          </cell>
          <cell r="T173" t="str">
            <v>TYPICAL angle</v>
          </cell>
        </row>
        <row r="174">
          <cell r="S174">
            <v>221</v>
          </cell>
          <cell r="T174" t="str">
            <v>TYPICAL ball</v>
          </cell>
        </row>
        <row r="175">
          <cell r="S175">
            <v>222</v>
          </cell>
          <cell r="T175" t="str">
            <v>TYPICAL butterfly</v>
          </cell>
        </row>
        <row r="176">
          <cell r="S176">
            <v>223</v>
          </cell>
          <cell r="T176" t="str">
            <v>TYPICAL globe</v>
          </cell>
        </row>
        <row r="177">
          <cell r="S177">
            <v>225</v>
          </cell>
          <cell r="T177" t="str">
            <v>TYPICAL regulator</v>
          </cell>
        </row>
        <row r="178">
          <cell r="S178">
            <v>226</v>
          </cell>
          <cell r="T178" t="str">
            <v>TYPICAL rotary globe</v>
          </cell>
        </row>
        <row r="179">
          <cell r="S179">
            <v>227</v>
          </cell>
          <cell r="T179" t="str">
            <v>TYPICAL split</v>
          </cell>
        </row>
        <row r="180">
          <cell r="S180">
            <v>138</v>
          </cell>
          <cell r="T180" t="str">
            <v>MARK ONE UNBALANCED</v>
          </cell>
        </row>
        <row r="181">
          <cell r="S181">
            <v>139</v>
          </cell>
          <cell r="T181" t="str">
            <v>MARK EIGHT UNBALANCE</v>
          </cell>
        </row>
        <row r="182">
          <cell r="S182">
            <v>140</v>
          </cell>
          <cell r="T182" t="str">
            <v>VALDISK</v>
          </cell>
        </row>
        <row r="183">
          <cell r="S183">
            <v>141</v>
          </cell>
          <cell r="T183" t="str">
            <v>MARK ONE BALANCED</v>
          </cell>
        </row>
        <row r="184">
          <cell r="S184">
            <v>142</v>
          </cell>
          <cell r="T184" t="str">
            <v>MARK ONE-X UNBALANCE</v>
          </cell>
        </row>
        <row r="185">
          <cell r="S185">
            <v>158</v>
          </cell>
          <cell r="T185" t="str">
            <v>041000</v>
          </cell>
        </row>
        <row r="186">
          <cell r="S186">
            <v>159</v>
          </cell>
          <cell r="T186" t="str">
            <v>051000</v>
          </cell>
        </row>
        <row r="187">
          <cell r="S187">
            <v>160</v>
          </cell>
          <cell r="T187" t="str">
            <v>061000-QVF</v>
          </cell>
        </row>
        <row r="188">
          <cell r="S188">
            <v>161</v>
          </cell>
          <cell r="T188" t="str">
            <v>061000-Schott</v>
          </cell>
        </row>
        <row r="189">
          <cell r="S189">
            <v>162</v>
          </cell>
          <cell r="T189" t="str">
            <v>080000</v>
          </cell>
        </row>
        <row r="190">
          <cell r="S190">
            <v>163</v>
          </cell>
          <cell r="T190" t="str">
            <v>081000</v>
          </cell>
        </row>
        <row r="191">
          <cell r="S191">
            <v>164</v>
          </cell>
          <cell r="T191" t="str">
            <v>091000</v>
          </cell>
        </row>
        <row r="192">
          <cell r="S192">
            <v>165</v>
          </cell>
          <cell r="T192" t="str">
            <v>0RSS00</v>
          </cell>
        </row>
        <row r="193">
          <cell r="S193">
            <v>166</v>
          </cell>
          <cell r="T193" t="str">
            <v>185000</v>
          </cell>
        </row>
        <row r="194">
          <cell r="S194">
            <v>167</v>
          </cell>
          <cell r="T194" t="str">
            <v>187000</v>
          </cell>
        </row>
        <row r="195">
          <cell r="S195">
            <v>143</v>
          </cell>
          <cell r="T195" t="str">
            <v>010000</v>
          </cell>
        </row>
        <row r="196">
          <cell r="S196">
            <v>144</v>
          </cell>
          <cell r="T196" t="str">
            <v>011000</v>
          </cell>
        </row>
        <row r="197">
          <cell r="S197">
            <v>145</v>
          </cell>
          <cell r="T197" t="str">
            <v>015000</v>
          </cell>
        </row>
        <row r="198">
          <cell r="S198">
            <v>146</v>
          </cell>
          <cell r="T198" t="str">
            <v>020000</v>
          </cell>
        </row>
        <row r="199">
          <cell r="S199">
            <v>147</v>
          </cell>
          <cell r="T199" t="str">
            <v>021000</v>
          </cell>
        </row>
        <row r="200">
          <cell r="S200">
            <v>148</v>
          </cell>
          <cell r="T200" t="str">
            <v>023000</v>
          </cell>
        </row>
        <row r="201">
          <cell r="S201">
            <v>149</v>
          </cell>
          <cell r="T201" t="str">
            <v>025000</v>
          </cell>
        </row>
        <row r="202">
          <cell r="S202">
            <v>150</v>
          </cell>
          <cell r="T202" t="str">
            <v>027000</v>
          </cell>
        </row>
        <row r="203">
          <cell r="S203">
            <v>151</v>
          </cell>
          <cell r="T203" t="str">
            <v>028000</v>
          </cell>
        </row>
        <row r="204">
          <cell r="S204">
            <v>152</v>
          </cell>
          <cell r="T204" t="str">
            <v>030000</v>
          </cell>
        </row>
        <row r="205">
          <cell r="S205">
            <v>153</v>
          </cell>
          <cell r="T205" t="str">
            <v>031000</v>
          </cell>
        </row>
        <row r="206">
          <cell r="S206">
            <v>154</v>
          </cell>
          <cell r="T206" t="str">
            <v>032000</v>
          </cell>
        </row>
        <row r="207">
          <cell r="S207">
            <v>155</v>
          </cell>
          <cell r="T207" t="str">
            <v>033000</v>
          </cell>
        </row>
        <row r="208">
          <cell r="S208">
            <v>156</v>
          </cell>
          <cell r="T208" t="str">
            <v>035000</v>
          </cell>
        </row>
        <row r="209">
          <cell r="S209">
            <v>157</v>
          </cell>
          <cell r="T209" t="str">
            <v>040000</v>
          </cell>
        </row>
        <row r="210">
          <cell r="S210">
            <v>168</v>
          </cell>
          <cell r="T210" t="str">
            <v xml:space="preserve">CavControl   </v>
          </cell>
        </row>
        <row r="211">
          <cell r="S211">
            <v>169</v>
          </cell>
          <cell r="T211" t="str">
            <v>ChannelStream</v>
          </cell>
        </row>
        <row r="212">
          <cell r="S212">
            <v>170</v>
          </cell>
          <cell r="T212" t="str">
            <v xml:space="preserve">Mark Eight   </v>
          </cell>
        </row>
        <row r="213">
          <cell r="S213">
            <v>171</v>
          </cell>
          <cell r="T213" t="str">
            <v xml:space="preserve">Mark One     </v>
          </cell>
        </row>
        <row r="214">
          <cell r="S214">
            <v>172</v>
          </cell>
          <cell r="T214" t="str">
            <v xml:space="preserve">Mark One-X   </v>
          </cell>
        </row>
        <row r="215">
          <cell r="S215">
            <v>173</v>
          </cell>
          <cell r="T215" t="str">
            <v xml:space="preserve">Mark Two     </v>
          </cell>
        </row>
        <row r="216">
          <cell r="S216">
            <v>174</v>
          </cell>
          <cell r="T216" t="str">
            <v xml:space="preserve">MaxFlo       </v>
          </cell>
        </row>
        <row r="217">
          <cell r="S217">
            <v>175</v>
          </cell>
          <cell r="T217" t="str">
            <v xml:space="preserve">MegaStream   </v>
          </cell>
        </row>
        <row r="218">
          <cell r="S218">
            <v>176</v>
          </cell>
          <cell r="T218" t="str">
            <v xml:space="preserve">MegaStream 2 </v>
          </cell>
        </row>
        <row r="219">
          <cell r="S219">
            <v>177</v>
          </cell>
          <cell r="T219" t="str">
            <v xml:space="preserve">ShearStream  </v>
          </cell>
        </row>
        <row r="220">
          <cell r="S220">
            <v>178</v>
          </cell>
          <cell r="T220" t="str">
            <v xml:space="preserve">TigerTooth   </v>
          </cell>
        </row>
        <row r="221">
          <cell r="S221">
            <v>179</v>
          </cell>
          <cell r="T221" t="str">
            <v xml:space="preserve">Trooper      </v>
          </cell>
        </row>
        <row r="222">
          <cell r="S222">
            <v>180</v>
          </cell>
          <cell r="T222" t="str">
            <v xml:space="preserve">Valdisk      </v>
          </cell>
        </row>
        <row r="223">
          <cell r="S223">
            <v>181</v>
          </cell>
          <cell r="T223" t="str">
            <v xml:space="preserve">Valdisk 150  </v>
          </cell>
        </row>
        <row r="224">
          <cell r="S224">
            <v>182</v>
          </cell>
          <cell r="T224" t="str">
            <v xml:space="preserve">Vanguard     </v>
          </cell>
        </row>
        <row r="225">
          <cell r="S225">
            <v>183</v>
          </cell>
          <cell r="T225" t="str">
            <v xml:space="preserve">Valtek 2000  </v>
          </cell>
        </row>
        <row r="226">
          <cell r="S226">
            <v>188</v>
          </cell>
          <cell r="T226" t="str">
            <v>Reglob VH</v>
          </cell>
        </row>
        <row r="227">
          <cell r="S227">
            <v>184</v>
          </cell>
          <cell r="T227" t="str">
            <v>Maxflo NT</v>
          </cell>
        </row>
        <row r="228">
          <cell r="S228">
            <v>185</v>
          </cell>
          <cell r="T228" t="str">
            <v>Micro Top</v>
          </cell>
        </row>
        <row r="229">
          <cell r="S229">
            <v>186</v>
          </cell>
          <cell r="T229" t="str">
            <v xml:space="preserve">Epsy     </v>
          </cell>
        </row>
        <row r="230">
          <cell r="S230">
            <v>187</v>
          </cell>
          <cell r="T230" t="str">
            <v>Reglob VG</v>
          </cell>
        </row>
        <row r="231">
          <cell r="S231">
            <v>189</v>
          </cell>
          <cell r="T231" t="str">
            <v xml:space="preserve">Revca NC </v>
          </cell>
        </row>
        <row r="232">
          <cell r="S232">
            <v>190</v>
          </cell>
          <cell r="T232" t="str">
            <v xml:space="preserve">Revca ND </v>
          </cell>
        </row>
        <row r="233">
          <cell r="S233">
            <v>191</v>
          </cell>
          <cell r="T233" t="str">
            <v xml:space="preserve">Revca NG </v>
          </cell>
        </row>
        <row r="234">
          <cell r="S234">
            <v>192</v>
          </cell>
          <cell r="T234" t="str">
            <v xml:space="preserve">Revca NH </v>
          </cell>
        </row>
        <row r="235">
          <cell r="S235">
            <v>193</v>
          </cell>
          <cell r="T235" t="str">
            <v xml:space="preserve">Top 200  </v>
          </cell>
        </row>
        <row r="236">
          <cell r="S236">
            <v>194</v>
          </cell>
          <cell r="T236" t="str">
            <v>Nilcor ball</v>
          </cell>
        </row>
        <row r="237">
          <cell r="S237">
            <v>195</v>
          </cell>
          <cell r="T237" t="str">
            <v>Nilcor butterfly</v>
          </cell>
        </row>
      </sheetData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base"/>
      <sheetName val="Connections"/>
      <sheetName val="DWTables"/>
      <sheetName val="Cover"/>
      <sheetName val="Index"/>
      <sheetName val="E28-FI-085"/>
      <sheetName val="Calc"/>
      <sheetName val="CmpName"/>
      <sheetName val="Template"/>
      <sheetName val="Functions"/>
      <sheetName val="Y-MOV2011"/>
      <sheetName val="BATCH"/>
    </sheetNames>
    <sheetDataSet>
      <sheetData sheetId="0" refreshError="1"/>
      <sheetData sheetId="1"/>
      <sheetData sheetId="2">
        <row r="2">
          <cell r="L2">
            <v>369</v>
          </cell>
          <cell r="M2">
            <v>12</v>
          </cell>
        </row>
        <row r="11">
          <cell r="AJ11" t="str">
            <v xml:space="preserve">P         </v>
          </cell>
          <cell r="AM11" t="str">
            <v xml:space="preserve">%         </v>
          </cell>
        </row>
        <row r="12">
          <cell r="AJ12" t="str">
            <v xml:space="preserve">Pa·s      </v>
          </cell>
          <cell r="AM12" t="str">
            <v xml:space="preserve">% LEL     </v>
          </cell>
        </row>
        <row r="13">
          <cell r="AJ13" t="str">
            <v xml:space="preserve">SSF       </v>
          </cell>
          <cell r="AM13" t="str">
            <v xml:space="preserve">1/ºC      </v>
          </cell>
        </row>
        <row r="14">
          <cell r="AJ14" t="str">
            <v xml:space="preserve">SSU       </v>
          </cell>
          <cell r="AM14" t="str">
            <v xml:space="preserve">1/ºF      </v>
          </cell>
        </row>
        <row r="15">
          <cell r="AJ15" t="str">
            <v xml:space="preserve">St        </v>
          </cell>
          <cell r="AM15" t="str">
            <v xml:space="preserve">A         </v>
          </cell>
        </row>
        <row r="16">
          <cell r="AJ16" t="str">
            <v xml:space="preserve">cP        </v>
          </cell>
          <cell r="AM16" t="str">
            <v xml:space="preserve">BG        </v>
          </cell>
        </row>
        <row r="17">
          <cell r="AJ17" t="str">
            <v xml:space="preserve">cS        </v>
          </cell>
          <cell r="AM17" t="str">
            <v xml:space="preserve">BT        </v>
          </cell>
        </row>
        <row r="18">
          <cell r="AJ18" t="str">
            <v xml:space="preserve">cm²/s     </v>
          </cell>
          <cell r="AM18" t="str">
            <v>Btu IT/ft³</v>
          </cell>
        </row>
        <row r="19">
          <cell r="AJ19" t="str">
            <v xml:space="preserve">ft²/s     </v>
          </cell>
          <cell r="AM19" t="str">
            <v>Btu IT/gal</v>
          </cell>
        </row>
        <row r="20">
          <cell r="AJ20" t="str">
            <v xml:space="preserve">in²/s     </v>
          </cell>
          <cell r="AM20" t="str">
            <v xml:space="preserve">Btu IT/h  </v>
          </cell>
        </row>
        <row r="21">
          <cell r="AJ21" t="str">
            <v xml:space="preserve">lb/ft·h   </v>
          </cell>
          <cell r="AM21" t="str">
            <v xml:space="preserve">Btu IT/lb </v>
          </cell>
        </row>
        <row r="22">
          <cell r="AJ22" t="str">
            <v xml:space="preserve">lb/ft·s   </v>
          </cell>
          <cell r="AM22" t="str">
            <v>Btu IT/min</v>
          </cell>
        </row>
        <row r="23">
          <cell r="AJ23" t="str">
            <v xml:space="preserve">lbf·s/ft² </v>
          </cell>
          <cell r="AM23" t="str">
            <v xml:space="preserve">Btu IT/s  </v>
          </cell>
        </row>
        <row r="24">
          <cell r="AJ24" t="str">
            <v xml:space="preserve">lbf·s/in² </v>
          </cell>
          <cell r="AM24" t="str">
            <v xml:space="preserve">Btu M/lb  </v>
          </cell>
        </row>
        <row r="25">
          <cell r="AJ25" t="str">
            <v xml:space="preserve">mPa·s     </v>
          </cell>
          <cell r="AM25" t="str">
            <v>Btu M/lbºF</v>
          </cell>
        </row>
        <row r="26">
          <cell r="AJ26" t="str">
            <v xml:space="preserve">mm²/s     </v>
          </cell>
          <cell r="AM26" t="str">
            <v xml:space="preserve">Btu th/lb </v>
          </cell>
        </row>
        <row r="27">
          <cell r="AJ27" t="str">
            <v xml:space="preserve">m²/s      </v>
          </cell>
          <cell r="AM27" t="str">
            <v xml:space="preserve">Btu/ft²hF </v>
          </cell>
        </row>
        <row r="28">
          <cell r="AJ28" t="str">
            <v xml:space="preserve">slug/ft·s </v>
          </cell>
          <cell r="AM28" t="str">
            <v xml:space="preserve">Btu/ft²·h </v>
          </cell>
        </row>
        <row r="29">
          <cell r="AM29" t="str">
            <v>Btu/ft³·ºF</v>
          </cell>
        </row>
        <row r="30">
          <cell r="AM30" t="str">
            <v>Btu/ft·h·F</v>
          </cell>
        </row>
        <row r="31">
          <cell r="AM31" t="str">
            <v xml:space="preserve">Btu39/lb  </v>
          </cell>
        </row>
        <row r="32">
          <cell r="AM32" t="str">
            <v>Btu39/lbºF</v>
          </cell>
        </row>
        <row r="33">
          <cell r="AM33" t="str">
            <v xml:space="preserve">Btu59/lb  </v>
          </cell>
        </row>
        <row r="34">
          <cell r="AM34" t="str">
            <v>Btu59/lbºF</v>
          </cell>
        </row>
        <row r="35">
          <cell r="AM35" t="str">
            <v xml:space="preserve">Btu60/lb  </v>
          </cell>
        </row>
        <row r="36">
          <cell r="AM36" t="str">
            <v>Btu60/lbºF</v>
          </cell>
        </row>
        <row r="37">
          <cell r="AM37" t="str">
            <v>BtuIT/lbºF</v>
          </cell>
        </row>
        <row r="38">
          <cell r="AM38" t="str">
            <v>Btuin/f²hF</v>
          </cell>
        </row>
        <row r="39">
          <cell r="AM39" t="str">
            <v>Btuth/lbºF</v>
          </cell>
        </row>
        <row r="40">
          <cell r="AM40" t="str">
            <v xml:space="preserve">CN        </v>
          </cell>
        </row>
        <row r="41">
          <cell r="AM41" t="str">
            <v xml:space="preserve">CN gal/d  </v>
          </cell>
        </row>
        <row r="42">
          <cell r="AM42" t="str">
            <v xml:space="preserve">CN gal/h  </v>
          </cell>
        </row>
        <row r="43">
          <cell r="AM43" t="str">
            <v>CN gal/min</v>
          </cell>
        </row>
        <row r="44">
          <cell r="AM44" t="str">
            <v xml:space="preserve">CN gal/s  </v>
          </cell>
        </row>
        <row r="45">
          <cell r="AM45" t="str">
            <v xml:space="preserve">F/ft      </v>
          </cell>
        </row>
        <row r="46">
          <cell r="AM46" t="str">
            <v xml:space="preserve">F/km      </v>
          </cell>
        </row>
        <row r="47">
          <cell r="AM47" t="str">
            <v xml:space="preserve">F/m       </v>
          </cell>
        </row>
        <row r="48">
          <cell r="AM48" t="str">
            <v xml:space="preserve">G         </v>
          </cell>
        </row>
        <row r="49">
          <cell r="AM49" t="str">
            <v xml:space="preserve">GAL       </v>
          </cell>
        </row>
        <row r="50">
          <cell r="AM50" t="str">
            <v xml:space="preserve">H/ft      </v>
          </cell>
        </row>
        <row r="51">
          <cell r="AM51" t="str">
            <v xml:space="preserve">H/km      </v>
          </cell>
        </row>
        <row r="52">
          <cell r="AM52" t="str">
            <v xml:space="preserve">H/m       </v>
          </cell>
        </row>
        <row r="53">
          <cell r="AM53" t="str">
            <v xml:space="preserve">H/ohm     </v>
          </cell>
        </row>
        <row r="54">
          <cell r="AM54" t="str">
            <v xml:space="preserve">HP        </v>
          </cell>
        </row>
        <row r="55">
          <cell r="AM55" t="str">
            <v xml:space="preserve">Hz        </v>
          </cell>
        </row>
        <row r="56">
          <cell r="AM56" t="str">
            <v xml:space="preserve">Hz        </v>
          </cell>
        </row>
        <row r="57">
          <cell r="AM57" t="str">
            <v xml:space="preserve">Items     </v>
          </cell>
        </row>
        <row r="58">
          <cell r="AM58" t="str">
            <v xml:space="preserve">J/(kg·K)  </v>
          </cell>
        </row>
        <row r="59">
          <cell r="AM59" t="str">
            <v xml:space="preserve">J/kg      </v>
          </cell>
        </row>
        <row r="60">
          <cell r="AM60" t="str">
            <v xml:space="preserve">K         </v>
          </cell>
        </row>
        <row r="61">
          <cell r="AM61" t="str">
            <v xml:space="preserve">KJ/m³     </v>
          </cell>
        </row>
        <row r="62">
          <cell r="AM62" t="str">
            <v xml:space="preserve">Kbyte     </v>
          </cell>
        </row>
        <row r="63">
          <cell r="AM63" t="str">
            <v xml:space="preserve">Kohm      </v>
          </cell>
        </row>
        <row r="64">
          <cell r="AM64" t="str">
            <v xml:space="preserve">Ksi       </v>
          </cell>
        </row>
        <row r="65">
          <cell r="AM65" t="str">
            <v xml:space="preserve">L         </v>
          </cell>
        </row>
        <row r="66">
          <cell r="AM66" t="str">
            <v xml:space="preserve">LELm      </v>
          </cell>
        </row>
        <row r="67">
          <cell r="AM67" t="str">
            <v xml:space="preserve">MHz       </v>
          </cell>
        </row>
        <row r="68">
          <cell r="AM68" t="str">
            <v xml:space="preserve">MILS      </v>
          </cell>
        </row>
        <row r="69">
          <cell r="AM69" t="str">
            <v xml:space="preserve">MJ/m³     </v>
          </cell>
        </row>
        <row r="70">
          <cell r="AM70" t="str">
            <v xml:space="preserve">MOhm/km   </v>
          </cell>
        </row>
        <row r="71">
          <cell r="AM71" t="str">
            <v xml:space="preserve">MPa       </v>
          </cell>
        </row>
        <row r="72">
          <cell r="AM72" t="str">
            <v xml:space="preserve">Mft³/d    </v>
          </cell>
        </row>
        <row r="73">
          <cell r="AM73" t="str">
            <v xml:space="preserve">Mft³/h    </v>
          </cell>
        </row>
        <row r="74">
          <cell r="AM74" t="str">
            <v xml:space="preserve">Mft³/min  </v>
          </cell>
        </row>
        <row r="75">
          <cell r="AM75" t="str">
            <v xml:space="preserve">Mlb/d     </v>
          </cell>
        </row>
        <row r="76">
          <cell r="AM76" t="str">
            <v xml:space="preserve">Mlb/h     </v>
          </cell>
        </row>
        <row r="77">
          <cell r="AM77" t="str">
            <v xml:space="preserve">Mm³/d     </v>
          </cell>
        </row>
        <row r="78">
          <cell r="AM78" t="str">
            <v xml:space="preserve">Mohm      </v>
          </cell>
        </row>
        <row r="79">
          <cell r="AM79" t="str">
            <v xml:space="preserve">N         </v>
          </cell>
        </row>
        <row r="80">
          <cell r="AM80" t="str">
            <v xml:space="preserve">Ohm/ft    </v>
          </cell>
        </row>
        <row r="81">
          <cell r="AM81" t="str">
            <v xml:space="preserve">Ohm/km    </v>
          </cell>
        </row>
        <row r="82">
          <cell r="AM82" t="str">
            <v xml:space="preserve">Ohm/m     </v>
          </cell>
        </row>
        <row r="83">
          <cell r="AM83" t="str">
            <v xml:space="preserve">P         </v>
          </cell>
        </row>
        <row r="84">
          <cell r="AM84" t="str">
            <v xml:space="preserve">PPBV      </v>
          </cell>
        </row>
        <row r="85">
          <cell r="AM85" t="str">
            <v xml:space="preserve">PPBW      </v>
          </cell>
        </row>
        <row r="86">
          <cell r="AM86" t="str">
            <v xml:space="preserve">PPMV      </v>
          </cell>
        </row>
        <row r="87">
          <cell r="AM87" t="str">
            <v xml:space="preserve">PPMW      </v>
          </cell>
        </row>
        <row r="88">
          <cell r="AM88" t="str">
            <v xml:space="preserve">Pa        </v>
          </cell>
        </row>
        <row r="89">
          <cell r="AM89" t="str">
            <v xml:space="preserve">Pa·s      </v>
          </cell>
        </row>
        <row r="90">
          <cell r="AM90" t="str">
            <v xml:space="preserve">RL        </v>
          </cell>
        </row>
        <row r="91">
          <cell r="AM91" t="str">
            <v xml:space="preserve">S/cm      </v>
          </cell>
        </row>
        <row r="92">
          <cell r="AM92" t="str">
            <v xml:space="preserve">SET       </v>
          </cell>
        </row>
        <row r="93">
          <cell r="AM93" t="str">
            <v xml:space="preserve">SQRT      </v>
          </cell>
        </row>
        <row r="94">
          <cell r="AM94" t="str">
            <v xml:space="preserve">SSF       </v>
          </cell>
        </row>
        <row r="95">
          <cell r="AM95" t="str">
            <v xml:space="preserve">SSU       </v>
          </cell>
        </row>
        <row r="96">
          <cell r="AM96" t="str">
            <v xml:space="preserve">St        </v>
          </cell>
        </row>
        <row r="97">
          <cell r="AM97" t="str">
            <v xml:space="preserve">Torr      </v>
          </cell>
        </row>
        <row r="98">
          <cell r="AM98" t="str">
            <v xml:space="preserve">UK bbl/d  </v>
          </cell>
        </row>
        <row r="99">
          <cell r="AM99" t="str">
            <v xml:space="preserve">UK bbl/h  </v>
          </cell>
        </row>
        <row r="100">
          <cell r="AM100" t="str">
            <v xml:space="preserve">UK gal/d  </v>
          </cell>
        </row>
        <row r="101">
          <cell r="AM101" t="str">
            <v xml:space="preserve">UK gal/h  </v>
          </cell>
        </row>
        <row r="102">
          <cell r="AM102" t="str">
            <v>UK gal/min</v>
          </cell>
        </row>
        <row r="103">
          <cell r="AM103" t="str">
            <v xml:space="preserve">UK gal/s  </v>
          </cell>
        </row>
        <row r="104">
          <cell r="AM104" t="str">
            <v xml:space="preserve">UK ton/d  </v>
          </cell>
        </row>
        <row r="105">
          <cell r="AM105" t="str">
            <v xml:space="preserve">UK ton/h  </v>
          </cell>
        </row>
        <row r="106">
          <cell r="AM106" t="str">
            <v>UK ton/min</v>
          </cell>
        </row>
        <row r="107">
          <cell r="AM107" t="str">
            <v xml:space="preserve">UK ton/s  </v>
          </cell>
        </row>
        <row r="108">
          <cell r="AM108" t="str">
            <v xml:space="preserve">US bbl/d  </v>
          </cell>
        </row>
        <row r="109">
          <cell r="AM109" t="str">
            <v xml:space="preserve">US bbl/h  </v>
          </cell>
        </row>
        <row r="110">
          <cell r="AM110" t="str">
            <v>US bbl/min</v>
          </cell>
        </row>
        <row r="111">
          <cell r="AM111" t="str">
            <v xml:space="preserve">US bbl/s  </v>
          </cell>
        </row>
        <row r="112">
          <cell r="AM112" t="str">
            <v xml:space="preserve">US gal    </v>
          </cell>
        </row>
        <row r="113">
          <cell r="AM113" t="str">
            <v xml:space="preserve">US gal/d  </v>
          </cell>
        </row>
        <row r="114">
          <cell r="AM114" t="str">
            <v xml:space="preserve">US gal/h  </v>
          </cell>
        </row>
        <row r="115">
          <cell r="AM115" t="str">
            <v>US gal/min</v>
          </cell>
        </row>
        <row r="116">
          <cell r="AM116" t="str">
            <v xml:space="preserve">US gal/s  </v>
          </cell>
        </row>
        <row r="117">
          <cell r="AM117" t="str">
            <v xml:space="preserve">US kbbl/d </v>
          </cell>
        </row>
        <row r="118">
          <cell r="AM118" t="str">
            <v xml:space="preserve">US kbbl/h </v>
          </cell>
        </row>
        <row r="119">
          <cell r="AM119" t="str">
            <v xml:space="preserve">US mbbl/d </v>
          </cell>
        </row>
        <row r="120">
          <cell r="AM120" t="str">
            <v xml:space="preserve">V         </v>
          </cell>
        </row>
        <row r="121">
          <cell r="AM121" t="str">
            <v xml:space="preserve">W         </v>
          </cell>
        </row>
        <row r="122">
          <cell r="AM122" t="str">
            <v xml:space="preserve">Watt      </v>
          </cell>
        </row>
        <row r="123">
          <cell r="AM123" t="str">
            <v xml:space="preserve">at (tech) </v>
          </cell>
        </row>
        <row r="124">
          <cell r="AM124" t="str">
            <v>atm(stand)</v>
          </cell>
        </row>
        <row r="125">
          <cell r="AM125" t="str">
            <v xml:space="preserve">bar       </v>
          </cell>
        </row>
        <row r="126">
          <cell r="AM126" t="str">
            <v xml:space="preserve">cP        </v>
          </cell>
        </row>
        <row r="127">
          <cell r="AM127" t="str">
            <v xml:space="preserve">cS        </v>
          </cell>
        </row>
        <row r="128">
          <cell r="AM128" t="str">
            <v xml:space="preserve">cal IT/g  </v>
          </cell>
        </row>
        <row r="129">
          <cell r="AM129" t="str">
            <v xml:space="preserve">cal IT/h  </v>
          </cell>
        </row>
        <row r="130">
          <cell r="AM130" t="str">
            <v xml:space="preserve">cal IT/l  </v>
          </cell>
        </row>
        <row r="131">
          <cell r="AM131" t="str">
            <v>cal IT/min</v>
          </cell>
        </row>
        <row r="132">
          <cell r="AM132" t="str">
            <v xml:space="preserve">cal IT/m³ </v>
          </cell>
        </row>
        <row r="133">
          <cell r="AM133" t="str">
            <v xml:space="preserve">cal IT/s  </v>
          </cell>
        </row>
        <row r="134">
          <cell r="AM134" t="str">
            <v>cal M/(gK)</v>
          </cell>
        </row>
        <row r="135">
          <cell r="AM135" t="str">
            <v xml:space="preserve">cal M/g   </v>
          </cell>
        </row>
        <row r="136">
          <cell r="AM136" t="str">
            <v xml:space="preserve">cal th/g  </v>
          </cell>
        </row>
        <row r="137">
          <cell r="AM137" t="str">
            <v xml:space="preserve">cal/m²·h  </v>
          </cell>
        </row>
        <row r="138">
          <cell r="AM138" t="str">
            <v>cal/m²·h·C</v>
          </cell>
        </row>
        <row r="139">
          <cell r="AM139" t="str">
            <v xml:space="preserve">cal/m³7:C </v>
          </cell>
        </row>
        <row r="140">
          <cell r="AM140" t="str">
            <v xml:space="preserve">cal/m·h·C </v>
          </cell>
        </row>
        <row r="141">
          <cell r="AM141" t="str">
            <v>cal15/(gK)</v>
          </cell>
        </row>
        <row r="142">
          <cell r="AM142" t="str">
            <v xml:space="preserve">cal15/g   </v>
          </cell>
        </row>
        <row r="143">
          <cell r="AM143" t="str">
            <v>cal20/(gK)</v>
          </cell>
        </row>
        <row r="144">
          <cell r="AM144" t="str">
            <v xml:space="preserve">cal20/g   </v>
          </cell>
        </row>
        <row r="145">
          <cell r="AM145" t="str">
            <v>calIT/(gK)</v>
          </cell>
        </row>
        <row r="146">
          <cell r="AM146" t="str">
            <v>calth/(gK)</v>
          </cell>
        </row>
        <row r="147">
          <cell r="AM147" t="str">
            <v xml:space="preserve">cm        </v>
          </cell>
        </row>
        <row r="148">
          <cell r="AM148" t="str">
            <v xml:space="preserve">cm/min    </v>
          </cell>
        </row>
        <row r="149">
          <cell r="AM149" t="str">
            <v xml:space="preserve">cmH2O 4ºC </v>
          </cell>
        </row>
        <row r="150">
          <cell r="AM150" t="str">
            <v xml:space="preserve">cmHg 0ºC  </v>
          </cell>
        </row>
        <row r="151">
          <cell r="AM151" t="str">
            <v xml:space="preserve">cm²       </v>
          </cell>
        </row>
        <row r="152">
          <cell r="AM152" t="str">
            <v xml:space="preserve">cm²/s     </v>
          </cell>
        </row>
        <row r="153">
          <cell r="AM153" t="str">
            <v xml:space="preserve">cm³/min   </v>
          </cell>
        </row>
        <row r="154">
          <cell r="AM154" t="str">
            <v xml:space="preserve">dBA       </v>
          </cell>
        </row>
        <row r="155">
          <cell r="AM155" t="str">
            <v xml:space="preserve">db/1000ft </v>
          </cell>
        </row>
        <row r="156">
          <cell r="AM156" t="str">
            <v xml:space="preserve">db/ft     </v>
          </cell>
        </row>
        <row r="157">
          <cell r="AM157" t="str">
            <v xml:space="preserve">db/km     </v>
          </cell>
        </row>
        <row r="158">
          <cell r="AM158" t="str">
            <v xml:space="preserve">db/m      </v>
          </cell>
        </row>
        <row r="159">
          <cell r="AM159" t="str">
            <v xml:space="preserve">dm³/s     </v>
          </cell>
        </row>
        <row r="160">
          <cell r="AM160" t="str">
            <v xml:space="preserve">dyne/cm²  </v>
          </cell>
        </row>
        <row r="161">
          <cell r="AM161" t="str">
            <v xml:space="preserve">ft        </v>
          </cell>
        </row>
        <row r="162">
          <cell r="AM162" t="str">
            <v xml:space="preserve">ft/h      </v>
          </cell>
        </row>
        <row r="163">
          <cell r="AM163" t="str">
            <v xml:space="preserve">ft/min    </v>
          </cell>
        </row>
        <row r="164">
          <cell r="AM164" t="str">
            <v xml:space="preserve">ft/s      </v>
          </cell>
        </row>
        <row r="165">
          <cell r="AM165" t="str">
            <v xml:space="preserve">ftH2O     </v>
          </cell>
        </row>
        <row r="166">
          <cell r="AM166" t="str">
            <v xml:space="preserve">ft²       </v>
          </cell>
        </row>
        <row r="167">
          <cell r="AM167" t="str">
            <v xml:space="preserve">ft²/s     </v>
          </cell>
        </row>
        <row r="168">
          <cell r="AM168" t="str">
            <v xml:space="preserve">ft³       </v>
          </cell>
        </row>
        <row r="169">
          <cell r="AM169" t="str">
            <v xml:space="preserve">ft³/d     </v>
          </cell>
        </row>
        <row r="170">
          <cell r="AM170" t="str">
            <v xml:space="preserve">ft³/h     </v>
          </cell>
        </row>
        <row r="171">
          <cell r="AM171" t="str">
            <v xml:space="preserve">ft³/min   </v>
          </cell>
        </row>
        <row r="172">
          <cell r="AM172" t="str">
            <v xml:space="preserve">ft³/s     </v>
          </cell>
        </row>
        <row r="173">
          <cell r="AM173" t="str">
            <v xml:space="preserve">g         </v>
          </cell>
        </row>
        <row r="174">
          <cell r="AM174" t="str">
            <v xml:space="preserve">g/cm³     </v>
          </cell>
        </row>
        <row r="175">
          <cell r="AM175" t="str">
            <v xml:space="preserve">g/d       </v>
          </cell>
        </row>
        <row r="176">
          <cell r="AM176" t="str">
            <v xml:space="preserve">g/h       </v>
          </cell>
        </row>
        <row r="177">
          <cell r="AM177" t="str">
            <v xml:space="preserve">g/min     </v>
          </cell>
        </row>
        <row r="178">
          <cell r="AM178" t="str">
            <v xml:space="preserve">g/ml      </v>
          </cell>
        </row>
        <row r="179">
          <cell r="AM179" t="str">
            <v xml:space="preserve">g/s       </v>
          </cell>
        </row>
        <row r="180">
          <cell r="AM180" t="str">
            <v xml:space="preserve">gf/cm²    </v>
          </cell>
        </row>
        <row r="181">
          <cell r="AM181" t="str">
            <v xml:space="preserve">grain/d   </v>
          </cell>
        </row>
        <row r="182">
          <cell r="AM182" t="str">
            <v xml:space="preserve">grain/h   </v>
          </cell>
        </row>
        <row r="183">
          <cell r="AM183" t="str">
            <v xml:space="preserve">grain/min </v>
          </cell>
        </row>
        <row r="184">
          <cell r="AM184" t="str">
            <v xml:space="preserve">grain/s   </v>
          </cell>
        </row>
        <row r="185">
          <cell r="AM185" t="str">
            <v xml:space="preserve">h         </v>
          </cell>
        </row>
        <row r="186">
          <cell r="AM186" t="str">
            <v xml:space="preserve">hL/d      </v>
          </cell>
        </row>
        <row r="187">
          <cell r="AM187" t="str">
            <v xml:space="preserve">hL/h      </v>
          </cell>
        </row>
        <row r="188">
          <cell r="AM188" t="str">
            <v xml:space="preserve">hPa       </v>
          </cell>
        </row>
        <row r="189">
          <cell r="AM189" t="str">
            <v xml:space="preserve">in        </v>
          </cell>
        </row>
        <row r="190">
          <cell r="AM190" t="str">
            <v xml:space="preserve">in/min    </v>
          </cell>
        </row>
        <row r="191">
          <cell r="AM191" t="str">
            <v xml:space="preserve">in/s      </v>
          </cell>
        </row>
        <row r="192">
          <cell r="AM192" t="str">
            <v xml:space="preserve">inH2O     </v>
          </cell>
        </row>
        <row r="193">
          <cell r="AM193" t="str">
            <v xml:space="preserve">inHg      </v>
          </cell>
        </row>
        <row r="194">
          <cell r="AM194" t="str">
            <v xml:space="preserve">in²       </v>
          </cell>
        </row>
        <row r="195">
          <cell r="AM195" t="str">
            <v xml:space="preserve">in²/s     </v>
          </cell>
        </row>
        <row r="196">
          <cell r="AM196" t="str">
            <v xml:space="preserve">in³       </v>
          </cell>
        </row>
        <row r="197">
          <cell r="AM197" t="str">
            <v xml:space="preserve">in³/d     </v>
          </cell>
        </row>
        <row r="198">
          <cell r="AM198" t="str">
            <v xml:space="preserve">in³/h     </v>
          </cell>
        </row>
        <row r="199">
          <cell r="AM199" t="str">
            <v xml:space="preserve">in³/min   </v>
          </cell>
        </row>
        <row r="200">
          <cell r="AM200" t="str">
            <v xml:space="preserve">in³/s     </v>
          </cell>
        </row>
        <row r="201">
          <cell r="AM201" t="str">
            <v xml:space="preserve">kHz       </v>
          </cell>
        </row>
        <row r="202">
          <cell r="AM202" t="str">
            <v xml:space="preserve">kJ/kg     </v>
          </cell>
        </row>
        <row r="203">
          <cell r="AM203" t="str">
            <v xml:space="preserve">kKg/h     </v>
          </cell>
        </row>
        <row r="204">
          <cell r="AM204" t="str">
            <v xml:space="preserve">kOhm/ft   </v>
          </cell>
        </row>
        <row r="205">
          <cell r="AM205" t="str">
            <v xml:space="preserve">kOhm/km   </v>
          </cell>
        </row>
        <row r="206">
          <cell r="AM206" t="str">
            <v xml:space="preserve">kOhm/m    </v>
          </cell>
        </row>
        <row r="207">
          <cell r="AM207" t="str">
            <v xml:space="preserve">kPa       </v>
          </cell>
        </row>
        <row r="208">
          <cell r="AM208" t="str">
            <v xml:space="preserve">kV        </v>
          </cell>
        </row>
        <row r="209">
          <cell r="AM209" t="str">
            <v xml:space="preserve">kVA       </v>
          </cell>
        </row>
        <row r="210">
          <cell r="AM210" t="str">
            <v xml:space="preserve">kVAr      </v>
          </cell>
        </row>
        <row r="211">
          <cell r="AM211" t="str">
            <v xml:space="preserve">kW        </v>
          </cell>
        </row>
        <row r="212">
          <cell r="AM212" t="str">
            <v>kcal IT/kg</v>
          </cell>
        </row>
        <row r="213">
          <cell r="AM213" t="str">
            <v xml:space="preserve">kcal M/kg </v>
          </cell>
        </row>
        <row r="214">
          <cell r="AM214" t="str">
            <v>kcal M/kgK</v>
          </cell>
        </row>
        <row r="215">
          <cell r="AM215" t="str">
            <v>kcal th/kg</v>
          </cell>
        </row>
        <row r="216">
          <cell r="AM216" t="str">
            <v xml:space="preserve">kcal15/kg </v>
          </cell>
        </row>
        <row r="217">
          <cell r="AM217" t="str">
            <v>kcal15/kgK</v>
          </cell>
        </row>
        <row r="218">
          <cell r="AM218" t="str">
            <v xml:space="preserve">kcal20/kg </v>
          </cell>
        </row>
        <row r="219">
          <cell r="AM219" t="str">
            <v>kcal20/kgK</v>
          </cell>
        </row>
        <row r="220">
          <cell r="AM220" t="str">
            <v>kcalIT/kgK</v>
          </cell>
        </row>
        <row r="221">
          <cell r="AM221" t="str">
            <v>kcalth/kgK</v>
          </cell>
        </row>
        <row r="222">
          <cell r="AM222" t="str">
            <v xml:space="preserve">kft³/d    </v>
          </cell>
        </row>
        <row r="223">
          <cell r="AM223" t="str">
            <v xml:space="preserve">kft³/h    </v>
          </cell>
        </row>
        <row r="224">
          <cell r="AM224" t="str">
            <v xml:space="preserve">kft³/min  </v>
          </cell>
        </row>
        <row r="225">
          <cell r="AM225" t="str">
            <v xml:space="preserve">kg        </v>
          </cell>
        </row>
        <row r="226">
          <cell r="AM226" t="str">
            <v xml:space="preserve">kg/d      </v>
          </cell>
        </row>
        <row r="227">
          <cell r="AM227" t="str">
            <v xml:space="preserve">kg/h      </v>
          </cell>
        </row>
        <row r="228">
          <cell r="AM228" t="str">
            <v xml:space="preserve">kg/km     </v>
          </cell>
        </row>
        <row r="229">
          <cell r="AM229" t="str">
            <v xml:space="preserve">kg/l      </v>
          </cell>
        </row>
        <row r="230">
          <cell r="AM230" t="str">
            <v xml:space="preserve">kg/m      </v>
          </cell>
        </row>
        <row r="231">
          <cell r="AM231" t="str">
            <v xml:space="preserve">kg/min    </v>
          </cell>
        </row>
        <row r="232">
          <cell r="AM232" t="str">
            <v xml:space="preserve">kg/m³     </v>
          </cell>
        </row>
        <row r="233">
          <cell r="AM233" t="str">
            <v xml:space="preserve">kg/s      </v>
          </cell>
        </row>
        <row r="234">
          <cell r="AM234" t="str">
            <v xml:space="preserve">kgf       </v>
          </cell>
        </row>
        <row r="235">
          <cell r="AM235" t="str">
            <v xml:space="preserve">kgf/cm²   </v>
          </cell>
        </row>
        <row r="236">
          <cell r="AM236" t="str">
            <v xml:space="preserve">kgf/mm²   </v>
          </cell>
        </row>
        <row r="237">
          <cell r="AM237" t="str">
            <v xml:space="preserve">kgf/m²    </v>
          </cell>
        </row>
        <row r="238">
          <cell r="AM238" t="str">
            <v xml:space="preserve">kj/(kg·K) </v>
          </cell>
        </row>
        <row r="239">
          <cell r="AM239" t="str">
            <v xml:space="preserve">klb/d     </v>
          </cell>
        </row>
        <row r="240">
          <cell r="AM240" t="str">
            <v xml:space="preserve">klb/h     </v>
          </cell>
        </row>
        <row r="241">
          <cell r="AM241" t="str">
            <v xml:space="preserve">km        </v>
          </cell>
        </row>
        <row r="242">
          <cell r="AM242" t="str">
            <v xml:space="preserve">km/h      </v>
          </cell>
        </row>
        <row r="243">
          <cell r="AM243" t="str">
            <v xml:space="preserve">km²       </v>
          </cell>
        </row>
        <row r="244">
          <cell r="AM244" t="str">
            <v xml:space="preserve">l/d       </v>
          </cell>
        </row>
        <row r="245">
          <cell r="AM245" t="str">
            <v xml:space="preserve">l/h       </v>
          </cell>
        </row>
        <row r="246">
          <cell r="AM246" t="str">
            <v xml:space="preserve">l/min     </v>
          </cell>
        </row>
        <row r="247">
          <cell r="AM247" t="str">
            <v xml:space="preserve">l/s       </v>
          </cell>
        </row>
        <row r="248">
          <cell r="AM248" t="str">
            <v xml:space="preserve">lb        </v>
          </cell>
        </row>
        <row r="249">
          <cell r="AM249" t="str">
            <v xml:space="preserve">lb/1000ft </v>
          </cell>
        </row>
        <row r="250">
          <cell r="AM250" t="str">
            <v xml:space="preserve">lb/UK gal </v>
          </cell>
        </row>
        <row r="251">
          <cell r="AM251" t="str">
            <v xml:space="preserve">lb/US gal </v>
          </cell>
        </row>
        <row r="252">
          <cell r="AM252" t="str">
            <v xml:space="preserve">lb/d      </v>
          </cell>
        </row>
        <row r="253">
          <cell r="AM253" t="str">
            <v xml:space="preserve">lb/ft     </v>
          </cell>
        </row>
        <row r="254">
          <cell r="AM254" t="str">
            <v xml:space="preserve">lb/ft³    </v>
          </cell>
        </row>
        <row r="255">
          <cell r="AM255" t="str">
            <v xml:space="preserve">lb/ft·h   </v>
          </cell>
        </row>
        <row r="256">
          <cell r="AM256" t="str">
            <v xml:space="preserve">lb/ft·s   </v>
          </cell>
        </row>
        <row r="257">
          <cell r="AM257" t="str">
            <v xml:space="preserve">lb/h      </v>
          </cell>
        </row>
        <row r="258">
          <cell r="AM258" t="str">
            <v xml:space="preserve">lb/in³    </v>
          </cell>
        </row>
        <row r="259">
          <cell r="AM259" t="str">
            <v xml:space="preserve">lb/mile   </v>
          </cell>
        </row>
        <row r="260">
          <cell r="AM260" t="str">
            <v xml:space="preserve">lb/min    </v>
          </cell>
        </row>
        <row r="261">
          <cell r="AM261" t="str">
            <v xml:space="preserve">lb/s      </v>
          </cell>
        </row>
        <row r="262">
          <cell r="AM262" t="str">
            <v xml:space="preserve">lb/yd     </v>
          </cell>
        </row>
        <row r="263">
          <cell r="AM263" t="str">
            <v xml:space="preserve">lb/yd³    </v>
          </cell>
        </row>
        <row r="264">
          <cell r="AM264" t="str">
            <v xml:space="preserve">lbf       </v>
          </cell>
        </row>
        <row r="265">
          <cell r="AM265" t="str">
            <v xml:space="preserve">lbf/ft²   </v>
          </cell>
        </row>
        <row r="266">
          <cell r="AM266" t="str">
            <v xml:space="preserve">lbf/in²   </v>
          </cell>
        </row>
        <row r="267">
          <cell r="AM267" t="str">
            <v xml:space="preserve">lbf·s/ft² </v>
          </cell>
        </row>
        <row r="268">
          <cell r="AM268" t="str">
            <v xml:space="preserve">lbf·s/in² </v>
          </cell>
        </row>
        <row r="269">
          <cell r="AM269" t="str">
            <v xml:space="preserve">lm        </v>
          </cell>
        </row>
        <row r="270">
          <cell r="AM270" t="str">
            <v xml:space="preserve">lot       </v>
          </cell>
        </row>
        <row r="271">
          <cell r="AM271" t="str">
            <v xml:space="preserve">m         </v>
          </cell>
        </row>
        <row r="272">
          <cell r="AM272" t="str">
            <v xml:space="preserve">m/s       </v>
          </cell>
        </row>
        <row r="273">
          <cell r="AM273" t="str">
            <v xml:space="preserve">mA        </v>
          </cell>
        </row>
        <row r="274">
          <cell r="AM274" t="str">
            <v xml:space="preserve">mCi       </v>
          </cell>
        </row>
        <row r="275">
          <cell r="AM275" t="str">
            <v xml:space="preserve">mF/ft     </v>
          </cell>
        </row>
        <row r="276">
          <cell r="AM276" t="str">
            <v xml:space="preserve">mF/km     </v>
          </cell>
        </row>
        <row r="277">
          <cell r="AM277" t="str">
            <v xml:space="preserve">mF/m      </v>
          </cell>
        </row>
        <row r="278">
          <cell r="AM278" t="str">
            <v xml:space="preserve">mH        </v>
          </cell>
        </row>
        <row r="279">
          <cell r="AM279" t="str">
            <v xml:space="preserve">mH/Km     </v>
          </cell>
        </row>
        <row r="280">
          <cell r="AM280" t="str">
            <v xml:space="preserve">mH/ft     </v>
          </cell>
        </row>
        <row r="281">
          <cell r="AM281" t="str">
            <v xml:space="preserve">mH/ohm    </v>
          </cell>
        </row>
        <row r="282">
          <cell r="AM282" t="str">
            <v xml:space="preserve">mH2O 4ºC  </v>
          </cell>
        </row>
        <row r="283">
          <cell r="AM283" t="str">
            <v xml:space="preserve">mPa·s     </v>
          </cell>
        </row>
        <row r="284">
          <cell r="AM284" t="str">
            <v xml:space="preserve">mS/cm     </v>
          </cell>
        </row>
        <row r="285">
          <cell r="AM285" t="str">
            <v xml:space="preserve">mV        </v>
          </cell>
        </row>
        <row r="286">
          <cell r="AM286" t="str">
            <v xml:space="preserve">mV/in/s   </v>
          </cell>
        </row>
        <row r="287">
          <cell r="AM287" t="str">
            <v xml:space="preserve">mV/mil    </v>
          </cell>
        </row>
        <row r="288">
          <cell r="AM288" t="str">
            <v xml:space="preserve">mW        </v>
          </cell>
        </row>
        <row r="289">
          <cell r="AM289" t="str">
            <v xml:space="preserve">mbar      </v>
          </cell>
        </row>
        <row r="290">
          <cell r="AM290" t="str">
            <v xml:space="preserve">mg        </v>
          </cell>
        </row>
        <row r="291">
          <cell r="AM291" t="str">
            <v xml:space="preserve">mg/d      </v>
          </cell>
        </row>
        <row r="292">
          <cell r="AM292" t="str">
            <v xml:space="preserve">mg/h      </v>
          </cell>
        </row>
        <row r="293">
          <cell r="AM293" t="str">
            <v xml:space="preserve">mg/l      </v>
          </cell>
        </row>
        <row r="294">
          <cell r="AM294" t="str">
            <v xml:space="preserve">mg/min    </v>
          </cell>
        </row>
        <row r="295">
          <cell r="AM295" t="str">
            <v xml:space="preserve">mg/m³     </v>
          </cell>
        </row>
        <row r="296">
          <cell r="AM296" t="str">
            <v xml:space="preserve">mg/s      </v>
          </cell>
        </row>
        <row r="297">
          <cell r="AM297" t="str">
            <v xml:space="preserve">mho/cm    </v>
          </cell>
        </row>
        <row r="298">
          <cell r="AM298" t="str">
            <v xml:space="preserve">micron    </v>
          </cell>
        </row>
        <row r="299">
          <cell r="AM299" t="str">
            <v xml:space="preserve">mile      </v>
          </cell>
        </row>
        <row r="300">
          <cell r="AM300" t="str">
            <v xml:space="preserve">mile²     </v>
          </cell>
        </row>
        <row r="301">
          <cell r="AM301" t="str">
            <v xml:space="preserve">min       </v>
          </cell>
        </row>
        <row r="302">
          <cell r="AM302" t="str">
            <v xml:space="preserve">ml/h      </v>
          </cell>
        </row>
        <row r="303">
          <cell r="AM303" t="str">
            <v xml:space="preserve">mm        </v>
          </cell>
        </row>
        <row r="304">
          <cell r="AM304" t="str">
            <v xml:space="preserve">mm/s      </v>
          </cell>
        </row>
        <row r="305">
          <cell r="AM305" t="str">
            <v xml:space="preserve">mm/s²     </v>
          </cell>
        </row>
        <row r="306">
          <cell r="AM306" t="str">
            <v xml:space="preserve">mmH2O 4ºC </v>
          </cell>
        </row>
        <row r="307">
          <cell r="AM307" t="str">
            <v xml:space="preserve">mmHg 0ºC  </v>
          </cell>
        </row>
        <row r="308">
          <cell r="AM308" t="str">
            <v xml:space="preserve">mmho/cm   </v>
          </cell>
        </row>
        <row r="309">
          <cell r="AM309" t="str">
            <v xml:space="preserve">mm²       </v>
          </cell>
        </row>
        <row r="310">
          <cell r="AM310" t="str">
            <v xml:space="preserve">mm²/s     </v>
          </cell>
        </row>
        <row r="311">
          <cell r="AM311" t="str">
            <v xml:space="preserve">m²        </v>
          </cell>
        </row>
        <row r="312">
          <cell r="AM312" t="str">
            <v xml:space="preserve">m²/s      </v>
          </cell>
        </row>
        <row r="313">
          <cell r="AM313" t="str">
            <v xml:space="preserve">m³        </v>
          </cell>
        </row>
        <row r="314">
          <cell r="AM314" t="str">
            <v xml:space="preserve">m³/d      </v>
          </cell>
        </row>
        <row r="315">
          <cell r="AM315" t="str">
            <v xml:space="preserve">m³/h      </v>
          </cell>
        </row>
        <row r="316">
          <cell r="AM316" t="str">
            <v xml:space="preserve">m³/min    </v>
          </cell>
        </row>
        <row r="317">
          <cell r="AM317" t="str">
            <v xml:space="preserve">m³/s      </v>
          </cell>
        </row>
        <row r="318">
          <cell r="AM318" t="str">
            <v xml:space="preserve">nF        </v>
          </cell>
        </row>
        <row r="319">
          <cell r="AM319" t="str">
            <v xml:space="preserve">nF/ft     </v>
          </cell>
        </row>
        <row r="320">
          <cell r="AM320" t="str">
            <v xml:space="preserve">nF/km     </v>
          </cell>
        </row>
        <row r="321">
          <cell r="AM321" t="str">
            <v xml:space="preserve">nF/m      </v>
          </cell>
        </row>
        <row r="322">
          <cell r="AM322" t="str">
            <v xml:space="preserve">nH/km     </v>
          </cell>
        </row>
        <row r="323">
          <cell r="AM323" t="str">
            <v xml:space="preserve">ohm       </v>
          </cell>
        </row>
        <row r="324">
          <cell r="AM324" t="str">
            <v xml:space="preserve">oz        </v>
          </cell>
        </row>
        <row r="325">
          <cell r="AM325" t="str">
            <v xml:space="preserve">oz/UK gal </v>
          </cell>
        </row>
        <row r="326">
          <cell r="AM326" t="str">
            <v xml:space="preserve">oz/US gal </v>
          </cell>
        </row>
        <row r="327">
          <cell r="AM327" t="str">
            <v xml:space="preserve">oz/in²    </v>
          </cell>
        </row>
        <row r="328">
          <cell r="AM328" t="str">
            <v xml:space="preserve">oz/in³    </v>
          </cell>
        </row>
        <row r="329">
          <cell r="AM329" t="str">
            <v xml:space="preserve">pF        </v>
          </cell>
        </row>
        <row r="330">
          <cell r="AM330" t="str">
            <v xml:space="preserve">pF/ft     </v>
          </cell>
        </row>
        <row r="331">
          <cell r="AM331" t="str">
            <v xml:space="preserve">pF/km     </v>
          </cell>
        </row>
        <row r="332">
          <cell r="AM332" t="str">
            <v xml:space="preserve">pF/m      </v>
          </cell>
        </row>
        <row r="333">
          <cell r="AM333" t="str">
            <v xml:space="preserve">pH        </v>
          </cell>
        </row>
        <row r="334">
          <cell r="AM334" t="str">
            <v xml:space="preserve">pH/ft     </v>
          </cell>
        </row>
        <row r="335">
          <cell r="AM335" t="str">
            <v xml:space="preserve">pcs       </v>
          </cell>
        </row>
        <row r="336">
          <cell r="AM336" t="str">
            <v xml:space="preserve">psi       </v>
          </cell>
        </row>
        <row r="337">
          <cell r="AM337" t="str">
            <v>puls/USgal</v>
          </cell>
        </row>
        <row r="338">
          <cell r="AM338" t="str">
            <v xml:space="preserve">pulse     </v>
          </cell>
        </row>
        <row r="339">
          <cell r="AM339" t="str">
            <v xml:space="preserve">pulse/L   </v>
          </cell>
        </row>
        <row r="340">
          <cell r="AM340" t="str">
            <v xml:space="preserve">pulse/d   </v>
          </cell>
        </row>
        <row r="341">
          <cell r="AM341" t="str">
            <v xml:space="preserve">pulse/ft³ </v>
          </cell>
        </row>
        <row r="342">
          <cell r="AM342" t="str">
            <v xml:space="preserve">pulse/h   </v>
          </cell>
        </row>
        <row r="343">
          <cell r="AM343" t="str">
            <v xml:space="preserve">pulse/min </v>
          </cell>
        </row>
        <row r="344">
          <cell r="AM344" t="str">
            <v xml:space="preserve">pulse/m³  </v>
          </cell>
        </row>
        <row r="345">
          <cell r="AM345" t="str">
            <v xml:space="preserve">pulse/s   </v>
          </cell>
        </row>
        <row r="346">
          <cell r="AM346" t="str">
            <v xml:space="preserve">rad       </v>
          </cell>
        </row>
        <row r="347">
          <cell r="AM347" t="str">
            <v xml:space="preserve">rpm       </v>
          </cell>
        </row>
        <row r="348">
          <cell r="AM348" t="str">
            <v xml:space="preserve">s         </v>
          </cell>
        </row>
        <row r="349">
          <cell r="AM349" t="str">
            <v xml:space="preserve">slug/ft³  </v>
          </cell>
        </row>
        <row r="350">
          <cell r="AM350" t="str">
            <v xml:space="preserve">slug/ft·s </v>
          </cell>
        </row>
        <row r="351">
          <cell r="AM351" t="str">
            <v xml:space="preserve">t         </v>
          </cell>
        </row>
        <row r="352">
          <cell r="AM352" t="str">
            <v xml:space="preserve">t/d       </v>
          </cell>
        </row>
        <row r="353">
          <cell r="AM353" t="str">
            <v xml:space="preserve">t/h       </v>
          </cell>
        </row>
        <row r="354">
          <cell r="AM354" t="str">
            <v xml:space="preserve">t/min     </v>
          </cell>
        </row>
        <row r="355">
          <cell r="AM355" t="str">
            <v xml:space="preserve">t/s       </v>
          </cell>
        </row>
        <row r="356">
          <cell r="AM356" t="str">
            <v xml:space="preserve">tonl/yd³  </v>
          </cell>
        </row>
        <row r="357">
          <cell r="AM357" t="str">
            <v xml:space="preserve">tons/yd³  </v>
          </cell>
        </row>
        <row r="358">
          <cell r="AM358" t="str">
            <v xml:space="preserve">yd        </v>
          </cell>
        </row>
        <row r="359">
          <cell r="AM359" t="str">
            <v xml:space="preserve">yd²       </v>
          </cell>
        </row>
        <row r="360">
          <cell r="AM360" t="str">
            <v xml:space="preserve">µF        </v>
          </cell>
        </row>
        <row r="361">
          <cell r="AM361" t="str">
            <v xml:space="preserve">µF/ft     </v>
          </cell>
        </row>
        <row r="362">
          <cell r="AM362" t="str">
            <v xml:space="preserve">µF/km     </v>
          </cell>
        </row>
        <row r="363">
          <cell r="AM363" t="str">
            <v xml:space="preserve">µF/m      </v>
          </cell>
        </row>
        <row r="364">
          <cell r="AM364" t="str">
            <v xml:space="preserve">µH        </v>
          </cell>
        </row>
        <row r="365">
          <cell r="AM365" t="str">
            <v xml:space="preserve">µH/ft     </v>
          </cell>
        </row>
        <row r="366">
          <cell r="AM366" t="str">
            <v xml:space="preserve">µH/km     </v>
          </cell>
        </row>
        <row r="367">
          <cell r="AM367" t="str">
            <v xml:space="preserve">µH/m      </v>
          </cell>
        </row>
        <row r="368">
          <cell r="AM368" t="str">
            <v xml:space="preserve">µS        </v>
          </cell>
        </row>
        <row r="369">
          <cell r="AM369" t="str">
            <v xml:space="preserve">µS/cm     </v>
          </cell>
        </row>
        <row r="370">
          <cell r="AM370" t="str">
            <v xml:space="preserve">µm        </v>
          </cell>
        </row>
        <row r="371">
          <cell r="AM371" t="str">
            <v xml:space="preserve">µmho/cm   </v>
          </cell>
        </row>
        <row r="372">
          <cell r="AM372" t="str">
            <v xml:space="preserve">µmho/in   </v>
          </cell>
        </row>
        <row r="373">
          <cell r="AM373" t="str">
            <v xml:space="preserve">º         </v>
          </cell>
        </row>
        <row r="374">
          <cell r="AM374" t="str">
            <v xml:space="preserve">ºC        </v>
          </cell>
        </row>
        <row r="375">
          <cell r="AM375" t="str">
            <v xml:space="preserve">ºC/min    </v>
          </cell>
        </row>
        <row r="376">
          <cell r="AM376" t="str">
            <v xml:space="preserve">ºF        </v>
          </cell>
        </row>
        <row r="377">
          <cell r="AM377" t="str">
            <v xml:space="preserve">ºF/min    </v>
          </cell>
        </row>
        <row r="378">
          <cell r="AM378" t="str">
            <v xml:space="preserve">ºR        </v>
          </cell>
        </row>
      </sheetData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brev-1"/>
      <sheetName val="abbrev-2"/>
      <sheetName val="ISBL"/>
      <sheetName val="OSBL"/>
      <sheetName val="TLOOP"/>
      <sheetName val="내역"/>
      <sheetName val="PumpSpec"/>
      <sheetName val="영업소실적"/>
      <sheetName val="대비"/>
      <sheetName val="eq_data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Database"/>
      <sheetName val="Connections"/>
      <sheetName val="DWTables"/>
      <sheetName val="Notes"/>
      <sheetName val="Calc"/>
      <sheetName val="CmpName"/>
      <sheetName val="Template"/>
      <sheetName val="Functions"/>
      <sheetName val="Y-MOV2011"/>
      <sheetName val="영업소실적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 V Separator"/>
      <sheetName val="Sheet1"/>
      <sheetName val="DWTables"/>
      <sheetName val="Connections"/>
    </sheetNames>
    <sheetDataSet>
      <sheetData sheetId="0">
        <row r="1">
          <cell r="A1" t="str">
            <v>LIQUID  / VAPOR SEPARATOR  DATA SHEET</v>
          </cell>
        </row>
        <row r="2">
          <cell r="A2" t="str">
            <v>CLIENT :</v>
          </cell>
          <cell r="D2" t="str">
            <v>SK Corporation</v>
          </cell>
          <cell r="O2" t="str">
            <v>ITEM NO. :</v>
          </cell>
          <cell r="R2" t="str">
            <v>XX-XXXXX</v>
          </cell>
        </row>
        <row r="3">
          <cell r="A3" t="str">
            <v>UNIT:</v>
          </cell>
          <cell r="D3" t="str">
            <v>Unit Name</v>
          </cell>
          <cell r="O3" t="str">
            <v>LOCATION :</v>
          </cell>
          <cell r="R3" t="str">
            <v>Ulsan, Korea</v>
          </cell>
        </row>
        <row r="4">
          <cell r="A4">
            <v>1</v>
          </cell>
          <cell r="B4" t="str">
            <v>EQUIPMENT NAME:</v>
          </cell>
          <cell r="G4" t="str">
            <v>Equipment Name</v>
          </cell>
          <cell r="V4" t="str">
            <v>NUMBER REQUIRED:</v>
          </cell>
        </row>
        <row r="5">
          <cell r="A5">
            <v>2</v>
          </cell>
          <cell r="B5" t="str">
            <v xml:space="preserve">NOTE : </v>
          </cell>
          <cell r="F5" t="str">
            <v>INDICATES INFORMATION TO BE COMPLETED BY PURCHASER</v>
          </cell>
          <cell r="U5" t="str">
            <v>BY MANUFACTURER</v>
          </cell>
          <cell r="Z5" t="str">
            <v>BY EITHER</v>
          </cell>
        </row>
        <row r="6">
          <cell r="A6">
            <v>3</v>
          </cell>
          <cell r="B6" t="str">
            <v>MANUFACTURER:</v>
          </cell>
          <cell r="O6" t="str">
            <v>MODEL NO. :</v>
          </cell>
          <cell r="V6" t="str">
            <v>SERIAL NO. :</v>
          </cell>
        </row>
        <row r="7">
          <cell r="A7">
            <v>4</v>
          </cell>
          <cell r="B7" t="str">
            <v>GENERAL</v>
          </cell>
          <cell r="Q7" t="str">
            <v>CONNECTIONS</v>
          </cell>
        </row>
        <row r="8">
          <cell r="A8">
            <v>5</v>
          </cell>
          <cell r="V8" t="str">
            <v>NO.</v>
          </cell>
          <cell r="X8" t="str">
            <v>SIZE</v>
          </cell>
          <cell r="Y8" t="str">
            <v>in</v>
          </cell>
          <cell r="Z8" t="str">
            <v>RATING</v>
          </cell>
          <cell r="AB8" t="str">
            <v>FACING</v>
          </cell>
        </row>
        <row r="9">
          <cell r="A9">
            <v>6</v>
          </cell>
          <cell r="B9" t="str">
            <v xml:space="preserve"> TYPE - </v>
          </cell>
          <cell r="E9" t="str">
            <v>CENTRIFUGAL</v>
          </cell>
          <cell r="I9" t="str">
            <v>GRAVITY SETTLING</v>
          </cell>
          <cell r="Q9" t="str">
            <v xml:space="preserve"> INLET</v>
          </cell>
        </row>
        <row r="10">
          <cell r="A10">
            <v>7</v>
          </cell>
          <cell r="E10" t="str">
            <v>VANE</v>
          </cell>
          <cell r="I10" t="str">
            <v xml:space="preserve"> OTHER</v>
          </cell>
          <cell r="Q10" t="str">
            <v xml:space="preserve"> VAPOR  OUTLET</v>
          </cell>
        </row>
        <row r="11">
          <cell r="A11">
            <v>8</v>
          </cell>
          <cell r="B11" t="str">
            <v xml:space="preserve"> ORIENTATION -</v>
          </cell>
          <cell r="G11" t="str">
            <v>HORIZONTAL</v>
          </cell>
          <cell r="L11" t="str">
            <v xml:space="preserve"> VERTICAL UPFLOW</v>
          </cell>
          <cell r="Q11" t="str">
            <v xml:space="preserve"> VENT</v>
          </cell>
        </row>
        <row r="12">
          <cell r="A12">
            <v>9</v>
          </cell>
          <cell r="G12" t="str">
            <v>IN-LINE</v>
          </cell>
          <cell r="L12" t="str">
            <v xml:space="preserve"> VERTICAL DOWNFLOW</v>
          </cell>
          <cell r="Q12" t="str">
            <v xml:space="preserve"> LIQUID OUTLET</v>
          </cell>
        </row>
        <row r="13">
          <cell r="A13">
            <v>10</v>
          </cell>
          <cell r="G13" t="str">
            <v>OTHER</v>
          </cell>
          <cell r="Q13" t="str">
            <v xml:space="preserve"> MANWAY</v>
          </cell>
        </row>
        <row r="14">
          <cell r="A14">
            <v>11</v>
          </cell>
          <cell r="Q14" t="str">
            <v xml:space="preserve"> RELIEF VALVE</v>
          </cell>
        </row>
        <row r="15">
          <cell r="A15">
            <v>12</v>
          </cell>
          <cell r="C15" t="str">
            <v>OVERALL  DIMENSIONS - DIAM :</v>
          </cell>
          <cell r="K15" t="str">
            <v>mm</v>
          </cell>
          <cell r="M15" t="str">
            <v>HT:</v>
          </cell>
          <cell r="P15" t="str">
            <v>mm</v>
          </cell>
          <cell r="Q15" t="str">
            <v xml:space="preserve"> LEVEL GUAGE</v>
          </cell>
        </row>
        <row r="16">
          <cell r="A16">
            <v>13</v>
          </cell>
          <cell r="B16" t="str">
            <v xml:space="preserve"> SHELL SUPPORT</v>
          </cell>
          <cell r="H16" t="str">
            <v xml:space="preserve"> LEGS</v>
          </cell>
          <cell r="L16" t="str">
            <v xml:space="preserve"> LUGS</v>
          </cell>
          <cell r="Q16" t="str">
            <v xml:space="preserve"> VACUUM BREAKER</v>
          </cell>
        </row>
        <row r="17">
          <cell r="A17">
            <v>14</v>
          </cell>
          <cell r="H17" t="str">
            <v>SKIRT</v>
          </cell>
          <cell r="L17" t="str">
            <v xml:space="preserve"> OTHER</v>
          </cell>
          <cell r="Q17" t="str">
            <v xml:space="preserve"> STEAM JACKET INLET</v>
          </cell>
        </row>
        <row r="18">
          <cell r="A18">
            <v>15</v>
          </cell>
          <cell r="B18" t="str">
            <v xml:space="preserve"> DAVIT REQ'D TO LIFT COVER</v>
          </cell>
          <cell r="J18" t="str">
            <v xml:space="preserve"> YES</v>
          </cell>
          <cell r="M18" t="str">
            <v>NO</v>
          </cell>
          <cell r="Q18" t="str">
            <v xml:space="preserve"> STEAM JACKET DRAIN</v>
          </cell>
        </row>
        <row r="19">
          <cell r="A19">
            <v>16</v>
          </cell>
          <cell r="B19" t="str">
            <v xml:space="preserve"> WEIGHT - EMPTY</v>
          </cell>
          <cell r="I19" t="str">
            <v>kg</v>
          </cell>
          <cell r="J19" t="str">
            <v>FLOODED</v>
          </cell>
          <cell r="P19" t="str">
            <v>kg</v>
          </cell>
        </row>
        <row r="20">
          <cell r="A20">
            <v>17</v>
          </cell>
          <cell r="B20" t="str">
            <v>OPERATING CONDITIONS</v>
          </cell>
        </row>
        <row r="21">
          <cell r="A21">
            <v>18</v>
          </cell>
          <cell r="C21" t="str">
            <v xml:space="preserve"> FLUID -</v>
          </cell>
        </row>
        <row r="22">
          <cell r="A22">
            <v>19</v>
          </cell>
          <cell r="C22" t="str">
            <v xml:space="preserve"> SEPARATOR DUTY -</v>
          </cell>
          <cell r="Q22" t="str">
            <v>SEPARATOR ELEMENTS</v>
          </cell>
        </row>
        <row r="23">
          <cell r="A23">
            <v>20</v>
          </cell>
          <cell r="R23" t="str">
            <v>MANUFACTURER</v>
          </cell>
        </row>
        <row r="24">
          <cell r="A24">
            <v>21</v>
          </cell>
          <cell r="R24" t="str">
            <v>MODEL No(s).</v>
          </cell>
        </row>
        <row r="25">
          <cell r="A25">
            <v>22</v>
          </cell>
          <cell r="Q25" t="str">
            <v xml:space="preserve">  TYPE(S)</v>
          </cell>
          <cell r="T25" t="str">
            <v>INLET BAFFLE</v>
          </cell>
          <cell r="X25" t="str">
            <v>AGGLOMERATOR</v>
          </cell>
        </row>
        <row r="26">
          <cell r="A26">
            <v>23</v>
          </cell>
          <cell r="K26" t="str">
            <v>NORMAL</v>
          </cell>
          <cell r="N26" t="str">
            <v>RATED</v>
          </cell>
          <cell r="T26" t="str">
            <v>VANE</v>
          </cell>
          <cell r="X26" t="str">
            <v>MIST EXTRACTOR</v>
          </cell>
        </row>
        <row r="27">
          <cell r="A27">
            <v>24</v>
          </cell>
          <cell r="C27" t="str">
            <v>MIX FLOW RATE</v>
          </cell>
          <cell r="I27" t="str">
            <v>m³/h</v>
          </cell>
          <cell r="T27" t="str">
            <v>OTHER</v>
          </cell>
        </row>
        <row r="28">
          <cell r="A28">
            <v>25</v>
          </cell>
          <cell r="C28" t="str">
            <v>OPERATING PRESSURE</v>
          </cell>
          <cell r="I28" t="str">
            <v>kg/cm²g</v>
          </cell>
          <cell r="R28" t="str">
            <v>DESCRIBE SEPARATION PATH THROUGH ELEMENT(S)</v>
          </cell>
        </row>
        <row r="29">
          <cell r="A29">
            <v>26</v>
          </cell>
          <cell r="C29" t="str">
            <v>OPERATING TEMPERATURE</v>
          </cell>
          <cell r="I29" t="str">
            <v>°C</v>
          </cell>
        </row>
        <row r="30">
          <cell r="A30">
            <v>27</v>
          </cell>
          <cell r="C30" t="str">
            <v>MAX ALLOWABLE CLOGGED PRESSURE DROP *</v>
          </cell>
          <cell r="O30" t="str">
            <v>kg/cm²</v>
          </cell>
        </row>
        <row r="31">
          <cell r="A31">
            <v>28</v>
          </cell>
          <cell r="C31" t="str">
            <v>ENTRAINMENT RATE @ NORM FLOW RATE</v>
          </cell>
          <cell r="O31" t="str">
            <v>kg/h</v>
          </cell>
        </row>
        <row r="32">
          <cell r="A32">
            <v>29</v>
          </cell>
          <cell r="C32" t="str">
            <v>MEAN LIQUID PARTICLE SIZE</v>
          </cell>
          <cell r="O32" t="str">
            <v>mm</v>
          </cell>
        </row>
        <row r="33">
          <cell r="A33">
            <v>30</v>
          </cell>
          <cell r="C33" t="str">
            <v>LIQUID REMOVAL RATE</v>
          </cell>
          <cell r="O33" t="str">
            <v>m³/h</v>
          </cell>
          <cell r="R33" t="str">
            <v>ESTIMATED SERVICING INTERVAL:</v>
          </cell>
        </row>
        <row r="34">
          <cell r="A34">
            <v>31</v>
          </cell>
          <cell r="C34" t="str">
            <v>MIN LIQUID REMOVAL EFFICIENCY</v>
          </cell>
          <cell r="L34" t="str">
            <v>%@</v>
          </cell>
          <cell r="O34" t="str">
            <v>mm</v>
          </cell>
          <cell r="Q34" t="str">
            <v>STEAM JACKET</v>
          </cell>
        </row>
        <row r="35">
          <cell r="A35">
            <v>32</v>
          </cell>
          <cell r="B35" t="str">
            <v>LIQUID / VAPOR COMPOSITION</v>
          </cell>
          <cell r="R35" t="str">
            <v>TYPE</v>
          </cell>
        </row>
        <row r="36">
          <cell r="A36">
            <v>33</v>
          </cell>
          <cell r="B36" t="str">
            <v>COMPONENT</v>
          </cell>
          <cell r="K36" t="str">
            <v>VISC.</v>
          </cell>
          <cell r="M36" t="str">
            <v>DENSITY</v>
          </cell>
          <cell r="O36" t="str">
            <v>TEMP</v>
          </cell>
          <cell r="R36" t="str">
            <v>STEAM FLOW</v>
          </cell>
          <cell r="AB36" t="str">
            <v xml:space="preserve">kg/h </v>
          </cell>
        </row>
        <row r="37">
          <cell r="A37">
            <v>34</v>
          </cell>
          <cell r="I37" t="str">
            <v>WT %</v>
          </cell>
          <cell r="K37" t="str">
            <v>cP</v>
          </cell>
          <cell r="M37" t="str">
            <v>kg/m³</v>
          </cell>
          <cell r="O37" t="str">
            <v xml:space="preserve">°C </v>
          </cell>
          <cell r="R37" t="str">
            <v>OPERATING PRESSURE</v>
          </cell>
          <cell r="AB37" t="str">
            <v>kg/cm²g</v>
          </cell>
        </row>
        <row r="38">
          <cell r="A38">
            <v>35</v>
          </cell>
          <cell r="R38" t="str">
            <v>OPERATING TEMPERATURE</v>
          </cell>
          <cell r="AB38" t="str">
            <v xml:space="preserve">°C </v>
          </cell>
        </row>
        <row r="39">
          <cell r="A39">
            <v>36</v>
          </cell>
          <cell r="R39" t="str">
            <v>DESIGN PRESSURE</v>
          </cell>
          <cell r="AB39" t="str">
            <v>kg/cm²g</v>
          </cell>
        </row>
        <row r="40">
          <cell r="A40">
            <v>37</v>
          </cell>
          <cell r="R40" t="str">
            <v>DESIGN TEMPERATURE</v>
          </cell>
          <cell r="AB40" t="str">
            <v xml:space="preserve">°C </v>
          </cell>
        </row>
        <row r="41">
          <cell r="A41">
            <v>38</v>
          </cell>
          <cell r="Q41" t="str">
            <v>SEPARATOR PRESSURE DROP</v>
          </cell>
        </row>
        <row r="42">
          <cell r="A42">
            <v>39</v>
          </cell>
          <cell r="R42" t="str">
            <v>CLEAN</v>
          </cell>
          <cell r="AB42" t="str">
            <v>kg/cm²</v>
          </cell>
        </row>
        <row r="43">
          <cell r="A43">
            <v>40</v>
          </cell>
          <cell r="B43" t="str">
            <v>MECHANICAL DESIGN</v>
          </cell>
          <cell r="R43" t="str">
            <v>CLEANING REQ'D</v>
          </cell>
          <cell r="AB43" t="str">
            <v>kg/cm²</v>
          </cell>
        </row>
        <row r="44">
          <cell r="A44">
            <v>41</v>
          </cell>
          <cell r="C44" t="str">
            <v>DESIGN PRESSURE</v>
          </cell>
          <cell r="O44" t="str">
            <v>kg/cm²g</v>
          </cell>
          <cell r="R44" t="str">
            <v>COLLAPSE PRESS INSIDE-OUT</v>
          </cell>
          <cell r="AB44" t="str">
            <v>kg/cm²g</v>
          </cell>
        </row>
        <row r="45">
          <cell r="A45">
            <v>42</v>
          </cell>
          <cell r="C45" t="str">
            <v>DESIGN TEMPERATURE</v>
          </cell>
          <cell r="O45" t="str">
            <v xml:space="preserve">°C </v>
          </cell>
          <cell r="R45" t="str">
            <v>COLLAPSE PRESS OUTSIDE-IN</v>
          </cell>
          <cell r="AB45" t="str">
            <v>kg/cm²g</v>
          </cell>
        </row>
        <row r="46">
          <cell r="A46">
            <v>43</v>
          </cell>
          <cell r="C46" t="str">
            <v>MINIMUM DESIGN METAL TEMPERATURE</v>
          </cell>
          <cell r="O46" t="str">
            <v xml:space="preserve">°C </v>
          </cell>
          <cell r="R46" t="str">
            <v xml:space="preserve"> INTERNAL BYPASS VALVE INCL</v>
          </cell>
          <cell r="AA46" t="str">
            <v>YES</v>
          </cell>
          <cell r="AC46" t="str">
            <v>NO</v>
          </cell>
        </row>
        <row r="47">
          <cell r="A47">
            <v>44</v>
          </cell>
          <cell r="B47" t="str">
            <v>MATERIALS of CONSTRUCTION</v>
          </cell>
          <cell r="Q47" t="str">
            <v>TESTS, CODES, SPECIFICATIONS</v>
          </cell>
        </row>
        <row r="48">
          <cell r="A48">
            <v>45</v>
          </cell>
          <cell r="O48" t="str">
            <v>CORR.</v>
          </cell>
          <cell r="R48" t="str">
            <v xml:space="preserve">HYDRO TEST PER ASME SECT VIII </v>
          </cell>
          <cell r="AA48" t="str">
            <v>YES</v>
          </cell>
          <cell r="AC48" t="str">
            <v>NO</v>
          </cell>
        </row>
        <row r="49">
          <cell r="A49">
            <v>46</v>
          </cell>
          <cell r="J49" t="str">
            <v>MATERIAL</v>
          </cell>
          <cell r="O49" t="str">
            <v>ALLOW.</v>
          </cell>
          <cell r="R49" t="str">
            <v xml:space="preserve">MANUFACTURED PER ASME CODE </v>
          </cell>
          <cell r="AA49" t="str">
            <v>YES</v>
          </cell>
          <cell r="AC49" t="str">
            <v>NO</v>
          </cell>
        </row>
        <row r="50">
          <cell r="A50">
            <v>47</v>
          </cell>
          <cell r="O50" t="str">
            <v>mm</v>
          </cell>
          <cell r="R50" t="str">
            <v>ASME CODE STAMP REQ'D</v>
          </cell>
          <cell r="AA50" t="str">
            <v>YES</v>
          </cell>
          <cell r="AC50" t="str">
            <v>NO</v>
          </cell>
        </row>
        <row r="51">
          <cell r="A51">
            <v>48</v>
          </cell>
          <cell r="C51" t="str">
            <v>SHELL</v>
          </cell>
          <cell r="R51" t="str">
            <v>SHOP PAINTING</v>
          </cell>
        </row>
        <row r="52">
          <cell r="A52">
            <v>49</v>
          </cell>
          <cell r="C52" t="str">
            <v>HEAD</v>
          </cell>
          <cell r="R52" t="str">
            <v>VESSELS</v>
          </cell>
        </row>
        <row r="53">
          <cell r="A53">
            <v>50</v>
          </cell>
          <cell r="C53" t="str">
            <v>INTERNALS</v>
          </cell>
        </row>
        <row r="54">
          <cell r="A54">
            <v>51</v>
          </cell>
          <cell r="C54" t="str">
            <v>SEPARATION ELEMENT(S)</v>
          </cell>
        </row>
        <row r="55">
          <cell r="A55">
            <v>52</v>
          </cell>
        </row>
        <row r="56">
          <cell r="A56">
            <v>53</v>
          </cell>
          <cell r="C56" t="str">
            <v>BOLTING</v>
          </cell>
        </row>
        <row r="57">
          <cell r="A57">
            <v>54</v>
          </cell>
          <cell r="C57" t="str">
            <v>FLANGES</v>
          </cell>
        </row>
        <row r="58">
          <cell r="A58">
            <v>55</v>
          </cell>
          <cell r="C58" t="str">
            <v>GASKETS</v>
          </cell>
        </row>
        <row r="59">
          <cell r="A59">
            <v>56</v>
          </cell>
          <cell r="C59" t="str">
            <v>STEAM JACKET</v>
          </cell>
        </row>
        <row r="60">
          <cell r="A60">
            <v>57</v>
          </cell>
          <cell r="C60" t="str">
            <v>See sheet 3 for notes</v>
          </cell>
        </row>
        <row r="61">
          <cell r="A61">
            <v>58</v>
          </cell>
        </row>
        <row r="62">
          <cell r="A62">
            <v>59</v>
          </cell>
          <cell r="B62" t="str">
            <v xml:space="preserve">  *Process limitation for when cleaning is required</v>
          </cell>
        </row>
        <row r="63">
          <cell r="A63">
            <v>60</v>
          </cell>
          <cell r="B63" t="str">
            <v>SEE SHEET 1 OF THIS DOCUMENT FOR COPYRIGHT, CONFIDENTIALITY AND OTHER RESTRICTIONS</v>
          </cell>
        </row>
        <row r="64">
          <cell r="J64" t="str">
            <v xml:space="preserve"> ISSUE</v>
          </cell>
          <cell r="L64" t="str">
            <v xml:space="preserve"> DATE</v>
          </cell>
          <cell r="P64" t="str">
            <v>SHEET</v>
          </cell>
          <cell r="U64" t="str">
            <v>DOC NO.:</v>
          </cell>
        </row>
        <row r="65">
          <cell r="J65" t="str">
            <v>A</v>
          </cell>
          <cell r="L65">
            <v>0</v>
          </cell>
          <cell r="P65">
            <v>2</v>
          </cell>
          <cell r="R65" t="str">
            <v>OF</v>
          </cell>
          <cell r="S65">
            <v>4</v>
          </cell>
          <cell r="U65" t="str">
            <v>R0503-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データ"/>
      <sheetName val="方法"/>
      <sheetName val="ブランクフォーム"/>
      <sheetName val="INST LIST"/>
      <sheetName val="내역"/>
      <sheetName val="L V Separator"/>
      <sheetName val="UOP 508 PG 2-9"/>
      <sheetName val="UOP 508 PG 5-12"/>
      <sheetName val="Index"/>
      <sheetName val="PMS"/>
      <sheetName val="BQ"/>
      <sheetName val="PRC_BDWN-99"/>
      <sheetName val="Factor"/>
      <sheetName val="Sheet1"/>
      <sheetName val="DWTables"/>
      <sheetName val="공사비 내역 (가)"/>
      <sheetName val="eq_data"/>
      <sheetName val="項目抜き出し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Pag. 1"/>
      <sheetName val="Pag. 2"/>
      <sheetName val="Pag. 3"/>
      <sheetName val="Note (1)"/>
      <sheetName val="INST LIST"/>
      <sheetName val="L V Separator"/>
      <sheetName val="Sheet1"/>
      <sheetName val="BurnerDS-1_32940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t"/>
      <sheetName val="t"/>
      <sheetName val="os"/>
      <sheetName val="Sheet1"/>
      <sheetName val="Sheet2"/>
      <sheetName val="Cover"/>
      <sheetName val="INSTR"/>
      <sheetName val="L V Separator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sheet"/>
      <sheetName val="Rev.Index"/>
      <sheetName val="SU-PRCV234"/>
      <sheetName val="Database"/>
      <sheetName val="Connections"/>
      <sheetName val="DWTables"/>
      <sheetName val="Calc"/>
      <sheetName val="CmpName"/>
      <sheetName val="Template"/>
      <sheetName val="Functions"/>
      <sheetName val="Pag. 1"/>
      <sheetName val="INST LIST"/>
      <sheetName val="L V Separator"/>
      <sheetName val="Cover"/>
      <sheetName val="eq_data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>
        <row r="2">
          <cell r="M2">
            <v>4</v>
          </cell>
          <cell r="N2">
            <v>4</v>
          </cell>
          <cell r="O2">
            <v>4</v>
          </cell>
          <cell r="P2">
            <v>51</v>
          </cell>
          <cell r="Q2">
            <v>6</v>
          </cell>
        </row>
      </sheetData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주조단가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4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5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7.bin"/><Relationship Id="rId4" Type="http://schemas.openxmlformats.org/officeDocument/2006/relationships/comments" Target="../comments10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0.bin"/><Relationship Id="rId4" Type="http://schemas.openxmlformats.org/officeDocument/2006/relationships/comments" Target="../comments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pageSetUpPr fitToPage="1"/>
  </sheetPr>
  <dimension ref="A8:I41"/>
  <sheetViews>
    <sheetView view="pageBreakPreview" zoomScale="70" zoomScaleNormal="100" zoomScaleSheetLayoutView="70" workbookViewId="0">
      <selection activeCell="P29" sqref="P29"/>
    </sheetView>
  </sheetViews>
  <sheetFormatPr defaultRowHeight="14.4"/>
  <cols>
    <col min="1" max="1" width="20.09765625" bestFit="1" customWidth="1"/>
    <col min="2" max="2" width="25.09765625" customWidth="1"/>
    <col min="3" max="3" width="16.69921875" customWidth="1"/>
    <col min="5" max="5" width="12.19921875" customWidth="1"/>
    <col min="6" max="9" width="12.19921875" style="140" customWidth="1"/>
  </cols>
  <sheetData>
    <row r="8" spans="1:9" ht="15" thickBot="1"/>
    <row r="9" spans="1:9" ht="22.05" customHeight="1" thickBot="1">
      <c r="A9" s="180" t="s">
        <v>1172</v>
      </c>
      <c r="B9" s="181" t="s">
        <v>1249</v>
      </c>
    </row>
    <row r="10" spans="1:9" ht="22.05" customHeight="1" thickBot="1">
      <c r="A10" s="180" t="s">
        <v>1506</v>
      </c>
      <c r="B10" s="181" t="s">
        <v>1511</v>
      </c>
    </row>
    <row r="11" spans="1:9" ht="22.05" customHeight="1" thickBot="1">
      <c r="A11" s="180" t="s">
        <v>1215</v>
      </c>
      <c r="B11" s="181">
        <v>1.5</v>
      </c>
      <c r="C11" s="264" t="s">
        <v>1216</v>
      </c>
    </row>
    <row r="12" spans="1:9" ht="22.05" customHeight="1" thickBot="1"/>
    <row r="13" spans="1:9" ht="22.05" customHeight="1" thickTop="1" thickBot="1">
      <c r="A13" s="238" t="s">
        <v>750</v>
      </c>
      <c r="B13" s="238" t="s">
        <v>751</v>
      </c>
      <c r="C13" s="238" t="s">
        <v>752</v>
      </c>
      <c r="D13" s="98"/>
      <c r="E13" s="267" t="s">
        <v>742</v>
      </c>
      <c r="F13" s="268" t="s">
        <v>1212</v>
      </c>
      <c r="G13" s="268" t="s">
        <v>1213</v>
      </c>
      <c r="H13" s="268" t="s">
        <v>1214</v>
      </c>
      <c r="I13" s="269" t="s">
        <v>1211</v>
      </c>
    </row>
    <row r="14" spans="1:9" ht="22.05" customHeight="1" thickTop="1" thickBot="1">
      <c r="A14" s="239" t="s">
        <v>1251</v>
      </c>
      <c r="B14" s="240"/>
      <c r="C14" s="272">
        <v>0</v>
      </c>
      <c r="D14" s="98"/>
      <c r="E14" s="270">
        <v>80</v>
      </c>
      <c r="F14" s="251">
        <f>'80-300LB'!$S$64</f>
        <v>768785</v>
      </c>
      <c r="G14" s="251">
        <f>'80-300LB'!$S$67</f>
        <v>930229.85</v>
      </c>
      <c r="H14" s="251">
        <f>'80-300LB'!$S$68</f>
        <v>1395344.7749999999</v>
      </c>
      <c r="I14" s="271"/>
    </row>
    <row r="15" spans="1:9" ht="22.05" customHeight="1" thickBot="1">
      <c r="A15" s="241" t="s">
        <v>1252</v>
      </c>
      <c r="B15" s="182" t="s">
        <v>1530</v>
      </c>
      <c r="C15" s="273">
        <v>4300</v>
      </c>
      <c r="D15" s="98"/>
      <c r="E15" s="270">
        <v>100</v>
      </c>
      <c r="F15" s="251">
        <f>'100-300LB'!S64</f>
        <v>834925</v>
      </c>
      <c r="G15" s="251">
        <f>'100-300LB'!S67</f>
        <v>1010259.25</v>
      </c>
      <c r="H15" s="251">
        <f>'100-300LB'!S68</f>
        <v>1515388.875</v>
      </c>
      <c r="I15" s="271"/>
    </row>
    <row r="16" spans="1:9" ht="22.05" customHeight="1" thickBot="1">
      <c r="A16" s="241" t="s">
        <v>743</v>
      </c>
      <c r="B16" s="182" t="s">
        <v>1530</v>
      </c>
      <c r="C16" s="273">
        <v>4300</v>
      </c>
      <c r="D16" s="99"/>
      <c r="E16" s="270">
        <v>150</v>
      </c>
      <c r="F16" s="251">
        <f>'150-300LB'!S64</f>
        <v>1376770</v>
      </c>
      <c r="G16" s="251">
        <f>'150-300LB'!S67</f>
        <v>1665891.7</v>
      </c>
      <c r="H16" s="251">
        <f>'150-300LB'!S68</f>
        <v>2498837.5499999998</v>
      </c>
      <c r="I16" s="271"/>
    </row>
    <row r="17" spans="1:9" ht="22.05" customHeight="1" thickBot="1">
      <c r="A17" s="242" t="s">
        <v>744</v>
      </c>
      <c r="B17" s="243" t="s">
        <v>1528</v>
      </c>
      <c r="C17" s="274">
        <v>8500</v>
      </c>
      <c r="D17" s="99"/>
      <c r="E17" s="270">
        <v>200</v>
      </c>
      <c r="F17" s="251">
        <f>'200-300LB'!S64</f>
        <v>1711050</v>
      </c>
      <c r="G17" s="251">
        <f>'200-300LB'!S67</f>
        <v>2070370.5</v>
      </c>
      <c r="H17" s="251">
        <f>'200-300LB'!S68</f>
        <v>3105555.75</v>
      </c>
      <c r="I17" s="271"/>
    </row>
    <row r="18" spans="1:9" ht="22.05" customHeight="1" thickTop="1" thickBot="1">
      <c r="A18" s="265" t="s">
        <v>1253</v>
      </c>
      <c r="B18" s="265" t="s">
        <v>1181</v>
      </c>
      <c r="C18" s="313" t="s">
        <v>1529</v>
      </c>
      <c r="D18" s="99"/>
      <c r="E18" s="270">
        <v>250</v>
      </c>
      <c r="F18" s="251">
        <f>'250-300LB'!S64</f>
        <v>2571970</v>
      </c>
      <c r="G18" s="251">
        <f>'250-300LB'!S67</f>
        <v>3112083.7</v>
      </c>
      <c r="H18" s="251">
        <f>'250-300LB'!S68</f>
        <v>4668125.5500000007</v>
      </c>
      <c r="I18" s="271"/>
    </row>
    <row r="19" spans="1:9" ht="22.05" customHeight="1" thickBot="1">
      <c r="A19" s="265" t="s">
        <v>746</v>
      </c>
      <c r="B19" s="314" t="s">
        <v>1302</v>
      </c>
      <c r="C19" s="265"/>
      <c r="D19" s="99"/>
      <c r="E19" s="270">
        <v>300</v>
      </c>
      <c r="F19" s="251">
        <f>'300-300LB'!S64</f>
        <v>2976715</v>
      </c>
      <c r="G19" s="251">
        <f>'300-300LB'!S67</f>
        <v>3601825.15</v>
      </c>
      <c r="H19" s="251">
        <f>'300-300LB'!S68</f>
        <v>5402737.7249999996</v>
      </c>
      <c r="I19" s="271"/>
    </row>
    <row r="20" spans="1:9" ht="22.05" customHeight="1" thickBot="1">
      <c r="A20" s="266" t="s">
        <v>745</v>
      </c>
      <c r="B20" s="315" t="s">
        <v>1303</v>
      </c>
      <c r="C20" s="266"/>
      <c r="D20" s="99"/>
      <c r="E20" s="270">
        <v>350</v>
      </c>
      <c r="F20" s="251">
        <f>'350-300LB'!S64</f>
        <v>4199600</v>
      </c>
      <c r="G20" s="251">
        <f>'350-300LB'!S67</f>
        <v>5081516</v>
      </c>
      <c r="H20" s="251">
        <f>'350-300LB'!S68</f>
        <v>7622274</v>
      </c>
      <c r="I20" s="271"/>
    </row>
    <row r="21" spans="1:9" ht="22.05" customHeight="1" thickBot="1">
      <c r="A21" s="266" t="s">
        <v>850</v>
      </c>
      <c r="B21" s="316" t="s">
        <v>1531</v>
      </c>
      <c r="C21" s="266"/>
      <c r="D21" s="99"/>
      <c r="E21" s="310">
        <v>400</v>
      </c>
      <c r="F21" s="311"/>
      <c r="G21" s="311"/>
      <c r="H21" s="311"/>
      <c r="I21" s="312" t="s">
        <v>1173</v>
      </c>
    </row>
    <row r="22" spans="1:9" ht="22.05" customHeight="1" thickBot="1">
      <c r="A22" s="266" t="s">
        <v>747</v>
      </c>
      <c r="B22" s="316" t="s">
        <v>1531</v>
      </c>
      <c r="C22" s="266"/>
      <c r="D22" s="99"/>
      <c r="E22" s="310">
        <v>450</v>
      </c>
      <c r="F22" s="311"/>
      <c r="G22" s="311"/>
      <c r="H22" s="311"/>
      <c r="I22" s="312" t="s">
        <v>1173</v>
      </c>
    </row>
    <row r="23" spans="1:9" ht="22.05" customHeight="1" thickBot="1">
      <c r="A23" s="266" t="s">
        <v>748</v>
      </c>
      <c r="B23" s="316" t="s">
        <v>857</v>
      </c>
      <c r="C23" s="266"/>
      <c r="D23" s="99"/>
      <c r="E23" s="310">
        <v>500</v>
      </c>
      <c r="F23" s="311"/>
      <c r="G23" s="311"/>
      <c r="H23" s="311"/>
      <c r="I23" s="312" t="s">
        <v>1173</v>
      </c>
    </row>
    <row r="24" spans="1:9" ht="22.05" customHeight="1" thickBot="1">
      <c r="A24" s="266" t="s">
        <v>749</v>
      </c>
      <c r="B24" s="316" t="s">
        <v>1502</v>
      </c>
      <c r="C24" s="266"/>
      <c r="D24" s="99"/>
      <c r="E24" s="310">
        <v>550</v>
      </c>
      <c r="F24" s="311"/>
      <c r="G24" s="311"/>
      <c r="H24" s="311"/>
      <c r="I24" s="312" t="s">
        <v>1173</v>
      </c>
    </row>
    <row r="25" spans="1:9" ht="22.05" customHeight="1" thickBot="1">
      <c r="A25" s="266" t="s">
        <v>953</v>
      </c>
      <c r="B25" s="316" t="s">
        <v>857</v>
      </c>
      <c r="C25" s="266"/>
      <c r="D25" s="99"/>
      <c r="E25" s="270">
        <v>600</v>
      </c>
      <c r="F25" s="251">
        <f>'600-300LB'!S64</f>
        <v>11117185</v>
      </c>
      <c r="G25" s="251">
        <f>'600-300LB'!S67</f>
        <v>13451793.85</v>
      </c>
      <c r="H25" s="251">
        <f>'600-300LB'!S68</f>
        <v>20177690.774999999</v>
      </c>
      <c r="I25" s="271"/>
    </row>
    <row r="26" spans="1:9" ht="22.05" customHeight="1" thickBot="1">
      <c r="A26" s="266" t="s">
        <v>1198</v>
      </c>
      <c r="B26" s="316" t="s">
        <v>857</v>
      </c>
      <c r="C26" s="266"/>
      <c r="D26" s="99"/>
      <c r="E26" s="310">
        <v>650</v>
      </c>
      <c r="F26" s="311"/>
      <c r="G26" s="311"/>
      <c r="H26" s="311"/>
      <c r="I26" s="312" t="s">
        <v>1173</v>
      </c>
    </row>
    <row r="27" spans="1:9" ht="22.05" customHeight="1" thickBot="1">
      <c r="A27" s="266" t="s">
        <v>949</v>
      </c>
      <c r="B27" s="316" t="s">
        <v>857</v>
      </c>
      <c r="C27" s="266"/>
      <c r="D27" s="99"/>
      <c r="E27" s="310">
        <v>700</v>
      </c>
      <c r="F27" s="311"/>
      <c r="G27" s="311"/>
      <c r="H27" s="311"/>
      <c r="I27" s="312" t="s">
        <v>1173</v>
      </c>
    </row>
    <row r="28" spans="1:9" ht="22.05" customHeight="1" thickBot="1">
      <c r="A28" s="266" t="s">
        <v>950</v>
      </c>
      <c r="B28" s="316" t="s">
        <v>857</v>
      </c>
      <c r="C28" s="266"/>
      <c r="D28" s="99"/>
      <c r="E28" s="270">
        <v>750</v>
      </c>
      <c r="F28" s="251">
        <f>'750-300LB'!S64</f>
        <v>15436965</v>
      </c>
      <c r="G28" s="251">
        <f>'750-300LB'!S67</f>
        <v>18678727.649999999</v>
      </c>
      <c r="H28" s="251">
        <f>'750-300LB'!S68</f>
        <v>28018091.474999998</v>
      </c>
      <c r="I28" s="271"/>
    </row>
    <row r="29" spans="1:9" ht="22.05" customHeight="1" thickBot="1">
      <c r="A29" s="266" t="s">
        <v>54</v>
      </c>
      <c r="B29" s="316" t="s">
        <v>460</v>
      </c>
      <c r="C29" s="266"/>
      <c r="D29" s="99"/>
      <c r="E29" s="270">
        <v>800</v>
      </c>
      <c r="F29" s="251">
        <f>'800-300LB '!S64</f>
        <v>14940950</v>
      </c>
      <c r="G29" s="251">
        <f>'800-300LB '!S67</f>
        <v>18078549.5</v>
      </c>
      <c r="H29" s="251">
        <f>'800-300LB '!S68</f>
        <v>27117824.25</v>
      </c>
      <c r="I29" s="271"/>
    </row>
    <row r="30" spans="1:9" ht="22.05" customHeight="1" thickBot="1">
      <c r="A30" s="266" t="s">
        <v>851</v>
      </c>
      <c r="B30" s="316" t="s">
        <v>860</v>
      </c>
      <c r="C30" s="266"/>
      <c r="D30" s="98"/>
      <c r="E30" s="310">
        <v>850</v>
      </c>
      <c r="F30" s="311"/>
      <c r="G30" s="311"/>
      <c r="H30" s="311"/>
      <c r="I30" s="312" t="s">
        <v>1173</v>
      </c>
    </row>
    <row r="31" spans="1:9" ht="22.05" customHeight="1" thickBot="1">
      <c r="A31" s="183"/>
      <c r="B31" s="183"/>
      <c r="C31" s="183"/>
      <c r="D31" s="98"/>
      <c r="E31" s="270">
        <v>900</v>
      </c>
      <c r="F31" s="251">
        <f>'900-300LB'!S64</f>
        <v>22306825</v>
      </c>
      <c r="G31" s="251">
        <f>'900-300LB'!S67</f>
        <v>26991258.25</v>
      </c>
      <c r="H31" s="251">
        <f>'900-300LB'!S68</f>
        <v>40486887.375</v>
      </c>
      <c r="I31" s="271"/>
    </row>
    <row r="32" spans="1:9" ht="22.05" customHeight="1" thickBot="1">
      <c r="A32" s="278" t="s">
        <v>61</v>
      </c>
      <c r="B32" s="278" t="s">
        <v>1513</v>
      </c>
      <c r="C32" s="180"/>
      <c r="D32" s="98"/>
      <c r="E32" s="310">
        <v>950</v>
      </c>
      <c r="F32" s="311"/>
      <c r="G32" s="311"/>
      <c r="H32" s="311"/>
      <c r="I32" s="312" t="s">
        <v>1173</v>
      </c>
    </row>
    <row r="33" spans="1:9" ht="22.05" customHeight="1" thickBot="1">
      <c r="A33" s="298" t="s">
        <v>1505</v>
      </c>
      <c r="B33" s="278" t="s">
        <v>1527</v>
      </c>
      <c r="C33" s="180"/>
      <c r="D33" s="98"/>
      <c r="E33" s="310">
        <v>1000</v>
      </c>
      <c r="F33" s="311"/>
      <c r="G33" s="311"/>
      <c r="H33" s="311"/>
      <c r="I33" s="312" t="s">
        <v>1173</v>
      </c>
    </row>
    <row r="34" spans="1:9" ht="22.05" customHeight="1" thickBot="1">
      <c r="A34" s="98"/>
      <c r="B34" s="98"/>
      <c r="C34" s="98"/>
      <c r="D34" s="98"/>
      <c r="E34" s="270">
        <v>1050</v>
      </c>
      <c r="F34" s="251">
        <f>'1050-300LB'!S64</f>
        <v>28298990</v>
      </c>
      <c r="G34" s="251">
        <f>'1050-300LB'!S67</f>
        <v>34241777.899999999</v>
      </c>
      <c r="H34" s="251">
        <f>'1050-300LB'!S68</f>
        <v>51362666.849999994</v>
      </c>
      <c r="I34" s="271"/>
    </row>
    <row r="35" spans="1:9" ht="22.05" customHeight="1" thickBot="1">
      <c r="A35" s="278" t="s">
        <v>944</v>
      </c>
      <c r="B35" s="278" t="s">
        <v>1304</v>
      </c>
      <c r="C35" s="180"/>
      <c r="D35" s="98"/>
      <c r="E35" s="310">
        <v>1100</v>
      </c>
      <c r="F35" s="311"/>
      <c r="G35" s="311"/>
      <c r="H35" s="311"/>
      <c r="I35" s="312" t="s">
        <v>1173</v>
      </c>
    </row>
    <row r="36" spans="1:9" ht="22.05" customHeight="1">
      <c r="A36" s="98"/>
      <c r="B36" s="98"/>
      <c r="C36" s="98"/>
      <c r="D36" s="98"/>
      <c r="E36" s="310">
        <v>1150</v>
      </c>
      <c r="F36" s="311"/>
      <c r="G36" s="311"/>
      <c r="H36" s="311"/>
      <c r="I36" s="312" t="s">
        <v>1173</v>
      </c>
    </row>
    <row r="37" spans="1:9" ht="22.05" customHeight="1">
      <c r="A37" s="98"/>
      <c r="B37" s="98"/>
      <c r="C37" s="98"/>
      <c r="D37" s="98"/>
      <c r="E37" s="270">
        <v>1200</v>
      </c>
      <c r="F37" s="251">
        <f>'1200-300LB'!S64</f>
        <v>41922340</v>
      </c>
      <c r="G37" s="251">
        <f>'1200-300LB'!S67</f>
        <v>50726031.399999999</v>
      </c>
      <c r="H37" s="251">
        <f>'1200-300LB'!S68</f>
        <v>76089047.099999994</v>
      </c>
      <c r="I37" s="271"/>
    </row>
    <row r="38" spans="1:9" ht="22.05" customHeight="1">
      <c r="A38" s="98"/>
      <c r="B38" s="98"/>
      <c r="C38" s="98"/>
      <c r="D38" s="98"/>
      <c r="E38" s="310">
        <v>1250</v>
      </c>
      <c r="F38" s="311"/>
      <c r="G38" s="311"/>
      <c r="H38" s="311"/>
      <c r="I38" s="312" t="s">
        <v>1173</v>
      </c>
    </row>
    <row r="39" spans="1:9" ht="22.05" customHeight="1">
      <c r="A39" s="98"/>
      <c r="B39" s="98"/>
      <c r="C39" s="98"/>
      <c r="D39" s="98"/>
      <c r="E39" s="310">
        <v>1300</v>
      </c>
      <c r="F39" s="311"/>
      <c r="G39" s="311"/>
      <c r="H39" s="311"/>
      <c r="I39" s="312" t="s">
        <v>1173</v>
      </c>
    </row>
    <row r="40" spans="1:9" ht="22.05" customHeight="1">
      <c r="A40" s="98"/>
      <c r="B40" s="98"/>
      <c r="C40" s="98"/>
      <c r="D40" s="98"/>
      <c r="E40" s="310">
        <v>1350</v>
      </c>
      <c r="F40" s="311"/>
      <c r="G40" s="311"/>
      <c r="H40" s="311"/>
      <c r="I40" s="312" t="s">
        <v>1173</v>
      </c>
    </row>
    <row r="41" spans="1:9" ht="22.05" customHeight="1">
      <c r="A41" s="98"/>
      <c r="B41" s="98"/>
      <c r="C41" s="98"/>
      <c r="D41" s="98"/>
      <c r="E41" s="310">
        <v>1350</v>
      </c>
      <c r="F41" s="311"/>
      <c r="G41" s="311"/>
      <c r="H41" s="311"/>
      <c r="I41" s="312" t="s">
        <v>1173</v>
      </c>
    </row>
  </sheetData>
  <phoneticPr fontId="3" type="noConversion"/>
  <pageMargins left="0.7" right="0.7" top="0.75" bottom="0.75" header="0.3" footer="0.3"/>
  <pageSetup paperSize="9" scale="57" fitToHeight="0" orientation="portrait" r:id="rId1"/>
  <ignoredErrors>
    <ignoredError sqref="F15:H15" formula="1"/>
  </ignoredErrors>
  <drawing r:id="rId2"/>
  <extLst>
    <ext xmlns:x14="http://schemas.microsoft.com/office/spreadsheetml/2009/9/main" uri="{CCE6A557-97BC-4b89-ADB6-D9C93CAAB3DF}">
      <x14:dataValidations xmlns:xm="http://schemas.microsoft.com/office/excel/2006/main" count="22">
        <x14:dataValidation type="list" allowBlank="1" showInputMessage="1" showErrorMessage="1" xr:uid="{00000000-0002-0000-0000-000000000000}">
          <x14:formula1>
            <xm:f>주조단가!$AD$4:$AD$26</xm:f>
          </x14:formula1>
          <xm:sqref>B16</xm:sqref>
        </x14:dataValidation>
        <x14:dataValidation type="list" allowBlank="1" showInputMessage="1" showErrorMessage="1" xr:uid="{00000000-0002-0000-0000-000001000000}">
          <x14:formula1>
            <xm:f>주조단가!$AE$5</xm:f>
          </x14:formula1>
          <xm:sqref>B18</xm:sqref>
        </x14:dataValidation>
        <x14:dataValidation type="list" allowBlank="1" showInputMessage="1" showErrorMessage="1" xr:uid="{00000000-0002-0000-0000-000002000000}">
          <x14:formula1>
            <xm:f>주조단가!$AF$4:$AF$14</xm:f>
          </x14:formula1>
          <xm:sqref>B17</xm:sqref>
        </x14:dataValidation>
        <x14:dataValidation type="list" allowBlank="1" showInputMessage="1" showErrorMessage="1" xr:uid="{00000000-0002-0000-0000-000003000000}">
          <x14:formula1>
            <xm:f>주조단가!$AH$4:$AH$5</xm:f>
          </x14:formula1>
          <xm:sqref>B20</xm:sqref>
        </x14:dataValidation>
        <x14:dataValidation type="list" allowBlank="1" showInputMessage="1" showErrorMessage="1" xr:uid="{00000000-0002-0000-0000-000004000000}">
          <x14:formula1>
            <xm:f>주조단가!$AI$4:$AI$6</xm:f>
          </x14:formula1>
          <xm:sqref>B21</xm:sqref>
        </x14:dataValidation>
        <x14:dataValidation type="list" allowBlank="1" showInputMessage="1" showErrorMessage="1" xr:uid="{00000000-0002-0000-0000-000005000000}">
          <x14:formula1>
            <xm:f>주조단가!$AJ$4:$AJ$6</xm:f>
          </x14:formula1>
          <xm:sqref>B22</xm:sqref>
        </x14:dataValidation>
        <x14:dataValidation type="list" allowBlank="1" showInputMessage="1" showErrorMessage="1" xr:uid="{00000000-0002-0000-0000-000006000000}">
          <x14:formula1>
            <xm:f>주조단가!$AK$4:$AK$5</xm:f>
          </x14:formula1>
          <xm:sqref>B23</xm:sqref>
        </x14:dataValidation>
        <x14:dataValidation type="list" allowBlank="1" showInputMessage="1" showErrorMessage="1" xr:uid="{00000000-0002-0000-0000-000007000000}">
          <x14:formula1>
            <xm:f>주조단가!$AL$4:$AL$5</xm:f>
          </x14:formula1>
          <xm:sqref>B24</xm:sqref>
        </x14:dataValidation>
        <x14:dataValidation type="list" allowBlank="1" showInputMessage="1" showErrorMessage="1" xr:uid="{00000000-0002-0000-0000-000008000000}">
          <x14:formula1>
            <xm:f>주조단가!$AQ$4:$AQ$6</xm:f>
          </x14:formula1>
          <xm:sqref>B29</xm:sqref>
        </x14:dataValidation>
        <x14:dataValidation type="list" allowBlank="1" showInputMessage="1" showErrorMessage="1" xr:uid="{00000000-0002-0000-0000-000009000000}">
          <x14:formula1>
            <xm:f>주조단가!$AR$4:$AR$5</xm:f>
          </x14:formula1>
          <xm:sqref>B30</xm:sqref>
        </x14:dataValidation>
        <x14:dataValidation type="list" allowBlank="1" showInputMessage="1" showErrorMessage="1" xr:uid="{00000000-0002-0000-0000-00000A000000}">
          <x14:formula1>
            <xm:f>주조단가!$AO$4:$AO$5</xm:f>
          </x14:formula1>
          <xm:sqref>B27</xm:sqref>
        </x14:dataValidation>
        <x14:dataValidation type="list" allowBlank="1" showInputMessage="1" showErrorMessage="1" xr:uid="{00000000-0002-0000-0000-00000B000000}">
          <x14:formula1>
            <xm:f>주조단가!$AP$4:$AP$5</xm:f>
          </x14:formula1>
          <xm:sqref>B28</xm:sqref>
        </x14:dataValidation>
        <x14:dataValidation type="list" allowBlank="1" showInputMessage="1" showErrorMessage="1" xr:uid="{00000000-0002-0000-0000-00000C000000}">
          <x14:formula1>
            <xm:f>주조단가!$AG$4:$AG$5</xm:f>
          </x14:formula1>
          <xm:sqref>B19</xm:sqref>
        </x14:dataValidation>
        <x14:dataValidation type="list" allowBlank="1" showInputMessage="1" showErrorMessage="1" xr:uid="{00000000-0002-0000-0000-00000D000000}">
          <x14:formula1>
            <xm:f>주조단가!$AM$4:$AM$5</xm:f>
          </x14:formula1>
          <xm:sqref>B25</xm:sqref>
        </x14:dataValidation>
        <x14:dataValidation type="list" allowBlank="1" showInputMessage="1" showErrorMessage="1" xr:uid="{00000000-0002-0000-0000-00000E000000}">
          <x14:formula1>
            <xm:f>주조단가!$AB$4:$AB$5</xm:f>
          </x14:formula1>
          <xm:sqref>B9</xm:sqref>
        </x14:dataValidation>
        <x14:dataValidation type="list" allowBlank="1" showInputMessage="1" showErrorMessage="1" xr:uid="{00000000-0002-0000-0000-00000F000000}">
          <x14:formula1>
            <xm:f>주조단가!$AN$4:$AN$5</xm:f>
          </x14:formula1>
          <xm:sqref>B26</xm:sqref>
        </x14:dataValidation>
        <x14:dataValidation type="list" allowBlank="1" showInputMessage="1" showErrorMessage="1" xr:uid="{00000000-0002-0000-0000-000010000000}">
          <x14:formula1>
            <xm:f>주조단가!$AC$4:$AC$26</xm:f>
          </x14:formula1>
          <xm:sqref>B14:B15</xm:sqref>
        </x14:dataValidation>
        <x14:dataValidation type="list" allowBlank="1" showInputMessage="1" showErrorMessage="1" xr:uid="{00000000-0002-0000-0000-000011000000}">
          <x14:formula1>
            <xm:f>'D:\0.LSM 업무\4.단가TABLE\1.내수용\3.최신 원가table(151001)\0.원가TABLE(190620)\[1.SRS926TE(150LB)원가TABLE(REV.3).xlsx]주조단가'!#REF!</xm:f>
          </x14:formula1>
          <xm:sqref>B34</xm:sqref>
        </x14:dataValidation>
        <x14:dataValidation type="list" allowBlank="1" showInputMessage="1" showErrorMessage="1" xr:uid="{00000000-0002-0000-0000-000012000000}">
          <x14:formula1>
            <xm:f>주조단가!$AW$4:$AW$6</xm:f>
          </x14:formula1>
          <xm:sqref>B32</xm:sqref>
        </x14:dataValidation>
        <x14:dataValidation type="list" allowBlank="1" showInputMessage="1" showErrorMessage="1" xr:uid="{00000000-0002-0000-0000-000013000000}">
          <x14:formula1>
            <xm:f>주조단가!$AS$4:$AS$6</xm:f>
          </x14:formula1>
          <xm:sqref>B35</xm:sqref>
        </x14:dataValidation>
        <x14:dataValidation type="list" allowBlank="1" showInputMessage="1" showErrorMessage="1" xr:uid="{00000000-0002-0000-0000-000014000000}">
          <x14:formula1>
            <xm:f>주조단가!$AU$4:$AU$5</xm:f>
          </x14:formula1>
          <xm:sqref>B10</xm:sqref>
        </x14:dataValidation>
        <x14:dataValidation type="list" allowBlank="1" showInputMessage="1" showErrorMessage="1" xr:uid="{00000000-0002-0000-0000-000015000000}">
          <x14:formula1>
            <xm:f>주조단가!$AX$4:$AX$5</xm:f>
          </x14:formula1>
          <xm:sqref>B33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  <pageSetUpPr fitToPage="1"/>
  </sheetPr>
  <dimension ref="A1:AX44"/>
  <sheetViews>
    <sheetView view="pageBreakPreview" topLeftCell="D1" zoomScale="55" zoomScaleNormal="70" zoomScaleSheetLayoutView="55" workbookViewId="0">
      <selection activeCell="T17" sqref="T17:AN17"/>
    </sheetView>
  </sheetViews>
  <sheetFormatPr defaultRowHeight="14.4"/>
  <cols>
    <col min="1" max="1" width="11.69921875" customWidth="1"/>
    <col min="2" max="2" width="30.5" customWidth="1"/>
    <col min="3" max="3" width="12.5" customWidth="1"/>
    <col min="4" max="4" width="11.3984375" bestFit="1" customWidth="1"/>
    <col min="5" max="6" width="11.296875" bestFit="1" customWidth="1"/>
    <col min="7" max="7" width="10.59765625" bestFit="1" customWidth="1"/>
    <col min="8" max="8" width="11.296875" bestFit="1" customWidth="1"/>
    <col min="9" max="9" width="11.796875" bestFit="1" customWidth="1"/>
    <col min="10" max="11" width="12.59765625" bestFit="1" customWidth="1"/>
    <col min="12" max="12" width="10.3984375" bestFit="1" customWidth="1"/>
    <col min="13" max="14" width="12.09765625" bestFit="1" customWidth="1"/>
    <col min="15" max="17" width="8.09765625" customWidth="1"/>
    <col min="18" max="18" width="10.3984375" bestFit="1" customWidth="1"/>
    <col min="19" max="19" width="11.8984375" bestFit="1" customWidth="1"/>
    <col min="20" max="21" width="8.09765625" customWidth="1"/>
    <col min="22" max="22" width="12.09765625" bestFit="1" customWidth="1"/>
    <col min="23" max="26" width="8.09765625" customWidth="1"/>
    <col min="27" max="27" width="11" customWidth="1"/>
    <col min="28" max="45" width="26.69921875" style="280" customWidth="1"/>
    <col min="46" max="46" width="11" customWidth="1"/>
    <col min="47" max="47" width="26.69921875" style="280" customWidth="1"/>
    <col min="49" max="50" width="26.69921875" style="280" customWidth="1"/>
  </cols>
  <sheetData>
    <row r="1" spans="1:50" s="100" customFormat="1" ht="33" customHeight="1">
      <c r="A1" s="333" t="s">
        <v>753</v>
      </c>
      <c r="B1" s="333"/>
      <c r="C1" s="333"/>
      <c r="D1" s="333"/>
      <c r="E1" s="333"/>
      <c r="F1" s="333"/>
      <c r="G1" s="333"/>
      <c r="H1" s="333"/>
      <c r="I1" s="333"/>
      <c r="J1" s="333"/>
      <c r="K1" s="333"/>
      <c r="L1" s="333"/>
      <c r="M1" s="333"/>
      <c r="N1" s="333"/>
      <c r="O1" s="333"/>
      <c r="P1" s="333"/>
      <c r="Q1" s="333"/>
      <c r="R1" s="333"/>
      <c r="S1" s="333"/>
      <c r="T1" s="333"/>
      <c r="U1" s="333"/>
      <c r="V1" s="333"/>
      <c r="W1" s="333"/>
      <c r="X1" s="333"/>
      <c r="Y1" s="333"/>
      <c r="Z1" s="333"/>
      <c r="AB1" s="279"/>
      <c r="AC1" s="279"/>
      <c r="AD1" s="279"/>
      <c r="AE1" s="279"/>
      <c r="AF1" s="279"/>
      <c r="AG1" s="279"/>
      <c r="AH1" s="279"/>
      <c r="AI1" s="279"/>
      <c r="AJ1" s="279"/>
      <c r="AK1" s="279"/>
      <c r="AL1" s="279"/>
      <c r="AM1" s="279"/>
      <c r="AN1" s="279"/>
      <c r="AO1" s="279"/>
      <c r="AP1" s="279"/>
      <c r="AQ1" s="279"/>
      <c r="AR1" s="279"/>
      <c r="AS1" s="279"/>
      <c r="AU1" s="279"/>
      <c r="AW1" s="279"/>
      <c r="AX1" s="279"/>
    </row>
    <row r="2" spans="1:50" ht="33" customHeight="1" thickBot="1">
      <c r="AB2" s="282">
        <v>0</v>
      </c>
      <c r="AC2" s="282">
        <v>1</v>
      </c>
      <c r="AD2" s="282">
        <v>2</v>
      </c>
      <c r="AE2" s="282">
        <v>3</v>
      </c>
      <c r="AF2" s="282">
        <v>4</v>
      </c>
      <c r="AG2" s="282">
        <v>5</v>
      </c>
      <c r="AH2" s="282">
        <v>6</v>
      </c>
      <c r="AI2" s="282">
        <v>7</v>
      </c>
      <c r="AJ2" s="282">
        <v>8</v>
      </c>
      <c r="AK2" s="282">
        <v>9</v>
      </c>
      <c r="AL2" s="282">
        <v>10</v>
      </c>
      <c r="AM2" s="282">
        <v>11</v>
      </c>
      <c r="AN2" s="282">
        <v>12</v>
      </c>
      <c r="AO2" s="282">
        <v>13</v>
      </c>
      <c r="AP2" s="282">
        <v>14</v>
      </c>
      <c r="AQ2" s="282">
        <v>15</v>
      </c>
      <c r="AR2" s="282">
        <v>16</v>
      </c>
      <c r="AS2" s="282">
        <v>17</v>
      </c>
      <c r="AU2" s="282">
        <v>18</v>
      </c>
      <c r="AW2" s="282">
        <v>19</v>
      </c>
      <c r="AX2" s="282">
        <v>20</v>
      </c>
    </row>
    <row r="3" spans="1:50" ht="53.25" customHeight="1" thickBot="1">
      <c r="A3" s="101" t="s">
        <v>754</v>
      </c>
      <c r="B3" s="101" t="s">
        <v>755</v>
      </c>
      <c r="C3" s="102" t="s">
        <v>756</v>
      </c>
      <c r="D3" s="103" t="s">
        <v>820</v>
      </c>
      <c r="E3" s="103" t="s">
        <v>821</v>
      </c>
      <c r="F3" s="103" t="s">
        <v>822</v>
      </c>
      <c r="G3" s="103" t="s">
        <v>823</v>
      </c>
      <c r="H3" s="103" t="s">
        <v>824</v>
      </c>
      <c r="I3" s="103" t="s">
        <v>825</v>
      </c>
      <c r="J3" s="103" t="s">
        <v>826</v>
      </c>
      <c r="K3" s="103" t="s">
        <v>827</v>
      </c>
      <c r="L3" s="103" t="s">
        <v>828</v>
      </c>
      <c r="M3" s="103" t="s">
        <v>829</v>
      </c>
      <c r="N3" s="103" t="s">
        <v>830</v>
      </c>
      <c r="O3" s="103" t="s">
        <v>831</v>
      </c>
      <c r="P3" s="103" t="s">
        <v>832</v>
      </c>
      <c r="Q3" s="103" t="s">
        <v>833</v>
      </c>
      <c r="R3" s="103" t="s">
        <v>834</v>
      </c>
      <c r="S3" s="104" t="s">
        <v>835</v>
      </c>
      <c r="T3" s="105" t="s">
        <v>836</v>
      </c>
      <c r="U3" s="106" t="s">
        <v>837</v>
      </c>
      <c r="V3" s="107" t="s">
        <v>838</v>
      </c>
      <c r="W3" s="108" t="s">
        <v>757</v>
      </c>
      <c r="X3" s="102" t="s">
        <v>758</v>
      </c>
      <c r="Y3" s="107" t="s">
        <v>759</v>
      </c>
      <c r="Z3" s="277" t="s">
        <v>760</v>
      </c>
      <c r="AB3" s="281" t="s">
        <v>1299</v>
      </c>
      <c r="AC3" s="281" t="s">
        <v>1256</v>
      </c>
      <c r="AD3" s="281" t="s">
        <v>1276</v>
      </c>
      <c r="AE3" s="283" t="s">
        <v>1277</v>
      </c>
      <c r="AF3" s="283" t="s">
        <v>1278</v>
      </c>
      <c r="AG3" s="281" t="s">
        <v>1286</v>
      </c>
      <c r="AH3" s="281" t="s">
        <v>1287</v>
      </c>
      <c r="AI3" s="283" t="s">
        <v>1288</v>
      </c>
      <c r="AJ3" s="281" t="s">
        <v>1289</v>
      </c>
      <c r="AK3" s="281" t="s">
        <v>1290</v>
      </c>
      <c r="AL3" s="283" t="s">
        <v>1291</v>
      </c>
      <c r="AM3" s="281" t="s">
        <v>1292</v>
      </c>
      <c r="AN3" s="281" t="s">
        <v>1293</v>
      </c>
      <c r="AO3" s="281" t="s">
        <v>1294</v>
      </c>
      <c r="AP3" s="281" t="s">
        <v>1295</v>
      </c>
      <c r="AQ3" s="281" t="s">
        <v>1296</v>
      </c>
      <c r="AR3" s="281" t="s">
        <v>1297</v>
      </c>
      <c r="AS3" s="281" t="s">
        <v>1298</v>
      </c>
      <c r="AU3" s="281" t="s">
        <v>1508</v>
      </c>
      <c r="AW3" s="281" t="s">
        <v>1509</v>
      </c>
      <c r="AX3" s="299" t="s">
        <v>1510</v>
      </c>
    </row>
    <row r="4" spans="1:50" ht="25.2" customHeight="1" thickBot="1">
      <c r="A4" s="109" t="s">
        <v>761</v>
      </c>
      <c r="B4" s="110" t="s">
        <v>762</v>
      </c>
      <c r="C4" s="111" t="s">
        <v>763</v>
      </c>
      <c r="D4" s="112">
        <v>2700</v>
      </c>
      <c r="E4" s="112">
        <v>4200</v>
      </c>
      <c r="F4" s="112"/>
      <c r="G4" s="112">
        <v>2900</v>
      </c>
      <c r="H4" s="112">
        <v>3900</v>
      </c>
      <c r="I4" s="112"/>
      <c r="J4" s="112"/>
      <c r="K4" s="112"/>
      <c r="L4" s="112">
        <v>6000</v>
      </c>
      <c r="M4" s="112">
        <v>7500</v>
      </c>
      <c r="N4" s="112">
        <v>8500</v>
      </c>
      <c r="O4" s="112"/>
      <c r="P4" s="112"/>
      <c r="Q4" s="112"/>
      <c r="R4" s="112"/>
      <c r="S4" s="112"/>
      <c r="T4" s="113"/>
      <c r="U4" s="113"/>
      <c r="V4" s="113"/>
      <c r="W4" s="113"/>
      <c r="X4" s="112"/>
      <c r="Y4" s="112"/>
      <c r="Z4" s="114"/>
      <c r="AB4" s="281" t="s">
        <v>1300</v>
      </c>
      <c r="AC4" s="281" t="s">
        <v>820</v>
      </c>
      <c r="AD4" s="281" t="s">
        <v>820</v>
      </c>
      <c r="AE4" s="281" t="s">
        <v>840</v>
      </c>
      <c r="AF4" s="281" t="s">
        <v>843</v>
      </c>
      <c r="AG4" s="281" t="s">
        <v>848</v>
      </c>
      <c r="AH4" s="281" t="s">
        <v>1175</v>
      </c>
      <c r="AI4" s="281" t="s">
        <v>856</v>
      </c>
      <c r="AJ4" s="281" t="s">
        <v>856</v>
      </c>
      <c r="AK4" s="281" t="s">
        <v>857</v>
      </c>
      <c r="AL4" s="281" t="s">
        <v>829</v>
      </c>
      <c r="AM4" s="281" t="s">
        <v>857</v>
      </c>
      <c r="AN4" s="281" t="s">
        <v>857</v>
      </c>
      <c r="AO4" s="281" t="s">
        <v>857</v>
      </c>
      <c r="AP4" s="281" t="s">
        <v>857</v>
      </c>
      <c r="AQ4" s="281" t="s">
        <v>460</v>
      </c>
      <c r="AR4" s="281" t="s">
        <v>860</v>
      </c>
      <c r="AS4" s="281" t="s">
        <v>945</v>
      </c>
      <c r="AU4" s="281" t="s">
        <v>1511</v>
      </c>
      <c r="AW4" s="299" t="s">
        <v>1512</v>
      </c>
      <c r="AX4" s="299" t="s">
        <v>1512</v>
      </c>
    </row>
    <row r="5" spans="1:50" ht="27.6" customHeight="1" thickBot="1">
      <c r="A5" s="329" t="s">
        <v>764</v>
      </c>
      <c r="B5" s="319" t="s">
        <v>765</v>
      </c>
      <c r="C5" s="115" t="s">
        <v>766</v>
      </c>
      <c r="D5" s="116">
        <v>2600</v>
      </c>
      <c r="E5" s="116"/>
      <c r="F5" s="116"/>
      <c r="G5" s="116"/>
      <c r="H5" s="116"/>
      <c r="I5" s="116"/>
      <c r="J5" s="116"/>
      <c r="K5" s="116"/>
      <c r="L5" s="334">
        <v>5800</v>
      </c>
      <c r="M5" s="334">
        <v>7300</v>
      </c>
      <c r="N5" s="334">
        <v>8300</v>
      </c>
      <c r="O5" s="116"/>
      <c r="P5" s="116"/>
      <c r="Q5" s="116"/>
      <c r="R5" s="116"/>
      <c r="S5" s="116"/>
      <c r="T5" s="116"/>
      <c r="U5" s="116"/>
      <c r="V5" s="116"/>
      <c r="W5" s="116"/>
      <c r="X5" s="116"/>
      <c r="Y5" s="116"/>
      <c r="Z5" s="117"/>
      <c r="AB5" s="281" t="s">
        <v>1301</v>
      </c>
      <c r="AC5" s="281" t="s">
        <v>1264</v>
      </c>
      <c r="AD5" s="281" t="s">
        <v>1264</v>
      </c>
      <c r="AE5" s="281" t="s">
        <v>839</v>
      </c>
      <c r="AF5" s="284" t="s">
        <v>1280</v>
      </c>
      <c r="AG5" s="281" t="s">
        <v>849</v>
      </c>
      <c r="AH5" s="281" t="s">
        <v>1176</v>
      </c>
      <c r="AI5" s="281" t="s">
        <v>461</v>
      </c>
      <c r="AJ5" s="281" t="s">
        <v>461</v>
      </c>
      <c r="AK5" s="281" t="s">
        <v>858</v>
      </c>
      <c r="AL5" s="281" t="s">
        <v>858</v>
      </c>
      <c r="AM5" s="281" t="s">
        <v>858</v>
      </c>
      <c r="AN5" s="281" t="s">
        <v>858</v>
      </c>
      <c r="AO5" s="281" t="s">
        <v>858</v>
      </c>
      <c r="AP5" s="281" t="s">
        <v>858</v>
      </c>
      <c r="AQ5" s="281" t="s">
        <v>1175</v>
      </c>
      <c r="AR5" s="281" t="s">
        <v>861</v>
      </c>
      <c r="AS5" s="281" t="s">
        <v>946</v>
      </c>
      <c r="AU5" s="281" t="s">
        <v>1507</v>
      </c>
      <c r="AW5" s="281" t="s">
        <v>1513</v>
      </c>
      <c r="AX5" s="299" t="s">
        <v>1514</v>
      </c>
    </row>
    <row r="6" spans="1:50" ht="27.6" customHeight="1" thickBot="1">
      <c r="A6" s="331"/>
      <c r="B6" s="332"/>
      <c r="C6" s="115" t="s">
        <v>767</v>
      </c>
      <c r="D6" s="116">
        <v>2800</v>
      </c>
      <c r="E6" s="116"/>
      <c r="F6" s="116"/>
      <c r="G6" s="116"/>
      <c r="H6" s="116"/>
      <c r="I6" s="116"/>
      <c r="J6" s="116"/>
      <c r="K6" s="116"/>
      <c r="L6" s="335"/>
      <c r="M6" s="335">
        <v>7300</v>
      </c>
      <c r="N6" s="335">
        <v>8300</v>
      </c>
      <c r="O6" s="116"/>
      <c r="P6" s="116"/>
      <c r="Q6" s="116"/>
      <c r="R6" s="116"/>
      <c r="S6" s="116"/>
      <c r="T6" s="116"/>
      <c r="U6" s="116"/>
      <c r="V6" s="116"/>
      <c r="W6" s="116"/>
      <c r="X6" s="116"/>
      <c r="Y6" s="116"/>
      <c r="Z6" s="117"/>
      <c r="AB6" s="281"/>
      <c r="AC6" s="281" t="s">
        <v>1257</v>
      </c>
      <c r="AD6" s="281" t="s">
        <v>1257</v>
      </c>
      <c r="AE6" s="281" t="s">
        <v>841</v>
      </c>
      <c r="AF6" s="281" t="s">
        <v>1255</v>
      </c>
      <c r="AG6" s="281"/>
      <c r="AH6" s="281"/>
      <c r="AI6" s="281" t="s">
        <v>1254</v>
      </c>
      <c r="AJ6" s="281" t="s">
        <v>1254</v>
      </c>
      <c r="AK6" s="281"/>
      <c r="AL6" s="281"/>
      <c r="AM6" s="281"/>
      <c r="AN6" s="281"/>
      <c r="AO6" s="281"/>
      <c r="AP6" s="281"/>
      <c r="AQ6" s="281" t="s">
        <v>1201</v>
      </c>
      <c r="AR6" s="281"/>
      <c r="AS6" s="281" t="s">
        <v>947</v>
      </c>
      <c r="AU6" s="281"/>
      <c r="AW6" s="281" t="s">
        <v>1515</v>
      </c>
      <c r="AX6" s="281"/>
    </row>
    <row r="7" spans="1:50" ht="25.2" customHeight="1" thickBot="1">
      <c r="A7" s="118" t="s">
        <v>768</v>
      </c>
      <c r="B7" s="325" t="s">
        <v>769</v>
      </c>
      <c r="C7" s="115" t="s">
        <v>770</v>
      </c>
      <c r="D7" s="116">
        <v>2700</v>
      </c>
      <c r="E7" s="116"/>
      <c r="F7" s="116"/>
      <c r="G7" s="116"/>
      <c r="H7" s="116"/>
      <c r="I7" s="116"/>
      <c r="J7" s="116"/>
      <c r="K7" s="116"/>
      <c r="L7" s="116">
        <v>5800</v>
      </c>
      <c r="M7" s="116">
        <v>7700</v>
      </c>
      <c r="N7" s="116">
        <v>8700</v>
      </c>
      <c r="O7" s="116"/>
      <c r="P7" s="116"/>
      <c r="Q7" s="116"/>
      <c r="R7" s="116"/>
      <c r="S7" s="116"/>
      <c r="T7" s="116"/>
      <c r="U7" s="116"/>
      <c r="V7" s="116"/>
      <c r="W7" s="116"/>
      <c r="X7" s="116"/>
      <c r="Y7" s="116"/>
      <c r="Z7" s="117"/>
      <c r="AB7" s="281"/>
      <c r="AC7" s="281" t="s">
        <v>1258</v>
      </c>
      <c r="AD7" s="281" t="s">
        <v>1258</v>
      </c>
      <c r="AE7" s="281" t="s">
        <v>842</v>
      </c>
      <c r="AF7" s="282" t="s">
        <v>1279</v>
      </c>
      <c r="AG7" s="281"/>
      <c r="AH7" s="281"/>
      <c r="AI7" s="281"/>
      <c r="AJ7" s="281"/>
      <c r="AK7" s="281"/>
      <c r="AL7" s="281"/>
      <c r="AM7" s="281"/>
      <c r="AN7" s="281"/>
      <c r="AO7" s="281"/>
      <c r="AP7" s="281"/>
      <c r="AQ7" s="281"/>
      <c r="AR7" s="281"/>
      <c r="AS7" s="281"/>
      <c r="AU7" s="281"/>
      <c r="AW7" s="281"/>
      <c r="AX7" s="281"/>
    </row>
    <row r="8" spans="1:50" ht="49.5" customHeight="1" thickBot="1">
      <c r="A8" s="118" t="s">
        <v>768</v>
      </c>
      <c r="B8" s="326"/>
      <c r="C8" s="115" t="s">
        <v>771</v>
      </c>
      <c r="D8" s="116">
        <v>2900</v>
      </c>
      <c r="E8" s="116"/>
      <c r="F8" s="116"/>
      <c r="G8" s="116"/>
      <c r="H8" s="116"/>
      <c r="I8" s="116">
        <v>5000</v>
      </c>
      <c r="J8" s="116"/>
      <c r="K8" s="116"/>
      <c r="L8" s="116">
        <v>6000</v>
      </c>
      <c r="M8" s="116">
        <v>8000</v>
      </c>
      <c r="N8" s="116">
        <v>9000</v>
      </c>
      <c r="O8" s="116"/>
      <c r="P8" s="116"/>
      <c r="Q8" s="116"/>
      <c r="R8" s="116"/>
      <c r="S8" s="116"/>
      <c r="T8" s="116"/>
      <c r="U8" s="116"/>
      <c r="V8" s="116"/>
      <c r="W8" s="116"/>
      <c r="X8" s="116"/>
      <c r="Y8" s="116"/>
      <c r="Z8" s="117"/>
      <c r="AB8" s="281"/>
      <c r="AC8" s="281" t="s">
        <v>1259</v>
      </c>
      <c r="AD8" s="281" t="s">
        <v>1259</v>
      </c>
      <c r="AE8" s="281"/>
      <c r="AF8" s="281" t="s">
        <v>459</v>
      </c>
      <c r="AG8" s="281"/>
      <c r="AH8" s="281"/>
      <c r="AI8" s="281"/>
      <c r="AJ8" s="281"/>
      <c r="AK8" s="281"/>
      <c r="AL8" s="281"/>
      <c r="AM8" s="281"/>
      <c r="AN8" s="281"/>
      <c r="AO8" s="281"/>
      <c r="AP8" s="281"/>
      <c r="AQ8" s="281"/>
      <c r="AR8" s="281"/>
      <c r="AS8" s="281"/>
      <c r="AU8" s="281"/>
      <c r="AW8" s="281"/>
      <c r="AX8" s="281"/>
    </row>
    <row r="9" spans="1:50" ht="25.2" customHeight="1" thickBot="1">
      <c r="A9" s="119" t="s">
        <v>772</v>
      </c>
      <c r="B9" s="120" t="s">
        <v>773</v>
      </c>
      <c r="C9" s="115" t="s">
        <v>774</v>
      </c>
      <c r="D9" s="116">
        <v>2600</v>
      </c>
      <c r="E9" s="116">
        <v>4200</v>
      </c>
      <c r="F9" s="116"/>
      <c r="G9" s="116">
        <v>2800</v>
      </c>
      <c r="H9" s="116">
        <v>3600</v>
      </c>
      <c r="I9" s="116">
        <v>5000</v>
      </c>
      <c r="J9" s="116">
        <v>8300</v>
      </c>
      <c r="K9" s="116">
        <v>8500</v>
      </c>
      <c r="L9" s="116">
        <v>5800</v>
      </c>
      <c r="M9" s="116">
        <v>7000</v>
      </c>
      <c r="N9" s="116">
        <v>8000</v>
      </c>
      <c r="O9" s="116">
        <v>9000</v>
      </c>
      <c r="P9" s="116">
        <v>11000</v>
      </c>
      <c r="Q9" s="116">
        <v>12000</v>
      </c>
      <c r="R9" s="116">
        <v>6300</v>
      </c>
      <c r="S9" s="116"/>
      <c r="T9" s="116">
        <v>35000</v>
      </c>
      <c r="U9" s="116"/>
      <c r="V9" s="116">
        <v>17000</v>
      </c>
      <c r="W9" s="116">
        <v>35000</v>
      </c>
      <c r="X9" s="116"/>
      <c r="Y9" s="116"/>
      <c r="Z9" s="117"/>
      <c r="AB9" s="281"/>
      <c r="AC9" s="281" t="s">
        <v>1260</v>
      </c>
      <c r="AD9" s="281" t="s">
        <v>1260</v>
      </c>
      <c r="AE9" s="281"/>
      <c r="AF9" s="281" t="s">
        <v>844</v>
      </c>
      <c r="AG9" s="281"/>
      <c r="AH9" s="281"/>
      <c r="AI9" s="281"/>
      <c r="AJ9" s="281"/>
      <c r="AK9" s="281"/>
      <c r="AL9" s="281"/>
      <c r="AM9" s="281"/>
      <c r="AN9" s="281"/>
      <c r="AO9" s="281"/>
      <c r="AP9" s="281"/>
      <c r="AQ9" s="281"/>
      <c r="AR9" s="281"/>
      <c r="AS9" s="281"/>
      <c r="AU9" s="281"/>
      <c r="AW9" s="281"/>
      <c r="AX9" s="281"/>
    </row>
    <row r="10" spans="1:50" ht="25.2" customHeight="1" thickBot="1">
      <c r="A10" s="119" t="s">
        <v>775</v>
      </c>
      <c r="B10" s="327" t="s">
        <v>776</v>
      </c>
      <c r="C10" s="115" t="s">
        <v>777</v>
      </c>
      <c r="D10" s="116">
        <v>2750</v>
      </c>
      <c r="E10" s="116"/>
      <c r="F10" s="116"/>
      <c r="G10" s="116"/>
      <c r="H10" s="116"/>
      <c r="I10" s="116"/>
      <c r="J10" s="116"/>
      <c r="K10" s="116"/>
      <c r="L10" s="116"/>
      <c r="M10" s="116"/>
      <c r="N10" s="116"/>
      <c r="O10" s="116"/>
      <c r="P10" s="116"/>
      <c r="Q10" s="116"/>
      <c r="R10" s="116"/>
      <c r="S10" s="116"/>
      <c r="T10" s="116"/>
      <c r="U10" s="116"/>
      <c r="V10" s="116"/>
      <c r="W10" s="116"/>
      <c r="X10" s="116"/>
      <c r="Y10" s="116"/>
      <c r="Z10" s="117"/>
      <c r="AB10" s="281"/>
      <c r="AC10" s="281" t="s">
        <v>1261</v>
      </c>
      <c r="AD10" s="281" t="s">
        <v>1261</v>
      </c>
      <c r="AE10" s="281"/>
      <c r="AF10" s="281" t="s">
        <v>1174</v>
      </c>
      <c r="AG10" s="281"/>
      <c r="AH10" s="281"/>
      <c r="AI10" s="281"/>
      <c r="AJ10" s="281"/>
      <c r="AK10" s="281"/>
      <c r="AL10" s="281"/>
      <c r="AM10" s="281"/>
      <c r="AN10" s="281"/>
      <c r="AO10" s="281"/>
      <c r="AP10" s="281"/>
      <c r="AQ10" s="281"/>
      <c r="AR10" s="281"/>
      <c r="AS10" s="281"/>
      <c r="AU10" s="281"/>
      <c r="AW10" s="281"/>
      <c r="AX10" s="281"/>
    </row>
    <row r="11" spans="1:50" ht="25.2" customHeight="1" thickBot="1">
      <c r="A11" s="119" t="s">
        <v>775</v>
      </c>
      <c r="B11" s="328"/>
      <c r="C11" s="115" t="s">
        <v>778</v>
      </c>
      <c r="D11" s="116">
        <v>2700</v>
      </c>
      <c r="E11" s="116">
        <v>4000</v>
      </c>
      <c r="F11" s="116">
        <v>3000</v>
      </c>
      <c r="G11" s="116">
        <v>2800</v>
      </c>
      <c r="H11" s="116">
        <v>3700</v>
      </c>
      <c r="I11" s="116">
        <v>4800</v>
      </c>
      <c r="J11" s="116">
        <v>7800</v>
      </c>
      <c r="K11" s="116">
        <v>8800</v>
      </c>
      <c r="L11" s="116">
        <v>6000</v>
      </c>
      <c r="M11" s="116">
        <v>7600</v>
      </c>
      <c r="N11" s="116">
        <v>8600</v>
      </c>
      <c r="O11" s="116">
        <v>10500</v>
      </c>
      <c r="P11" s="116">
        <v>11500</v>
      </c>
      <c r="Q11" s="116">
        <v>12500</v>
      </c>
      <c r="R11" s="116">
        <v>6500</v>
      </c>
      <c r="S11" s="116">
        <v>7000</v>
      </c>
      <c r="T11" s="116">
        <v>36000</v>
      </c>
      <c r="U11" s="116">
        <v>25000</v>
      </c>
      <c r="V11" s="116">
        <v>18000</v>
      </c>
      <c r="W11" s="116">
        <v>38000</v>
      </c>
      <c r="X11" s="116"/>
      <c r="Y11" s="116"/>
      <c r="Z11" s="117"/>
      <c r="AB11" s="281"/>
      <c r="AC11" s="281" t="s">
        <v>1262</v>
      </c>
      <c r="AD11" s="281" t="s">
        <v>1262</v>
      </c>
      <c r="AE11" s="281"/>
      <c r="AF11" s="281" t="s">
        <v>845</v>
      </c>
      <c r="AG11" s="281"/>
      <c r="AH11" s="281"/>
      <c r="AI11" s="281"/>
      <c r="AJ11" s="281"/>
      <c r="AK11" s="281"/>
      <c r="AL11" s="281"/>
      <c r="AM11" s="281"/>
      <c r="AN11" s="281"/>
      <c r="AO11" s="281"/>
      <c r="AP11" s="281"/>
      <c r="AQ11" s="281"/>
      <c r="AR11" s="281"/>
      <c r="AS11" s="281"/>
      <c r="AU11" s="281"/>
      <c r="AW11" s="281"/>
      <c r="AX11" s="281"/>
    </row>
    <row r="12" spans="1:50" ht="25.2" customHeight="1" thickBot="1">
      <c r="A12" s="119" t="s">
        <v>779</v>
      </c>
      <c r="B12" s="120" t="s">
        <v>780</v>
      </c>
      <c r="C12" s="115" t="s">
        <v>781</v>
      </c>
      <c r="D12" s="116">
        <v>2800</v>
      </c>
      <c r="E12" s="116"/>
      <c r="F12" s="116"/>
      <c r="G12" s="116"/>
      <c r="H12" s="116"/>
      <c r="I12" s="116"/>
      <c r="J12" s="116"/>
      <c r="K12" s="116"/>
      <c r="L12" s="116"/>
      <c r="M12" s="116"/>
      <c r="N12" s="116"/>
      <c r="O12" s="116"/>
      <c r="P12" s="116"/>
      <c r="Q12" s="116"/>
      <c r="R12" s="116"/>
      <c r="S12" s="116"/>
      <c r="T12" s="116"/>
      <c r="U12" s="116"/>
      <c r="V12" s="116"/>
      <c r="W12" s="116"/>
      <c r="X12" s="116"/>
      <c r="Y12" s="116"/>
      <c r="Z12" s="117"/>
      <c r="AB12" s="281"/>
      <c r="AC12" s="281" t="s">
        <v>1263</v>
      </c>
      <c r="AD12" s="281" t="s">
        <v>1263</v>
      </c>
      <c r="AE12" s="281"/>
      <c r="AF12" s="283" t="s">
        <v>1283</v>
      </c>
      <c r="AG12" s="281"/>
      <c r="AH12" s="281"/>
      <c r="AI12" s="281"/>
      <c r="AJ12" s="281"/>
      <c r="AK12" s="281"/>
      <c r="AL12" s="281"/>
      <c r="AM12" s="281"/>
      <c r="AN12" s="281"/>
      <c r="AO12" s="281"/>
      <c r="AP12" s="281"/>
      <c r="AQ12" s="281"/>
      <c r="AR12" s="281"/>
      <c r="AS12" s="281"/>
      <c r="AU12" s="281"/>
      <c r="AW12" s="281"/>
      <c r="AX12" s="281"/>
    </row>
    <row r="13" spans="1:50" ht="25.2" customHeight="1" thickBot="1">
      <c r="A13" s="119" t="s">
        <v>779</v>
      </c>
      <c r="B13" s="120"/>
      <c r="C13" s="115" t="s">
        <v>778</v>
      </c>
      <c r="D13" s="116">
        <v>2750</v>
      </c>
      <c r="E13" s="116">
        <v>4150</v>
      </c>
      <c r="F13" s="116"/>
      <c r="G13" s="116">
        <v>2900</v>
      </c>
      <c r="H13" s="116">
        <v>3750</v>
      </c>
      <c r="I13" s="116">
        <v>4950</v>
      </c>
      <c r="J13" s="116"/>
      <c r="K13" s="116"/>
      <c r="L13" s="116">
        <v>6100</v>
      </c>
      <c r="M13" s="116">
        <v>7400</v>
      </c>
      <c r="N13" s="116">
        <v>8200</v>
      </c>
      <c r="O13" s="116">
        <v>9000</v>
      </c>
      <c r="P13" s="116">
        <v>11000</v>
      </c>
      <c r="Q13" s="116">
        <v>12000</v>
      </c>
      <c r="R13" s="116">
        <v>6600</v>
      </c>
      <c r="S13" s="116"/>
      <c r="T13" s="116"/>
      <c r="U13" s="116"/>
      <c r="V13" s="116"/>
      <c r="W13" s="116"/>
      <c r="X13" s="116"/>
      <c r="Y13" s="116"/>
      <c r="Z13" s="117"/>
      <c r="AB13" s="281"/>
      <c r="AC13" s="281" t="s">
        <v>1265</v>
      </c>
      <c r="AD13" s="281" t="s">
        <v>1265</v>
      </c>
      <c r="AE13" s="281"/>
      <c r="AF13" s="283" t="s">
        <v>1284</v>
      </c>
      <c r="AG13" s="281"/>
      <c r="AH13" s="281"/>
      <c r="AI13" s="281"/>
      <c r="AJ13" s="281"/>
      <c r="AK13" s="281"/>
      <c r="AL13" s="281"/>
      <c r="AM13" s="281"/>
      <c r="AN13" s="281"/>
      <c r="AO13" s="281"/>
      <c r="AP13" s="281"/>
      <c r="AQ13" s="281"/>
      <c r="AR13" s="281"/>
      <c r="AS13" s="281"/>
      <c r="AU13" s="281"/>
      <c r="AW13" s="281"/>
      <c r="AX13" s="281"/>
    </row>
    <row r="14" spans="1:50" ht="27.6" customHeight="1" thickBot="1">
      <c r="A14" s="121" t="s">
        <v>782</v>
      </c>
      <c r="B14" s="122" t="s">
        <v>783</v>
      </c>
      <c r="C14" s="115"/>
      <c r="D14" s="116">
        <v>3500</v>
      </c>
      <c r="E14" s="116"/>
      <c r="F14" s="116"/>
      <c r="G14" s="116"/>
      <c r="H14" s="116"/>
      <c r="I14" s="116"/>
      <c r="J14" s="116"/>
      <c r="K14" s="116"/>
      <c r="L14" s="113">
        <v>6300</v>
      </c>
      <c r="M14" s="113">
        <v>8300</v>
      </c>
      <c r="N14" s="113">
        <v>9300</v>
      </c>
      <c r="O14" s="116"/>
      <c r="P14" s="116">
        <v>18000</v>
      </c>
      <c r="Q14" s="116"/>
      <c r="R14" s="116">
        <v>7300</v>
      </c>
      <c r="S14" s="116"/>
      <c r="T14" s="116"/>
      <c r="U14" s="116"/>
      <c r="V14" s="116"/>
      <c r="W14" s="116"/>
      <c r="X14" s="116"/>
      <c r="Y14" s="116"/>
      <c r="Z14" s="117"/>
      <c r="AB14" s="281"/>
      <c r="AC14" s="281" t="s">
        <v>1266</v>
      </c>
      <c r="AD14" s="281" t="s">
        <v>1266</v>
      </c>
      <c r="AE14" s="281"/>
      <c r="AF14" s="281" t="s">
        <v>1285</v>
      </c>
      <c r="AG14" s="281"/>
      <c r="AH14" s="281"/>
      <c r="AI14" s="281"/>
      <c r="AJ14" s="281"/>
      <c r="AK14" s="281"/>
      <c r="AL14" s="281"/>
      <c r="AM14" s="281"/>
      <c r="AN14" s="281"/>
      <c r="AO14" s="281"/>
      <c r="AP14" s="281"/>
      <c r="AQ14" s="281"/>
      <c r="AR14" s="281"/>
      <c r="AS14" s="281"/>
      <c r="AU14" s="281"/>
      <c r="AW14" s="281"/>
      <c r="AX14" s="281"/>
    </row>
    <row r="15" spans="1:50" ht="27.6" customHeight="1" thickBot="1">
      <c r="A15" s="329" t="s">
        <v>784</v>
      </c>
      <c r="B15" s="319" t="s">
        <v>785</v>
      </c>
      <c r="C15" s="122" t="s">
        <v>786</v>
      </c>
      <c r="D15" s="116">
        <v>4000</v>
      </c>
      <c r="E15" s="116"/>
      <c r="F15" s="116"/>
      <c r="G15" s="116"/>
      <c r="H15" s="116"/>
      <c r="I15" s="116"/>
      <c r="J15" s="116"/>
      <c r="K15" s="116"/>
      <c r="L15" s="113">
        <v>6900</v>
      </c>
      <c r="M15" s="113">
        <v>8600</v>
      </c>
      <c r="N15" s="113">
        <v>9600</v>
      </c>
      <c r="O15" s="116">
        <v>11500</v>
      </c>
      <c r="P15" s="116">
        <v>15000</v>
      </c>
      <c r="Q15" s="116"/>
      <c r="R15" s="116">
        <v>7900</v>
      </c>
      <c r="S15" s="116"/>
      <c r="T15" s="116"/>
      <c r="U15" s="116"/>
      <c r="V15" s="116"/>
      <c r="W15" s="116"/>
      <c r="X15" s="116"/>
      <c r="Y15" s="116"/>
      <c r="Z15" s="117"/>
      <c r="AB15" s="281"/>
      <c r="AC15" s="281" t="s">
        <v>1267</v>
      </c>
      <c r="AD15" s="281" t="s">
        <v>1267</v>
      </c>
      <c r="AE15" s="281"/>
      <c r="AF15" s="281"/>
      <c r="AG15" s="281"/>
      <c r="AH15" s="281"/>
      <c r="AI15" s="281"/>
      <c r="AJ15" s="281"/>
      <c r="AK15" s="281"/>
      <c r="AL15" s="281"/>
      <c r="AM15" s="281"/>
      <c r="AN15" s="281"/>
      <c r="AO15" s="281"/>
      <c r="AP15" s="281"/>
      <c r="AQ15" s="281"/>
      <c r="AR15" s="281"/>
      <c r="AS15" s="281"/>
      <c r="AU15" s="281"/>
      <c r="AW15" s="281"/>
      <c r="AX15" s="281"/>
    </row>
    <row r="16" spans="1:50" ht="27.6" customHeight="1" thickBot="1">
      <c r="A16" s="330"/>
      <c r="B16" s="320"/>
      <c r="C16" s="122" t="s">
        <v>787</v>
      </c>
      <c r="D16" s="116">
        <v>3700</v>
      </c>
      <c r="E16" s="116"/>
      <c r="F16" s="116"/>
      <c r="G16" s="116"/>
      <c r="H16" s="116"/>
      <c r="I16" s="116"/>
      <c r="J16" s="116"/>
      <c r="K16" s="116"/>
      <c r="L16" s="113">
        <v>6700</v>
      </c>
      <c r="M16" s="113">
        <v>8200</v>
      </c>
      <c r="N16" s="113">
        <v>9200</v>
      </c>
      <c r="O16" s="116">
        <v>11500</v>
      </c>
      <c r="P16" s="116">
        <v>15000</v>
      </c>
      <c r="Q16" s="116"/>
      <c r="R16" s="116">
        <v>7700</v>
      </c>
      <c r="S16" s="116"/>
      <c r="T16" s="116"/>
      <c r="U16" s="116"/>
      <c r="V16" s="116"/>
      <c r="W16" s="116"/>
      <c r="X16" s="116"/>
      <c r="Y16" s="116"/>
      <c r="Z16" s="117"/>
      <c r="AB16" s="281"/>
      <c r="AC16" s="281" t="s">
        <v>1268</v>
      </c>
      <c r="AD16" s="281" t="s">
        <v>1268</v>
      </c>
      <c r="AE16" s="281"/>
      <c r="AF16" s="281"/>
      <c r="AG16" s="281"/>
      <c r="AH16" s="281"/>
      <c r="AI16" s="281"/>
      <c r="AJ16" s="281"/>
      <c r="AK16" s="281"/>
      <c r="AL16" s="281"/>
      <c r="AM16" s="281"/>
      <c r="AN16" s="281"/>
      <c r="AO16" s="281"/>
      <c r="AP16" s="281"/>
      <c r="AQ16" s="281"/>
      <c r="AR16" s="281"/>
      <c r="AS16" s="281"/>
      <c r="AU16" s="281"/>
      <c r="AW16" s="281"/>
      <c r="AX16" s="281"/>
    </row>
    <row r="17" spans="1:50" ht="27.6" customHeight="1" thickBot="1">
      <c r="A17" s="331"/>
      <c r="B17" s="332"/>
      <c r="C17" s="122" t="s">
        <v>788</v>
      </c>
      <c r="D17" s="116">
        <v>3300</v>
      </c>
      <c r="E17" s="116"/>
      <c r="F17" s="116"/>
      <c r="G17" s="116"/>
      <c r="H17" s="116"/>
      <c r="I17" s="116"/>
      <c r="J17" s="116"/>
      <c r="K17" s="116"/>
      <c r="L17" s="113">
        <v>6500</v>
      </c>
      <c r="M17" s="113">
        <v>8000</v>
      </c>
      <c r="N17" s="113">
        <v>9000</v>
      </c>
      <c r="O17" s="116">
        <v>11500</v>
      </c>
      <c r="P17" s="116">
        <v>15000</v>
      </c>
      <c r="Q17" s="116"/>
      <c r="R17" s="116">
        <v>7500</v>
      </c>
      <c r="S17" s="116"/>
      <c r="T17" s="116"/>
      <c r="U17" s="116"/>
      <c r="V17" s="116"/>
      <c r="W17" s="116"/>
      <c r="X17" s="116"/>
      <c r="Y17" s="116"/>
      <c r="Z17" s="117"/>
      <c r="AB17" s="281"/>
      <c r="AC17" s="281" t="s">
        <v>1269</v>
      </c>
      <c r="AD17" s="281" t="s">
        <v>1269</v>
      </c>
      <c r="AE17" s="281"/>
      <c r="AF17" s="281"/>
      <c r="AG17" s="281"/>
      <c r="AH17" s="281"/>
      <c r="AI17" s="281"/>
      <c r="AJ17" s="281"/>
      <c r="AK17" s="281"/>
      <c r="AL17" s="281"/>
      <c r="AM17" s="281"/>
      <c r="AN17" s="281"/>
      <c r="AO17" s="281"/>
      <c r="AP17" s="281"/>
      <c r="AQ17" s="281"/>
      <c r="AR17" s="281"/>
      <c r="AS17" s="281"/>
      <c r="AU17" s="281"/>
      <c r="AW17" s="281"/>
      <c r="AX17" s="281"/>
    </row>
    <row r="18" spans="1:50" ht="27.6" customHeight="1" thickBot="1">
      <c r="A18" s="329" t="s">
        <v>789</v>
      </c>
      <c r="B18" s="319" t="s">
        <v>785</v>
      </c>
      <c r="C18" s="122" t="s">
        <v>786</v>
      </c>
      <c r="D18" s="116">
        <v>3800</v>
      </c>
      <c r="E18" s="116"/>
      <c r="F18" s="116"/>
      <c r="G18" s="116"/>
      <c r="H18" s="116"/>
      <c r="I18" s="116"/>
      <c r="J18" s="116"/>
      <c r="K18" s="116"/>
      <c r="L18" s="113">
        <v>6700</v>
      </c>
      <c r="M18" s="113">
        <v>8200</v>
      </c>
      <c r="N18" s="113">
        <v>8900</v>
      </c>
      <c r="O18" s="116">
        <v>11500</v>
      </c>
      <c r="P18" s="116">
        <v>16000</v>
      </c>
      <c r="Q18" s="116"/>
      <c r="R18" s="116">
        <v>7200</v>
      </c>
      <c r="S18" s="116"/>
      <c r="T18" s="116"/>
      <c r="U18" s="116"/>
      <c r="V18" s="116"/>
      <c r="W18" s="116"/>
      <c r="X18" s="116"/>
      <c r="Y18" s="116"/>
      <c r="Z18" s="117"/>
      <c r="AB18" s="281"/>
      <c r="AC18" s="281" t="s">
        <v>1270</v>
      </c>
      <c r="AD18" s="281" t="s">
        <v>1270</v>
      </c>
      <c r="AE18" s="281"/>
      <c r="AF18" s="281"/>
      <c r="AG18" s="281"/>
      <c r="AH18" s="281"/>
      <c r="AI18" s="281"/>
      <c r="AJ18" s="281"/>
      <c r="AK18" s="281"/>
      <c r="AL18" s="281"/>
      <c r="AM18" s="281"/>
      <c r="AN18" s="281"/>
      <c r="AO18" s="281"/>
      <c r="AP18" s="281"/>
      <c r="AQ18" s="281"/>
      <c r="AR18" s="281"/>
      <c r="AS18" s="281"/>
      <c r="AU18" s="281"/>
      <c r="AW18" s="281"/>
      <c r="AX18" s="281"/>
    </row>
    <row r="19" spans="1:50" ht="25.2" customHeight="1" thickBot="1">
      <c r="A19" s="330"/>
      <c r="B19" s="320"/>
      <c r="C19" s="122" t="s">
        <v>787</v>
      </c>
      <c r="D19" s="116">
        <v>3300</v>
      </c>
      <c r="E19" s="116"/>
      <c r="F19" s="116"/>
      <c r="G19" s="116"/>
      <c r="H19" s="116"/>
      <c r="I19" s="116"/>
      <c r="J19" s="116"/>
      <c r="K19" s="116"/>
      <c r="L19" s="113">
        <v>6400</v>
      </c>
      <c r="M19" s="113">
        <v>8200</v>
      </c>
      <c r="N19" s="113">
        <v>8900</v>
      </c>
      <c r="O19" s="116">
        <v>11500</v>
      </c>
      <c r="P19" s="116">
        <v>16000</v>
      </c>
      <c r="Q19" s="116"/>
      <c r="R19" s="116">
        <v>7200</v>
      </c>
      <c r="S19" s="116"/>
      <c r="T19" s="116"/>
      <c r="U19" s="116"/>
      <c r="V19" s="116"/>
      <c r="W19" s="116"/>
      <c r="X19" s="116"/>
      <c r="Y19" s="116"/>
      <c r="Z19" s="117"/>
      <c r="AB19" s="283"/>
      <c r="AC19" s="283" t="s">
        <v>1283</v>
      </c>
      <c r="AD19" s="283" t="s">
        <v>1283</v>
      </c>
      <c r="AE19" s="283"/>
      <c r="AF19" s="283"/>
      <c r="AG19" s="283"/>
      <c r="AH19" s="283"/>
      <c r="AI19" s="283"/>
      <c r="AJ19" s="283"/>
      <c r="AK19" s="283"/>
      <c r="AL19" s="283"/>
      <c r="AM19" s="283"/>
      <c r="AN19" s="283"/>
      <c r="AO19" s="283"/>
      <c r="AP19" s="283"/>
      <c r="AQ19" s="283"/>
      <c r="AR19" s="283"/>
      <c r="AS19" s="283"/>
      <c r="AU19" s="283"/>
      <c r="AW19" s="283"/>
      <c r="AX19" s="283"/>
    </row>
    <row r="20" spans="1:50" ht="25.2" customHeight="1" thickBot="1">
      <c r="A20" s="331"/>
      <c r="B20" s="332"/>
      <c r="C20" s="122" t="s">
        <v>788</v>
      </c>
      <c r="D20" s="116">
        <v>3300</v>
      </c>
      <c r="E20" s="116"/>
      <c r="F20" s="116"/>
      <c r="G20" s="116"/>
      <c r="H20" s="116"/>
      <c r="I20" s="116"/>
      <c r="J20" s="116"/>
      <c r="K20" s="116"/>
      <c r="L20" s="113">
        <v>6400</v>
      </c>
      <c r="M20" s="113">
        <v>8000</v>
      </c>
      <c r="N20" s="113">
        <v>8700</v>
      </c>
      <c r="O20" s="116">
        <v>11500</v>
      </c>
      <c r="P20" s="116">
        <v>16000</v>
      </c>
      <c r="Q20" s="116"/>
      <c r="R20" s="116">
        <v>7200</v>
      </c>
      <c r="S20" s="116"/>
      <c r="T20" s="116"/>
      <c r="U20" s="116"/>
      <c r="V20" s="116"/>
      <c r="W20" s="116"/>
      <c r="X20" s="116"/>
      <c r="Y20" s="116"/>
      <c r="Z20" s="117"/>
      <c r="AB20" s="283"/>
      <c r="AC20" s="283" t="s">
        <v>1284</v>
      </c>
      <c r="AD20" s="283" t="s">
        <v>1284</v>
      </c>
      <c r="AE20" s="283"/>
      <c r="AF20" s="283"/>
      <c r="AG20" s="283"/>
      <c r="AH20" s="283"/>
      <c r="AI20" s="283"/>
      <c r="AJ20" s="283"/>
      <c r="AK20" s="283"/>
      <c r="AL20" s="283"/>
      <c r="AM20" s="283"/>
      <c r="AN20" s="283"/>
      <c r="AO20" s="283"/>
      <c r="AP20" s="283"/>
      <c r="AQ20" s="283"/>
      <c r="AR20" s="283"/>
      <c r="AS20" s="283"/>
      <c r="AU20" s="283"/>
      <c r="AW20" s="283"/>
      <c r="AX20" s="283"/>
    </row>
    <row r="21" spans="1:50" ht="25.2" customHeight="1" thickBot="1">
      <c r="A21" s="123" t="s">
        <v>790</v>
      </c>
      <c r="B21" s="124" t="s">
        <v>791</v>
      </c>
      <c r="C21" s="125"/>
      <c r="D21" s="126"/>
      <c r="E21" s="126"/>
      <c r="F21" s="126"/>
      <c r="G21" s="126"/>
      <c r="H21" s="126"/>
      <c r="I21" s="126"/>
      <c r="J21" s="126"/>
      <c r="K21" s="126"/>
      <c r="L21" s="127">
        <v>12600</v>
      </c>
      <c r="M21" s="127">
        <v>16200</v>
      </c>
      <c r="N21" s="127">
        <v>18500</v>
      </c>
      <c r="O21" s="126"/>
      <c r="P21" s="126"/>
      <c r="Q21" s="126"/>
      <c r="R21" s="126"/>
      <c r="S21" s="126"/>
      <c r="T21" s="126"/>
      <c r="U21" s="126"/>
      <c r="V21" s="126"/>
      <c r="W21" s="126"/>
      <c r="X21" s="126"/>
      <c r="Y21" s="126"/>
      <c r="Z21" s="128"/>
      <c r="AB21" s="283"/>
      <c r="AC21" s="283" t="s">
        <v>1271</v>
      </c>
      <c r="AD21" s="283" t="s">
        <v>1271</v>
      </c>
      <c r="AE21" s="283"/>
      <c r="AF21" s="283"/>
      <c r="AG21" s="283"/>
      <c r="AH21" s="283"/>
      <c r="AI21" s="283"/>
      <c r="AJ21" s="283"/>
      <c r="AK21" s="283"/>
      <c r="AL21" s="283"/>
      <c r="AM21" s="283"/>
      <c r="AN21" s="283"/>
      <c r="AO21" s="283"/>
      <c r="AP21" s="283"/>
      <c r="AQ21" s="283"/>
      <c r="AR21" s="283"/>
      <c r="AS21" s="283"/>
      <c r="AU21" s="283"/>
      <c r="AW21" s="283"/>
      <c r="AX21" s="283"/>
    </row>
    <row r="22" spans="1:50" ht="25.2" customHeight="1" thickBot="1">
      <c r="A22" s="129" t="s">
        <v>792</v>
      </c>
      <c r="B22" s="130"/>
      <c r="C22" s="111"/>
      <c r="D22" s="112"/>
      <c r="E22" s="112"/>
      <c r="F22" s="112"/>
      <c r="G22" s="112"/>
      <c r="H22" s="112"/>
      <c r="I22" s="112"/>
      <c r="J22" s="112"/>
      <c r="K22" s="112"/>
      <c r="L22" s="112"/>
      <c r="M22" s="112"/>
      <c r="N22" s="112"/>
      <c r="O22" s="112"/>
      <c r="P22" s="112"/>
      <c r="Q22" s="112"/>
      <c r="R22" s="112"/>
      <c r="S22" s="112"/>
      <c r="T22" s="112"/>
      <c r="U22" s="112"/>
      <c r="V22" s="112"/>
      <c r="W22" s="112"/>
      <c r="X22" s="112">
        <v>11300</v>
      </c>
      <c r="Y22" s="112">
        <v>11700</v>
      </c>
      <c r="Z22" s="114"/>
      <c r="AB22" s="283"/>
      <c r="AC22" s="283" t="s">
        <v>1272</v>
      </c>
      <c r="AD22" s="283" t="s">
        <v>1272</v>
      </c>
      <c r="AE22" s="283"/>
      <c r="AF22" s="283"/>
      <c r="AG22" s="283"/>
      <c r="AH22" s="283"/>
      <c r="AI22" s="283"/>
      <c r="AJ22" s="283"/>
      <c r="AK22" s="283"/>
      <c r="AL22" s="283"/>
      <c r="AM22" s="283"/>
      <c r="AN22" s="283"/>
      <c r="AO22" s="283"/>
      <c r="AP22" s="283"/>
      <c r="AQ22" s="283"/>
      <c r="AR22" s="283"/>
      <c r="AS22" s="283"/>
      <c r="AU22" s="283"/>
      <c r="AW22" s="283"/>
      <c r="AX22" s="283"/>
    </row>
    <row r="23" spans="1:50" ht="25.2" customHeight="1" thickBot="1">
      <c r="A23" s="118" t="s">
        <v>793</v>
      </c>
      <c r="B23" s="131"/>
      <c r="C23" s="115"/>
      <c r="D23" s="116"/>
      <c r="E23" s="116"/>
      <c r="F23" s="116"/>
      <c r="G23" s="116"/>
      <c r="H23" s="116"/>
      <c r="I23" s="116"/>
      <c r="J23" s="116"/>
      <c r="K23" s="116"/>
      <c r="L23" s="116"/>
      <c r="M23" s="116"/>
      <c r="N23" s="116"/>
      <c r="O23" s="116"/>
      <c r="P23" s="116"/>
      <c r="Q23" s="116"/>
      <c r="R23" s="116"/>
      <c r="S23" s="116"/>
      <c r="T23" s="116"/>
      <c r="U23" s="116"/>
      <c r="V23" s="116"/>
      <c r="W23" s="116"/>
      <c r="X23" s="116">
        <v>11000</v>
      </c>
      <c r="Y23" s="116">
        <v>11300</v>
      </c>
      <c r="Z23" s="117"/>
      <c r="AB23" s="283"/>
      <c r="AC23" s="283" t="s">
        <v>1273</v>
      </c>
      <c r="AD23" s="283" t="s">
        <v>1273</v>
      </c>
      <c r="AE23" s="283"/>
      <c r="AF23" s="283"/>
      <c r="AG23" s="283"/>
      <c r="AH23" s="283"/>
      <c r="AI23" s="283"/>
      <c r="AJ23" s="283"/>
      <c r="AK23" s="283"/>
      <c r="AL23" s="283"/>
      <c r="AM23" s="283"/>
      <c r="AN23" s="283"/>
      <c r="AO23" s="283"/>
      <c r="AP23" s="283"/>
      <c r="AQ23" s="283"/>
      <c r="AR23" s="283"/>
      <c r="AS23" s="283"/>
      <c r="AU23" s="283"/>
      <c r="AW23" s="283"/>
      <c r="AX23" s="283"/>
    </row>
    <row r="24" spans="1:50" ht="25.2" customHeight="1" thickBot="1">
      <c r="A24" s="119" t="s">
        <v>794</v>
      </c>
      <c r="B24" s="319" t="s">
        <v>795</v>
      </c>
      <c r="C24" s="115" t="s">
        <v>796</v>
      </c>
      <c r="D24" s="116"/>
      <c r="E24" s="116"/>
      <c r="F24" s="116"/>
      <c r="G24" s="116"/>
      <c r="H24" s="116"/>
      <c r="I24" s="116"/>
      <c r="J24" s="116"/>
      <c r="K24" s="116"/>
      <c r="L24" s="116"/>
      <c r="M24" s="116"/>
      <c r="N24" s="116"/>
      <c r="O24" s="116"/>
      <c r="P24" s="116"/>
      <c r="Q24" s="116"/>
      <c r="R24" s="116"/>
      <c r="S24" s="116"/>
      <c r="T24" s="116"/>
      <c r="U24" s="116"/>
      <c r="V24" s="116"/>
      <c r="W24" s="116"/>
      <c r="X24" s="116">
        <v>12150</v>
      </c>
      <c r="Y24" s="116">
        <v>12650</v>
      </c>
      <c r="Z24" s="117"/>
      <c r="AB24" s="283"/>
      <c r="AC24" s="283" t="s">
        <v>1274</v>
      </c>
      <c r="AD24" s="283" t="s">
        <v>1274</v>
      </c>
      <c r="AE24" s="283"/>
      <c r="AF24" s="283"/>
      <c r="AG24" s="283"/>
      <c r="AH24" s="283"/>
      <c r="AI24" s="283"/>
      <c r="AJ24" s="283"/>
      <c r="AK24" s="283"/>
      <c r="AL24" s="283"/>
      <c r="AM24" s="283"/>
      <c r="AN24" s="283"/>
      <c r="AO24" s="283"/>
      <c r="AP24" s="283"/>
      <c r="AQ24" s="283"/>
      <c r="AR24" s="283"/>
      <c r="AS24" s="283"/>
      <c r="AU24" s="283"/>
      <c r="AW24" s="283"/>
      <c r="AX24" s="283"/>
    </row>
    <row r="25" spans="1:50" ht="25.2" customHeight="1" thickBot="1">
      <c r="A25" s="119" t="s">
        <v>794</v>
      </c>
      <c r="B25" s="320"/>
      <c r="C25" s="115" t="s">
        <v>797</v>
      </c>
      <c r="D25" s="116"/>
      <c r="E25" s="116"/>
      <c r="F25" s="116"/>
      <c r="G25" s="116"/>
      <c r="H25" s="116"/>
      <c r="I25" s="116"/>
      <c r="J25" s="116"/>
      <c r="K25" s="116"/>
      <c r="L25" s="116"/>
      <c r="M25" s="116"/>
      <c r="N25" s="116"/>
      <c r="O25" s="116"/>
      <c r="P25" s="116"/>
      <c r="Q25" s="116"/>
      <c r="R25" s="116"/>
      <c r="S25" s="116"/>
      <c r="T25" s="116"/>
      <c r="U25" s="116"/>
      <c r="V25" s="116"/>
      <c r="W25" s="116"/>
      <c r="X25" s="116">
        <v>11650</v>
      </c>
      <c r="Y25" s="116">
        <v>12250</v>
      </c>
      <c r="Z25" s="117"/>
      <c r="AB25" s="283"/>
      <c r="AC25" s="283" t="s">
        <v>1281</v>
      </c>
      <c r="AD25" s="283" t="s">
        <v>1282</v>
      </c>
      <c r="AE25" s="283"/>
      <c r="AF25" s="283"/>
      <c r="AG25" s="283"/>
      <c r="AH25" s="283"/>
      <c r="AI25" s="283"/>
      <c r="AJ25" s="283"/>
      <c r="AK25" s="283"/>
      <c r="AL25" s="283"/>
      <c r="AM25" s="283"/>
      <c r="AN25" s="283"/>
      <c r="AO25" s="283"/>
      <c r="AP25" s="283"/>
      <c r="AQ25" s="283"/>
      <c r="AR25" s="283"/>
      <c r="AS25" s="283"/>
      <c r="AU25" s="283"/>
      <c r="AW25" s="283"/>
      <c r="AX25" s="283"/>
    </row>
    <row r="26" spans="1:50" ht="25.2" customHeight="1" thickBot="1">
      <c r="A26" s="132" t="s">
        <v>798</v>
      </c>
      <c r="B26" s="321"/>
      <c r="C26" s="133" t="s">
        <v>774</v>
      </c>
      <c r="D26" s="134"/>
      <c r="E26" s="134"/>
      <c r="F26" s="134"/>
      <c r="G26" s="134"/>
      <c r="H26" s="134"/>
      <c r="I26" s="134"/>
      <c r="J26" s="134"/>
      <c r="K26" s="134"/>
      <c r="L26" s="134"/>
      <c r="M26" s="134"/>
      <c r="N26" s="134"/>
      <c r="O26" s="134"/>
      <c r="P26" s="134"/>
      <c r="Q26" s="134"/>
      <c r="R26" s="134"/>
      <c r="S26" s="134"/>
      <c r="T26" s="134"/>
      <c r="U26" s="134"/>
      <c r="V26" s="134"/>
      <c r="W26" s="134"/>
      <c r="X26" s="134">
        <v>10950</v>
      </c>
      <c r="Y26" s="134">
        <v>11350</v>
      </c>
      <c r="Z26" s="135"/>
      <c r="AB26" s="283"/>
      <c r="AC26" s="283" t="s">
        <v>1275</v>
      </c>
      <c r="AD26" s="283" t="s">
        <v>1275</v>
      </c>
      <c r="AE26" s="283"/>
      <c r="AF26" s="283"/>
      <c r="AG26" s="283"/>
      <c r="AH26" s="283"/>
      <c r="AI26" s="283"/>
      <c r="AJ26" s="283"/>
      <c r="AK26" s="283"/>
      <c r="AL26" s="283"/>
      <c r="AM26" s="283"/>
      <c r="AN26" s="283"/>
      <c r="AO26" s="283"/>
      <c r="AP26" s="283"/>
      <c r="AQ26" s="283"/>
      <c r="AR26" s="283"/>
      <c r="AS26" s="283"/>
      <c r="AU26" s="283"/>
      <c r="AW26" s="283"/>
      <c r="AX26" s="283"/>
    </row>
    <row r="27" spans="1:50" ht="35.4" customHeight="1" thickBot="1">
      <c r="A27" s="119" t="s">
        <v>799</v>
      </c>
      <c r="B27" s="136" t="s">
        <v>800</v>
      </c>
      <c r="C27" s="137" t="s">
        <v>801</v>
      </c>
      <c r="D27" s="127"/>
      <c r="E27" s="127"/>
      <c r="F27" s="127"/>
      <c r="G27" s="127"/>
      <c r="H27" s="127"/>
      <c r="I27" s="127"/>
      <c r="J27" s="127"/>
      <c r="K27" s="127"/>
      <c r="L27" s="127"/>
      <c r="M27" s="127"/>
      <c r="N27" s="127"/>
      <c r="O27" s="127"/>
      <c r="P27" s="127"/>
      <c r="Q27" s="127"/>
      <c r="R27" s="127"/>
      <c r="S27" s="127"/>
      <c r="T27" s="127"/>
      <c r="U27" s="127"/>
      <c r="V27" s="127"/>
      <c r="W27" s="127"/>
      <c r="X27" s="127"/>
      <c r="Y27" s="127"/>
      <c r="Z27" s="138">
        <v>2100</v>
      </c>
      <c r="AB27" s="283"/>
      <c r="AC27" s="283"/>
      <c r="AD27" s="283"/>
      <c r="AE27" s="283"/>
      <c r="AF27" s="283"/>
      <c r="AG27" s="283"/>
      <c r="AH27" s="283"/>
      <c r="AI27" s="283"/>
      <c r="AJ27" s="283"/>
      <c r="AK27" s="283"/>
      <c r="AL27" s="283"/>
      <c r="AM27" s="283"/>
      <c r="AN27" s="283"/>
      <c r="AO27" s="283"/>
      <c r="AP27" s="283"/>
      <c r="AQ27" s="283"/>
      <c r="AR27" s="283"/>
      <c r="AS27" s="283"/>
      <c r="AU27" s="283"/>
      <c r="AW27" s="283"/>
      <c r="AX27" s="283"/>
    </row>
    <row r="28" spans="1:50" ht="25.2" customHeight="1" thickBot="1">
      <c r="A28" s="119" t="s">
        <v>799</v>
      </c>
      <c r="B28" s="120"/>
      <c r="C28" s="115" t="s">
        <v>802</v>
      </c>
      <c r="D28" s="116"/>
      <c r="E28" s="116"/>
      <c r="F28" s="116"/>
      <c r="G28" s="116"/>
      <c r="H28" s="116"/>
      <c r="I28" s="116"/>
      <c r="J28" s="116"/>
      <c r="K28" s="116"/>
      <c r="L28" s="116"/>
      <c r="M28" s="116"/>
      <c r="N28" s="116"/>
      <c r="O28" s="116"/>
      <c r="P28" s="116"/>
      <c r="Q28" s="116"/>
      <c r="R28" s="116"/>
      <c r="S28" s="116"/>
      <c r="T28" s="116"/>
      <c r="U28" s="116"/>
      <c r="V28" s="116"/>
      <c r="W28" s="116"/>
      <c r="X28" s="116"/>
      <c r="Y28" s="116"/>
      <c r="Z28" s="117">
        <v>1880</v>
      </c>
      <c r="AB28" s="283"/>
      <c r="AC28" s="283"/>
      <c r="AD28" s="283"/>
      <c r="AE28" s="283"/>
      <c r="AF28" s="283"/>
      <c r="AG28" s="283"/>
      <c r="AH28" s="283"/>
      <c r="AI28" s="283"/>
      <c r="AJ28" s="283"/>
      <c r="AK28" s="283"/>
      <c r="AL28" s="283"/>
      <c r="AM28" s="283"/>
      <c r="AN28" s="283"/>
      <c r="AO28" s="283"/>
      <c r="AP28" s="283"/>
      <c r="AQ28" s="283"/>
      <c r="AR28" s="283"/>
      <c r="AS28" s="283"/>
      <c r="AU28" s="283"/>
      <c r="AW28" s="283"/>
      <c r="AX28" s="283"/>
    </row>
    <row r="29" spans="1:50" ht="25.2" customHeight="1" thickBot="1">
      <c r="A29" s="119" t="s">
        <v>799</v>
      </c>
      <c r="B29" s="120"/>
      <c r="C29" s="115" t="s">
        <v>803</v>
      </c>
      <c r="D29" s="116"/>
      <c r="E29" s="116"/>
      <c r="F29" s="116"/>
      <c r="G29" s="116"/>
      <c r="H29" s="116"/>
      <c r="I29" s="116"/>
      <c r="J29" s="116"/>
      <c r="K29" s="116"/>
      <c r="L29" s="116"/>
      <c r="M29" s="116"/>
      <c r="N29" s="116"/>
      <c r="O29" s="116"/>
      <c r="P29" s="116"/>
      <c r="Q29" s="116"/>
      <c r="R29" s="116"/>
      <c r="S29" s="116"/>
      <c r="T29" s="116"/>
      <c r="U29" s="116"/>
      <c r="V29" s="116"/>
      <c r="W29" s="116"/>
      <c r="X29" s="116"/>
      <c r="Y29" s="116"/>
      <c r="Z29" s="117">
        <v>1900</v>
      </c>
      <c r="AB29" s="283"/>
      <c r="AC29" s="283"/>
      <c r="AD29" s="283"/>
      <c r="AE29" s="283"/>
      <c r="AF29" s="283"/>
      <c r="AG29" s="283"/>
      <c r="AH29" s="283"/>
      <c r="AI29" s="283"/>
      <c r="AJ29" s="283"/>
      <c r="AK29" s="283"/>
      <c r="AL29" s="283"/>
      <c r="AM29" s="283"/>
      <c r="AN29" s="283"/>
      <c r="AO29" s="283"/>
      <c r="AP29" s="283"/>
      <c r="AQ29" s="283"/>
      <c r="AR29" s="283"/>
      <c r="AS29" s="283"/>
      <c r="AU29" s="283"/>
      <c r="AW29" s="283"/>
      <c r="AX29" s="283"/>
    </row>
    <row r="30" spans="1:50" ht="21" customHeight="1" thickBot="1">
      <c r="A30" s="118" t="s">
        <v>804</v>
      </c>
      <c r="B30" s="131"/>
      <c r="C30" s="115" t="s">
        <v>805</v>
      </c>
      <c r="D30" s="116"/>
      <c r="E30" s="116"/>
      <c r="F30" s="116"/>
      <c r="G30" s="116"/>
      <c r="H30" s="116"/>
      <c r="I30" s="116"/>
      <c r="J30" s="116"/>
      <c r="K30" s="116"/>
      <c r="L30" s="116"/>
      <c r="M30" s="116"/>
      <c r="N30" s="116"/>
      <c r="O30" s="116"/>
      <c r="P30" s="116"/>
      <c r="Q30" s="116"/>
      <c r="R30" s="116"/>
      <c r="S30" s="116"/>
      <c r="T30" s="116"/>
      <c r="U30" s="116"/>
      <c r="V30" s="116"/>
      <c r="W30" s="116"/>
      <c r="X30" s="116"/>
      <c r="Y30" s="116"/>
      <c r="Z30" s="117">
        <v>2000</v>
      </c>
      <c r="AB30" s="283"/>
      <c r="AC30" s="283"/>
      <c r="AD30" s="283"/>
      <c r="AE30" s="283"/>
      <c r="AF30" s="283"/>
      <c r="AG30" s="283"/>
      <c r="AH30" s="283"/>
      <c r="AI30" s="283"/>
      <c r="AJ30" s="283"/>
      <c r="AK30" s="283"/>
      <c r="AL30" s="283"/>
      <c r="AM30" s="283"/>
      <c r="AN30" s="283"/>
      <c r="AO30" s="283"/>
      <c r="AP30" s="283"/>
      <c r="AQ30" s="283"/>
      <c r="AR30" s="283"/>
      <c r="AS30" s="283"/>
      <c r="AU30" s="283"/>
      <c r="AW30" s="283"/>
      <c r="AX30" s="283"/>
    </row>
    <row r="31" spans="1:50" ht="21" customHeight="1" thickBot="1">
      <c r="A31" s="118" t="s">
        <v>806</v>
      </c>
      <c r="B31" s="322" t="s">
        <v>769</v>
      </c>
      <c r="C31" s="115" t="s">
        <v>807</v>
      </c>
      <c r="D31" s="116"/>
      <c r="E31" s="116"/>
      <c r="F31" s="116"/>
      <c r="G31" s="116"/>
      <c r="H31" s="116"/>
      <c r="I31" s="116"/>
      <c r="J31" s="116"/>
      <c r="K31" s="116"/>
      <c r="L31" s="116"/>
      <c r="M31" s="116"/>
      <c r="N31" s="116"/>
      <c r="O31" s="116"/>
      <c r="P31" s="116"/>
      <c r="Q31" s="116"/>
      <c r="R31" s="116"/>
      <c r="S31" s="116"/>
      <c r="T31" s="116"/>
      <c r="U31" s="116"/>
      <c r="V31" s="116"/>
      <c r="W31" s="116"/>
      <c r="X31" s="116"/>
      <c r="Y31" s="116"/>
      <c r="Z31" s="117">
        <v>2050</v>
      </c>
      <c r="AB31" s="283"/>
      <c r="AC31" s="283"/>
      <c r="AD31" s="283"/>
      <c r="AE31" s="283"/>
      <c r="AF31" s="283"/>
      <c r="AG31" s="283"/>
      <c r="AH31" s="283"/>
      <c r="AI31" s="283"/>
      <c r="AJ31" s="283"/>
      <c r="AK31" s="283"/>
      <c r="AL31" s="283"/>
      <c r="AM31" s="283"/>
      <c r="AN31" s="283"/>
      <c r="AO31" s="283"/>
      <c r="AP31" s="283"/>
      <c r="AQ31" s="283"/>
      <c r="AR31" s="283"/>
      <c r="AS31" s="283"/>
      <c r="AU31" s="283"/>
      <c r="AW31" s="283"/>
      <c r="AX31" s="283"/>
    </row>
    <row r="32" spans="1:50" ht="21" customHeight="1" thickBot="1">
      <c r="A32" s="118" t="s">
        <v>806</v>
      </c>
      <c r="B32" s="323"/>
      <c r="C32" s="115" t="s">
        <v>808</v>
      </c>
      <c r="D32" s="116"/>
      <c r="E32" s="116"/>
      <c r="F32" s="116"/>
      <c r="G32" s="116"/>
      <c r="H32" s="116"/>
      <c r="I32" s="116"/>
      <c r="J32" s="116"/>
      <c r="K32" s="116"/>
      <c r="L32" s="116"/>
      <c r="M32" s="116"/>
      <c r="N32" s="116"/>
      <c r="O32" s="116"/>
      <c r="P32" s="116"/>
      <c r="Q32" s="116"/>
      <c r="R32" s="116"/>
      <c r="S32" s="116"/>
      <c r="T32" s="116"/>
      <c r="U32" s="116"/>
      <c r="V32" s="116"/>
      <c r="W32" s="116"/>
      <c r="X32" s="116"/>
      <c r="Y32" s="116"/>
      <c r="Z32" s="117">
        <v>1880</v>
      </c>
      <c r="AB32" s="283"/>
      <c r="AC32" s="283"/>
      <c r="AD32" s="283"/>
      <c r="AE32" s="283"/>
      <c r="AF32" s="283"/>
      <c r="AG32" s="283"/>
      <c r="AH32" s="283"/>
      <c r="AI32" s="283"/>
      <c r="AJ32" s="283"/>
      <c r="AK32" s="283"/>
      <c r="AL32" s="283"/>
      <c r="AM32" s="283"/>
      <c r="AN32" s="283"/>
      <c r="AO32" s="283"/>
      <c r="AP32" s="283"/>
      <c r="AQ32" s="283"/>
      <c r="AR32" s="283"/>
      <c r="AS32" s="283"/>
      <c r="AU32" s="283"/>
      <c r="AW32" s="283"/>
      <c r="AX32" s="283"/>
    </row>
    <row r="33" spans="1:50" ht="21" customHeight="1" thickBot="1">
      <c r="A33" s="139" t="s">
        <v>806</v>
      </c>
      <c r="B33" s="324"/>
      <c r="C33" s="133" t="s">
        <v>809</v>
      </c>
      <c r="D33" s="134"/>
      <c r="E33" s="134"/>
      <c r="F33" s="134"/>
      <c r="G33" s="134"/>
      <c r="H33" s="134"/>
      <c r="I33" s="134"/>
      <c r="J33" s="134"/>
      <c r="K33" s="134"/>
      <c r="L33" s="134"/>
      <c r="M33" s="134"/>
      <c r="N33" s="134"/>
      <c r="O33" s="134"/>
      <c r="P33" s="134"/>
      <c r="Q33" s="134"/>
      <c r="R33" s="134"/>
      <c r="S33" s="134"/>
      <c r="T33" s="134"/>
      <c r="U33" s="134"/>
      <c r="V33" s="134"/>
      <c r="W33" s="134"/>
      <c r="X33" s="134"/>
      <c r="Y33" s="134"/>
      <c r="Z33" s="135">
        <v>1880</v>
      </c>
      <c r="AB33" s="283"/>
      <c r="AC33" s="283"/>
      <c r="AD33" s="283"/>
      <c r="AE33" s="283"/>
      <c r="AF33" s="283"/>
      <c r="AG33" s="283"/>
      <c r="AH33" s="283"/>
      <c r="AI33" s="283"/>
      <c r="AJ33" s="283"/>
      <c r="AK33" s="283"/>
      <c r="AL33" s="283"/>
      <c r="AM33" s="283"/>
      <c r="AN33" s="283"/>
      <c r="AO33" s="283"/>
      <c r="AP33" s="283"/>
      <c r="AQ33" s="283"/>
      <c r="AR33" s="283"/>
      <c r="AS33" s="283"/>
      <c r="AU33" s="283"/>
      <c r="AW33" s="283"/>
      <c r="AX33" s="283"/>
    </row>
    <row r="34" spans="1:50" ht="21" customHeight="1"/>
    <row r="35" spans="1:50">
      <c r="A35" t="s">
        <v>810</v>
      </c>
    </row>
    <row r="36" spans="1:50">
      <c r="A36" t="s">
        <v>811</v>
      </c>
    </row>
    <row r="37" spans="1:50">
      <c r="A37" t="s">
        <v>812</v>
      </c>
    </row>
    <row r="38" spans="1:50">
      <c r="A38" t="s">
        <v>813</v>
      </c>
    </row>
    <row r="39" spans="1:50">
      <c r="A39" t="s">
        <v>814</v>
      </c>
    </row>
    <row r="40" spans="1:50">
      <c r="A40" t="s">
        <v>815</v>
      </c>
    </row>
    <row r="41" spans="1:50">
      <c r="A41" t="s">
        <v>816</v>
      </c>
    </row>
    <row r="42" spans="1:50">
      <c r="A42" t="s">
        <v>817</v>
      </c>
    </row>
    <row r="43" spans="1:50">
      <c r="A43" t="s">
        <v>818</v>
      </c>
    </row>
    <row r="44" spans="1:50">
      <c r="A44" t="s">
        <v>819</v>
      </c>
    </row>
  </sheetData>
  <mergeCells count="14">
    <mergeCell ref="A1:Z1"/>
    <mergeCell ref="A5:A6"/>
    <mergeCell ref="B5:B6"/>
    <mergeCell ref="L5:L6"/>
    <mergeCell ref="M5:M6"/>
    <mergeCell ref="N5:N6"/>
    <mergeCell ref="B24:B26"/>
    <mergeCell ref="B31:B33"/>
    <mergeCell ref="B7:B8"/>
    <mergeCell ref="B10:B11"/>
    <mergeCell ref="A15:A17"/>
    <mergeCell ref="B15:B17"/>
    <mergeCell ref="A18:A20"/>
    <mergeCell ref="B18:B20"/>
  </mergeCells>
  <phoneticPr fontId="24" type="noConversion"/>
  <pageMargins left="0.7" right="0.7" top="0.75" bottom="0.75" header="0.3" footer="0.3"/>
  <pageSetup paperSize="9" scale="3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AF120"/>
  <sheetViews>
    <sheetView showGridLines="0" view="pageBreakPreview" topLeftCell="D88" zoomScale="70" zoomScaleNormal="55" zoomScaleSheetLayoutView="70" workbookViewId="0">
      <selection activeCell="Z127" sqref="Z127"/>
    </sheetView>
  </sheetViews>
  <sheetFormatPr defaultColWidth="8.8984375" defaultRowHeight="13.2"/>
  <cols>
    <col min="1" max="1" width="3.3984375" style="3" customWidth="1"/>
    <col min="2" max="2" width="9.5" style="3" customWidth="1"/>
    <col min="3" max="3" width="25.19921875" style="49" customWidth="1"/>
    <col min="4" max="5" width="13.09765625" style="3" customWidth="1"/>
    <col min="6" max="7" width="15.09765625" style="3" customWidth="1"/>
    <col min="8" max="8" width="15.09765625" style="3" hidden="1" customWidth="1"/>
    <col min="9" max="17" width="15.69921875" style="3" hidden="1" customWidth="1"/>
    <col min="18" max="18" width="15.69921875" style="3" customWidth="1"/>
    <col min="19" max="19" width="20.09765625" style="3" customWidth="1"/>
    <col min="20" max="20" width="21.3984375" style="3" customWidth="1"/>
    <col min="21" max="21" width="13.59765625" style="3" customWidth="1"/>
    <col min="22" max="22" width="48.3984375" style="3" customWidth="1"/>
    <col min="23" max="23" width="42" style="3" bestFit="1" customWidth="1"/>
    <col min="24" max="24" width="10.09765625" style="3" bestFit="1" customWidth="1"/>
    <col min="25" max="25" width="11.5" style="3" bestFit="1" customWidth="1"/>
    <col min="26" max="26" width="12.5" style="3" bestFit="1" customWidth="1"/>
    <col min="27" max="27" width="11" style="3" bestFit="1" customWidth="1"/>
    <col min="28" max="28" width="8.8984375" style="3" bestFit="1" customWidth="1"/>
    <col min="29" max="29" width="9.69921875" style="3" bestFit="1" customWidth="1"/>
    <col min="30" max="30" width="7.59765625" style="3" bestFit="1" customWidth="1"/>
    <col min="31" max="31" width="13.3984375" style="3" bestFit="1" customWidth="1"/>
    <col min="32" max="32" width="19" style="3" bestFit="1" customWidth="1"/>
    <col min="33" max="16384" width="8.8984375" style="3"/>
  </cols>
  <sheetData>
    <row r="1" spans="1:31" s="2" customFormat="1" ht="51" customHeight="1" thickBot="1">
      <c r="A1" s="411" t="s">
        <v>1312</v>
      </c>
      <c r="B1" s="412"/>
      <c r="C1" s="412"/>
      <c r="D1" s="412"/>
      <c r="E1" s="412"/>
      <c r="F1" s="412"/>
      <c r="G1" s="412"/>
      <c r="H1" s="412"/>
      <c r="I1" s="412"/>
      <c r="J1" s="412"/>
      <c r="K1" s="412"/>
      <c r="L1" s="412"/>
      <c r="M1" s="412"/>
      <c r="N1" s="412"/>
      <c r="O1" s="412"/>
      <c r="P1" s="412"/>
      <c r="Q1" s="412"/>
      <c r="R1" s="412"/>
      <c r="S1" s="412"/>
      <c r="T1" s="1"/>
    </row>
    <row r="2" spans="1:31" s="2" customFormat="1" ht="30" customHeight="1" thickBot="1">
      <c r="A2" s="3"/>
      <c r="B2" s="3"/>
      <c r="T2" s="4" t="s">
        <v>0</v>
      </c>
    </row>
    <row r="3" spans="1:31" s="5" customFormat="1" ht="24" customHeight="1">
      <c r="A3" s="413" t="s">
        <v>471</v>
      </c>
      <c r="B3" s="414"/>
      <c r="C3" s="417" t="s">
        <v>472</v>
      </c>
      <c r="D3" s="419" t="s">
        <v>473</v>
      </c>
      <c r="E3" s="421" t="s">
        <v>1313</v>
      </c>
      <c r="F3" s="423" t="s">
        <v>4</v>
      </c>
      <c r="G3" s="425" t="str">
        <f>COVER!B9</f>
        <v>FLANGE</v>
      </c>
      <c r="H3" s="421" t="s">
        <v>474</v>
      </c>
      <c r="I3" s="427"/>
      <c r="J3" s="427"/>
      <c r="K3" s="427"/>
      <c r="L3" s="427"/>
      <c r="M3" s="427"/>
      <c r="N3" s="427"/>
      <c r="O3" s="427"/>
      <c r="P3" s="427"/>
      <c r="Q3" s="428"/>
      <c r="R3" s="423" t="s">
        <v>475</v>
      </c>
      <c r="S3" s="431" t="s">
        <v>476</v>
      </c>
      <c r="T3" s="381" t="s">
        <v>477</v>
      </c>
      <c r="V3" s="349"/>
    </row>
    <row r="4" spans="1:31" s="5" customFormat="1" ht="24" customHeight="1">
      <c r="A4" s="415"/>
      <c r="B4" s="416"/>
      <c r="C4" s="418"/>
      <c r="D4" s="420"/>
      <c r="E4" s="422"/>
      <c r="F4" s="424"/>
      <c r="G4" s="426"/>
      <c r="H4" s="422"/>
      <c r="I4" s="429"/>
      <c r="J4" s="429"/>
      <c r="K4" s="429"/>
      <c r="L4" s="429"/>
      <c r="M4" s="429"/>
      <c r="N4" s="429"/>
      <c r="O4" s="429"/>
      <c r="P4" s="429"/>
      <c r="Q4" s="430"/>
      <c r="R4" s="424"/>
      <c r="S4" s="410"/>
      <c r="T4" s="382"/>
      <c r="V4" s="349"/>
      <c r="W4" s="6"/>
      <c r="X4" s="6"/>
      <c r="Y4" s="7"/>
      <c r="Z4" s="7"/>
      <c r="AA4" s="7"/>
      <c r="AB4" s="7"/>
      <c r="AC4" s="7"/>
      <c r="AD4" s="7"/>
      <c r="AE4" s="7"/>
    </row>
    <row r="5" spans="1:31" s="5" customFormat="1" ht="24" customHeight="1">
      <c r="A5" s="384" t="s">
        <v>478</v>
      </c>
      <c r="B5" s="385"/>
      <c r="C5" s="390" t="s">
        <v>479</v>
      </c>
      <c r="D5" s="393" t="s">
        <v>480</v>
      </c>
      <c r="E5" s="396" t="s">
        <v>481</v>
      </c>
      <c r="F5" s="397"/>
      <c r="G5" s="398"/>
      <c r="H5" s="402" t="s">
        <v>482</v>
      </c>
      <c r="I5" s="404" t="s">
        <v>483</v>
      </c>
      <c r="J5" s="405"/>
      <c r="K5" s="405"/>
      <c r="L5" s="405"/>
      <c r="M5" s="405"/>
      <c r="N5" s="405"/>
      <c r="O5" s="405"/>
      <c r="P5" s="405"/>
      <c r="Q5" s="405"/>
      <c r="R5" s="406" t="s">
        <v>484</v>
      </c>
      <c r="S5" s="408" t="s">
        <v>485</v>
      </c>
      <c r="T5" s="382"/>
      <c r="V5" s="349"/>
      <c r="W5" s="7"/>
      <c r="X5" s="7"/>
      <c r="Y5" s="7"/>
      <c r="Z5" s="7"/>
      <c r="AA5" s="7"/>
      <c r="AB5" s="7"/>
      <c r="AC5" s="7"/>
      <c r="AD5" s="7"/>
      <c r="AE5" s="7"/>
    </row>
    <row r="6" spans="1:31" s="5" customFormat="1" ht="24" customHeight="1">
      <c r="A6" s="386"/>
      <c r="B6" s="387"/>
      <c r="C6" s="391"/>
      <c r="D6" s="394"/>
      <c r="E6" s="399"/>
      <c r="F6" s="400"/>
      <c r="G6" s="401"/>
      <c r="H6" s="403"/>
      <c r="I6" s="8" t="s">
        <v>486</v>
      </c>
      <c r="J6" s="8" t="s">
        <v>487</v>
      </c>
      <c r="K6" s="8" t="s">
        <v>488</v>
      </c>
      <c r="L6" s="9" t="s">
        <v>489</v>
      </c>
      <c r="M6" s="9" t="s">
        <v>490</v>
      </c>
      <c r="N6" s="8" t="s">
        <v>491</v>
      </c>
      <c r="O6" s="8" t="s">
        <v>492</v>
      </c>
      <c r="P6" s="8" t="s">
        <v>493</v>
      </c>
      <c r="Q6" s="10" t="s">
        <v>494</v>
      </c>
      <c r="R6" s="407"/>
      <c r="S6" s="409"/>
      <c r="T6" s="382"/>
      <c r="V6" s="349"/>
      <c r="W6" s="6"/>
      <c r="X6" s="6"/>
      <c r="Y6" s="7"/>
      <c r="Z6" s="7"/>
      <c r="AA6" s="7"/>
      <c r="AB6" s="7"/>
      <c r="AC6" s="7"/>
      <c r="AD6" s="7"/>
      <c r="AE6" s="7"/>
    </row>
    <row r="7" spans="1:31" ht="24" customHeight="1">
      <c r="A7" s="388"/>
      <c r="B7" s="389"/>
      <c r="C7" s="392"/>
      <c r="D7" s="395"/>
      <c r="E7" s="8" t="s">
        <v>495</v>
      </c>
      <c r="F7" s="8" t="s">
        <v>496</v>
      </c>
      <c r="G7" s="8" t="s">
        <v>497</v>
      </c>
      <c r="H7" s="8"/>
      <c r="I7" s="8" t="s">
        <v>498</v>
      </c>
      <c r="J7" s="8" t="s">
        <v>30</v>
      </c>
      <c r="K7" s="8" t="s">
        <v>499</v>
      </c>
      <c r="L7" s="9" t="s">
        <v>498</v>
      </c>
      <c r="M7" s="9" t="s">
        <v>500</v>
      </c>
      <c r="N7" s="8" t="s">
        <v>501</v>
      </c>
      <c r="O7" s="8" t="s">
        <v>502</v>
      </c>
      <c r="P7" s="8" t="s">
        <v>503</v>
      </c>
      <c r="Q7" s="10" t="s">
        <v>504</v>
      </c>
      <c r="R7" s="403"/>
      <c r="S7" s="410"/>
      <c r="T7" s="383"/>
      <c r="V7" s="349"/>
      <c r="W7" s="6"/>
      <c r="X7" s="6"/>
      <c r="Y7" s="7"/>
      <c r="Z7" s="7"/>
      <c r="AA7" s="7"/>
      <c r="AB7" s="7"/>
      <c r="AC7" s="7"/>
      <c r="AD7" s="7"/>
      <c r="AE7" s="7"/>
    </row>
    <row r="8" spans="1:31" ht="33" customHeight="1">
      <c r="A8" s="375" t="s">
        <v>37</v>
      </c>
      <c r="B8" s="11">
        <v>1</v>
      </c>
      <c r="C8" s="142" t="str">
        <f>COVER!A14</f>
        <v>BODY(LUG)</v>
      </c>
      <c r="D8" s="20">
        <f>COVER!B14</f>
        <v>0</v>
      </c>
      <c r="E8" s="148">
        <v>19</v>
      </c>
      <c r="F8" s="14">
        <f>COVER!C14</f>
        <v>0</v>
      </c>
      <c r="G8" s="14">
        <f>F8*E8</f>
        <v>0</v>
      </c>
      <c r="H8" s="14"/>
      <c r="I8" s="15">
        <f>I10*I9</f>
        <v>36001489368637.438</v>
      </c>
      <c r="J8" s="15">
        <f t="shared" ref="J8:Q9" si="0">J10*J9</f>
        <v>43341753052405.07</v>
      </c>
      <c r="K8" s="15">
        <f t="shared" si="0"/>
        <v>168335087307216.53</v>
      </c>
      <c r="L8" s="15">
        <f t="shared" si="0"/>
        <v>506706621524695.19</v>
      </c>
      <c r="M8" s="15">
        <f t="shared" si="0"/>
        <v>632417344857819.5</v>
      </c>
      <c r="N8" s="15">
        <f t="shared" si="0"/>
        <v>46528628303586.25</v>
      </c>
      <c r="O8" s="15">
        <f t="shared" si="0"/>
        <v>0</v>
      </c>
      <c r="P8" s="15">
        <f t="shared" si="0"/>
        <v>0</v>
      </c>
      <c r="Q8" s="15">
        <f t="shared" si="0"/>
        <v>10000000000000</v>
      </c>
      <c r="R8" s="15">
        <f>IF(COVER!C14&gt;0,79000*1.2,0)</f>
        <v>0</v>
      </c>
      <c r="S8" s="15">
        <f>G8+R8</f>
        <v>0</v>
      </c>
      <c r="T8" s="309" t="s">
        <v>1170</v>
      </c>
      <c r="V8" s="6"/>
      <c r="W8" s="6"/>
      <c r="X8" s="6"/>
      <c r="Y8" s="7"/>
      <c r="Z8" s="7"/>
      <c r="AA8" s="7"/>
      <c r="AB8" s="7"/>
      <c r="AC8" s="7"/>
      <c r="AD8" s="7"/>
      <c r="AE8" s="7"/>
    </row>
    <row r="9" spans="1:31" ht="33" customHeight="1">
      <c r="A9" s="376"/>
      <c r="B9" s="144" t="s">
        <v>1166</v>
      </c>
      <c r="C9" s="142" t="str">
        <f>COVER!A15</f>
        <v>BODY(FLANGE)</v>
      </c>
      <c r="D9" s="20" t="str">
        <f>COVER!B15</f>
        <v>A216 WCB</v>
      </c>
      <c r="E9" s="148">
        <v>38</v>
      </c>
      <c r="F9" s="14">
        <f>COVER!C15</f>
        <v>4300</v>
      </c>
      <c r="G9" s="14">
        <f>F9*E9</f>
        <v>163400</v>
      </c>
      <c r="H9" s="14"/>
      <c r="I9" s="15">
        <f>I11*I10</f>
        <v>2348985369.5999999</v>
      </c>
      <c r="J9" s="15">
        <f t="shared" si="0"/>
        <v>2658301984.9000001</v>
      </c>
      <c r="K9" s="15">
        <f t="shared" si="0"/>
        <v>6568251379.5999994</v>
      </c>
      <c r="L9" s="15">
        <f t="shared" si="0"/>
        <v>13693182184.900002</v>
      </c>
      <c r="M9" s="15">
        <f t="shared" si="0"/>
        <v>15873371539.6</v>
      </c>
      <c r="N9" s="15">
        <f t="shared" si="0"/>
        <v>2787063302.5</v>
      </c>
      <c r="O9" s="15">
        <f t="shared" si="0"/>
        <v>0</v>
      </c>
      <c r="P9" s="15">
        <f t="shared" si="0"/>
        <v>0</v>
      </c>
      <c r="Q9" s="15">
        <f t="shared" si="0"/>
        <v>1000000000</v>
      </c>
      <c r="R9" s="15">
        <f>IF(COVER!C15&gt;0,80000*1.2,0)</f>
        <v>96000</v>
      </c>
      <c r="S9" s="15">
        <f t="shared" ref="S9:S61" si="1">G9+R9</f>
        <v>259400</v>
      </c>
      <c r="T9" s="309" t="s">
        <v>1168</v>
      </c>
      <c r="V9" s="149"/>
      <c r="W9" s="6"/>
      <c r="X9" s="6"/>
      <c r="Y9" s="7"/>
      <c r="Z9" s="7"/>
      <c r="AA9" s="7"/>
      <c r="AB9" s="7"/>
      <c r="AC9" s="7"/>
      <c r="AD9" s="7"/>
      <c r="AE9" s="7"/>
    </row>
    <row r="10" spans="1:31" ht="33" hidden="1" customHeight="1">
      <c r="A10" s="376"/>
      <c r="B10" s="11"/>
      <c r="C10" s="142"/>
      <c r="D10" s="20"/>
      <c r="E10" s="13"/>
      <c r="F10" s="14"/>
      <c r="G10" s="14"/>
      <c r="H10" s="14" t="s">
        <v>507</v>
      </c>
      <c r="I10" s="15">
        <f t="shared" ref="I10:Q10" si="2">I11/10</f>
        <v>15326.4</v>
      </c>
      <c r="J10" s="15">
        <f t="shared" si="2"/>
        <v>16304.3</v>
      </c>
      <c r="K10" s="15">
        <f t="shared" si="2"/>
        <v>25628.6</v>
      </c>
      <c r="L10" s="15">
        <f t="shared" si="2"/>
        <v>37004.300000000003</v>
      </c>
      <c r="M10" s="15">
        <f t="shared" si="2"/>
        <v>39841.4</v>
      </c>
      <c r="N10" s="15">
        <f t="shared" si="2"/>
        <v>16694.5</v>
      </c>
      <c r="O10" s="15">
        <f t="shared" si="2"/>
        <v>0</v>
      </c>
      <c r="P10" s="15">
        <f t="shared" si="2"/>
        <v>0</v>
      </c>
      <c r="Q10" s="15">
        <f t="shared" si="2"/>
        <v>10000</v>
      </c>
      <c r="R10" s="15"/>
      <c r="S10" s="15">
        <f t="shared" si="1"/>
        <v>0</v>
      </c>
      <c r="T10" s="16"/>
      <c r="V10" s="6"/>
      <c r="W10" s="6"/>
      <c r="X10" s="6"/>
      <c r="Y10" s="7"/>
      <c r="Z10" s="7"/>
      <c r="AA10" s="7"/>
      <c r="AB10" s="7"/>
      <c r="AC10" s="7"/>
      <c r="AD10" s="7"/>
      <c r="AE10" s="7"/>
    </row>
    <row r="11" spans="1:31" ht="33" hidden="1" customHeight="1">
      <c r="A11" s="376"/>
      <c r="B11" s="11"/>
      <c r="C11" s="142"/>
      <c r="D11" s="20"/>
      <c r="E11" s="13"/>
      <c r="F11" s="14"/>
      <c r="G11" s="14"/>
      <c r="H11" s="17" t="s">
        <v>508</v>
      </c>
      <c r="I11" s="15">
        <v>153264</v>
      </c>
      <c r="J11" s="15">
        <v>163043</v>
      </c>
      <c r="K11" s="15">
        <v>256286</v>
      </c>
      <c r="L11" s="15">
        <v>370043</v>
      </c>
      <c r="M11" s="15">
        <v>398414</v>
      </c>
      <c r="N11" s="15">
        <v>166945</v>
      </c>
      <c r="O11" s="15">
        <v>0</v>
      </c>
      <c r="P11" s="15">
        <v>0</v>
      </c>
      <c r="Q11" s="15">
        <v>100000</v>
      </c>
      <c r="R11" s="15"/>
      <c r="S11" s="15">
        <f t="shared" si="1"/>
        <v>0</v>
      </c>
      <c r="T11" s="16"/>
      <c r="V11" s="6"/>
      <c r="W11" s="6"/>
      <c r="X11" s="6"/>
      <c r="Y11" s="7"/>
      <c r="Z11" s="7"/>
      <c r="AA11" s="7"/>
      <c r="AB11" s="7"/>
      <c r="AC11" s="7"/>
      <c r="AD11" s="7"/>
      <c r="AE11" s="7"/>
    </row>
    <row r="12" spans="1:31" s="19" customFormat="1" ht="33" customHeight="1">
      <c r="A12" s="376"/>
      <c r="B12" s="11">
        <v>2</v>
      </c>
      <c r="C12" s="142" t="s">
        <v>509</v>
      </c>
      <c r="D12" s="20" t="str">
        <f>COVER!B16</f>
        <v>A216 WCB</v>
      </c>
      <c r="E12" s="13">
        <v>1.7</v>
      </c>
      <c r="F12" s="14">
        <f>COVER!C16</f>
        <v>4300</v>
      </c>
      <c r="G12" s="14">
        <f>F12*E12</f>
        <v>7310</v>
      </c>
      <c r="H12" s="14"/>
      <c r="I12" s="15">
        <f>I13*I14</f>
        <v>7663.2</v>
      </c>
      <c r="J12" s="15">
        <f t="shared" ref="J12:Q12" si="3">J13*J14</f>
        <v>0</v>
      </c>
      <c r="K12" s="15">
        <f t="shared" si="3"/>
        <v>4891.29</v>
      </c>
      <c r="L12" s="15">
        <f t="shared" si="3"/>
        <v>11485</v>
      </c>
      <c r="M12" s="15">
        <f t="shared" si="3"/>
        <v>0</v>
      </c>
      <c r="N12" s="15">
        <f t="shared" si="3"/>
        <v>0</v>
      </c>
      <c r="O12" s="15">
        <f t="shared" si="3"/>
        <v>0</v>
      </c>
      <c r="P12" s="15">
        <f t="shared" si="3"/>
        <v>0</v>
      </c>
      <c r="Q12" s="15">
        <f t="shared" si="3"/>
        <v>3000</v>
      </c>
      <c r="R12" s="15">
        <v>55200</v>
      </c>
      <c r="S12" s="15">
        <f t="shared" si="1"/>
        <v>62510</v>
      </c>
      <c r="T12" s="18"/>
      <c r="V12" s="6"/>
      <c r="W12" s="6"/>
      <c r="X12" s="6"/>
      <c r="Y12" s="7"/>
      <c r="Z12" s="7"/>
      <c r="AA12" s="7"/>
      <c r="AB12" s="7"/>
      <c r="AC12" s="7"/>
      <c r="AD12" s="7"/>
      <c r="AE12" s="7"/>
    </row>
    <row r="13" spans="1:31" s="19" customFormat="1" ht="33" hidden="1" customHeight="1">
      <c r="A13" s="376"/>
      <c r="B13" s="11"/>
      <c r="C13" s="142"/>
      <c r="D13" s="20"/>
      <c r="E13" s="13"/>
      <c r="F13" s="14"/>
      <c r="G13" s="14"/>
      <c r="H13" s="17" t="s">
        <v>510</v>
      </c>
      <c r="I13" s="21">
        <v>0.5</v>
      </c>
      <c r="J13" s="21">
        <v>0</v>
      </c>
      <c r="K13" s="21">
        <v>0.3</v>
      </c>
      <c r="L13" s="21">
        <v>0.5</v>
      </c>
      <c r="M13" s="21">
        <v>0</v>
      </c>
      <c r="N13" s="21">
        <v>0</v>
      </c>
      <c r="O13" s="21"/>
      <c r="P13" s="21"/>
      <c r="Q13" s="21">
        <v>0.3</v>
      </c>
      <c r="R13" s="15"/>
      <c r="S13" s="15">
        <f t="shared" si="1"/>
        <v>0</v>
      </c>
      <c r="T13" s="22"/>
      <c r="V13" s="6"/>
      <c r="W13" s="6"/>
      <c r="X13" s="6"/>
      <c r="Y13" s="7"/>
      <c r="Z13" s="7"/>
      <c r="AA13" s="7"/>
      <c r="AB13" s="7"/>
      <c r="AC13" s="7"/>
      <c r="AD13" s="7"/>
      <c r="AE13" s="7"/>
    </row>
    <row r="14" spans="1:31" s="19" customFormat="1" ht="33" hidden="1" customHeight="1">
      <c r="A14" s="376"/>
      <c r="B14" s="11"/>
      <c r="C14" s="142"/>
      <c r="D14" s="20"/>
      <c r="E14" s="13"/>
      <c r="F14" s="14"/>
      <c r="G14" s="14"/>
      <c r="H14" s="14" t="s">
        <v>507</v>
      </c>
      <c r="I14" s="15">
        <f>I15/10</f>
        <v>15326.4</v>
      </c>
      <c r="J14" s="15">
        <f t="shared" ref="J14:Q14" si="4">J15/10</f>
        <v>16304.3</v>
      </c>
      <c r="K14" s="15">
        <f t="shared" si="4"/>
        <v>16304.3</v>
      </c>
      <c r="L14" s="15">
        <f t="shared" si="4"/>
        <v>22970</v>
      </c>
      <c r="M14" s="15">
        <f t="shared" si="4"/>
        <v>39841.4</v>
      </c>
      <c r="N14" s="15">
        <f t="shared" si="4"/>
        <v>16694.5</v>
      </c>
      <c r="O14" s="15">
        <f t="shared" si="4"/>
        <v>0</v>
      </c>
      <c r="P14" s="15">
        <f t="shared" si="4"/>
        <v>0</v>
      </c>
      <c r="Q14" s="15">
        <f t="shared" si="4"/>
        <v>10000</v>
      </c>
      <c r="R14" s="15"/>
      <c r="S14" s="15">
        <f t="shared" si="1"/>
        <v>0</v>
      </c>
      <c r="T14" s="22"/>
      <c r="V14" s="6"/>
      <c r="W14" s="6"/>
      <c r="X14" s="6"/>
      <c r="Y14" s="7"/>
      <c r="Z14" s="7"/>
      <c r="AA14" s="7"/>
      <c r="AB14" s="7"/>
      <c r="AC14" s="7"/>
      <c r="AD14" s="7"/>
      <c r="AE14" s="7"/>
    </row>
    <row r="15" spans="1:31" s="19" customFormat="1" ht="33" hidden="1" customHeight="1">
      <c r="A15" s="376"/>
      <c r="B15" s="11"/>
      <c r="C15" s="142"/>
      <c r="D15" s="20"/>
      <c r="E15" s="13"/>
      <c r="F15" s="14"/>
      <c r="G15" s="14"/>
      <c r="H15" s="14" t="s">
        <v>511</v>
      </c>
      <c r="I15" s="15">
        <v>153264</v>
      </c>
      <c r="J15" s="15">
        <v>163043</v>
      </c>
      <c r="K15" s="15">
        <v>163043</v>
      </c>
      <c r="L15" s="15">
        <v>229700</v>
      </c>
      <c r="M15" s="15">
        <v>398414</v>
      </c>
      <c r="N15" s="15">
        <v>166945</v>
      </c>
      <c r="O15" s="15">
        <v>0</v>
      </c>
      <c r="P15" s="15">
        <v>0</v>
      </c>
      <c r="Q15" s="15">
        <v>100000</v>
      </c>
      <c r="R15" s="15"/>
      <c r="S15" s="15">
        <f t="shared" si="1"/>
        <v>0</v>
      </c>
      <c r="T15" s="22"/>
      <c r="V15" s="6"/>
      <c r="W15" s="6"/>
      <c r="X15" s="6"/>
      <c r="Y15" s="7"/>
      <c r="Z15" s="7"/>
      <c r="AA15" s="7"/>
      <c r="AB15" s="7"/>
      <c r="AC15" s="7"/>
      <c r="AD15" s="7"/>
      <c r="AE15" s="7"/>
    </row>
    <row r="16" spans="1:31" s="19" customFormat="1" ht="33" customHeight="1">
      <c r="A16" s="376"/>
      <c r="B16" s="11">
        <v>3</v>
      </c>
      <c r="C16" s="142" t="s">
        <v>951</v>
      </c>
      <c r="D16" s="20" t="str">
        <f>COVER!B19</f>
        <v>WCB+309+#6</v>
      </c>
      <c r="E16" s="13">
        <v>1</v>
      </c>
      <c r="F16" s="14">
        <f>IF(D16="SUS+#6",X76,IF(D16="WCB+309+#6",X77))</f>
        <v>35200</v>
      </c>
      <c r="G16" s="14">
        <f>F16*E16</f>
        <v>35200</v>
      </c>
      <c r="H16" s="14"/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f t="shared" si="1"/>
        <v>35200</v>
      </c>
      <c r="T16" s="22"/>
      <c r="V16" s="157"/>
      <c r="W16" s="6"/>
      <c r="X16" s="6"/>
      <c r="Y16" s="7"/>
      <c r="Z16" s="7"/>
      <c r="AA16" s="7"/>
      <c r="AB16" s="7"/>
      <c r="AC16" s="7"/>
      <c r="AD16" s="7"/>
      <c r="AE16" s="7"/>
    </row>
    <row r="17" spans="1:31" s="19" customFormat="1" ht="33" customHeight="1">
      <c r="A17" s="376"/>
      <c r="B17" s="11">
        <v>4</v>
      </c>
      <c r="C17" s="142" t="s">
        <v>1180</v>
      </c>
      <c r="D17" s="300" t="str">
        <f>COVER!B18</f>
        <v>A240T316L+GARPHITE</v>
      </c>
      <c r="E17" s="13">
        <v>1</v>
      </c>
      <c r="F17" s="14">
        <f>IF(D17="A240T316L+GARPHITE",Y84+Z84)</f>
        <v>29200</v>
      </c>
      <c r="G17" s="14">
        <f>F17*E17</f>
        <v>29200</v>
      </c>
      <c r="H17" s="14"/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f>Z84*1.3</f>
        <v>36400</v>
      </c>
      <c r="S17" s="15">
        <f t="shared" si="1"/>
        <v>65600</v>
      </c>
      <c r="T17" s="22"/>
      <c r="V17" s="23"/>
      <c r="W17" s="23"/>
      <c r="X17" s="23"/>
      <c r="Y17" s="7"/>
      <c r="Z17" s="7"/>
      <c r="AA17" s="7"/>
      <c r="AB17" s="7"/>
      <c r="AC17" s="7"/>
      <c r="AD17" s="7"/>
      <c r="AE17" s="7"/>
    </row>
    <row r="18" spans="1:31" s="19" customFormat="1" ht="33" customHeight="1">
      <c r="A18" s="376"/>
      <c r="B18" s="11">
        <v>5</v>
      </c>
      <c r="C18" s="142" t="s">
        <v>1177</v>
      </c>
      <c r="D18" s="20" t="str">
        <f>COVER!B20</f>
        <v>SS316L</v>
      </c>
      <c r="E18" s="301">
        <v>1</v>
      </c>
      <c r="F18" s="14">
        <f>IF(D18="SS304",Y82,IF(D18="SS316L",Z82))</f>
        <v>4800</v>
      </c>
      <c r="G18" s="14">
        <f>E18*F18</f>
        <v>4800</v>
      </c>
      <c r="H18" s="14"/>
      <c r="I18" s="15">
        <f>I19*I20</f>
        <v>4597.92</v>
      </c>
      <c r="J18" s="15">
        <f t="shared" ref="J18:Q18" si="5">J19*J20</f>
        <v>4891.29</v>
      </c>
      <c r="K18" s="15">
        <f t="shared" si="5"/>
        <v>0</v>
      </c>
      <c r="L18" s="15">
        <f t="shared" si="5"/>
        <v>0</v>
      </c>
      <c r="M18" s="15">
        <f t="shared" si="5"/>
        <v>0</v>
      </c>
      <c r="N18" s="15">
        <f t="shared" si="5"/>
        <v>0</v>
      </c>
      <c r="O18" s="15">
        <f t="shared" si="5"/>
        <v>0</v>
      </c>
      <c r="P18" s="15">
        <f t="shared" si="5"/>
        <v>0</v>
      </c>
      <c r="Q18" s="15">
        <f t="shared" si="5"/>
        <v>2000</v>
      </c>
      <c r="R18" s="14">
        <f>AA82*1.5</f>
        <v>33000</v>
      </c>
      <c r="S18" s="15">
        <f t="shared" si="1"/>
        <v>37800</v>
      </c>
      <c r="T18" s="25"/>
      <c r="V18" s="26"/>
      <c r="W18" s="26"/>
      <c r="X18" s="26"/>
      <c r="Y18" s="7"/>
      <c r="Z18" s="7"/>
      <c r="AA18" s="7"/>
      <c r="AB18" s="7"/>
      <c r="AC18" s="7"/>
      <c r="AD18" s="7"/>
      <c r="AE18" s="7"/>
    </row>
    <row r="19" spans="1:31" s="19" customFormat="1" ht="33" hidden="1" customHeight="1">
      <c r="A19" s="376"/>
      <c r="B19" s="11"/>
      <c r="C19" s="12"/>
      <c r="D19" s="24"/>
      <c r="E19" s="13"/>
      <c r="F19" s="14"/>
      <c r="G19" s="14">
        <f t="shared" ref="G19:G54" si="6">E19*F19</f>
        <v>0</v>
      </c>
      <c r="H19" s="17" t="s">
        <v>512</v>
      </c>
      <c r="I19" s="21">
        <v>0.3</v>
      </c>
      <c r="J19" s="21">
        <v>0.3</v>
      </c>
      <c r="K19" s="21"/>
      <c r="L19" s="21"/>
      <c r="M19" s="21"/>
      <c r="N19" s="21"/>
      <c r="O19" s="21"/>
      <c r="P19" s="21"/>
      <c r="Q19" s="21">
        <v>0.2</v>
      </c>
      <c r="R19" s="15"/>
      <c r="S19" s="15">
        <f t="shared" si="1"/>
        <v>0</v>
      </c>
      <c r="T19" s="25"/>
      <c r="V19" s="26"/>
      <c r="W19" s="26"/>
      <c r="X19" s="26"/>
      <c r="Y19" s="7"/>
      <c r="Z19" s="7"/>
      <c r="AA19" s="7"/>
      <c r="AB19" s="7"/>
      <c r="AC19" s="7"/>
      <c r="AD19" s="7"/>
      <c r="AE19" s="7"/>
    </row>
    <row r="20" spans="1:31" s="19" customFormat="1" ht="33" hidden="1" customHeight="1">
      <c r="A20" s="376"/>
      <c r="B20" s="11"/>
      <c r="C20" s="12"/>
      <c r="D20" s="24"/>
      <c r="E20" s="13"/>
      <c r="F20" s="14"/>
      <c r="G20" s="14">
        <f t="shared" si="6"/>
        <v>0</v>
      </c>
      <c r="H20" s="17" t="s">
        <v>512</v>
      </c>
      <c r="I20" s="15">
        <f>I21/10</f>
        <v>15326.4</v>
      </c>
      <c r="J20" s="15">
        <f t="shared" ref="J20:Q20" si="7">J21/10</f>
        <v>16304.3</v>
      </c>
      <c r="K20" s="15">
        <f t="shared" si="7"/>
        <v>0</v>
      </c>
      <c r="L20" s="15">
        <f t="shared" si="7"/>
        <v>0</v>
      </c>
      <c r="M20" s="15">
        <f t="shared" si="7"/>
        <v>0</v>
      </c>
      <c r="N20" s="15">
        <f t="shared" si="7"/>
        <v>0</v>
      </c>
      <c r="O20" s="15">
        <f t="shared" si="7"/>
        <v>0</v>
      </c>
      <c r="P20" s="15">
        <f t="shared" si="7"/>
        <v>0</v>
      </c>
      <c r="Q20" s="15">
        <f t="shared" si="7"/>
        <v>10000</v>
      </c>
      <c r="R20" s="15"/>
      <c r="S20" s="15">
        <f t="shared" si="1"/>
        <v>0</v>
      </c>
      <c r="T20" s="25"/>
      <c r="V20" s="26"/>
      <c r="W20" s="26"/>
      <c r="X20" s="26"/>
      <c r="Y20" s="7"/>
      <c r="Z20" s="7"/>
      <c r="AA20" s="7"/>
      <c r="AB20" s="7"/>
      <c r="AC20" s="7"/>
      <c r="AD20" s="7"/>
      <c r="AE20" s="7"/>
    </row>
    <row r="21" spans="1:31" s="19" customFormat="1" ht="33" hidden="1" customHeight="1">
      <c r="A21" s="376"/>
      <c r="B21" s="11"/>
      <c r="C21" s="12"/>
      <c r="D21" s="24"/>
      <c r="E21" s="13"/>
      <c r="F21" s="14"/>
      <c r="G21" s="14">
        <f t="shared" si="6"/>
        <v>0</v>
      </c>
      <c r="H21" s="17" t="s">
        <v>512</v>
      </c>
      <c r="I21" s="15">
        <v>153264</v>
      </c>
      <c r="J21" s="15">
        <v>163043</v>
      </c>
      <c r="K21" s="15"/>
      <c r="L21" s="15"/>
      <c r="M21" s="15"/>
      <c r="N21" s="15"/>
      <c r="O21" s="15"/>
      <c r="P21" s="15"/>
      <c r="Q21" s="15">
        <v>100000</v>
      </c>
      <c r="R21" s="15"/>
      <c r="S21" s="15">
        <f t="shared" si="1"/>
        <v>0</v>
      </c>
      <c r="T21" s="25"/>
      <c r="V21" s="26"/>
      <c r="W21" s="26"/>
      <c r="X21" s="26"/>
      <c r="Y21" s="7"/>
      <c r="Z21" s="7"/>
      <c r="AA21" s="7"/>
      <c r="AB21" s="7"/>
      <c r="AC21" s="7"/>
      <c r="AD21" s="7"/>
      <c r="AE21" s="7"/>
    </row>
    <row r="22" spans="1:31" s="19" customFormat="1" ht="33" customHeight="1">
      <c r="A22" s="376"/>
      <c r="B22" s="11">
        <v>6</v>
      </c>
      <c r="C22" s="142" t="s">
        <v>1190</v>
      </c>
      <c r="D22" s="20" t="s">
        <v>463</v>
      </c>
      <c r="E22" s="301">
        <v>1</v>
      </c>
      <c r="F22" s="14">
        <f>Y86</f>
        <v>2040</v>
      </c>
      <c r="G22" s="14">
        <f>F22*E22</f>
        <v>2040</v>
      </c>
      <c r="H22" s="14"/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4">
        <v>0</v>
      </c>
      <c r="S22" s="15">
        <f t="shared" si="1"/>
        <v>2040</v>
      </c>
      <c r="T22" s="25"/>
      <c r="V22" s="26"/>
      <c r="W22" s="26"/>
      <c r="X22" s="26"/>
      <c r="Y22" s="7"/>
      <c r="Z22" s="7"/>
      <c r="AA22" s="7"/>
      <c r="AB22" s="7"/>
      <c r="AC22" s="7"/>
      <c r="AD22" s="7"/>
      <c r="AE22" s="7"/>
    </row>
    <row r="23" spans="1:31" s="19" customFormat="1" ht="33" customHeight="1">
      <c r="A23" s="376"/>
      <c r="B23" s="11">
        <v>7</v>
      </c>
      <c r="C23" s="175" t="s">
        <v>850</v>
      </c>
      <c r="D23" s="20" t="str">
        <f>COVER!B21</f>
        <v>B7(다크로)</v>
      </c>
      <c r="E23" s="13">
        <v>6</v>
      </c>
      <c r="F23" s="14">
        <f>IF(D23="B8",Y91,IF(D23="B8M",Z91,IF(D23="B7(다크로)",AA91)))</f>
        <v>300</v>
      </c>
      <c r="G23" s="14">
        <f>F23*E23</f>
        <v>1800</v>
      </c>
      <c r="H23" s="14"/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f t="shared" si="1"/>
        <v>1800</v>
      </c>
      <c r="T23" s="18"/>
      <c r="V23" s="7"/>
      <c r="W23" s="7"/>
      <c r="X23" s="7"/>
      <c r="Y23" s="7"/>
      <c r="Z23" s="7"/>
      <c r="AA23" s="7"/>
      <c r="AB23" s="7"/>
      <c r="AC23" s="7"/>
      <c r="AD23" s="7"/>
      <c r="AE23" s="7"/>
    </row>
    <row r="24" spans="1:31" s="19" customFormat="1" ht="33" customHeight="1">
      <c r="A24" s="376"/>
      <c r="B24" s="11">
        <v>8</v>
      </c>
      <c r="C24" s="142" t="s">
        <v>513</v>
      </c>
      <c r="D24" s="20" t="str">
        <f>COVER!B17</f>
        <v>A564T630</v>
      </c>
      <c r="E24" s="13">
        <v>1</v>
      </c>
      <c r="F24" s="14">
        <f>COVER!C17</f>
        <v>8500</v>
      </c>
      <c r="G24" s="14">
        <f>F24*E24</f>
        <v>8500</v>
      </c>
      <c r="H24" s="14"/>
      <c r="I24" s="15">
        <f>I25*I26</f>
        <v>4597.92</v>
      </c>
      <c r="J24" s="15">
        <f t="shared" ref="J24:Q24" si="8">J25*J26</f>
        <v>0</v>
      </c>
      <c r="K24" s="15">
        <f t="shared" si="8"/>
        <v>0</v>
      </c>
      <c r="L24" s="15">
        <f t="shared" si="8"/>
        <v>0</v>
      </c>
      <c r="M24" s="15">
        <f t="shared" si="8"/>
        <v>0</v>
      </c>
      <c r="N24" s="15">
        <f t="shared" si="8"/>
        <v>0</v>
      </c>
      <c r="O24" s="15">
        <f t="shared" si="8"/>
        <v>0</v>
      </c>
      <c r="P24" s="15">
        <f t="shared" si="8"/>
        <v>0</v>
      </c>
      <c r="Q24" s="15">
        <f t="shared" si="8"/>
        <v>1000</v>
      </c>
      <c r="R24" s="15">
        <f>R12*0.3</f>
        <v>16560</v>
      </c>
      <c r="S24" s="15">
        <f t="shared" si="1"/>
        <v>25060</v>
      </c>
      <c r="T24" s="27"/>
      <c r="U24" s="162"/>
      <c r="V24" s="6"/>
      <c r="W24" s="7"/>
      <c r="X24" s="7"/>
      <c r="Y24" s="28"/>
      <c r="Z24" s="28"/>
      <c r="AA24" s="28"/>
      <c r="AB24" s="28"/>
      <c r="AC24" s="28"/>
      <c r="AD24" s="28"/>
      <c r="AE24" s="28"/>
    </row>
    <row r="25" spans="1:31" s="19" customFormat="1" ht="33" hidden="1" customHeight="1">
      <c r="A25" s="376"/>
      <c r="B25" s="11"/>
      <c r="C25" s="12"/>
      <c r="D25" s="20"/>
      <c r="E25" s="13"/>
      <c r="F25" s="14"/>
      <c r="G25" s="14"/>
      <c r="H25" s="17" t="s">
        <v>514</v>
      </c>
      <c r="I25" s="21">
        <v>0.3</v>
      </c>
      <c r="J25" s="21"/>
      <c r="K25" s="21"/>
      <c r="L25" s="21"/>
      <c r="M25" s="21"/>
      <c r="N25" s="21"/>
      <c r="O25" s="21"/>
      <c r="P25" s="21"/>
      <c r="Q25" s="21">
        <v>0.1</v>
      </c>
      <c r="R25" s="15"/>
      <c r="S25" s="15">
        <f t="shared" si="1"/>
        <v>0</v>
      </c>
      <c r="T25" s="27"/>
      <c r="V25" s="7"/>
      <c r="W25" s="7"/>
      <c r="X25" s="7"/>
      <c r="Y25" s="28"/>
      <c r="Z25" s="28"/>
      <c r="AA25" s="28"/>
      <c r="AB25" s="28"/>
      <c r="AC25" s="28"/>
      <c r="AD25" s="28"/>
      <c r="AE25" s="28"/>
    </row>
    <row r="26" spans="1:31" s="19" customFormat="1" ht="33" hidden="1" customHeight="1">
      <c r="A26" s="376"/>
      <c r="B26" s="11"/>
      <c r="C26" s="12"/>
      <c r="D26" s="20"/>
      <c r="E26" s="13"/>
      <c r="F26" s="14"/>
      <c r="G26" s="14"/>
      <c r="H26" s="17" t="s">
        <v>506</v>
      </c>
      <c r="I26" s="15">
        <f>I27/10</f>
        <v>15326.4</v>
      </c>
      <c r="J26" s="15"/>
      <c r="K26" s="15"/>
      <c r="L26" s="15"/>
      <c r="M26" s="15"/>
      <c r="N26" s="15"/>
      <c r="O26" s="15"/>
      <c r="P26" s="15"/>
      <c r="Q26" s="15">
        <f>Q27/10</f>
        <v>10000</v>
      </c>
      <c r="R26" s="15"/>
      <c r="S26" s="15">
        <f t="shared" si="1"/>
        <v>0</v>
      </c>
      <c r="T26" s="27"/>
      <c r="V26" s="7"/>
      <c r="W26" s="7"/>
      <c r="X26" s="7"/>
      <c r="Y26" s="28"/>
      <c r="Z26" s="28"/>
      <c r="AA26" s="28"/>
      <c r="AB26" s="28"/>
      <c r="AC26" s="28"/>
      <c r="AD26" s="28"/>
      <c r="AE26" s="28"/>
    </row>
    <row r="27" spans="1:31" s="19" customFormat="1" ht="33" hidden="1" customHeight="1">
      <c r="A27" s="376"/>
      <c r="B27" s="11"/>
      <c r="C27" s="12"/>
      <c r="D27" s="20"/>
      <c r="E27" s="13"/>
      <c r="F27" s="14"/>
      <c r="G27" s="14"/>
      <c r="H27" s="17" t="s">
        <v>515</v>
      </c>
      <c r="I27" s="15">
        <v>153264</v>
      </c>
      <c r="J27" s="15"/>
      <c r="K27" s="15"/>
      <c r="L27" s="15"/>
      <c r="M27" s="15"/>
      <c r="N27" s="15"/>
      <c r="O27" s="15"/>
      <c r="P27" s="15"/>
      <c r="Q27" s="15">
        <v>100000</v>
      </c>
      <c r="R27" s="15"/>
      <c r="S27" s="15">
        <f t="shared" si="1"/>
        <v>0</v>
      </c>
      <c r="T27" s="27"/>
      <c r="V27" s="7"/>
      <c r="W27" s="7"/>
      <c r="X27" s="7"/>
      <c r="Y27" s="28"/>
      <c r="Z27" s="28"/>
      <c r="AA27" s="28"/>
      <c r="AB27" s="28"/>
      <c r="AC27" s="28"/>
      <c r="AD27" s="28"/>
      <c r="AE27" s="28"/>
    </row>
    <row r="28" spans="1:31" s="19" customFormat="1" ht="33" customHeight="1">
      <c r="A28" s="376"/>
      <c r="B28" s="11">
        <v>9</v>
      </c>
      <c r="C28" s="142" t="s">
        <v>516</v>
      </c>
      <c r="D28" s="24" t="s">
        <v>1196</v>
      </c>
      <c r="E28" s="13">
        <v>1</v>
      </c>
      <c r="F28" s="14">
        <v>5300</v>
      </c>
      <c r="G28" s="14">
        <f t="shared" ref="G28" si="9">E28*F28</f>
        <v>5300</v>
      </c>
      <c r="H28" s="14"/>
      <c r="I28" s="15"/>
      <c r="J28" s="15"/>
      <c r="K28" s="15"/>
      <c r="L28" s="15"/>
      <c r="M28" s="15"/>
      <c r="N28" s="15"/>
      <c r="O28" s="15"/>
      <c r="P28" s="15"/>
      <c r="Q28" s="15"/>
      <c r="R28" s="15">
        <v>0</v>
      </c>
      <c r="S28" s="15">
        <f t="shared" si="1"/>
        <v>5300</v>
      </c>
      <c r="T28" s="18"/>
      <c r="V28" s="7"/>
      <c r="W28" s="7"/>
      <c r="X28" s="7"/>
      <c r="Y28" s="6"/>
      <c r="Z28" s="6"/>
      <c r="AA28" s="6"/>
      <c r="AB28" s="6"/>
      <c r="AC28" s="6"/>
      <c r="AD28" s="6"/>
      <c r="AE28" s="6"/>
    </row>
    <row r="29" spans="1:31" s="19" customFormat="1" ht="33" customHeight="1">
      <c r="A29" s="376"/>
      <c r="B29" s="11">
        <v>10</v>
      </c>
      <c r="C29" s="142" t="s">
        <v>517</v>
      </c>
      <c r="D29" s="24" t="str">
        <f>COVER!B24</f>
        <v>A351 CF8M</v>
      </c>
      <c r="E29" s="13">
        <v>1</v>
      </c>
      <c r="F29" s="302">
        <f>IF(D29="A351 CF8M",Y98,IF(D29="B148 C95400",Z98))</f>
        <v>18000</v>
      </c>
      <c r="G29" s="14">
        <f>F29*E29</f>
        <v>18000</v>
      </c>
      <c r="H29" s="14"/>
      <c r="I29" s="15">
        <f>I30*I31</f>
        <v>1532.64</v>
      </c>
      <c r="J29" s="15">
        <f t="shared" ref="J29:Q29" si="10">J30*J31</f>
        <v>1630.43</v>
      </c>
      <c r="K29" s="15">
        <f t="shared" si="10"/>
        <v>0</v>
      </c>
      <c r="L29" s="15">
        <f t="shared" si="10"/>
        <v>0</v>
      </c>
      <c r="M29" s="15">
        <f t="shared" si="10"/>
        <v>0</v>
      </c>
      <c r="N29" s="15">
        <f t="shared" si="10"/>
        <v>0</v>
      </c>
      <c r="O29" s="15">
        <f t="shared" si="10"/>
        <v>0</v>
      </c>
      <c r="P29" s="15">
        <f t="shared" si="10"/>
        <v>0</v>
      </c>
      <c r="Q29" s="15">
        <f t="shared" si="10"/>
        <v>0</v>
      </c>
      <c r="R29" s="15">
        <v>0</v>
      </c>
      <c r="S29" s="15">
        <f t="shared" si="1"/>
        <v>18000</v>
      </c>
      <c r="T29" s="18"/>
      <c r="V29" s="7"/>
      <c r="W29" s="7"/>
      <c r="X29" s="7"/>
      <c r="Y29" s="7"/>
      <c r="Z29" s="7"/>
      <c r="AA29" s="7"/>
      <c r="AB29" s="7"/>
      <c r="AC29" s="7"/>
      <c r="AD29" s="7"/>
      <c r="AE29" s="7"/>
    </row>
    <row r="30" spans="1:31" s="19" customFormat="1" ht="33" hidden="1" customHeight="1">
      <c r="A30" s="376"/>
      <c r="B30" s="11"/>
      <c r="C30" s="12"/>
      <c r="D30" s="24"/>
      <c r="E30" s="13"/>
      <c r="F30" s="14"/>
      <c r="G30" s="14"/>
      <c r="H30" s="17" t="s">
        <v>518</v>
      </c>
      <c r="I30" s="21">
        <v>0.1</v>
      </c>
      <c r="J30" s="21">
        <v>0.1</v>
      </c>
      <c r="K30" s="21"/>
      <c r="L30" s="21"/>
      <c r="M30" s="21"/>
      <c r="N30" s="21"/>
      <c r="O30" s="21"/>
      <c r="P30" s="21"/>
      <c r="Q30" s="21"/>
      <c r="R30" s="15"/>
      <c r="S30" s="15">
        <f t="shared" si="1"/>
        <v>0</v>
      </c>
      <c r="T30" s="22"/>
      <c r="V30" s="7"/>
      <c r="W30" s="7"/>
      <c r="X30" s="7"/>
      <c r="Y30" s="7"/>
      <c r="Z30" s="7"/>
      <c r="AA30" s="7"/>
      <c r="AB30" s="7"/>
      <c r="AC30" s="7"/>
      <c r="AD30" s="7"/>
      <c r="AE30" s="7"/>
    </row>
    <row r="31" spans="1:31" s="19" customFormat="1" ht="33" hidden="1" customHeight="1">
      <c r="A31" s="376"/>
      <c r="B31" s="11"/>
      <c r="C31" s="12"/>
      <c r="D31" s="24"/>
      <c r="E31" s="13"/>
      <c r="F31" s="14"/>
      <c r="G31" s="14"/>
      <c r="H31" s="17" t="s">
        <v>512</v>
      </c>
      <c r="I31" s="15">
        <f>I32/10</f>
        <v>15326.4</v>
      </c>
      <c r="J31" s="15">
        <f>J32/10</f>
        <v>16304.3</v>
      </c>
      <c r="K31" s="15"/>
      <c r="L31" s="15"/>
      <c r="M31" s="15"/>
      <c r="N31" s="15"/>
      <c r="O31" s="15"/>
      <c r="P31" s="15"/>
      <c r="Q31" s="15"/>
      <c r="R31" s="15"/>
      <c r="S31" s="15">
        <f t="shared" si="1"/>
        <v>0</v>
      </c>
      <c r="T31" s="22"/>
      <c r="V31" s="7"/>
      <c r="W31" s="7"/>
      <c r="X31" s="7"/>
      <c r="Y31" s="7"/>
      <c r="Z31" s="7"/>
      <c r="AA31" s="7"/>
      <c r="AB31" s="7"/>
      <c r="AC31" s="7"/>
      <c r="AD31" s="7"/>
      <c r="AE31" s="7"/>
    </row>
    <row r="32" spans="1:31" s="19" customFormat="1" ht="33" hidden="1" customHeight="1">
      <c r="A32" s="376"/>
      <c r="B32" s="11"/>
      <c r="C32" s="12"/>
      <c r="D32" s="24"/>
      <c r="E32" s="13"/>
      <c r="F32" s="14"/>
      <c r="G32" s="14"/>
      <c r="H32" s="17" t="s">
        <v>506</v>
      </c>
      <c r="I32" s="15">
        <v>153264</v>
      </c>
      <c r="J32" s="15">
        <v>163043</v>
      </c>
      <c r="K32" s="15"/>
      <c r="L32" s="15"/>
      <c r="M32" s="15"/>
      <c r="N32" s="15"/>
      <c r="O32" s="15"/>
      <c r="P32" s="15"/>
      <c r="Q32" s="15"/>
      <c r="R32" s="15"/>
      <c r="S32" s="15">
        <f t="shared" si="1"/>
        <v>0</v>
      </c>
      <c r="T32" s="22"/>
      <c r="V32" s="7"/>
      <c r="W32" s="7"/>
      <c r="X32" s="7"/>
      <c r="Y32" s="7"/>
      <c r="Z32" s="7"/>
      <c r="AA32" s="7"/>
      <c r="AB32" s="7"/>
      <c r="AC32" s="7"/>
      <c r="AD32" s="7"/>
      <c r="AE32" s="7"/>
    </row>
    <row r="33" spans="1:31" s="19" customFormat="1" ht="33" customHeight="1">
      <c r="A33" s="376"/>
      <c r="B33" s="11">
        <v>11</v>
      </c>
      <c r="C33" s="142" t="s">
        <v>519</v>
      </c>
      <c r="D33" s="24" t="str">
        <f>COVER!B26</f>
        <v>316+NICKEL</v>
      </c>
      <c r="E33" s="13">
        <v>1</v>
      </c>
      <c r="F33" s="14">
        <f>IF(D33="316+NICKEL",Y100,IF(D33="B148 C95400",Z100))</f>
        <v>6000</v>
      </c>
      <c r="G33" s="14">
        <f>F33*E33</f>
        <v>6000</v>
      </c>
      <c r="H33" s="14"/>
      <c r="I33" s="15">
        <f>I34*I35</f>
        <v>1532.64</v>
      </c>
      <c r="J33" s="15">
        <f t="shared" ref="J33:Q33" si="11">J34*J35</f>
        <v>0</v>
      </c>
      <c r="K33" s="15">
        <f t="shared" si="11"/>
        <v>0</v>
      </c>
      <c r="L33" s="15">
        <f t="shared" si="11"/>
        <v>0</v>
      </c>
      <c r="M33" s="15">
        <f t="shared" si="11"/>
        <v>0</v>
      </c>
      <c r="N33" s="15">
        <f t="shared" si="11"/>
        <v>0</v>
      </c>
      <c r="O33" s="15">
        <f t="shared" si="11"/>
        <v>0</v>
      </c>
      <c r="P33" s="15">
        <f t="shared" si="11"/>
        <v>0</v>
      </c>
      <c r="Q33" s="15">
        <f t="shared" si="11"/>
        <v>0</v>
      </c>
      <c r="R33" s="15">
        <v>0</v>
      </c>
      <c r="S33" s="15">
        <f t="shared" si="1"/>
        <v>6000</v>
      </c>
      <c r="T33" s="25" t="s">
        <v>889</v>
      </c>
      <c r="V33" s="7"/>
      <c r="W33" s="7"/>
      <c r="X33" s="7"/>
      <c r="Y33" s="7"/>
      <c r="Z33" s="7"/>
      <c r="AA33" s="7"/>
      <c r="AB33" s="7"/>
      <c r="AC33" s="7"/>
      <c r="AD33" s="7"/>
      <c r="AE33" s="7"/>
    </row>
    <row r="34" spans="1:31" s="19" customFormat="1" ht="33" hidden="1" customHeight="1">
      <c r="A34" s="376"/>
      <c r="B34" s="11"/>
      <c r="C34" s="12"/>
      <c r="D34" s="24"/>
      <c r="E34" s="13"/>
      <c r="F34" s="14"/>
      <c r="G34" s="14"/>
      <c r="H34" s="17" t="s">
        <v>512</v>
      </c>
      <c r="I34" s="21">
        <v>0.1</v>
      </c>
      <c r="J34" s="21"/>
      <c r="K34" s="21"/>
      <c r="L34" s="21"/>
      <c r="M34" s="21"/>
      <c r="N34" s="21"/>
      <c r="O34" s="21"/>
      <c r="P34" s="21"/>
      <c r="Q34" s="21"/>
      <c r="R34" s="15"/>
      <c r="S34" s="15">
        <f t="shared" si="1"/>
        <v>0</v>
      </c>
      <c r="T34" s="22"/>
      <c r="V34" s="7"/>
      <c r="W34" s="7"/>
      <c r="X34" s="7"/>
      <c r="Y34" s="7"/>
      <c r="Z34" s="7"/>
      <c r="AA34" s="7"/>
      <c r="AB34" s="7"/>
      <c r="AC34" s="7"/>
      <c r="AD34" s="7"/>
      <c r="AE34" s="7"/>
    </row>
    <row r="35" spans="1:31" s="19" customFormat="1" ht="33" hidden="1" customHeight="1">
      <c r="A35" s="376"/>
      <c r="B35" s="11"/>
      <c r="C35" s="12"/>
      <c r="D35" s="24"/>
      <c r="E35" s="13"/>
      <c r="F35" s="14"/>
      <c r="G35" s="14"/>
      <c r="H35" s="17" t="s">
        <v>512</v>
      </c>
      <c r="I35" s="15">
        <f>I36/10</f>
        <v>15326.4</v>
      </c>
      <c r="J35" s="15"/>
      <c r="K35" s="15"/>
      <c r="L35" s="15"/>
      <c r="M35" s="15"/>
      <c r="N35" s="15"/>
      <c r="O35" s="15"/>
      <c r="P35" s="15"/>
      <c r="Q35" s="15"/>
      <c r="R35" s="15"/>
      <c r="S35" s="15">
        <f t="shared" si="1"/>
        <v>0</v>
      </c>
      <c r="T35" s="22"/>
      <c r="V35" s="7"/>
      <c r="W35" s="7"/>
      <c r="X35" s="7"/>
      <c r="Y35" s="7"/>
      <c r="Z35" s="7"/>
      <c r="AA35" s="7"/>
      <c r="AB35" s="7"/>
      <c r="AC35" s="7"/>
      <c r="AD35" s="7"/>
      <c r="AE35" s="7"/>
    </row>
    <row r="36" spans="1:31" s="19" customFormat="1" ht="33" hidden="1" customHeight="1">
      <c r="A36" s="376"/>
      <c r="B36" s="11"/>
      <c r="C36" s="12"/>
      <c r="D36" s="24"/>
      <c r="E36" s="13"/>
      <c r="F36" s="14"/>
      <c r="G36" s="14"/>
      <c r="H36" s="17" t="s">
        <v>514</v>
      </c>
      <c r="I36" s="15">
        <v>153264</v>
      </c>
      <c r="J36" s="15"/>
      <c r="K36" s="15"/>
      <c r="L36" s="15"/>
      <c r="M36" s="15"/>
      <c r="N36" s="15"/>
      <c r="O36" s="15"/>
      <c r="P36" s="15"/>
      <c r="Q36" s="15"/>
      <c r="R36" s="15"/>
      <c r="S36" s="15">
        <f t="shared" si="1"/>
        <v>0</v>
      </c>
      <c r="T36" s="22"/>
      <c r="V36" s="7"/>
      <c r="W36" s="7"/>
      <c r="X36" s="7"/>
      <c r="Y36" s="7"/>
      <c r="Z36" s="7"/>
      <c r="AA36" s="7"/>
      <c r="AB36" s="7"/>
      <c r="AC36" s="7"/>
      <c r="AD36" s="7"/>
      <c r="AE36" s="7"/>
    </row>
    <row r="37" spans="1:31" s="19" customFormat="1" ht="33" customHeight="1">
      <c r="A37" s="376"/>
      <c r="B37" s="11">
        <v>12</v>
      </c>
      <c r="C37" s="169" t="s">
        <v>954</v>
      </c>
      <c r="D37" s="20" t="str">
        <f>COVER!B22</f>
        <v>B7(다크로)</v>
      </c>
      <c r="E37" s="13">
        <v>4</v>
      </c>
      <c r="F37" s="14">
        <f>IF(D37="B8",Y92,IF(D37="B8M",Z92,IF(D37="B7(다크로)",AA92)))</f>
        <v>1000</v>
      </c>
      <c r="G37" s="14">
        <f>E37*F37</f>
        <v>4000</v>
      </c>
      <c r="H37" s="14"/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f t="shared" si="1"/>
        <v>4000</v>
      </c>
      <c r="T37" s="22"/>
      <c r="V37" s="7"/>
      <c r="W37" s="7"/>
      <c r="X37" s="7"/>
      <c r="Y37" s="7"/>
      <c r="Z37" s="7"/>
      <c r="AA37" s="7"/>
      <c r="AB37" s="7"/>
      <c r="AC37" s="7"/>
      <c r="AD37" s="7"/>
      <c r="AE37" s="7"/>
    </row>
    <row r="38" spans="1:31" s="19" customFormat="1" ht="33" customHeight="1">
      <c r="A38" s="376"/>
      <c r="B38" s="11">
        <v>13</v>
      </c>
      <c r="C38" s="29" t="s">
        <v>520</v>
      </c>
      <c r="D38" s="24"/>
      <c r="E38" s="13">
        <v>1</v>
      </c>
      <c r="F38" s="14">
        <v>3000</v>
      </c>
      <c r="G38" s="14">
        <f t="shared" si="6"/>
        <v>3000</v>
      </c>
      <c r="H38" s="14"/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f t="shared" si="1"/>
        <v>3000</v>
      </c>
      <c r="T38" s="22"/>
      <c r="V38" s="7"/>
      <c r="W38" s="7"/>
      <c r="X38" s="7"/>
      <c r="Y38" s="7"/>
      <c r="Z38" s="7"/>
      <c r="AA38" s="7"/>
      <c r="AB38" s="7"/>
      <c r="AC38" s="7"/>
      <c r="AD38" s="7"/>
      <c r="AE38" s="7"/>
    </row>
    <row r="39" spans="1:31" s="19" customFormat="1" ht="33" customHeight="1">
      <c r="A39" s="376"/>
      <c r="B39" s="11">
        <v>14</v>
      </c>
      <c r="C39" s="233" t="s">
        <v>521</v>
      </c>
      <c r="D39" s="24" t="str">
        <f>COVER!B23</f>
        <v>316+NICKEL</v>
      </c>
      <c r="E39" s="13">
        <v>2</v>
      </c>
      <c r="F39" s="14">
        <f>IF(D39="316+NICKEL",Y96,IF(D39="B148 C95400",Z96))</f>
        <v>21500</v>
      </c>
      <c r="G39" s="14">
        <f>F39*1</f>
        <v>21500</v>
      </c>
      <c r="H39" s="14"/>
      <c r="I39" s="15">
        <f t="shared" ref="I39:Q40" si="12">I40*I41</f>
        <v>0</v>
      </c>
      <c r="J39" s="15">
        <f t="shared" si="12"/>
        <v>0</v>
      </c>
      <c r="K39" s="15">
        <f t="shared" si="12"/>
        <v>0</v>
      </c>
      <c r="L39" s="15">
        <f t="shared" si="12"/>
        <v>0</v>
      </c>
      <c r="M39" s="15">
        <f t="shared" si="12"/>
        <v>0</v>
      </c>
      <c r="N39" s="15">
        <f t="shared" si="12"/>
        <v>0</v>
      </c>
      <c r="O39" s="15">
        <f t="shared" si="12"/>
        <v>0</v>
      </c>
      <c r="P39" s="15">
        <f t="shared" si="12"/>
        <v>0</v>
      </c>
      <c r="Q39" s="15">
        <f t="shared" si="12"/>
        <v>0</v>
      </c>
      <c r="R39" s="15">
        <v>0</v>
      </c>
      <c r="S39" s="15">
        <f t="shared" si="1"/>
        <v>21500</v>
      </c>
      <c r="T39" s="25" t="s">
        <v>889</v>
      </c>
      <c r="V39" s="7"/>
      <c r="W39" s="7"/>
      <c r="X39" s="7"/>
      <c r="Y39" s="7"/>
      <c r="Z39" s="7"/>
      <c r="AA39" s="7"/>
      <c r="AB39" s="7"/>
      <c r="AC39" s="7"/>
      <c r="AD39" s="7"/>
      <c r="AE39" s="7"/>
    </row>
    <row r="40" spans="1:31" s="19" customFormat="1" ht="33" customHeight="1">
      <c r="A40" s="376"/>
      <c r="B40" s="11">
        <v>15</v>
      </c>
      <c r="C40" s="142" t="s">
        <v>522</v>
      </c>
      <c r="D40" s="24" t="str">
        <f>COVER!B23</f>
        <v>316+NICKEL</v>
      </c>
      <c r="E40" s="13">
        <v>2</v>
      </c>
      <c r="F40" s="14">
        <f>IF(D40="316+NICKEL",Y97,IF(D40="B148 C95400",Z97))</f>
        <v>20500</v>
      </c>
      <c r="G40" s="14">
        <f>F40*1</f>
        <v>20500</v>
      </c>
      <c r="H40" s="14"/>
      <c r="I40" s="15">
        <f t="shared" si="12"/>
        <v>0</v>
      </c>
      <c r="J40" s="15">
        <f t="shared" si="12"/>
        <v>0</v>
      </c>
      <c r="K40" s="15">
        <f t="shared" si="12"/>
        <v>0</v>
      </c>
      <c r="L40" s="15">
        <f t="shared" si="12"/>
        <v>0</v>
      </c>
      <c r="M40" s="15">
        <f t="shared" si="12"/>
        <v>0</v>
      </c>
      <c r="N40" s="15">
        <f t="shared" si="12"/>
        <v>0</v>
      </c>
      <c r="O40" s="15">
        <f t="shared" si="12"/>
        <v>0</v>
      </c>
      <c r="P40" s="15">
        <f t="shared" si="12"/>
        <v>0</v>
      </c>
      <c r="Q40" s="15">
        <f t="shared" si="12"/>
        <v>0</v>
      </c>
      <c r="R40" s="15">
        <v>0</v>
      </c>
      <c r="S40" s="15">
        <f t="shared" si="1"/>
        <v>20500</v>
      </c>
      <c r="T40" s="25" t="s">
        <v>889</v>
      </c>
      <c r="V40" s="28"/>
      <c r="W40" s="28"/>
      <c r="X40" s="28"/>
      <c r="Y40" s="7"/>
      <c r="Z40" s="7"/>
      <c r="AA40" s="7"/>
      <c r="AB40" s="7"/>
      <c r="AC40" s="7"/>
      <c r="AD40" s="7"/>
      <c r="AE40" s="7"/>
    </row>
    <row r="41" spans="1:31" s="19" customFormat="1" ht="33" hidden="1" customHeight="1">
      <c r="A41" s="376"/>
      <c r="B41" s="11"/>
      <c r="C41" s="12"/>
      <c r="D41" s="20"/>
      <c r="E41" s="13"/>
      <c r="F41" s="14"/>
      <c r="G41" s="14"/>
      <c r="H41" s="17" t="s">
        <v>512</v>
      </c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>
        <f t="shared" si="1"/>
        <v>0</v>
      </c>
      <c r="T41" s="22"/>
      <c r="V41" s="28"/>
      <c r="W41" s="28"/>
      <c r="X41" s="28"/>
      <c r="Y41" s="7"/>
      <c r="Z41" s="7"/>
      <c r="AA41" s="7"/>
      <c r="AB41" s="7"/>
      <c r="AC41" s="7"/>
      <c r="AD41" s="7"/>
      <c r="AE41" s="7"/>
    </row>
    <row r="42" spans="1:31" s="19" customFormat="1" ht="33" hidden="1" customHeight="1">
      <c r="A42" s="376"/>
      <c r="B42" s="11"/>
      <c r="C42" s="12"/>
      <c r="D42" s="20"/>
      <c r="E42" s="13"/>
      <c r="F42" s="14"/>
      <c r="G42" s="14"/>
      <c r="H42" s="17" t="s">
        <v>514</v>
      </c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>
        <f t="shared" si="1"/>
        <v>0</v>
      </c>
      <c r="T42" s="22"/>
      <c r="V42" s="28"/>
      <c r="W42" s="28"/>
      <c r="X42" s="28"/>
      <c r="Y42" s="7"/>
      <c r="Z42" s="7"/>
      <c r="AA42" s="7"/>
      <c r="AB42" s="7"/>
      <c r="AC42" s="7"/>
      <c r="AD42" s="7"/>
      <c r="AE42" s="7"/>
    </row>
    <row r="43" spans="1:31" s="19" customFormat="1" ht="33" hidden="1" customHeight="1">
      <c r="A43" s="376"/>
      <c r="B43" s="11"/>
      <c r="C43" s="12"/>
      <c r="D43" s="20"/>
      <c r="E43" s="13"/>
      <c r="F43" s="14"/>
      <c r="G43" s="14"/>
      <c r="H43" s="17" t="s">
        <v>512</v>
      </c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>
        <f t="shared" si="1"/>
        <v>0</v>
      </c>
      <c r="T43" s="22"/>
      <c r="V43" s="28"/>
      <c r="W43" s="28"/>
      <c r="X43" s="28"/>
      <c r="Y43" s="7"/>
      <c r="Z43" s="7"/>
      <c r="AA43" s="7"/>
      <c r="AB43" s="7"/>
      <c r="AC43" s="7"/>
      <c r="AD43" s="7"/>
      <c r="AE43" s="7"/>
    </row>
    <row r="44" spans="1:31" s="19" customFormat="1" ht="33" customHeight="1">
      <c r="A44" s="376"/>
      <c r="B44" s="11">
        <v>16</v>
      </c>
      <c r="C44" s="142" t="s">
        <v>523</v>
      </c>
      <c r="D44" s="24" t="str">
        <f>COVER!B25</f>
        <v>316+NICKEL</v>
      </c>
      <c r="E44" s="13">
        <v>1</v>
      </c>
      <c r="F44" s="14">
        <f>IF(D44="316+NICKEL",Y99,IF(D44="B148 C95400",Z99))</f>
        <v>6000</v>
      </c>
      <c r="G44" s="14">
        <f>F44*E44</f>
        <v>6000</v>
      </c>
      <c r="H44" s="14"/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1000</v>
      </c>
      <c r="P44" s="15">
        <v>0</v>
      </c>
      <c r="Q44" s="15">
        <v>0</v>
      </c>
      <c r="R44" s="15">
        <v>0</v>
      </c>
      <c r="S44" s="15">
        <f t="shared" si="1"/>
        <v>6000</v>
      </c>
      <c r="T44" s="25" t="s">
        <v>889</v>
      </c>
      <c r="U44" s="236"/>
      <c r="V44" s="28"/>
      <c r="W44" s="28"/>
      <c r="X44" s="28"/>
      <c r="Y44" s="7"/>
      <c r="Z44" s="7"/>
      <c r="AA44" s="7"/>
      <c r="AB44" s="7"/>
      <c r="AC44" s="7"/>
      <c r="AD44" s="7"/>
      <c r="AE44" s="7"/>
    </row>
    <row r="45" spans="1:31" s="19" customFormat="1" ht="33" customHeight="1">
      <c r="A45" s="376"/>
      <c r="B45" s="11">
        <v>17</v>
      </c>
      <c r="C45" s="175" t="s">
        <v>524</v>
      </c>
      <c r="D45" s="20" t="s">
        <v>463</v>
      </c>
      <c r="E45" s="14">
        <v>1</v>
      </c>
      <c r="F45" s="14">
        <f>Y87</f>
        <v>1800</v>
      </c>
      <c r="G45" s="14">
        <f>F45*E45</f>
        <v>1800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/>
      <c r="R45" s="15">
        <v>0</v>
      </c>
      <c r="S45" s="15">
        <f t="shared" si="1"/>
        <v>1800</v>
      </c>
      <c r="T45" s="22"/>
      <c r="V45" s="7"/>
      <c r="W45" s="7"/>
      <c r="X45" s="7"/>
      <c r="Y45" s="7"/>
      <c r="Z45" s="7"/>
      <c r="AA45" s="7"/>
      <c r="AB45" s="7"/>
      <c r="AC45" s="7"/>
      <c r="AD45" s="7"/>
      <c r="AE45" s="7"/>
    </row>
    <row r="46" spans="1:31" s="19" customFormat="1" ht="33" customHeight="1">
      <c r="A46" s="376"/>
      <c r="B46" s="11">
        <v>18</v>
      </c>
      <c r="C46" s="175" t="s">
        <v>1204</v>
      </c>
      <c r="D46" s="24" t="str">
        <f>COVER!B29</f>
        <v>SS400</v>
      </c>
      <c r="E46" s="13">
        <v>1</v>
      </c>
      <c r="F46" s="14">
        <f>IF(D46="SS400",Y104,IF(D46="SS316",Z104,IF(D46="SS304",AA104)))</f>
        <v>1100</v>
      </c>
      <c r="G46" s="14">
        <f>F46*E46</f>
        <v>1100</v>
      </c>
      <c r="H46" s="14"/>
      <c r="I46" s="15">
        <f>I47*I48</f>
        <v>1532.64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5000</v>
      </c>
      <c r="S46" s="15">
        <f t="shared" si="1"/>
        <v>6100</v>
      </c>
      <c r="T46" s="22"/>
      <c r="V46" s="7"/>
      <c r="W46" s="26"/>
      <c r="X46" s="26"/>
      <c r="Y46" s="26"/>
      <c r="Z46" s="26"/>
      <c r="AA46" s="26"/>
      <c r="AB46" s="26"/>
      <c r="AC46" s="7"/>
      <c r="AD46" s="7"/>
      <c r="AE46" s="7"/>
    </row>
    <row r="47" spans="1:31" s="19" customFormat="1" ht="33" hidden="1" customHeight="1">
      <c r="A47" s="376"/>
      <c r="B47" s="11"/>
      <c r="C47" s="31"/>
      <c r="D47" s="24"/>
      <c r="E47" s="13"/>
      <c r="F47" s="14"/>
      <c r="G47" s="14"/>
      <c r="H47" s="17" t="s">
        <v>506</v>
      </c>
      <c r="I47" s="21">
        <v>0.1</v>
      </c>
      <c r="J47" s="21"/>
      <c r="K47" s="21"/>
      <c r="L47" s="21"/>
      <c r="M47" s="21"/>
      <c r="N47" s="21"/>
      <c r="O47" s="21"/>
      <c r="P47" s="21"/>
      <c r="Q47" s="21"/>
      <c r="R47" s="15"/>
      <c r="S47" s="15">
        <f t="shared" si="1"/>
        <v>0</v>
      </c>
      <c r="T47" s="22"/>
      <c r="V47" s="7"/>
      <c r="W47" s="26"/>
      <c r="X47" s="26"/>
      <c r="Y47" s="26"/>
      <c r="Z47" s="26"/>
      <c r="AA47" s="26"/>
      <c r="AB47" s="26"/>
      <c r="AC47" s="7"/>
      <c r="AD47" s="7"/>
      <c r="AE47" s="7"/>
    </row>
    <row r="48" spans="1:31" s="19" customFormat="1" ht="33" hidden="1" customHeight="1">
      <c r="A48" s="376"/>
      <c r="B48" s="11"/>
      <c r="C48" s="31"/>
      <c r="D48" s="24"/>
      <c r="E48" s="13"/>
      <c r="F48" s="14"/>
      <c r="G48" s="14"/>
      <c r="H48" s="17" t="s">
        <v>512</v>
      </c>
      <c r="I48" s="15">
        <f>I49/10</f>
        <v>15326.4</v>
      </c>
      <c r="J48" s="15"/>
      <c r="K48" s="15"/>
      <c r="L48" s="15"/>
      <c r="M48" s="15"/>
      <c r="N48" s="15"/>
      <c r="O48" s="15"/>
      <c r="P48" s="15"/>
      <c r="Q48" s="15"/>
      <c r="R48" s="15"/>
      <c r="S48" s="15">
        <f t="shared" si="1"/>
        <v>0</v>
      </c>
      <c r="T48" s="22"/>
      <c r="V48" s="7"/>
      <c r="W48" s="26"/>
      <c r="X48" s="26"/>
      <c r="Y48" s="26"/>
      <c r="Z48" s="26"/>
      <c r="AA48" s="26"/>
      <c r="AB48" s="26"/>
      <c r="AC48" s="7"/>
      <c r="AD48" s="7"/>
      <c r="AE48" s="7"/>
    </row>
    <row r="49" spans="1:31" s="19" customFormat="1" ht="33" hidden="1" customHeight="1">
      <c r="A49" s="376"/>
      <c r="B49" s="11"/>
      <c r="C49" s="31"/>
      <c r="D49" s="24"/>
      <c r="E49" s="13"/>
      <c r="F49" s="14"/>
      <c r="G49" s="14"/>
      <c r="H49" s="17" t="s">
        <v>506</v>
      </c>
      <c r="I49" s="15">
        <v>153264</v>
      </c>
      <c r="J49" s="15"/>
      <c r="K49" s="15"/>
      <c r="L49" s="15"/>
      <c r="M49" s="15"/>
      <c r="N49" s="15"/>
      <c r="O49" s="15"/>
      <c r="P49" s="15"/>
      <c r="Q49" s="15"/>
      <c r="R49" s="15"/>
      <c r="S49" s="15">
        <f t="shared" si="1"/>
        <v>0</v>
      </c>
      <c r="T49" s="22"/>
      <c r="V49" s="7"/>
      <c r="W49" s="26"/>
      <c r="X49" s="26"/>
      <c r="Y49" s="26"/>
      <c r="Z49" s="26"/>
      <c r="AA49" s="26"/>
      <c r="AB49" s="26"/>
      <c r="AC49" s="7"/>
      <c r="AD49" s="7"/>
      <c r="AE49" s="7"/>
    </row>
    <row r="50" spans="1:31" s="19" customFormat="1" ht="33" customHeight="1">
      <c r="A50" s="376"/>
      <c r="B50" s="11">
        <v>19</v>
      </c>
      <c r="C50" s="226" t="s">
        <v>525</v>
      </c>
      <c r="D50" s="20" t="str">
        <f>COVER!B22</f>
        <v>B7(다크로)</v>
      </c>
      <c r="E50" s="13">
        <v>6</v>
      </c>
      <c r="F50" s="14">
        <f>IF(D50="B8",Y93,IF(D50="B8M",Z93,IF(D50="B7(다크로)",AA93)))</f>
        <v>300</v>
      </c>
      <c r="G50" s="14">
        <f>E50*F50</f>
        <v>1800</v>
      </c>
      <c r="H50" s="14"/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f t="shared" si="1"/>
        <v>1800</v>
      </c>
      <c r="T50" s="18"/>
      <c r="V50" s="26"/>
      <c r="W50" s="26"/>
      <c r="X50" s="26"/>
      <c r="Y50" s="26"/>
      <c r="Z50" s="26"/>
      <c r="AA50" s="26"/>
      <c r="AB50" s="26"/>
      <c r="AC50" s="7"/>
      <c r="AD50" s="7"/>
      <c r="AE50" s="7"/>
    </row>
    <row r="51" spans="1:31" s="19" customFormat="1" ht="33" customHeight="1">
      <c r="A51" s="376"/>
      <c r="B51" s="11">
        <v>20</v>
      </c>
      <c r="C51" s="169" t="s">
        <v>526</v>
      </c>
      <c r="D51" s="303" t="str">
        <f>D24</f>
        <v>A564T630</v>
      </c>
      <c r="E51" s="13">
        <v>2</v>
      </c>
      <c r="F51" s="14">
        <f>IF(D51="A276T316",Y80/E51,IF(D51="A276T316L",Y80/E51,IF(D51="A276T304",Z80/E51,IF(D51="A564T630",AA80/E51,IF(D51="A479T410",AB80/E51,IF(D51="UNS S31803",AC80/E51,IF(D51="UNS S32750",AD80/E51,IF(D51="MONEL K-400",AE80/E51,IF(D51="MONEL K-500",AE80/E51)))))))))</f>
        <v>337.5</v>
      </c>
      <c r="G51" s="14">
        <f>F51*E51</f>
        <v>675</v>
      </c>
      <c r="H51" s="14"/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1000</v>
      </c>
      <c r="P51" s="15">
        <v>0</v>
      </c>
      <c r="Q51" s="15">
        <v>0</v>
      </c>
      <c r="R51" s="15">
        <f>1400*E51</f>
        <v>2800</v>
      </c>
      <c r="S51" s="15">
        <f t="shared" si="1"/>
        <v>3475</v>
      </c>
      <c r="T51" s="22"/>
      <c r="U51" s="162"/>
      <c r="V51" s="26"/>
      <c r="W51" s="26"/>
      <c r="X51" s="26"/>
      <c r="Y51" s="26"/>
      <c r="Z51" s="26"/>
      <c r="AA51" s="26"/>
      <c r="AB51" s="26"/>
    </row>
    <row r="52" spans="1:31" s="19" customFormat="1" ht="33" customHeight="1">
      <c r="A52" s="376"/>
      <c r="B52" s="11">
        <v>21</v>
      </c>
      <c r="C52" s="169" t="s">
        <v>527</v>
      </c>
      <c r="D52" s="24" t="str">
        <f>COVER!B22</f>
        <v>B7(다크로)</v>
      </c>
      <c r="E52" s="13">
        <v>4</v>
      </c>
      <c r="F52" s="14">
        <f>IF(D52="B8",Y90,IF(D52="B8M",Z90,IF(D52="B7(다크로)",AA90)))</f>
        <v>1000</v>
      </c>
      <c r="G52" s="14">
        <f>F52*E52</f>
        <v>4000</v>
      </c>
      <c r="H52" s="14"/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1000</v>
      </c>
      <c r="O52" s="15">
        <v>1000</v>
      </c>
      <c r="P52" s="15">
        <v>1000</v>
      </c>
      <c r="Q52" s="15">
        <v>0</v>
      </c>
      <c r="R52" s="15">
        <v>0</v>
      </c>
      <c r="S52" s="15">
        <f t="shared" si="1"/>
        <v>4000</v>
      </c>
      <c r="T52" s="22"/>
      <c r="V52" s="26"/>
      <c r="W52" s="26"/>
      <c r="X52" s="26"/>
      <c r="Y52" s="26"/>
      <c r="Z52" s="26"/>
      <c r="AA52" s="26"/>
      <c r="AB52" s="26"/>
    </row>
    <row r="53" spans="1:31" s="19" customFormat="1" ht="33" customHeight="1">
      <c r="A53" s="376"/>
      <c r="B53" s="11">
        <v>22</v>
      </c>
      <c r="C53" s="169" t="s">
        <v>1250</v>
      </c>
      <c r="D53" s="24" t="str">
        <f>COVER!B26</f>
        <v>316+NICKEL</v>
      </c>
      <c r="E53" s="13">
        <v>1</v>
      </c>
      <c r="F53" s="14">
        <f>IF(D53="316+NICKEL",Y100,IF(D53="B148 C95400",Z100))</f>
        <v>6000</v>
      </c>
      <c r="G53" s="14">
        <f>F53*E53</f>
        <v>6000</v>
      </c>
      <c r="H53" s="14"/>
      <c r="I53" s="15"/>
      <c r="J53" s="15"/>
      <c r="K53" s="15"/>
      <c r="L53" s="15"/>
      <c r="M53" s="15"/>
      <c r="N53" s="15"/>
      <c r="O53" s="15"/>
      <c r="P53" s="15"/>
      <c r="Q53" s="15"/>
      <c r="R53" s="15">
        <v>0</v>
      </c>
      <c r="S53" s="15">
        <f t="shared" si="1"/>
        <v>6000</v>
      </c>
      <c r="T53" s="22"/>
      <c r="V53" s="26"/>
      <c r="W53" s="26"/>
      <c r="X53" s="26"/>
      <c r="Y53" s="26"/>
      <c r="Z53" s="26"/>
      <c r="AA53" s="26"/>
      <c r="AB53" s="26"/>
    </row>
    <row r="54" spans="1:31" s="19" customFormat="1" ht="33" customHeight="1">
      <c r="A54" s="376"/>
      <c r="B54" s="11">
        <v>23</v>
      </c>
      <c r="C54" s="29" t="s">
        <v>528</v>
      </c>
      <c r="D54" s="24"/>
      <c r="E54" s="13">
        <v>1</v>
      </c>
      <c r="F54" s="14">
        <v>1000</v>
      </c>
      <c r="G54" s="14">
        <f t="shared" si="6"/>
        <v>1000</v>
      </c>
      <c r="H54" s="14"/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1000</v>
      </c>
      <c r="Q54" s="15">
        <v>0</v>
      </c>
      <c r="R54" s="15">
        <v>0</v>
      </c>
      <c r="S54" s="15">
        <f t="shared" si="1"/>
        <v>1000</v>
      </c>
      <c r="T54" s="22"/>
      <c r="V54" s="26"/>
      <c r="W54" s="26"/>
      <c r="X54" s="26"/>
      <c r="Y54" s="26"/>
      <c r="Z54" s="26"/>
      <c r="AA54" s="26"/>
      <c r="AB54" s="26"/>
    </row>
    <row r="55" spans="1:31" s="19" customFormat="1" ht="33" customHeight="1">
      <c r="A55" s="376"/>
      <c r="B55" s="11">
        <v>24</v>
      </c>
      <c r="C55" s="142" t="s">
        <v>529</v>
      </c>
      <c r="D55" s="24" t="str">
        <f>COVER!B35</f>
        <v>GEAR</v>
      </c>
      <c r="E55" s="13">
        <v>1</v>
      </c>
      <c r="F55" s="302">
        <f>IF(D55="GEAR",85500,IF(D55="MOTOR",0,IF(D55="PNEUMATIC",0)))</f>
        <v>85500</v>
      </c>
      <c r="G55" s="14">
        <f>F55</f>
        <v>85500</v>
      </c>
      <c r="H55" s="14"/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f t="shared" si="1"/>
        <v>85500</v>
      </c>
      <c r="T55" s="22"/>
      <c r="V55" s="26"/>
      <c r="W55" s="26"/>
      <c r="X55" s="26"/>
      <c r="Y55" s="26"/>
      <c r="Z55" s="26"/>
      <c r="AA55" s="26"/>
      <c r="AB55" s="26"/>
    </row>
    <row r="56" spans="1:31" s="19" customFormat="1" ht="33" customHeight="1">
      <c r="A56" s="376"/>
      <c r="B56" s="11">
        <v>25</v>
      </c>
      <c r="C56" s="186" t="s">
        <v>859</v>
      </c>
      <c r="D56" s="24" t="str">
        <f>COVER!B30</f>
        <v>WCB</v>
      </c>
      <c r="E56" s="13">
        <v>1</v>
      </c>
      <c r="F56" s="14">
        <f>IF(D56="WCB",Y106,IF(D56="CF8M",Z106))</f>
        <v>70000</v>
      </c>
      <c r="G56" s="14">
        <f>E56*F56</f>
        <v>70000</v>
      </c>
      <c r="H56" s="14"/>
      <c r="I56" s="15"/>
      <c r="J56" s="15"/>
      <c r="K56" s="15"/>
      <c r="L56" s="15"/>
      <c r="M56" s="15"/>
      <c r="N56" s="15"/>
      <c r="O56" s="15"/>
      <c r="P56" s="15"/>
      <c r="Q56" s="15"/>
      <c r="R56" s="15">
        <f>IF(D56="WCB",AA106,IF(D56="CF8M",AB106))</f>
        <v>0</v>
      </c>
      <c r="S56" s="15">
        <f t="shared" si="1"/>
        <v>70000</v>
      </c>
      <c r="T56" s="304"/>
      <c r="V56" s="26"/>
      <c r="W56" s="26"/>
      <c r="X56" s="26"/>
      <c r="Y56" s="26"/>
      <c r="Z56" s="26"/>
      <c r="AA56" s="26"/>
      <c r="AB56" s="26"/>
    </row>
    <row r="57" spans="1:31" s="19" customFormat="1" ht="33" customHeight="1">
      <c r="A57" s="376"/>
      <c r="B57" s="11">
        <v>26</v>
      </c>
      <c r="C57" s="175" t="s">
        <v>467</v>
      </c>
      <c r="D57" s="24" t="str">
        <f>COVER!B27</f>
        <v>316+NICKEL</v>
      </c>
      <c r="E57" s="13">
        <v>2</v>
      </c>
      <c r="F57" s="14">
        <f>IF(D57="316+NICKEL",Y101,IF(D57="B148 C95400",Z101))</f>
        <v>12000</v>
      </c>
      <c r="G57" s="14">
        <f>F57</f>
        <v>12000</v>
      </c>
      <c r="H57" s="14"/>
      <c r="I57" s="15"/>
      <c r="J57" s="15"/>
      <c r="K57" s="15"/>
      <c r="L57" s="15"/>
      <c r="M57" s="15"/>
      <c r="N57" s="15"/>
      <c r="O57" s="15"/>
      <c r="P57" s="15"/>
      <c r="Q57" s="15"/>
      <c r="R57" s="15">
        <v>0</v>
      </c>
      <c r="S57" s="15">
        <f t="shared" si="1"/>
        <v>12000</v>
      </c>
      <c r="T57" s="25" t="s">
        <v>889</v>
      </c>
      <c r="V57" s="26"/>
      <c r="W57" s="26"/>
      <c r="X57" s="26"/>
      <c r="Y57" s="26"/>
      <c r="Z57" s="26"/>
      <c r="AA57" s="26"/>
      <c r="AB57" s="26"/>
    </row>
    <row r="58" spans="1:31" s="19" customFormat="1" ht="33" customHeight="1">
      <c r="A58" s="376"/>
      <c r="B58" s="11">
        <v>27</v>
      </c>
      <c r="C58" s="175" t="s">
        <v>468</v>
      </c>
      <c r="D58" s="24" t="str">
        <f>COVER!B28</f>
        <v>316+NICKEL</v>
      </c>
      <c r="E58" s="13">
        <v>2</v>
      </c>
      <c r="F58" s="14">
        <f>IF(D58="316+NICKEL",Y102,IF(D58="B148 C95400",Z102))</f>
        <v>2200</v>
      </c>
      <c r="G58" s="14">
        <f>F58</f>
        <v>2200</v>
      </c>
      <c r="H58" s="14"/>
      <c r="I58" s="15"/>
      <c r="J58" s="15"/>
      <c r="K58" s="15"/>
      <c r="L58" s="15"/>
      <c r="M58" s="15"/>
      <c r="N58" s="15"/>
      <c r="O58" s="15"/>
      <c r="P58" s="15"/>
      <c r="Q58" s="15"/>
      <c r="R58" s="15">
        <v>0</v>
      </c>
      <c r="S58" s="15">
        <f t="shared" si="1"/>
        <v>2200</v>
      </c>
      <c r="T58" s="25" t="s">
        <v>889</v>
      </c>
      <c r="W58" s="26"/>
      <c r="X58" s="26"/>
      <c r="Y58" s="26"/>
      <c r="Z58" s="26"/>
      <c r="AA58" s="26"/>
      <c r="AB58" s="26"/>
    </row>
    <row r="59" spans="1:31" s="19" customFormat="1" ht="33" customHeight="1">
      <c r="A59" s="376"/>
      <c r="B59" s="11">
        <v>28</v>
      </c>
      <c r="C59" s="142" t="s">
        <v>714</v>
      </c>
      <c r="D59" s="24" t="str">
        <f>COVER!B22</f>
        <v>B7(다크로)</v>
      </c>
      <c r="E59" s="13">
        <v>4</v>
      </c>
      <c r="F59" s="14">
        <f>IF(D59="B8",Y89,IF(D59="B8M",Z89,IF(D59="B7(다크로)",AA89)))</f>
        <v>300</v>
      </c>
      <c r="G59" s="14">
        <f t="shared" ref="G59:G61" si="13">E59*F59</f>
        <v>1200</v>
      </c>
      <c r="H59" s="14"/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f t="shared" si="1"/>
        <v>1200</v>
      </c>
      <c r="T59" s="25"/>
    </row>
    <row r="60" spans="1:31" s="19" customFormat="1" ht="33" customHeight="1">
      <c r="A60" s="376"/>
      <c r="B60" s="11">
        <v>29</v>
      </c>
      <c r="C60" s="12" t="s">
        <v>530</v>
      </c>
      <c r="D60" s="303" t="str">
        <f>COVER!B32</f>
        <v>외주 2COATING</v>
      </c>
      <c r="E60" s="13">
        <v>1</v>
      </c>
      <c r="F60" s="14">
        <f>IF(COVER!B10="APPLICATION",0,IF(D60="기존 단가",Y116,IF(D60="외주 2COATING",Z116,IF(D60="외주 3COATING",AA116))))</f>
        <v>0</v>
      </c>
      <c r="G60" s="14">
        <f t="shared" si="13"/>
        <v>0</v>
      </c>
      <c r="H60" s="14"/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f t="shared" si="1"/>
        <v>0</v>
      </c>
      <c r="T60" s="22"/>
    </row>
    <row r="61" spans="1:31" s="19" customFormat="1" ht="33" customHeight="1">
      <c r="A61" s="377"/>
      <c r="B61" s="11">
        <v>30</v>
      </c>
      <c r="C61" s="12" t="s">
        <v>531</v>
      </c>
      <c r="D61" s="303" t="str">
        <f>COVER!B33</f>
        <v>신규</v>
      </c>
      <c r="E61" s="13">
        <v>1</v>
      </c>
      <c r="F61" s="14">
        <f>IF(COVER!B10="APPLICATION",0,IF(D61="기존 단가",Y118,IF(D61="신규",Z118)))</f>
        <v>0</v>
      </c>
      <c r="G61" s="14">
        <f t="shared" si="13"/>
        <v>0</v>
      </c>
      <c r="H61" s="14"/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f t="shared" si="1"/>
        <v>0</v>
      </c>
      <c r="T61" s="22"/>
    </row>
    <row r="62" spans="1:31" s="19" customFormat="1" ht="33" customHeight="1">
      <c r="A62" s="378" t="s">
        <v>532</v>
      </c>
      <c r="B62" s="379"/>
      <c r="C62" s="379"/>
      <c r="D62" s="379"/>
      <c r="E62" s="379"/>
      <c r="F62" s="380"/>
      <c r="G62" s="14">
        <f>IF(COVER!B10="APPLICATION",0,IF(D55="GEAR",Y120,IF(D55="MOTOR",Z120,IF(D55="PNEUMATIC",AA120))))</f>
        <v>0</v>
      </c>
      <c r="H62" s="14"/>
      <c r="I62" s="32" t="s">
        <v>505</v>
      </c>
      <c r="J62" s="32"/>
      <c r="K62" s="32"/>
      <c r="L62" s="32"/>
      <c r="M62" s="32"/>
      <c r="N62" s="32"/>
      <c r="O62" s="32"/>
      <c r="P62" s="32"/>
      <c r="Q62" s="32"/>
      <c r="R62" s="33"/>
      <c r="S62" s="33">
        <f t="shared" ref="S62" si="14">G62+R62</f>
        <v>0</v>
      </c>
      <c r="T62" s="253"/>
      <c r="X62" s="19" t="s">
        <v>533</v>
      </c>
    </row>
    <row r="63" spans="1:31" s="19" customFormat="1" ht="33" customHeight="1">
      <c r="A63" s="360" t="s">
        <v>534</v>
      </c>
      <c r="B63" s="361"/>
      <c r="C63" s="361"/>
      <c r="D63" s="361"/>
      <c r="E63" s="361"/>
      <c r="F63" s="362"/>
      <c r="G63" s="14"/>
      <c r="H63" s="14"/>
      <c r="I63" s="32"/>
      <c r="J63" s="32"/>
      <c r="K63" s="32"/>
      <c r="L63" s="32"/>
      <c r="M63" s="32"/>
      <c r="N63" s="32"/>
      <c r="O63" s="32"/>
      <c r="P63" s="32"/>
      <c r="Q63" s="32"/>
      <c r="R63" s="33"/>
      <c r="S63" s="33"/>
      <c r="T63" s="253" t="s">
        <v>1526</v>
      </c>
    </row>
    <row r="64" spans="1:31" s="19" customFormat="1" ht="33" customHeight="1">
      <c r="A64" s="378" t="s">
        <v>536</v>
      </c>
      <c r="B64" s="379"/>
      <c r="C64" s="379"/>
      <c r="D64" s="379"/>
      <c r="E64" s="379"/>
      <c r="F64" s="380"/>
      <c r="G64" s="93" t="s">
        <v>505</v>
      </c>
      <c r="H64" s="93"/>
      <c r="I64" s="32"/>
      <c r="J64" s="94"/>
      <c r="K64" s="94"/>
      <c r="L64" s="94"/>
      <c r="M64" s="94"/>
      <c r="N64" s="94"/>
      <c r="O64" s="94"/>
      <c r="P64" s="94"/>
      <c r="Q64" s="94"/>
      <c r="R64" s="94"/>
      <c r="S64" s="34">
        <f>SUM(S8:S63)</f>
        <v>768785</v>
      </c>
      <c r="T64" s="254" t="s">
        <v>537</v>
      </c>
    </row>
    <row r="65" spans="1:32" s="19" customFormat="1" ht="33" customHeight="1">
      <c r="A65" s="378" t="s">
        <v>538</v>
      </c>
      <c r="B65" s="379"/>
      <c r="C65" s="379"/>
      <c r="D65" s="379"/>
      <c r="E65" s="379"/>
      <c r="F65" s="380"/>
      <c r="G65" s="32">
        <v>0.1</v>
      </c>
      <c r="H65" s="32"/>
      <c r="I65" s="32" t="s">
        <v>535</v>
      </c>
      <c r="J65" s="32"/>
      <c r="K65" s="32"/>
      <c r="L65" s="32"/>
      <c r="M65" s="32"/>
      <c r="N65" s="32"/>
      <c r="O65" s="32"/>
      <c r="P65" s="32"/>
      <c r="Q65" s="32"/>
      <c r="R65" s="32"/>
      <c r="S65" s="35">
        <f>S64*G65</f>
        <v>76878.5</v>
      </c>
      <c r="T65" s="253"/>
    </row>
    <row r="66" spans="1:32" s="19" customFormat="1" ht="33" customHeight="1">
      <c r="A66" s="360" t="s">
        <v>539</v>
      </c>
      <c r="B66" s="361"/>
      <c r="C66" s="361"/>
      <c r="D66" s="361"/>
      <c r="E66" s="361"/>
      <c r="F66" s="362"/>
      <c r="G66" s="95">
        <v>0.1</v>
      </c>
      <c r="H66" s="95"/>
      <c r="I66" s="32" t="s">
        <v>533</v>
      </c>
      <c r="J66" s="32"/>
      <c r="K66" s="32"/>
      <c r="L66" s="32"/>
      <c r="M66" s="32"/>
      <c r="N66" s="32"/>
      <c r="O66" s="32"/>
      <c r="P66" s="32"/>
      <c r="Q66" s="32"/>
      <c r="R66" s="32"/>
      <c r="S66" s="35">
        <f>(S64+S65)*G66</f>
        <v>84566.35</v>
      </c>
      <c r="T66" s="253" t="s">
        <v>540</v>
      </c>
    </row>
    <row r="67" spans="1:32" s="19" customFormat="1" ht="33" customHeight="1">
      <c r="A67" s="363" t="s">
        <v>541</v>
      </c>
      <c r="B67" s="364"/>
      <c r="C67" s="364"/>
      <c r="D67" s="364"/>
      <c r="E67" s="364"/>
      <c r="F67" s="365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294">
        <f>S64+S65+S66</f>
        <v>930229.85</v>
      </c>
      <c r="T67" s="254" t="s">
        <v>542</v>
      </c>
    </row>
    <row r="68" spans="1:32" s="19" customFormat="1" ht="33" customHeight="1">
      <c r="A68" s="366" t="s">
        <v>543</v>
      </c>
      <c r="B68" s="367"/>
      <c r="C68" s="367"/>
      <c r="D68" s="367"/>
      <c r="E68" s="367"/>
      <c r="F68" s="368"/>
      <c r="G68" s="32">
        <f>COVER!B11</f>
        <v>1.5</v>
      </c>
      <c r="H68" s="32"/>
      <c r="I68" s="32" t="s">
        <v>544</v>
      </c>
      <c r="J68" s="32"/>
      <c r="K68" s="32"/>
      <c r="L68" s="32"/>
      <c r="M68" s="32"/>
      <c r="N68" s="32"/>
      <c r="O68" s="32"/>
      <c r="P68" s="32"/>
      <c r="Q68" s="32"/>
      <c r="R68" s="32"/>
      <c r="S68" s="36">
        <f>S67*G68</f>
        <v>1395344.7749999999</v>
      </c>
      <c r="T68" s="253"/>
    </row>
    <row r="69" spans="1:32" s="19" customFormat="1" ht="33" customHeight="1">
      <c r="A69" s="369" t="s">
        <v>545</v>
      </c>
      <c r="B69" s="370"/>
      <c r="C69" s="370"/>
      <c r="D69" s="370"/>
      <c r="E69" s="370"/>
      <c r="F69" s="370"/>
      <c r="G69" s="371"/>
      <c r="H69" s="37"/>
      <c r="I69" s="38"/>
      <c r="J69" s="38"/>
      <c r="K69" s="38"/>
      <c r="L69" s="38"/>
      <c r="M69" s="38"/>
      <c r="N69" s="38"/>
      <c r="O69" s="38"/>
      <c r="P69" s="38"/>
      <c r="Q69" s="38"/>
      <c r="R69" s="39" t="s">
        <v>546</v>
      </c>
      <c r="S69" s="40">
        <f>S68</f>
        <v>1395344.7749999999</v>
      </c>
      <c r="T69" s="246" t="s">
        <v>547</v>
      </c>
      <c r="V69" s="141" t="s">
        <v>862</v>
      </c>
      <c r="W69" s="140"/>
      <c r="X69" s="140"/>
    </row>
    <row r="70" spans="1:32" s="19" customFormat="1" ht="33" customHeight="1" thickBot="1">
      <c r="A70" s="372"/>
      <c r="B70" s="373"/>
      <c r="C70" s="373"/>
      <c r="D70" s="373"/>
      <c r="E70" s="373"/>
      <c r="F70" s="373"/>
      <c r="G70" s="374"/>
      <c r="H70" s="41"/>
      <c r="I70" s="42"/>
      <c r="J70" s="42"/>
      <c r="K70" s="42"/>
      <c r="L70" s="42"/>
      <c r="M70" s="42"/>
      <c r="N70" s="42"/>
      <c r="O70" s="42"/>
      <c r="P70" s="42"/>
      <c r="Q70" s="42"/>
      <c r="R70" s="43" t="s">
        <v>548</v>
      </c>
      <c r="S70" s="43">
        <f>S64*G68</f>
        <v>1153177.5</v>
      </c>
      <c r="T70" s="247" t="s">
        <v>549</v>
      </c>
      <c r="V70" s="141" t="s">
        <v>1305</v>
      </c>
      <c r="W70" s="140"/>
      <c r="X70" s="140"/>
      <c r="Y70" s="140"/>
      <c r="Z70" s="140"/>
      <c r="AA70" s="140"/>
      <c r="AB70" s="140"/>
      <c r="AC70" s="140"/>
      <c r="AD70" s="140"/>
      <c r="AE70" s="140"/>
      <c r="AF70" s="140"/>
    </row>
    <row r="71" spans="1:32" ht="15" thickBot="1">
      <c r="V71" s="140"/>
      <c r="W71" s="140"/>
      <c r="X71" s="140"/>
      <c r="Y71" s="140"/>
      <c r="Z71" s="140"/>
      <c r="AA71" s="140"/>
      <c r="AB71" s="140"/>
      <c r="AC71" s="140"/>
      <c r="AD71" s="140"/>
      <c r="AE71" s="140"/>
      <c r="AF71" s="140"/>
    </row>
    <row r="72" spans="1:32" ht="21" thickBot="1">
      <c r="C72" s="44" t="s">
        <v>550</v>
      </c>
      <c r="V72" s="193" t="s">
        <v>863</v>
      </c>
      <c r="W72" s="194" t="s">
        <v>864</v>
      </c>
      <c r="X72" s="194" t="s">
        <v>865</v>
      </c>
      <c r="Y72" s="358" t="s">
        <v>866</v>
      </c>
      <c r="Z72" s="358"/>
      <c r="AA72" s="358"/>
      <c r="AB72" s="358"/>
      <c r="AC72" s="358"/>
      <c r="AD72" s="358"/>
      <c r="AE72" s="358"/>
      <c r="AF72" s="218" t="s">
        <v>867</v>
      </c>
    </row>
    <row r="73" spans="1:32" ht="20.399999999999999">
      <c r="C73" s="44" t="s">
        <v>551</v>
      </c>
      <c r="V73" s="336" t="s">
        <v>868</v>
      </c>
      <c r="W73" s="111" t="s">
        <v>869</v>
      </c>
      <c r="X73" s="295" t="s">
        <v>1503</v>
      </c>
      <c r="Y73" s="345" t="s">
        <v>870</v>
      </c>
      <c r="Z73" s="345"/>
      <c r="AA73" s="345"/>
      <c r="AB73" s="345"/>
      <c r="AC73" s="345"/>
      <c r="AD73" s="345"/>
      <c r="AE73" s="345"/>
      <c r="AF73" s="161" t="s">
        <v>871</v>
      </c>
    </row>
    <row r="74" spans="1:32" ht="21" thickBot="1">
      <c r="C74" s="44" t="s">
        <v>552</v>
      </c>
      <c r="V74" s="342"/>
      <c r="W74" s="133" t="s">
        <v>872</v>
      </c>
      <c r="X74" s="133" t="s">
        <v>1306</v>
      </c>
      <c r="Y74" s="346" t="s">
        <v>870</v>
      </c>
      <c r="Z74" s="346"/>
      <c r="AA74" s="346"/>
      <c r="AB74" s="346"/>
      <c r="AC74" s="346"/>
      <c r="AD74" s="346"/>
      <c r="AE74" s="346"/>
      <c r="AF74" s="195" t="s">
        <v>871</v>
      </c>
    </row>
    <row r="75" spans="1:32" ht="21" thickBot="1">
      <c r="C75" s="44" t="s">
        <v>553</v>
      </c>
      <c r="V75" s="196" t="s">
        <v>874</v>
      </c>
      <c r="W75" s="137" t="s">
        <v>875</v>
      </c>
      <c r="X75" s="137" t="s">
        <v>876</v>
      </c>
      <c r="Y75" s="359" t="s">
        <v>870</v>
      </c>
      <c r="Z75" s="359"/>
      <c r="AA75" s="359"/>
      <c r="AB75" s="359"/>
      <c r="AC75" s="359"/>
      <c r="AD75" s="359"/>
      <c r="AE75" s="359"/>
      <c r="AF75" s="197" t="s">
        <v>871</v>
      </c>
    </row>
    <row r="76" spans="1:32" ht="20.399999999999999">
      <c r="C76" s="44" t="s">
        <v>554</v>
      </c>
      <c r="V76" s="336" t="s">
        <v>877</v>
      </c>
      <c r="W76" s="111" t="s">
        <v>846</v>
      </c>
      <c r="X76" s="354">
        <v>25100</v>
      </c>
      <c r="Y76" s="354"/>
      <c r="Z76" s="354"/>
      <c r="AA76" s="354"/>
      <c r="AB76" s="354"/>
      <c r="AC76" s="354"/>
      <c r="AD76" s="354"/>
      <c r="AE76" s="354"/>
      <c r="AF76" s="161"/>
    </row>
    <row r="77" spans="1:32" ht="21" thickBot="1">
      <c r="C77" s="44" t="s">
        <v>555</v>
      </c>
      <c r="V77" s="329"/>
      <c r="W77" s="125" t="s">
        <v>847</v>
      </c>
      <c r="X77" s="355">
        <v>35200</v>
      </c>
      <c r="Y77" s="355"/>
      <c r="Z77" s="355"/>
      <c r="AA77" s="355"/>
      <c r="AB77" s="355"/>
      <c r="AC77" s="355"/>
      <c r="AD77" s="355"/>
      <c r="AE77" s="355"/>
      <c r="AF77" s="208"/>
    </row>
    <row r="78" spans="1:32" ht="20.399999999999999">
      <c r="C78" s="44" t="s">
        <v>556</v>
      </c>
      <c r="V78" s="336" t="s">
        <v>878</v>
      </c>
      <c r="W78" s="343" t="s">
        <v>1307</v>
      </c>
      <c r="X78" s="345" t="s">
        <v>879</v>
      </c>
      <c r="Y78" s="111" t="s">
        <v>880</v>
      </c>
      <c r="Z78" s="111">
        <v>304</v>
      </c>
      <c r="AA78" s="111" t="s">
        <v>881</v>
      </c>
      <c r="AB78" s="111" t="s">
        <v>882</v>
      </c>
      <c r="AC78" s="111" t="s">
        <v>883</v>
      </c>
      <c r="AD78" s="111" t="s">
        <v>884</v>
      </c>
      <c r="AE78" s="111" t="s">
        <v>885</v>
      </c>
      <c r="AF78" s="161"/>
    </row>
    <row r="79" spans="1:32" ht="20.399999999999999">
      <c r="C79" s="45"/>
      <c r="V79" s="337"/>
      <c r="W79" s="356"/>
      <c r="X79" s="357"/>
      <c r="Y79" s="116">
        <v>8000</v>
      </c>
      <c r="Z79" s="116">
        <v>5400</v>
      </c>
      <c r="AA79" s="116">
        <v>10125</v>
      </c>
      <c r="AB79" s="116">
        <v>4650</v>
      </c>
      <c r="AC79" s="116">
        <v>115060</v>
      </c>
      <c r="AD79" s="116">
        <v>14016</v>
      </c>
      <c r="AE79" s="116">
        <v>101200</v>
      </c>
      <c r="AF79" s="214" t="s">
        <v>886</v>
      </c>
    </row>
    <row r="80" spans="1:32" ht="21" thickBot="1">
      <c r="C80" s="44" t="s">
        <v>557</v>
      </c>
      <c r="V80" s="132" t="s">
        <v>887</v>
      </c>
      <c r="W80" s="286" t="s">
        <v>1308</v>
      </c>
      <c r="X80" s="133" t="s">
        <v>1309</v>
      </c>
      <c r="Y80" s="134">
        <v>510</v>
      </c>
      <c r="Z80" s="134">
        <v>385</v>
      </c>
      <c r="AA80" s="134">
        <v>675</v>
      </c>
      <c r="AB80" s="134">
        <v>620</v>
      </c>
      <c r="AC80" s="134">
        <v>680</v>
      </c>
      <c r="AD80" s="134">
        <v>876</v>
      </c>
      <c r="AE80" s="134">
        <v>4800</v>
      </c>
      <c r="AF80" s="195" t="s">
        <v>889</v>
      </c>
    </row>
    <row r="81" spans="3:32" ht="20.399999999999999">
      <c r="C81" s="46" t="s">
        <v>558</v>
      </c>
      <c r="V81" s="331" t="s">
        <v>890</v>
      </c>
      <c r="W81" s="352" t="s">
        <v>891</v>
      </c>
      <c r="X81" s="328" t="s">
        <v>879</v>
      </c>
      <c r="Y81" s="198">
        <v>304</v>
      </c>
      <c r="Z81" s="198" t="s">
        <v>880</v>
      </c>
      <c r="AA81" s="198" t="s">
        <v>892</v>
      </c>
      <c r="AB81" s="199"/>
      <c r="AC81" s="199"/>
      <c r="AD81" s="199"/>
      <c r="AE81" s="199"/>
      <c r="AF81" s="206"/>
    </row>
    <row r="82" spans="3:32" ht="21" thickBot="1">
      <c r="C82" s="46" t="s">
        <v>559</v>
      </c>
      <c r="V82" s="329"/>
      <c r="W82" s="353"/>
      <c r="X82" s="327"/>
      <c r="Y82" s="126">
        <v>3800</v>
      </c>
      <c r="Z82" s="126">
        <v>4800</v>
      </c>
      <c r="AA82" s="126">
        <v>22000</v>
      </c>
      <c r="AB82" s="200"/>
      <c r="AC82" s="200"/>
      <c r="AD82" s="200"/>
      <c r="AE82" s="200"/>
      <c r="AF82" s="208"/>
    </row>
    <row r="83" spans="3:32" ht="20.399999999999999">
      <c r="C83" s="46" t="s">
        <v>560</v>
      </c>
      <c r="V83" s="336" t="s">
        <v>893</v>
      </c>
      <c r="W83" s="343" t="s">
        <v>894</v>
      </c>
      <c r="X83" s="345" t="s">
        <v>879</v>
      </c>
      <c r="Y83" s="111" t="s">
        <v>895</v>
      </c>
      <c r="Z83" s="111" t="s">
        <v>896</v>
      </c>
      <c r="AA83" s="201"/>
      <c r="AB83" s="201"/>
      <c r="AC83" s="201"/>
      <c r="AD83" s="201"/>
      <c r="AE83" s="201"/>
      <c r="AF83" s="161"/>
    </row>
    <row r="84" spans="3:32" ht="21" thickBot="1">
      <c r="C84" s="46" t="s">
        <v>561</v>
      </c>
      <c r="V84" s="342"/>
      <c r="W84" s="344"/>
      <c r="X84" s="346"/>
      <c r="Y84" s="296">
        <v>1200</v>
      </c>
      <c r="Z84" s="296">
        <v>28000</v>
      </c>
      <c r="AA84" s="203"/>
      <c r="AB84" s="203"/>
      <c r="AC84" s="203"/>
      <c r="AD84" s="203"/>
      <c r="AE84" s="203"/>
      <c r="AF84" s="195" t="s">
        <v>897</v>
      </c>
    </row>
    <row r="85" spans="3:32" ht="20.399999999999999">
      <c r="C85" s="46" t="s">
        <v>562</v>
      </c>
      <c r="V85" s="331" t="s">
        <v>898</v>
      </c>
      <c r="W85" s="287" t="s">
        <v>899</v>
      </c>
      <c r="X85" s="198" t="s">
        <v>900</v>
      </c>
      <c r="Y85" s="113">
        <v>1500</v>
      </c>
      <c r="Z85" s="205"/>
      <c r="AA85" s="205"/>
      <c r="AB85" s="205"/>
      <c r="AC85" s="205"/>
      <c r="AD85" s="205"/>
      <c r="AE85" s="205"/>
      <c r="AF85" s="350" t="s">
        <v>901</v>
      </c>
    </row>
    <row r="86" spans="3:32" ht="21" thickBot="1">
      <c r="C86" s="46" t="s">
        <v>563</v>
      </c>
      <c r="V86" s="329"/>
      <c r="W86" s="288" t="s">
        <v>902</v>
      </c>
      <c r="X86" s="125" t="s">
        <v>463</v>
      </c>
      <c r="Y86" s="126">
        <v>2040</v>
      </c>
      <c r="Z86" s="200"/>
      <c r="AA86" s="200"/>
      <c r="AB86" s="200"/>
      <c r="AC86" s="200"/>
      <c r="AD86" s="200"/>
      <c r="AE86" s="200"/>
      <c r="AF86" s="351"/>
    </row>
    <row r="87" spans="3:32" ht="21" thickBot="1">
      <c r="C87" s="46" t="s">
        <v>564</v>
      </c>
      <c r="V87" s="193" t="s">
        <v>904</v>
      </c>
      <c r="W87" s="289" t="s">
        <v>905</v>
      </c>
      <c r="X87" s="194" t="s">
        <v>463</v>
      </c>
      <c r="Y87" s="210">
        <v>1800</v>
      </c>
      <c r="Z87" s="211"/>
      <c r="AA87" s="211"/>
      <c r="AB87" s="211"/>
      <c r="AC87" s="211"/>
      <c r="AD87" s="211"/>
      <c r="AE87" s="211"/>
      <c r="AF87" s="218"/>
    </row>
    <row r="88" spans="3:32" ht="20.399999999999999">
      <c r="C88" s="47" t="s">
        <v>565</v>
      </c>
      <c r="V88" s="336" t="s">
        <v>906</v>
      </c>
      <c r="W88" s="345"/>
      <c r="X88" s="345"/>
      <c r="Y88" s="111" t="s">
        <v>853</v>
      </c>
      <c r="Z88" s="111" t="s">
        <v>462</v>
      </c>
      <c r="AA88" s="111" t="s">
        <v>855</v>
      </c>
      <c r="AB88" s="201"/>
      <c r="AC88" s="201"/>
      <c r="AD88" s="201"/>
      <c r="AE88" s="201"/>
      <c r="AF88" s="161"/>
    </row>
    <row r="89" spans="3:32" ht="20.399999999999999">
      <c r="C89" s="48"/>
      <c r="V89" s="119" t="s">
        <v>907</v>
      </c>
      <c r="W89" s="290" t="s">
        <v>908</v>
      </c>
      <c r="X89" s="115" t="s">
        <v>909</v>
      </c>
      <c r="Y89" s="116">
        <v>300</v>
      </c>
      <c r="Z89" s="116">
        <v>350</v>
      </c>
      <c r="AA89" s="116">
        <v>300</v>
      </c>
      <c r="AB89" s="213"/>
      <c r="AC89" s="213"/>
      <c r="AD89" s="213"/>
      <c r="AE89" s="213"/>
      <c r="AF89" s="214" t="s">
        <v>910</v>
      </c>
    </row>
    <row r="90" spans="3:32" ht="20.399999999999999">
      <c r="C90" s="46" t="s">
        <v>566</v>
      </c>
      <c r="V90" s="119" t="s">
        <v>911</v>
      </c>
      <c r="W90" s="290" t="s">
        <v>912</v>
      </c>
      <c r="X90" s="115" t="s">
        <v>909</v>
      </c>
      <c r="Y90" s="116">
        <v>1100</v>
      </c>
      <c r="Z90" s="116">
        <v>1300</v>
      </c>
      <c r="AA90" s="116">
        <v>1000</v>
      </c>
      <c r="AB90" s="213"/>
      <c r="AC90" s="213"/>
      <c r="AD90" s="213"/>
      <c r="AE90" s="213"/>
      <c r="AF90" s="214" t="s">
        <v>910</v>
      </c>
    </row>
    <row r="91" spans="3:32" ht="20.399999999999999">
      <c r="C91" s="44" t="s">
        <v>567</v>
      </c>
      <c r="V91" s="119" t="s">
        <v>913</v>
      </c>
      <c r="W91" s="290" t="s">
        <v>914</v>
      </c>
      <c r="X91" s="115" t="s">
        <v>915</v>
      </c>
      <c r="Y91" s="116">
        <v>200</v>
      </c>
      <c r="Z91" s="116">
        <v>300</v>
      </c>
      <c r="AA91" s="116">
        <v>300</v>
      </c>
      <c r="AB91" s="213"/>
      <c r="AC91" s="213"/>
      <c r="AD91" s="213"/>
      <c r="AE91" s="213"/>
      <c r="AF91" s="214" t="s">
        <v>910</v>
      </c>
    </row>
    <row r="92" spans="3:32" ht="20.399999999999999">
      <c r="C92" s="46" t="s">
        <v>568</v>
      </c>
      <c r="V92" s="119" t="s">
        <v>916</v>
      </c>
      <c r="W92" s="290" t="s">
        <v>917</v>
      </c>
      <c r="X92" s="115" t="s">
        <v>909</v>
      </c>
      <c r="Y92" s="116">
        <v>500</v>
      </c>
      <c r="Z92" s="116">
        <v>600</v>
      </c>
      <c r="AA92" s="116">
        <v>1000</v>
      </c>
      <c r="AB92" s="213"/>
      <c r="AC92" s="213"/>
      <c r="AD92" s="213"/>
      <c r="AE92" s="213"/>
      <c r="AF92" s="214" t="s">
        <v>910</v>
      </c>
    </row>
    <row r="93" spans="3:32" ht="21" thickBot="1">
      <c r="C93" s="46" t="s">
        <v>569</v>
      </c>
      <c r="V93" s="170" t="s">
        <v>918</v>
      </c>
      <c r="W93" s="288" t="s">
        <v>919</v>
      </c>
      <c r="X93" s="125" t="s">
        <v>915</v>
      </c>
      <c r="Y93" s="126">
        <v>300</v>
      </c>
      <c r="Z93" s="126">
        <v>350</v>
      </c>
      <c r="AA93" s="126">
        <v>300</v>
      </c>
      <c r="AB93" s="200"/>
      <c r="AC93" s="200"/>
      <c r="AD93" s="200"/>
      <c r="AE93" s="200"/>
      <c r="AF93" s="208" t="s">
        <v>910</v>
      </c>
    </row>
    <row r="94" spans="3:32" ht="18" thickBot="1">
      <c r="V94" s="105" t="s">
        <v>920</v>
      </c>
      <c r="W94" s="291" t="s">
        <v>921</v>
      </c>
      <c r="X94" s="103" t="s">
        <v>879</v>
      </c>
      <c r="Y94" s="216">
        <v>5300</v>
      </c>
      <c r="Z94" s="217"/>
      <c r="AA94" s="217"/>
      <c r="AB94" s="217"/>
      <c r="AC94" s="217"/>
      <c r="AD94" s="217"/>
      <c r="AE94" s="217"/>
      <c r="AF94" s="107"/>
    </row>
    <row r="95" spans="3:32" ht="14.4">
      <c r="V95" s="336" t="s">
        <v>922</v>
      </c>
      <c r="W95" s="345"/>
      <c r="X95" s="345"/>
      <c r="Y95" s="111" t="s">
        <v>923</v>
      </c>
      <c r="Z95" s="111" t="s">
        <v>924</v>
      </c>
      <c r="AA95" s="201"/>
      <c r="AB95" s="201"/>
      <c r="AC95" s="201"/>
      <c r="AD95" s="201"/>
      <c r="AE95" s="201"/>
      <c r="AF95" s="161"/>
    </row>
    <row r="96" spans="3:32" s="228" customFormat="1" ht="17.399999999999999">
      <c r="C96" s="227"/>
      <c r="V96" s="119" t="s">
        <v>925</v>
      </c>
      <c r="W96" s="290" t="s">
        <v>1310</v>
      </c>
      <c r="X96" s="115" t="s">
        <v>888</v>
      </c>
      <c r="Y96" s="116">
        <v>21500</v>
      </c>
      <c r="Z96" s="116">
        <v>24000</v>
      </c>
      <c r="AA96" s="213"/>
      <c r="AB96" s="213"/>
      <c r="AC96" s="213"/>
      <c r="AD96" s="213"/>
      <c r="AE96" s="213"/>
      <c r="AF96" s="214" t="s">
        <v>889</v>
      </c>
    </row>
    <row r="97" spans="3:32" s="228" customFormat="1" ht="17.399999999999999">
      <c r="C97" s="227"/>
      <c r="V97" s="119" t="s">
        <v>926</v>
      </c>
      <c r="W97" s="290" t="s">
        <v>1311</v>
      </c>
      <c r="X97" s="115" t="s">
        <v>888</v>
      </c>
      <c r="Y97" s="116">
        <v>20500</v>
      </c>
      <c r="Z97" s="116">
        <v>22000</v>
      </c>
      <c r="AA97" s="213"/>
      <c r="AB97" s="213"/>
      <c r="AC97" s="213"/>
      <c r="AD97" s="213"/>
      <c r="AE97" s="213"/>
      <c r="AF97" s="214" t="s">
        <v>889</v>
      </c>
    </row>
    <row r="98" spans="3:32" ht="17.399999999999999">
      <c r="V98" s="119" t="s">
        <v>927</v>
      </c>
      <c r="W98" s="290" t="s">
        <v>928</v>
      </c>
      <c r="X98" s="115" t="s">
        <v>879</v>
      </c>
      <c r="Y98" s="116">
        <v>18000</v>
      </c>
      <c r="Z98" s="116">
        <v>30600</v>
      </c>
      <c r="AA98" s="213"/>
      <c r="AB98" s="213"/>
      <c r="AC98" s="213"/>
      <c r="AD98" s="213"/>
      <c r="AE98" s="213"/>
      <c r="AF98" s="214" t="s">
        <v>889</v>
      </c>
    </row>
    <row r="99" spans="3:32" ht="17.399999999999999">
      <c r="V99" s="119" t="s">
        <v>929</v>
      </c>
      <c r="W99" s="290" t="s">
        <v>930</v>
      </c>
      <c r="X99" s="115" t="s">
        <v>879</v>
      </c>
      <c r="Y99" s="116">
        <v>6000</v>
      </c>
      <c r="Z99" s="116">
        <v>5600</v>
      </c>
      <c r="AA99" s="213"/>
      <c r="AB99" s="213"/>
      <c r="AC99" s="213"/>
      <c r="AD99" s="213"/>
      <c r="AE99" s="213"/>
      <c r="AF99" s="214" t="s">
        <v>889</v>
      </c>
    </row>
    <row r="100" spans="3:32" ht="17.399999999999999">
      <c r="V100" s="119" t="s">
        <v>931</v>
      </c>
      <c r="W100" s="290" t="s">
        <v>932</v>
      </c>
      <c r="X100" s="115" t="s">
        <v>879</v>
      </c>
      <c r="Y100" s="116">
        <v>6000</v>
      </c>
      <c r="Z100" s="116">
        <v>6000</v>
      </c>
      <c r="AA100" s="213"/>
      <c r="AB100" s="213"/>
      <c r="AC100" s="213"/>
      <c r="AD100" s="213"/>
      <c r="AE100" s="213"/>
      <c r="AF100" s="214" t="s">
        <v>889</v>
      </c>
    </row>
    <row r="101" spans="3:32" ht="17.399999999999999">
      <c r="V101" s="119" t="s">
        <v>933</v>
      </c>
      <c r="W101" s="290" t="s">
        <v>934</v>
      </c>
      <c r="X101" s="115" t="s">
        <v>888</v>
      </c>
      <c r="Y101" s="116">
        <v>12000</v>
      </c>
      <c r="Z101" s="116">
        <v>11200</v>
      </c>
      <c r="AA101" s="213"/>
      <c r="AB101" s="213"/>
      <c r="AC101" s="213"/>
      <c r="AD101" s="213"/>
      <c r="AE101" s="213"/>
      <c r="AF101" s="214" t="s">
        <v>889</v>
      </c>
    </row>
    <row r="102" spans="3:32" ht="18" thickBot="1">
      <c r="V102" s="132" t="s">
        <v>935</v>
      </c>
      <c r="W102" s="286" t="s">
        <v>936</v>
      </c>
      <c r="X102" s="133" t="s">
        <v>888</v>
      </c>
      <c r="Y102" s="134">
        <v>2200</v>
      </c>
      <c r="Z102" s="134">
        <v>11200</v>
      </c>
      <c r="AA102" s="203"/>
      <c r="AB102" s="203"/>
      <c r="AC102" s="203"/>
      <c r="AD102" s="203"/>
      <c r="AE102" s="203"/>
      <c r="AF102" s="195" t="s">
        <v>889</v>
      </c>
    </row>
    <row r="103" spans="3:32" ht="14.4" customHeight="1">
      <c r="V103" s="331" t="s">
        <v>937</v>
      </c>
      <c r="W103" s="352" t="s">
        <v>938</v>
      </c>
      <c r="X103" s="328" t="s">
        <v>879</v>
      </c>
      <c r="Y103" s="198" t="s">
        <v>741</v>
      </c>
      <c r="Z103" s="198">
        <v>316</v>
      </c>
      <c r="AA103" s="198">
        <v>304</v>
      </c>
      <c r="AB103" s="199"/>
      <c r="AC103" s="199"/>
      <c r="AD103" s="199"/>
      <c r="AE103" s="199"/>
      <c r="AF103" s="347" t="s">
        <v>940</v>
      </c>
    </row>
    <row r="104" spans="3:32" ht="15" customHeight="1" thickBot="1">
      <c r="V104" s="329"/>
      <c r="W104" s="353"/>
      <c r="X104" s="327"/>
      <c r="Y104" s="126">
        <v>1100</v>
      </c>
      <c r="Z104" s="126">
        <v>4410</v>
      </c>
      <c r="AA104" s="126">
        <v>3195</v>
      </c>
      <c r="AB104" s="200"/>
      <c r="AC104" s="200"/>
      <c r="AD104" s="200"/>
      <c r="AE104" s="200"/>
      <c r="AF104" s="348"/>
    </row>
    <row r="105" spans="3:32" ht="14.4" customHeight="1">
      <c r="V105" s="336" t="s">
        <v>941</v>
      </c>
      <c r="W105" s="343" t="s">
        <v>942</v>
      </c>
      <c r="X105" s="345" t="s">
        <v>879</v>
      </c>
      <c r="Y105" s="111" t="s">
        <v>741</v>
      </c>
      <c r="Z105" s="111">
        <v>316</v>
      </c>
      <c r="AA105" s="201"/>
      <c r="AB105" s="201"/>
      <c r="AC105" s="201"/>
      <c r="AD105" s="201"/>
      <c r="AE105" s="201"/>
      <c r="AF105" s="347" t="s">
        <v>943</v>
      </c>
    </row>
    <row r="106" spans="3:32" ht="15" customHeight="1" thickBot="1">
      <c r="V106" s="342"/>
      <c r="W106" s="344"/>
      <c r="X106" s="346"/>
      <c r="Y106" s="134">
        <v>70000</v>
      </c>
      <c r="Z106" s="134">
        <v>100000</v>
      </c>
      <c r="AA106" s="203"/>
      <c r="AB106" s="203"/>
      <c r="AC106" s="203"/>
      <c r="AD106" s="203"/>
      <c r="AE106" s="203"/>
      <c r="AF106" s="348"/>
    </row>
    <row r="114" spans="22:32" ht="13.8" thickBot="1"/>
    <row r="115" spans="22:32" ht="30" customHeight="1">
      <c r="V115" s="336" t="s">
        <v>1516</v>
      </c>
      <c r="W115" s="338"/>
      <c r="X115" s="340"/>
      <c r="Y115" s="171" t="s">
        <v>1517</v>
      </c>
      <c r="Z115" s="171" t="s">
        <v>1518</v>
      </c>
      <c r="AA115" s="171" t="s">
        <v>1519</v>
      </c>
      <c r="AB115" s="171"/>
      <c r="AC115" s="171"/>
      <c r="AD115" s="171"/>
      <c r="AE115" s="171"/>
      <c r="AF115" s="172"/>
    </row>
    <row r="116" spans="22:32" ht="30" customHeight="1" thickBot="1">
      <c r="V116" s="337"/>
      <c r="W116" s="339"/>
      <c r="X116" s="341"/>
      <c r="Y116" s="173">
        <v>32000</v>
      </c>
      <c r="Z116" s="173">
        <f>IF(F8&gt;0,E8*520,IF(F9&gt;0,E9*520))</f>
        <v>19760</v>
      </c>
      <c r="AA116" s="173">
        <f>IF(F8&gt;0,E8*620,IF(F9&gt;0,E9*620))</f>
        <v>23560</v>
      </c>
      <c r="AB116" s="173"/>
      <c r="AC116" s="173"/>
      <c r="AD116" s="173"/>
      <c r="AE116" s="173"/>
      <c r="AF116" s="174"/>
    </row>
    <row r="117" spans="22:32" ht="30" customHeight="1">
      <c r="V117" s="336" t="s">
        <v>1520</v>
      </c>
      <c r="W117" s="338"/>
      <c r="X117" s="340"/>
      <c r="Y117" s="171" t="s">
        <v>1517</v>
      </c>
      <c r="Z117" s="171" t="s">
        <v>1521</v>
      </c>
      <c r="AA117" s="171"/>
      <c r="AB117" s="171"/>
      <c r="AC117" s="171"/>
      <c r="AD117" s="171"/>
      <c r="AE117" s="171"/>
      <c r="AF117" s="172"/>
    </row>
    <row r="118" spans="22:32" ht="30" customHeight="1" thickBot="1">
      <c r="V118" s="337"/>
      <c r="W118" s="339"/>
      <c r="X118" s="341"/>
      <c r="Y118" s="173">
        <v>40000</v>
      </c>
      <c r="Z118" s="173">
        <f>Y118</f>
        <v>40000</v>
      </c>
      <c r="AA118" s="173"/>
      <c r="AB118" s="173"/>
      <c r="AC118" s="173"/>
      <c r="AD118" s="173"/>
      <c r="AE118" s="173"/>
      <c r="AF118" s="174"/>
    </row>
    <row r="119" spans="22:32" ht="30" customHeight="1">
      <c r="V119" s="336" t="s">
        <v>1522</v>
      </c>
      <c r="W119" s="338"/>
      <c r="X119" s="340"/>
      <c r="Y119" s="171" t="s">
        <v>1523</v>
      </c>
      <c r="Z119" s="171" t="s">
        <v>1524</v>
      </c>
      <c r="AA119" s="171" t="s">
        <v>1525</v>
      </c>
      <c r="AB119" s="171"/>
      <c r="AC119" s="171"/>
      <c r="AD119" s="171"/>
      <c r="AE119" s="171"/>
      <c r="AF119" s="172"/>
    </row>
    <row r="120" spans="22:32" ht="30" customHeight="1">
      <c r="V120" s="337"/>
      <c r="W120" s="339"/>
      <c r="X120" s="341"/>
      <c r="Y120" s="306">
        <v>40000</v>
      </c>
      <c r="Z120" s="306">
        <v>60000</v>
      </c>
      <c r="AA120" s="306">
        <v>140000</v>
      </c>
      <c r="AB120" s="173"/>
      <c r="AC120" s="173"/>
      <c r="AD120" s="173"/>
      <c r="AE120" s="173"/>
      <c r="AF120" s="174"/>
    </row>
  </sheetData>
  <mergeCells count="67">
    <mergeCell ref="A1:S1"/>
    <mergeCell ref="A3:B4"/>
    <mergeCell ref="C3:C4"/>
    <mergeCell ref="D3:D4"/>
    <mergeCell ref="E3:E4"/>
    <mergeCell ref="F3:F4"/>
    <mergeCell ref="G3:G4"/>
    <mergeCell ref="H3:Q4"/>
    <mergeCell ref="R3:R4"/>
    <mergeCell ref="S3:S4"/>
    <mergeCell ref="T3:T7"/>
    <mergeCell ref="A5:B7"/>
    <mergeCell ref="C5:C7"/>
    <mergeCell ref="D5:D7"/>
    <mergeCell ref="E5:G6"/>
    <mergeCell ref="H5:H6"/>
    <mergeCell ref="I5:Q5"/>
    <mergeCell ref="R5:R7"/>
    <mergeCell ref="S5:S7"/>
    <mergeCell ref="A66:F66"/>
    <mergeCell ref="A67:F67"/>
    <mergeCell ref="A68:F68"/>
    <mergeCell ref="A69:G70"/>
    <mergeCell ref="A8:A61"/>
    <mergeCell ref="A62:F62"/>
    <mergeCell ref="A63:F63"/>
    <mergeCell ref="A64:F64"/>
    <mergeCell ref="A65:F65"/>
    <mergeCell ref="Y72:AE72"/>
    <mergeCell ref="V73:V74"/>
    <mergeCell ref="Y73:AE73"/>
    <mergeCell ref="Y74:AE74"/>
    <mergeCell ref="Y75:AE75"/>
    <mergeCell ref="V83:V84"/>
    <mergeCell ref="W83:W84"/>
    <mergeCell ref="X83:X84"/>
    <mergeCell ref="V76:V77"/>
    <mergeCell ref="X76:AE76"/>
    <mergeCell ref="X77:AE77"/>
    <mergeCell ref="V78:V79"/>
    <mergeCell ref="W78:W79"/>
    <mergeCell ref="X78:X79"/>
    <mergeCell ref="V105:V106"/>
    <mergeCell ref="W105:W106"/>
    <mergeCell ref="X105:X106"/>
    <mergeCell ref="AF105:AF106"/>
    <mergeCell ref="V3:V7"/>
    <mergeCell ref="V85:V86"/>
    <mergeCell ref="AF85:AF86"/>
    <mergeCell ref="V88:X88"/>
    <mergeCell ref="V95:X95"/>
    <mergeCell ref="V103:V104"/>
    <mergeCell ref="W103:W104"/>
    <mergeCell ref="X103:X104"/>
    <mergeCell ref="AF103:AF104"/>
    <mergeCell ref="V81:V82"/>
    <mergeCell ref="W81:W82"/>
    <mergeCell ref="X81:X82"/>
    <mergeCell ref="V119:V120"/>
    <mergeCell ref="W119:W120"/>
    <mergeCell ref="X119:X120"/>
    <mergeCell ref="V115:V116"/>
    <mergeCell ref="W115:W116"/>
    <mergeCell ref="X115:X116"/>
    <mergeCell ref="V117:V118"/>
    <mergeCell ref="W117:W118"/>
    <mergeCell ref="X117:X118"/>
  </mergeCells>
  <phoneticPr fontId="13" type="noConversion"/>
  <printOptions horizontalCentered="1"/>
  <pageMargins left="0.39370078740157483" right="0.39370078740157483" top="0.39370078740157483" bottom="0.15748031496062992" header="0.51181102362204722" footer="0.51181102362204722"/>
  <pageSetup paperSize="9" scale="45" orientation="portrait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AF120"/>
  <sheetViews>
    <sheetView showGridLines="0" view="pageBreakPreview" topLeftCell="D1" zoomScale="70" zoomScaleNormal="55" zoomScaleSheetLayoutView="70" workbookViewId="0">
      <selection activeCell="D1" sqref="A1:XFD1048576"/>
    </sheetView>
  </sheetViews>
  <sheetFormatPr defaultColWidth="8.8984375" defaultRowHeight="13.2"/>
  <cols>
    <col min="1" max="1" width="3.3984375" style="3" customWidth="1"/>
    <col min="2" max="2" width="9.5" style="3" customWidth="1"/>
    <col min="3" max="3" width="25.19921875" style="49" customWidth="1"/>
    <col min="4" max="5" width="13.09765625" style="3" customWidth="1"/>
    <col min="6" max="7" width="15.09765625" style="3" customWidth="1"/>
    <col min="8" max="8" width="15.09765625" style="3" hidden="1" customWidth="1"/>
    <col min="9" max="17" width="15.69921875" style="3" hidden="1" customWidth="1"/>
    <col min="18" max="18" width="15.69921875" style="3" customWidth="1"/>
    <col min="19" max="19" width="22" style="3" customWidth="1"/>
    <col min="20" max="20" width="20.796875" style="3" customWidth="1"/>
    <col min="21" max="21" width="12.59765625" style="3" customWidth="1"/>
    <col min="22" max="22" width="48.3984375" style="3" bestFit="1" customWidth="1"/>
    <col min="23" max="23" width="42" style="3" bestFit="1" customWidth="1"/>
    <col min="24" max="24" width="10.09765625" style="3" bestFit="1" customWidth="1"/>
    <col min="25" max="25" width="11.5" style="3" bestFit="1" customWidth="1"/>
    <col min="26" max="26" width="12.5" style="3" bestFit="1" customWidth="1"/>
    <col min="27" max="27" width="11" style="3" bestFit="1" customWidth="1"/>
    <col min="28" max="28" width="7.796875" style="3" bestFit="1" customWidth="1"/>
    <col min="29" max="30" width="7.59765625" style="3" bestFit="1" customWidth="1"/>
    <col min="31" max="31" width="13.3984375" style="3" bestFit="1" customWidth="1"/>
    <col min="32" max="32" width="19" style="3" bestFit="1" customWidth="1"/>
    <col min="33" max="16384" width="8.8984375" style="3"/>
  </cols>
  <sheetData>
    <row r="1" spans="1:31" s="2" customFormat="1" ht="51" customHeight="1" thickBot="1">
      <c r="A1" s="411" t="s">
        <v>1312</v>
      </c>
      <c r="B1" s="412"/>
      <c r="C1" s="412"/>
      <c r="D1" s="412"/>
      <c r="E1" s="412"/>
      <c r="F1" s="412"/>
      <c r="G1" s="412"/>
      <c r="H1" s="412"/>
      <c r="I1" s="412"/>
      <c r="J1" s="412"/>
      <c r="K1" s="412"/>
      <c r="L1" s="412"/>
      <c r="M1" s="412"/>
      <c r="N1" s="412"/>
      <c r="O1" s="412"/>
      <c r="P1" s="412"/>
      <c r="Q1" s="412"/>
      <c r="R1" s="412"/>
      <c r="S1" s="412"/>
      <c r="T1" s="1"/>
    </row>
    <row r="2" spans="1:31" s="2" customFormat="1" ht="30" customHeight="1" thickBot="1">
      <c r="A2" s="3"/>
      <c r="B2" s="3"/>
      <c r="T2" s="4" t="s">
        <v>0</v>
      </c>
    </row>
    <row r="3" spans="1:31" s="5" customFormat="1" ht="24" customHeight="1">
      <c r="A3" s="413" t="s">
        <v>570</v>
      </c>
      <c r="B3" s="414"/>
      <c r="C3" s="417" t="s">
        <v>571</v>
      </c>
      <c r="D3" s="419" t="s">
        <v>3</v>
      </c>
      <c r="E3" s="421" t="s">
        <v>1313</v>
      </c>
      <c r="F3" s="423" t="s">
        <v>572</v>
      </c>
      <c r="G3" s="425" t="str">
        <f>COVER!B9</f>
        <v>FLANGE</v>
      </c>
      <c r="H3" s="421" t="s">
        <v>573</v>
      </c>
      <c r="I3" s="427"/>
      <c r="J3" s="427"/>
      <c r="K3" s="427"/>
      <c r="L3" s="427"/>
      <c r="M3" s="427"/>
      <c r="N3" s="427"/>
      <c r="O3" s="427"/>
      <c r="P3" s="427"/>
      <c r="Q3" s="428"/>
      <c r="R3" s="423" t="s">
        <v>6</v>
      </c>
      <c r="S3" s="431" t="s">
        <v>574</v>
      </c>
      <c r="T3" s="381" t="s">
        <v>8</v>
      </c>
      <c r="V3" s="432"/>
    </row>
    <row r="4" spans="1:31" s="5" customFormat="1" ht="24" customHeight="1">
      <c r="A4" s="415"/>
      <c r="B4" s="416"/>
      <c r="C4" s="418"/>
      <c r="D4" s="420"/>
      <c r="E4" s="422"/>
      <c r="F4" s="424"/>
      <c r="G4" s="426"/>
      <c r="H4" s="422"/>
      <c r="I4" s="429"/>
      <c r="J4" s="429"/>
      <c r="K4" s="429"/>
      <c r="L4" s="429"/>
      <c r="M4" s="429"/>
      <c r="N4" s="429"/>
      <c r="O4" s="429"/>
      <c r="P4" s="429"/>
      <c r="Q4" s="430"/>
      <c r="R4" s="424"/>
      <c r="S4" s="410"/>
      <c r="T4" s="382"/>
      <c r="V4" s="432"/>
      <c r="W4" s="6"/>
      <c r="X4" s="6"/>
      <c r="Y4" s="7"/>
      <c r="Z4" s="7"/>
      <c r="AA4" s="7"/>
      <c r="AB4" s="7"/>
      <c r="AC4" s="7"/>
      <c r="AD4" s="7"/>
      <c r="AE4" s="7"/>
    </row>
    <row r="5" spans="1:31" s="5" customFormat="1" ht="24" customHeight="1">
      <c r="A5" s="384" t="s">
        <v>575</v>
      </c>
      <c r="B5" s="385"/>
      <c r="C5" s="390" t="s">
        <v>10</v>
      </c>
      <c r="D5" s="393" t="s">
        <v>11</v>
      </c>
      <c r="E5" s="396" t="s">
        <v>12</v>
      </c>
      <c r="F5" s="397"/>
      <c r="G5" s="398"/>
      <c r="H5" s="402" t="s">
        <v>13</v>
      </c>
      <c r="I5" s="404" t="s">
        <v>576</v>
      </c>
      <c r="J5" s="405"/>
      <c r="K5" s="405"/>
      <c r="L5" s="405"/>
      <c r="M5" s="405"/>
      <c r="N5" s="405"/>
      <c r="O5" s="405"/>
      <c r="P5" s="405"/>
      <c r="Q5" s="405"/>
      <c r="R5" s="406" t="s">
        <v>15</v>
      </c>
      <c r="S5" s="408" t="s">
        <v>16</v>
      </c>
      <c r="T5" s="382"/>
      <c r="V5" s="432"/>
      <c r="W5" s="7"/>
      <c r="X5" s="7"/>
      <c r="Y5" s="7"/>
      <c r="Z5" s="7"/>
      <c r="AA5" s="7"/>
      <c r="AB5" s="7"/>
      <c r="AC5" s="7"/>
      <c r="AD5" s="7"/>
      <c r="AE5" s="7"/>
    </row>
    <row r="6" spans="1:31" s="5" customFormat="1" ht="24" customHeight="1">
      <c r="A6" s="386"/>
      <c r="B6" s="387"/>
      <c r="C6" s="391"/>
      <c r="D6" s="394"/>
      <c r="E6" s="399"/>
      <c r="F6" s="400"/>
      <c r="G6" s="401"/>
      <c r="H6" s="403"/>
      <c r="I6" s="8" t="s">
        <v>17</v>
      </c>
      <c r="J6" s="8" t="s">
        <v>18</v>
      </c>
      <c r="K6" s="8" t="s">
        <v>577</v>
      </c>
      <c r="L6" s="9" t="s">
        <v>20</v>
      </c>
      <c r="M6" s="9" t="s">
        <v>21</v>
      </c>
      <c r="N6" s="8" t="s">
        <v>22</v>
      </c>
      <c r="O6" s="8" t="s">
        <v>23</v>
      </c>
      <c r="P6" s="8" t="s">
        <v>24</v>
      </c>
      <c r="Q6" s="10" t="s">
        <v>25</v>
      </c>
      <c r="R6" s="407"/>
      <c r="S6" s="409"/>
      <c r="T6" s="382"/>
      <c r="V6" s="432"/>
      <c r="W6" s="6"/>
      <c r="X6" s="6"/>
      <c r="Y6" s="7"/>
      <c r="Z6" s="7"/>
      <c r="AA6" s="7"/>
      <c r="AB6" s="7"/>
      <c r="AC6" s="7"/>
      <c r="AD6" s="7"/>
      <c r="AE6" s="7"/>
    </row>
    <row r="7" spans="1:31" ht="24" customHeight="1">
      <c r="A7" s="388"/>
      <c r="B7" s="389"/>
      <c r="C7" s="392"/>
      <c r="D7" s="395"/>
      <c r="E7" s="8" t="s">
        <v>26</v>
      </c>
      <c r="F7" s="8" t="s">
        <v>578</v>
      </c>
      <c r="G7" s="8" t="s">
        <v>28</v>
      </c>
      <c r="H7" s="8"/>
      <c r="I7" s="8" t="s">
        <v>579</v>
      </c>
      <c r="J7" s="8" t="s">
        <v>30</v>
      </c>
      <c r="K7" s="8" t="s">
        <v>31</v>
      </c>
      <c r="L7" s="9" t="s">
        <v>579</v>
      </c>
      <c r="M7" s="9" t="s">
        <v>32</v>
      </c>
      <c r="N7" s="8" t="s">
        <v>33</v>
      </c>
      <c r="O7" s="8" t="s">
        <v>34</v>
      </c>
      <c r="P7" s="8" t="s">
        <v>580</v>
      </c>
      <c r="Q7" s="10" t="s">
        <v>36</v>
      </c>
      <c r="R7" s="403"/>
      <c r="S7" s="410"/>
      <c r="T7" s="383"/>
      <c r="V7" s="432"/>
      <c r="W7" s="6"/>
      <c r="X7" s="6"/>
      <c r="Y7" s="7"/>
      <c r="Z7" s="7"/>
      <c r="AA7" s="7"/>
      <c r="AB7" s="7"/>
      <c r="AC7" s="7"/>
      <c r="AD7" s="7"/>
      <c r="AE7" s="7"/>
    </row>
    <row r="8" spans="1:31" ht="33" customHeight="1">
      <c r="A8" s="375" t="s">
        <v>581</v>
      </c>
      <c r="B8" s="11">
        <v>1</v>
      </c>
      <c r="C8" s="142" t="str">
        <f>COVER!A14</f>
        <v>BODY(LUG)</v>
      </c>
      <c r="D8" s="20">
        <f>COVER!B14</f>
        <v>0</v>
      </c>
      <c r="E8" s="148">
        <v>21</v>
      </c>
      <c r="F8" s="14">
        <f>COVER!C14</f>
        <v>0</v>
      </c>
      <c r="G8" s="14">
        <f>F8*E8</f>
        <v>0</v>
      </c>
      <c r="H8" s="14"/>
      <c r="I8" s="15">
        <f>I10*I9</f>
        <v>36001489368637.438</v>
      </c>
      <c r="J8" s="15">
        <f t="shared" ref="J8:Q9" si="0">J10*J9</f>
        <v>43341753052405.07</v>
      </c>
      <c r="K8" s="15">
        <f t="shared" si="0"/>
        <v>168335087307216.53</v>
      </c>
      <c r="L8" s="15">
        <f t="shared" si="0"/>
        <v>506706621524695.19</v>
      </c>
      <c r="M8" s="15">
        <f t="shared" si="0"/>
        <v>632417344857819.5</v>
      </c>
      <c r="N8" s="15">
        <f t="shared" si="0"/>
        <v>46528628303586.25</v>
      </c>
      <c r="O8" s="15">
        <f t="shared" si="0"/>
        <v>0</v>
      </c>
      <c r="P8" s="15">
        <f t="shared" si="0"/>
        <v>0</v>
      </c>
      <c r="Q8" s="15">
        <f t="shared" si="0"/>
        <v>10000000000000</v>
      </c>
      <c r="R8" s="15">
        <f>IF(COVER!C14&gt;0,99000*1.2,0)</f>
        <v>0</v>
      </c>
      <c r="S8" s="15">
        <f>G8+R8</f>
        <v>0</v>
      </c>
      <c r="T8" s="309" t="s">
        <v>1171</v>
      </c>
      <c r="V8" s="6"/>
      <c r="W8" s="6"/>
      <c r="X8" s="6"/>
      <c r="Y8" s="7"/>
      <c r="Z8" s="7"/>
      <c r="AA8" s="7"/>
      <c r="AB8" s="7"/>
      <c r="AC8" s="7"/>
      <c r="AD8" s="7"/>
      <c r="AE8" s="7"/>
    </row>
    <row r="9" spans="1:31" ht="33" customHeight="1">
      <c r="A9" s="376"/>
      <c r="B9" s="146" t="s">
        <v>1167</v>
      </c>
      <c r="C9" s="142" t="str">
        <f>COVER!A15</f>
        <v>BODY(FLANGE)</v>
      </c>
      <c r="D9" s="20" t="str">
        <f>COVER!B15</f>
        <v>A216 WCB</v>
      </c>
      <c r="E9" s="148">
        <v>41</v>
      </c>
      <c r="F9" s="14">
        <f>COVER!C15</f>
        <v>4300</v>
      </c>
      <c r="G9" s="14">
        <f>F9*E9</f>
        <v>176300</v>
      </c>
      <c r="H9" s="14"/>
      <c r="I9" s="15">
        <f>I11*I10</f>
        <v>2348985369.5999999</v>
      </c>
      <c r="J9" s="15">
        <f t="shared" si="0"/>
        <v>2658301984.9000001</v>
      </c>
      <c r="K9" s="15">
        <f t="shared" si="0"/>
        <v>6568251379.5999994</v>
      </c>
      <c r="L9" s="15">
        <f t="shared" si="0"/>
        <v>13693182184.900002</v>
      </c>
      <c r="M9" s="15">
        <f t="shared" si="0"/>
        <v>15873371539.6</v>
      </c>
      <c r="N9" s="15">
        <f t="shared" si="0"/>
        <v>2787063302.5</v>
      </c>
      <c r="O9" s="15">
        <f t="shared" si="0"/>
        <v>0</v>
      </c>
      <c r="P9" s="15">
        <f t="shared" si="0"/>
        <v>0</v>
      </c>
      <c r="Q9" s="15">
        <f t="shared" si="0"/>
        <v>1000000000</v>
      </c>
      <c r="R9" s="15">
        <f>IF(COVER!C15&gt;0,100000*1.2,0)</f>
        <v>120000</v>
      </c>
      <c r="S9" s="15">
        <f t="shared" ref="S9:S62" si="1">G9+R9</f>
        <v>296300</v>
      </c>
      <c r="T9" s="309" t="s">
        <v>1169</v>
      </c>
      <c r="V9" s="150"/>
      <c r="W9" s="6"/>
      <c r="X9" s="6"/>
      <c r="Y9" s="7"/>
      <c r="Z9" s="7"/>
      <c r="AA9" s="7"/>
      <c r="AB9" s="7"/>
      <c r="AC9" s="7"/>
      <c r="AD9" s="7"/>
      <c r="AE9" s="7"/>
    </row>
    <row r="10" spans="1:31" ht="33" hidden="1" customHeight="1">
      <c r="A10" s="376"/>
      <c r="B10" s="11"/>
      <c r="C10" s="142"/>
      <c r="D10" s="20"/>
      <c r="E10" s="13"/>
      <c r="F10" s="14"/>
      <c r="G10" s="14"/>
      <c r="H10" s="14" t="s">
        <v>40</v>
      </c>
      <c r="I10" s="15">
        <f t="shared" ref="I10:Q10" si="2">I11/10</f>
        <v>15326.4</v>
      </c>
      <c r="J10" s="15">
        <f t="shared" si="2"/>
        <v>16304.3</v>
      </c>
      <c r="K10" s="15">
        <f t="shared" si="2"/>
        <v>25628.6</v>
      </c>
      <c r="L10" s="15">
        <f t="shared" si="2"/>
        <v>37004.300000000003</v>
      </c>
      <c r="M10" s="15">
        <f t="shared" si="2"/>
        <v>39841.4</v>
      </c>
      <c r="N10" s="15">
        <f t="shared" si="2"/>
        <v>16694.5</v>
      </c>
      <c r="O10" s="15">
        <f t="shared" si="2"/>
        <v>0</v>
      </c>
      <c r="P10" s="15">
        <f t="shared" si="2"/>
        <v>0</v>
      </c>
      <c r="Q10" s="15">
        <f t="shared" si="2"/>
        <v>10000</v>
      </c>
      <c r="R10" s="15"/>
      <c r="S10" s="15">
        <f t="shared" si="1"/>
        <v>0</v>
      </c>
      <c r="T10" s="16"/>
      <c r="V10" s="6"/>
      <c r="W10" s="6"/>
      <c r="X10" s="6"/>
      <c r="Y10" s="7"/>
      <c r="Z10" s="7"/>
      <c r="AA10" s="7"/>
      <c r="AB10" s="7"/>
      <c r="AC10" s="7"/>
      <c r="AD10" s="7"/>
      <c r="AE10" s="7"/>
    </row>
    <row r="11" spans="1:31" ht="33" hidden="1" customHeight="1">
      <c r="A11" s="376"/>
      <c r="B11" s="11"/>
      <c r="C11" s="142"/>
      <c r="D11" s="20"/>
      <c r="E11" s="13"/>
      <c r="F11" s="14"/>
      <c r="G11" s="14"/>
      <c r="H11" s="17" t="s">
        <v>582</v>
      </c>
      <c r="I11" s="15">
        <v>153264</v>
      </c>
      <c r="J11" s="15">
        <v>163043</v>
      </c>
      <c r="K11" s="15">
        <v>256286</v>
      </c>
      <c r="L11" s="15">
        <v>370043</v>
      </c>
      <c r="M11" s="15">
        <v>398414</v>
      </c>
      <c r="N11" s="15">
        <v>166945</v>
      </c>
      <c r="O11" s="15">
        <v>0</v>
      </c>
      <c r="P11" s="15">
        <v>0</v>
      </c>
      <c r="Q11" s="15">
        <v>100000</v>
      </c>
      <c r="R11" s="15"/>
      <c r="S11" s="15">
        <f t="shared" si="1"/>
        <v>0</v>
      </c>
      <c r="T11" s="16"/>
      <c r="V11" s="6"/>
      <c r="W11" s="6"/>
      <c r="X11" s="6"/>
      <c r="Y11" s="7"/>
      <c r="Z11" s="7"/>
      <c r="AA11" s="7"/>
      <c r="AB11" s="7"/>
      <c r="AC11" s="7"/>
      <c r="AD11" s="7"/>
      <c r="AE11" s="7"/>
    </row>
    <row r="12" spans="1:31" s="19" customFormat="1" ht="33" customHeight="1">
      <c r="A12" s="376"/>
      <c r="B12" s="11">
        <v>2</v>
      </c>
      <c r="C12" s="142" t="s">
        <v>42</v>
      </c>
      <c r="D12" s="20" t="str">
        <f>COVER!B16</f>
        <v>A216 WCB</v>
      </c>
      <c r="E12" s="13">
        <v>2</v>
      </c>
      <c r="F12" s="14">
        <f>COVER!C16</f>
        <v>4300</v>
      </c>
      <c r="G12" s="14">
        <f>F12*E12</f>
        <v>8600</v>
      </c>
      <c r="H12" s="14"/>
      <c r="I12" s="15">
        <f>I13*I14</f>
        <v>7663.2</v>
      </c>
      <c r="J12" s="15">
        <f t="shared" ref="J12:Q12" si="3">J13*J14</f>
        <v>0</v>
      </c>
      <c r="K12" s="15">
        <f t="shared" si="3"/>
        <v>4891.29</v>
      </c>
      <c r="L12" s="15">
        <f t="shared" si="3"/>
        <v>11485</v>
      </c>
      <c r="M12" s="15">
        <f t="shared" si="3"/>
        <v>0</v>
      </c>
      <c r="N12" s="15">
        <f t="shared" si="3"/>
        <v>0</v>
      </c>
      <c r="O12" s="15">
        <f t="shared" si="3"/>
        <v>0</v>
      </c>
      <c r="P12" s="15">
        <f t="shared" si="3"/>
        <v>0</v>
      </c>
      <c r="Q12" s="15">
        <f t="shared" si="3"/>
        <v>3000</v>
      </c>
      <c r="R12" s="15">
        <v>68999.999999999985</v>
      </c>
      <c r="S12" s="15">
        <f t="shared" si="1"/>
        <v>77599.999999999985</v>
      </c>
      <c r="T12" s="18"/>
      <c r="V12" s="6"/>
      <c r="W12" s="6"/>
      <c r="X12" s="6"/>
      <c r="Y12" s="7"/>
      <c r="Z12" s="7"/>
      <c r="AA12" s="7"/>
      <c r="AB12" s="7"/>
      <c r="AC12" s="7"/>
      <c r="AD12" s="7"/>
      <c r="AE12" s="7"/>
    </row>
    <row r="13" spans="1:31" s="19" customFormat="1" ht="33" hidden="1" customHeight="1">
      <c r="A13" s="376"/>
      <c r="B13" s="11"/>
      <c r="C13" s="142"/>
      <c r="D13" s="20"/>
      <c r="E13" s="13"/>
      <c r="F13" s="14"/>
      <c r="G13" s="14"/>
      <c r="H13" s="17" t="s">
        <v>39</v>
      </c>
      <c r="I13" s="21">
        <v>0.5</v>
      </c>
      <c r="J13" s="21">
        <v>0</v>
      </c>
      <c r="K13" s="21">
        <v>0.3</v>
      </c>
      <c r="L13" s="21">
        <v>0.5</v>
      </c>
      <c r="M13" s="21">
        <v>0</v>
      </c>
      <c r="N13" s="21">
        <v>0</v>
      </c>
      <c r="O13" s="21"/>
      <c r="P13" s="21"/>
      <c r="Q13" s="21">
        <v>0.3</v>
      </c>
      <c r="R13" s="15"/>
      <c r="S13" s="15">
        <f t="shared" si="1"/>
        <v>0</v>
      </c>
      <c r="T13" s="22"/>
      <c r="V13" s="6"/>
      <c r="W13" s="6"/>
      <c r="X13" s="6"/>
      <c r="Y13" s="7"/>
      <c r="Z13" s="7"/>
      <c r="AA13" s="7"/>
      <c r="AB13" s="7"/>
      <c r="AC13" s="7"/>
      <c r="AD13" s="7"/>
      <c r="AE13" s="7"/>
    </row>
    <row r="14" spans="1:31" s="19" customFormat="1" ht="33" hidden="1" customHeight="1">
      <c r="A14" s="376"/>
      <c r="B14" s="11"/>
      <c r="C14" s="142"/>
      <c r="D14" s="20"/>
      <c r="E14" s="13"/>
      <c r="F14" s="14"/>
      <c r="G14" s="14"/>
      <c r="H14" s="14" t="s">
        <v>40</v>
      </c>
      <c r="I14" s="15">
        <f>I15/10</f>
        <v>15326.4</v>
      </c>
      <c r="J14" s="15">
        <f t="shared" ref="J14:Q14" si="4">J15/10</f>
        <v>16304.3</v>
      </c>
      <c r="K14" s="15">
        <f t="shared" si="4"/>
        <v>16304.3</v>
      </c>
      <c r="L14" s="15">
        <f t="shared" si="4"/>
        <v>22970</v>
      </c>
      <c r="M14" s="15">
        <f t="shared" si="4"/>
        <v>39841.4</v>
      </c>
      <c r="N14" s="15">
        <f t="shared" si="4"/>
        <v>16694.5</v>
      </c>
      <c r="O14" s="15">
        <f t="shared" si="4"/>
        <v>0</v>
      </c>
      <c r="P14" s="15">
        <f t="shared" si="4"/>
        <v>0</v>
      </c>
      <c r="Q14" s="15">
        <f t="shared" si="4"/>
        <v>10000</v>
      </c>
      <c r="R14" s="15"/>
      <c r="S14" s="15">
        <f t="shared" si="1"/>
        <v>0</v>
      </c>
      <c r="T14" s="22"/>
      <c r="V14" s="6"/>
      <c r="W14" s="6"/>
      <c r="X14" s="6"/>
      <c r="Y14" s="7"/>
      <c r="Z14" s="7"/>
      <c r="AA14" s="7"/>
      <c r="AB14" s="7"/>
      <c r="AC14" s="7"/>
      <c r="AD14" s="7"/>
      <c r="AE14" s="7"/>
    </row>
    <row r="15" spans="1:31" s="19" customFormat="1" ht="33" hidden="1" customHeight="1">
      <c r="A15" s="376"/>
      <c r="B15" s="11"/>
      <c r="C15" s="142"/>
      <c r="D15" s="20"/>
      <c r="E15" s="13"/>
      <c r="F15" s="14"/>
      <c r="G15" s="14"/>
      <c r="H15" s="14" t="s">
        <v>43</v>
      </c>
      <c r="I15" s="15">
        <v>153264</v>
      </c>
      <c r="J15" s="15">
        <v>163043</v>
      </c>
      <c r="K15" s="15">
        <v>163043</v>
      </c>
      <c r="L15" s="15">
        <v>229700</v>
      </c>
      <c r="M15" s="15">
        <v>398414</v>
      </c>
      <c r="N15" s="15">
        <v>166945</v>
      </c>
      <c r="O15" s="15">
        <v>0</v>
      </c>
      <c r="P15" s="15">
        <v>0</v>
      </c>
      <c r="Q15" s="15">
        <v>100000</v>
      </c>
      <c r="R15" s="15"/>
      <c r="S15" s="15">
        <f t="shared" si="1"/>
        <v>0</v>
      </c>
      <c r="T15" s="22"/>
      <c r="V15" s="6"/>
      <c r="W15" s="6"/>
      <c r="X15" s="6"/>
      <c r="Y15" s="7"/>
      <c r="Z15" s="7"/>
      <c r="AA15" s="7"/>
      <c r="AB15" s="7"/>
      <c r="AC15" s="7"/>
      <c r="AD15" s="7"/>
      <c r="AE15" s="7"/>
    </row>
    <row r="16" spans="1:31" s="19" customFormat="1" ht="33" customHeight="1">
      <c r="A16" s="376"/>
      <c r="B16" s="11">
        <v>3</v>
      </c>
      <c r="C16" s="142" t="s">
        <v>952</v>
      </c>
      <c r="D16" s="20" t="str">
        <f>COVER!B19</f>
        <v>WCB+309+#6</v>
      </c>
      <c r="E16" s="13">
        <v>1</v>
      </c>
      <c r="F16" s="14">
        <f>IF(D16="SUS+#6",X76,IF(D16="WCB+309+#6",X77))</f>
        <v>46200</v>
      </c>
      <c r="G16" s="14">
        <f>F16*E16</f>
        <v>46200</v>
      </c>
      <c r="H16" s="14"/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f t="shared" si="1"/>
        <v>46200</v>
      </c>
      <c r="T16" s="22"/>
      <c r="V16" s="6"/>
      <c r="W16" s="6"/>
      <c r="X16" s="6"/>
      <c r="Y16" s="7"/>
      <c r="Z16" s="7"/>
      <c r="AA16" s="7"/>
      <c r="AB16" s="7"/>
      <c r="AC16" s="7"/>
      <c r="AD16" s="7"/>
      <c r="AE16" s="7"/>
    </row>
    <row r="17" spans="1:31" s="19" customFormat="1" ht="33" customHeight="1">
      <c r="A17" s="376"/>
      <c r="B17" s="11">
        <v>4</v>
      </c>
      <c r="C17" s="142" t="s">
        <v>1182</v>
      </c>
      <c r="D17" s="20" t="str">
        <f>COVER!B18</f>
        <v>A240T316L+GARPHITE</v>
      </c>
      <c r="E17" s="13">
        <v>1</v>
      </c>
      <c r="F17" s="14">
        <f>IF(D17="A240T316L+GARPHITE",Y84+Z84)</f>
        <v>31700</v>
      </c>
      <c r="G17" s="14">
        <f>F17*E17</f>
        <v>31700</v>
      </c>
      <c r="H17" s="14"/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f>Z84*1.3</f>
        <v>39000</v>
      </c>
      <c r="S17" s="15">
        <f t="shared" si="1"/>
        <v>70700</v>
      </c>
      <c r="T17" s="22"/>
      <c r="V17" s="23"/>
      <c r="W17" s="23"/>
      <c r="X17" s="23"/>
      <c r="Y17" s="7"/>
      <c r="Z17" s="7"/>
      <c r="AA17" s="7"/>
      <c r="AB17" s="7"/>
      <c r="AC17" s="7"/>
      <c r="AD17" s="7"/>
      <c r="AE17" s="7"/>
    </row>
    <row r="18" spans="1:31" s="19" customFormat="1" ht="33" customHeight="1">
      <c r="A18" s="376"/>
      <c r="B18" s="11">
        <v>5</v>
      </c>
      <c r="C18" s="175" t="s">
        <v>852</v>
      </c>
      <c r="D18" s="24" t="str">
        <f>COVER!B20</f>
        <v>SS316L</v>
      </c>
      <c r="E18" s="301">
        <v>1</v>
      </c>
      <c r="F18" s="14">
        <f>IF(D18="SS304",Y82,IF(D18="SS316L",Z82))</f>
        <v>6240</v>
      </c>
      <c r="G18" s="14">
        <f>E18*F18</f>
        <v>6240</v>
      </c>
      <c r="H18" s="14"/>
      <c r="I18" s="15">
        <f>I19*I20</f>
        <v>4597.92</v>
      </c>
      <c r="J18" s="15">
        <f t="shared" ref="J18:Q18" si="5">J19*J20</f>
        <v>4891.29</v>
      </c>
      <c r="K18" s="15">
        <f t="shared" si="5"/>
        <v>0</v>
      </c>
      <c r="L18" s="15">
        <f t="shared" si="5"/>
        <v>0</v>
      </c>
      <c r="M18" s="15">
        <f t="shared" si="5"/>
        <v>0</v>
      </c>
      <c r="N18" s="15">
        <f t="shared" si="5"/>
        <v>0</v>
      </c>
      <c r="O18" s="15">
        <f t="shared" si="5"/>
        <v>0</v>
      </c>
      <c r="P18" s="15">
        <f t="shared" si="5"/>
        <v>0</v>
      </c>
      <c r="Q18" s="15">
        <f t="shared" si="5"/>
        <v>2000</v>
      </c>
      <c r="R18" s="15">
        <f>AA82*1.5</f>
        <v>33000</v>
      </c>
      <c r="S18" s="15">
        <f t="shared" si="1"/>
        <v>39240</v>
      </c>
      <c r="T18" s="25"/>
      <c r="V18" s="26"/>
      <c r="W18" s="26"/>
      <c r="X18" s="26"/>
      <c r="Y18" s="7"/>
      <c r="Z18" s="7"/>
      <c r="AA18" s="7"/>
      <c r="AB18" s="7"/>
      <c r="AC18" s="7"/>
      <c r="AD18" s="7"/>
      <c r="AE18" s="7"/>
    </row>
    <row r="19" spans="1:31" s="19" customFormat="1" ht="33" hidden="1" customHeight="1">
      <c r="A19" s="376"/>
      <c r="B19" s="11"/>
      <c r="C19" s="12"/>
      <c r="D19" s="24"/>
      <c r="E19" s="13"/>
      <c r="F19" s="14"/>
      <c r="G19" s="14"/>
      <c r="H19" s="17" t="s">
        <v>583</v>
      </c>
      <c r="I19" s="21">
        <v>0.3</v>
      </c>
      <c r="J19" s="21">
        <v>0.3</v>
      </c>
      <c r="K19" s="21"/>
      <c r="L19" s="21"/>
      <c r="M19" s="21"/>
      <c r="N19" s="21"/>
      <c r="O19" s="21"/>
      <c r="P19" s="21"/>
      <c r="Q19" s="21">
        <v>0.2</v>
      </c>
      <c r="R19" s="15"/>
      <c r="S19" s="15">
        <f t="shared" si="1"/>
        <v>0</v>
      </c>
      <c r="T19" s="25"/>
      <c r="V19" s="26"/>
      <c r="W19" s="26"/>
      <c r="X19" s="26"/>
      <c r="Y19" s="7"/>
      <c r="Z19" s="7"/>
      <c r="AA19" s="7"/>
      <c r="AB19" s="7"/>
      <c r="AC19" s="7"/>
      <c r="AD19" s="7"/>
      <c r="AE19" s="7"/>
    </row>
    <row r="20" spans="1:31" s="19" customFormat="1" ht="33" hidden="1" customHeight="1">
      <c r="A20" s="376"/>
      <c r="B20" s="11"/>
      <c r="C20" s="12"/>
      <c r="D20" s="24"/>
      <c r="E20" s="13"/>
      <c r="F20" s="14"/>
      <c r="G20" s="14"/>
      <c r="H20" s="17" t="s">
        <v>39</v>
      </c>
      <c r="I20" s="15">
        <f>I21/10</f>
        <v>15326.4</v>
      </c>
      <c r="J20" s="15">
        <f t="shared" ref="J20:Q20" si="6">J21/10</f>
        <v>16304.3</v>
      </c>
      <c r="K20" s="15">
        <f t="shared" si="6"/>
        <v>0</v>
      </c>
      <c r="L20" s="15">
        <f t="shared" si="6"/>
        <v>0</v>
      </c>
      <c r="M20" s="15">
        <f t="shared" si="6"/>
        <v>0</v>
      </c>
      <c r="N20" s="15">
        <f t="shared" si="6"/>
        <v>0</v>
      </c>
      <c r="O20" s="15">
        <f t="shared" si="6"/>
        <v>0</v>
      </c>
      <c r="P20" s="15">
        <f t="shared" si="6"/>
        <v>0</v>
      </c>
      <c r="Q20" s="15">
        <f t="shared" si="6"/>
        <v>10000</v>
      </c>
      <c r="R20" s="15"/>
      <c r="S20" s="15">
        <f t="shared" si="1"/>
        <v>0</v>
      </c>
      <c r="T20" s="25"/>
      <c r="V20" s="26"/>
      <c r="W20" s="26"/>
      <c r="X20" s="26"/>
      <c r="Y20" s="7"/>
      <c r="Z20" s="7"/>
      <c r="AA20" s="7"/>
      <c r="AB20" s="7"/>
      <c r="AC20" s="7"/>
      <c r="AD20" s="7"/>
      <c r="AE20" s="7"/>
    </row>
    <row r="21" spans="1:31" s="19" customFormat="1" ht="33" hidden="1" customHeight="1">
      <c r="A21" s="376"/>
      <c r="B21" s="11"/>
      <c r="C21" s="12"/>
      <c r="D21" s="24"/>
      <c r="E21" s="13"/>
      <c r="F21" s="14"/>
      <c r="G21" s="14"/>
      <c r="H21" s="17" t="s">
        <v>39</v>
      </c>
      <c r="I21" s="15">
        <v>153264</v>
      </c>
      <c r="J21" s="15">
        <v>163043</v>
      </c>
      <c r="K21" s="15"/>
      <c r="L21" s="15"/>
      <c r="M21" s="15"/>
      <c r="N21" s="15"/>
      <c r="O21" s="15"/>
      <c r="P21" s="15"/>
      <c r="Q21" s="15">
        <v>100000</v>
      </c>
      <c r="R21" s="15"/>
      <c r="S21" s="15">
        <f t="shared" si="1"/>
        <v>0</v>
      </c>
      <c r="T21" s="25"/>
      <c r="V21" s="26"/>
      <c r="W21" s="26"/>
      <c r="X21" s="26"/>
      <c r="Y21" s="7"/>
      <c r="Z21" s="7"/>
      <c r="AA21" s="7"/>
      <c r="AB21" s="7"/>
      <c r="AC21" s="7"/>
      <c r="AD21" s="7"/>
      <c r="AE21" s="7"/>
    </row>
    <row r="22" spans="1:31" s="19" customFormat="1" ht="33" customHeight="1">
      <c r="A22" s="376"/>
      <c r="B22" s="11">
        <v>6</v>
      </c>
      <c r="C22" s="175" t="s">
        <v>1178</v>
      </c>
      <c r="D22" s="24" t="s">
        <v>1189</v>
      </c>
      <c r="E22" s="301">
        <v>1</v>
      </c>
      <c r="F22" s="14">
        <f>Y86</f>
        <v>2520</v>
      </c>
      <c r="G22" s="14">
        <f>F22*E22</f>
        <v>2520</v>
      </c>
      <c r="H22" s="14"/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f t="shared" si="1"/>
        <v>2520</v>
      </c>
      <c r="T22" s="25"/>
      <c r="V22" s="26"/>
      <c r="W22" s="26"/>
      <c r="X22" s="26"/>
      <c r="Y22" s="7"/>
      <c r="Z22" s="7"/>
      <c r="AA22" s="7"/>
      <c r="AB22" s="7"/>
      <c r="AC22" s="7"/>
      <c r="AD22" s="7"/>
      <c r="AE22" s="7"/>
    </row>
    <row r="23" spans="1:31" s="19" customFormat="1" ht="33" customHeight="1">
      <c r="A23" s="376"/>
      <c r="B23" s="11">
        <v>7</v>
      </c>
      <c r="C23" s="175" t="s">
        <v>948</v>
      </c>
      <c r="D23" s="20" t="str">
        <f>COVER!B21</f>
        <v>B7(다크로)</v>
      </c>
      <c r="E23" s="13">
        <v>6</v>
      </c>
      <c r="F23" s="14">
        <f>IF(D23="B8",Y91,IF(D23="B8M",Z91,IF(D23="B7(다크로)",AA91)))</f>
        <v>300</v>
      </c>
      <c r="G23" s="14">
        <f>F23*E23</f>
        <v>1800</v>
      </c>
      <c r="H23" s="14"/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f t="shared" si="1"/>
        <v>1800</v>
      </c>
      <c r="T23" s="18"/>
      <c r="V23" s="7"/>
      <c r="W23" s="7"/>
      <c r="X23" s="7"/>
      <c r="Y23" s="7"/>
      <c r="Z23" s="7"/>
      <c r="AA23" s="7"/>
      <c r="AB23" s="7"/>
      <c r="AC23" s="7"/>
      <c r="AD23" s="7"/>
      <c r="AE23" s="7"/>
    </row>
    <row r="24" spans="1:31" s="19" customFormat="1" ht="33" customHeight="1">
      <c r="A24" s="376"/>
      <c r="B24" s="11">
        <v>8</v>
      </c>
      <c r="C24" s="142" t="s">
        <v>44</v>
      </c>
      <c r="D24" s="20" t="str">
        <f>COVER!B17</f>
        <v>A564T630</v>
      </c>
      <c r="E24" s="13">
        <v>2</v>
      </c>
      <c r="F24" s="14">
        <f>COVER!C17</f>
        <v>8500</v>
      </c>
      <c r="G24" s="14">
        <f>F24*E24</f>
        <v>17000</v>
      </c>
      <c r="H24" s="14"/>
      <c r="I24" s="15">
        <f>I25*I26</f>
        <v>4597.92</v>
      </c>
      <c r="J24" s="15">
        <f t="shared" ref="J24:Q24" si="7">J25*J26</f>
        <v>0</v>
      </c>
      <c r="K24" s="15">
        <f t="shared" si="7"/>
        <v>0</v>
      </c>
      <c r="L24" s="15">
        <f t="shared" si="7"/>
        <v>0</v>
      </c>
      <c r="M24" s="15">
        <f t="shared" si="7"/>
        <v>0</v>
      </c>
      <c r="N24" s="15">
        <f t="shared" si="7"/>
        <v>0</v>
      </c>
      <c r="O24" s="15">
        <f t="shared" si="7"/>
        <v>0</v>
      </c>
      <c r="P24" s="15">
        <f t="shared" si="7"/>
        <v>0</v>
      </c>
      <c r="Q24" s="15">
        <f t="shared" si="7"/>
        <v>1000</v>
      </c>
      <c r="R24" s="15">
        <f>R12*0.3</f>
        <v>20699.999999999996</v>
      </c>
      <c r="S24" s="15">
        <f t="shared" si="1"/>
        <v>37700</v>
      </c>
      <c r="T24" s="27"/>
      <c r="U24" s="162"/>
      <c r="V24" s="162"/>
      <c r="W24" s="7"/>
      <c r="X24" s="7"/>
      <c r="Y24" s="28"/>
      <c r="Z24" s="28"/>
      <c r="AA24" s="28"/>
      <c r="AB24" s="28"/>
      <c r="AC24" s="28"/>
      <c r="AD24" s="28"/>
      <c r="AE24" s="28"/>
    </row>
    <row r="25" spans="1:31" s="19" customFormat="1" ht="33" hidden="1" customHeight="1">
      <c r="A25" s="376"/>
      <c r="B25" s="11"/>
      <c r="C25" s="12"/>
      <c r="D25" s="20"/>
      <c r="E25" s="13"/>
      <c r="F25" s="14"/>
      <c r="G25" s="14"/>
      <c r="H25" s="17" t="s">
        <v>39</v>
      </c>
      <c r="I25" s="21">
        <v>0.3</v>
      </c>
      <c r="J25" s="21"/>
      <c r="K25" s="21"/>
      <c r="L25" s="21"/>
      <c r="M25" s="21"/>
      <c r="N25" s="21"/>
      <c r="O25" s="21"/>
      <c r="P25" s="21"/>
      <c r="Q25" s="21">
        <v>0.1</v>
      </c>
      <c r="R25" s="15"/>
      <c r="S25" s="15">
        <f t="shared" si="1"/>
        <v>0</v>
      </c>
      <c r="T25" s="27"/>
      <c r="V25" s="7"/>
      <c r="W25" s="7"/>
      <c r="X25" s="7"/>
      <c r="Y25" s="28"/>
      <c r="Z25" s="28"/>
      <c r="AA25" s="28"/>
      <c r="AB25" s="28"/>
      <c r="AC25" s="28"/>
      <c r="AD25" s="28"/>
      <c r="AE25" s="28"/>
    </row>
    <row r="26" spans="1:31" s="19" customFormat="1" ht="33" hidden="1" customHeight="1">
      <c r="A26" s="376"/>
      <c r="B26" s="11"/>
      <c r="C26" s="12"/>
      <c r="D26" s="20"/>
      <c r="E26" s="13"/>
      <c r="F26" s="14"/>
      <c r="G26" s="14"/>
      <c r="H26" s="17" t="s">
        <v>39</v>
      </c>
      <c r="I26" s="15">
        <f>I27/10</f>
        <v>15326.4</v>
      </c>
      <c r="J26" s="15"/>
      <c r="K26" s="15"/>
      <c r="L26" s="15"/>
      <c r="M26" s="15"/>
      <c r="N26" s="15"/>
      <c r="O26" s="15"/>
      <c r="P26" s="15"/>
      <c r="Q26" s="15">
        <f>Q27/10</f>
        <v>10000</v>
      </c>
      <c r="R26" s="15"/>
      <c r="S26" s="15">
        <f t="shared" si="1"/>
        <v>0</v>
      </c>
      <c r="T26" s="27"/>
      <c r="V26" s="7"/>
      <c r="W26" s="7"/>
      <c r="X26" s="7"/>
      <c r="Y26" s="28"/>
      <c r="Z26" s="28"/>
      <c r="AA26" s="28"/>
      <c r="AB26" s="28"/>
      <c r="AC26" s="28"/>
      <c r="AD26" s="28"/>
      <c r="AE26" s="28"/>
    </row>
    <row r="27" spans="1:31" s="19" customFormat="1" ht="33" hidden="1" customHeight="1">
      <c r="A27" s="376"/>
      <c r="B27" s="11"/>
      <c r="C27" s="12"/>
      <c r="D27" s="20"/>
      <c r="E27" s="13"/>
      <c r="F27" s="14"/>
      <c r="G27" s="14"/>
      <c r="H27" s="17" t="s">
        <v>583</v>
      </c>
      <c r="I27" s="15">
        <v>153264</v>
      </c>
      <c r="J27" s="15"/>
      <c r="K27" s="15"/>
      <c r="L27" s="15"/>
      <c r="M27" s="15"/>
      <c r="N27" s="15"/>
      <c r="O27" s="15"/>
      <c r="P27" s="15"/>
      <c r="Q27" s="15">
        <v>100000</v>
      </c>
      <c r="R27" s="15"/>
      <c r="S27" s="15">
        <f t="shared" si="1"/>
        <v>0</v>
      </c>
      <c r="T27" s="27"/>
      <c r="V27" s="7"/>
      <c r="W27" s="7"/>
      <c r="X27" s="7"/>
      <c r="Y27" s="28"/>
      <c r="Z27" s="28"/>
      <c r="AA27" s="28"/>
      <c r="AB27" s="28"/>
      <c r="AC27" s="28"/>
      <c r="AD27" s="28"/>
      <c r="AE27" s="28"/>
    </row>
    <row r="28" spans="1:31" s="19" customFormat="1" ht="33" customHeight="1">
      <c r="A28" s="376"/>
      <c r="B28" s="11">
        <v>9</v>
      </c>
      <c r="C28" s="142" t="s">
        <v>45</v>
      </c>
      <c r="D28" s="24" t="s">
        <v>1197</v>
      </c>
      <c r="E28" s="13">
        <v>1</v>
      </c>
      <c r="F28" s="14">
        <v>5500</v>
      </c>
      <c r="G28" s="14">
        <f t="shared" ref="G28" si="8">E28*F28</f>
        <v>5500</v>
      </c>
      <c r="H28" s="14"/>
      <c r="I28" s="15"/>
      <c r="J28" s="15"/>
      <c r="K28" s="15"/>
      <c r="L28" s="15"/>
      <c r="M28" s="15"/>
      <c r="N28" s="15"/>
      <c r="O28" s="15"/>
      <c r="P28" s="15"/>
      <c r="Q28" s="15"/>
      <c r="R28" s="15">
        <v>0</v>
      </c>
      <c r="S28" s="15">
        <f t="shared" si="1"/>
        <v>5500</v>
      </c>
      <c r="T28" s="18"/>
      <c r="V28" s="7"/>
      <c r="W28" s="7"/>
      <c r="X28" s="7"/>
      <c r="Y28" s="6"/>
      <c r="Z28" s="6"/>
      <c r="AA28" s="6"/>
      <c r="AB28" s="6"/>
      <c r="AC28" s="6"/>
      <c r="AD28" s="6"/>
      <c r="AE28" s="6"/>
    </row>
    <row r="29" spans="1:31" s="19" customFormat="1" ht="33" customHeight="1">
      <c r="A29" s="376"/>
      <c r="B29" s="11">
        <v>10</v>
      </c>
      <c r="C29" s="142" t="s">
        <v>46</v>
      </c>
      <c r="D29" s="24" t="str">
        <f>COVER!B24</f>
        <v>A351 CF8M</v>
      </c>
      <c r="E29" s="13">
        <v>1</v>
      </c>
      <c r="F29" s="302">
        <f>IF(D29="A351 CF8M",Y99,IF(D29="B148 C95400",Z99))</f>
        <v>15000</v>
      </c>
      <c r="G29" s="14">
        <f>F29*E29</f>
        <v>15000</v>
      </c>
      <c r="H29" s="14"/>
      <c r="I29" s="15">
        <f>I30*I31</f>
        <v>1532.64</v>
      </c>
      <c r="J29" s="15">
        <f t="shared" ref="J29:Q29" si="9">J30*J31</f>
        <v>1630.43</v>
      </c>
      <c r="K29" s="15">
        <f t="shared" si="9"/>
        <v>0</v>
      </c>
      <c r="L29" s="15">
        <f t="shared" si="9"/>
        <v>0</v>
      </c>
      <c r="M29" s="15">
        <f t="shared" si="9"/>
        <v>0</v>
      </c>
      <c r="N29" s="15">
        <f t="shared" si="9"/>
        <v>0</v>
      </c>
      <c r="O29" s="15">
        <f t="shared" si="9"/>
        <v>0</v>
      </c>
      <c r="P29" s="15">
        <f t="shared" si="9"/>
        <v>0</v>
      </c>
      <c r="Q29" s="15">
        <f t="shared" si="9"/>
        <v>0</v>
      </c>
      <c r="R29" s="15">
        <v>0</v>
      </c>
      <c r="S29" s="15">
        <f t="shared" si="1"/>
        <v>15000</v>
      </c>
      <c r="T29" s="18"/>
      <c r="V29" s="7"/>
      <c r="W29" s="292"/>
      <c r="X29" s="7"/>
      <c r="Y29" s="7"/>
      <c r="Z29" s="7"/>
      <c r="AA29" s="7"/>
      <c r="AB29" s="7"/>
      <c r="AC29" s="7"/>
      <c r="AD29" s="7"/>
      <c r="AE29" s="7"/>
    </row>
    <row r="30" spans="1:31" s="19" customFormat="1" ht="33" hidden="1" customHeight="1">
      <c r="A30" s="376"/>
      <c r="B30" s="11"/>
      <c r="C30" s="12"/>
      <c r="D30" s="24"/>
      <c r="E30" s="13"/>
      <c r="F30" s="14"/>
      <c r="G30" s="14"/>
      <c r="H30" s="17" t="s">
        <v>39</v>
      </c>
      <c r="I30" s="21">
        <v>0.1</v>
      </c>
      <c r="J30" s="21">
        <v>0.1</v>
      </c>
      <c r="K30" s="21"/>
      <c r="L30" s="21"/>
      <c r="M30" s="21"/>
      <c r="N30" s="21"/>
      <c r="O30" s="21"/>
      <c r="P30" s="21"/>
      <c r="Q30" s="21"/>
      <c r="R30" s="15"/>
      <c r="S30" s="15">
        <f t="shared" si="1"/>
        <v>0</v>
      </c>
      <c r="T30" s="22"/>
      <c r="V30" s="7"/>
      <c r="W30" s="7"/>
      <c r="X30" s="7"/>
      <c r="Y30" s="7"/>
      <c r="Z30" s="7"/>
      <c r="AA30" s="7"/>
      <c r="AB30" s="7"/>
      <c r="AC30" s="7"/>
      <c r="AD30" s="7"/>
      <c r="AE30" s="7"/>
    </row>
    <row r="31" spans="1:31" s="19" customFormat="1" ht="33" hidden="1" customHeight="1">
      <c r="A31" s="376"/>
      <c r="B31" s="11"/>
      <c r="C31" s="12"/>
      <c r="D31" s="24"/>
      <c r="E31" s="13"/>
      <c r="F31" s="14"/>
      <c r="G31" s="14"/>
      <c r="H31" s="17" t="s">
        <v>39</v>
      </c>
      <c r="I31" s="15">
        <f>I32/10</f>
        <v>15326.4</v>
      </c>
      <c r="J31" s="15">
        <f>J32/10</f>
        <v>16304.3</v>
      </c>
      <c r="K31" s="15"/>
      <c r="L31" s="15"/>
      <c r="M31" s="15"/>
      <c r="N31" s="15"/>
      <c r="O31" s="15"/>
      <c r="P31" s="15"/>
      <c r="Q31" s="15"/>
      <c r="R31" s="15"/>
      <c r="S31" s="15">
        <f t="shared" si="1"/>
        <v>0</v>
      </c>
      <c r="T31" s="22"/>
      <c r="V31" s="7"/>
      <c r="W31" s="7"/>
      <c r="X31" s="7"/>
      <c r="Y31" s="7"/>
      <c r="Z31" s="7"/>
      <c r="AA31" s="7"/>
      <c r="AB31" s="7"/>
      <c r="AC31" s="7"/>
      <c r="AD31" s="7"/>
      <c r="AE31" s="7"/>
    </row>
    <row r="32" spans="1:31" s="19" customFormat="1" ht="33" hidden="1" customHeight="1">
      <c r="A32" s="376"/>
      <c r="B32" s="11"/>
      <c r="C32" s="12"/>
      <c r="D32" s="24"/>
      <c r="E32" s="13"/>
      <c r="F32" s="14"/>
      <c r="G32" s="14"/>
      <c r="H32" s="17" t="s">
        <v>39</v>
      </c>
      <c r="I32" s="15">
        <v>153264</v>
      </c>
      <c r="J32" s="15">
        <v>163043</v>
      </c>
      <c r="K32" s="15"/>
      <c r="L32" s="15"/>
      <c r="M32" s="15"/>
      <c r="N32" s="15"/>
      <c r="O32" s="15"/>
      <c r="P32" s="15"/>
      <c r="Q32" s="15"/>
      <c r="R32" s="15"/>
      <c r="S32" s="15">
        <f t="shared" si="1"/>
        <v>0</v>
      </c>
      <c r="T32" s="22"/>
      <c r="V32" s="7"/>
      <c r="W32" s="7"/>
      <c r="X32" s="7"/>
      <c r="Y32" s="7"/>
      <c r="Z32" s="7"/>
      <c r="AA32" s="7"/>
      <c r="AB32" s="7"/>
      <c r="AC32" s="7"/>
      <c r="AD32" s="7"/>
      <c r="AE32" s="7"/>
    </row>
    <row r="33" spans="1:31" s="19" customFormat="1" ht="33" customHeight="1">
      <c r="A33" s="376"/>
      <c r="B33" s="11">
        <v>11</v>
      </c>
      <c r="C33" s="142" t="s">
        <v>47</v>
      </c>
      <c r="D33" s="24" t="str">
        <f>COVER!B26</f>
        <v>316+NICKEL</v>
      </c>
      <c r="E33" s="13">
        <v>1</v>
      </c>
      <c r="F33" s="14">
        <f>IF(D33="316+NICKEL",Y101,IF(D33="B148 C95400",Z101))</f>
        <v>5000</v>
      </c>
      <c r="G33" s="14">
        <f>F33*E33</f>
        <v>5000</v>
      </c>
      <c r="H33" s="14"/>
      <c r="I33" s="15">
        <f>I34*I35</f>
        <v>1532.64</v>
      </c>
      <c r="J33" s="15">
        <f t="shared" ref="J33:Q33" si="10">J34*J35</f>
        <v>0</v>
      </c>
      <c r="K33" s="15">
        <f t="shared" si="10"/>
        <v>0</v>
      </c>
      <c r="L33" s="15">
        <f t="shared" si="10"/>
        <v>0</v>
      </c>
      <c r="M33" s="15">
        <f t="shared" si="10"/>
        <v>0</v>
      </c>
      <c r="N33" s="15">
        <f t="shared" si="10"/>
        <v>0</v>
      </c>
      <c r="O33" s="15">
        <f t="shared" si="10"/>
        <v>0</v>
      </c>
      <c r="P33" s="15">
        <f t="shared" si="10"/>
        <v>0</v>
      </c>
      <c r="Q33" s="15">
        <f t="shared" si="10"/>
        <v>0</v>
      </c>
      <c r="R33" s="15">
        <v>0</v>
      </c>
      <c r="S33" s="15">
        <f t="shared" si="1"/>
        <v>5000</v>
      </c>
      <c r="T33" s="25" t="s">
        <v>1200</v>
      </c>
      <c r="V33" s="7"/>
      <c r="W33" s="7"/>
      <c r="X33" s="7"/>
      <c r="Y33" s="7"/>
      <c r="Z33" s="7"/>
      <c r="AA33" s="7"/>
      <c r="AB33" s="7"/>
      <c r="AC33" s="7"/>
      <c r="AD33" s="7"/>
      <c r="AE33" s="7"/>
    </row>
    <row r="34" spans="1:31" s="19" customFormat="1" ht="33" hidden="1" customHeight="1">
      <c r="A34" s="376"/>
      <c r="B34" s="11"/>
      <c r="C34" s="12"/>
      <c r="D34" s="24"/>
      <c r="E34" s="13"/>
      <c r="F34" s="14"/>
      <c r="G34" s="14"/>
      <c r="H34" s="17" t="s">
        <v>39</v>
      </c>
      <c r="I34" s="21">
        <v>0.1</v>
      </c>
      <c r="J34" s="21"/>
      <c r="K34" s="21"/>
      <c r="L34" s="21"/>
      <c r="M34" s="21"/>
      <c r="N34" s="21"/>
      <c r="O34" s="21"/>
      <c r="P34" s="21"/>
      <c r="Q34" s="21"/>
      <c r="R34" s="15"/>
      <c r="S34" s="15">
        <f t="shared" si="1"/>
        <v>0</v>
      </c>
      <c r="T34" s="22"/>
      <c r="V34" s="7"/>
      <c r="W34" s="7"/>
      <c r="X34" s="7"/>
      <c r="Y34" s="7"/>
      <c r="Z34" s="7"/>
      <c r="AA34" s="7"/>
      <c r="AB34" s="7"/>
      <c r="AC34" s="7"/>
      <c r="AD34" s="7"/>
      <c r="AE34" s="7"/>
    </row>
    <row r="35" spans="1:31" s="19" customFormat="1" ht="33" hidden="1" customHeight="1">
      <c r="A35" s="376"/>
      <c r="B35" s="11"/>
      <c r="C35" s="12"/>
      <c r="D35" s="24"/>
      <c r="E35" s="13"/>
      <c r="F35" s="14"/>
      <c r="G35" s="14"/>
      <c r="H35" s="17" t="s">
        <v>39</v>
      </c>
      <c r="I35" s="15">
        <f>I36/10</f>
        <v>15326.4</v>
      </c>
      <c r="J35" s="15"/>
      <c r="K35" s="15"/>
      <c r="L35" s="15"/>
      <c r="M35" s="15"/>
      <c r="N35" s="15"/>
      <c r="O35" s="15"/>
      <c r="P35" s="15"/>
      <c r="Q35" s="15"/>
      <c r="R35" s="15"/>
      <c r="S35" s="15">
        <f t="shared" si="1"/>
        <v>0</v>
      </c>
      <c r="T35" s="22"/>
      <c r="V35" s="7"/>
      <c r="W35" s="7"/>
      <c r="X35" s="7"/>
      <c r="Y35" s="7"/>
      <c r="Z35" s="7"/>
      <c r="AA35" s="7"/>
      <c r="AB35" s="7"/>
      <c r="AC35" s="7"/>
      <c r="AD35" s="7"/>
      <c r="AE35" s="7"/>
    </row>
    <row r="36" spans="1:31" s="19" customFormat="1" ht="33" hidden="1" customHeight="1">
      <c r="A36" s="376"/>
      <c r="B36" s="11"/>
      <c r="C36" s="12"/>
      <c r="D36" s="24"/>
      <c r="E36" s="13"/>
      <c r="F36" s="14"/>
      <c r="G36" s="14"/>
      <c r="H36" s="17" t="s">
        <v>583</v>
      </c>
      <c r="I36" s="15">
        <v>153264</v>
      </c>
      <c r="J36" s="15"/>
      <c r="K36" s="15"/>
      <c r="L36" s="15"/>
      <c r="M36" s="15"/>
      <c r="N36" s="15"/>
      <c r="O36" s="15"/>
      <c r="P36" s="15"/>
      <c r="Q36" s="15"/>
      <c r="R36" s="15"/>
      <c r="S36" s="15">
        <f t="shared" si="1"/>
        <v>0</v>
      </c>
      <c r="T36" s="22"/>
      <c r="V36" s="7"/>
      <c r="W36" s="7"/>
      <c r="X36" s="7"/>
      <c r="Y36" s="7"/>
      <c r="Z36" s="7"/>
      <c r="AA36" s="7"/>
      <c r="AB36" s="7"/>
      <c r="AC36" s="7"/>
      <c r="AD36" s="7"/>
      <c r="AE36" s="7"/>
    </row>
    <row r="37" spans="1:31" s="19" customFormat="1" ht="33" customHeight="1">
      <c r="A37" s="376"/>
      <c r="B37" s="11">
        <v>12</v>
      </c>
      <c r="C37" s="169" t="s">
        <v>954</v>
      </c>
      <c r="D37" s="20" t="str">
        <f>COVER!B22</f>
        <v>B7(다크로)</v>
      </c>
      <c r="E37" s="13">
        <v>4</v>
      </c>
      <c r="F37" s="14">
        <f>IF(D37="B8",Y93,IF(D37="B8M",Z93,IF(D37="B7(다크로)",AA93)))</f>
        <v>1000</v>
      </c>
      <c r="G37" s="14">
        <f>E37*F37</f>
        <v>4000</v>
      </c>
      <c r="H37" s="14"/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f t="shared" si="1"/>
        <v>4000</v>
      </c>
      <c r="T37" s="22"/>
      <c r="V37" s="7"/>
      <c r="W37" s="7"/>
      <c r="X37" s="7"/>
      <c r="Y37" s="7"/>
      <c r="Z37" s="7"/>
      <c r="AA37" s="7"/>
      <c r="AB37" s="7"/>
      <c r="AC37" s="7"/>
      <c r="AD37" s="7"/>
      <c r="AE37" s="7"/>
    </row>
    <row r="38" spans="1:31" s="19" customFormat="1" ht="33" customHeight="1">
      <c r="A38" s="376"/>
      <c r="B38" s="11">
        <v>13</v>
      </c>
      <c r="C38" s="29" t="s">
        <v>584</v>
      </c>
      <c r="D38" s="24"/>
      <c r="E38" s="13">
        <v>1</v>
      </c>
      <c r="F38" s="14">
        <v>3000</v>
      </c>
      <c r="G38" s="14">
        <f t="shared" ref="G38:G54" si="11">E38*F38</f>
        <v>3000</v>
      </c>
      <c r="H38" s="14"/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f t="shared" si="1"/>
        <v>3000</v>
      </c>
      <c r="T38" s="22"/>
      <c r="V38" s="7"/>
      <c r="W38" s="7"/>
      <c r="X38" s="7"/>
      <c r="Y38" s="7"/>
      <c r="Z38" s="7"/>
      <c r="AA38" s="7"/>
      <c r="AB38" s="7"/>
      <c r="AC38" s="7"/>
      <c r="AD38" s="7"/>
      <c r="AE38" s="7"/>
    </row>
    <row r="39" spans="1:31" s="19" customFormat="1" ht="33" customHeight="1">
      <c r="A39" s="376"/>
      <c r="B39" s="11">
        <v>14</v>
      </c>
      <c r="C39" s="233" t="s">
        <v>585</v>
      </c>
      <c r="D39" s="24" t="str">
        <f>COVER!B23</f>
        <v>316+NICKEL</v>
      </c>
      <c r="E39" s="13">
        <v>2</v>
      </c>
      <c r="F39" s="14">
        <f>IF(D39="316+NICKEL",Y97,IF(D39="B148 C95400",Z97))</f>
        <v>14500</v>
      </c>
      <c r="G39" s="14">
        <f>F39*1</f>
        <v>14500</v>
      </c>
      <c r="H39" s="14"/>
      <c r="I39" s="15">
        <f t="shared" ref="I39:Q40" si="12">I40*I41</f>
        <v>0</v>
      </c>
      <c r="J39" s="15">
        <f t="shared" si="12"/>
        <v>0</v>
      </c>
      <c r="K39" s="15">
        <f t="shared" si="12"/>
        <v>0</v>
      </c>
      <c r="L39" s="15">
        <f t="shared" si="12"/>
        <v>0</v>
      </c>
      <c r="M39" s="15">
        <f t="shared" si="12"/>
        <v>0</v>
      </c>
      <c r="N39" s="15">
        <f t="shared" si="12"/>
        <v>0</v>
      </c>
      <c r="O39" s="15">
        <f t="shared" si="12"/>
        <v>0</v>
      </c>
      <c r="P39" s="15">
        <f t="shared" si="12"/>
        <v>0</v>
      </c>
      <c r="Q39" s="15">
        <f t="shared" si="12"/>
        <v>0</v>
      </c>
      <c r="R39" s="15">
        <v>0</v>
      </c>
      <c r="S39" s="15">
        <f t="shared" si="1"/>
        <v>14500</v>
      </c>
      <c r="T39" s="25" t="s">
        <v>1200</v>
      </c>
      <c r="V39" s="7"/>
      <c r="W39" s="7"/>
      <c r="X39" s="7"/>
      <c r="Y39" s="7"/>
      <c r="Z39" s="7"/>
      <c r="AA39" s="7"/>
      <c r="AB39" s="7"/>
      <c r="AC39" s="7"/>
      <c r="AD39" s="7"/>
      <c r="AE39" s="7"/>
    </row>
    <row r="40" spans="1:31" s="19" customFormat="1" ht="33" customHeight="1">
      <c r="A40" s="376"/>
      <c r="B40" s="11">
        <v>15</v>
      </c>
      <c r="C40" s="142" t="s">
        <v>586</v>
      </c>
      <c r="D40" s="24" t="str">
        <f>COVER!B23</f>
        <v>316+NICKEL</v>
      </c>
      <c r="E40" s="13">
        <v>2</v>
      </c>
      <c r="F40" s="14">
        <f>IF(D40="316+NICKEL",Y98,IF(D40="B148 C95400",Z98))</f>
        <v>13500</v>
      </c>
      <c r="G40" s="14">
        <f>F40*1</f>
        <v>13500</v>
      </c>
      <c r="H40" s="14"/>
      <c r="I40" s="15">
        <f t="shared" si="12"/>
        <v>0</v>
      </c>
      <c r="J40" s="15">
        <f t="shared" si="12"/>
        <v>0</v>
      </c>
      <c r="K40" s="15">
        <f t="shared" si="12"/>
        <v>0</v>
      </c>
      <c r="L40" s="15">
        <f t="shared" si="12"/>
        <v>0</v>
      </c>
      <c r="M40" s="15">
        <f t="shared" si="12"/>
        <v>0</v>
      </c>
      <c r="N40" s="15">
        <f t="shared" si="12"/>
        <v>0</v>
      </c>
      <c r="O40" s="15">
        <f t="shared" si="12"/>
        <v>0</v>
      </c>
      <c r="P40" s="15">
        <f t="shared" si="12"/>
        <v>0</v>
      </c>
      <c r="Q40" s="15">
        <f t="shared" si="12"/>
        <v>0</v>
      </c>
      <c r="R40" s="15">
        <v>0</v>
      </c>
      <c r="S40" s="15">
        <f t="shared" si="1"/>
        <v>13500</v>
      </c>
      <c r="T40" s="25" t="s">
        <v>1200</v>
      </c>
      <c r="V40" s="28"/>
      <c r="W40" s="28"/>
      <c r="X40" s="28"/>
      <c r="Y40" s="7"/>
      <c r="Z40" s="7"/>
      <c r="AA40" s="7"/>
      <c r="AB40" s="7"/>
      <c r="AC40" s="7"/>
      <c r="AD40" s="7"/>
      <c r="AE40" s="7"/>
    </row>
    <row r="41" spans="1:31" s="19" customFormat="1" ht="33" hidden="1" customHeight="1">
      <c r="A41" s="376"/>
      <c r="B41" s="11"/>
      <c r="C41" s="12"/>
      <c r="D41" s="20"/>
      <c r="E41" s="13"/>
      <c r="F41" s="14"/>
      <c r="G41" s="14"/>
      <c r="H41" s="17" t="s">
        <v>583</v>
      </c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>
        <f t="shared" si="1"/>
        <v>0</v>
      </c>
      <c r="T41" s="22"/>
      <c r="V41" s="28"/>
      <c r="W41" s="28"/>
      <c r="X41" s="28"/>
      <c r="Y41" s="7"/>
      <c r="Z41" s="7"/>
      <c r="AA41" s="7"/>
      <c r="AB41" s="7"/>
      <c r="AC41" s="7"/>
      <c r="AD41" s="7"/>
      <c r="AE41" s="7"/>
    </row>
    <row r="42" spans="1:31" s="19" customFormat="1" ht="33" hidden="1" customHeight="1">
      <c r="A42" s="376"/>
      <c r="B42" s="11"/>
      <c r="C42" s="12"/>
      <c r="D42" s="20"/>
      <c r="E42" s="13"/>
      <c r="F42" s="14"/>
      <c r="G42" s="14"/>
      <c r="H42" s="17" t="s">
        <v>583</v>
      </c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>
        <f t="shared" si="1"/>
        <v>0</v>
      </c>
      <c r="T42" s="22"/>
      <c r="V42" s="28"/>
      <c r="W42" s="28"/>
      <c r="X42" s="28"/>
      <c r="Y42" s="7"/>
      <c r="Z42" s="7"/>
      <c r="AA42" s="7"/>
      <c r="AB42" s="7"/>
      <c r="AC42" s="7"/>
      <c r="AD42" s="7"/>
      <c r="AE42" s="7"/>
    </row>
    <row r="43" spans="1:31" s="19" customFormat="1" ht="33" hidden="1" customHeight="1">
      <c r="A43" s="376"/>
      <c r="B43" s="11"/>
      <c r="C43" s="12"/>
      <c r="D43" s="20"/>
      <c r="E43" s="13"/>
      <c r="F43" s="14"/>
      <c r="G43" s="14"/>
      <c r="H43" s="17" t="s">
        <v>583</v>
      </c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>
        <f t="shared" si="1"/>
        <v>0</v>
      </c>
      <c r="T43" s="22"/>
      <c r="V43" s="28"/>
      <c r="W43" s="28"/>
      <c r="X43" s="28"/>
      <c r="Y43" s="7"/>
      <c r="Z43" s="7"/>
      <c r="AA43" s="7"/>
      <c r="AB43" s="7"/>
      <c r="AC43" s="7"/>
      <c r="AD43" s="7"/>
      <c r="AE43" s="7"/>
    </row>
    <row r="44" spans="1:31" s="19" customFormat="1" ht="33" customHeight="1">
      <c r="A44" s="376"/>
      <c r="B44" s="11">
        <v>16</v>
      </c>
      <c r="C44" s="142" t="s">
        <v>587</v>
      </c>
      <c r="D44" s="24" t="str">
        <f>COVER!B25</f>
        <v>316+NICKEL</v>
      </c>
      <c r="E44" s="13">
        <v>1</v>
      </c>
      <c r="F44" s="14">
        <f>IF(D44="316+NICKEL",Y100,IF(D44="B148 C95400",Z100))</f>
        <v>5000</v>
      </c>
      <c r="G44" s="14">
        <f>F44*E44</f>
        <v>5000</v>
      </c>
      <c r="H44" s="14"/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1000</v>
      </c>
      <c r="P44" s="15">
        <v>0</v>
      </c>
      <c r="Q44" s="15">
        <v>0</v>
      </c>
      <c r="R44" s="15">
        <v>0</v>
      </c>
      <c r="S44" s="15">
        <f t="shared" si="1"/>
        <v>5000</v>
      </c>
      <c r="T44" s="25" t="s">
        <v>1200</v>
      </c>
      <c r="U44" s="236"/>
      <c r="V44" s="28"/>
      <c r="W44" s="28"/>
      <c r="X44" s="28"/>
      <c r="Y44" s="7"/>
      <c r="Z44" s="7"/>
      <c r="AA44" s="7"/>
      <c r="AB44" s="7"/>
      <c r="AC44" s="7"/>
      <c r="AD44" s="7"/>
      <c r="AE44" s="7"/>
    </row>
    <row r="45" spans="1:31" s="19" customFormat="1" ht="33" customHeight="1">
      <c r="A45" s="376"/>
      <c r="B45" s="11">
        <v>17</v>
      </c>
      <c r="C45" s="175" t="s">
        <v>588</v>
      </c>
      <c r="D45" s="20" t="s">
        <v>463</v>
      </c>
      <c r="E45" s="14">
        <v>1</v>
      </c>
      <c r="F45" s="14">
        <f>Y87</f>
        <v>2040</v>
      </c>
      <c r="G45" s="14">
        <f>F45*E45</f>
        <v>2040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/>
      <c r="R45" s="15">
        <v>0</v>
      </c>
      <c r="S45" s="15">
        <f t="shared" si="1"/>
        <v>2040</v>
      </c>
      <c r="T45" s="22"/>
      <c r="V45" s="7"/>
      <c r="W45" s="7"/>
      <c r="X45" s="7"/>
      <c r="Y45" s="7"/>
      <c r="Z45" s="7"/>
      <c r="AA45" s="7"/>
      <c r="AB45" s="7"/>
      <c r="AC45" s="7"/>
      <c r="AD45" s="7"/>
      <c r="AE45" s="7"/>
    </row>
    <row r="46" spans="1:31" s="19" customFormat="1" ht="33" customHeight="1">
      <c r="A46" s="376"/>
      <c r="B46" s="11">
        <v>18</v>
      </c>
      <c r="C46" s="175" t="s">
        <v>1210</v>
      </c>
      <c r="D46" s="24" t="str">
        <f>COVER!B29</f>
        <v>SS400</v>
      </c>
      <c r="E46" s="13">
        <v>1</v>
      </c>
      <c r="F46" s="14">
        <f>IF(D46="SS400",Y106,IF(D46="SS316",Z106,IF(D46="SS304",AA106)))</f>
        <v>1650</v>
      </c>
      <c r="G46" s="14">
        <f>F46*E46</f>
        <v>1650</v>
      </c>
      <c r="H46" s="14"/>
      <c r="I46" s="15">
        <f>I47*I48</f>
        <v>1532.64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6000</v>
      </c>
      <c r="S46" s="15">
        <f t="shared" si="1"/>
        <v>7650</v>
      </c>
      <c r="T46" s="22"/>
      <c r="V46" s="7"/>
      <c r="W46" s="7"/>
      <c r="X46" s="7"/>
      <c r="Y46" s="7"/>
      <c r="Z46" s="7"/>
      <c r="AA46" s="7"/>
      <c r="AB46" s="7"/>
      <c r="AC46" s="7"/>
      <c r="AD46" s="7"/>
      <c r="AE46" s="7"/>
    </row>
    <row r="47" spans="1:31" s="19" customFormat="1" ht="33" hidden="1" customHeight="1">
      <c r="A47" s="376"/>
      <c r="B47" s="11"/>
      <c r="C47" s="31"/>
      <c r="D47" s="24"/>
      <c r="E47" s="13"/>
      <c r="F47" s="14"/>
      <c r="G47" s="14"/>
      <c r="H47" s="17" t="s">
        <v>583</v>
      </c>
      <c r="I47" s="21">
        <v>0.1</v>
      </c>
      <c r="J47" s="21"/>
      <c r="K47" s="21"/>
      <c r="L47" s="21"/>
      <c r="M47" s="21"/>
      <c r="N47" s="21"/>
      <c r="O47" s="21"/>
      <c r="P47" s="21"/>
      <c r="Q47" s="21"/>
      <c r="R47" s="15"/>
      <c r="S47" s="15">
        <f t="shared" si="1"/>
        <v>0</v>
      </c>
      <c r="T47" s="22"/>
      <c r="V47" s="7"/>
      <c r="W47" s="7"/>
      <c r="X47" s="7"/>
      <c r="Y47" s="7"/>
      <c r="Z47" s="7"/>
      <c r="AA47" s="7"/>
      <c r="AB47" s="7"/>
      <c r="AC47" s="7"/>
      <c r="AD47" s="7"/>
      <c r="AE47" s="7"/>
    </row>
    <row r="48" spans="1:31" s="19" customFormat="1" ht="33" hidden="1" customHeight="1">
      <c r="A48" s="376"/>
      <c r="B48" s="11"/>
      <c r="C48" s="31"/>
      <c r="D48" s="24"/>
      <c r="E48" s="13"/>
      <c r="F48" s="14"/>
      <c r="G48" s="14"/>
      <c r="H48" s="17" t="s">
        <v>583</v>
      </c>
      <c r="I48" s="15">
        <f>I49/10</f>
        <v>15326.4</v>
      </c>
      <c r="J48" s="15"/>
      <c r="K48" s="15"/>
      <c r="L48" s="15"/>
      <c r="M48" s="15"/>
      <c r="N48" s="15"/>
      <c r="O48" s="15"/>
      <c r="P48" s="15"/>
      <c r="Q48" s="15"/>
      <c r="R48" s="15"/>
      <c r="S48" s="15">
        <f t="shared" si="1"/>
        <v>0</v>
      </c>
      <c r="T48" s="22"/>
      <c r="V48" s="7"/>
      <c r="W48" s="7"/>
      <c r="X48" s="7"/>
      <c r="Y48" s="7"/>
      <c r="Z48" s="7"/>
      <c r="AA48" s="7"/>
      <c r="AB48" s="7"/>
      <c r="AC48" s="7"/>
      <c r="AD48" s="7"/>
      <c r="AE48" s="7"/>
    </row>
    <row r="49" spans="1:31" s="19" customFormat="1" ht="33" hidden="1" customHeight="1">
      <c r="A49" s="376"/>
      <c r="B49" s="11"/>
      <c r="C49" s="31"/>
      <c r="D49" s="24"/>
      <c r="E49" s="13"/>
      <c r="F49" s="14"/>
      <c r="G49" s="14"/>
      <c r="H49" s="17" t="s">
        <v>39</v>
      </c>
      <c r="I49" s="15">
        <v>153264</v>
      </c>
      <c r="J49" s="15"/>
      <c r="K49" s="15"/>
      <c r="L49" s="15"/>
      <c r="M49" s="15"/>
      <c r="N49" s="15"/>
      <c r="O49" s="15"/>
      <c r="P49" s="15"/>
      <c r="Q49" s="15"/>
      <c r="R49" s="15"/>
      <c r="S49" s="15">
        <f t="shared" si="1"/>
        <v>0</v>
      </c>
      <c r="T49" s="22"/>
      <c r="V49" s="7"/>
      <c r="W49" s="7"/>
      <c r="X49" s="7"/>
      <c r="Y49" s="7"/>
      <c r="Z49" s="7"/>
      <c r="AA49" s="7"/>
      <c r="AB49" s="7"/>
      <c r="AC49" s="7"/>
      <c r="AD49" s="7"/>
      <c r="AE49" s="7"/>
    </row>
    <row r="50" spans="1:31" s="19" customFormat="1" ht="33" customHeight="1">
      <c r="A50" s="376"/>
      <c r="B50" s="11">
        <v>19</v>
      </c>
      <c r="C50" s="226" t="s">
        <v>589</v>
      </c>
      <c r="D50" s="20" t="str">
        <f>COVER!B22</f>
        <v>B7(다크로)</v>
      </c>
      <c r="E50" s="13">
        <v>6</v>
      </c>
      <c r="F50" s="14">
        <f>IF(D50="B8",Y94,IF(D50="B8M",Z94,IF(D50="B7(다크로)",AA94)))</f>
        <v>300</v>
      </c>
      <c r="G50" s="14">
        <f>E50*F50</f>
        <v>1800</v>
      </c>
      <c r="H50" s="14"/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f t="shared" si="1"/>
        <v>1800</v>
      </c>
      <c r="T50" s="18"/>
      <c r="V50" s="26"/>
      <c r="W50" s="26"/>
      <c r="X50" s="26"/>
      <c r="Y50" s="7"/>
      <c r="Z50" s="7"/>
      <c r="AA50" s="7"/>
      <c r="AB50" s="7"/>
      <c r="AC50" s="7"/>
      <c r="AD50" s="7"/>
      <c r="AE50" s="7"/>
    </row>
    <row r="51" spans="1:31" s="19" customFormat="1" ht="33" customHeight="1">
      <c r="A51" s="376"/>
      <c r="B51" s="11">
        <v>20</v>
      </c>
      <c r="C51" s="169" t="s">
        <v>590</v>
      </c>
      <c r="D51" s="303" t="str">
        <f>D24</f>
        <v>A564T630</v>
      </c>
      <c r="E51" s="13">
        <v>2</v>
      </c>
      <c r="F51" s="14">
        <f>IF(D51="A276T316",Y80/E51,IF(D51="A276T316L",Y80/E51,IF(D51="A276T304",Z80/E51,IF(D51="A564T630",AA80/E51,IF(D51="A479T410",AB80/E51,IF(D51="UNS S31803",AC80/E51,IF(D51="UNS S32750",AD80/E51,IF(D51="MONEL K-400",AE80/E51,IF(D51="MONEL K-500",AE80/E51)))))))))</f>
        <v>337.5</v>
      </c>
      <c r="G51" s="14">
        <f>F51*E51</f>
        <v>675</v>
      </c>
      <c r="H51" s="14"/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1000</v>
      </c>
      <c r="P51" s="15">
        <v>0</v>
      </c>
      <c r="Q51" s="15">
        <v>0</v>
      </c>
      <c r="R51" s="15">
        <f>1700*E51</f>
        <v>3400</v>
      </c>
      <c r="S51" s="15">
        <f t="shared" si="1"/>
        <v>4075</v>
      </c>
      <c r="T51" s="22"/>
      <c r="U51" s="162"/>
    </row>
    <row r="52" spans="1:31" s="19" customFormat="1" ht="33" customHeight="1">
      <c r="A52" s="376"/>
      <c r="B52" s="11">
        <v>21</v>
      </c>
      <c r="C52" s="169" t="s">
        <v>57</v>
      </c>
      <c r="D52" s="24" t="str">
        <f>COVER!B22</f>
        <v>B7(다크로)</v>
      </c>
      <c r="E52" s="13">
        <v>4</v>
      </c>
      <c r="F52" s="14">
        <f>IF(D52="B8",Y90,IF(D52="B8M",Z90,IF(D52="B7(다크로)",AA90)))</f>
        <v>1000</v>
      </c>
      <c r="G52" s="14">
        <f>F52*E52</f>
        <v>4000</v>
      </c>
      <c r="H52" s="14"/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1000</v>
      </c>
      <c r="O52" s="15">
        <v>1000</v>
      </c>
      <c r="P52" s="15">
        <v>1000</v>
      </c>
      <c r="Q52" s="15">
        <v>0</v>
      </c>
      <c r="R52" s="15">
        <v>0</v>
      </c>
      <c r="S52" s="15">
        <f t="shared" si="1"/>
        <v>4000</v>
      </c>
      <c r="T52" s="22"/>
      <c r="U52" s="162"/>
    </row>
    <row r="53" spans="1:31" s="19" customFormat="1" ht="33" customHeight="1">
      <c r="A53" s="376"/>
      <c r="B53" s="11">
        <v>22</v>
      </c>
      <c r="C53" s="169" t="s">
        <v>1199</v>
      </c>
      <c r="D53" s="24" t="str">
        <f>COVER!B26</f>
        <v>316+NICKEL</v>
      </c>
      <c r="E53" s="13">
        <v>1</v>
      </c>
      <c r="F53" s="14">
        <f>IF(D53="316+NICKEL",Y101,IF(D53="B148 C95400",Z101))</f>
        <v>5000</v>
      </c>
      <c r="G53" s="14">
        <f>F53*E53</f>
        <v>5000</v>
      </c>
      <c r="H53" s="14"/>
      <c r="I53" s="15"/>
      <c r="J53" s="15"/>
      <c r="K53" s="15"/>
      <c r="L53" s="15"/>
      <c r="M53" s="15"/>
      <c r="N53" s="15"/>
      <c r="O53" s="15"/>
      <c r="P53" s="15"/>
      <c r="Q53" s="15"/>
      <c r="R53" s="15">
        <v>0</v>
      </c>
      <c r="S53" s="15">
        <f t="shared" si="1"/>
        <v>5000</v>
      </c>
      <c r="T53" s="22"/>
    </row>
    <row r="54" spans="1:31" s="19" customFormat="1" ht="33" customHeight="1">
      <c r="A54" s="376"/>
      <c r="B54" s="11">
        <v>23</v>
      </c>
      <c r="C54" s="29" t="s">
        <v>591</v>
      </c>
      <c r="D54" s="24"/>
      <c r="E54" s="13">
        <v>1</v>
      </c>
      <c r="F54" s="14">
        <v>1000</v>
      </c>
      <c r="G54" s="14">
        <f t="shared" si="11"/>
        <v>1000</v>
      </c>
      <c r="H54" s="14"/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1000</v>
      </c>
      <c r="Q54" s="15">
        <v>0</v>
      </c>
      <c r="R54" s="15">
        <v>0</v>
      </c>
      <c r="S54" s="15">
        <f t="shared" si="1"/>
        <v>1000</v>
      </c>
      <c r="T54" s="22"/>
    </row>
    <row r="55" spans="1:31" s="19" customFormat="1" ht="33" customHeight="1">
      <c r="A55" s="376"/>
      <c r="B55" s="11">
        <v>24</v>
      </c>
      <c r="C55" s="142" t="s">
        <v>59</v>
      </c>
      <c r="D55" s="24" t="str">
        <f>COVER!B35</f>
        <v>GEAR</v>
      </c>
      <c r="E55" s="13">
        <v>1</v>
      </c>
      <c r="F55" s="302">
        <f>IF(D55="GEAR",85500,IF(D55="MOTOR",0,IF(D55="PNEUMATIC",0)))</f>
        <v>85500</v>
      </c>
      <c r="G55" s="14">
        <f>F55</f>
        <v>85500</v>
      </c>
      <c r="H55" s="14"/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f t="shared" si="1"/>
        <v>85500</v>
      </c>
      <c r="T55" s="22"/>
    </row>
    <row r="56" spans="1:31" s="19" customFormat="1" ht="33" customHeight="1">
      <c r="A56" s="376"/>
      <c r="B56" s="11">
        <v>25</v>
      </c>
      <c r="C56" s="186" t="s">
        <v>859</v>
      </c>
      <c r="D56" s="24" t="str">
        <f>COVER!B30</f>
        <v>WCB</v>
      </c>
      <c r="E56" s="13">
        <v>1</v>
      </c>
      <c r="F56" s="14">
        <f>IF(D56="WCB",Y108,IF(D56="CF8M",Z108))</f>
        <v>70000</v>
      </c>
      <c r="G56" s="14">
        <f>E56*F56</f>
        <v>70000</v>
      </c>
      <c r="H56" s="14"/>
      <c r="I56" s="15"/>
      <c r="J56" s="15"/>
      <c r="K56" s="15"/>
      <c r="L56" s="15"/>
      <c r="M56" s="15"/>
      <c r="N56" s="15"/>
      <c r="O56" s="15"/>
      <c r="P56" s="15"/>
      <c r="Q56" s="15"/>
      <c r="R56" s="15">
        <f>IF(D56="WCB",AA108,IF(D56="CF8M",AB108))</f>
        <v>0</v>
      </c>
      <c r="S56" s="15">
        <f t="shared" si="1"/>
        <v>70000</v>
      </c>
      <c r="T56" s="304"/>
    </row>
    <row r="57" spans="1:31" s="19" customFormat="1" ht="33" customHeight="1">
      <c r="A57" s="376"/>
      <c r="B57" s="11">
        <v>26</v>
      </c>
      <c r="C57" s="175" t="s">
        <v>467</v>
      </c>
      <c r="D57" s="24" t="str">
        <f>COVER!B27</f>
        <v>316+NICKEL</v>
      </c>
      <c r="E57" s="13">
        <v>2</v>
      </c>
      <c r="F57" s="14">
        <f>IF(D57="316+NICKEL",Y102+Y103,IF(D57="B148 C95400",Z102+Z103))</f>
        <v>12000</v>
      </c>
      <c r="G57" s="14">
        <f>F57</f>
        <v>12000</v>
      </c>
      <c r="H57" s="14"/>
      <c r="I57" s="15"/>
      <c r="J57" s="15"/>
      <c r="K57" s="15"/>
      <c r="L57" s="15"/>
      <c r="M57" s="15"/>
      <c r="N57" s="15"/>
      <c r="O57" s="15"/>
      <c r="P57" s="15"/>
      <c r="Q57" s="15"/>
      <c r="R57" s="15">
        <v>0</v>
      </c>
      <c r="S57" s="15">
        <f t="shared" si="1"/>
        <v>12000</v>
      </c>
      <c r="T57" s="25" t="s">
        <v>1200</v>
      </c>
    </row>
    <row r="58" spans="1:31" s="19" customFormat="1" ht="33" customHeight="1">
      <c r="A58" s="376"/>
      <c r="B58" s="11">
        <v>27</v>
      </c>
      <c r="C58" s="175" t="s">
        <v>468</v>
      </c>
      <c r="D58" s="24" t="str">
        <f>COVER!B28</f>
        <v>316+NICKEL</v>
      </c>
      <c r="E58" s="13">
        <v>2</v>
      </c>
      <c r="F58" s="14">
        <f>IF(D58="316+NICKEL",Y104,IF(D58="B148 C95400",Z104))</f>
        <v>2300</v>
      </c>
      <c r="G58" s="14">
        <f>F58</f>
        <v>2300</v>
      </c>
      <c r="H58" s="14"/>
      <c r="I58" s="15"/>
      <c r="J58" s="15"/>
      <c r="K58" s="15"/>
      <c r="L58" s="15"/>
      <c r="M58" s="15"/>
      <c r="N58" s="15"/>
      <c r="O58" s="15"/>
      <c r="P58" s="15"/>
      <c r="Q58" s="15"/>
      <c r="R58" s="15">
        <v>0</v>
      </c>
      <c r="S58" s="15">
        <f t="shared" si="1"/>
        <v>2300</v>
      </c>
      <c r="T58" s="25" t="s">
        <v>1200</v>
      </c>
    </row>
    <row r="59" spans="1:31" s="19" customFormat="1" ht="33" customHeight="1">
      <c r="A59" s="376"/>
      <c r="B59" s="11">
        <v>28</v>
      </c>
      <c r="C59" s="142" t="s">
        <v>714</v>
      </c>
      <c r="D59" s="24" t="str">
        <f>COVER!B22</f>
        <v>B7(다크로)</v>
      </c>
      <c r="E59" s="13">
        <v>4</v>
      </c>
      <c r="F59" s="14">
        <f>IF(D59="B8",Y89,IF(D59="B8M",Z89,IF(D59="B7(다크로)",AA89)))</f>
        <v>500</v>
      </c>
      <c r="G59" s="14">
        <f t="shared" ref="G59:G61" si="13">E59*F59</f>
        <v>2000</v>
      </c>
      <c r="H59" s="14"/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f t="shared" si="1"/>
        <v>2000</v>
      </c>
      <c r="T59" s="25"/>
    </row>
    <row r="60" spans="1:31" s="19" customFormat="1" ht="33" customHeight="1">
      <c r="A60" s="376"/>
      <c r="B60" s="11">
        <v>29</v>
      </c>
      <c r="C60" s="12" t="s">
        <v>592</v>
      </c>
      <c r="D60" s="303" t="str">
        <f>COVER!B32</f>
        <v>외주 2COATING</v>
      </c>
      <c r="E60" s="13">
        <v>1</v>
      </c>
      <c r="F60" s="14">
        <f>IF(COVER!B10="APPLICATION",0,IF(D60="기존 단가",Y116,IF(D60="외주 2COATING",Z116,IF(D60="외주 3COATING",AA116))))</f>
        <v>0</v>
      </c>
      <c r="G60" s="14">
        <f t="shared" si="13"/>
        <v>0</v>
      </c>
      <c r="H60" s="14"/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f t="shared" si="1"/>
        <v>0</v>
      </c>
      <c r="T60" s="22"/>
    </row>
    <row r="61" spans="1:31" s="19" customFormat="1" ht="33" customHeight="1">
      <c r="A61" s="377"/>
      <c r="B61" s="11">
        <v>30</v>
      </c>
      <c r="C61" s="12" t="s">
        <v>62</v>
      </c>
      <c r="D61" s="303" t="str">
        <f>COVER!B33</f>
        <v>신규</v>
      </c>
      <c r="E61" s="13">
        <v>1</v>
      </c>
      <c r="F61" s="14">
        <f>IF(COVER!B10="APPLICATION",0,IF(D61="기존 단가",Y118,IF(D61="신규",Z118)))</f>
        <v>0</v>
      </c>
      <c r="G61" s="14">
        <f t="shared" si="13"/>
        <v>0</v>
      </c>
      <c r="H61" s="14"/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f t="shared" si="1"/>
        <v>0</v>
      </c>
      <c r="T61" s="22"/>
    </row>
    <row r="62" spans="1:31" s="19" customFormat="1" ht="33" customHeight="1">
      <c r="A62" s="378" t="s">
        <v>593</v>
      </c>
      <c r="B62" s="379"/>
      <c r="C62" s="379"/>
      <c r="D62" s="379"/>
      <c r="E62" s="379"/>
      <c r="F62" s="380"/>
      <c r="G62" s="14">
        <f>IF(COVER!B10="APPLICATION",0,IF(D55="GEAR",Y120,IF(D55="MOTOR",Z120,IF(D55="PNEUMATIC",AA120))))</f>
        <v>0</v>
      </c>
      <c r="H62" s="14"/>
      <c r="I62" s="32" t="s">
        <v>38</v>
      </c>
      <c r="J62" s="32"/>
      <c r="K62" s="32"/>
      <c r="L62" s="32"/>
      <c r="M62" s="32"/>
      <c r="N62" s="32"/>
      <c r="O62" s="32"/>
      <c r="P62" s="32"/>
      <c r="Q62" s="32"/>
      <c r="R62" s="33"/>
      <c r="S62" s="33">
        <f t="shared" si="1"/>
        <v>0</v>
      </c>
      <c r="T62" s="253"/>
      <c r="X62" s="19" t="s">
        <v>38</v>
      </c>
    </row>
    <row r="63" spans="1:31" s="19" customFormat="1" ht="33" customHeight="1">
      <c r="A63" s="360" t="s">
        <v>64</v>
      </c>
      <c r="B63" s="361"/>
      <c r="C63" s="361"/>
      <c r="D63" s="361"/>
      <c r="E63" s="361"/>
      <c r="F63" s="362"/>
      <c r="G63" s="14"/>
      <c r="H63" s="14"/>
      <c r="I63" s="32"/>
      <c r="J63" s="32"/>
      <c r="K63" s="32"/>
      <c r="L63" s="32"/>
      <c r="M63" s="32"/>
      <c r="N63" s="32"/>
      <c r="O63" s="32"/>
      <c r="P63" s="32"/>
      <c r="Q63" s="32"/>
      <c r="R63" s="33"/>
      <c r="S63" s="33"/>
      <c r="T63" s="253" t="s">
        <v>1526</v>
      </c>
    </row>
    <row r="64" spans="1:31" s="19" customFormat="1" ht="33" customHeight="1">
      <c r="A64" s="378" t="s">
        <v>65</v>
      </c>
      <c r="B64" s="379"/>
      <c r="C64" s="379"/>
      <c r="D64" s="379"/>
      <c r="E64" s="379"/>
      <c r="F64" s="380"/>
      <c r="G64" s="93" t="s">
        <v>38</v>
      </c>
      <c r="H64" s="93"/>
      <c r="I64" s="32"/>
      <c r="J64" s="94"/>
      <c r="K64" s="94"/>
      <c r="L64" s="94"/>
      <c r="M64" s="94"/>
      <c r="N64" s="94"/>
      <c r="O64" s="94"/>
      <c r="P64" s="94"/>
      <c r="Q64" s="94"/>
      <c r="R64" s="94"/>
      <c r="S64" s="34">
        <f>SUM(S8:S63)</f>
        <v>834925</v>
      </c>
      <c r="T64" s="254" t="s">
        <v>595</v>
      </c>
    </row>
    <row r="65" spans="1:32" s="19" customFormat="1" ht="33" customHeight="1">
      <c r="A65" s="378" t="s">
        <v>66</v>
      </c>
      <c r="B65" s="379"/>
      <c r="C65" s="379"/>
      <c r="D65" s="379"/>
      <c r="E65" s="379"/>
      <c r="F65" s="380"/>
      <c r="G65" s="32">
        <v>0.1</v>
      </c>
      <c r="H65" s="32"/>
      <c r="I65" s="32" t="s">
        <v>38</v>
      </c>
      <c r="J65" s="32"/>
      <c r="K65" s="32"/>
      <c r="L65" s="32"/>
      <c r="M65" s="32"/>
      <c r="N65" s="32"/>
      <c r="O65" s="32"/>
      <c r="P65" s="32"/>
      <c r="Q65" s="32"/>
      <c r="R65" s="32"/>
      <c r="S65" s="35">
        <f>S64*G65</f>
        <v>83492.5</v>
      </c>
      <c r="T65" s="253"/>
    </row>
    <row r="66" spans="1:32" s="19" customFormat="1" ht="33" customHeight="1">
      <c r="A66" s="360" t="s">
        <v>596</v>
      </c>
      <c r="B66" s="361"/>
      <c r="C66" s="361"/>
      <c r="D66" s="361"/>
      <c r="E66" s="361"/>
      <c r="F66" s="362"/>
      <c r="G66" s="95">
        <v>0.1</v>
      </c>
      <c r="H66" s="95"/>
      <c r="I66" s="32" t="s">
        <v>38</v>
      </c>
      <c r="J66" s="32"/>
      <c r="K66" s="32"/>
      <c r="L66" s="32"/>
      <c r="M66" s="32"/>
      <c r="N66" s="32"/>
      <c r="O66" s="32"/>
      <c r="P66" s="32"/>
      <c r="Q66" s="32"/>
      <c r="R66" s="32"/>
      <c r="S66" s="35">
        <f>(S64+S65)*G66</f>
        <v>91841.75</v>
      </c>
      <c r="T66" s="253" t="s">
        <v>38</v>
      </c>
    </row>
    <row r="67" spans="1:32" s="19" customFormat="1" ht="33" customHeight="1">
      <c r="A67" s="363" t="s">
        <v>68</v>
      </c>
      <c r="B67" s="364"/>
      <c r="C67" s="364"/>
      <c r="D67" s="364"/>
      <c r="E67" s="364"/>
      <c r="F67" s="365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294">
        <f>S64+S65+S66</f>
        <v>1010259.25</v>
      </c>
      <c r="T67" s="254" t="s">
        <v>69</v>
      </c>
    </row>
    <row r="68" spans="1:32" s="19" customFormat="1" ht="33" customHeight="1">
      <c r="A68" s="366" t="s">
        <v>70</v>
      </c>
      <c r="B68" s="367"/>
      <c r="C68" s="367"/>
      <c r="D68" s="367"/>
      <c r="E68" s="367"/>
      <c r="F68" s="368"/>
      <c r="G68" s="32">
        <f>COVER!B11</f>
        <v>1.5</v>
      </c>
      <c r="H68" s="32"/>
      <c r="I68" s="32" t="s">
        <v>594</v>
      </c>
      <c r="J68" s="32"/>
      <c r="K68" s="32"/>
      <c r="L68" s="32"/>
      <c r="M68" s="32"/>
      <c r="N68" s="32"/>
      <c r="O68" s="32"/>
      <c r="P68" s="32"/>
      <c r="Q68" s="32"/>
      <c r="R68" s="32"/>
      <c r="S68" s="36">
        <f>S67*G68</f>
        <v>1515388.875</v>
      </c>
      <c r="T68" s="253"/>
    </row>
    <row r="69" spans="1:32" s="19" customFormat="1" ht="33" customHeight="1">
      <c r="A69" s="369" t="s">
        <v>71</v>
      </c>
      <c r="B69" s="370"/>
      <c r="C69" s="370"/>
      <c r="D69" s="370"/>
      <c r="E69" s="370"/>
      <c r="F69" s="370"/>
      <c r="G69" s="371"/>
      <c r="H69" s="37"/>
      <c r="I69" s="38"/>
      <c r="J69" s="38"/>
      <c r="K69" s="38"/>
      <c r="L69" s="38"/>
      <c r="M69" s="38"/>
      <c r="N69" s="38"/>
      <c r="O69" s="38"/>
      <c r="P69" s="38"/>
      <c r="Q69" s="38"/>
      <c r="R69" s="39" t="s">
        <v>17</v>
      </c>
      <c r="S69" s="40">
        <f>S68</f>
        <v>1515388.875</v>
      </c>
      <c r="T69" s="246" t="s">
        <v>597</v>
      </c>
      <c r="V69" s="141" t="s">
        <v>862</v>
      </c>
      <c r="W69" s="140"/>
      <c r="X69" s="140"/>
      <c r="Y69" s="140"/>
      <c r="Z69" s="140"/>
      <c r="AA69" s="140"/>
      <c r="AB69" s="140"/>
      <c r="AC69" s="140"/>
      <c r="AD69" s="140"/>
      <c r="AE69" s="140"/>
      <c r="AF69" s="140"/>
    </row>
    <row r="70" spans="1:32" s="19" customFormat="1" ht="33" customHeight="1" thickBot="1">
      <c r="A70" s="372"/>
      <c r="B70" s="373"/>
      <c r="C70" s="373"/>
      <c r="D70" s="373"/>
      <c r="E70" s="373"/>
      <c r="F70" s="373"/>
      <c r="G70" s="374"/>
      <c r="H70" s="41"/>
      <c r="I70" s="42"/>
      <c r="J70" s="42"/>
      <c r="K70" s="42"/>
      <c r="L70" s="42"/>
      <c r="M70" s="42"/>
      <c r="N70" s="42"/>
      <c r="O70" s="42"/>
      <c r="P70" s="42"/>
      <c r="Q70" s="42"/>
      <c r="R70" s="43" t="s">
        <v>598</v>
      </c>
      <c r="S70" s="43">
        <f>S64*G68</f>
        <v>1252387.5</v>
      </c>
      <c r="T70" s="247" t="s">
        <v>599</v>
      </c>
      <c r="V70" s="141" t="s">
        <v>1314</v>
      </c>
      <c r="W70" s="140"/>
      <c r="X70" s="140"/>
      <c r="Y70" s="140"/>
      <c r="Z70" s="140"/>
      <c r="AA70" s="140"/>
      <c r="AB70" s="140"/>
      <c r="AC70" s="140"/>
      <c r="AD70" s="140"/>
      <c r="AE70" s="140"/>
      <c r="AF70" s="140"/>
    </row>
    <row r="71" spans="1:32" ht="15" thickBot="1">
      <c r="V71" s="140"/>
      <c r="W71" s="140"/>
      <c r="X71" s="140"/>
      <c r="Y71" s="140"/>
      <c r="Z71" s="140"/>
      <c r="AA71" s="140"/>
      <c r="AB71" s="140"/>
      <c r="AC71" s="140"/>
      <c r="AD71" s="140"/>
      <c r="AE71" s="140"/>
      <c r="AF71" s="140"/>
    </row>
    <row r="72" spans="1:32" ht="21" thickBot="1">
      <c r="C72" s="44" t="s">
        <v>600</v>
      </c>
      <c r="V72" s="193" t="s">
        <v>863</v>
      </c>
      <c r="W72" s="194" t="s">
        <v>864</v>
      </c>
      <c r="X72" s="194" t="s">
        <v>865</v>
      </c>
      <c r="Y72" s="358" t="s">
        <v>866</v>
      </c>
      <c r="Z72" s="358"/>
      <c r="AA72" s="358"/>
      <c r="AB72" s="358"/>
      <c r="AC72" s="358"/>
      <c r="AD72" s="358"/>
      <c r="AE72" s="358"/>
      <c r="AF72" s="218" t="s">
        <v>867</v>
      </c>
    </row>
    <row r="73" spans="1:32" ht="20.399999999999999">
      <c r="C73" s="44" t="s">
        <v>75</v>
      </c>
      <c r="V73" s="336" t="s">
        <v>868</v>
      </c>
      <c r="W73" s="111" t="s">
        <v>869</v>
      </c>
      <c r="X73" s="295" t="s">
        <v>1501</v>
      </c>
      <c r="Y73" s="345" t="s">
        <v>870</v>
      </c>
      <c r="Z73" s="345"/>
      <c r="AA73" s="345"/>
      <c r="AB73" s="345"/>
      <c r="AC73" s="345"/>
      <c r="AD73" s="345"/>
      <c r="AE73" s="345"/>
      <c r="AF73" s="161" t="s">
        <v>871</v>
      </c>
    </row>
    <row r="74" spans="1:32" ht="21" thickBot="1">
      <c r="C74" s="44" t="s">
        <v>76</v>
      </c>
      <c r="V74" s="342"/>
      <c r="W74" s="133" t="s">
        <v>872</v>
      </c>
      <c r="X74" s="133" t="s">
        <v>1315</v>
      </c>
      <c r="Y74" s="346" t="s">
        <v>870</v>
      </c>
      <c r="Z74" s="346"/>
      <c r="AA74" s="346"/>
      <c r="AB74" s="346"/>
      <c r="AC74" s="346"/>
      <c r="AD74" s="346"/>
      <c r="AE74" s="346"/>
      <c r="AF74" s="195" t="s">
        <v>871</v>
      </c>
    </row>
    <row r="75" spans="1:32" ht="21" thickBot="1">
      <c r="C75" s="44" t="s">
        <v>601</v>
      </c>
      <c r="V75" s="196" t="s">
        <v>874</v>
      </c>
      <c r="W75" s="137" t="s">
        <v>875</v>
      </c>
      <c r="X75" s="137" t="s">
        <v>876</v>
      </c>
      <c r="Y75" s="359" t="s">
        <v>870</v>
      </c>
      <c r="Z75" s="359"/>
      <c r="AA75" s="359"/>
      <c r="AB75" s="359"/>
      <c r="AC75" s="359"/>
      <c r="AD75" s="359"/>
      <c r="AE75" s="359"/>
      <c r="AF75" s="197" t="s">
        <v>871</v>
      </c>
    </row>
    <row r="76" spans="1:32" ht="20.399999999999999">
      <c r="C76" s="44" t="s">
        <v>602</v>
      </c>
      <c r="V76" s="336" t="s">
        <v>877</v>
      </c>
      <c r="W76" s="111" t="s">
        <v>846</v>
      </c>
      <c r="X76" s="354">
        <v>33000</v>
      </c>
      <c r="Y76" s="354"/>
      <c r="Z76" s="354"/>
      <c r="AA76" s="354"/>
      <c r="AB76" s="354"/>
      <c r="AC76" s="354"/>
      <c r="AD76" s="354"/>
      <c r="AE76" s="354"/>
      <c r="AF76" s="161"/>
    </row>
    <row r="77" spans="1:32" ht="21" thickBot="1">
      <c r="C77" s="44" t="s">
        <v>79</v>
      </c>
      <c r="V77" s="329"/>
      <c r="W77" s="125" t="s">
        <v>847</v>
      </c>
      <c r="X77" s="355">
        <v>46200</v>
      </c>
      <c r="Y77" s="355"/>
      <c r="Z77" s="355"/>
      <c r="AA77" s="355"/>
      <c r="AB77" s="355"/>
      <c r="AC77" s="355"/>
      <c r="AD77" s="355"/>
      <c r="AE77" s="355"/>
      <c r="AF77" s="208"/>
    </row>
    <row r="78" spans="1:32" ht="20.399999999999999">
      <c r="C78" s="44" t="s">
        <v>80</v>
      </c>
      <c r="V78" s="336" t="s">
        <v>878</v>
      </c>
      <c r="W78" s="343" t="s">
        <v>1316</v>
      </c>
      <c r="X78" s="345" t="s">
        <v>879</v>
      </c>
      <c r="Y78" s="111" t="s">
        <v>880</v>
      </c>
      <c r="Z78" s="111">
        <v>304</v>
      </c>
      <c r="AA78" s="111" t="s">
        <v>881</v>
      </c>
      <c r="AB78" s="111" t="s">
        <v>882</v>
      </c>
      <c r="AC78" s="111" t="s">
        <v>883</v>
      </c>
      <c r="AD78" s="111" t="s">
        <v>884</v>
      </c>
      <c r="AE78" s="111" t="s">
        <v>885</v>
      </c>
      <c r="AF78" s="161"/>
    </row>
    <row r="79" spans="1:32" ht="20.399999999999999">
      <c r="C79" s="45"/>
      <c r="V79" s="337"/>
      <c r="W79" s="356"/>
      <c r="X79" s="357"/>
      <c r="Y79" s="116">
        <v>12500</v>
      </c>
      <c r="Z79" s="116">
        <v>8640</v>
      </c>
      <c r="AA79" s="116">
        <v>21600</v>
      </c>
      <c r="AB79" s="116">
        <v>7440</v>
      </c>
      <c r="AC79" s="116">
        <v>16320</v>
      </c>
      <c r="AD79" s="116">
        <v>21775</v>
      </c>
      <c r="AE79" s="116">
        <v>118800</v>
      </c>
      <c r="AF79" s="214" t="s">
        <v>886</v>
      </c>
    </row>
    <row r="80" spans="1:32" ht="21" thickBot="1">
      <c r="C80" s="44" t="s">
        <v>81</v>
      </c>
      <c r="V80" s="132" t="s">
        <v>887</v>
      </c>
      <c r="W80" s="286" t="s">
        <v>955</v>
      </c>
      <c r="X80" s="133" t="s">
        <v>888</v>
      </c>
      <c r="Y80" s="134">
        <v>510</v>
      </c>
      <c r="Z80" s="134">
        <v>385</v>
      </c>
      <c r="AA80" s="134">
        <v>675</v>
      </c>
      <c r="AB80" s="134">
        <v>620</v>
      </c>
      <c r="AC80" s="134">
        <v>680</v>
      </c>
      <c r="AD80" s="134">
        <v>876</v>
      </c>
      <c r="AE80" s="134">
        <v>4800</v>
      </c>
      <c r="AF80" s="195" t="s">
        <v>889</v>
      </c>
    </row>
    <row r="81" spans="3:32" ht="20.399999999999999">
      <c r="C81" s="46" t="s">
        <v>603</v>
      </c>
      <c r="V81" s="331" t="s">
        <v>890</v>
      </c>
      <c r="W81" s="352" t="s">
        <v>956</v>
      </c>
      <c r="X81" s="328" t="s">
        <v>879</v>
      </c>
      <c r="Y81" s="198">
        <v>304</v>
      </c>
      <c r="Z81" s="198" t="s">
        <v>880</v>
      </c>
      <c r="AA81" s="198" t="s">
        <v>892</v>
      </c>
      <c r="AB81" s="199"/>
      <c r="AC81" s="199"/>
      <c r="AD81" s="199"/>
      <c r="AE81" s="199"/>
      <c r="AF81" s="206"/>
    </row>
    <row r="82" spans="3:32" ht="21" thickBot="1">
      <c r="C82" s="46" t="s">
        <v>387</v>
      </c>
      <c r="V82" s="329"/>
      <c r="W82" s="353"/>
      <c r="X82" s="327"/>
      <c r="Y82" s="126">
        <v>4940</v>
      </c>
      <c r="Z82" s="126">
        <v>6240</v>
      </c>
      <c r="AA82" s="126">
        <v>22000</v>
      </c>
      <c r="AB82" s="200"/>
      <c r="AC82" s="200"/>
      <c r="AD82" s="200"/>
      <c r="AE82" s="200"/>
      <c r="AF82" s="208"/>
    </row>
    <row r="83" spans="3:32" ht="20.399999999999999">
      <c r="C83" s="46" t="s">
        <v>84</v>
      </c>
      <c r="V83" s="336" t="s">
        <v>893</v>
      </c>
      <c r="W83" s="343" t="s">
        <v>957</v>
      </c>
      <c r="X83" s="345" t="s">
        <v>879</v>
      </c>
      <c r="Y83" s="111" t="s">
        <v>895</v>
      </c>
      <c r="Z83" s="111" t="s">
        <v>896</v>
      </c>
      <c r="AA83" s="201"/>
      <c r="AB83" s="201"/>
      <c r="AC83" s="201"/>
      <c r="AD83" s="201"/>
      <c r="AE83" s="201"/>
      <c r="AF83" s="161"/>
    </row>
    <row r="84" spans="3:32" ht="21" thickBot="1">
      <c r="C84" s="46" t="s">
        <v>604</v>
      </c>
      <c r="V84" s="342"/>
      <c r="W84" s="344"/>
      <c r="X84" s="346"/>
      <c r="Y84" s="296">
        <v>1700</v>
      </c>
      <c r="Z84" s="296">
        <v>30000</v>
      </c>
      <c r="AA84" s="203"/>
      <c r="AB84" s="203"/>
      <c r="AC84" s="203"/>
      <c r="AD84" s="203"/>
      <c r="AE84" s="203"/>
      <c r="AF84" s="195" t="s">
        <v>958</v>
      </c>
    </row>
    <row r="85" spans="3:32" ht="20.399999999999999">
      <c r="C85" s="46" t="s">
        <v>86</v>
      </c>
      <c r="V85" s="331" t="s">
        <v>898</v>
      </c>
      <c r="W85" s="287" t="s">
        <v>959</v>
      </c>
      <c r="X85" s="198" t="s">
        <v>900</v>
      </c>
      <c r="Y85" s="113">
        <v>2000</v>
      </c>
      <c r="Z85" s="205"/>
      <c r="AA85" s="205"/>
      <c r="AB85" s="205"/>
      <c r="AC85" s="205"/>
      <c r="AD85" s="205"/>
      <c r="AE85" s="205"/>
      <c r="AF85" s="350" t="s">
        <v>901</v>
      </c>
    </row>
    <row r="86" spans="3:32" ht="21" thickBot="1">
      <c r="C86" s="46" t="s">
        <v>605</v>
      </c>
      <c r="V86" s="329"/>
      <c r="W86" s="288" t="s">
        <v>960</v>
      </c>
      <c r="X86" s="125" t="s">
        <v>463</v>
      </c>
      <c r="Y86" s="126">
        <v>2520</v>
      </c>
      <c r="Z86" s="200"/>
      <c r="AA86" s="200"/>
      <c r="AB86" s="200"/>
      <c r="AC86" s="200"/>
      <c r="AD86" s="200"/>
      <c r="AE86" s="200"/>
      <c r="AF86" s="351"/>
    </row>
    <row r="87" spans="3:32" ht="21" thickBot="1">
      <c r="C87" s="46" t="s">
        <v>606</v>
      </c>
      <c r="V87" s="193" t="s">
        <v>904</v>
      </c>
      <c r="W87" s="289" t="s">
        <v>961</v>
      </c>
      <c r="X87" s="194" t="s">
        <v>463</v>
      </c>
      <c r="Y87" s="210">
        <v>2040</v>
      </c>
      <c r="Z87" s="211"/>
      <c r="AA87" s="211"/>
      <c r="AB87" s="211"/>
      <c r="AC87" s="211"/>
      <c r="AD87" s="211"/>
      <c r="AE87" s="211"/>
      <c r="AF87" s="218"/>
    </row>
    <row r="88" spans="3:32" ht="20.399999999999999">
      <c r="C88" s="47" t="s">
        <v>607</v>
      </c>
      <c r="V88" s="336" t="s">
        <v>906</v>
      </c>
      <c r="W88" s="345"/>
      <c r="X88" s="345"/>
      <c r="Y88" s="111" t="s">
        <v>853</v>
      </c>
      <c r="Z88" s="111" t="s">
        <v>462</v>
      </c>
      <c r="AA88" s="111" t="s">
        <v>855</v>
      </c>
      <c r="AB88" s="201"/>
      <c r="AC88" s="201"/>
      <c r="AD88" s="201"/>
      <c r="AE88" s="201"/>
      <c r="AF88" s="161"/>
    </row>
    <row r="89" spans="3:32" ht="20.399999999999999">
      <c r="C89" s="48"/>
      <c r="V89" s="119" t="s">
        <v>907</v>
      </c>
      <c r="W89" s="290" t="s">
        <v>962</v>
      </c>
      <c r="X89" s="115" t="s">
        <v>909</v>
      </c>
      <c r="Y89" s="116">
        <v>500</v>
      </c>
      <c r="Z89" s="116">
        <v>600</v>
      </c>
      <c r="AA89" s="116">
        <v>500</v>
      </c>
      <c r="AB89" s="213"/>
      <c r="AC89" s="213"/>
      <c r="AD89" s="213"/>
      <c r="AE89" s="213"/>
      <c r="AF89" s="214" t="s">
        <v>910</v>
      </c>
    </row>
    <row r="90" spans="3:32" ht="20.399999999999999">
      <c r="C90" s="46" t="s">
        <v>38</v>
      </c>
      <c r="V90" s="119" t="s">
        <v>911</v>
      </c>
      <c r="W90" s="290" t="s">
        <v>912</v>
      </c>
      <c r="X90" s="115" t="s">
        <v>909</v>
      </c>
      <c r="Y90" s="116">
        <v>1100</v>
      </c>
      <c r="Z90" s="116">
        <v>1300</v>
      </c>
      <c r="AA90" s="116">
        <v>1000</v>
      </c>
      <c r="AB90" s="213"/>
      <c r="AC90" s="213"/>
      <c r="AD90" s="213"/>
      <c r="AE90" s="213"/>
      <c r="AF90" s="214" t="s">
        <v>910</v>
      </c>
    </row>
    <row r="91" spans="3:32" ht="20.399999999999999">
      <c r="C91" s="44" t="s">
        <v>90</v>
      </c>
      <c r="V91" s="119" t="s">
        <v>913</v>
      </c>
      <c r="W91" s="290" t="s">
        <v>1317</v>
      </c>
      <c r="X91" s="115" t="s">
        <v>888</v>
      </c>
      <c r="Y91" s="116">
        <v>200</v>
      </c>
      <c r="Z91" s="116">
        <v>300</v>
      </c>
      <c r="AA91" s="116">
        <v>300</v>
      </c>
      <c r="AB91" s="213"/>
      <c r="AC91" s="213"/>
      <c r="AD91" s="213"/>
      <c r="AE91" s="213"/>
      <c r="AF91" s="214" t="s">
        <v>910</v>
      </c>
    </row>
    <row r="92" spans="3:32" ht="20.399999999999999">
      <c r="C92" s="46" t="s">
        <v>91</v>
      </c>
      <c r="V92" s="119" t="s">
        <v>913</v>
      </c>
      <c r="W92" s="290" t="s">
        <v>963</v>
      </c>
      <c r="X92" s="115" t="s">
        <v>909</v>
      </c>
      <c r="Y92" s="116">
        <v>200</v>
      </c>
      <c r="Z92" s="116">
        <v>300</v>
      </c>
      <c r="AA92" s="116">
        <v>300</v>
      </c>
      <c r="AB92" s="213"/>
      <c r="AC92" s="213"/>
      <c r="AD92" s="213"/>
      <c r="AE92" s="213"/>
      <c r="AF92" s="214" t="s">
        <v>910</v>
      </c>
    </row>
    <row r="93" spans="3:32" ht="20.399999999999999">
      <c r="C93" s="46" t="s">
        <v>92</v>
      </c>
      <c r="V93" s="119" t="s">
        <v>916</v>
      </c>
      <c r="W93" s="290" t="s">
        <v>917</v>
      </c>
      <c r="X93" s="115" t="s">
        <v>909</v>
      </c>
      <c r="Y93" s="116">
        <v>500</v>
      </c>
      <c r="Z93" s="116">
        <v>600</v>
      </c>
      <c r="AA93" s="116">
        <v>1000</v>
      </c>
      <c r="AB93" s="213"/>
      <c r="AC93" s="213"/>
      <c r="AD93" s="213"/>
      <c r="AE93" s="213"/>
      <c r="AF93" s="214" t="s">
        <v>910</v>
      </c>
    </row>
    <row r="94" spans="3:32" ht="18" thickBot="1">
      <c r="V94" s="170" t="s">
        <v>918</v>
      </c>
      <c r="W94" s="288" t="s">
        <v>964</v>
      </c>
      <c r="X94" s="125" t="s">
        <v>915</v>
      </c>
      <c r="Y94" s="126">
        <v>350</v>
      </c>
      <c r="Z94" s="126">
        <v>400</v>
      </c>
      <c r="AA94" s="126">
        <v>300</v>
      </c>
      <c r="AB94" s="200"/>
      <c r="AC94" s="200"/>
      <c r="AD94" s="200"/>
      <c r="AE94" s="200"/>
      <c r="AF94" s="208" t="s">
        <v>910</v>
      </c>
    </row>
    <row r="95" spans="3:32" ht="18" thickBot="1">
      <c r="V95" s="105" t="s">
        <v>920</v>
      </c>
      <c r="W95" s="291" t="s">
        <v>1318</v>
      </c>
      <c r="X95" s="103" t="s">
        <v>879</v>
      </c>
      <c r="Y95" s="216">
        <v>5500</v>
      </c>
      <c r="Z95" s="217"/>
      <c r="AA95" s="217"/>
      <c r="AB95" s="217"/>
      <c r="AC95" s="217"/>
      <c r="AD95" s="217"/>
      <c r="AE95" s="217"/>
      <c r="AF95" s="107"/>
    </row>
    <row r="96" spans="3:32" s="228" customFormat="1" ht="14.4">
      <c r="C96" s="227"/>
      <c r="V96" s="336" t="s">
        <v>922</v>
      </c>
      <c r="W96" s="345"/>
      <c r="X96" s="345"/>
      <c r="Y96" s="111" t="s">
        <v>923</v>
      </c>
      <c r="Z96" s="111" t="s">
        <v>924</v>
      </c>
      <c r="AA96" s="201"/>
      <c r="AB96" s="201"/>
      <c r="AC96" s="201"/>
      <c r="AD96" s="201"/>
      <c r="AE96" s="201"/>
      <c r="AF96" s="161"/>
    </row>
    <row r="97" spans="3:32" s="228" customFormat="1" ht="17.399999999999999">
      <c r="C97" s="227"/>
      <c r="V97" s="119" t="s">
        <v>925</v>
      </c>
      <c r="W97" s="290" t="s">
        <v>1319</v>
      </c>
      <c r="X97" s="115" t="s">
        <v>888</v>
      </c>
      <c r="Y97" s="116">
        <v>14500</v>
      </c>
      <c r="Z97" s="116">
        <v>26200</v>
      </c>
      <c r="AA97" s="213"/>
      <c r="AB97" s="213"/>
      <c r="AC97" s="213"/>
      <c r="AD97" s="213"/>
      <c r="AE97" s="213"/>
      <c r="AF97" s="214" t="s">
        <v>889</v>
      </c>
    </row>
    <row r="98" spans="3:32" ht="17.399999999999999">
      <c r="V98" s="119" t="s">
        <v>926</v>
      </c>
      <c r="W98" s="290" t="s">
        <v>1320</v>
      </c>
      <c r="X98" s="115" t="s">
        <v>888</v>
      </c>
      <c r="Y98" s="116">
        <v>13500</v>
      </c>
      <c r="Z98" s="116">
        <v>26200</v>
      </c>
      <c r="AA98" s="213"/>
      <c r="AB98" s="213"/>
      <c r="AC98" s="213"/>
      <c r="AD98" s="213"/>
      <c r="AE98" s="213"/>
      <c r="AF98" s="214" t="s">
        <v>889</v>
      </c>
    </row>
    <row r="99" spans="3:32" ht="17.399999999999999">
      <c r="V99" s="119" t="s">
        <v>927</v>
      </c>
      <c r="W99" s="290" t="s">
        <v>965</v>
      </c>
      <c r="X99" s="115" t="s">
        <v>879</v>
      </c>
      <c r="Y99" s="116">
        <v>15000</v>
      </c>
      <c r="Z99" s="116">
        <v>30600</v>
      </c>
      <c r="AA99" s="213"/>
      <c r="AB99" s="213"/>
      <c r="AC99" s="213"/>
      <c r="AD99" s="213"/>
      <c r="AE99" s="213"/>
      <c r="AF99" s="214" t="s">
        <v>889</v>
      </c>
    </row>
    <row r="100" spans="3:32" ht="17.399999999999999">
      <c r="V100" s="119" t="s">
        <v>929</v>
      </c>
      <c r="W100" s="290" t="s">
        <v>966</v>
      </c>
      <c r="X100" s="115" t="s">
        <v>879</v>
      </c>
      <c r="Y100" s="116">
        <v>5000</v>
      </c>
      <c r="Z100" s="116">
        <v>5600</v>
      </c>
      <c r="AA100" s="213"/>
      <c r="AB100" s="213"/>
      <c r="AC100" s="213"/>
      <c r="AD100" s="213"/>
      <c r="AE100" s="213"/>
      <c r="AF100" s="214" t="s">
        <v>889</v>
      </c>
    </row>
    <row r="101" spans="3:32" ht="17.399999999999999">
      <c r="V101" s="119" t="s">
        <v>931</v>
      </c>
      <c r="W101" s="290" t="s">
        <v>967</v>
      </c>
      <c r="X101" s="115" t="s">
        <v>879</v>
      </c>
      <c r="Y101" s="116">
        <v>5000</v>
      </c>
      <c r="Z101" s="116">
        <v>6000</v>
      </c>
      <c r="AA101" s="213"/>
      <c r="AB101" s="213"/>
      <c r="AC101" s="213"/>
      <c r="AD101" s="213"/>
      <c r="AE101" s="213"/>
      <c r="AF101" s="214" t="s">
        <v>889</v>
      </c>
    </row>
    <row r="102" spans="3:32" ht="17.399999999999999">
      <c r="V102" s="119" t="s">
        <v>933</v>
      </c>
      <c r="W102" s="290" t="s">
        <v>968</v>
      </c>
      <c r="X102" s="115" t="s">
        <v>879</v>
      </c>
      <c r="Y102" s="116">
        <v>6000</v>
      </c>
      <c r="Z102" s="116">
        <v>5600</v>
      </c>
      <c r="AA102" s="213"/>
      <c r="AB102" s="213"/>
      <c r="AC102" s="213"/>
      <c r="AD102" s="213"/>
      <c r="AE102" s="213"/>
      <c r="AF102" s="214" t="s">
        <v>889</v>
      </c>
    </row>
    <row r="103" spans="3:32" ht="17.399999999999999">
      <c r="V103" s="119" t="s">
        <v>933</v>
      </c>
      <c r="W103" s="290" t="s">
        <v>1321</v>
      </c>
      <c r="X103" s="115" t="s">
        <v>879</v>
      </c>
      <c r="Y103" s="116">
        <v>6000</v>
      </c>
      <c r="Z103" s="116">
        <v>5600</v>
      </c>
      <c r="AA103" s="213"/>
      <c r="AB103" s="213"/>
      <c r="AC103" s="213"/>
      <c r="AD103" s="213"/>
      <c r="AE103" s="213"/>
      <c r="AF103" s="214" t="s">
        <v>889</v>
      </c>
    </row>
    <row r="104" spans="3:32" ht="14.4" customHeight="1" thickBot="1">
      <c r="V104" s="132" t="s">
        <v>935</v>
      </c>
      <c r="W104" s="286" t="s">
        <v>969</v>
      </c>
      <c r="X104" s="133" t="s">
        <v>888</v>
      </c>
      <c r="Y104" s="134">
        <v>2300</v>
      </c>
      <c r="Z104" s="134">
        <v>11200</v>
      </c>
      <c r="AA104" s="203"/>
      <c r="AB104" s="203"/>
      <c r="AC104" s="203"/>
      <c r="AD104" s="203"/>
      <c r="AE104" s="203"/>
      <c r="AF104" s="195" t="s">
        <v>889</v>
      </c>
    </row>
    <row r="105" spans="3:32" ht="15" customHeight="1">
      <c r="V105" s="331" t="s">
        <v>937</v>
      </c>
      <c r="W105" s="352" t="s">
        <v>970</v>
      </c>
      <c r="X105" s="328" t="s">
        <v>879</v>
      </c>
      <c r="Y105" s="198" t="s">
        <v>741</v>
      </c>
      <c r="Z105" s="198">
        <v>316</v>
      </c>
      <c r="AA105" s="198">
        <v>304</v>
      </c>
      <c r="AB105" s="199"/>
      <c r="AC105" s="199"/>
      <c r="AD105" s="199"/>
      <c r="AE105" s="199"/>
      <c r="AF105" s="347" t="s">
        <v>940</v>
      </c>
    </row>
    <row r="106" spans="3:32" ht="14.4" customHeight="1" thickBot="1">
      <c r="V106" s="329"/>
      <c r="W106" s="353"/>
      <c r="X106" s="327"/>
      <c r="Y106" s="126">
        <v>1650</v>
      </c>
      <c r="Z106" s="126">
        <v>5390</v>
      </c>
      <c r="AA106" s="126">
        <v>3905</v>
      </c>
      <c r="AB106" s="200"/>
      <c r="AC106" s="200"/>
      <c r="AD106" s="200"/>
      <c r="AE106" s="200"/>
      <c r="AF106" s="348"/>
    </row>
    <row r="107" spans="3:32" ht="15" customHeight="1">
      <c r="V107" s="336" t="s">
        <v>941</v>
      </c>
      <c r="W107" s="343" t="s">
        <v>971</v>
      </c>
      <c r="X107" s="345" t="s">
        <v>879</v>
      </c>
      <c r="Y107" s="111" t="s">
        <v>741</v>
      </c>
      <c r="Z107" s="111">
        <v>316</v>
      </c>
      <c r="AA107" s="201"/>
      <c r="AB107" s="201"/>
      <c r="AC107" s="201"/>
      <c r="AD107" s="201"/>
      <c r="AE107" s="201"/>
      <c r="AF107" s="347" t="s">
        <v>943</v>
      </c>
    </row>
    <row r="108" spans="3:32" ht="15" thickBot="1">
      <c r="V108" s="342"/>
      <c r="W108" s="344"/>
      <c r="X108" s="346"/>
      <c r="Y108" s="134">
        <v>70000</v>
      </c>
      <c r="Z108" s="134">
        <v>100000</v>
      </c>
      <c r="AA108" s="203"/>
      <c r="AB108" s="203"/>
      <c r="AC108" s="203"/>
      <c r="AD108" s="203"/>
      <c r="AE108" s="203"/>
      <c r="AF108" s="348"/>
    </row>
    <row r="114" spans="22:32" s="3" customFormat="1" ht="13.8" thickBot="1"/>
    <row r="115" spans="22:32" s="3" customFormat="1" ht="30" customHeight="1">
      <c r="V115" s="336" t="s">
        <v>1516</v>
      </c>
      <c r="W115" s="338"/>
      <c r="X115" s="340"/>
      <c r="Y115" s="171" t="s">
        <v>1517</v>
      </c>
      <c r="Z115" s="171" t="s">
        <v>1518</v>
      </c>
      <c r="AA115" s="171" t="s">
        <v>1519</v>
      </c>
      <c r="AB115" s="171"/>
      <c r="AC115" s="171"/>
      <c r="AD115" s="171"/>
      <c r="AE115" s="171"/>
      <c r="AF115" s="172"/>
    </row>
    <row r="116" spans="22:32" s="3" customFormat="1" ht="30" customHeight="1" thickBot="1">
      <c r="V116" s="337"/>
      <c r="W116" s="339"/>
      <c r="X116" s="341"/>
      <c r="Y116" s="173">
        <v>40000</v>
      </c>
      <c r="Z116" s="173">
        <f>IF(F8&gt;0,E8*520,IF(F9&gt;0,E9*520))</f>
        <v>21320</v>
      </c>
      <c r="AA116" s="173">
        <f>IF(F8&gt;0,E8*620,IF(F9&gt;0,E9*620))</f>
        <v>25420</v>
      </c>
      <c r="AB116" s="173"/>
      <c r="AC116" s="173"/>
      <c r="AD116" s="173"/>
      <c r="AE116" s="173"/>
      <c r="AF116" s="174"/>
    </row>
    <row r="117" spans="22:32" s="3" customFormat="1" ht="30" customHeight="1">
      <c r="V117" s="336" t="s">
        <v>1520</v>
      </c>
      <c r="W117" s="338"/>
      <c r="X117" s="340"/>
      <c r="Y117" s="171" t="s">
        <v>1517</v>
      </c>
      <c r="Z117" s="171" t="s">
        <v>1521</v>
      </c>
      <c r="AA117" s="171"/>
      <c r="AB117" s="171"/>
      <c r="AC117" s="171"/>
      <c r="AD117" s="171"/>
      <c r="AE117" s="171"/>
      <c r="AF117" s="172"/>
    </row>
    <row r="118" spans="22:32" s="3" customFormat="1" ht="30" customHeight="1" thickBot="1">
      <c r="V118" s="337"/>
      <c r="W118" s="339"/>
      <c r="X118" s="341"/>
      <c r="Y118" s="173">
        <v>50000</v>
      </c>
      <c r="Z118" s="173">
        <f>Y118</f>
        <v>50000</v>
      </c>
      <c r="AA118" s="173"/>
      <c r="AB118" s="173"/>
      <c r="AC118" s="173"/>
      <c r="AD118" s="173"/>
      <c r="AE118" s="173"/>
      <c r="AF118" s="174"/>
    </row>
    <row r="119" spans="22:32" s="3" customFormat="1" ht="30" customHeight="1">
      <c r="V119" s="336" t="s">
        <v>1522</v>
      </c>
      <c r="W119" s="338"/>
      <c r="X119" s="340"/>
      <c r="Y119" s="171" t="s">
        <v>1523</v>
      </c>
      <c r="Z119" s="171" t="s">
        <v>1524</v>
      </c>
      <c r="AA119" s="171" t="s">
        <v>1525</v>
      </c>
      <c r="AB119" s="171"/>
      <c r="AC119" s="171"/>
      <c r="AD119" s="171"/>
      <c r="AE119" s="171"/>
      <c r="AF119" s="172"/>
    </row>
    <row r="120" spans="22:32" s="3" customFormat="1" ht="30" customHeight="1">
      <c r="V120" s="337"/>
      <c r="W120" s="339"/>
      <c r="X120" s="341"/>
      <c r="Y120" s="306">
        <v>40000</v>
      </c>
      <c r="Z120" s="306">
        <v>60000</v>
      </c>
      <c r="AA120" s="306">
        <v>140000</v>
      </c>
      <c r="AB120" s="173"/>
      <c r="AC120" s="173"/>
      <c r="AD120" s="173"/>
      <c r="AE120" s="173"/>
      <c r="AF120" s="174"/>
    </row>
  </sheetData>
  <mergeCells count="67">
    <mergeCell ref="A1:S1"/>
    <mergeCell ref="A3:B4"/>
    <mergeCell ref="C3:C4"/>
    <mergeCell ref="D3:D4"/>
    <mergeCell ref="E3:E4"/>
    <mergeCell ref="F3:F4"/>
    <mergeCell ref="G3:G4"/>
    <mergeCell ref="H3:Q4"/>
    <mergeCell ref="R3:R4"/>
    <mergeCell ref="S3:S4"/>
    <mergeCell ref="T3:T7"/>
    <mergeCell ref="A5:B7"/>
    <mergeCell ref="C5:C7"/>
    <mergeCell ref="D5:D7"/>
    <mergeCell ref="E5:G6"/>
    <mergeCell ref="H5:H6"/>
    <mergeCell ref="I5:Q5"/>
    <mergeCell ref="R5:R7"/>
    <mergeCell ref="S5:S7"/>
    <mergeCell ref="A67:F67"/>
    <mergeCell ref="A68:F68"/>
    <mergeCell ref="A69:G70"/>
    <mergeCell ref="A8:A61"/>
    <mergeCell ref="A62:F62"/>
    <mergeCell ref="A63:F63"/>
    <mergeCell ref="A64:F64"/>
    <mergeCell ref="A65:F65"/>
    <mergeCell ref="A66:F66"/>
    <mergeCell ref="X78:X79"/>
    <mergeCell ref="Y72:AE72"/>
    <mergeCell ref="V73:V74"/>
    <mergeCell ref="Y73:AE73"/>
    <mergeCell ref="Y74:AE74"/>
    <mergeCell ref="Y75:AE75"/>
    <mergeCell ref="V3:V7"/>
    <mergeCell ref="V85:V86"/>
    <mergeCell ref="AF85:AF86"/>
    <mergeCell ref="V88:X88"/>
    <mergeCell ref="V96:X96"/>
    <mergeCell ref="V81:V82"/>
    <mergeCell ref="W81:W82"/>
    <mergeCell ref="X81:X82"/>
    <mergeCell ref="V83:V84"/>
    <mergeCell ref="W83:W84"/>
    <mergeCell ref="X83:X84"/>
    <mergeCell ref="V76:V77"/>
    <mergeCell ref="X76:AE76"/>
    <mergeCell ref="X77:AE77"/>
    <mergeCell ref="V78:V79"/>
    <mergeCell ref="W78:W79"/>
    <mergeCell ref="V105:V106"/>
    <mergeCell ref="W105:W106"/>
    <mergeCell ref="X105:X106"/>
    <mergeCell ref="AF105:AF106"/>
    <mergeCell ref="V107:V108"/>
    <mergeCell ref="W107:W108"/>
    <mergeCell ref="X107:X108"/>
    <mergeCell ref="AF107:AF108"/>
    <mergeCell ref="V119:V120"/>
    <mergeCell ref="W119:W120"/>
    <mergeCell ref="X119:X120"/>
    <mergeCell ref="V115:V116"/>
    <mergeCell ref="W115:W116"/>
    <mergeCell ref="X115:X116"/>
    <mergeCell ref="V117:V118"/>
    <mergeCell ref="W117:W118"/>
    <mergeCell ref="X117:X118"/>
  </mergeCells>
  <phoneticPr fontId="3" type="noConversion"/>
  <printOptions horizontalCentered="1"/>
  <pageMargins left="0.39370078740157483" right="0.39370078740157483" top="0.39370078740157483" bottom="0.15748031496062992" header="0.51181102362204722" footer="0.51181102362204722"/>
  <pageSetup paperSize="9" scale="45" orientation="portrait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AF120"/>
  <sheetViews>
    <sheetView showGridLines="0" view="pageBreakPreview" zoomScale="70" zoomScaleNormal="55" zoomScaleSheetLayoutView="70" workbookViewId="0">
      <selection sqref="A1:XFD1048576"/>
    </sheetView>
  </sheetViews>
  <sheetFormatPr defaultColWidth="8.8984375" defaultRowHeight="13.2"/>
  <cols>
    <col min="1" max="1" width="3.3984375" style="3" customWidth="1"/>
    <col min="2" max="2" width="9.5" style="3" customWidth="1"/>
    <col min="3" max="3" width="25.19921875" style="49" customWidth="1"/>
    <col min="4" max="5" width="13.09765625" style="3" customWidth="1"/>
    <col min="6" max="7" width="15.09765625" style="3" customWidth="1"/>
    <col min="8" max="8" width="15.09765625" style="3" hidden="1" customWidth="1"/>
    <col min="9" max="17" width="15.69921875" style="3" hidden="1" customWidth="1"/>
    <col min="18" max="18" width="15.69921875" style="3" customWidth="1"/>
    <col min="19" max="19" width="26.8984375" style="3" customWidth="1"/>
    <col min="20" max="20" width="30.09765625" style="3" customWidth="1"/>
    <col min="21" max="21" width="12.796875" style="3" bestFit="1" customWidth="1"/>
    <col min="22" max="22" width="48.69921875" style="3" bestFit="1" customWidth="1"/>
    <col min="23" max="23" width="44.59765625" style="3" bestFit="1" customWidth="1"/>
    <col min="24" max="24" width="10.5" style="3" bestFit="1" customWidth="1"/>
    <col min="25" max="25" width="12.69921875" style="3" bestFit="1" customWidth="1"/>
    <col min="26" max="26" width="14" style="3" bestFit="1" customWidth="1"/>
    <col min="27" max="27" width="12.5" style="3" bestFit="1" customWidth="1"/>
    <col min="28" max="28" width="8.8984375" style="3"/>
    <col min="29" max="30" width="8.69921875" style="3" bestFit="1" customWidth="1"/>
    <col min="31" max="31" width="14.59765625" style="3" bestFit="1" customWidth="1"/>
    <col min="32" max="32" width="18.3984375" style="3" bestFit="1" customWidth="1"/>
    <col min="33" max="16384" width="8.8984375" style="3"/>
  </cols>
  <sheetData>
    <row r="1" spans="1:20" s="2" customFormat="1" ht="51" customHeight="1" thickBot="1">
      <c r="A1" s="411" t="s">
        <v>1312</v>
      </c>
      <c r="B1" s="412"/>
      <c r="C1" s="412"/>
      <c r="D1" s="412"/>
      <c r="E1" s="412"/>
      <c r="F1" s="412"/>
      <c r="G1" s="412"/>
      <c r="H1" s="412"/>
      <c r="I1" s="412"/>
      <c r="J1" s="412"/>
      <c r="K1" s="412"/>
      <c r="L1" s="412"/>
      <c r="M1" s="412"/>
      <c r="N1" s="412"/>
      <c r="O1" s="412"/>
      <c r="P1" s="412"/>
      <c r="Q1" s="412"/>
      <c r="R1" s="412"/>
      <c r="S1" s="412"/>
      <c r="T1" s="1"/>
    </row>
    <row r="2" spans="1:20" s="2" customFormat="1" ht="30" customHeight="1" thickBot="1">
      <c r="A2" s="3"/>
      <c r="B2" s="3"/>
      <c r="T2" s="4" t="s">
        <v>608</v>
      </c>
    </row>
    <row r="3" spans="1:20" s="5" customFormat="1" ht="24" customHeight="1">
      <c r="A3" s="413" t="s">
        <v>1</v>
      </c>
      <c r="B3" s="414"/>
      <c r="C3" s="417" t="s">
        <v>609</v>
      </c>
      <c r="D3" s="419" t="s">
        <v>610</v>
      </c>
      <c r="E3" s="421" t="s">
        <v>1313</v>
      </c>
      <c r="F3" s="423" t="s">
        <v>611</v>
      </c>
      <c r="G3" s="425" t="str">
        <f>COVER!B9</f>
        <v>FLANGE</v>
      </c>
      <c r="H3" s="421" t="s">
        <v>612</v>
      </c>
      <c r="I3" s="427"/>
      <c r="J3" s="427"/>
      <c r="K3" s="427"/>
      <c r="L3" s="427"/>
      <c r="M3" s="427"/>
      <c r="N3" s="427"/>
      <c r="O3" s="427"/>
      <c r="P3" s="427"/>
      <c r="Q3" s="428"/>
      <c r="R3" s="423" t="s">
        <v>613</v>
      </c>
      <c r="S3" s="431" t="s">
        <v>614</v>
      </c>
      <c r="T3" s="381" t="s">
        <v>615</v>
      </c>
    </row>
    <row r="4" spans="1:20" s="5" customFormat="1" ht="24" customHeight="1">
      <c r="A4" s="415"/>
      <c r="B4" s="416"/>
      <c r="C4" s="418"/>
      <c r="D4" s="420"/>
      <c r="E4" s="422"/>
      <c r="F4" s="424"/>
      <c r="G4" s="426"/>
      <c r="H4" s="422"/>
      <c r="I4" s="429"/>
      <c r="J4" s="429"/>
      <c r="K4" s="429"/>
      <c r="L4" s="429"/>
      <c r="M4" s="429"/>
      <c r="N4" s="429"/>
      <c r="O4" s="429"/>
      <c r="P4" s="429"/>
      <c r="Q4" s="430"/>
      <c r="R4" s="424"/>
      <c r="S4" s="410"/>
      <c r="T4" s="382"/>
    </row>
    <row r="5" spans="1:20" s="5" customFormat="1" ht="24" customHeight="1">
      <c r="A5" s="384" t="s">
        <v>616</v>
      </c>
      <c r="B5" s="385"/>
      <c r="C5" s="390" t="s">
        <v>617</v>
      </c>
      <c r="D5" s="393" t="s">
        <v>11</v>
      </c>
      <c r="E5" s="396" t="s">
        <v>618</v>
      </c>
      <c r="F5" s="397"/>
      <c r="G5" s="398"/>
      <c r="H5" s="402" t="s">
        <v>619</v>
      </c>
      <c r="I5" s="404" t="s">
        <v>620</v>
      </c>
      <c r="J5" s="405"/>
      <c r="K5" s="405"/>
      <c r="L5" s="405"/>
      <c r="M5" s="405"/>
      <c r="N5" s="405"/>
      <c r="O5" s="405"/>
      <c r="P5" s="405"/>
      <c r="Q5" s="405"/>
      <c r="R5" s="406" t="s">
        <v>15</v>
      </c>
      <c r="S5" s="408" t="s">
        <v>621</v>
      </c>
      <c r="T5" s="382"/>
    </row>
    <row r="6" spans="1:20" s="5" customFormat="1" ht="24" customHeight="1">
      <c r="A6" s="386"/>
      <c r="B6" s="387"/>
      <c r="C6" s="391"/>
      <c r="D6" s="394"/>
      <c r="E6" s="399"/>
      <c r="F6" s="400"/>
      <c r="G6" s="401"/>
      <c r="H6" s="403"/>
      <c r="I6" s="8" t="s">
        <v>17</v>
      </c>
      <c r="J6" s="8" t="s">
        <v>622</v>
      </c>
      <c r="K6" s="8" t="s">
        <v>623</v>
      </c>
      <c r="L6" s="9" t="s">
        <v>20</v>
      </c>
      <c r="M6" s="9" t="s">
        <v>624</v>
      </c>
      <c r="N6" s="8" t="s">
        <v>22</v>
      </c>
      <c r="O6" s="8" t="s">
        <v>23</v>
      </c>
      <c r="P6" s="8" t="s">
        <v>625</v>
      </c>
      <c r="Q6" s="10" t="s">
        <v>25</v>
      </c>
      <c r="R6" s="407"/>
      <c r="S6" s="409"/>
      <c r="T6" s="382"/>
    </row>
    <row r="7" spans="1:20" ht="24" customHeight="1">
      <c r="A7" s="388"/>
      <c r="B7" s="389"/>
      <c r="C7" s="392"/>
      <c r="D7" s="395"/>
      <c r="E7" s="8" t="s">
        <v>626</v>
      </c>
      <c r="F7" s="8" t="s">
        <v>27</v>
      </c>
      <c r="G7" s="8" t="s">
        <v>627</v>
      </c>
      <c r="H7" s="8"/>
      <c r="I7" s="8" t="s">
        <v>628</v>
      </c>
      <c r="J7" s="8" t="s">
        <v>629</v>
      </c>
      <c r="K7" s="8" t="s">
        <v>630</v>
      </c>
      <c r="L7" s="9" t="s">
        <v>29</v>
      </c>
      <c r="M7" s="9" t="s">
        <v>631</v>
      </c>
      <c r="N7" s="8" t="s">
        <v>632</v>
      </c>
      <c r="O7" s="8" t="s">
        <v>633</v>
      </c>
      <c r="P7" s="8" t="s">
        <v>634</v>
      </c>
      <c r="Q7" s="10" t="s">
        <v>36</v>
      </c>
      <c r="R7" s="403"/>
      <c r="S7" s="410"/>
      <c r="T7" s="383"/>
    </row>
    <row r="8" spans="1:20" ht="33" customHeight="1">
      <c r="A8" s="375" t="s">
        <v>37</v>
      </c>
      <c r="B8" s="11">
        <v>1</v>
      </c>
      <c r="C8" s="142" t="str">
        <f>COVER!A14</f>
        <v>BODY(LUG)</v>
      </c>
      <c r="D8" s="20">
        <f>COVER!B14</f>
        <v>0</v>
      </c>
      <c r="E8" s="148">
        <v>37</v>
      </c>
      <c r="F8" s="14">
        <f>COVER!C14</f>
        <v>0</v>
      </c>
      <c r="G8" s="14">
        <f>F8*E8</f>
        <v>0</v>
      </c>
      <c r="H8" s="14"/>
      <c r="I8" s="15">
        <f>I10*I9</f>
        <v>36001489368637.438</v>
      </c>
      <c r="J8" s="15">
        <f t="shared" ref="J8:Q9" si="0">J10*J9</f>
        <v>43341753052405.07</v>
      </c>
      <c r="K8" s="15">
        <f t="shared" si="0"/>
        <v>168335087307216.53</v>
      </c>
      <c r="L8" s="15">
        <f t="shared" si="0"/>
        <v>506706621524695.19</v>
      </c>
      <c r="M8" s="15">
        <f t="shared" si="0"/>
        <v>632417344857819.5</v>
      </c>
      <c r="N8" s="15">
        <f t="shared" si="0"/>
        <v>46528628303586.25</v>
      </c>
      <c r="O8" s="15">
        <f t="shared" si="0"/>
        <v>0</v>
      </c>
      <c r="P8" s="15">
        <f t="shared" si="0"/>
        <v>0</v>
      </c>
      <c r="Q8" s="15">
        <f t="shared" si="0"/>
        <v>10000000000000</v>
      </c>
      <c r="R8" s="15">
        <f>IF(COVER!C14&gt;0,140000*1.2,0)</f>
        <v>0</v>
      </c>
      <c r="S8" s="15">
        <f>G8+R8</f>
        <v>0</v>
      </c>
      <c r="T8" s="309" t="s">
        <v>1171</v>
      </c>
    </row>
    <row r="9" spans="1:20" ht="33" customHeight="1">
      <c r="A9" s="376"/>
      <c r="B9" s="146" t="s">
        <v>1167</v>
      </c>
      <c r="C9" s="142" t="str">
        <f>COVER!A15</f>
        <v>BODY(FLANGE)</v>
      </c>
      <c r="D9" s="20" t="str">
        <f>COVER!B15</f>
        <v>A216 WCB</v>
      </c>
      <c r="E9" s="148">
        <v>74</v>
      </c>
      <c r="F9" s="14">
        <f>COVER!C15</f>
        <v>4300</v>
      </c>
      <c r="G9" s="14">
        <f>F9*E9</f>
        <v>318200</v>
      </c>
      <c r="H9" s="14"/>
      <c r="I9" s="15">
        <f>I11*I10</f>
        <v>2348985369.5999999</v>
      </c>
      <c r="J9" s="15">
        <f t="shared" si="0"/>
        <v>2658301984.9000001</v>
      </c>
      <c r="K9" s="15">
        <f t="shared" si="0"/>
        <v>6568251379.5999994</v>
      </c>
      <c r="L9" s="15">
        <f t="shared" si="0"/>
        <v>13693182184.900002</v>
      </c>
      <c r="M9" s="15">
        <f t="shared" si="0"/>
        <v>15873371539.6</v>
      </c>
      <c r="N9" s="15">
        <f t="shared" si="0"/>
        <v>2787063302.5</v>
      </c>
      <c r="O9" s="15">
        <f t="shared" si="0"/>
        <v>0</v>
      </c>
      <c r="P9" s="15">
        <f t="shared" si="0"/>
        <v>0</v>
      </c>
      <c r="Q9" s="15">
        <f t="shared" si="0"/>
        <v>1000000000</v>
      </c>
      <c r="R9" s="15">
        <f>IF(COVER!C15&gt;0,150000*1.2,0)</f>
        <v>180000</v>
      </c>
      <c r="S9" s="15">
        <f t="shared" ref="S9:S62" si="1">G9+R9</f>
        <v>498200</v>
      </c>
      <c r="T9" s="309" t="s">
        <v>1169</v>
      </c>
    </row>
    <row r="10" spans="1:20" ht="33" hidden="1" customHeight="1">
      <c r="A10" s="376"/>
      <c r="B10" s="11"/>
      <c r="C10" s="142"/>
      <c r="D10" s="20"/>
      <c r="E10" s="13"/>
      <c r="F10" s="14"/>
      <c r="G10" s="14"/>
      <c r="H10" s="14" t="s">
        <v>40</v>
      </c>
      <c r="I10" s="15">
        <f t="shared" ref="I10:Q10" si="2">I11/10</f>
        <v>15326.4</v>
      </c>
      <c r="J10" s="15">
        <f t="shared" si="2"/>
        <v>16304.3</v>
      </c>
      <c r="K10" s="15">
        <f t="shared" si="2"/>
        <v>25628.6</v>
      </c>
      <c r="L10" s="15">
        <f t="shared" si="2"/>
        <v>37004.300000000003</v>
      </c>
      <c r="M10" s="15">
        <f t="shared" si="2"/>
        <v>39841.4</v>
      </c>
      <c r="N10" s="15">
        <f t="shared" si="2"/>
        <v>16694.5</v>
      </c>
      <c r="O10" s="15">
        <f t="shared" si="2"/>
        <v>0</v>
      </c>
      <c r="P10" s="15">
        <f t="shared" si="2"/>
        <v>0</v>
      </c>
      <c r="Q10" s="15">
        <f t="shared" si="2"/>
        <v>10000</v>
      </c>
      <c r="R10" s="15"/>
      <c r="S10" s="15">
        <f t="shared" si="1"/>
        <v>0</v>
      </c>
      <c r="T10" s="16"/>
    </row>
    <row r="11" spans="1:20" ht="33" hidden="1" customHeight="1">
      <c r="A11" s="376"/>
      <c r="B11" s="11"/>
      <c r="C11" s="142"/>
      <c r="D11" s="20"/>
      <c r="E11" s="13"/>
      <c r="F11" s="14"/>
      <c r="G11" s="14"/>
      <c r="H11" s="17" t="s">
        <v>582</v>
      </c>
      <c r="I11" s="15">
        <v>153264</v>
      </c>
      <c r="J11" s="15">
        <v>163043</v>
      </c>
      <c r="K11" s="15">
        <v>256286</v>
      </c>
      <c r="L11" s="15">
        <v>370043</v>
      </c>
      <c r="M11" s="15">
        <v>398414</v>
      </c>
      <c r="N11" s="15">
        <v>166945</v>
      </c>
      <c r="O11" s="15">
        <v>0</v>
      </c>
      <c r="P11" s="15">
        <v>0</v>
      </c>
      <c r="Q11" s="15">
        <v>100000</v>
      </c>
      <c r="R11" s="15"/>
      <c r="S11" s="15">
        <f t="shared" si="1"/>
        <v>0</v>
      </c>
      <c r="T11" s="16"/>
    </row>
    <row r="12" spans="1:20" s="19" customFormat="1" ht="33" customHeight="1">
      <c r="A12" s="376"/>
      <c r="B12" s="11">
        <v>2</v>
      </c>
      <c r="C12" s="142" t="s">
        <v>636</v>
      </c>
      <c r="D12" s="20" t="str">
        <f>COVER!B16</f>
        <v>A216 WCB</v>
      </c>
      <c r="E12" s="13">
        <v>5.5</v>
      </c>
      <c r="F12" s="14">
        <f>COVER!C16</f>
        <v>4300</v>
      </c>
      <c r="G12" s="14">
        <f>F12*E12</f>
        <v>23650</v>
      </c>
      <c r="H12" s="14"/>
      <c r="I12" s="15">
        <f>I13*I14</f>
        <v>7663.2</v>
      </c>
      <c r="J12" s="15">
        <f t="shared" ref="J12:Q12" si="3">J13*J14</f>
        <v>0</v>
      </c>
      <c r="K12" s="15">
        <f t="shared" si="3"/>
        <v>4891.29</v>
      </c>
      <c r="L12" s="15">
        <f t="shared" si="3"/>
        <v>11485</v>
      </c>
      <c r="M12" s="15">
        <f t="shared" si="3"/>
        <v>0</v>
      </c>
      <c r="N12" s="15">
        <f t="shared" si="3"/>
        <v>0</v>
      </c>
      <c r="O12" s="15">
        <f t="shared" si="3"/>
        <v>0</v>
      </c>
      <c r="P12" s="15">
        <f t="shared" si="3"/>
        <v>0</v>
      </c>
      <c r="Q12" s="15">
        <f t="shared" si="3"/>
        <v>3000</v>
      </c>
      <c r="R12" s="15">
        <v>103500</v>
      </c>
      <c r="S12" s="15">
        <f t="shared" si="1"/>
        <v>127150</v>
      </c>
      <c r="T12" s="18"/>
    </row>
    <row r="13" spans="1:20" s="19" customFormat="1" ht="33" hidden="1" customHeight="1">
      <c r="A13" s="376"/>
      <c r="B13" s="11"/>
      <c r="C13" s="142"/>
      <c r="D13" s="20"/>
      <c r="E13" s="13"/>
      <c r="F13" s="14"/>
      <c r="G13" s="14"/>
      <c r="H13" s="17" t="s">
        <v>39</v>
      </c>
      <c r="I13" s="21">
        <v>0.5</v>
      </c>
      <c r="J13" s="21">
        <v>0</v>
      </c>
      <c r="K13" s="21">
        <v>0.3</v>
      </c>
      <c r="L13" s="21">
        <v>0.5</v>
      </c>
      <c r="M13" s="21">
        <v>0</v>
      </c>
      <c r="N13" s="21">
        <v>0</v>
      </c>
      <c r="O13" s="21"/>
      <c r="P13" s="21"/>
      <c r="Q13" s="21">
        <v>0.3</v>
      </c>
      <c r="R13" s="15"/>
      <c r="S13" s="15">
        <f t="shared" si="1"/>
        <v>0</v>
      </c>
      <c r="T13" s="22"/>
    </row>
    <row r="14" spans="1:20" s="19" customFormat="1" ht="33" hidden="1" customHeight="1">
      <c r="A14" s="376"/>
      <c r="B14" s="11"/>
      <c r="C14" s="142"/>
      <c r="D14" s="20"/>
      <c r="E14" s="13"/>
      <c r="F14" s="14"/>
      <c r="G14" s="14"/>
      <c r="H14" s="14" t="s">
        <v>40</v>
      </c>
      <c r="I14" s="15">
        <f>I15/10</f>
        <v>15326.4</v>
      </c>
      <c r="J14" s="15">
        <f t="shared" ref="J14:Q14" si="4">J15/10</f>
        <v>16304.3</v>
      </c>
      <c r="K14" s="15">
        <f t="shared" si="4"/>
        <v>16304.3</v>
      </c>
      <c r="L14" s="15">
        <f t="shared" si="4"/>
        <v>22970</v>
      </c>
      <c r="M14" s="15">
        <f t="shared" si="4"/>
        <v>39841.4</v>
      </c>
      <c r="N14" s="15">
        <f t="shared" si="4"/>
        <v>16694.5</v>
      </c>
      <c r="O14" s="15">
        <f t="shared" si="4"/>
        <v>0</v>
      </c>
      <c r="P14" s="15">
        <f t="shared" si="4"/>
        <v>0</v>
      </c>
      <c r="Q14" s="15">
        <f t="shared" si="4"/>
        <v>10000</v>
      </c>
      <c r="R14" s="15"/>
      <c r="S14" s="15">
        <f t="shared" si="1"/>
        <v>0</v>
      </c>
      <c r="T14" s="22"/>
    </row>
    <row r="15" spans="1:20" s="19" customFormat="1" ht="33" hidden="1" customHeight="1">
      <c r="A15" s="376"/>
      <c r="B15" s="11"/>
      <c r="C15" s="142"/>
      <c r="D15" s="20"/>
      <c r="E15" s="13"/>
      <c r="F15" s="14"/>
      <c r="G15" s="14"/>
      <c r="H15" s="14" t="s">
        <v>43</v>
      </c>
      <c r="I15" s="15">
        <v>153264</v>
      </c>
      <c r="J15" s="15">
        <v>163043</v>
      </c>
      <c r="K15" s="15">
        <v>163043</v>
      </c>
      <c r="L15" s="15">
        <v>229700</v>
      </c>
      <c r="M15" s="15">
        <v>398414</v>
      </c>
      <c r="N15" s="15">
        <v>166945</v>
      </c>
      <c r="O15" s="15">
        <v>0</v>
      </c>
      <c r="P15" s="15">
        <v>0</v>
      </c>
      <c r="Q15" s="15">
        <v>100000</v>
      </c>
      <c r="R15" s="15"/>
      <c r="S15" s="15">
        <f t="shared" si="1"/>
        <v>0</v>
      </c>
      <c r="T15" s="22"/>
    </row>
    <row r="16" spans="1:20" s="19" customFormat="1" ht="33" customHeight="1">
      <c r="A16" s="376"/>
      <c r="B16" s="11">
        <v>3</v>
      </c>
      <c r="C16" s="142" t="s">
        <v>952</v>
      </c>
      <c r="D16" s="20" t="str">
        <f>COVER!B19</f>
        <v>WCB+309+#6</v>
      </c>
      <c r="E16" s="13">
        <v>1</v>
      </c>
      <c r="F16" s="14">
        <f>IF(D16="SUS+#6",X76,IF(D16="WCB+309+#6",X77))</f>
        <v>72500</v>
      </c>
      <c r="G16" s="14">
        <f>F16*E16</f>
        <v>72500</v>
      </c>
      <c r="H16" s="14"/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f t="shared" si="1"/>
        <v>72500</v>
      </c>
      <c r="T16" s="22"/>
    </row>
    <row r="17" spans="1:21" s="19" customFormat="1" ht="33" customHeight="1">
      <c r="A17" s="376"/>
      <c r="B17" s="11">
        <v>4</v>
      </c>
      <c r="C17" s="142" t="s">
        <v>1179</v>
      </c>
      <c r="D17" s="20" t="str">
        <f>COVER!B18</f>
        <v>A240T316L+GARPHITE</v>
      </c>
      <c r="E17" s="13">
        <v>1</v>
      </c>
      <c r="F17" s="14">
        <f>IF(D17="A240T316L+GARPHITE",Y84+Z84)</f>
        <v>38400</v>
      </c>
      <c r="G17" s="14">
        <f>F17*E17</f>
        <v>38400</v>
      </c>
      <c r="H17" s="14"/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f>Z84*1.3</f>
        <v>45500</v>
      </c>
      <c r="S17" s="15">
        <f t="shared" si="1"/>
        <v>83900</v>
      </c>
      <c r="T17" s="22"/>
    </row>
    <row r="18" spans="1:21" s="19" customFormat="1" ht="33" customHeight="1">
      <c r="A18" s="376"/>
      <c r="B18" s="11">
        <v>5</v>
      </c>
      <c r="C18" s="175" t="s">
        <v>852</v>
      </c>
      <c r="D18" s="24" t="str">
        <f>COVER!B20</f>
        <v>SS316L</v>
      </c>
      <c r="E18" s="301">
        <v>1</v>
      </c>
      <c r="F18" s="14">
        <f>IF(D18="SS304",Y82,IF(D18="SS316L",Z82))</f>
        <v>12480</v>
      </c>
      <c r="G18" s="14">
        <f>E18*F18</f>
        <v>12480</v>
      </c>
      <c r="H18" s="14"/>
      <c r="I18" s="15">
        <f>I19*I20</f>
        <v>4597.92</v>
      </c>
      <c r="J18" s="15">
        <f t="shared" ref="J18:Q18" si="5">J19*J20</f>
        <v>4891.29</v>
      </c>
      <c r="K18" s="15">
        <f t="shared" si="5"/>
        <v>0</v>
      </c>
      <c r="L18" s="15">
        <f t="shared" si="5"/>
        <v>0</v>
      </c>
      <c r="M18" s="15">
        <f t="shared" si="5"/>
        <v>0</v>
      </c>
      <c r="N18" s="15">
        <f t="shared" si="5"/>
        <v>0</v>
      </c>
      <c r="O18" s="15">
        <f t="shared" si="5"/>
        <v>0</v>
      </c>
      <c r="P18" s="15">
        <f t="shared" si="5"/>
        <v>0</v>
      </c>
      <c r="Q18" s="15">
        <f t="shared" si="5"/>
        <v>2000</v>
      </c>
      <c r="R18" s="15">
        <f>AA82*1.5</f>
        <v>45000</v>
      </c>
      <c r="S18" s="15">
        <f t="shared" si="1"/>
        <v>57480</v>
      </c>
      <c r="T18" s="25"/>
    </row>
    <row r="19" spans="1:21" s="19" customFormat="1" ht="33" hidden="1" customHeight="1">
      <c r="A19" s="376"/>
      <c r="B19" s="11"/>
      <c r="C19" s="12"/>
      <c r="D19" s="24"/>
      <c r="E19" s="13"/>
      <c r="F19" s="14"/>
      <c r="G19" s="14"/>
      <c r="H19" s="17" t="s">
        <v>583</v>
      </c>
      <c r="I19" s="21">
        <v>0.3</v>
      </c>
      <c r="J19" s="21">
        <v>0.3</v>
      </c>
      <c r="K19" s="21"/>
      <c r="L19" s="21"/>
      <c r="M19" s="21"/>
      <c r="N19" s="21"/>
      <c r="O19" s="21"/>
      <c r="P19" s="21"/>
      <c r="Q19" s="21">
        <v>0.2</v>
      </c>
      <c r="R19" s="15"/>
      <c r="S19" s="15">
        <f t="shared" si="1"/>
        <v>0</v>
      </c>
      <c r="T19" s="25"/>
    </row>
    <row r="20" spans="1:21" s="19" customFormat="1" ht="33" hidden="1" customHeight="1">
      <c r="A20" s="376"/>
      <c r="B20" s="11"/>
      <c r="C20" s="12"/>
      <c r="D20" s="24"/>
      <c r="E20" s="13"/>
      <c r="F20" s="14"/>
      <c r="G20" s="14"/>
      <c r="H20" s="17" t="s">
        <v>635</v>
      </c>
      <c r="I20" s="15">
        <f>I21/10</f>
        <v>15326.4</v>
      </c>
      <c r="J20" s="15">
        <f t="shared" ref="J20:Q20" si="6">J21/10</f>
        <v>16304.3</v>
      </c>
      <c r="K20" s="15">
        <f t="shared" si="6"/>
        <v>0</v>
      </c>
      <c r="L20" s="15">
        <f t="shared" si="6"/>
        <v>0</v>
      </c>
      <c r="M20" s="15">
        <f t="shared" si="6"/>
        <v>0</v>
      </c>
      <c r="N20" s="15">
        <f t="shared" si="6"/>
        <v>0</v>
      </c>
      <c r="O20" s="15">
        <f t="shared" si="6"/>
        <v>0</v>
      </c>
      <c r="P20" s="15">
        <f t="shared" si="6"/>
        <v>0</v>
      </c>
      <c r="Q20" s="15">
        <f t="shared" si="6"/>
        <v>10000</v>
      </c>
      <c r="R20" s="15"/>
      <c r="S20" s="15">
        <f t="shared" si="1"/>
        <v>0</v>
      </c>
      <c r="T20" s="25"/>
    </row>
    <row r="21" spans="1:21" s="19" customFormat="1" ht="33" hidden="1" customHeight="1">
      <c r="A21" s="376"/>
      <c r="B21" s="11"/>
      <c r="C21" s="12"/>
      <c r="D21" s="24"/>
      <c r="E21" s="13"/>
      <c r="F21" s="14"/>
      <c r="G21" s="14"/>
      <c r="H21" s="17" t="s">
        <v>39</v>
      </c>
      <c r="I21" s="15">
        <v>153264</v>
      </c>
      <c r="J21" s="15">
        <v>163043</v>
      </c>
      <c r="K21" s="15"/>
      <c r="L21" s="15"/>
      <c r="M21" s="15"/>
      <c r="N21" s="15"/>
      <c r="O21" s="15"/>
      <c r="P21" s="15"/>
      <c r="Q21" s="15">
        <v>100000</v>
      </c>
      <c r="R21" s="15"/>
      <c r="S21" s="15">
        <f t="shared" si="1"/>
        <v>0</v>
      </c>
      <c r="T21" s="25"/>
    </row>
    <row r="22" spans="1:21" s="19" customFormat="1" ht="33" customHeight="1">
      <c r="A22" s="376"/>
      <c r="B22" s="11">
        <v>6</v>
      </c>
      <c r="C22" s="175" t="s">
        <v>1195</v>
      </c>
      <c r="D22" s="24" t="s">
        <v>1189</v>
      </c>
      <c r="E22" s="301">
        <v>1</v>
      </c>
      <c r="F22" s="14">
        <f>Y86</f>
        <v>4500</v>
      </c>
      <c r="G22" s="14">
        <f>F22*E22</f>
        <v>4500</v>
      </c>
      <c r="H22" s="14"/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f t="shared" si="1"/>
        <v>4500</v>
      </c>
      <c r="T22" s="25"/>
    </row>
    <row r="23" spans="1:21" s="19" customFormat="1" ht="33" customHeight="1">
      <c r="A23" s="376"/>
      <c r="B23" s="11">
        <v>7</v>
      </c>
      <c r="C23" s="175" t="s">
        <v>948</v>
      </c>
      <c r="D23" s="20" t="str">
        <f>COVER!B21</f>
        <v>B7(다크로)</v>
      </c>
      <c r="E23" s="13">
        <v>16</v>
      </c>
      <c r="F23" s="14">
        <f>IF(D23="B8",Y91,IF(D23="B8M",Z91,IF(D23="B7(다크로)",AA91)))</f>
        <v>300</v>
      </c>
      <c r="G23" s="14">
        <f>F23*E23</f>
        <v>4800</v>
      </c>
      <c r="H23" s="14"/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f t="shared" si="1"/>
        <v>4800</v>
      </c>
      <c r="T23" s="18"/>
    </row>
    <row r="24" spans="1:21" s="19" customFormat="1" ht="33" customHeight="1">
      <c r="A24" s="376"/>
      <c r="B24" s="11">
        <v>8</v>
      </c>
      <c r="C24" s="142" t="s">
        <v>44</v>
      </c>
      <c r="D24" s="20" t="str">
        <f>COVER!B17</f>
        <v>A564T630</v>
      </c>
      <c r="E24" s="13">
        <v>4.5</v>
      </c>
      <c r="F24" s="14">
        <f>COVER!C17</f>
        <v>8500</v>
      </c>
      <c r="G24" s="14">
        <f>F24*E24</f>
        <v>38250</v>
      </c>
      <c r="H24" s="14"/>
      <c r="I24" s="15">
        <f>I25*I26</f>
        <v>4597.92</v>
      </c>
      <c r="J24" s="15">
        <f t="shared" ref="J24:Q24" si="7">J25*J26</f>
        <v>0</v>
      </c>
      <c r="K24" s="15">
        <f t="shared" si="7"/>
        <v>0</v>
      </c>
      <c r="L24" s="15">
        <f t="shared" si="7"/>
        <v>0</v>
      </c>
      <c r="M24" s="15">
        <f t="shared" si="7"/>
        <v>0</v>
      </c>
      <c r="N24" s="15">
        <f t="shared" si="7"/>
        <v>0</v>
      </c>
      <c r="O24" s="15">
        <f t="shared" si="7"/>
        <v>0</v>
      </c>
      <c r="P24" s="15">
        <f t="shared" si="7"/>
        <v>0</v>
      </c>
      <c r="Q24" s="15">
        <f t="shared" si="7"/>
        <v>1000</v>
      </c>
      <c r="R24" s="15">
        <f>R12*0.3</f>
        <v>31050</v>
      </c>
      <c r="S24" s="15">
        <f t="shared" si="1"/>
        <v>69300</v>
      </c>
      <c r="T24" s="27"/>
      <c r="U24" s="162"/>
    </row>
    <row r="25" spans="1:21" s="19" customFormat="1" ht="33" hidden="1" customHeight="1">
      <c r="A25" s="376"/>
      <c r="B25" s="11"/>
      <c r="C25" s="12"/>
      <c r="D25" s="20"/>
      <c r="E25" s="13"/>
      <c r="F25" s="14"/>
      <c r="G25" s="14"/>
      <c r="H25" s="17" t="s">
        <v>39</v>
      </c>
      <c r="I25" s="21">
        <v>0.3</v>
      </c>
      <c r="J25" s="21"/>
      <c r="K25" s="21"/>
      <c r="L25" s="21"/>
      <c r="M25" s="21"/>
      <c r="N25" s="21"/>
      <c r="O25" s="21"/>
      <c r="P25" s="21"/>
      <c r="Q25" s="21">
        <v>0.1</v>
      </c>
      <c r="R25" s="15"/>
      <c r="S25" s="15">
        <f t="shared" si="1"/>
        <v>0</v>
      </c>
      <c r="T25" s="27"/>
    </row>
    <row r="26" spans="1:21" s="19" customFormat="1" ht="33" hidden="1" customHeight="1">
      <c r="A26" s="376"/>
      <c r="B26" s="11"/>
      <c r="C26" s="12"/>
      <c r="D26" s="20"/>
      <c r="E26" s="13"/>
      <c r="F26" s="14"/>
      <c r="G26" s="14"/>
      <c r="H26" s="17" t="s">
        <v>583</v>
      </c>
      <c r="I26" s="15">
        <f>I27/10</f>
        <v>15326.4</v>
      </c>
      <c r="J26" s="15"/>
      <c r="K26" s="15"/>
      <c r="L26" s="15"/>
      <c r="M26" s="15"/>
      <c r="N26" s="15"/>
      <c r="O26" s="15"/>
      <c r="P26" s="15"/>
      <c r="Q26" s="15">
        <f>Q27/10</f>
        <v>10000</v>
      </c>
      <c r="R26" s="15"/>
      <c r="S26" s="15">
        <f t="shared" si="1"/>
        <v>0</v>
      </c>
      <c r="T26" s="27"/>
    </row>
    <row r="27" spans="1:21" s="19" customFormat="1" ht="33" hidden="1" customHeight="1">
      <c r="A27" s="376"/>
      <c r="B27" s="11"/>
      <c r="C27" s="12"/>
      <c r="D27" s="20"/>
      <c r="E27" s="13"/>
      <c r="F27" s="14"/>
      <c r="G27" s="14"/>
      <c r="H27" s="17" t="s">
        <v>39</v>
      </c>
      <c r="I27" s="15">
        <v>153264</v>
      </c>
      <c r="J27" s="15"/>
      <c r="K27" s="15"/>
      <c r="L27" s="15"/>
      <c r="M27" s="15"/>
      <c r="N27" s="15"/>
      <c r="O27" s="15"/>
      <c r="P27" s="15"/>
      <c r="Q27" s="15">
        <v>100000</v>
      </c>
      <c r="R27" s="15"/>
      <c r="S27" s="15">
        <f t="shared" si="1"/>
        <v>0</v>
      </c>
      <c r="T27" s="27"/>
    </row>
    <row r="28" spans="1:21" s="19" customFormat="1" ht="33" customHeight="1">
      <c r="A28" s="376"/>
      <c r="B28" s="11">
        <v>9</v>
      </c>
      <c r="C28" s="142" t="s">
        <v>45</v>
      </c>
      <c r="D28" s="24" t="s">
        <v>1197</v>
      </c>
      <c r="E28" s="13">
        <v>1</v>
      </c>
      <c r="F28" s="14">
        <v>11400</v>
      </c>
      <c r="G28" s="14">
        <f t="shared" ref="G28" si="8">E28*F28</f>
        <v>11400</v>
      </c>
      <c r="H28" s="14"/>
      <c r="I28" s="15"/>
      <c r="J28" s="15"/>
      <c r="K28" s="15"/>
      <c r="L28" s="15"/>
      <c r="M28" s="15"/>
      <c r="N28" s="15"/>
      <c r="O28" s="15"/>
      <c r="P28" s="15"/>
      <c r="Q28" s="15"/>
      <c r="R28" s="15">
        <v>0</v>
      </c>
      <c r="S28" s="15">
        <f t="shared" si="1"/>
        <v>11400</v>
      </c>
      <c r="T28" s="18"/>
    </row>
    <row r="29" spans="1:21" s="19" customFormat="1" ht="33" customHeight="1">
      <c r="A29" s="376"/>
      <c r="B29" s="11">
        <v>10</v>
      </c>
      <c r="C29" s="142" t="s">
        <v>637</v>
      </c>
      <c r="D29" s="24" t="str">
        <f>COVER!B24</f>
        <v>A351 CF8M</v>
      </c>
      <c r="E29" s="13">
        <v>1</v>
      </c>
      <c r="F29" s="302">
        <f>IF(D29="A351 CF8M",Y100,IF(D29="B148 C95400",Z100))</f>
        <v>23400</v>
      </c>
      <c r="G29" s="14">
        <f>F29*E29</f>
        <v>23400</v>
      </c>
      <c r="H29" s="14"/>
      <c r="I29" s="15">
        <f>I30*I31</f>
        <v>1532.64</v>
      </c>
      <c r="J29" s="15">
        <f t="shared" ref="J29:Q29" si="9">J30*J31</f>
        <v>1630.43</v>
      </c>
      <c r="K29" s="15">
        <f t="shared" si="9"/>
        <v>0</v>
      </c>
      <c r="L29" s="15">
        <f t="shared" si="9"/>
        <v>0</v>
      </c>
      <c r="M29" s="15">
        <f t="shared" si="9"/>
        <v>0</v>
      </c>
      <c r="N29" s="15">
        <f t="shared" si="9"/>
        <v>0</v>
      </c>
      <c r="O29" s="15">
        <f t="shared" si="9"/>
        <v>0</v>
      </c>
      <c r="P29" s="15">
        <f t="shared" si="9"/>
        <v>0</v>
      </c>
      <c r="Q29" s="15">
        <f t="shared" si="9"/>
        <v>0</v>
      </c>
      <c r="R29" s="15">
        <v>0</v>
      </c>
      <c r="S29" s="15">
        <f t="shared" si="1"/>
        <v>23400</v>
      </c>
      <c r="T29" s="18"/>
    </row>
    <row r="30" spans="1:21" s="19" customFormat="1" ht="33" hidden="1" customHeight="1">
      <c r="A30" s="376"/>
      <c r="B30" s="11"/>
      <c r="C30" s="12"/>
      <c r="D30" s="24"/>
      <c r="E30" s="13"/>
      <c r="F30" s="14"/>
      <c r="G30" s="14"/>
      <c r="H30" s="17" t="s">
        <v>39</v>
      </c>
      <c r="I30" s="21">
        <v>0.1</v>
      </c>
      <c r="J30" s="21">
        <v>0.1</v>
      </c>
      <c r="K30" s="21"/>
      <c r="L30" s="21"/>
      <c r="M30" s="21"/>
      <c r="N30" s="21"/>
      <c r="O30" s="21"/>
      <c r="P30" s="21"/>
      <c r="Q30" s="21"/>
      <c r="R30" s="15"/>
      <c r="S30" s="15">
        <f t="shared" si="1"/>
        <v>0</v>
      </c>
      <c r="T30" s="22"/>
    </row>
    <row r="31" spans="1:21" s="19" customFormat="1" ht="33" hidden="1" customHeight="1">
      <c r="A31" s="376"/>
      <c r="B31" s="11"/>
      <c r="C31" s="12"/>
      <c r="D31" s="24"/>
      <c r="E31" s="13"/>
      <c r="F31" s="14"/>
      <c r="G31" s="14"/>
      <c r="H31" s="17" t="s">
        <v>39</v>
      </c>
      <c r="I31" s="15">
        <f>I32/10</f>
        <v>15326.4</v>
      </c>
      <c r="J31" s="15">
        <f>J32/10</f>
        <v>16304.3</v>
      </c>
      <c r="K31" s="15"/>
      <c r="L31" s="15"/>
      <c r="M31" s="15"/>
      <c r="N31" s="15"/>
      <c r="O31" s="15"/>
      <c r="P31" s="15"/>
      <c r="Q31" s="15"/>
      <c r="R31" s="15"/>
      <c r="S31" s="15">
        <f t="shared" si="1"/>
        <v>0</v>
      </c>
      <c r="T31" s="22"/>
    </row>
    <row r="32" spans="1:21" s="19" customFormat="1" ht="33" hidden="1" customHeight="1">
      <c r="A32" s="376"/>
      <c r="B32" s="11"/>
      <c r="C32" s="12"/>
      <c r="D32" s="24"/>
      <c r="E32" s="13"/>
      <c r="F32" s="14"/>
      <c r="G32" s="14"/>
      <c r="H32" s="17" t="s">
        <v>583</v>
      </c>
      <c r="I32" s="15">
        <v>153264</v>
      </c>
      <c r="J32" s="15">
        <v>163043</v>
      </c>
      <c r="K32" s="15"/>
      <c r="L32" s="15"/>
      <c r="M32" s="15"/>
      <c r="N32" s="15"/>
      <c r="O32" s="15"/>
      <c r="P32" s="15"/>
      <c r="Q32" s="15"/>
      <c r="R32" s="15"/>
      <c r="S32" s="15">
        <f t="shared" si="1"/>
        <v>0</v>
      </c>
      <c r="T32" s="22"/>
    </row>
    <row r="33" spans="1:21" s="19" customFormat="1" ht="33" customHeight="1">
      <c r="A33" s="376"/>
      <c r="B33" s="11">
        <v>11</v>
      </c>
      <c r="C33" s="142" t="s">
        <v>47</v>
      </c>
      <c r="D33" s="24" t="str">
        <f>COVER!B26</f>
        <v>316+NICKEL</v>
      </c>
      <c r="E33" s="13">
        <v>1</v>
      </c>
      <c r="F33" s="14">
        <f>IF(D33="316+NICKEL",Y102,IF(D33="B148 C95400",Z102))</f>
        <v>9000</v>
      </c>
      <c r="G33" s="14">
        <f>F33*E33</f>
        <v>9000</v>
      </c>
      <c r="H33" s="14"/>
      <c r="I33" s="15">
        <f>I34*I35</f>
        <v>1532.64</v>
      </c>
      <c r="J33" s="15">
        <f t="shared" ref="J33:Q33" si="10">J34*J35</f>
        <v>0</v>
      </c>
      <c r="K33" s="15">
        <f t="shared" si="10"/>
        <v>0</v>
      </c>
      <c r="L33" s="15">
        <f t="shared" si="10"/>
        <v>0</v>
      </c>
      <c r="M33" s="15">
        <f t="shared" si="10"/>
        <v>0</v>
      </c>
      <c r="N33" s="15">
        <f t="shared" si="10"/>
        <v>0</v>
      </c>
      <c r="O33" s="15">
        <f t="shared" si="10"/>
        <v>0</v>
      </c>
      <c r="P33" s="15">
        <f t="shared" si="10"/>
        <v>0</v>
      </c>
      <c r="Q33" s="15">
        <f t="shared" si="10"/>
        <v>0</v>
      </c>
      <c r="R33" s="15">
        <v>0</v>
      </c>
      <c r="S33" s="15">
        <f t="shared" si="1"/>
        <v>9000</v>
      </c>
      <c r="T33" s="25" t="s">
        <v>1200</v>
      </c>
    </row>
    <row r="34" spans="1:21" s="19" customFormat="1" ht="33" hidden="1" customHeight="1">
      <c r="A34" s="376"/>
      <c r="B34" s="11"/>
      <c r="C34" s="12"/>
      <c r="D34" s="24"/>
      <c r="E34" s="13"/>
      <c r="F34" s="14"/>
      <c r="G34" s="14"/>
      <c r="H34" s="17" t="s">
        <v>39</v>
      </c>
      <c r="I34" s="21">
        <v>0.1</v>
      </c>
      <c r="J34" s="21"/>
      <c r="K34" s="21"/>
      <c r="L34" s="21"/>
      <c r="M34" s="21"/>
      <c r="N34" s="21"/>
      <c r="O34" s="21"/>
      <c r="P34" s="21"/>
      <c r="Q34" s="21"/>
      <c r="R34" s="15"/>
      <c r="S34" s="15">
        <f t="shared" si="1"/>
        <v>0</v>
      </c>
      <c r="T34" s="22"/>
    </row>
    <row r="35" spans="1:21" s="19" customFormat="1" ht="33" hidden="1" customHeight="1">
      <c r="A35" s="376"/>
      <c r="B35" s="11"/>
      <c r="C35" s="12"/>
      <c r="D35" s="24"/>
      <c r="E35" s="13"/>
      <c r="F35" s="14"/>
      <c r="G35" s="14"/>
      <c r="H35" s="17" t="s">
        <v>39</v>
      </c>
      <c r="I35" s="15">
        <f>I36/10</f>
        <v>15326.4</v>
      </c>
      <c r="J35" s="15"/>
      <c r="K35" s="15"/>
      <c r="L35" s="15"/>
      <c r="M35" s="15"/>
      <c r="N35" s="15"/>
      <c r="O35" s="15"/>
      <c r="P35" s="15"/>
      <c r="Q35" s="15"/>
      <c r="R35" s="15"/>
      <c r="S35" s="15">
        <f t="shared" si="1"/>
        <v>0</v>
      </c>
      <c r="T35" s="22"/>
    </row>
    <row r="36" spans="1:21" s="19" customFormat="1" ht="33" hidden="1" customHeight="1">
      <c r="A36" s="376"/>
      <c r="B36" s="11"/>
      <c r="C36" s="12"/>
      <c r="D36" s="24"/>
      <c r="E36" s="13"/>
      <c r="F36" s="14"/>
      <c r="G36" s="14"/>
      <c r="H36" s="17" t="s">
        <v>583</v>
      </c>
      <c r="I36" s="15">
        <v>153264</v>
      </c>
      <c r="J36" s="15"/>
      <c r="K36" s="15"/>
      <c r="L36" s="15"/>
      <c r="M36" s="15"/>
      <c r="N36" s="15"/>
      <c r="O36" s="15"/>
      <c r="P36" s="15"/>
      <c r="Q36" s="15"/>
      <c r="R36" s="15"/>
      <c r="S36" s="15">
        <f t="shared" si="1"/>
        <v>0</v>
      </c>
      <c r="T36" s="22"/>
    </row>
    <row r="37" spans="1:21" s="19" customFormat="1" ht="33" customHeight="1">
      <c r="A37" s="376"/>
      <c r="B37" s="11">
        <v>12</v>
      </c>
      <c r="C37" s="169" t="s">
        <v>954</v>
      </c>
      <c r="D37" s="20" t="str">
        <f>COVER!B22</f>
        <v>B7(다크로)</v>
      </c>
      <c r="E37" s="13">
        <v>4</v>
      </c>
      <c r="F37" s="14">
        <f>IF(D37="B8",Y93,IF(D37="B8M",Z93,IF(D37="B7(다크로)",AA93)))</f>
        <v>1000</v>
      </c>
      <c r="G37" s="14">
        <f>E37*F37</f>
        <v>4000</v>
      </c>
      <c r="H37" s="14"/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f t="shared" si="1"/>
        <v>4000</v>
      </c>
      <c r="T37" s="22"/>
    </row>
    <row r="38" spans="1:21" s="19" customFormat="1" ht="33" customHeight="1">
      <c r="A38" s="376"/>
      <c r="B38" s="11">
        <v>13</v>
      </c>
      <c r="C38" s="29" t="s">
        <v>584</v>
      </c>
      <c r="D38" s="24"/>
      <c r="E38" s="13">
        <v>1</v>
      </c>
      <c r="F38" s="14">
        <v>3000</v>
      </c>
      <c r="G38" s="14">
        <f t="shared" ref="G38:G54" si="11">E38*F38</f>
        <v>3000</v>
      </c>
      <c r="H38" s="14"/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f t="shared" si="1"/>
        <v>3000</v>
      </c>
      <c r="T38" s="22"/>
    </row>
    <row r="39" spans="1:21" s="19" customFormat="1" ht="33" customHeight="1">
      <c r="A39" s="376"/>
      <c r="B39" s="11">
        <v>14</v>
      </c>
      <c r="C39" s="233" t="s">
        <v>585</v>
      </c>
      <c r="D39" s="24" t="str">
        <f>COVER!B23</f>
        <v>316+NICKEL</v>
      </c>
      <c r="E39" s="13">
        <v>3</v>
      </c>
      <c r="F39" s="14">
        <f>IF(D39="316+NICKEL",Y97+Y98,IF(D39="B148 C95400",Z97+Z98))</f>
        <v>54600</v>
      </c>
      <c r="G39" s="14">
        <f>F39*1</f>
        <v>54600</v>
      </c>
      <c r="H39" s="14"/>
      <c r="I39" s="15">
        <f t="shared" ref="I39:Q40" si="12">I40*I41</f>
        <v>0</v>
      </c>
      <c r="J39" s="15">
        <f t="shared" si="12"/>
        <v>0</v>
      </c>
      <c r="K39" s="15">
        <f t="shared" si="12"/>
        <v>0</v>
      </c>
      <c r="L39" s="15">
        <f t="shared" si="12"/>
        <v>0</v>
      </c>
      <c r="M39" s="15">
        <f t="shared" si="12"/>
        <v>0</v>
      </c>
      <c r="N39" s="15">
        <f t="shared" si="12"/>
        <v>0</v>
      </c>
      <c r="O39" s="15">
        <f t="shared" si="12"/>
        <v>0</v>
      </c>
      <c r="P39" s="15">
        <f t="shared" si="12"/>
        <v>0</v>
      </c>
      <c r="Q39" s="15">
        <f t="shared" si="12"/>
        <v>0</v>
      </c>
      <c r="R39" s="15">
        <v>0</v>
      </c>
      <c r="S39" s="15">
        <f t="shared" si="1"/>
        <v>54600</v>
      </c>
      <c r="T39" s="25" t="s">
        <v>1200</v>
      </c>
    </row>
    <row r="40" spans="1:21" s="19" customFormat="1" ht="33" customHeight="1">
      <c r="A40" s="376"/>
      <c r="B40" s="11">
        <v>15</v>
      </c>
      <c r="C40" s="142" t="s">
        <v>586</v>
      </c>
      <c r="D40" s="24" t="str">
        <f>COVER!B23</f>
        <v>316+NICKEL</v>
      </c>
      <c r="E40" s="13">
        <v>2</v>
      </c>
      <c r="F40" s="14">
        <f>IF(D40="316+NICKEL",Y99,IF(D40="B148 C95400",Z99))</f>
        <v>36900</v>
      </c>
      <c r="G40" s="14">
        <f>F40*1</f>
        <v>36900</v>
      </c>
      <c r="H40" s="14"/>
      <c r="I40" s="15">
        <f t="shared" si="12"/>
        <v>0</v>
      </c>
      <c r="J40" s="15">
        <f t="shared" si="12"/>
        <v>0</v>
      </c>
      <c r="K40" s="15">
        <f t="shared" si="12"/>
        <v>0</v>
      </c>
      <c r="L40" s="15">
        <f t="shared" si="12"/>
        <v>0</v>
      </c>
      <c r="M40" s="15">
        <f t="shared" si="12"/>
        <v>0</v>
      </c>
      <c r="N40" s="15">
        <f t="shared" si="12"/>
        <v>0</v>
      </c>
      <c r="O40" s="15">
        <f t="shared" si="12"/>
        <v>0</v>
      </c>
      <c r="P40" s="15">
        <f t="shared" si="12"/>
        <v>0</v>
      </c>
      <c r="Q40" s="15">
        <f t="shared" si="12"/>
        <v>0</v>
      </c>
      <c r="R40" s="15">
        <v>0</v>
      </c>
      <c r="S40" s="15">
        <f t="shared" si="1"/>
        <v>36900</v>
      </c>
      <c r="T40" s="25" t="s">
        <v>1200</v>
      </c>
    </row>
    <row r="41" spans="1:21" s="19" customFormat="1" ht="33" hidden="1" customHeight="1">
      <c r="A41" s="376"/>
      <c r="B41" s="11"/>
      <c r="C41" s="12"/>
      <c r="D41" s="20"/>
      <c r="E41" s="13"/>
      <c r="F41" s="14"/>
      <c r="G41" s="14"/>
      <c r="H41" s="17" t="s">
        <v>583</v>
      </c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>
        <f t="shared" si="1"/>
        <v>0</v>
      </c>
      <c r="T41" s="22"/>
    </row>
    <row r="42" spans="1:21" s="19" customFormat="1" ht="33" hidden="1" customHeight="1">
      <c r="A42" s="376"/>
      <c r="B42" s="11"/>
      <c r="C42" s="12"/>
      <c r="D42" s="20"/>
      <c r="E42" s="13"/>
      <c r="F42" s="14"/>
      <c r="G42" s="14"/>
      <c r="H42" s="17" t="s">
        <v>39</v>
      </c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>
        <f t="shared" si="1"/>
        <v>0</v>
      </c>
      <c r="T42" s="22"/>
    </row>
    <row r="43" spans="1:21" s="19" customFormat="1" ht="33" hidden="1" customHeight="1">
      <c r="A43" s="376"/>
      <c r="B43" s="11"/>
      <c r="C43" s="12"/>
      <c r="D43" s="20"/>
      <c r="E43" s="13"/>
      <c r="F43" s="14"/>
      <c r="G43" s="14"/>
      <c r="H43" s="17" t="s">
        <v>39</v>
      </c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>
        <f t="shared" si="1"/>
        <v>0</v>
      </c>
      <c r="T43" s="22"/>
    </row>
    <row r="44" spans="1:21" s="19" customFormat="1" ht="33" customHeight="1">
      <c r="A44" s="376"/>
      <c r="B44" s="11">
        <v>16</v>
      </c>
      <c r="C44" s="142" t="s">
        <v>587</v>
      </c>
      <c r="D44" s="24" t="str">
        <f>COVER!B25</f>
        <v>316+NICKEL</v>
      </c>
      <c r="E44" s="13">
        <v>1</v>
      </c>
      <c r="F44" s="14">
        <f>IF(D44="316+NICKEL",Y101,IF(D44="B148 C95400",Z101))</f>
        <v>6000</v>
      </c>
      <c r="G44" s="14">
        <f>F44*E44</f>
        <v>6000</v>
      </c>
      <c r="H44" s="14"/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1000</v>
      </c>
      <c r="P44" s="15">
        <v>0</v>
      </c>
      <c r="Q44" s="15">
        <v>0</v>
      </c>
      <c r="R44" s="15">
        <v>0</v>
      </c>
      <c r="S44" s="15">
        <f t="shared" si="1"/>
        <v>6000</v>
      </c>
      <c r="T44" s="25" t="s">
        <v>1200</v>
      </c>
      <c r="U44" s="236"/>
    </row>
    <row r="45" spans="1:21" s="19" customFormat="1" ht="33" customHeight="1">
      <c r="A45" s="376"/>
      <c r="B45" s="11">
        <v>17</v>
      </c>
      <c r="C45" s="175" t="s">
        <v>588</v>
      </c>
      <c r="D45" s="20" t="s">
        <v>463</v>
      </c>
      <c r="E45" s="14">
        <v>1</v>
      </c>
      <c r="F45" s="14">
        <f>Y87</f>
        <v>2200</v>
      </c>
      <c r="G45" s="14">
        <f>F45*E45</f>
        <v>2200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/>
      <c r="R45" s="15">
        <v>0</v>
      </c>
      <c r="S45" s="15">
        <f t="shared" si="1"/>
        <v>2200</v>
      </c>
      <c r="T45" s="22"/>
    </row>
    <row r="46" spans="1:21" s="19" customFormat="1" ht="33" customHeight="1">
      <c r="A46" s="376"/>
      <c r="B46" s="11">
        <v>18</v>
      </c>
      <c r="C46" s="175" t="s">
        <v>1209</v>
      </c>
      <c r="D46" s="24" t="str">
        <f>COVER!B29</f>
        <v>SS400</v>
      </c>
      <c r="E46" s="13">
        <v>1</v>
      </c>
      <c r="F46" s="14">
        <f>IF(D46="SS400",Y106,IF(D46="SS316",Z106,IF(D46="SS304",AA106)))</f>
        <v>2970</v>
      </c>
      <c r="G46" s="14">
        <f>F46*E46</f>
        <v>2970</v>
      </c>
      <c r="H46" s="14"/>
      <c r="I46" s="15">
        <f>I47*I48</f>
        <v>1532.64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7000</v>
      </c>
      <c r="S46" s="15">
        <f t="shared" si="1"/>
        <v>9970</v>
      </c>
      <c r="T46" s="22"/>
    </row>
    <row r="47" spans="1:21" s="19" customFormat="1" ht="33" hidden="1" customHeight="1">
      <c r="A47" s="376"/>
      <c r="B47" s="11"/>
      <c r="C47" s="31"/>
      <c r="D47" s="24"/>
      <c r="E47" s="13"/>
      <c r="F47" s="14"/>
      <c r="G47" s="14"/>
      <c r="H47" s="17" t="s">
        <v>583</v>
      </c>
      <c r="I47" s="21">
        <v>0.1</v>
      </c>
      <c r="J47" s="21"/>
      <c r="K47" s="21"/>
      <c r="L47" s="21"/>
      <c r="M47" s="21"/>
      <c r="N47" s="21"/>
      <c r="O47" s="21"/>
      <c r="P47" s="21"/>
      <c r="Q47" s="21"/>
      <c r="R47" s="15"/>
      <c r="S47" s="15">
        <f t="shared" si="1"/>
        <v>0</v>
      </c>
      <c r="T47" s="22"/>
    </row>
    <row r="48" spans="1:21" s="19" customFormat="1" ht="33" hidden="1" customHeight="1">
      <c r="A48" s="376"/>
      <c r="B48" s="11"/>
      <c r="C48" s="31"/>
      <c r="D48" s="24"/>
      <c r="E48" s="13"/>
      <c r="F48" s="14"/>
      <c r="G48" s="14"/>
      <c r="H48" s="17" t="s">
        <v>583</v>
      </c>
      <c r="I48" s="15">
        <f>I49/10</f>
        <v>15326.4</v>
      </c>
      <c r="J48" s="15"/>
      <c r="K48" s="15"/>
      <c r="L48" s="15"/>
      <c r="M48" s="15"/>
      <c r="N48" s="15"/>
      <c r="O48" s="15"/>
      <c r="P48" s="15"/>
      <c r="Q48" s="15"/>
      <c r="R48" s="15"/>
      <c r="S48" s="15">
        <f t="shared" si="1"/>
        <v>0</v>
      </c>
      <c r="T48" s="22"/>
    </row>
    <row r="49" spans="1:21" s="19" customFormat="1" ht="33" hidden="1" customHeight="1">
      <c r="A49" s="376"/>
      <c r="B49" s="11"/>
      <c r="C49" s="31"/>
      <c r="D49" s="24"/>
      <c r="E49" s="13"/>
      <c r="F49" s="14"/>
      <c r="G49" s="14"/>
      <c r="H49" s="17" t="s">
        <v>583</v>
      </c>
      <c r="I49" s="15">
        <v>153264</v>
      </c>
      <c r="J49" s="15"/>
      <c r="K49" s="15"/>
      <c r="L49" s="15"/>
      <c r="M49" s="15"/>
      <c r="N49" s="15"/>
      <c r="O49" s="15"/>
      <c r="P49" s="15"/>
      <c r="Q49" s="15"/>
      <c r="R49" s="15"/>
      <c r="S49" s="15">
        <f t="shared" si="1"/>
        <v>0</v>
      </c>
      <c r="T49" s="22"/>
    </row>
    <row r="50" spans="1:21" s="19" customFormat="1" ht="33" customHeight="1">
      <c r="A50" s="376"/>
      <c r="B50" s="11">
        <v>19</v>
      </c>
      <c r="C50" s="226" t="s">
        <v>638</v>
      </c>
      <c r="D50" s="20" t="str">
        <f>COVER!B22</f>
        <v>B7(다크로)</v>
      </c>
      <c r="E50" s="13">
        <v>6</v>
      </c>
      <c r="F50" s="14">
        <f>IF(D50="B8",Y94,IF(D50="B8M",Z94,IF(D50="B7(다크로)",AA94)))</f>
        <v>500</v>
      </c>
      <c r="G50" s="14">
        <f>E50*F50</f>
        <v>3000</v>
      </c>
      <c r="H50" s="14"/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f t="shared" si="1"/>
        <v>3000</v>
      </c>
      <c r="T50" s="18"/>
    </row>
    <row r="51" spans="1:21" s="19" customFormat="1" ht="33" customHeight="1">
      <c r="A51" s="376"/>
      <c r="B51" s="11">
        <v>20</v>
      </c>
      <c r="C51" s="169" t="s">
        <v>56</v>
      </c>
      <c r="D51" s="303" t="str">
        <f>D24</f>
        <v>A564T630</v>
      </c>
      <c r="E51" s="13">
        <v>2</v>
      </c>
      <c r="F51" s="14">
        <f>IF(D51="A276T316",Y80/E51,IF(D51="A276T316L",Y80/E51,IF(D51="A276T304",Z80/E51,IF(D51="A564T630",AA80/E51,IF(D51="A479T410",AB80/E51,IF(D51="UNS S31803",AC80/E51,IF(D51="UNS S32750",AD80/E51,IF(D51="MONEL K-400",AE80/E51,IF(D51="MONEL K-500",AE80/E51)))))))))</f>
        <v>650</v>
      </c>
      <c r="G51" s="14">
        <f>F51*E51</f>
        <v>1300</v>
      </c>
      <c r="H51" s="14"/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1000</v>
      </c>
      <c r="P51" s="15">
        <v>0</v>
      </c>
      <c r="Q51" s="15">
        <v>0</v>
      </c>
      <c r="R51" s="15">
        <f>E51*1700</f>
        <v>3400</v>
      </c>
      <c r="S51" s="15">
        <f t="shared" si="1"/>
        <v>4700</v>
      </c>
      <c r="T51" s="22"/>
      <c r="U51" s="162"/>
    </row>
    <row r="52" spans="1:21" s="19" customFormat="1" ht="33" customHeight="1">
      <c r="A52" s="376"/>
      <c r="B52" s="11">
        <v>21</v>
      </c>
      <c r="C52" s="169" t="s">
        <v>57</v>
      </c>
      <c r="D52" s="24" t="str">
        <f>COVER!B22</f>
        <v>B7(다크로)</v>
      </c>
      <c r="E52" s="13">
        <v>4</v>
      </c>
      <c r="F52" s="14">
        <f>IF(D52="B8",Y90,IF(D52="B8M",Z90,IF(D52="B7(다크로)",AA90)))</f>
        <v>1300</v>
      </c>
      <c r="G52" s="14">
        <f>F52*E52</f>
        <v>5200</v>
      </c>
      <c r="H52" s="14"/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1000</v>
      </c>
      <c r="O52" s="15">
        <v>1000</v>
      </c>
      <c r="P52" s="15">
        <v>1000</v>
      </c>
      <c r="Q52" s="15">
        <v>0</v>
      </c>
      <c r="R52" s="15">
        <v>0</v>
      </c>
      <c r="S52" s="15">
        <f t="shared" si="1"/>
        <v>5200</v>
      </c>
      <c r="T52" s="22"/>
      <c r="U52" s="162"/>
    </row>
    <row r="53" spans="1:21" s="19" customFormat="1" ht="33" customHeight="1">
      <c r="A53" s="376"/>
      <c r="B53" s="11">
        <v>22</v>
      </c>
      <c r="C53" s="169" t="s">
        <v>1199</v>
      </c>
      <c r="D53" s="24" t="str">
        <f>COVER!B26</f>
        <v>316+NICKEL</v>
      </c>
      <c r="E53" s="13">
        <v>1</v>
      </c>
      <c r="F53" s="14">
        <f>IF(D53="316+NICKEL",Y102,IF(D53="B148 C95400",Z102))</f>
        <v>9000</v>
      </c>
      <c r="G53" s="14">
        <f>F53*E53</f>
        <v>9000</v>
      </c>
      <c r="H53" s="14"/>
      <c r="I53" s="15"/>
      <c r="J53" s="15"/>
      <c r="K53" s="15"/>
      <c r="L53" s="15"/>
      <c r="M53" s="15"/>
      <c r="N53" s="15"/>
      <c r="O53" s="15"/>
      <c r="P53" s="15"/>
      <c r="Q53" s="15"/>
      <c r="R53" s="15">
        <v>0</v>
      </c>
      <c r="S53" s="15">
        <f t="shared" si="1"/>
        <v>9000</v>
      </c>
      <c r="T53" s="22"/>
    </row>
    <row r="54" spans="1:21" s="19" customFormat="1" ht="33" customHeight="1">
      <c r="A54" s="376"/>
      <c r="B54" s="11">
        <v>23</v>
      </c>
      <c r="C54" s="29" t="s">
        <v>58</v>
      </c>
      <c r="D54" s="24"/>
      <c r="E54" s="13">
        <v>1</v>
      </c>
      <c r="F54" s="14">
        <v>1000</v>
      </c>
      <c r="G54" s="14">
        <f t="shared" si="11"/>
        <v>1000</v>
      </c>
      <c r="H54" s="14"/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1000</v>
      </c>
      <c r="Q54" s="15">
        <v>0</v>
      </c>
      <c r="R54" s="15">
        <v>0</v>
      </c>
      <c r="S54" s="15">
        <f t="shared" si="1"/>
        <v>1000</v>
      </c>
      <c r="T54" s="22"/>
    </row>
    <row r="55" spans="1:21" s="19" customFormat="1" ht="33" customHeight="1">
      <c r="A55" s="376"/>
      <c r="B55" s="11">
        <v>24</v>
      </c>
      <c r="C55" s="142" t="s">
        <v>59</v>
      </c>
      <c r="D55" s="24" t="str">
        <f>COVER!B35</f>
        <v>GEAR</v>
      </c>
      <c r="E55" s="13">
        <v>1</v>
      </c>
      <c r="F55" s="302">
        <f>IF(D55="GEAR",174600,IF(D55="MOTOR",0,IF(D55="PNEUMATIC",0)))</f>
        <v>174600</v>
      </c>
      <c r="G55" s="14">
        <f>F55</f>
        <v>174600</v>
      </c>
      <c r="H55" s="14"/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f t="shared" si="1"/>
        <v>174600</v>
      </c>
      <c r="T55" s="22"/>
    </row>
    <row r="56" spans="1:21" s="19" customFormat="1" ht="33" customHeight="1">
      <c r="A56" s="376"/>
      <c r="B56" s="11">
        <v>25</v>
      </c>
      <c r="C56" s="186" t="s">
        <v>859</v>
      </c>
      <c r="D56" s="24" t="str">
        <f>COVER!B30</f>
        <v>WCB</v>
      </c>
      <c r="E56" s="13">
        <v>1</v>
      </c>
      <c r="F56" s="14">
        <f>IF(D56="WCB",Y108,IF(D56="CF8M",Z108))</f>
        <v>80000</v>
      </c>
      <c r="G56" s="14">
        <f>E56*F56</f>
        <v>80000</v>
      </c>
      <c r="H56" s="14"/>
      <c r="I56" s="15"/>
      <c r="J56" s="15"/>
      <c r="K56" s="15"/>
      <c r="L56" s="15"/>
      <c r="M56" s="15"/>
      <c r="N56" s="15"/>
      <c r="O56" s="15"/>
      <c r="P56" s="15"/>
      <c r="Q56" s="15"/>
      <c r="R56" s="15">
        <f>IF(D56="WCB",AA108,IF(D56="CF8M",AB108))</f>
        <v>0</v>
      </c>
      <c r="S56" s="15">
        <f t="shared" si="1"/>
        <v>80000</v>
      </c>
      <c r="T56" s="304"/>
    </row>
    <row r="57" spans="1:21" s="19" customFormat="1" ht="33" customHeight="1">
      <c r="A57" s="376"/>
      <c r="B57" s="11">
        <v>26</v>
      </c>
      <c r="C57" s="175" t="s">
        <v>467</v>
      </c>
      <c r="D57" s="24" t="str">
        <f>COVER!B27</f>
        <v>316+NICKEL</v>
      </c>
      <c r="E57" s="13">
        <v>2</v>
      </c>
      <c r="F57" s="14">
        <f>IF(D57="316+NICKEL",Y103,IF(D57="B148 C95400",Z103))</f>
        <v>15500</v>
      </c>
      <c r="G57" s="14">
        <f>F57</f>
        <v>15500</v>
      </c>
      <c r="H57" s="14"/>
      <c r="I57" s="15"/>
      <c r="J57" s="15"/>
      <c r="K57" s="15"/>
      <c r="L57" s="15"/>
      <c r="M57" s="15"/>
      <c r="N57" s="15"/>
      <c r="O57" s="15"/>
      <c r="P57" s="15"/>
      <c r="Q57" s="15"/>
      <c r="R57" s="15">
        <v>0</v>
      </c>
      <c r="S57" s="15">
        <f t="shared" si="1"/>
        <v>15500</v>
      </c>
      <c r="T57" s="25" t="s">
        <v>1200</v>
      </c>
    </row>
    <row r="58" spans="1:21" s="19" customFormat="1" ht="33" customHeight="1">
      <c r="A58" s="376"/>
      <c r="B58" s="11">
        <v>27</v>
      </c>
      <c r="C58" s="175" t="s">
        <v>468</v>
      </c>
      <c r="D58" s="24" t="str">
        <f>COVER!B28</f>
        <v>316+NICKEL</v>
      </c>
      <c r="E58" s="13">
        <v>2</v>
      </c>
      <c r="F58" s="14">
        <f>IF(D58="316+NICKEL",Y104,IF(D58="B148 C95400",Z104))</f>
        <v>1470</v>
      </c>
      <c r="G58" s="14">
        <f>F58</f>
        <v>1470</v>
      </c>
      <c r="H58" s="14"/>
      <c r="I58" s="15"/>
      <c r="J58" s="15"/>
      <c r="K58" s="15"/>
      <c r="L58" s="15"/>
      <c r="M58" s="15"/>
      <c r="N58" s="15"/>
      <c r="O58" s="15"/>
      <c r="P58" s="15"/>
      <c r="Q58" s="15"/>
      <c r="R58" s="15">
        <v>0</v>
      </c>
      <c r="S58" s="15">
        <f t="shared" si="1"/>
        <v>1470</v>
      </c>
      <c r="T58" s="25" t="s">
        <v>1200</v>
      </c>
    </row>
    <row r="59" spans="1:21" s="19" customFormat="1" ht="33" customHeight="1">
      <c r="A59" s="376"/>
      <c r="B59" s="11">
        <v>28</v>
      </c>
      <c r="C59" s="142" t="s">
        <v>714</v>
      </c>
      <c r="D59" s="24" t="str">
        <f>COVER!B22</f>
        <v>B7(다크로)</v>
      </c>
      <c r="E59" s="13">
        <v>4</v>
      </c>
      <c r="F59" s="14">
        <f>IF(D59="B8",Y89,IF(D59="B8M",Z89,IF(D59="B7(다크로)",AA89)))</f>
        <v>1000</v>
      </c>
      <c r="G59" s="14">
        <f t="shared" ref="G59:G61" si="13">E59*F59</f>
        <v>4000</v>
      </c>
      <c r="H59" s="14"/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f t="shared" si="1"/>
        <v>4000</v>
      </c>
      <c r="T59" s="25"/>
    </row>
    <row r="60" spans="1:21" s="19" customFormat="1" ht="33" customHeight="1">
      <c r="A60" s="376"/>
      <c r="B60" s="11">
        <v>29</v>
      </c>
      <c r="C60" s="12" t="s">
        <v>61</v>
      </c>
      <c r="D60" s="303" t="str">
        <f>COVER!B32</f>
        <v>외주 2COATING</v>
      </c>
      <c r="E60" s="13">
        <v>1</v>
      </c>
      <c r="F60" s="14">
        <f>IF(COVER!B10="APPLICATION",0,IF(D60="기존 단가",Y116,IF(D60="외주 2COATING",Z116,IF(D60="외주 3COATING",AA116))))</f>
        <v>0</v>
      </c>
      <c r="G60" s="14">
        <f t="shared" si="13"/>
        <v>0</v>
      </c>
      <c r="H60" s="14"/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f t="shared" si="1"/>
        <v>0</v>
      </c>
      <c r="T60" s="22"/>
    </row>
    <row r="61" spans="1:21" s="19" customFormat="1" ht="33" customHeight="1">
      <c r="A61" s="377"/>
      <c r="B61" s="11">
        <v>30</v>
      </c>
      <c r="C61" s="12" t="s">
        <v>62</v>
      </c>
      <c r="D61" s="303" t="str">
        <f>COVER!B33</f>
        <v>신규</v>
      </c>
      <c r="E61" s="13">
        <v>1</v>
      </c>
      <c r="F61" s="14">
        <f>IF(COVER!B10="APPLICATION",0,IF(D61="기존 단가",Y118,IF(D61="신규",Z118)))</f>
        <v>0</v>
      </c>
      <c r="G61" s="14">
        <f t="shared" si="13"/>
        <v>0</v>
      </c>
      <c r="H61" s="14"/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f t="shared" si="1"/>
        <v>0</v>
      </c>
      <c r="T61" s="22"/>
    </row>
    <row r="62" spans="1:21" s="19" customFormat="1" ht="33" customHeight="1">
      <c r="A62" s="378" t="s">
        <v>639</v>
      </c>
      <c r="B62" s="379"/>
      <c r="C62" s="379"/>
      <c r="D62" s="379"/>
      <c r="E62" s="379"/>
      <c r="F62" s="380"/>
      <c r="G62" s="14">
        <f>IF(COVER!B10="APPLICATION",0,IF(D55="GEAR",Y120,IF(D55="MOTOR",Z120,IF(D55="PNEUMATIC",AA120))))</f>
        <v>0</v>
      </c>
      <c r="H62" s="14"/>
      <c r="I62" s="32" t="s">
        <v>38</v>
      </c>
      <c r="J62" s="32"/>
      <c r="K62" s="32"/>
      <c r="L62" s="32"/>
      <c r="M62" s="32"/>
      <c r="N62" s="32"/>
      <c r="O62" s="32"/>
      <c r="P62" s="32"/>
      <c r="Q62" s="32"/>
      <c r="R62" s="33"/>
      <c r="S62" s="33">
        <f t="shared" si="1"/>
        <v>0</v>
      </c>
      <c r="T62" s="253"/>
    </row>
    <row r="63" spans="1:21" s="19" customFormat="1" ht="33" customHeight="1">
      <c r="A63" s="360" t="s">
        <v>64</v>
      </c>
      <c r="B63" s="361"/>
      <c r="C63" s="361"/>
      <c r="D63" s="361"/>
      <c r="E63" s="361"/>
      <c r="F63" s="362"/>
      <c r="G63" s="14"/>
      <c r="H63" s="14"/>
      <c r="I63" s="32"/>
      <c r="J63" s="32"/>
      <c r="K63" s="32"/>
      <c r="L63" s="32"/>
      <c r="M63" s="32"/>
      <c r="N63" s="32"/>
      <c r="O63" s="32"/>
      <c r="P63" s="32"/>
      <c r="Q63" s="32"/>
      <c r="R63" s="33"/>
      <c r="S63" s="33"/>
      <c r="T63" s="253" t="s">
        <v>1526</v>
      </c>
    </row>
    <row r="64" spans="1:21" s="19" customFormat="1" ht="33" customHeight="1">
      <c r="A64" s="378" t="s">
        <v>641</v>
      </c>
      <c r="B64" s="379"/>
      <c r="C64" s="379"/>
      <c r="D64" s="379"/>
      <c r="E64" s="379"/>
      <c r="F64" s="380"/>
      <c r="G64" s="93" t="s">
        <v>38</v>
      </c>
      <c r="H64" s="93"/>
      <c r="I64" s="32"/>
      <c r="J64" s="94"/>
      <c r="K64" s="94"/>
      <c r="L64" s="94"/>
      <c r="M64" s="94"/>
      <c r="N64" s="94"/>
      <c r="O64" s="94"/>
      <c r="P64" s="94"/>
      <c r="Q64" s="94"/>
      <c r="R64" s="94"/>
      <c r="S64" s="34">
        <f>SUM(S8:S63)</f>
        <v>1376770</v>
      </c>
      <c r="T64" s="254" t="s">
        <v>643</v>
      </c>
    </row>
    <row r="65" spans="1:32" s="19" customFormat="1" ht="33" customHeight="1">
      <c r="A65" s="378" t="s">
        <v>644</v>
      </c>
      <c r="B65" s="379"/>
      <c r="C65" s="379"/>
      <c r="D65" s="379"/>
      <c r="E65" s="379"/>
      <c r="F65" s="380"/>
      <c r="G65" s="32">
        <v>0.1</v>
      </c>
      <c r="H65" s="32"/>
      <c r="I65" s="32" t="s">
        <v>38</v>
      </c>
      <c r="J65" s="32"/>
      <c r="K65" s="32"/>
      <c r="L65" s="32"/>
      <c r="M65" s="32"/>
      <c r="N65" s="32"/>
      <c r="O65" s="32"/>
      <c r="P65" s="32"/>
      <c r="Q65" s="32"/>
      <c r="R65" s="32"/>
      <c r="S65" s="35">
        <f>S64*G65</f>
        <v>137677</v>
      </c>
      <c r="T65" s="253"/>
    </row>
    <row r="66" spans="1:32" s="19" customFormat="1" ht="33" customHeight="1">
      <c r="A66" s="360" t="s">
        <v>67</v>
      </c>
      <c r="B66" s="361"/>
      <c r="C66" s="361"/>
      <c r="D66" s="361"/>
      <c r="E66" s="361"/>
      <c r="F66" s="362"/>
      <c r="G66" s="95">
        <v>0.1</v>
      </c>
      <c r="H66" s="95"/>
      <c r="I66" s="32" t="s">
        <v>38</v>
      </c>
      <c r="J66" s="32"/>
      <c r="K66" s="32"/>
      <c r="L66" s="32"/>
      <c r="M66" s="32"/>
      <c r="N66" s="32"/>
      <c r="O66" s="32"/>
      <c r="P66" s="32"/>
      <c r="Q66" s="32"/>
      <c r="R66" s="32"/>
      <c r="S66" s="35">
        <f>(S64+S65)*G66</f>
        <v>151444.70000000001</v>
      </c>
      <c r="T66" s="253" t="s">
        <v>38</v>
      </c>
    </row>
    <row r="67" spans="1:32" s="19" customFormat="1" ht="33" customHeight="1">
      <c r="A67" s="363" t="s">
        <v>68</v>
      </c>
      <c r="B67" s="364"/>
      <c r="C67" s="364"/>
      <c r="D67" s="364"/>
      <c r="E67" s="364"/>
      <c r="F67" s="365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294">
        <f>S64+S65+S66</f>
        <v>1665891.7</v>
      </c>
      <c r="T67" s="254" t="s">
        <v>645</v>
      </c>
    </row>
    <row r="68" spans="1:32" s="19" customFormat="1" ht="33" customHeight="1">
      <c r="A68" s="366" t="s">
        <v>70</v>
      </c>
      <c r="B68" s="367"/>
      <c r="C68" s="367"/>
      <c r="D68" s="367"/>
      <c r="E68" s="367"/>
      <c r="F68" s="368"/>
      <c r="G68" s="32">
        <f>COVER!B11</f>
        <v>1.5</v>
      </c>
      <c r="H68" s="32"/>
      <c r="I68" s="32" t="s">
        <v>38</v>
      </c>
      <c r="J68" s="32"/>
      <c r="K68" s="32"/>
      <c r="L68" s="32"/>
      <c r="M68" s="32"/>
      <c r="N68" s="32"/>
      <c r="O68" s="32"/>
      <c r="P68" s="32"/>
      <c r="Q68" s="32"/>
      <c r="R68" s="32"/>
      <c r="S68" s="36">
        <f>S67*G68</f>
        <v>2498837.5499999998</v>
      </c>
      <c r="T68" s="253"/>
    </row>
    <row r="69" spans="1:32" s="19" customFormat="1" ht="33" customHeight="1">
      <c r="A69" s="369" t="s">
        <v>71</v>
      </c>
      <c r="B69" s="370"/>
      <c r="C69" s="370"/>
      <c r="D69" s="370"/>
      <c r="E69" s="370"/>
      <c r="F69" s="370"/>
      <c r="G69" s="371"/>
      <c r="H69" s="37"/>
      <c r="I69" s="38"/>
      <c r="J69" s="38"/>
      <c r="K69" s="38"/>
      <c r="L69" s="38"/>
      <c r="M69" s="38"/>
      <c r="N69" s="38"/>
      <c r="O69" s="38"/>
      <c r="P69" s="38"/>
      <c r="Q69" s="38"/>
      <c r="R69" s="39" t="s">
        <v>17</v>
      </c>
      <c r="S69" s="40">
        <f>S68</f>
        <v>2498837.5499999998</v>
      </c>
      <c r="T69" s="246" t="s">
        <v>646</v>
      </c>
      <c r="V69" s="141" t="s">
        <v>862</v>
      </c>
      <c r="W69" s="140"/>
      <c r="X69" s="140"/>
      <c r="Y69" s="140"/>
      <c r="Z69" s="140"/>
      <c r="AA69" s="140"/>
      <c r="AB69" s="140"/>
      <c r="AC69" s="140"/>
      <c r="AD69" s="140"/>
      <c r="AE69" s="140"/>
      <c r="AF69" s="140"/>
    </row>
    <row r="70" spans="1:32" s="19" customFormat="1" ht="33" customHeight="1" thickBot="1">
      <c r="A70" s="372"/>
      <c r="B70" s="373"/>
      <c r="C70" s="373"/>
      <c r="D70" s="373"/>
      <c r="E70" s="373"/>
      <c r="F70" s="373"/>
      <c r="G70" s="374"/>
      <c r="H70" s="41"/>
      <c r="I70" s="42"/>
      <c r="J70" s="42"/>
      <c r="K70" s="42"/>
      <c r="L70" s="42"/>
      <c r="M70" s="42"/>
      <c r="N70" s="42"/>
      <c r="O70" s="42"/>
      <c r="P70" s="42"/>
      <c r="Q70" s="42"/>
      <c r="R70" s="43" t="s">
        <v>647</v>
      </c>
      <c r="S70" s="43">
        <f>S64*G68</f>
        <v>2065155</v>
      </c>
      <c r="T70" s="247" t="s">
        <v>648</v>
      </c>
      <c r="V70" s="141" t="s">
        <v>1322</v>
      </c>
      <c r="W70" s="140"/>
      <c r="X70" s="140"/>
      <c r="Y70" s="140"/>
      <c r="Z70" s="140"/>
      <c r="AA70" s="140"/>
      <c r="AB70" s="140"/>
      <c r="AC70" s="140"/>
      <c r="AD70" s="140"/>
      <c r="AE70" s="140"/>
      <c r="AF70" s="140"/>
    </row>
    <row r="71" spans="1:32" ht="15" thickBot="1">
      <c r="V71" s="140"/>
      <c r="W71" s="140"/>
      <c r="X71" s="140"/>
      <c r="Y71" s="140"/>
      <c r="Z71" s="140"/>
      <c r="AA71" s="140"/>
      <c r="AB71" s="140"/>
      <c r="AC71" s="140"/>
      <c r="AD71" s="140"/>
      <c r="AE71" s="140"/>
      <c r="AF71" s="140"/>
    </row>
    <row r="72" spans="1:32" ht="21" thickBot="1">
      <c r="C72" s="44" t="s">
        <v>649</v>
      </c>
      <c r="V72" s="193" t="s">
        <v>863</v>
      </c>
      <c r="W72" s="194" t="s">
        <v>864</v>
      </c>
      <c r="X72" s="194" t="s">
        <v>865</v>
      </c>
      <c r="Y72" s="358" t="s">
        <v>866</v>
      </c>
      <c r="Z72" s="358"/>
      <c r="AA72" s="358"/>
      <c r="AB72" s="358"/>
      <c r="AC72" s="358"/>
      <c r="AD72" s="358"/>
      <c r="AE72" s="358"/>
      <c r="AF72" s="218" t="s">
        <v>867</v>
      </c>
    </row>
    <row r="73" spans="1:32" ht="20.399999999999999">
      <c r="C73" s="44" t="s">
        <v>650</v>
      </c>
      <c r="V73" s="336" t="s">
        <v>868</v>
      </c>
      <c r="W73" s="111" t="s">
        <v>869</v>
      </c>
      <c r="X73" s="111" t="s">
        <v>1323</v>
      </c>
      <c r="Y73" s="345" t="s">
        <v>870</v>
      </c>
      <c r="Z73" s="345"/>
      <c r="AA73" s="345"/>
      <c r="AB73" s="345"/>
      <c r="AC73" s="345"/>
      <c r="AD73" s="345"/>
      <c r="AE73" s="345"/>
      <c r="AF73" s="161" t="s">
        <v>871</v>
      </c>
    </row>
    <row r="74" spans="1:32" ht="21" thickBot="1">
      <c r="C74" s="44" t="s">
        <v>651</v>
      </c>
      <c r="V74" s="342"/>
      <c r="W74" s="133" t="s">
        <v>872</v>
      </c>
      <c r="X74" s="133" t="s">
        <v>1324</v>
      </c>
      <c r="Y74" s="346" t="s">
        <v>870</v>
      </c>
      <c r="Z74" s="346"/>
      <c r="AA74" s="346"/>
      <c r="AB74" s="346"/>
      <c r="AC74" s="346"/>
      <c r="AD74" s="346"/>
      <c r="AE74" s="346"/>
      <c r="AF74" s="195" t="s">
        <v>871</v>
      </c>
    </row>
    <row r="75" spans="1:32" ht="21" thickBot="1">
      <c r="C75" s="44" t="s">
        <v>652</v>
      </c>
      <c r="V75" s="196" t="s">
        <v>874</v>
      </c>
      <c r="W75" s="137" t="s">
        <v>875</v>
      </c>
      <c r="X75" s="137" t="s">
        <v>1325</v>
      </c>
      <c r="Y75" s="359" t="s">
        <v>870</v>
      </c>
      <c r="Z75" s="359"/>
      <c r="AA75" s="359"/>
      <c r="AB75" s="359"/>
      <c r="AC75" s="359"/>
      <c r="AD75" s="359"/>
      <c r="AE75" s="359"/>
      <c r="AF75" s="197" t="s">
        <v>871</v>
      </c>
    </row>
    <row r="76" spans="1:32" ht="20.399999999999999">
      <c r="C76" s="44" t="s">
        <v>653</v>
      </c>
      <c r="V76" s="336" t="s">
        <v>877</v>
      </c>
      <c r="W76" s="111" t="s">
        <v>846</v>
      </c>
      <c r="X76" s="354">
        <v>51800</v>
      </c>
      <c r="Y76" s="354"/>
      <c r="Z76" s="354"/>
      <c r="AA76" s="354"/>
      <c r="AB76" s="354"/>
      <c r="AC76" s="354"/>
      <c r="AD76" s="354"/>
      <c r="AE76" s="354"/>
      <c r="AF76" s="161"/>
    </row>
    <row r="77" spans="1:32" ht="21" thickBot="1">
      <c r="C77" s="44" t="s">
        <v>654</v>
      </c>
      <c r="V77" s="329"/>
      <c r="W77" s="125" t="s">
        <v>847</v>
      </c>
      <c r="X77" s="355">
        <v>72500</v>
      </c>
      <c r="Y77" s="355"/>
      <c r="Z77" s="355"/>
      <c r="AA77" s="355"/>
      <c r="AB77" s="355"/>
      <c r="AC77" s="355"/>
      <c r="AD77" s="355"/>
      <c r="AE77" s="355"/>
      <c r="AF77" s="208"/>
    </row>
    <row r="78" spans="1:32" ht="20.399999999999999">
      <c r="C78" s="44" t="s">
        <v>655</v>
      </c>
      <c r="V78" s="336" t="s">
        <v>878</v>
      </c>
      <c r="W78" s="343" t="s">
        <v>1326</v>
      </c>
      <c r="X78" s="345" t="s">
        <v>879</v>
      </c>
      <c r="Y78" s="111" t="s">
        <v>880</v>
      </c>
      <c r="Z78" s="111">
        <v>304</v>
      </c>
      <c r="AA78" s="111" t="s">
        <v>881</v>
      </c>
      <c r="AB78" s="111" t="s">
        <v>882</v>
      </c>
      <c r="AC78" s="111" t="s">
        <v>883</v>
      </c>
      <c r="AD78" s="111" t="s">
        <v>884</v>
      </c>
      <c r="AE78" s="111" t="s">
        <v>885</v>
      </c>
      <c r="AF78" s="161"/>
    </row>
    <row r="79" spans="1:32" ht="20.399999999999999">
      <c r="C79" s="45"/>
      <c r="V79" s="337"/>
      <c r="W79" s="356"/>
      <c r="X79" s="357"/>
      <c r="Y79" s="116">
        <v>25480</v>
      </c>
      <c r="Z79" s="116">
        <v>18460</v>
      </c>
      <c r="AA79" s="116">
        <v>38860</v>
      </c>
      <c r="AB79" s="116">
        <v>16815</v>
      </c>
      <c r="AC79" s="116">
        <v>42880</v>
      </c>
      <c r="AD79" s="116">
        <v>50518</v>
      </c>
      <c r="AE79" s="116">
        <v>312400</v>
      </c>
      <c r="AF79" s="214" t="s">
        <v>886</v>
      </c>
    </row>
    <row r="80" spans="1:32" ht="21" thickBot="1">
      <c r="C80" s="44" t="s">
        <v>656</v>
      </c>
      <c r="V80" s="132" t="s">
        <v>887</v>
      </c>
      <c r="W80" s="286" t="s">
        <v>1327</v>
      </c>
      <c r="X80" s="133" t="s">
        <v>888</v>
      </c>
      <c r="Y80" s="134">
        <v>1000</v>
      </c>
      <c r="Z80" s="134">
        <v>900</v>
      </c>
      <c r="AA80" s="134">
        <v>1300</v>
      </c>
      <c r="AB80" s="134">
        <v>700</v>
      </c>
      <c r="AC80" s="134">
        <v>1500</v>
      </c>
      <c r="AD80" s="134">
        <v>1800</v>
      </c>
      <c r="AE80" s="134">
        <v>7000</v>
      </c>
      <c r="AF80" s="195" t="s">
        <v>889</v>
      </c>
    </row>
    <row r="81" spans="3:32" ht="20.399999999999999">
      <c r="C81" s="46" t="s">
        <v>657</v>
      </c>
      <c r="V81" s="331" t="s">
        <v>890</v>
      </c>
      <c r="W81" s="352" t="s">
        <v>974</v>
      </c>
      <c r="X81" s="328" t="s">
        <v>879</v>
      </c>
      <c r="Y81" s="198">
        <v>304</v>
      </c>
      <c r="Z81" s="198" t="s">
        <v>880</v>
      </c>
      <c r="AA81" s="198" t="s">
        <v>892</v>
      </c>
      <c r="AB81" s="199"/>
      <c r="AC81" s="199"/>
      <c r="AD81" s="199"/>
      <c r="AE81" s="199"/>
      <c r="AF81" s="206"/>
    </row>
    <row r="82" spans="3:32" ht="21" thickBot="1">
      <c r="C82" s="46" t="s">
        <v>658</v>
      </c>
      <c r="V82" s="329"/>
      <c r="W82" s="353"/>
      <c r="X82" s="327"/>
      <c r="Y82" s="126">
        <v>9880</v>
      </c>
      <c r="Z82" s="126">
        <v>12480</v>
      </c>
      <c r="AA82" s="126">
        <v>30000</v>
      </c>
      <c r="AB82" s="200"/>
      <c r="AC82" s="200"/>
      <c r="AD82" s="200"/>
      <c r="AE82" s="200"/>
      <c r="AF82" s="208"/>
    </row>
    <row r="83" spans="3:32" ht="20.399999999999999">
      <c r="C83" s="46" t="s">
        <v>84</v>
      </c>
      <c r="V83" s="336" t="s">
        <v>893</v>
      </c>
      <c r="W83" s="343" t="s">
        <v>975</v>
      </c>
      <c r="X83" s="345" t="s">
        <v>879</v>
      </c>
      <c r="Y83" s="111" t="s">
        <v>895</v>
      </c>
      <c r="Z83" s="111" t="s">
        <v>896</v>
      </c>
      <c r="AA83" s="201"/>
      <c r="AB83" s="201"/>
      <c r="AC83" s="201"/>
      <c r="AD83" s="201"/>
      <c r="AE83" s="201"/>
      <c r="AF83" s="161"/>
    </row>
    <row r="84" spans="3:32" ht="21" thickBot="1">
      <c r="C84" s="46" t="s">
        <v>659</v>
      </c>
      <c r="V84" s="342"/>
      <c r="W84" s="344"/>
      <c r="X84" s="346"/>
      <c r="Y84" s="296">
        <v>3400</v>
      </c>
      <c r="Z84" s="296">
        <v>35000</v>
      </c>
      <c r="AA84" s="203"/>
      <c r="AB84" s="203"/>
      <c r="AC84" s="203"/>
      <c r="AD84" s="203"/>
      <c r="AE84" s="203"/>
      <c r="AF84" s="195" t="s">
        <v>958</v>
      </c>
    </row>
    <row r="85" spans="3:32" ht="20.399999999999999">
      <c r="C85" s="46" t="s">
        <v>660</v>
      </c>
      <c r="V85" s="331" t="s">
        <v>898</v>
      </c>
      <c r="W85" s="287" t="s">
        <v>1328</v>
      </c>
      <c r="X85" s="198" t="s">
        <v>900</v>
      </c>
      <c r="Y85" s="113">
        <v>3500</v>
      </c>
      <c r="Z85" s="205"/>
      <c r="AA85" s="205"/>
      <c r="AB85" s="205"/>
      <c r="AC85" s="205"/>
      <c r="AD85" s="205"/>
      <c r="AE85" s="205"/>
      <c r="AF85" s="350" t="s">
        <v>901</v>
      </c>
    </row>
    <row r="86" spans="3:32" ht="21" thickBot="1">
      <c r="C86" s="46" t="s">
        <v>661</v>
      </c>
      <c r="V86" s="329"/>
      <c r="W86" s="288" t="s">
        <v>1329</v>
      </c>
      <c r="X86" s="125" t="s">
        <v>463</v>
      </c>
      <c r="Y86" s="126">
        <v>4500</v>
      </c>
      <c r="Z86" s="200"/>
      <c r="AA86" s="200"/>
      <c r="AB86" s="200"/>
      <c r="AC86" s="200"/>
      <c r="AD86" s="200"/>
      <c r="AE86" s="200"/>
      <c r="AF86" s="351"/>
    </row>
    <row r="87" spans="3:32" ht="21" thickBot="1">
      <c r="C87" s="46" t="s">
        <v>662</v>
      </c>
      <c r="V87" s="193" t="s">
        <v>904</v>
      </c>
      <c r="W87" s="289" t="s">
        <v>1330</v>
      </c>
      <c r="X87" s="194" t="s">
        <v>463</v>
      </c>
      <c r="Y87" s="210">
        <v>2200</v>
      </c>
      <c r="Z87" s="211"/>
      <c r="AA87" s="211"/>
      <c r="AB87" s="211"/>
      <c r="AC87" s="211"/>
      <c r="AD87" s="211"/>
      <c r="AE87" s="211"/>
      <c r="AF87" s="218"/>
    </row>
    <row r="88" spans="3:32" ht="20.399999999999999">
      <c r="C88" s="47" t="s">
        <v>89</v>
      </c>
      <c r="V88" s="336" t="s">
        <v>906</v>
      </c>
      <c r="W88" s="345"/>
      <c r="X88" s="345"/>
      <c r="Y88" s="111" t="s">
        <v>853</v>
      </c>
      <c r="Z88" s="111" t="s">
        <v>462</v>
      </c>
      <c r="AA88" s="111" t="s">
        <v>855</v>
      </c>
      <c r="AB88" s="201"/>
      <c r="AC88" s="201"/>
      <c r="AD88" s="201"/>
      <c r="AE88" s="201"/>
      <c r="AF88" s="161"/>
    </row>
    <row r="89" spans="3:32" ht="20.399999999999999">
      <c r="C89" s="48"/>
      <c r="V89" s="119" t="s">
        <v>907</v>
      </c>
      <c r="W89" s="290" t="s">
        <v>1331</v>
      </c>
      <c r="X89" s="115" t="s">
        <v>909</v>
      </c>
      <c r="Y89" s="116">
        <v>500</v>
      </c>
      <c r="Z89" s="116">
        <v>1000</v>
      </c>
      <c r="AA89" s="116">
        <v>1000</v>
      </c>
      <c r="AB89" s="213"/>
      <c r="AC89" s="213"/>
      <c r="AD89" s="213"/>
      <c r="AE89" s="213"/>
      <c r="AF89" s="214" t="s">
        <v>910</v>
      </c>
    </row>
    <row r="90" spans="3:32" ht="20.399999999999999">
      <c r="C90" s="46" t="s">
        <v>640</v>
      </c>
      <c r="V90" s="119" t="s">
        <v>911</v>
      </c>
      <c r="W90" s="290" t="s">
        <v>976</v>
      </c>
      <c r="X90" s="115" t="s">
        <v>909</v>
      </c>
      <c r="Y90" s="116">
        <v>1800</v>
      </c>
      <c r="Z90" s="116">
        <v>2300</v>
      </c>
      <c r="AA90" s="116">
        <v>1300</v>
      </c>
      <c r="AB90" s="213"/>
      <c r="AC90" s="213"/>
      <c r="AD90" s="213"/>
      <c r="AE90" s="213"/>
      <c r="AF90" s="214" t="s">
        <v>910</v>
      </c>
    </row>
    <row r="91" spans="3:32" ht="20.399999999999999">
      <c r="C91" s="44" t="s">
        <v>663</v>
      </c>
      <c r="V91" s="119" t="s">
        <v>913</v>
      </c>
      <c r="W91" s="290" t="s">
        <v>914</v>
      </c>
      <c r="X91" s="115" t="s">
        <v>909</v>
      </c>
      <c r="Y91" s="116">
        <v>200</v>
      </c>
      <c r="Z91" s="116">
        <v>300</v>
      </c>
      <c r="AA91" s="116">
        <v>300</v>
      </c>
      <c r="AB91" s="213"/>
      <c r="AC91" s="213"/>
      <c r="AD91" s="213"/>
      <c r="AE91" s="213"/>
      <c r="AF91" s="214" t="s">
        <v>910</v>
      </c>
    </row>
    <row r="92" spans="3:32" ht="20.399999999999999">
      <c r="C92" s="46" t="s">
        <v>664</v>
      </c>
      <c r="V92" s="119" t="s">
        <v>913</v>
      </c>
      <c r="W92" s="290" t="s">
        <v>977</v>
      </c>
      <c r="X92" s="115" t="s">
        <v>978</v>
      </c>
      <c r="Y92" s="116">
        <v>200</v>
      </c>
      <c r="Z92" s="116">
        <v>300</v>
      </c>
      <c r="AA92" s="116">
        <v>300</v>
      </c>
      <c r="AB92" s="213"/>
      <c r="AC92" s="213"/>
      <c r="AD92" s="213"/>
      <c r="AE92" s="213"/>
      <c r="AF92" s="214" t="s">
        <v>910</v>
      </c>
    </row>
    <row r="93" spans="3:32" ht="20.399999999999999">
      <c r="C93" s="46" t="s">
        <v>665</v>
      </c>
      <c r="V93" s="119" t="s">
        <v>916</v>
      </c>
      <c r="W93" s="290" t="s">
        <v>979</v>
      </c>
      <c r="X93" s="115" t="s">
        <v>909</v>
      </c>
      <c r="Y93" s="116">
        <v>500</v>
      </c>
      <c r="Z93" s="116">
        <v>600</v>
      </c>
      <c r="AA93" s="116">
        <v>1000</v>
      </c>
      <c r="AB93" s="213"/>
      <c r="AC93" s="213"/>
      <c r="AD93" s="213"/>
      <c r="AE93" s="213"/>
      <c r="AF93" s="214" t="s">
        <v>910</v>
      </c>
    </row>
    <row r="94" spans="3:32" ht="18" thickBot="1">
      <c r="V94" s="170" t="s">
        <v>918</v>
      </c>
      <c r="W94" s="288" t="s">
        <v>980</v>
      </c>
      <c r="X94" s="125" t="s">
        <v>915</v>
      </c>
      <c r="Y94" s="126">
        <v>500</v>
      </c>
      <c r="Z94" s="126">
        <v>800</v>
      </c>
      <c r="AA94" s="126">
        <v>500</v>
      </c>
      <c r="AB94" s="200"/>
      <c r="AC94" s="200"/>
      <c r="AD94" s="200"/>
      <c r="AE94" s="200"/>
      <c r="AF94" s="208" t="s">
        <v>910</v>
      </c>
    </row>
    <row r="95" spans="3:32" ht="18" thickBot="1">
      <c r="V95" s="105" t="s">
        <v>920</v>
      </c>
      <c r="W95" s="291" t="s">
        <v>1332</v>
      </c>
      <c r="X95" s="103" t="s">
        <v>879</v>
      </c>
      <c r="Y95" s="216">
        <v>11400</v>
      </c>
      <c r="Z95" s="217"/>
      <c r="AA95" s="217"/>
      <c r="AB95" s="217"/>
      <c r="AC95" s="217"/>
      <c r="AD95" s="217"/>
      <c r="AE95" s="217"/>
      <c r="AF95" s="107"/>
    </row>
    <row r="96" spans="3:32" s="228" customFormat="1" ht="14.4">
      <c r="C96" s="227"/>
      <c r="V96" s="336" t="s">
        <v>922</v>
      </c>
      <c r="W96" s="345"/>
      <c r="X96" s="345"/>
      <c r="Y96" s="111" t="s">
        <v>923</v>
      </c>
      <c r="Z96" s="111" t="s">
        <v>924</v>
      </c>
      <c r="AA96" s="201"/>
      <c r="AB96" s="201"/>
      <c r="AC96" s="201"/>
      <c r="AD96" s="201"/>
      <c r="AE96" s="201"/>
      <c r="AF96" s="161"/>
    </row>
    <row r="97" spans="3:32" s="228" customFormat="1" ht="17.399999999999999">
      <c r="C97" s="227"/>
      <c r="V97" s="329" t="s">
        <v>925</v>
      </c>
      <c r="W97" s="290" t="s">
        <v>1333</v>
      </c>
      <c r="X97" s="115" t="s">
        <v>888</v>
      </c>
      <c r="Y97" s="116">
        <v>36900</v>
      </c>
      <c r="Z97" s="116">
        <v>32000</v>
      </c>
      <c r="AA97" s="213"/>
      <c r="AB97" s="213"/>
      <c r="AC97" s="213"/>
      <c r="AD97" s="213"/>
      <c r="AE97" s="213"/>
      <c r="AF97" s="214" t="s">
        <v>889</v>
      </c>
    </row>
    <row r="98" spans="3:32" ht="17.399999999999999">
      <c r="V98" s="331"/>
      <c r="W98" s="290" t="s">
        <v>1334</v>
      </c>
      <c r="X98" s="115" t="s">
        <v>879</v>
      </c>
      <c r="Y98" s="116">
        <v>17700</v>
      </c>
      <c r="Z98" s="116">
        <v>14400</v>
      </c>
      <c r="AA98" s="213"/>
      <c r="AB98" s="213"/>
      <c r="AC98" s="213"/>
      <c r="AD98" s="213"/>
      <c r="AE98" s="213"/>
      <c r="AF98" s="214" t="s">
        <v>889</v>
      </c>
    </row>
    <row r="99" spans="3:32" ht="17.399999999999999">
      <c r="V99" s="170" t="s">
        <v>926</v>
      </c>
      <c r="W99" s="290" t="s">
        <v>1333</v>
      </c>
      <c r="X99" s="115" t="s">
        <v>888</v>
      </c>
      <c r="Y99" s="116">
        <v>36900</v>
      </c>
      <c r="Z99" s="116">
        <v>32000</v>
      </c>
      <c r="AA99" s="213"/>
      <c r="AB99" s="213"/>
      <c r="AC99" s="213"/>
      <c r="AD99" s="213"/>
      <c r="AE99" s="213"/>
      <c r="AF99" s="214" t="s">
        <v>889</v>
      </c>
    </row>
    <row r="100" spans="3:32" ht="17.399999999999999">
      <c r="V100" s="119" t="s">
        <v>927</v>
      </c>
      <c r="W100" s="290" t="s">
        <v>1335</v>
      </c>
      <c r="X100" s="115" t="s">
        <v>879</v>
      </c>
      <c r="Y100" s="116">
        <v>23400</v>
      </c>
      <c r="Z100" s="116">
        <v>36000</v>
      </c>
      <c r="AA100" s="213"/>
      <c r="AB100" s="213"/>
      <c r="AC100" s="213"/>
      <c r="AD100" s="213"/>
      <c r="AE100" s="213"/>
      <c r="AF100" s="214" t="s">
        <v>889</v>
      </c>
    </row>
    <row r="101" spans="3:32" ht="17.399999999999999">
      <c r="V101" s="119" t="s">
        <v>929</v>
      </c>
      <c r="W101" s="290" t="s">
        <v>1336</v>
      </c>
      <c r="X101" s="115" t="s">
        <v>879</v>
      </c>
      <c r="Y101" s="116">
        <v>6000</v>
      </c>
      <c r="Z101" s="116">
        <v>7200</v>
      </c>
      <c r="AA101" s="213"/>
      <c r="AB101" s="213"/>
      <c r="AC101" s="213"/>
      <c r="AD101" s="213"/>
      <c r="AE101" s="213"/>
      <c r="AF101" s="214" t="s">
        <v>889</v>
      </c>
    </row>
    <row r="102" spans="3:32" ht="17.399999999999999">
      <c r="V102" s="119" t="s">
        <v>931</v>
      </c>
      <c r="W102" s="290" t="s">
        <v>1337</v>
      </c>
      <c r="X102" s="115" t="s">
        <v>879</v>
      </c>
      <c r="Y102" s="116">
        <v>9000</v>
      </c>
      <c r="Z102" s="116">
        <v>10800</v>
      </c>
      <c r="AA102" s="213"/>
      <c r="AB102" s="213"/>
      <c r="AC102" s="213"/>
      <c r="AD102" s="213"/>
      <c r="AE102" s="213"/>
      <c r="AF102" s="214" t="s">
        <v>889</v>
      </c>
    </row>
    <row r="103" spans="3:32" ht="17.399999999999999">
      <c r="V103" s="119" t="s">
        <v>933</v>
      </c>
      <c r="W103" s="290" t="s">
        <v>1338</v>
      </c>
      <c r="X103" s="115" t="s">
        <v>888</v>
      </c>
      <c r="Y103" s="116">
        <v>15500</v>
      </c>
      <c r="Z103" s="116">
        <v>17600</v>
      </c>
      <c r="AA103" s="213"/>
      <c r="AB103" s="213"/>
      <c r="AC103" s="213"/>
      <c r="AD103" s="213"/>
      <c r="AE103" s="213"/>
      <c r="AF103" s="214" t="s">
        <v>889</v>
      </c>
    </row>
    <row r="104" spans="3:32" ht="18" thickBot="1">
      <c r="V104" s="132" t="s">
        <v>935</v>
      </c>
      <c r="W104" s="286" t="s">
        <v>1339</v>
      </c>
      <c r="X104" s="133" t="s">
        <v>888</v>
      </c>
      <c r="Y104" s="134">
        <v>1470</v>
      </c>
      <c r="Z104" s="134">
        <v>11200</v>
      </c>
      <c r="AA104" s="203"/>
      <c r="AB104" s="203"/>
      <c r="AC104" s="203"/>
      <c r="AD104" s="203"/>
      <c r="AE104" s="203"/>
      <c r="AF104" s="195" t="s">
        <v>889</v>
      </c>
    </row>
    <row r="105" spans="3:32" ht="14.4" customHeight="1">
      <c r="V105" s="331" t="s">
        <v>937</v>
      </c>
      <c r="W105" s="352" t="s">
        <v>1340</v>
      </c>
      <c r="X105" s="328" t="s">
        <v>879</v>
      </c>
      <c r="Y105" s="198" t="s">
        <v>741</v>
      </c>
      <c r="Z105" s="198">
        <v>316</v>
      </c>
      <c r="AA105" s="198">
        <v>304</v>
      </c>
      <c r="AB105" s="199"/>
      <c r="AC105" s="199"/>
      <c r="AD105" s="199"/>
      <c r="AE105" s="199"/>
      <c r="AF105" s="347" t="s">
        <v>940</v>
      </c>
    </row>
    <row r="106" spans="3:32" ht="15" customHeight="1" thickBot="1">
      <c r="V106" s="329"/>
      <c r="W106" s="353"/>
      <c r="X106" s="327"/>
      <c r="Y106" s="126">
        <v>2970</v>
      </c>
      <c r="Z106" s="126">
        <v>11000</v>
      </c>
      <c r="AA106" s="126">
        <v>8030</v>
      </c>
      <c r="AB106" s="200"/>
      <c r="AC106" s="200"/>
      <c r="AD106" s="200"/>
      <c r="AE106" s="200"/>
      <c r="AF106" s="348"/>
    </row>
    <row r="107" spans="3:32" ht="14.4" customHeight="1">
      <c r="V107" s="336" t="s">
        <v>941</v>
      </c>
      <c r="W107" s="343" t="s">
        <v>1341</v>
      </c>
      <c r="X107" s="345" t="s">
        <v>879</v>
      </c>
      <c r="Y107" s="111" t="s">
        <v>741</v>
      </c>
      <c r="Z107" s="111">
        <v>316</v>
      </c>
      <c r="AA107" s="201"/>
      <c r="AB107" s="201"/>
      <c r="AC107" s="201"/>
      <c r="AD107" s="201"/>
      <c r="AE107" s="201"/>
      <c r="AF107" s="347" t="s">
        <v>943</v>
      </c>
    </row>
    <row r="108" spans="3:32" ht="15" customHeight="1" thickBot="1">
      <c r="V108" s="342"/>
      <c r="W108" s="344"/>
      <c r="X108" s="346"/>
      <c r="Y108" s="134">
        <v>80000</v>
      </c>
      <c r="Z108" s="134">
        <v>110000</v>
      </c>
      <c r="AA108" s="203"/>
      <c r="AB108" s="203"/>
      <c r="AC108" s="203"/>
      <c r="AD108" s="203"/>
      <c r="AE108" s="203"/>
      <c r="AF108" s="348"/>
    </row>
    <row r="114" spans="22:32" s="3" customFormat="1" ht="13.8" thickBot="1"/>
    <row r="115" spans="22:32" s="3" customFormat="1" ht="30" customHeight="1">
      <c r="V115" s="336" t="s">
        <v>1516</v>
      </c>
      <c r="W115" s="338"/>
      <c r="X115" s="340"/>
      <c r="Y115" s="171" t="s">
        <v>1517</v>
      </c>
      <c r="Z115" s="171" t="s">
        <v>1518</v>
      </c>
      <c r="AA115" s="171" t="s">
        <v>1519</v>
      </c>
      <c r="AB115" s="171"/>
      <c r="AC115" s="171"/>
      <c r="AD115" s="171"/>
      <c r="AE115" s="171"/>
      <c r="AF115" s="172"/>
    </row>
    <row r="116" spans="22:32" s="3" customFormat="1" ht="30" customHeight="1" thickBot="1">
      <c r="V116" s="337"/>
      <c r="W116" s="339"/>
      <c r="X116" s="341"/>
      <c r="Y116" s="173">
        <v>60000</v>
      </c>
      <c r="Z116" s="173">
        <f>IF(F8&gt;0,E8*520,IF(F9&gt;0,E9*520))</f>
        <v>38480</v>
      </c>
      <c r="AA116" s="173">
        <f>IF(F8&gt;0,E8*620,IF(F9&gt;0,E9*620))</f>
        <v>45880</v>
      </c>
      <c r="AB116" s="173"/>
      <c r="AC116" s="173"/>
      <c r="AD116" s="173"/>
      <c r="AE116" s="173"/>
      <c r="AF116" s="174"/>
    </row>
    <row r="117" spans="22:32" s="3" customFormat="1" ht="30" customHeight="1">
      <c r="V117" s="336" t="s">
        <v>1520</v>
      </c>
      <c r="W117" s="338"/>
      <c r="X117" s="340"/>
      <c r="Y117" s="171" t="s">
        <v>1517</v>
      </c>
      <c r="Z117" s="171" t="s">
        <v>1521</v>
      </c>
      <c r="AA117" s="171"/>
      <c r="AB117" s="171"/>
      <c r="AC117" s="171"/>
      <c r="AD117" s="171"/>
      <c r="AE117" s="171"/>
      <c r="AF117" s="172"/>
    </row>
    <row r="118" spans="22:32" s="3" customFormat="1" ht="30" customHeight="1" thickBot="1">
      <c r="V118" s="337"/>
      <c r="W118" s="339"/>
      <c r="X118" s="341"/>
      <c r="Y118" s="173">
        <v>75000</v>
      </c>
      <c r="Z118" s="173">
        <f>Y118</f>
        <v>75000</v>
      </c>
      <c r="AA118" s="173"/>
      <c r="AB118" s="173"/>
      <c r="AC118" s="173"/>
      <c r="AD118" s="173"/>
      <c r="AE118" s="173"/>
      <c r="AF118" s="174"/>
    </row>
    <row r="119" spans="22:32" s="3" customFormat="1" ht="30" customHeight="1">
      <c r="V119" s="336" t="s">
        <v>1522</v>
      </c>
      <c r="W119" s="338"/>
      <c r="X119" s="340"/>
      <c r="Y119" s="171" t="s">
        <v>1523</v>
      </c>
      <c r="Z119" s="171" t="s">
        <v>1524</v>
      </c>
      <c r="AA119" s="171" t="s">
        <v>1525</v>
      </c>
      <c r="AB119" s="171"/>
      <c r="AC119" s="171"/>
      <c r="AD119" s="171"/>
      <c r="AE119" s="171"/>
      <c r="AF119" s="172"/>
    </row>
    <row r="120" spans="22:32" s="3" customFormat="1" ht="30" customHeight="1">
      <c r="V120" s="337"/>
      <c r="W120" s="339"/>
      <c r="X120" s="341"/>
      <c r="Y120" s="306">
        <v>50000</v>
      </c>
      <c r="Z120" s="306">
        <v>80000</v>
      </c>
      <c r="AA120" s="173">
        <v>160000</v>
      </c>
      <c r="AB120" s="173"/>
      <c r="AC120" s="173"/>
      <c r="AD120" s="173"/>
      <c r="AE120" s="173"/>
      <c r="AF120" s="174"/>
    </row>
  </sheetData>
  <mergeCells count="67">
    <mergeCell ref="A1:S1"/>
    <mergeCell ref="A3:B4"/>
    <mergeCell ref="C3:C4"/>
    <mergeCell ref="D3:D4"/>
    <mergeCell ref="E3:E4"/>
    <mergeCell ref="F3:F4"/>
    <mergeCell ref="G3:G4"/>
    <mergeCell ref="H3:Q4"/>
    <mergeCell ref="R3:R4"/>
    <mergeCell ref="S3:S4"/>
    <mergeCell ref="T3:T7"/>
    <mergeCell ref="A5:B7"/>
    <mergeCell ref="C5:C7"/>
    <mergeCell ref="D5:D7"/>
    <mergeCell ref="E5:G6"/>
    <mergeCell ref="H5:H6"/>
    <mergeCell ref="I5:Q5"/>
    <mergeCell ref="R5:R7"/>
    <mergeCell ref="S5:S7"/>
    <mergeCell ref="A67:F67"/>
    <mergeCell ref="A68:F68"/>
    <mergeCell ref="A69:G70"/>
    <mergeCell ref="A8:A61"/>
    <mergeCell ref="A62:F62"/>
    <mergeCell ref="A63:F63"/>
    <mergeCell ref="A64:F64"/>
    <mergeCell ref="A65:F65"/>
    <mergeCell ref="A66:F66"/>
    <mergeCell ref="Y72:AE72"/>
    <mergeCell ref="V73:V74"/>
    <mergeCell ref="Y73:AE73"/>
    <mergeCell ref="Y74:AE74"/>
    <mergeCell ref="Y75:AE75"/>
    <mergeCell ref="V76:V77"/>
    <mergeCell ref="X76:AE76"/>
    <mergeCell ref="X77:AE77"/>
    <mergeCell ref="V78:V79"/>
    <mergeCell ref="W78:W79"/>
    <mergeCell ref="X78:X79"/>
    <mergeCell ref="V81:V82"/>
    <mergeCell ref="W81:W82"/>
    <mergeCell ref="X81:X82"/>
    <mergeCell ref="V83:V84"/>
    <mergeCell ref="W83:W84"/>
    <mergeCell ref="X83:X84"/>
    <mergeCell ref="V85:V86"/>
    <mergeCell ref="AF85:AF86"/>
    <mergeCell ref="V88:X88"/>
    <mergeCell ref="V96:X96"/>
    <mergeCell ref="V97:V98"/>
    <mergeCell ref="V105:V106"/>
    <mergeCell ref="AF105:AF106"/>
    <mergeCell ref="V107:V108"/>
    <mergeCell ref="AF107:AF108"/>
    <mergeCell ref="W107:W108"/>
    <mergeCell ref="X107:X108"/>
    <mergeCell ref="W105:W106"/>
    <mergeCell ref="X105:X106"/>
    <mergeCell ref="V119:V120"/>
    <mergeCell ref="W119:W120"/>
    <mergeCell ref="X119:X120"/>
    <mergeCell ref="V115:V116"/>
    <mergeCell ref="W115:W116"/>
    <mergeCell ref="X115:X116"/>
    <mergeCell ref="V117:V118"/>
    <mergeCell ref="W117:W118"/>
    <mergeCell ref="X117:X118"/>
  </mergeCells>
  <phoneticPr fontId="3" type="noConversion"/>
  <printOptions horizontalCentered="1"/>
  <pageMargins left="0.39370078740157483" right="0.39370078740157483" top="0.39370078740157483" bottom="0.15748031496062992" header="0.51181102362204722" footer="0.51181102362204722"/>
  <pageSetup paperSize="9" scale="45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AF120"/>
  <sheetViews>
    <sheetView showGridLines="0" view="pageBreakPreview" zoomScale="70" zoomScaleNormal="55" zoomScaleSheetLayoutView="70" workbookViewId="0">
      <selection sqref="A1:XFD1048576"/>
    </sheetView>
  </sheetViews>
  <sheetFormatPr defaultColWidth="8.8984375" defaultRowHeight="13.2"/>
  <cols>
    <col min="1" max="1" width="3.3984375" style="3" customWidth="1"/>
    <col min="2" max="2" width="9.5" style="3" customWidth="1"/>
    <col min="3" max="3" width="25.19921875" style="49" customWidth="1"/>
    <col min="4" max="5" width="13.09765625" style="3" customWidth="1"/>
    <col min="6" max="7" width="15.09765625" style="3" customWidth="1"/>
    <col min="8" max="8" width="15.09765625" style="3" hidden="1" customWidth="1"/>
    <col min="9" max="17" width="15.69921875" style="3" hidden="1" customWidth="1"/>
    <col min="18" max="18" width="15.69921875" style="3" customWidth="1"/>
    <col min="19" max="19" width="26.8984375" style="3" customWidth="1"/>
    <col min="20" max="20" width="30.09765625" style="3" customWidth="1"/>
    <col min="21" max="21" width="12.19921875" style="3" bestFit="1" customWidth="1"/>
    <col min="22" max="22" width="47.69921875" style="3" bestFit="1" customWidth="1"/>
    <col min="23" max="23" width="42" style="3" bestFit="1" customWidth="1"/>
    <col min="24" max="24" width="10.5" style="3" bestFit="1" customWidth="1"/>
    <col min="25" max="25" width="12.19921875" style="3" bestFit="1" customWidth="1"/>
    <col min="26" max="26" width="14.09765625" style="3" bestFit="1" customWidth="1"/>
    <col min="27" max="27" width="12.3984375" style="3" bestFit="1" customWidth="1"/>
    <col min="28" max="28" width="8.69921875" style="3" bestFit="1" customWidth="1"/>
    <col min="29" max="30" width="8.59765625" style="3" bestFit="1" customWidth="1"/>
    <col min="31" max="31" width="14.3984375" style="3" bestFit="1" customWidth="1"/>
    <col min="32" max="32" width="18.59765625" style="3" bestFit="1" customWidth="1"/>
    <col min="33" max="16384" width="8.8984375" style="3"/>
  </cols>
  <sheetData>
    <row r="1" spans="1:31" s="2" customFormat="1" ht="51" customHeight="1" thickBot="1">
      <c r="A1" s="411" t="s">
        <v>1312</v>
      </c>
      <c r="B1" s="412"/>
      <c r="C1" s="412"/>
      <c r="D1" s="412"/>
      <c r="E1" s="412"/>
      <c r="F1" s="412"/>
      <c r="G1" s="412"/>
      <c r="H1" s="412"/>
      <c r="I1" s="412"/>
      <c r="J1" s="412"/>
      <c r="K1" s="412"/>
      <c r="L1" s="412"/>
      <c r="M1" s="412"/>
      <c r="N1" s="412"/>
      <c r="O1" s="412"/>
      <c r="P1" s="412"/>
      <c r="Q1" s="412"/>
      <c r="R1" s="412"/>
      <c r="S1" s="412"/>
      <c r="T1" s="1"/>
    </row>
    <row r="2" spans="1:31" s="2" customFormat="1" ht="30" customHeight="1" thickBot="1">
      <c r="A2" s="3"/>
      <c r="B2" s="3"/>
      <c r="T2" s="4" t="s">
        <v>0</v>
      </c>
    </row>
    <row r="3" spans="1:31" s="5" customFormat="1" ht="24" customHeight="1">
      <c r="A3" s="413" t="s">
        <v>1</v>
      </c>
      <c r="B3" s="414"/>
      <c r="C3" s="417" t="s">
        <v>666</v>
      </c>
      <c r="D3" s="419" t="s">
        <v>3</v>
      </c>
      <c r="E3" s="421" t="s">
        <v>1313</v>
      </c>
      <c r="F3" s="423" t="s">
        <v>4</v>
      </c>
      <c r="G3" s="425" t="str">
        <f>COVER!B9</f>
        <v>FLANGE</v>
      </c>
      <c r="H3" s="421" t="s">
        <v>5</v>
      </c>
      <c r="I3" s="427"/>
      <c r="J3" s="427"/>
      <c r="K3" s="427"/>
      <c r="L3" s="427"/>
      <c r="M3" s="427"/>
      <c r="N3" s="427"/>
      <c r="O3" s="427"/>
      <c r="P3" s="427"/>
      <c r="Q3" s="428"/>
      <c r="R3" s="423" t="s">
        <v>6</v>
      </c>
      <c r="S3" s="431" t="s">
        <v>7</v>
      </c>
      <c r="T3" s="381" t="s">
        <v>8</v>
      </c>
      <c r="V3" s="432"/>
    </row>
    <row r="4" spans="1:31" s="5" customFormat="1" ht="24" customHeight="1">
      <c r="A4" s="415"/>
      <c r="B4" s="416"/>
      <c r="C4" s="418"/>
      <c r="D4" s="420"/>
      <c r="E4" s="422"/>
      <c r="F4" s="424"/>
      <c r="G4" s="426"/>
      <c r="H4" s="422"/>
      <c r="I4" s="429"/>
      <c r="J4" s="429"/>
      <c r="K4" s="429"/>
      <c r="L4" s="429"/>
      <c r="M4" s="429"/>
      <c r="N4" s="429"/>
      <c r="O4" s="429"/>
      <c r="P4" s="429"/>
      <c r="Q4" s="430"/>
      <c r="R4" s="424"/>
      <c r="S4" s="410"/>
      <c r="T4" s="382"/>
      <c r="V4" s="432"/>
      <c r="W4" s="6"/>
      <c r="X4" s="6"/>
      <c r="Y4" s="7"/>
      <c r="Z4" s="7"/>
      <c r="AA4" s="7"/>
      <c r="AB4" s="7"/>
      <c r="AC4" s="7"/>
      <c r="AD4" s="7"/>
      <c r="AE4" s="7"/>
    </row>
    <row r="5" spans="1:31" s="5" customFormat="1" ht="24" customHeight="1">
      <c r="A5" s="384" t="s">
        <v>9</v>
      </c>
      <c r="B5" s="385"/>
      <c r="C5" s="390" t="s">
        <v>10</v>
      </c>
      <c r="D5" s="393" t="s">
        <v>11</v>
      </c>
      <c r="E5" s="396" t="s">
        <v>12</v>
      </c>
      <c r="F5" s="397"/>
      <c r="G5" s="398"/>
      <c r="H5" s="402" t="s">
        <v>13</v>
      </c>
      <c r="I5" s="404" t="s">
        <v>14</v>
      </c>
      <c r="J5" s="405"/>
      <c r="K5" s="405"/>
      <c r="L5" s="405"/>
      <c r="M5" s="405"/>
      <c r="N5" s="405"/>
      <c r="O5" s="405"/>
      <c r="P5" s="405"/>
      <c r="Q5" s="405"/>
      <c r="R5" s="406" t="s">
        <v>15</v>
      </c>
      <c r="S5" s="408" t="s">
        <v>16</v>
      </c>
      <c r="T5" s="382"/>
      <c r="V5" s="432"/>
      <c r="W5" s="7"/>
      <c r="X5" s="7"/>
      <c r="Y5" s="7"/>
      <c r="Z5" s="7"/>
      <c r="AA5" s="7"/>
      <c r="AB5" s="7"/>
      <c r="AC5" s="7"/>
      <c r="AD5" s="7"/>
      <c r="AE5" s="7"/>
    </row>
    <row r="6" spans="1:31" s="5" customFormat="1" ht="24" customHeight="1">
      <c r="A6" s="386"/>
      <c r="B6" s="387"/>
      <c r="C6" s="391"/>
      <c r="D6" s="394"/>
      <c r="E6" s="399"/>
      <c r="F6" s="400"/>
      <c r="G6" s="401"/>
      <c r="H6" s="403"/>
      <c r="I6" s="8" t="s">
        <v>17</v>
      </c>
      <c r="J6" s="8" t="s">
        <v>18</v>
      </c>
      <c r="K6" s="8" t="s">
        <v>19</v>
      </c>
      <c r="L6" s="9" t="s">
        <v>20</v>
      </c>
      <c r="M6" s="9" t="s">
        <v>21</v>
      </c>
      <c r="N6" s="8" t="s">
        <v>22</v>
      </c>
      <c r="O6" s="8" t="s">
        <v>23</v>
      </c>
      <c r="P6" s="8" t="s">
        <v>24</v>
      </c>
      <c r="Q6" s="10" t="s">
        <v>25</v>
      </c>
      <c r="R6" s="407"/>
      <c r="S6" s="409"/>
      <c r="T6" s="382"/>
      <c r="V6" s="432"/>
      <c r="W6" s="6"/>
      <c r="X6" s="6"/>
      <c r="Y6" s="7"/>
      <c r="Z6" s="7"/>
      <c r="AA6" s="7"/>
      <c r="AB6" s="7"/>
      <c r="AC6" s="7"/>
      <c r="AD6" s="7"/>
      <c r="AE6" s="7"/>
    </row>
    <row r="7" spans="1:31" ht="24" customHeight="1">
      <c r="A7" s="388"/>
      <c r="B7" s="389"/>
      <c r="C7" s="392"/>
      <c r="D7" s="395"/>
      <c r="E7" s="8" t="s">
        <v>26</v>
      </c>
      <c r="F7" s="8" t="s">
        <v>27</v>
      </c>
      <c r="G7" s="8" t="s">
        <v>28</v>
      </c>
      <c r="H7" s="8"/>
      <c r="I7" s="8" t="s">
        <v>29</v>
      </c>
      <c r="J7" s="8" t="s">
        <v>30</v>
      </c>
      <c r="K7" s="8" t="s">
        <v>31</v>
      </c>
      <c r="L7" s="9" t="s">
        <v>29</v>
      </c>
      <c r="M7" s="9" t="s">
        <v>32</v>
      </c>
      <c r="N7" s="8" t="s">
        <v>33</v>
      </c>
      <c r="O7" s="8" t="s">
        <v>34</v>
      </c>
      <c r="P7" s="8" t="s">
        <v>35</v>
      </c>
      <c r="Q7" s="10" t="s">
        <v>36</v>
      </c>
      <c r="R7" s="403"/>
      <c r="S7" s="410"/>
      <c r="T7" s="383"/>
      <c r="V7" s="432"/>
      <c r="W7" s="6"/>
      <c r="X7" s="6"/>
      <c r="Y7" s="7"/>
      <c r="Z7" s="7"/>
      <c r="AA7" s="7"/>
      <c r="AB7" s="7"/>
      <c r="AC7" s="7"/>
      <c r="AD7" s="7"/>
      <c r="AE7" s="7"/>
    </row>
    <row r="8" spans="1:31" ht="33" customHeight="1">
      <c r="A8" s="375" t="s">
        <v>37</v>
      </c>
      <c r="B8" s="11">
        <v>1</v>
      </c>
      <c r="C8" s="142" t="str">
        <f>COVER!A14</f>
        <v>BODY(LUG)</v>
      </c>
      <c r="D8" s="20">
        <f>COVER!B14</f>
        <v>0</v>
      </c>
      <c r="E8" s="148">
        <f>43*1.2</f>
        <v>51.6</v>
      </c>
      <c r="F8" s="14">
        <f>COVER!C14</f>
        <v>0</v>
      </c>
      <c r="G8" s="14">
        <f>F8*E8</f>
        <v>0</v>
      </c>
      <c r="H8" s="14"/>
      <c r="I8" s="15">
        <f>I10*I9</f>
        <v>36001489368637.438</v>
      </c>
      <c r="J8" s="15">
        <f t="shared" ref="J8:Q9" si="0">J10*J9</f>
        <v>43341753052405.07</v>
      </c>
      <c r="K8" s="15">
        <f t="shared" si="0"/>
        <v>168335087307216.53</v>
      </c>
      <c r="L8" s="15">
        <f t="shared" si="0"/>
        <v>506706621524695.19</v>
      </c>
      <c r="M8" s="15">
        <f t="shared" si="0"/>
        <v>632417344857819.5</v>
      </c>
      <c r="N8" s="15">
        <f t="shared" si="0"/>
        <v>46528628303586.25</v>
      </c>
      <c r="O8" s="15">
        <f t="shared" si="0"/>
        <v>0</v>
      </c>
      <c r="P8" s="15">
        <f t="shared" si="0"/>
        <v>0</v>
      </c>
      <c r="Q8" s="15">
        <f t="shared" si="0"/>
        <v>10000000000000</v>
      </c>
      <c r="R8" s="15">
        <f>IF(COVER!C14&gt;0,150000*1.2,0)</f>
        <v>0</v>
      </c>
      <c r="S8" s="15">
        <f>G8+R8</f>
        <v>0</v>
      </c>
      <c r="T8" s="309" t="s">
        <v>1171</v>
      </c>
      <c r="V8" s="6"/>
      <c r="W8" s="6"/>
      <c r="X8" s="6"/>
      <c r="Y8" s="7"/>
      <c r="Z8" s="7"/>
      <c r="AA8" s="7"/>
      <c r="AB8" s="7"/>
      <c r="AC8" s="7"/>
      <c r="AD8" s="7"/>
      <c r="AE8" s="7"/>
    </row>
    <row r="9" spans="1:31" ht="33" customHeight="1">
      <c r="A9" s="376"/>
      <c r="B9" s="146" t="s">
        <v>1167</v>
      </c>
      <c r="C9" s="142" t="str">
        <f>COVER!A15</f>
        <v>BODY(FLANGE)</v>
      </c>
      <c r="D9" s="20" t="str">
        <f>COVER!B15</f>
        <v>A216 WCB</v>
      </c>
      <c r="E9" s="148">
        <v>100</v>
      </c>
      <c r="F9" s="14">
        <f>COVER!C15</f>
        <v>4300</v>
      </c>
      <c r="G9" s="14">
        <f>F9*E9</f>
        <v>430000</v>
      </c>
      <c r="H9" s="14"/>
      <c r="I9" s="15">
        <f>I11*I10</f>
        <v>2348985369.5999999</v>
      </c>
      <c r="J9" s="15">
        <f t="shared" si="0"/>
        <v>2658301984.9000001</v>
      </c>
      <c r="K9" s="15">
        <f t="shared" si="0"/>
        <v>6568251379.5999994</v>
      </c>
      <c r="L9" s="15">
        <f t="shared" si="0"/>
        <v>13693182184.900002</v>
      </c>
      <c r="M9" s="15">
        <f t="shared" si="0"/>
        <v>15873371539.6</v>
      </c>
      <c r="N9" s="15">
        <f t="shared" si="0"/>
        <v>2787063302.5</v>
      </c>
      <c r="O9" s="15">
        <f t="shared" si="0"/>
        <v>0</v>
      </c>
      <c r="P9" s="15">
        <f t="shared" si="0"/>
        <v>0</v>
      </c>
      <c r="Q9" s="15">
        <f t="shared" si="0"/>
        <v>1000000000</v>
      </c>
      <c r="R9" s="15">
        <f>IF(COVER!C15&gt;0,200000*1.2,0)</f>
        <v>240000</v>
      </c>
      <c r="S9" s="15">
        <f t="shared" ref="S9:S62" si="1">G9+R9</f>
        <v>670000</v>
      </c>
      <c r="T9" s="309" t="s">
        <v>1169</v>
      </c>
      <c r="V9" s="150">
        <f>R9</f>
        <v>240000</v>
      </c>
      <c r="W9" s="6"/>
      <c r="X9" s="6"/>
      <c r="Y9" s="7"/>
      <c r="Z9" s="7"/>
      <c r="AA9" s="7"/>
      <c r="AB9" s="7"/>
      <c r="AC9" s="7"/>
      <c r="AD9" s="7"/>
      <c r="AE9" s="7"/>
    </row>
    <row r="10" spans="1:31" ht="33" hidden="1" customHeight="1">
      <c r="A10" s="376"/>
      <c r="B10" s="11"/>
      <c r="C10" s="142"/>
      <c r="D10" s="20"/>
      <c r="E10" s="13"/>
      <c r="F10" s="14"/>
      <c r="G10" s="14"/>
      <c r="H10" s="14" t="s">
        <v>40</v>
      </c>
      <c r="I10" s="15">
        <f t="shared" ref="I10:Q10" si="2">I11/10</f>
        <v>15326.4</v>
      </c>
      <c r="J10" s="15">
        <f t="shared" si="2"/>
        <v>16304.3</v>
      </c>
      <c r="K10" s="15">
        <f t="shared" si="2"/>
        <v>25628.6</v>
      </c>
      <c r="L10" s="15">
        <f t="shared" si="2"/>
        <v>37004.300000000003</v>
      </c>
      <c r="M10" s="15">
        <f t="shared" si="2"/>
        <v>39841.4</v>
      </c>
      <c r="N10" s="15">
        <f t="shared" si="2"/>
        <v>16694.5</v>
      </c>
      <c r="O10" s="15">
        <f t="shared" si="2"/>
        <v>0</v>
      </c>
      <c r="P10" s="15">
        <f t="shared" si="2"/>
        <v>0</v>
      </c>
      <c r="Q10" s="15">
        <f t="shared" si="2"/>
        <v>10000</v>
      </c>
      <c r="R10" s="15"/>
      <c r="S10" s="15">
        <f t="shared" si="1"/>
        <v>0</v>
      </c>
      <c r="T10" s="16"/>
      <c r="V10" s="6"/>
      <c r="W10" s="6"/>
      <c r="X10" s="6"/>
      <c r="Y10" s="7"/>
      <c r="Z10" s="7"/>
      <c r="AA10" s="7"/>
      <c r="AB10" s="7"/>
      <c r="AC10" s="7"/>
      <c r="AD10" s="7"/>
      <c r="AE10" s="7"/>
    </row>
    <row r="11" spans="1:31" ht="33" hidden="1" customHeight="1">
      <c r="A11" s="376"/>
      <c r="B11" s="11"/>
      <c r="C11" s="142"/>
      <c r="D11" s="20"/>
      <c r="E11" s="13"/>
      <c r="F11" s="14"/>
      <c r="G11" s="14"/>
      <c r="H11" s="17" t="s">
        <v>667</v>
      </c>
      <c r="I11" s="15">
        <v>153264</v>
      </c>
      <c r="J11" s="15">
        <v>163043</v>
      </c>
      <c r="K11" s="15">
        <v>256286</v>
      </c>
      <c r="L11" s="15">
        <v>370043</v>
      </c>
      <c r="M11" s="15">
        <v>398414</v>
      </c>
      <c r="N11" s="15">
        <v>166945</v>
      </c>
      <c r="O11" s="15">
        <v>0</v>
      </c>
      <c r="P11" s="15">
        <v>0</v>
      </c>
      <c r="Q11" s="15">
        <v>100000</v>
      </c>
      <c r="R11" s="15"/>
      <c r="S11" s="15">
        <f t="shared" si="1"/>
        <v>0</v>
      </c>
      <c r="T11" s="16"/>
      <c r="V11" s="6"/>
      <c r="W11" s="6"/>
      <c r="X11" s="6"/>
      <c r="Y11" s="7"/>
      <c r="Z11" s="7"/>
      <c r="AA11" s="7"/>
      <c r="AB11" s="7"/>
      <c r="AC11" s="7"/>
      <c r="AD11" s="7"/>
      <c r="AE11" s="7"/>
    </row>
    <row r="12" spans="1:31" s="19" customFormat="1" ht="33" customHeight="1">
      <c r="A12" s="376"/>
      <c r="B12" s="11">
        <v>2</v>
      </c>
      <c r="C12" s="142" t="s">
        <v>42</v>
      </c>
      <c r="D12" s="20" t="str">
        <f>COVER!B16</f>
        <v>A216 WCB</v>
      </c>
      <c r="E12" s="13">
        <v>9</v>
      </c>
      <c r="F12" s="14">
        <f>COVER!C16</f>
        <v>4300</v>
      </c>
      <c r="G12" s="14">
        <f>F12*E12</f>
        <v>38700</v>
      </c>
      <c r="H12" s="14"/>
      <c r="I12" s="15">
        <f>I13*I14</f>
        <v>10728.48</v>
      </c>
      <c r="J12" s="15">
        <f t="shared" ref="J12:Q12" si="3">J13*J14</f>
        <v>0</v>
      </c>
      <c r="K12" s="15">
        <f t="shared" si="3"/>
        <v>8152.15</v>
      </c>
      <c r="L12" s="15">
        <f t="shared" si="3"/>
        <v>11485</v>
      </c>
      <c r="M12" s="15">
        <f t="shared" si="3"/>
        <v>0</v>
      </c>
      <c r="N12" s="15">
        <f t="shared" si="3"/>
        <v>0</v>
      </c>
      <c r="O12" s="15">
        <f t="shared" si="3"/>
        <v>0</v>
      </c>
      <c r="P12" s="15">
        <f t="shared" si="3"/>
        <v>0</v>
      </c>
      <c r="Q12" s="15">
        <f t="shared" si="3"/>
        <v>3000</v>
      </c>
      <c r="R12" s="15">
        <v>137999.99999999997</v>
      </c>
      <c r="S12" s="15">
        <f t="shared" si="1"/>
        <v>176699.99999999997</v>
      </c>
      <c r="T12" s="18"/>
      <c r="V12" s="6"/>
      <c r="W12" s="6"/>
      <c r="X12" s="6"/>
      <c r="Y12" s="7"/>
      <c r="Z12" s="7"/>
      <c r="AA12" s="7"/>
      <c r="AB12" s="7"/>
      <c r="AC12" s="7"/>
      <c r="AD12" s="7"/>
      <c r="AE12" s="7"/>
    </row>
    <row r="13" spans="1:31" s="19" customFormat="1" ht="33" hidden="1" customHeight="1">
      <c r="A13" s="376"/>
      <c r="B13" s="11"/>
      <c r="C13" s="142"/>
      <c r="D13" s="20"/>
      <c r="E13" s="13"/>
      <c r="F13" s="14"/>
      <c r="G13" s="14"/>
      <c r="H13" s="17" t="s">
        <v>39</v>
      </c>
      <c r="I13" s="21">
        <v>0.7</v>
      </c>
      <c r="J13" s="21">
        <v>0</v>
      </c>
      <c r="K13" s="21">
        <v>0.5</v>
      </c>
      <c r="L13" s="21">
        <v>0.5</v>
      </c>
      <c r="M13" s="21">
        <v>0</v>
      </c>
      <c r="N13" s="21">
        <v>0</v>
      </c>
      <c r="O13" s="21"/>
      <c r="P13" s="21"/>
      <c r="Q13" s="21">
        <v>0.3</v>
      </c>
      <c r="R13" s="15"/>
      <c r="S13" s="15">
        <f t="shared" si="1"/>
        <v>0</v>
      </c>
      <c r="T13" s="22"/>
      <c r="V13" s="6"/>
      <c r="W13" s="6"/>
      <c r="X13" s="6"/>
      <c r="Y13" s="7"/>
      <c r="Z13" s="7"/>
      <c r="AA13" s="7"/>
      <c r="AB13" s="7"/>
      <c r="AC13" s="7"/>
      <c r="AD13" s="7"/>
      <c r="AE13" s="7"/>
    </row>
    <row r="14" spans="1:31" s="19" customFormat="1" ht="33" hidden="1" customHeight="1">
      <c r="A14" s="376"/>
      <c r="B14" s="11"/>
      <c r="C14" s="142"/>
      <c r="D14" s="20"/>
      <c r="E14" s="13"/>
      <c r="F14" s="14"/>
      <c r="G14" s="14"/>
      <c r="H14" s="14" t="s">
        <v>40</v>
      </c>
      <c r="I14" s="15">
        <f>I15/10</f>
        <v>15326.4</v>
      </c>
      <c r="J14" s="15">
        <f t="shared" ref="J14:Q14" si="4">J15/10</f>
        <v>16304.3</v>
      </c>
      <c r="K14" s="15">
        <f t="shared" si="4"/>
        <v>16304.3</v>
      </c>
      <c r="L14" s="15">
        <f t="shared" si="4"/>
        <v>22970</v>
      </c>
      <c r="M14" s="15">
        <f t="shared" si="4"/>
        <v>39841.4</v>
      </c>
      <c r="N14" s="15">
        <f t="shared" si="4"/>
        <v>16694.5</v>
      </c>
      <c r="O14" s="15">
        <f t="shared" si="4"/>
        <v>0</v>
      </c>
      <c r="P14" s="15">
        <f t="shared" si="4"/>
        <v>0</v>
      </c>
      <c r="Q14" s="15">
        <f t="shared" si="4"/>
        <v>10000</v>
      </c>
      <c r="R14" s="15"/>
      <c r="S14" s="15">
        <f t="shared" si="1"/>
        <v>0</v>
      </c>
      <c r="T14" s="22"/>
      <c r="V14" s="6"/>
      <c r="W14" s="6"/>
      <c r="X14" s="6"/>
      <c r="Y14" s="7"/>
      <c r="Z14" s="7"/>
      <c r="AA14" s="7"/>
      <c r="AB14" s="7"/>
      <c r="AC14" s="7"/>
      <c r="AD14" s="7"/>
      <c r="AE14" s="7"/>
    </row>
    <row r="15" spans="1:31" s="19" customFormat="1" ht="33" hidden="1" customHeight="1">
      <c r="A15" s="376"/>
      <c r="B15" s="11"/>
      <c r="C15" s="142"/>
      <c r="D15" s="20"/>
      <c r="E15" s="13"/>
      <c r="F15" s="14"/>
      <c r="G15" s="14"/>
      <c r="H15" s="14" t="s">
        <v>43</v>
      </c>
      <c r="I15" s="15">
        <v>153264</v>
      </c>
      <c r="J15" s="15">
        <v>163043</v>
      </c>
      <c r="K15" s="15">
        <v>163043</v>
      </c>
      <c r="L15" s="15">
        <v>229700</v>
      </c>
      <c r="M15" s="15">
        <v>398414</v>
      </c>
      <c r="N15" s="15">
        <v>166945</v>
      </c>
      <c r="O15" s="15">
        <v>0</v>
      </c>
      <c r="P15" s="15">
        <v>0</v>
      </c>
      <c r="Q15" s="15">
        <v>100000</v>
      </c>
      <c r="R15" s="15"/>
      <c r="S15" s="15">
        <f t="shared" si="1"/>
        <v>0</v>
      </c>
      <c r="T15" s="22"/>
      <c r="V15" s="6"/>
      <c r="W15" s="6"/>
      <c r="X15" s="6"/>
      <c r="Y15" s="7"/>
      <c r="Z15" s="7"/>
      <c r="AA15" s="7"/>
      <c r="AB15" s="7"/>
      <c r="AC15" s="7"/>
      <c r="AD15" s="7"/>
      <c r="AE15" s="7"/>
    </row>
    <row r="16" spans="1:31" s="19" customFormat="1" ht="33" customHeight="1">
      <c r="A16" s="376"/>
      <c r="B16" s="11">
        <v>3</v>
      </c>
      <c r="C16" s="142" t="s">
        <v>952</v>
      </c>
      <c r="D16" s="20" t="str">
        <f>COVER!B19</f>
        <v>WCB+309+#6</v>
      </c>
      <c r="E16" s="13">
        <v>1</v>
      </c>
      <c r="F16" s="14">
        <f>IF(D16="SUS+#6",X76,IF(D16="WCB+309+#6",X77))</f>
        <v>114300</v>
      </c>
      <c r="G16" s="14">
        <f>F16*E16</f>
        <v>114300</v>
      </c>
      <c r="H16" s="14"/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f t="shared" si="1"/>
        <v>114300</v>
      </c>
      <c r="T16" s="22"/>
      <c r="V16" s="6"/>
      <c r="W16" s="6"/>
      <c r="X16" s="6"/>
      <c r="Y16" s="7"/>
      <c r="Z16" s="7"/>
      <c r="AA16" s="7"/>
      <c r="AB16" s="7"/>
      <c r="AC16" s="7"/>
      <c r="AD16" s="7"/>
      <c r="AE16" s="7"/>
    </row>
    <row r="17" spans="1:31" s="19" customFormat="1" ht="33" customHeight="1">
      <c r="A17" s="376"/>
      <c r="B17" s="11">
        <v>4</v>
      </c>
      <c r="C17" s="142" t="s">
        <v>1179</v>
      </c>
      <c r="D17" s="20" t="str">
        <f>COVER!B18</f>
        <v>A240T316L+GARPHITE</v>
      </c>
      <c r="E17" s="13">
        <v>1</v>
      </c>
      <c r="F17" s="14">
        <f>IF(D17="A240T316L+GARPHITE",Y84+Z84)</f>
        <v>59200</v>
      </c>
      <c r="G17" s="14">
        <f>F17*E17</f>
        <v>59200</v>
      </c>
      <c r="H17" s="14"/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f>Z84*1.3</f>
        <v>65000</v>
      </c>
      <c r="S17" s="15">
        <f t="shared" si="1"/>
        <v>124200</v>
      </c>
      <c r="T17" s="22"/>
      <c r="V17" s="23"/>
      <c r="W17" s="23"/>
      <c r="X17" s="23"/>
      <c r="Y17" s="7"/>
      <c r="Z17" s="7"/>
      <c r="AA17" s="7"/>
      <c r="AB17" s="7"/>
      <c r="AC17" s="7"/>
      <c r="AD17" s="7"/>
      <c r="AE17" s="7"/>
    </row>
    <row r="18" spans="1:31" s="19" customFormat="1" ht="33" customHeight="1">
      <c r="A18" s="376"/>
      <c r="B18" s="11">
        <v>5</v>
      </c>
      <c r="C18" s="175" t="s">
        <v>852</v>
      </c>
      <c r="D18" s="24" t="str">
        <f>COVER!B20</f>
        <v>SS316L</v>
      </c>
      <c r="E18" s="301">
        <v>1</v>
      </c>
      <c r="F18" s="14">
        <f>IF(D18="SS304",Y82,IF(D18="SS316L",Z82))</f>
        <v>26000</v>
      </c>
      <c r="G18" s="14">
        <f>E18*F18</f>
        <v>26000</v>
      </c>
      <c r="H18" s="14"/>
      <c r="I18" s="15">
        <f>I19*I20</f>
        <v>7663.2</v>
      </c>
      <c r="J18" s="15">
        <f t="shared" ref="J18:Q18" si="5">J19*J20</f>
        <v>8152.15</v>
      </c>
      <c r="K18" s="15">
        <f t="shared" si="5"/>
        <v>0</v>
      </c>
      <c r="L18" s="15">
        <f t="shared" si="5"/>
        <v>0</v>
      </c>
      <c r="M18" s="15">
        <f t="shared" si="5"/>
        <v>0</v>
      </c>
      <c r="N18" s="15">
        <f t="shared" si="5"/>
        <v>0</v>
      </c>
      <c r="O18" s="15">
        <f t="shared" si="5"/>
        <v>0</v>
      </c>
      <c r="P18" s="15">
        <f t="shared" si="5"/>
        <v>0</v>
      </c>
      <c r="Q18" s="15">
        <f t="shared" si="5"/>
        <v>2000</v>
      </c>
      <c r="R18" s="15">
        <f>AA82*1.5</f>
        <v>54000</v>
      </c>
      <c r="S18" s="15">
        <f t="shared" si="1"/>
        <v>80000</v>
      </c>
      <c r="T18" s="25"/>
      <c r="V18" s="26"/>
      <c r="W18" s="26"/>
      <c r="X18" s="26"/>
      <c r="Y18" s="7"/>
      <c r="Z18" s="7"/>
      <c r="AA18" s="7"/>
      <c r="AB18" s="7"/>
      <c r="AC18" s="7"/>
      <c r="AD18" s="7"/>
      <c r="AE18" s="7"/>
    </row>
    <row r="19" spans="1:31" s="19" customFormat="1" ht="33" hidden="1" customHeight="1">
      <c r="A19" s="376"/>
      <c r="B19" s="11"/>
      <c r="C19" s="12"/>
      <c r="D19" s="24"/>
      <c r="E19" s="13"/>
      <c r="F19" s="14"/>
      <c r="G19" s="14"/>
      <c r="H19" s="17" t="s">
        <v>39</v>
      </c>
      <c r="I19" s="21">
        <v>0.5</v>
      </c>
      <c r="J19" s="21">
        <v>0.5</v>
      </c>
      <c r="K19" s="21"/>
      <c r="L19" s="21"/>
      <c r="M19" s="21"/>
      <c r="N19" s="21"/>
      <c r="O19" s="21"/>
      <c r="P19" s="21"/>
      <c r="Q19" s="21">
        <v>0.2</v>
      </c>
      <c r="R19" s="15"/>
      <c r="S19" s="15">
        <f t="shared" si="1"/>
        <v>0</v>
      </c>
      <c r="T19" s="25"/>
      <c r="V19" s="26"/>
      <c r="W19" s="26"/>
      <c r="X19" s="26"/>
      <c r="Y19" s="7"/>
      <c r="Z19" s="7"/>
      <c r="AA19" s="7"/>
      <c r="AB19" s="7"/>
      <c r="AC19" s="7"/>
      <c r="AD19" s="7"/>
      <c r="AE19" s="7"/>
    </row>
    <row r="20" spans="1:31" s="19" customFormat="1" ht="33" hidden="1" customHeight="1">
      <c r="A20" s="376"/>
      <c r="B20" s="11"/>
      <c r="C20" s="12"/>
      <c r="D20" s="24"/>
      <c r="E20" s="13"/>
      <c r="F20" s="14"/>
      <c r="G20" s="14"/>
      <c r="H20" s="17" t="s">
        <v>39</v>
      </c>
      <c r="I20" s="15">
        <f>I21/10</f>
        <v>15326.4</v>
      </c>
      <c r="J20" s="15">
        <f t="shared" ref="J20:Q20" si="6">J21/10</f>
        <v>16304.3</v>
      </c>
      <c r="K20" s="15">
        <f t="shared" si="6"/>
        <v>0</v>
      </c>
      <c r="L20" s="15">
        <f t="shared" si="6"/>
        <v>0</v>
      </c>
      <c r="M20" s="15">
        <f t="shared" si="6"/>
        <v>0</v>
      </c>
      <c r="N20" s="15">
        <f t="shared" si="6"/>
        <v>0</v>
      </c>
      <c r="O20" s="15">
        <f t="shared" si="6"/>
        <v>0</v>
      </c>
      <c r="P20" s="15">
        <f t="shared" si="6"/>
        <v>0</v>
      </c>
      <c r="Q20" s="15">
        <f t="shared" si="6"/>
        <v>10000</v>
      </c>
      <c r="R20" s="15"/>
      <c r="S20" s="15">
        <f t="shared" si="1"/>
        <v>0</v>
      </c>
      <c r="T20" s="25"/>
      <c r="V20" s="26"/>
      <c r="W20" s="26"/>
      <c r="X20" s="26"/>
      <c r="Y20" s="7"/>
      <c r="Z20" s="7"/>
      <c r="AA20" s="7"/>
      <c r="AB20" s="7"/>
      <c r="AC20" s="7"/>
      <c r="AD20" s="7"/>
      <c r="AE20" s="7"/>
    </row>
    <row r="21" spans="1:31" s="19" customFormat="1" ht="33" hidden="1" customHeight="1">
      <c r="A21" s="376"/>
      <c r="B21" s="11"/>
      <c r="C21" s="12"/>
      <c r="D21" s="24"/>
      <c r="E21" s="13"/>
      <c r="F21" s="14"/>
      <c r="G21" s="14"/>
      <c r="H21" s="17" t="s">
        <v>39</v>
      </c>
      <c r="I21" s="15">
        <v>153264</v>
      </c>
      <c r="J21" s="15">
        <v>163043</v>
      </c>
      <c r="K21" s="15"/>
      <c r="L21" s="15"/>
      <c r="M21" s="15"/>
      <c r="N21" s="15"/>
      <c r="O21" s="15"/>
      <c r="P21" s="15"/>
      <c r="Q21" s="15">
        <v>100000</v>
      </c>
      <c r="R21" s="15"/>
      <c r="S21" s="15">
        <f t="shared" si="1"/>
        <v>0</v>
      </c>
      <c r="T21" s="25"/>
      <c r="V21" s="26"/>
      <c r="W21" s="26"/>
      <c r="X21" s="26"/>
      <c r="Y21" s="7"/>
      <c r="Z21" s="7"/>
      <c r="AA21" s="7"/>
      <c r="AB21" s="7"/>
      <c r="AC21" s="7"/>
      <c r="AD21" s="7"/>
      <c r="AE21" s="7"/>
    </row>
    <row r="22" spans="1:31" s="19" customFormat="1" ht="33" customHeight="1">
      <c r="A22" s="376"/>
      <c r="B22" s="11">
        <v>6</v>
      </c>
      <c r="C22" s="175" t="s">
        <v>1178</v>
      </c>
      <c r="D22" s="24" t="s">
        <v>1189</v>
      </c>
      <c r="E22" s="301">
        <v>1</v>
      </c>
      <c r="F22" s="14">
        <f>Y86</f>
        <v>5830</v>
      </c>
      <c r="G22" s="14">
        <f>F22*E22</f>
        <v>5830</v>
      </c>
      <c r="H22" s="14"/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f t="shared" si="1"/>
        <v>5830</v>
      </c>
      <c r="T22" s="25"/>
      <c r="V22" s="26"/>
      <c r="W22" s="26"/>
      <c r="X22" s="26"/>
      <c r="Y22" s="7"/>
      <c r="Z22" s="7"/>
      <c r="AA22" s="7"/>
      <c r="AB22" s="7"/>
      <c r="AC22" s="7"/>
      <c r="AD22" s="7"/>
      <c r="AE22" s="7"/>
    </row>
    <row r="23" spans="1:31" s="19" customFormat="1" ht="33" customHeight="1">
      <c r="A23" s="376"/>
      <c r="B23" s="11">
        <v>7</v>
      </c>
      <c r="C23" s="175" t="s">
        <v>948</v>
      </c>
      <c r="D23" s="20" t="str">
        <f>COVER!B21</f>
        <v>B7(다크로)</v>
      </c>
      <c r="E23" s="13">
        <v>16</v>
      </c>
      <c r="F23" s="14">
        <f>IF(D23="B8",Y92,IF(D23="B8M",Z92,IF(D23="B7(다크로)",AA92)))</f>
        <v>300</v>
      </c>
      <c r="G23" s="14">
        <f>F23*E23</f>
        <v>4800</v>
      </c>
      <c r="H23" s="14"/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f t="shared" si="1"/>
        <v>4800</v>
      </c>
      <c r="T23" s="18"/>
      <c r="V23" s="7"/>
      <c r="W23" s="7"/>
      <c r="X23" s="7"/>
      <c r="Y23" s="7"/>
      <c r="Z23" s="7"/>
      <c r="AA23" s="7"/>
      <c r="AB23" s="7"/>
      <c r="AC23" s="7"/>
      <c r="AD23" s="7"/>
      <c r="AE23" s="7"/>
    </row>
    <row r="24" spans="1:31" s="19" customFormat="1" ht="33" customHeight="1">
      <c r="A24" s="376"/>
      <c r="B24" s="11">
        <v>8</v>
      </c>
      <c r="C24" s="142" t="s">
        <v>44</v>
      </c>
      <c r="D24" s="20" t="str">
        <f>COVER!B17</f>
        <v>A564T630</v>
      </c>
      <c r="E24" s="13">
        <v>5</v>
      </c>
      <c r="F24" s="14">
        <f>COVER!C17</f>
        <v>8500</v>
      </c>
      <c r="G24" s="14">
        <f>F24*E24</f>
        <v>42500</v>
      </c>
      <c r="H24" s="14"/>
      <c r="I24" s="15">
        <f>I25*I26</f>
        <v>6130.56</v>
      </c>
      <c r="J24" s="15">
        <f t="shared" ref="J24:Q24" si="7">J25*J26</f>
        <v>0</v>
      </c>
      <c r="K24" s="15">
        <f t="shared" si="7"/>
        <v>0</v>
      </c>
      <c r="L24" s="15">
        <f t="shared" si="7"/>
        <v>0</v>
      </c>
      <c r="M24" s="15">
        <f t="shared" si="7"/>
        <v>0</v>
      </c>
      <c r="N24" s="15">
        <f t="shared" si="7"/>
        <v>0</v>
      </c>
      <c r="O24" s="15">
        <f t="shared" si="7"/>
        <v>0</v>
      </c>
      <c r="P24" s="15">
        <f t="shared" si="7"/>
        <v>0</v>
      </c>
      <c r="Q24" s="15">
        <f t="shared" si="7"/>
        <v>1000</v>
      </c>
      <c r="R24" s="15">
        <f>R12*0.3</f>
        <v>41399.999999999993</v>
      </c>
      <c r="S24" s="15">
        <f t="shared" si="1"/>
        <v>83900</v>
      </c>
      <c r="T24" s="27"/>
      <c r="U24" s="162"/>
      <c r="V24" s="162"/>
      <c r="W24" s="7"/>
      <c r="X24" s="7"/>
      <c r="Y24" s="28"/>
      <c r="Z24" s="28"/>
      <c r="AA24" s="28"/>
      <c r="AB24" s="28"/>
      <c r="AC24" s="28"/>
      <c r="AD24" s="28"/>
      <c r="AE24" s="28"/>
    </row>
    <row r="25" spans="1:31" s="19" customFormat="1" ht="33" hidden="1" customHeight="1">
      <c r="A25" s="376"/>
      <c r="B25" s="11"/>
      <c r="C25" s="12"/>
      <c r="D25" s="20"/>
      <c r="E25" s="13"/>
      <c r="F25" s="14"/>
      <c r="G25" s="14"/>
      <c r="H25" s="17" t="s">
        <v>668</v>
      </c>
      <c r="I25" s="21">
        <v>0.4</v>
      </c>
      <c r="J25" s="21"/>
      <c r="K25" s="21"/>
      <c r="L25" s="21"/>
      <c r="M25" s="21"/>
      <c r="N25" s="21"/>
      <c r="O25" s="21"/>
      <c r="P25" s="21"/>
      <c r="Q25" s="21">
        <v>0.1</v>
      </c>
      <c r="R25" s="15"/>
      <c r="S25" s="15">
        <f t="shared" si="1"/>
        <v>0</v>
      </c>
      <c r="T25" s="27"/>
      <c r="V25" s="7"/>
      <c r="W25" s="7"/>
      <c r="X25" s="7"/>
      <c r="Y25" s="28"/>
      <c r="Z25" s="28"/>
      <c r="AA25" s="28"/>
      <c r="AB25" s="28"/>
      <c r="AC25" s="28"/>
      <c r="AD25" s="28"/>
      <c r="AE25" s="28"/>
    </row>
    <row r="26" spans="1:31" s="19" customFormat="1" ht="33" hidden="1" customHeight="1">
      <c r="A26" s="376"/>
      <c r="B26" s="11"/>
      <c r="C26" s="12"/>
      <c r="D26" s="20"/>
      <c r="E26" s="13"/>
      <c r="F26" s="14"/>
      <c r="G26" s="14"/>
      <c r="H26" s="17" t="s">
        <v>39</v>
      </c>
      <c r="I26" s="15">
        <f>I27/10</f>
        <v>15326.4</v>
      </c>
      <c r="J26" s="15"/>
      <c r="K26" s="15"/>
      <c r="L26" s="15"/>
      <c r="M26" s="15"/>
      <c r="N26" s="15"/>
      <c r="O26" s="15"/>
      <c r="P26" s="15"/>
      <c r="Q26" s="15">
        <f>Q27/10</f>
        <v>10000</v>
      </c>
      <c r="R26" s="15"/>
      <c r="S26" s="15">
        <f t="shared" si="1"/>
        <v>0</v>
      </c>
      <c r="T26" s="27"/>
      <c r="V26" s="7"/>
      <c r="W26" s="7"/>
      <c r="X26" s="7"/>
      <c r="Y26" s="28"/>
      <c r="Z26" s="28"/>
      <c r="AA26" s="28"/>
      <c r="AB26" s="28"/>
      <c r="AC26" s="28"/>
      <c r="AD26" s="28"/>
      <c r="AE26" s="28"/>
    </row>
    <row r="27" spans="1:31" s="19" customFormat="1" ht="33" hidden="1" customHeight="1">
      <c r="A27" s="376"/>
      <c r="B27" s="11"/>
      <c r="C27" s="12"/>
      <c r="D27" s="20"/>
      <c r="E27" s="13"/>
      <c r="F27" s="14"/>
      <c r="G27" s="14"/>
      <c r="H27" s="17" t="s">
        <v>39</v>
      </c>
      <c r="I27" s="15">
        <v>153264</v>
      </c>
      <c r="J27" s="15"/>
      <c r="K27" s="15"/>
      <c r="L27" s="15"/>
      <c r="M27" s="15"/>
      <c r="N27" s="15"/>
      <c r="O27" s="15"/>
      <c r="P27" s="15"/>
      <c r="Q27" s="15">
        <v>100000</v>
      </c>
      <c r="R27" s="15"/>
      <c r="S27" s="15">
        <f t="shared" si="1"/>
        <v>0</v>
      </c>
      <c r="T27" s="27"/>
      <c r="V27" s="7"/>
      <c r="W27" s="7"/>
      <c r="X27" s="7"/>
      <c r="Y27" s="28"/>
      <c r="Z27" s="28"/>
      <c r="AA27" s="28"/>
      <c r="AB27" s="28"/>
      <c r="AC27" s="28"/>
      <c r="AD27" s="28"/>
      <c r="AE27" s="28"/>
    </row>
    <row r="28" spans="1:31" s="19" customFormat="1" ht="33" customHeight="1">
      <c r="A28" s="376"/>
      <c r="B28" s="11">
        <v>9</v>
      </c>
      <c r="C28" s="142" t="s">
        <v>45</v>
      </c>
      <c r="D28" s="24" t="s">
        <v>1197</v>
      </c>
      <c r="E28" s="13">
        <v>1</v>
      </c>
      <c r="F28" s="14">
        <v>11400</v>
      </c>
      <c r="G28" s="14">
        <f t="shared" ref="G28" si="8">E28*F28</f>
        <v>11400</v>
      </c>
      <c r="H28" s="14"/>
      <c r="I28" s="15"/>
      <c r="J28" s="15"/>
      <c r="K28" s="15"/>
      <c r="L28" s="15"/>
      <c r="M28" s="15"/>
      <c r="N28" s="15"/>
      <c r="O28" s="15"/>
      <c r="P28" s="15"/>
      <c r="Q28" s="15"/>
      <c r="R28" s="15">
        <v>0</v>
      </c>
      <c r="S28" s="15">
        <f t="shared" si="1"/>
        <v>11400</v>
      </c>
      <c r="T28" s="18"/>
      <c r="V28" s="7"/>
      <c r="W28" s="7"/>
      <c r="X28" s="7"/>
      <c r="Y28" s="6"/>
      <c r="Z28" s="6"/>
      <c r="AA28" s="6"/>
      <c r="AB28" s="6"/>
      <c r="AC28" s="6"/>
      <c r="AD28" s="6"/>
      <c r="AE28" s="6"/>
    </row>
    <row r="29" spans="1:31" s="19" customFormat="1" ht="33" customHeight="1">
      <c r="A29" s="376"/>
      <c r="B29" s="11">
        <v>10</v>
      </c>
      <c r="C29" s="142" t="s">
        <v>46</v>
      </c>
      <c r="D29" s="24" t="str">
        <f>COVER!B24</f>
        <v>A351 CF8M</v>
      </c>
      <c r="E29" s="13">
        <v>1</v>
      </c>
      <c r="F29" s="302">
        <f>IF(D29="A351 CF8M",Y98,IF(D29="B148 C95400",Z98))</f>
        <v>18200</v>
      </c>
      <c r="G29" s="14">
        <f>F29*E29</f>
        <v>18200</v>
      </c>
      <c r="H29" s="14"/>
      <c r="I29" s="15">
        <f>I30*I31</f>
        <v>1532.64</v>
      </c>
      <c r="J29" s="15">
        <f t="shared" ref="J29:Q29" si="9">J30*J31</f>
        <v>1630.43</v>
      </c>
      <c r="K29" s="15">
        <f t="shared" si="9"/>
        <v>0</v>
      </c>
      <c r="L29" s="15">
        <f t="shared" si="9"/>
        <v>0</v>
      </c>
      <c r="M29" s="15">
        <f t="shared" si="9"/>
        <v>0</v>
      </c>
      <c r="N29" s="15">
        <f t="shared" si="9"/>
        <v>0</v>
      </c>
      <c r="O29" s="15">
        <f t="shared" si="9"/>
        <v>0</v>
      </c>
      <c r="P29" s="15">
        <f t="shared" si="9"/>
        <v>0</v>
      </c>
      <c r="Q29" s="15">
        <f t="shared" si="9"/>
        <v>0</v>
      </c>
      <c r="R29" s="15">
        <v>0</v>
      </c>
      <c r="S29" s="15">
        <f t="shared" si="1"/>
        <v>18200</v>
      </c>
      <c r="T29" s="18"/>
      <c r="V29" s="7"/>
      <c r="W29" s="292"/>
      <c r="X29" s="7"/>
      <c r="Y29" s="7"/>
      <c r="Z29" s="7"/>
      <c r="AA29" s="7"/>
      <c r="AB29" s="7"/>
      <c r="AC29" s="7"/>
      <c r="AD29" s="7"/>
      <c r="AE29" s="7"/>
    </row>
    <row r="30" spans="1:31" s="19" customFormat="1" ht="33" hidden="1" customHeight="1">
      <c r="A30" s="376"/>
      <c r="B30" s="11"/>
      <c r="C30" s="12"/>
      <c r="D30" s="24"/>
      <c r="E30" s="13"/>
      <c r="F30" s="14"/>
      <c r="G30" s="14"/>
      <c r="H30" s="17" t="s">
        <v>39</v>
      </c>
      <c r="I30" s="21">
        <v>0.1</v>
      </c>
      <c r="J30" s="21">
        <v>0.1</v>
      </c>
      <c r="K30" s="21"/>
      <c r="L30" s="21"/>
      <c r="M30" s="21"/>
      <c r="N30" s="21"/>
      <c r="O30" s="21"/>
      <c r="P30" s="21"/>
      <c r="Q30" s="21"/>
      <c r="R30" s="15"/>
      <c r="S30" s="15">
        <f t="shared" si="1"/>
        <v>0</v>
      </c>
      <c r="T30" s="22"/>
      <c r="V30" s="7"/>
      <c r="W30" s="7"/>
      <c r="X30" s="7"/>
      <c r="Y30" s="7"/>
      <c r="Z30" s="7"/>
      <c r="AA30" s="7"/>
      <c r="AB30" s="7"/>
      <c r="AC30" s="7"/>
      <c r="AD30" s="7"/>
      <c r="AE30" s="7"/>
    </row>
    <row r="31" spans="1:31" s="19" customFormat="1" ht="33" hidden="1" customHeight="1">
      <c r="A31" s="376"/>
      <c r="B31" s="11"/>
      <c r="C31" s="12"/>
      <c r="D31" s="24"/>
      <c r="E31" s="13"/>
      <c r="F31" s="14"/>
      <c r="G31" s="14"/>
      <c r="H31" s="17" t="s">
        <v>39</v>
      </c>
      <c r="I31" s="15">
        <f>I32/10</f>
        <v>15326.4</v>
      </c>
      <c r="J31" s="15">
        <f>J32/10</f>
        <v>16304.3</v>
      </c>
      <c r="K31" s="15"/>
      <c r="L31" s="15"/>
      <c r="M31" s="15"/>
      <c r="N31" s="15"/>
      <c r="O31" s="15"/>
      <c r="P31" s="15"/>
      <c r="Q31" s="15"/>
      <c r="R31" s="15"/>
      <c r="S31" s="15">
        <f t="shared" si="1"/>
        <v>0</v>
      </c>
      <c r="T31" s="22"/>
      <c r="V31" s="7"/>
      <c r="W31" s="7"/>
      <c r="X31" s="7"/>
      <c r="Y31" s="7"/>
      <c r="Z31" s="7"/>
      <c r="AA31" s="7"/>
      <c r="AB31" s="7"/>
      <c r="AC31" s="7"/>
      <c r="AD31" s="7"/>
      <c r="AE31" s="7"/>
    </row>
    <row r="32" spans="1:31" s="19" customFormat="1" ht="33" hidden="1" customHeight="1">
      <c r="A32" s="376"/>
      <c r="B32" s="11"/>
      <c r="C32" s="12"/>
      <c r="D32" s="24"/>
      <c r="E32" s="13"/>
      <c r="F32" s="14"/>
      <c r="G32" s="14"/>
      <c r="H32" s="17" t="s">
        <v>39</v>
      </c>
      <c r="I32" s="15">
        <v>153264</v>
      </c>
      <c r="J32" s="15">
        <v>163043</v>
      </c>
      <c r="K32" s="15"/>
      <c r="L32" s="15"/>
      <c r="M32" s="15"/>
      <c r="N32" s="15"/>
      <c r="O32" s="15"/>
      <c r="P32" s="15"/>
      <c r="Q32" s="15"/>
      <c r="R32" s="15"/>
      <c r="S32" s="15">
        <f t="shared" si="1"/>
        <v>0</v>
      </c>
      <c r="T32" s="22"/>
      <c r="V32" s="7"/>
      <c r="W32" s="7"/>
      <c r="X32" s="7"/>
      <c r="Y32" s="7"/>
      <c r="Z32" s="7"/>
      <c r="AA32" s="7"/>
      <c r="AB32" s="7"/>
      <c r="AC32" s="7"/>
      <c r="AD32" s="7"/>
      <c r="AE32" s="7"/>
    </row>
    <row r="33" spans="1:31" s="19" customFormat="1" ht="33" customHeight="1">
      <c r="A33" s="376"/>
      <c r="B33" s="11">
        <v>11</v>
      </c>
      <c r="C33" s="142" t="s">
        <v>47</v>
      </c>
      <c r="D33" s="24" t="str">
        <f>COVER!B26</f>
        <v>316+NICKEL</v>
      </c>
      <c r="E33" s="13">
        <v>1</v>
      </c>
      <c r="F33" s="14">
        <f>IF(D33="316+NICKEL",Y101,IF(D33="B148 C95400",Z101))</f>
        <v>7000</v>
      </c>
      <c r="G33" s="14">
        <f>F33*E33</f>
        <v>7000</v>
      </c>
      <c r="H33" s="14"/>
      <c r="I33" s="15">
        <f>I34*I35</f>
        <v>1532.64</v>
      </c>
      <c r="J33" s="15">
        <f t="shared" ref="J33:Q33" si="10">J34*J35</f>
        <v>0</v>
      </c>
      <c r="K33" s="15">
        <f t="shared" si="10"/>
        <v>0</v>
      </c>
      <c r="L33" s="15">
        <f t="shared" si="10"/>
        <v>0</v>
      </c>
      <c r="M33" s="15">
        <f t="shared" si="10"/>
        <v>0</v>
      </c>
      <c r="N33" s="15">
        <f t="shared" si="10"/>
        <v>0</v>
      </c>
      <c r="O33" s="15">
        <f t="shared" si="10"/>
        <v>0</v>
      </c>
      <c r="P33" s="15">
        <f t="shared" si="10"/>
        <v>0</v>
      </c>
      <c r="Q33" s="15">
        <f t="shared" si="10"/>
        <v>0</v>
      </c>
      <c r="R33" s="15">
        <v>0</v>
      </c>
      <c r="S33" s="15">
        <f t="shared" si="1"/>
        <v>7000</v>
      </c>
      <c r="T33" s="25" t="s">
        <v>1200</v>
      </c>
      <c r="V33" s="7"/>
      <c r="W33" s="7"/>
      <c r="X33" s="7"/>
      <c r="Y33" s="7"/>
      <c r="Z33" s="7"/>
      <c r="AA33" s="7"/>
      <c r="AB33" s="7"/>
      <c r="AC33" s="7"/>
      <c r="AD33" s="7"/>
      <c r="AE33" s="7"/>
    </row>
    <row r="34" spans="1:31" s="19" customFormat="1" ht="33" hidden="1" customHeight="1">
      <c r="A34" s="376"/>
      <c r="B34" s="11"/>
      <c r="C34" s="12"/>
      <c r="D34" s="24"/>
      <c r="E34" s="13"/>
      <c r="F34" s="14"/>
      <c r="G34" s="14"/>
      <c r="H34" s="17" t="s">
        <v>39</v>
      </c>
      <c r="I34" s="21">
        <v>0.1</v>
      </c>
      <c r="J34" s="21"/>
      <c r="K34" s="21"/>
      <c r="L34" s="21"/>
      <c r="M34" s="21"/>
      <c r="N34" s="21"/>
      <c r="O34" s="21"/>
      <c r="P34" s="21"/>
      <c r="Q34" s="21"/>
      <c r="R34" s="15"/>
      <c r="S34" s="15">
        <f t="shared" si="1"/>
        <v>0</v>
      </c>
      <c r="T34" s="22"/>
      <c r="V34" s="7"/>
      <c r="W34" s="7"/>
      <c r="X34" s="7"/>
      <c r="Y34" s="7"/>
      <c r="Z34" s="7"/>
      <c r="AA34" s="7"/>
      <c r="AB34" s="7"/>
      <c r="AC34" s="7"/>
      <c r="AD34" s="7"/>
      <c r="AE34" s="7"/>
    </row>
    <row r="35" spans="1:31" s="19" customFormat="1" ht="33" hidden="1" customHeight="1">
      <c r="A35" s="376"/>
      <c r="B35" s="11"/>
      <c r="C35" s="12"/>
      <c r="D35" s="24"/>
      <c r="E35" s="13"/>
      <c r="F35" s="14"/>
      <c r="G35" s="14"/>
      <c r="H35" s="17" t="s">
        <v>39</v>
      </c>
      <c r="I35" s="15">
        <f>I36/10</f>
        <v>15326.4</v>
      </c>
      <c r="J35" s="15"/>
      <c r="K35" s="15"/>
      <c r="L35" s="15"/>
      <c r="M35" s="15"/>
      <c r="N35" s="15"/>
      <c r="O35" s="15"/>
      <c r="P35" s="15"/>
      <c r="Q35" s="15"/>
      <c r="R35" s="15"/>
      <c r="S35" s="15">
        <f t="shared" si="1"/>
        <v>0</v>
      </c>
      <c r="T35" s="22"/>
      <c r="V35" s="7"/>
      <c r="W35" s="7"/>
      <c r="X35" s="7"/>
      <c r="Y35" s="7"/>
      <c r="Z35" s="7"/>
      <c r="AA35" s="7"/>
      <c r="AB35" s="7"/>
      <c r="AC35" s="7"/>
      <c r="AD35" s="7"/>
      <c r="AE35" s="7"/>
    </row>
    <row r="36" spans="1:31" s="19" customFormat="1" ht="33" hidden="1" customHeight="1">
      <c r="A36" s="376"/>
      <c r="B36" s="11"/>
      <c r="C36" s="12"/>
      <c r="D36" s="24"/>
      <c r="E36" s="13"/>
      <c r="F36" s="14"/>
      <c r="G36" s="14"/>
      <c r="H36" s="17" t="s">
        <v>39</v>
      </c>
      <c r="I36" s="15">
        <v>153264</v>
      </c>
      <c r="J36" s="15"/>
      <c r="K36" s="15"/>
      <c r="L36" s="15"/>
      <c r="M36" s="15"/>
      <c r="N36" s="15"/>
      <c r="O36" s="15"/>
      <c r="P36" s="15"/>
      <c r="Q36" s="15"/>
      <c r="R36" s="15"/>
      <c r="S36" s="15">
        <f t="shared" si="1"/>
        <v>0</v>
      </c>
      <c r="T36" s="22"/>
      <c r="V36" s="7"/>
      <c r="W36" s="7"/>
      <c r="X36" s="7"/>
      <c r="Y36" s="7"/>
      <c r="Z36" s="7"/>
      <c r="AA36" s="7"/>
      <c r="AB36" s="7"/>
      <c r="AC36" s="7"/>
      <c r="AD36" s="7"/>
      <c r="AE36" s="7"/>
    </row>
    <row r="37" spans="1:31" s="19" customFormat="1" ht="33" customHeight="1">
      <c r="A37" s="376"/>
      <c r="B37" s="11">
        <v>12</v>
      </c>
      <c r="C37" s="169" t="s">
        <v>954</v>
      </c>
      <c r="D37" s="20" t="str">
        <f>COVER!B22</f>
        <v>B7(다크로)</v>
      </c>
      <c r="E37" s="13">
        <v>4</v>
      </c>
      <c r="F37" s="14">
        <f>IF(D37="B8",Y93,IF(D37="B8M",Z93,IF(D37="B7(다크로)",AA93)))</f>
        <v>1000</v>
      </c>
      <c r="G37" s="14">
        <f>E37*F37</f>
        <v>4000</v>
      </c>
      <c r="H37" s="14"/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f t="shared" si="1"/>
        <v>4000</v>
      </c>
      <c r="T37" s="22"/>
      <c r="V37" s="7"/>
      <c r="W37" s="7"/>
      <c r="X37" s="7"/>
      <c r="Y37" s="7"/>
      <c r="Z37" s="7"/>
      <c r="AA37" s="7"/>
      <c r="AB37" s="7"/>
      <c r="AC37" s="7"/>
      <c r="AD37" s="7"/>
      <c r="AE37" s="7"/>
    </row>
    <row r="38" spans="1:31" s="19" customFormat="1" ht="33" customHeight="1">
      <c r="A38" s="376"/>
      <c r="B38" s="11">
        <v>13</v>
      </c>
      <c r="C38" s="29" t="s">
        <v>49</v>
      </c>
      <c r="D38" s="24"/>
      <c r="E38" s="13">
        <v>1</v>
      </c>
      <c r="F38" s="14">
        <v>3000</v>
      </c>
      <c r="G38" s="14">
        <f t="shared" ref="G38:G54" si="11">E38*F38</f>
        <v>3000</v>
      </c>
      <c r="H38" s="14"/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f t="shared" si="1"/>
        <v>3000</v>
      </c>
      <c r="T38" s="22"/>
      <c r="V38" s="7"/>
      <c r="W38" s="7"/>
      <c r="X38" s="7"/>
      <c r="Y38" s="7"/>
      <c r="Z38" s="7"/>
      <c r="AA38" s="7"/>
      <c r="AB38" s="7"/>
      <c r="AC38" s="7"/>
      <c r="AD38" s="7"/>
      <c r="AE38" s="7"/>
    </row>
    <row r="39" spans="1:31" s="19" customFormat="1" ht="33" customHeight="1">
      <c r="A39" s="376"/>
      <c r="B39" s="11">
        <v>14</v>
      </c>
      <c r="C39" s="233" t="s">
        <v>50</v>
      </c>
      <c r="D39" s="24" t="str">
        <f>COVER!B23</f>
        <v>316+NICKEL</v>
      </c>
      <c r="E39" s="13">
        <v>2</v>
      </c>
      <c r="F39" s="14">
        <f>IF(D39="316+NICKEL",Y97+Y98,IF(D39="B148 C95400",Z97+Z98))</f>
        <v>60730</v>
      </c>
      <c r="G39" s="14">
        <f>F39*1</f>
        <v>60730</v>
      </c>
      <c r="H39" s="14"/>
      <c r="I39" s="15">
        <f t="shared" ref="I39:Q40" si="12">I40*I41</f>
        <v>0</v>
      </c>
      <c r="J39" s="15">
        <f t="shared" si="12"/>
        <v>0</v>
      </c>
      <c r="K39" s="15">
        <f t="shared" si="12"/>
        <v>0</v>
      </c>
      <c r="L39" s="15">
        <f t="shared" si="12"/>
        <v>0</v>
      </c>
      <c r="M39" s="15">
        <f t="shared" si="12"/>
        <v>0</v>
      </c>
      <c r="N39" s="15">
        <f t="shared" si="12"/>
        <v>0</v>
      </c>
      <c r="O39" s="15">
        <f t="shared" si="12"/>
        <v>0</v>
      </c>
      <c r="P39" s="15">
        <f t="shared" si="12"/>
        <v>0</v>
      </c>
      <c r="Q39" s="15">
        <f t="shared" si="12"/>
        <v>0</v>
      </c>
      <c r="R39" s="15">
        <v>0</v>
      </c>
      <c r="S39" s="15">
        <f t="shared" si="1"/>
        <v>60730</v>
      </c>
      <c r="T39" s="25" t="s">
        <v>1200</v>
      </c>
      <c r="V39" s="7"/>
      <c r="W39" s="7"/>
      <c r="X39" s="7"/>
      <c r="Y39" s="7"/>
      <c r="Z39" s="7"/>
      <c r="AA39" s="7"/>
      <c r="AB39" s="7"/>
      <c r="AC39" s="7"/>
      <c r="AD39" s="7"/>
      <c r="AE39" s="7"/>
    </row>
    <row r="40" spans="1:31" s="19" customFormat="1" ht="33" customHeight="1">
      <c r="A40" s="376"/>
      <c r="B40" s="11">
        <v>15</v>
      </c>
      <c r="C40" s="142" t="s">
        <v>51</v>
      </c>
      <c r="D40" s="24" t="str">
        <f>COVER!B23</f>
        <v>316+NICKEL</v>
      </c>
      <c r="E40" s="13">
        <v>2</v>
      </c>
      <c r="F40" s="14">
        <f>IF(D40="316+NICKEL",Y99,IF(D40="B148 C95400",Z99))</f>
        <v>24700</v>
      </c>
      <c r="G40" s="14">
        <f>F40*1</f>
        <v>24700</v>
      </c>
      <c r="H40" s="14"/>
      <c r="I40" s="15">
        <f t="shared" si="12"/>
        <v>0</v>
      </c>
      <c r="J40" s="15">
        <f t="shared" si="12"/>
        <v>0</v>
      </c>
      <c r="K40" s="15">
        <f t="shared" si="12"/>
        <v>0</v>
      </c>
      <c r="L40" s="15">
        <f t="shared" si="12"/>
        <v>0</v>
      </c>
      <c r="M40" s="15">
        <f t="shared" si="12"/>
        <v>0</v>
      </c>
      <c r="N40" s="15">
        <f t="shared" si="12"/>
        <v>0</v>
      </c>
      <c r="O40" s="15">
        <f t="shared" si="12"/>
        <v>0</v>
      </c>
      <c r="P40" s="15">
        <f t="shared" si="12"/>
        <v>0</v>
      </c>
      <c r="Q40" s="15">
        <f t="shared" si="12"/>
        <v>0</v>
      </c>
      <c r="R40" s="15">
        <v>0</v>
      </c>
      <c r="S40" s="15">
        <f t="shared" si="1"/>
        <v>24700</v>
      </c>
      <c r="T40" s="25" t="s">
        <v>1200</v>
      </c>
      <c r="V40" s="28"/>
      <c r="W40" s="28"/>
      <c r="X40" s="28"/>
      <c r="Y40" s="7"/>
      <c r="Z40" s="7"/>
      <c r="AA40" s="7"/>
      <c r="AB40" s="7"/>
      <c r="AC40" s="7"/>
      <c r="AD40" s="7"/>
      <c r="AE40" s="7"/>
    </row>
    <row r="41" spans="1:31" s="19" customFormat="1" ht="33" hidden="1" customHeight="1">
      <c r="A41" s="376"/>
      <c r="B41" s="11"/>
      <c r="C41" s="12"/>
      <c r="D41" s="20"/>
      <c r="E41" s="13"/>
      <c r="F41" s="14"/>
      <c r="G41" s="14"/>
      <c r="H41" s="17" t="s">
        <v>39</v>
      </c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>
        <f t="shared" si="1"/>
        <v>0</v>
      </c>
      <c r="T41" s="22"/>
      <c r="V41" s="28"/>
      <c r="W41" s="28"/>
      <c r="X41" s="28"/>
      <c r="Y41" s="7"/>
      <c r="Z41" s="7"/>
      <c r="AA41" s="7"/>
      <c r="AB41" s="7"/>
      <c r="AC41" s="7"/>
      <c r="AD41" s="7"/>
      <c r="AE41" s="7"/>
    </row>
    <row r="42" spans="1:31" s="19" customFormat="1" ht="33" hidden="1" customHeight="1">
      <c r="A42" s="376"/>
      <c r="B42" s="11"/>
      <c r="C42" s="12"/>
      <c r="D42" s="20"/>
      <c r="E42" s="13"/>
      <c r="F42" s="14"/>
      <c r="G42" s="14"/>
      <c r="H42" s="17" t="s">
        <v>39</v>
      </c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>
        <f t="shared" si="1"/>
        <v>0</v>
      </c>
      <c r="T42" s="22"/>
      <c r="V42" s="28"/>
      <c r="W42" s="28"/>
      <c r="X42" s="28"/>
      <c r="Y42" s="7"/>
      <c r="Z42" s="7"/>
      <c r="AA42" s="7"/>
      <c r="AB42" s="7"/>
      <c r="AC42" s="7"/>
      <c r="AD42" s="7"/>
      <c r="AE42" s="7"/>
    </row>
    <row r="43" spans="1:31" s="19" customFormat="1" ht="33" hidden="1" customHeight="1">
      <c r="A43" s="376"/>
      <c r="B43" s="11"/>
      <c r="C43" s="12"/>
      <c r="D43" s="20"/>
      <c r="E43" s="13"/>
      <c r="F43" s="14"/>
      <c r="G43" s="14"/>
      <c r="H43" s="17" t="s">
        <v>39</v>
      </c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>
        <f t="shared" si="1"/>
        <v>0</v>
      </c>
      <c r="T43" s="22"/>
      <c r="V43" s="28"/>
      <c r="W43" s="28"/>
      <c r="X43" s="28"/>
      <c r="Y43" s="7"/>
      <c r="Z43" s="7"/>
      <c r="AA43" s="7"/>
      <c r="AB43" s="7"/>
      <c r="AC43" s="7"/>
      <c r="AD43" s="7"/>
      <c r="AE43" s="7"/>
    </row>
    <row r="44" spans="1:31" s="19" customFormat="1" ht="33" customHeight="1">
      <c r="A44" s="376"/>
      <c r="B44" s="11">
        <v>16</v>
      </c>
      <c r="C44" s="142" t="s">
        <v>52</v>
      </c>
      <c r="D44" s="24" t="str">
        <f>COVER!B25</f>
        <v>316+NICKEL</v>
      </c>
      <c r="E44" s="13">
        <v>1</v>
      </c>
      <c r="F44" s="14">
        <f>IF(D44="316+NICKEL",Y101,IF(D44="B148 C95400",Z110))</f>
        <v>7000</v>
      </c>
      <c r="G44" s="14">
        <f>F44*E44</f>
        <v>7000</v>
      </c>
      <c r="H44" s="14"/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1000</v>
      </c>
      <c r="P44" s="15">
        <v>0</v>
      </c>
      <c r="Q44" s="15">
        <v>0</v>
      </c>
      <c r="R44" s="15">
        <v>0</v>
      </c>
      <c r="S44" s="15">
        <f t="shared" si="1"/>
        <v>7000</v>
      </c>
      <c r="T44" s="25" t="s">
        <v>1200</v>
      </c>
      <c r="U44" s="236"/>
      <c r="V44" s="28"/>
      <c r="W44" s="28"/>
      <c r="X44" s="28"/>
      <c r="Y44" s="7"/>
      <c r="Z44" s="7"/>
      <c r="AA44" s="7"/>
      <c r="AB44" s="7"/>
      <c r="AC44" s="7"/>
      <c r="AD44" s="7"/>
      <c r="AE44" s="7"/>
    </row>
    <row r="45" spans="1:31" s="19" customFormat="1" ht="33" customHeight="1">
      <c r="A45" s="376"/>
      <c r="B45" s="11">
        <v>17</v>
      </c>
      <c r="C45" s="175" t="s">
        <v>53</v>
      </c>
      <c r="D45" s="20" t="s">
        <v>463</v>
      </c>
      <c r="E45" s="14">
        <v>1</v>
      </c>
      <c r="F45" s="14">
        <f>Y87</f>
        <v>2200</v>
      </c>
      <c r="G45" s="14">
        <f>F45*E45</f>
        <v>2200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/>
      <c r="R45" s="15">
        <v>0</v>
      </c>
      <c r="S45" s="15">
        <f t="shared" si="1"/>
        <v>2200</v>
      </c>
      <c r="T45" s="22"/>
      <c r="V45" s="7"/>
      <c r="W45" s="7"/>
      <c r="X45" s="7"/>
      <c r="Y45" s="7"/>
      <c r="Z45" s="7"/>
      <c r="AA45" s="7"/>
      <c r="AB45" s="7"/>
      <c r="AC45" s="7"/>
      <c r="AD45" s="7"/>
      <c r="AE45" s="7"/>
    </row>
    <row r="46" spans="1:31" s="19" customFormat="1" ht="33" customHeight="1">
      <c r="A46" s="376"/>
      <c r="B46" s="11">
        <v>18</v>
      </c>
      <c r="C46" s="175" t="s">
        <v>1208</v>
      </c>
      <c r="D46" s="24" t="str">
        <f>COVER!B29</f>
        <v>SS400</v>
      </c>
      <c r="E46" s="13">
        <v>1</v>
      </c>
      <c r="F46" s="14">
        <f>IF(D46="SS400",Y106,IF(D46="SS316",Z106,IF(D46="SS304",AA106)))</f>
        <v>2970</v>
      </c>
      <c r="G46" s="14">
        <f>F46*E46</f>
        <v>2970</v>
      </c>
      <c r="H46" s="14"/>
      <c r="I46" s="15">
        <f>I47*I48</f>
        <v>1532.64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7500</v>
      </c>
      <c r="S46" s="15">
        <f t="shared" si="1"/>
        <v>10470</v>
      </c>
      <c r="T46" s="22"/>
      <c r="V46" s="7"/>
      <c r="W46" s="7"/>
      <c r="X46" s="7"/>
      <c r="Y46" s="7"/>
      <c r="Z46" s="7"/>
      <c r="AA46" s="7"/>
      <c r="AB46" s="7"/>
      <c r="AC46" s="7"/>
      <c r="AD46" s="7"/>
      <c r="AE46" s="7"/>
    </row>
    <row r="47" spans="1:31" s="19" customFormat="1" ht="33" hidden="1" customHeight="1">
      <c r="A47" s="376"/>
      <c r="B47" s="11"/>
      <c r="C47" s="31"/>
      <c r="D47" s="24"/>
      <c r="E47" s="13"/>
      <c r="F47" s="14"/>
      <c r="G47" s="14"/>
      <c r="H47" s="17" t="s">
        <v>39</v>
      </c>
      <c r="I47" s="21">
        <v>0.1</v>
      </c>
      <c r="J47" s="21"/>
      <c r="K47" s="21"/>
      <c r="L47" s="21"/>
      <c r="M47" s="21"/>
      <c r="N47" s="21"/>
      <c r="O47" s="21"/>
      <c r="P47" s="21"/>
      <c r="Q47" s="21"/>
      <c r="R47" s="15"/>
      <c r="S47" s="15">
        <f t="shared" si="1"/>
        <v>0</v>
      </c>
      <c r="T47" s="22"/>
      <c r="V47" s="7"/>
      <c r="W47" s="7"/>
      <c r="X47" s="7"/>
      <c r="Y47" s="7"/>
      <c r="Z47" s="7"/>
      <c r="AA47" s="7"/>
      <c r="AB47" s="7"/>
      <c r="AC47" s="7"/>
      <c r="AD47" s="7"/>
      <c r="AE47" s="7"/>
    </row>
    <row r="48" spans="1:31" s="19" customFormat="1" ht="33" hidden="1" customHeight="1">
      <c r="A48" s="376"/>
      <c r="B48" s="11"/>
      <c r="C48" s="31"/>
      <c r="D48" s="24"/>
      <c r="E48" s="13"/>
      <c r="F48" s="14"/>
      <c r="G48" s="14"/>
      <c r="H48" s="17" t="s">
        <v>39</v>
      </c>
      <c r="I48" s="15">
        <f>I49/10</f>
        <v>15326.4</v>
      </c>
      <c r="J48" s="15"/>
      <c r="K48" s="15"/>
      <c r="L48" s="15"/>
      <c r="M48" s="15"/>
      <c r="N48" s="15"/>
      <c r="O48" s="15"/>
      <c r="P48" s="15"/>
      <c r="Q48" s="15"/>
      <c r="R48" s="15"/>
      <c r="S48" s="15">
        <f t="shared" si="1"/>
        <v>0</v>
      </c>
      <c r="T48" s="22"/>
      <c r="V48" s="7"/>
      <c r="W48" s="7"/>
      <c r="X48" s="7"/>
      <c r="Y48" s="7"/>
      <c r="Z48" s="7"/>
      <c r="AA48" s="7"/>
      <c r="AB48" s="7"/>
      <c r="AC48" s="7"/>
      <c r="AD48" s="7"/>
      <c r="AE48" s="7"/>
    </row>
    <row r="49" spans="1:31" s="19" customFormat="1" ht="33" hidden="1" customHeight="1">
      <c r="A49" s="376"/>
      <c r="B49" s="11"/>
      <c r="C49" s="31"/>
      <c r="D49" s="24"/>
      <c r="E49" s="13"/>
      <c r="F49" s="14"/>
      <c r="G49" s="14"/>
      <c r="H49" s="17" t="s">
        <v>39</v>
      </c>
      <c r="I49" s="15">
        <v>153264</v>
      </c>
      <c r="J49" s="15"/>
      <c r="K49" s="15"/>
      <c r="L49" s="15"/>
      <c r="M49" s="15"/>
      <c r="N49" s="15"/>
      <c r="O49" s="15"/>
      <c r="P49" s="15"/>
      <c r="Q49" s="15"/>
      <c r="R49" s="15"/>
      <c r="S49" s="15">
        <f t="shared" si="1"/>
        <v>0</v>
      </c>
      <c r="T49" s="22"/>
      <c r="V49" s="7"/>
      <c r="W49" s="7"/>
      <c r="X49" s="7"/>
      <c r="Y49" s="7"/>
      <c r="Z49" s="7"/>
      <c r="AA49" s="7"/>
      <c r="AB49" s="7"/>
      <c r="AC49" s="7"/>
      <c r="AD49" s="7"/>
      <c r="AE49" s="7"/>
    </row>
    <row r="50" spans="1:31" s="19" customFormat="1" ht="33" customHeight="1">
      <c r="A50" s="376"/>
      <c r="B50" s="11">
        <v>19</v>
      </c>
      <c r="C50" s="226" t="s">
        <v>55</v>
      </c>
      <c r="D50" s="20" t="str">
        <f>COVER!B22</f>
        <v>B7(다크로)</v>
      </c>
      <c r="E50" s="13">
        <v>6</v>
      </c>
      <c r="F50" s="14">
        <f>IF(D50="B8",Y94,IF(D50="B8M",Z94,IF(D50="B7(다크로)",AA94)))</f>
        <v>500</v>
      </c>
      <c r="G50" s="14">
        <f>E50*F50</f>
        <v>3000</v>
      </c>
      <c r="H50" s="14"/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f t="shared" si="1"/>
        <v>3000</v>
      </c>
      <c r="T50" s="18"/>
      <c r="V50" s="26"/>
      <c r="W50" s="26"/>
      <c r="X50" s="26"/>
      <c r="Y50" s="7"/>
      <c r="Z50" s="7"/>
      <c r="AA50" s="7"/>
      <c r="AB50" s="7"/>
      <c r="AC50" s="7"/>
      <c r="AD50" s="7"/>
      <c r="AE50" s="7"/>
    </row>
    <row r="51" spans="1:31" s="19" customFormat="1" ht="33" customHeight="1">
      <c r="A51" s="376"/>
      <c r="B51" s="11">
        <v>20</v>
      </c>
      <c r="C51" s="169" t="s">
        <v>56</v>
      </c>
      <c r="D51" s="303" t="str">
        <f>D24</f>
        <v>A564T630</v>
      </c>
      <c r="E51" s="13">
        <v>3</v>
      </c>
      <c r="F51" s="14">
        <f>IF(D51="A276T316",Y80/E51,IF(D51="A276T316L",Y80/E51,IF(D51="A276T304",Z80/E51,IF(D51="A564T630",AA80/E51,IF(D51="A479T410",AB80/E51,IF(D51="UNS S31803",AC80/E51,IF(D51="UNS S32750",AD80/E51,IF(D51="MONEL K-400",AE80/E51,IF(D51="MONEL K-500",AE80/E51)))))))))</f>
        <v>450</v>
      </c>
      <c r="G51" s="14">
        <f>F51*E51</f>
        <v>1350</v>
      </c>
      <c r="H51" s="14"/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1000</v>
      </c>
      <c r="P51" s="15">
        <v>0</v>
      </c>
      <c r="Q51" s="15">
        <v>0</v>
      </c>
      <c r="R51" s="15">
        <f>2100*E51</f>
        <v>6300</v>
      </c>
      <c r="S51" s="15">
        <f t="shared" si="1"/>
        <v>7650</v>
      </c>
      <c r="T51" s="22"/>
      <c r="U51" s="162"/>
    </row>
    <row r="52" spans="1:31" s="19" customFormat="1" ht="33" customHeight="1">
      <c r="A52" s="376"/>
      <c r="B52" s="11">
        <v>21</v>
      </c>
      <c r="C52" s="169" t="s">
        <v>57</v>
      </c>
      <c r="D52" s="24" t="str">
        <f>COVER!B22</f>
        <v>B7(다크로)</v>
      </c>
      <c r="E52" s="13">
        <v>4</v>
      </c>
      <c r="F52" s="14">
        <f>IF(D52="B8",Y90,IF(D52="B8M",Z90,IF(D52="B7(다크로)",AA90)))</f>
        <v>2000</v>
      </c>
      <c r="G52" s="14">
        <f>F52*E52</f>
        <v>8000</v>
      </c>
      <c r="H52" s="14"/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1000</v>
      </c>
      <c r="O52" s="15">
        <v>1000</v>
      </c>
      <c r="P52" s="15">
        <v>1000</v>
      </c>
      <c r="Q52" s="15">
        <v>0</v>
      </c>
      <c r="R52" s="15">
        <v>0</v>
      </c>
      <c r="S52" s="15">
        <f t="shared" si="1"/>
        <v>8000</v>
      </c>
      <c r="T52" s="22"/>
      <c r="U52" s="162"/>
    </row>
    <row r="53" spans="1:31" s="19" customFormat="1" ht="33" customHeight="1">
      <c r="A53" s="376"/>
      <c r="B53" s="11">
        <v>22</v>
      </c>
      <c r="C53" s="169" t="s">
        <v>1199</v>
      </c>
      <c r="D53" s="24" t="str">
        <f>COVER!B26</f>
        <v>316+NICKEL</v>
      </c>
      <c r="E53" s="13">
        <v>1</v>
      </c>
      <c r="F53" s="14">
        <f>IF(D53="316+NICKEL",Y102,IF(D53="B148 C95400",Z102))</f>
        <v>10000</v>
      </c>
      <c r="G53" s="14">
        <f>F53*E53</f>
        <v>10000</v>
      </c>
      <c r="H53" s="14"/>
      <c r="I53" s="15"/>
      <c r="J53" s="15"/>
      <c r="K53" s="15"/>
      <c r="L53" s="15"/>
      <c r="M53" s="15"/>
      <c r="N53" s="15"/>
      <c r="O53" s="15"/>
      <c r="P53" s="15"/>
      <c r="Q53" s="15"/>
      <c r="R53" s="15">
        <v>0</v>
      </c>
      <c r="S53" s="15">
        <f t="shared" si="1"/>
        <v>10000</v>
      </c>
      <c r="T53" s="22"/>
    </row>
    <row r="54" spans="1:31" s="19" customFormat="1" ht="33" customHeight="1">
      <c r="A54" s="376"/>
      <c r="B54" s="11">
        <v>23</v>
      </c>
      <c r="C54" s="29" t="s">
        <v>58</v>
      </c>
      <c r="D54" s="24"/>
      <c r="E54" s="13">
        <v>1</v>
      </c>
      <c r="F54" s="14">
        <v>1000</v>
      </c>
      <c r="G54" s="14">
        <f t="shared" si="11"/>
        <v>1000</v>
      </c>
      <c r="H54" s="14"/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1000</v>
      </c>
      <c r="Q54" s="15">
        <v>0</v>
      </c>
      <c r="R54" s="15">
        <v>0</v>
      </c>
      <c r="S54" s="15">
        <f t="shared" si="1"/>
        <v>1000</v>
      </c>
      <c r="T54" s="22"/>
    </row>
    <row r="55" spans="1:31" s="19" customFormat="1" ht="33" customHeight="1">
      <c r="A55" s="376"/>
      <c r="B55" s="11">
        <v>24</v>
      </c>
      <c r="C55" s="142" t="s">
        <v>59</v>
      </c>
      <c r="D55" s="24" t="str">
        <f>COVER!B35</f>
        <v>GEAR</v>
      </c>
      <c r="E55" s="13">
        <v>1</v>
      </c>
      <c r="F55" s="302">
        <f>IF(D55="GEAR",195300,IF(D55="MOTOR",0,IF(D55="PNEUMATIC",0)))</f>
        <v>195300</v>
      </c>
      <c r="G55" s="14">
        <f>F55</f>
        <v>195300</v>
      </c>
      <c r="H55" s="14"/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f t="shared" si="1"/>
        <v>195300</v>
      </c>
      <c r="T55" s="22"/>
    </row>
    <row r="56" spans="1:31" s="19" customFormat="1" ht="33" customHeight="1">
      <c r="A56" s="376"/>
      <c r="B56" s="11">
        <v>25</v>
      </c>
      <c r="C56" s="186" t="s">
        <v>859</v>
      </c>
      <c r="D56" s="24" t="str">
        <f>COVER!B30</f>
        <v>WCB</v>
      </c>
      <c r="E56" s="13">
        <v>7</v>
      </c>
      <c r="F56" s="302">
        <f>IF(D56="WCB",4000,IF(D56="CF8M",9000))</f>
        <v>4000</v>
      </c>
      <c r="G56" s="14">
        <f>E56*F56</f>
        <v>28000</v>
      </c>
      <c r="H56" s="14"/>
      <c r="I56" s="15"/>
      <c r="J56" s="15"/>
      <c r="K56" s="15"/>
      <c r="L56" s="15"/>
      <c r="M56" s="15"/>
      <c r="N56" s="15"/>
      <c r="O56" s="15"/>
      <c r="P56" s="15"/>
      <c r="Q56" s="15"/>
      <c r="R56" s="15">
        <f>IF(D56="WCB",AA108,IF(D56="CF8M",AB108))</f>
        <v>26700</v>
      </c>
      <c r="S56" s="15">
        <f t="shared" si="1"/>
        <v>54700</v>
      </c>
      <c r="T56" s="304"/>
    </row>
    <row r="57" spans="1:31" s="19" customFormat="1" ht="33" customHeight="1">
      <c r="A57" s="376"/>
      <c r="B57" s="11">
        <v>26</v>
      </c>
      <c r="C57" s="175" t="s">
        <v>467</v>
      </c>
      <c r="D57" s="24" t="str">
        <f>COVER!B27</f>
        <v>316+NICKEL</v>
      </c>
      <c r="E57" s="13">
        <v>2</v>
      </c>
      <c r="F57" s="14">
        <f>IF(D57="316+NICKEL",Y103,IF(D57="B148 C95400",Z103))</f>
        <v>15500</v>
      </c>
      <c r="G57" s="14">
        <f>F57</f>
        <v>15500</v>
      </c>
      <c r="H57" s="14"/>
      <c r="I57" s="15"/>
      <c r="J57" s="15"/>
      <c r="K57" s="15"/>
      <c r="L57" s="15"/>
      <c r="M57" s="15"/>
      <c r="N57" s="15"/>
      <c r="O57" s="15"/>
      <c r="P57" s="15"/>
      <c r="Q57" s="15"/>
      <c r="R57" s="15">
        <v>0</v>
      </c>
      <c r="S57" s="15">
        <f t="shared" si="1"/>
        <v>15500</v>
      </c>
      <c r="T57" s="25" t="s">
        <v>1200</v>
      </c>
    </row>
    <row r="58" spans="1:31" s="19" customFormat="1" ht="33" customHeight="1">
      <c r="A58" s="376"/>
      <c r="B58" s="11">
        <v>27</v>
      </c>
      <c r="C58" s="175" t="s">
        <v>468</v>
      </c>
      <c r="D58" s="24" t="str">
        <f>COVER!B28</f>
        <v>316+NICKEL</v>
      </c>
      <c r="E58" s="13">
        <v>2</v>
      </c>
      <c r="F58" s="14">
        <f>IF(D58="316+NICKEL",Y104,IF(D58="B148 C95400",Z104))</f>
        <v>1470</v>
      </c>
      <c r="G58" s="14">
        <f>F58</f>
        <v>1470</v>
      </c>
      <c r="H58" s="14"/>
      <c r="I58" s="15"/>
      <c r="J58" s="15"/>
      <c r="K58" s="15"/>
      <c r="L58" s="15"/>
      <c r="M58" s="15"/>
      <c r="N58" s="15"/>
      <c r="O58" s="15"/>
      <c r="P58" s="15"/>
      <c r="Q58" s="15"/>
      <c r="R58" s="15">
        <v>0</v>
      </c>
      <c r="S58" s="15">
        <f t="shared" si="1"/>
        <v>1470</v>
      </c>
      <c r="T58" s="25" t="s">
        <v>1200</v>
      </c>
    </row>
    <row r="59" spans="1:31" s="19" customFormat="1" ht="33" customHeight="1">
      <c r="A59" s="376"/>
      <c r="B59" s="11">
        <v>28</v>
      </c>
      <c r="C59" s="142" t="s">
        <v>714</v>
      </c>
      <c r="D59" s="24" t="str">
        <f>COVER!B22</f>
        <v>B7(다크로)</v>
      </c>
      <c r="E59" s="13">
        <v>4</v>
      </c>
      <c r="F59" s="14">
        <f>IF(D59="B8",Y89,IF(D59="B8M",Z89,IF(D59="B7(다크로)",AA89)))</f>
        <v>1500</v>
      </c>
      <c r="G59" s="14">
        <f t="shared" ref="G59:G61" si="13">E59*F59</f>
        <v>6000</v>
      </c>
      <c r="H59" s="14"/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f t="shared" si="1"/>
        <v>6000</v>
      </c>
      <c r="T59" s="25"/>
    </row>
    <row r="60" spans="1:31" s="19" customFormat="1" ht="33" customHeight="1">
      <c r="A60" s="376"/>
      <c r="B60" s="11">
        <v>29</v>
      </c>
      <c r="C60" s="12" t="s">
        <v>61</v>
      </c>
      <c r="D60" s="303" t="str">
        <f>COVER!B32</f>
        <v>외주 2COATING</v>
      </c>
      <c r="E60" s="13">
        <v>1</v>
      </c>
      <c r="F60" s="14">
        <f>IF(COVER!B10="APPLICATION",0,IF(D60="기존 단가",Y116,IF(D60="외주 2COATING",Z116,IF(D60="외주 3COATING",AA116))))</f>
        <v>0</v>
      </c>
      <c r="G60" s="14">
        <f t="shared" si="13"/>
        <v>0</v>
      </c>
      <c r="H60" s="14"/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f t="shared" si="1"/>
        <v>0</v>
      </c>
      <c r="T60" s="22"/>
    </row>
    <row r="61" spans="1:31" s="19" customFormat="1" ht="33" customHeight="1">
      <c r="A61" s="377"/>
      <c r="B61" s="11">
        <v>30</v>
      </c>
      <c r="C61" s="12" t="s">
        <v>62</v>
      </c>
      <c r="D61" s="303" t="str">
        <f>COVER!B33</f>
        <v>신규</v>
      </c>
      <c r="E61" s="13">
        <v>1</v>
      </c>
      <c r="F61" s="14">
        <f>IF(COVER!B10="APPLICATION",0,IF(D61="기존 단가",Y118,IF(D61="신규",Z118)))</f>
        <v>0</v>
      </c>
      <c r="G61" s="14">
        <f t="shared" si="13"/>
        <v>0</v>
      </c>
      <c r="H61" s="14"/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f t="shared" si="1"/>
        <v>0</v>
      </c>
      <c r="T61" s="22"/>
    </row>
    <row r="62" spans="1:31" s="19" customFormat="1" ht="33" customHeight="1">
      <c r="A62" s="378" t="s">
        <v>63</v>
      </c>
      <c r="B62" s="379"/>
      <c r="C62" s="379"/>
      <c r="D62" s="379"/>
      <c r="E62" s="379"/>
      <c r="F62" s="380"/>
      <c r="G62" s="14">
        <f>IF(COVER!B10="APPLICATION",0,IF(D55="GEAR",Y120,IF(D55="MOTOR",Z120,IF(D55="PNEUMATIC",AA120))))</f>
        <v>0</v>
      </c>
      <c r="H62" s="14"/>
      <c r="I62" s="32" t="s">
        <v>38</v>
      </c>
      <c r="J62" s="32"/>
      <c r="K62" s="32"/>
      <c r="L62" s="32"/>
      <c r="M62" s="32"/>
      <c r="N62" s="32"/>
      <c r="O62" s="32"/>
      <c r="P62" s="32"/>
      <c r="Q62" s="32"/>
      <c r="R62" s="33"/>
      <c r="S62" s="33">
        <f t="shared" si="1"/>
        <v>0</v>
      </c>
      <c r="T62" s="253"/>
      <c r="X62" s="19" t="s">
        <v>38</v>
      </c>
    </row>
    <row r="63" spans="1:31" s="19" customFormat="1" ht="33" customHeight="1">
      <c r="A63" s="360" t="s">
        <v>64</v>
      </c>
      <c r="B63" s="361"/>
      <c r="C63" s="361"/>
      <c r="D63" s="361"/>
      <c r="E63" s="361"/>
      <c r="F63" s="362"/>
      <c r="G63" s="14"/>
      <c r="H63" s="14"/>
      <c r="I63" s="32"/>
      <c r="J63" s="32"/>
      <c r="K63" s="32"/>
      <c r="L63" s="32"/>
      <c r="M63" s="32"/>
      <c r="N63" s="32"/>
      <c r="O63" s="32"/>
      <c r="P63" s="32"/>
      <c r="Q63" s="32"/>
      <c r="R63" s="33"/>
      <c r="S63" s="33"/>
      <c r="T63" s="253" t="s">
        <v>1526</v>
      </c>
    </row>
    <row r="64" spans="1:31" s="19" customFormat="1" ht="33" customHeight="1">
      <c r="A64" s="378" t="s">
        <v>65</v>
      </c>
      <c r="B64" s="379"/>
      <c r="C64" s="379"/>
      <c r="D64" s="379"/>
      <c r="E64" s="379"/>
      <c r="F64" s="380"/>
      <c r="G64" s="93" t="s">
        <v>38</v>
      </c>
      <c r="H64" s="93"/>
      <c r="I64" s="32"/>
      <c r="J64" s="94"/>
      <c r="K64" s="94"/>
      <c r="L64" s="94"/>
      <c r="M64" s="94"/>
      <c r="N64" s="94"/>
      <c r="O64" s="94"/>
      <c r="P64" s="94"/>
      <c r="Q64" s="94"/>
      <c r="R64" s="94"/>
      <c r="S64" s="34">
        <f>SUM(S8:S63)</f>
        <v>1711050</v>
      </c>
      <c r="T64" s="254" t="s">
        <v>642</v>
      </c>
    </row>
    <row r="65" spans="1:32" s="19" customFormat="1" ht="33" customHeight="1">
      <c r="A65" s="378" t="s">
        <v>66</v>
      </c>
      <c r="B65" s="379"/>
      <c r="C65" s="379"/>
      <c r="D65" s="379"/>
      <c r="E65" s="379"/>
      <c r="F65" s="380"/>
      <c r="G65" s="32">
        <v>0.1</v>
      </c>
      <c r="H65" s="32"/>
      <c r="I65" s="32" t="s">
        <v>38</v>
      </c>
      <c r="J65" s="32"/>
      <c r="K65" s="32"/>
      <c r="L65" s="32"/>
      <c r="M65" s="32"/>
      <c r="N65" s="32"/>
      <c r="O65" s="32"/>
      <c r="P65" s="32"/>
      <c r="Q65" s="32"/>
      <c r="R65" s="32"/>
      <c r="S65" s="35">
        <f>S64*G65</f>
        <v>171105</v>
      </c>
      <c r="T65" s="253"/>
    </row>
    <row r="66" spans="1:32" s="19" customFormat="1" ht="33" customHeight="1">
      <c r="A66" s="360" t="s">
        <v>67</v>
      </c>
      <c r="B66" s="361"/>
      <c r="C66" s="361"/>
      <c r="D66" s="361"/>
      <c r="E66" s="361"/>
      <c r="F66" s="362"/>
      <c r="G66" s="95">
        <v>0.1</v>
      </c>
      <c r="H66" s="95"/>
      <c r="I66" s="32" t="s">
        <v>38</v>
      </c>
      <c r="J66" s="32"/>
      <c r="K66" s="32"/>
      <c r="L66" s="32"/>
      <c r="M66" s="32"/>
      <c r="N66" s="32"/>
      <c r="O66" s="32"/>
      <c r="P66" s="32"/>
      <c r="Q66" s="32"/>
      <c r="R66" s="32"/>
      <c r="S66" s="35">
        <f>(S64+S65)*G66</f>
        <v>188215.5</v>
      </c>
      <c r="T66" s="253" t="s">
        <v>38</v>
      </c>
    </row>
    <row r="67" spans="1:32" s="19" customFormat="1" ht="33" customHeight="1">
      <c r="A67" s="363" t="s">
        <v>68</v>
      </c>
      <c r="B67" s="364"/>
      <c r="C67" s="364"/>
      <c r="D67" s="364"/>
      <c r="E67" s="364"/>
      <c r="F67" s="365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294">
        <f>S64+S65+S66</f>
        <v>2070370.5</v>
      </c>
      <c r="T67" s="254" t="s">
        <v>69</v>
      </c>
      <c r="V67" s="317"/>
    </row>
    <row r="68" spans="1:32" s="19" customFormat="1" ht="33" customHeight="1">
      <c r="A68" s="366" t="s">
        <v>70</v>
      </c>
      <c r="B68" s="367"/>
      <c r="C68" s="367"/>
      <c r="D68" s="367"/>
      <c r="E68" s="367"/>
      <c r="F68" s="368"/>
      <c r="G68" s="32">
        <f>COVER!B11</f>
        <v>1.5</v>
      </c>
      <c r="H68" s="32"/>
      <c r="I68" s="32" t="s">
        <v>38</v>
      </c>
      <c r="J68" s="32"/>
      <c r="K68" s="32"/>
      <c r="L68" s="32"/>
      <c r="M68" s="32"/>
      <c r="N68" s="32"/>
      <c r="O68" s="32"/>
      <c r="P68" s="32"/>
      <c r="Q68" s="32"/>
      <c r="R68" s="32"/>
      <c r="S68" s="36">
        <f>S67*G68</f>
        <v>3105555.75</v>
      </c>
      <c r="T68" s="253"/>
    </row>
    <row r="69" spans="1:32" s="19" customFormat="1" ht="33" customHeight="1">
      <c r="A69" s="369" t="s">
        <v>71</v>
      </c>
      <c r="B69" s="370"/>
      <c r="C69" s="370"/>
      <c r="D69" s="370"/>
      <c r="E69" s="370"/>
      <c r="F69" s="370"/>
      <c r="G69" s="371"/>
      <c r="H69" s="37"/>
      <c r="I69" s="38"/>
      <c r="J69" s="38"/>
      <c r="K69" s="38"/>
      <c r="L69" s="38"/>
      <c r="M69" s="38"/>
      <c r="N69" s="38"/>
      <c r="O69" s="38"/>
      <c r="P69" s="38"/>
      <c r="Q69" s="38"/>
      <c r="R69" s="39" t="s">
        <v>17</v>
      </c>
      <c r="S69" s="40">
        <f>S68</f>
        <v>3105555.75</v>
      </c>
      <c r="T69" s="246" t="s">
        <v>72</v>
      </c>
      <c r="V69" s="141" t="s">
        <v>862</v>
      </c>
      <c r="W69" s="140"/>
      <c r="X69" s="140"/>
      <c r="Y69" s="140"/>
      <c r="Z69" s="140"/>
      <c r="AA69" s="140"/>
      <c r="AB69" s="140"/>
      <c r="AC69" s="140"/>
      <c r="AD69" s="140"/>
      <c r="AE69" s="140"/>
      <c r="AF69" s="140"/>
    </row>
    <row r="70" spans="1:32" s="19" customFormat="1" ht="33" customHeight="1" thickBot="1">
      <c r="A70" s="372"/>
      <c r="B70" s="373"/>
      <c r="C70" s="373"/>
      <c r="D70" s="373"/>
      <c r="E70" s="373"/>
      <c r="F70" s="373"/>
      <c r="G70" s="374"/>
      <c r="H70" s="41"/>
      <c r="I70" s="42"/>
      <c r="J70" s="42"/>
      <c r="K70" s="42"/>
      <c r="L70" s="42"/>
      <c r="M70" s="42"/>
      <c r="N70" s="42"/>
      <c r="O70" s="42"/>
      <c r="P70" s="42"/>
      <c r="Q70" s="42"/>
      <c r="R70" s="43" t="s">
        <v>18</v>
      </c>
      <c r="S70" s="43">
        <f>S64*G68</f>
        <v>2566575</v>
      </c>
      <c r="T70" s="247" t="s">
        <v>73</v>
      </c>
      <c r="V70" s="141" t="s">
        <v>1342</v>
      </c>
      <c r="W70" s="140"/>
      <c r="X70" s="140"/>
      <c r="Y70" s="140"/>
      <c r="Z70" s="140"/>
      <c r="AA70" s="140"/>
      <c r="AB70" s="140"/>
      <c r="AC70" s="140"/>
      <c r="AD70" s="140"/>
      <c r="AE70" s="140"/>
      <c r="AF70" s="140"/>
    </row>
    <row r="71" spans="1:32" ht="15" thickBot="1">
      <c r="V71" s="140"/>
      <c r="W71" s="140"/>
      <c r="X71" s="140"/>
      <c r="Y71" s="140"/>
      <c r="Z71" s="140"/>
      <c r="AA71" s="140"/>
      <c r="AB71" s="140"/>
      <c r="AC71" s="140"/>
      <c r="AD71" s="140"/>
      <c r="AE71" s="140"/>
      <c r="AF71" s="140"/>
    </row>
    <row r="72" spans="1:32" ht="21" thickBot="1">
      <c r="C72" s="44" t="s">
        <v>310</v>
      </c>
      <c r="V72" s="193" t="s">
        <v>863</v>
      </c>
      <c r="W72" s="194" t="s">
        <v>864</v>
      </c>
      <c r="X72" s="194" t="s">
        <v>865</v>
      </c>
      <c r="Y72" s="358" t="s">
        <v>866</v>
      </c>
      <c r="Z72" s="358"/>
      <c r="AA72" s="358"/>
      <c r="AB72" s="358"/>
      <c r="AC72" s="358"/>
      <c r="AD72" s="358"/>
      <c r="AE72" s="358"/>
      <c r="AF72" s="218" t="s">
        <v>867</v>
      </c>
    </row>
    <row r="73" spans="1:32" ht="20.399999999999999">
      <c r="C73" s="44" t="s">
        <v>75</v>
      </c>
      <c r="V73" s="336" t="s">
        <v>868</v>
      </c>
      <c r="W73" s="111" t="s">
        <v>869</v>
      </c>
      <c r="X73" s="111" t="s">
        <v>1343</v>
      </c>
      <c r="Y73" s="345" t="s">
        <v>870</v>
      </c>
      <c r="Z73" s="345"/>
      <c r="AA73" s="345"/>
      <c r="AB73" s="345"/>
      <c r="AC73" s="345"/>
      <c r="AD73" s="345"/>
      <c r="AE73" s="345"/>
      <c r="AF73" s="161" t="s">
        <v>871</v>
      </c>
    </row>
    <row r="74" spans="1:32" ht="21" thickBot="1">
      <c r="C74" s="44" t="s">
        <v>76</v>
      </c>
      <c r="V74" s="342"/>
      <c r="W74" s="133" t="s">
        <v>872</v>
      </c>
      <c r="X74" s="219" t="s">
        <v>457</v>
      </c>
      <c r="Y74" s="346" t="s">
        <v>870</v>
      </c>
      <c r="Z74" s="346"/>
      <c r="AA74" s="346"/>
      <c r="AB74" s="346"/>
      <c r="AC74" s="346"/>
      <c r="AD74" s="346"/>
      <c r="AE74" s="346"/>
      <c r="AF74" s="195" t="s">
        <v>871</v>
      </c>
    </row>
    <row r="75" spans="1:32" ht="21" thickBot="1">
      <c r="C75" s="44" t="s">
        <v>77</v>
      </c>
      <c r="V75" s="196" t="s">
        <v>874</v>
      </c>
      <c r="W75" s="137" t="s">
        <v>875</v>
      </c>
      <c r="X75" s="137" t="s">
        <v>1344</v>
      </c>
      <c r="Y75" s="359" t="s">
        <v>870</v>
      </c>
      <c r="Z75" s="359"/>
      <c r="AA75" s="359"/>
      <c r="AB75" s="359"/>
      <c r="AC75" s="359"/>
      <c r="AD75" s="359"/>
      <c r="AE75" s="359"/>
      <c r="AF75" s="197" t="s">
        <v>871</v>
      </c>
    </row>
    <row r="76" spans="1:32" ht="20.399999999999999">
      <c r="C76" s="44" t="s">
        <v>78</v>
      </c>
      <c r="V76" s="336" t="s">
        <v>877</v>
      </c>
      <c r="W76" s="111" t="s">
        <v>846</v>
      </c>
      <c r="X76" s="354">
        <v>81600</v>
      </c>
      <c r="Y76" s="354"/>
      <c r="Z76" s="354"/>
      <c r="AA76" s="354"/>
      <c r="AB76" s="354"/>
      <c r="AC76" s="354"/>
      <c r="AD76" s="354"/>
      <c r="AE76" s="354"/>
      <c r="AF76" s="161"/>
    </row>
    <row r="77" spans="1:32" ht="21" thickBot="1">
      <c r="C77" s="44" t="s">
        <v>79</v>
      </c>
      <c r="V77" s="329"/>
      <c r="W77" s="125" t="s">
        <v>847</v>
      </c>
      <c r="X77" s="355">
        <v>114300</v>
      </c>
      <c r="Y77" s="355"/>
      <c r="Z77" s="355"/>
      <c r="AA77" s="355"/>
      <c r="AB77" s="355"/>
      <c r="AC77" s="355"/>
      <c r="AD77" s="355"/>
      <c r="AE77" s="355"/>
      <c r="AF77" s="208"/>
    </row>
    <row r="78" spans="1:32" ht="20.399999999999999">
      <c r="C78" s="44" t="s">
        <v>80</v>
      </c>
      <c r="V78" s="336" t="s">
        <v>878</v>
      </c>
      <c r="W78" s="343" t="s">
        <v>1345</v>
      </c>
      <c r="X78" s="345" t="s">
        <v>879</v>
      </c>
      <c r="Y78" s="111" t="s">
        <v>880</v>
      </c>
      <c r="Z78" s="111">
        <v>304</v>
      </c>
      <c r="AA78" s="111" t="s">
        <v>881</v>
      </c>
      <c r="AB78" s="111" t="s">
        <v>882</v>
      </c>
      <c r="AC78" s="111" t="s">
        <v>883</v>
      </c>
      <c r="AD78" s="111" t="s">
        <v>884</v>
      </c>
      <c r="AE78" s="111" t="s">
        <v>885</v>
      </c>
      <c r="AF78" s="161"/>
    </row>
    <row r="79" spans="1:32" ht="20.399999999999999">
      <c r="C79" s="45"/>
      <c r="V79" s="337"/>
      <c r="W79" s="356"/>
      <c r="X79" s="357"/>
      <c r="Y79" s="116">
        <v>28910</v>
      </c>
      <c r="Z79" s="116">
        <v>20945</v>
      </c>
      <c r="AA79" s="116">
        <v>44220</v>
      </c>
      <c r="AB79" s="116">
        <v>18880</v>
      </c>
      <c r="AC79" s="116">
        <v>48910</v>
      </c>
      <c r="AD79" s="116">
        <v>57486</v>
      </c>
      <c r="AE79" s="116">
        <v>352000</v>
      </c>
      <c r="AF79" s="214" t="s">
        <v>886</v>
      </c>
    </row>
    <row r="80" spans="1:32" ht="21" thickBot="1">
      <c r="C80" s="44" t="s">
        <v>81</v>
      </c>
      <c r="V80" s="132" t="s">
        <v>887</v>
      </c>
      <c r="W80" s="286" t="s">
        <v>1327</v>
      </c>
      <c r="X80" s="133" t="s">
        <v>981</v>
      </c>
      <c r="Y80" s="134">
        <v>510</v>
      </c>
      <c r="Z80" s="134">
        <v>385</v>
      </c>
      <c r="AA80" s="134">
        <v>1350</v>
      </c>
      <c r="AB80" s="134">
        <v>1240</v>
      </c>
      <c r="AC80" s="134">
        <v>1360</v>
      </c>
      <c r="AD80" s="134">
        <v>1742</v>
      </c>
      <c r="AE80" s="134">
        <v>4400</v>
      </c>
      <c r="AF80" s="195" t="s">
        <v>889</v>
      </c>
    </row>
    <row r="81" spans="3:32" ht="20.399999999999999">
      <c r="C81" s="46" t="s">
        <v>82</v>
      </c>
      <c r="V81" s="331" t="s">
        <v>890</v>
      </c>
      <c r="W81" s="352" t="s">
        <v>1346</v>
      </c>
      <c r="X81" s="328" t="s">
        <v>879</v>
      </c>
      <c r="Y81" s="198">
        <v>304</v>
      </c>
      <c r="Z81" s="198" t="s">
        <v>880</v>
      </c>
      <c r="AA81" s="198" t="s">
        <v>892</v>
      </c>
      <c r="AB81" s="199"/>
      <c r="AC81" s="199"/>
      <c r="AD81" s="199"/>
      <c r="AE81" s="199"/>
      <c r="AF81" s="206"/>
    </row>
    <row r="82" spans="3:32" ht="21" thickBot="1">
      <c r="C82" s="46" t="s">
        <v>387</v>
      </c>
      <c r="V82" s="329"/>
      <c r="W82" s="353"/>
      <c r="X82" s="327"/>
      <c r="Y82" s="126">
        <v>22000</v>
      </c>
      <c r="Z82" s="126">
        <v>26000</v>
      </c>
      <c r="AA82" s="126">
        <v>36000</v>
      </c>
      <c r="AB82" s="200"/>
      <c r="AC82" s="200"/>
      <c r="AD82" s="200"/>
      <c r="AE82" s="200"/>
      <c r="AF82" s="208"/>
    </row>
    <row r="83" spans="3:32" ht="20.399999999999999">
      <c r="C83" s="46" t="s">
        <v>84</v>
      </c>
      <c r="V83" s="336" t="s">
        <v>893</v>
      </c>
      <c r="W83" s="343" t="s">
        <v>1347</v>
      </c>
      <c r="X83" s="345" t="s">
        <v>879</v>
      </c>
      <c r="Y83" s="111" t="s">
        <v>895</v>
      </c>
      <c r="Z83" s="111" t="s">
        <v>896</v>
      </c>
      <c r="AA83" s="201"/>
      <c r="AB83" s="201"/>
      <c r="AC83" s="201"/>
      <c r="AD83" s="201"/>
      <c r="AE83" s="201"/>
      <c r="AF83" s="161"/>
    </row>
    <row r="84" spans="3:32" ht="21" thickBot="1">
      <c r="C84" s="46" t="s">
        <v>85</v>
      </c>
      <c r="V84" s="342"/>
      <c r="W84" s="344"/>
      <c r="X84" s="346"/>
      <c r="Y84" s="296">
        <v>9200</v>
      </c>
      <c r="Z84" s="296">
        <v>50000</v>
      </c>
      <c r="AA84" s="203"/>
      <c r="AB84" s="203"/>
      <c r="AC84" s="203"/>
      <c r="AD84" s="203"/>
      <c r="AE84" s="203"/>
      <c r="AF84" s="195" t="s">
        <v>958</v>
      </c>
    </row>
    <row r="85" spans="3:32" ht="20.399999999999999">
      <c r="C85" s="46" t="s">
        <v>86</v>
      </c>
      <c r="V85" s="331" t="s">
        <v>898</v>
      </c>
      <c r="W85" s="287" t="s">
        <v>1348</v>
      </c>
      <c r="X85" s="198" t="s">
        <v>900</v>
      </c>
      <c r="Y85" s="113">
        <v>5000</v>
      </c>
      <c r="Z85" s="205"/>
      <c r="AA85" s="205"/>
      <c r="AB85" s="205"/>
      <c r="AC85" s="205"/>
      <c r="AD85" s="205"/>
      <c r="AE85" s="205"/>
      <c r="AF85" s="350" t="s">
        <v>901</v>
      </c>
    </row>
    <row r="86" spans="3:32" ht="21" thickBot="1">
      <c r="C86" s="46" t="s">
        <v>87</v>
      </c>
      <c r="V86" s="329"/>
      <c r="W86" s="288" t="s">
        <v>1349</v>
      </c>
      <c r="X86" s="125" t="s">
        <v>463</v>
      </c>
      <c r="Y86" s="126">
        <v>5830</v>
      </c>
      <c r="Z86" s="200"/>
      <c r="AA86" s="200"/>
      <c r="AB86" s="200"/>
      <c r="AC86" s="200"/>
      <c r="AD86" s="200"/>
      <c r="AE86" s="200"/>
      <c r="AF86" s="351"/>
    </row>
    <row r="87" spans="3:32" ht="21" thickBot="1">
      <c r="C87" s="46" t="s">
        <v>88</v>
      </c>
      <c r="V87" s="193" t="s">
        <v>904</v>
      </c>
      <c r="W87" s="289" t="s">
        <v>1330</v>
      </c>
      <c r="X87" s="194" t="s">
        <v>463</v>
      </c>
      <c r="Y87" s="210">
        <v>2200</v>
      </c>
      <c r="Z87" s="211"/>
      <c r="AA87" s="211"/>
      <c r="AB87" s="211"/>
      <c r="AC87" s="211"/>
      <c r="AD87" s="211"/>
      <c r="AE87" s="211"/>
      <c r="AF87" s="218"/>
    </row>
    <row r="88" spans="3:32" ht="20.399999999999999">
      <c r="C88" s="47" t="s">
        <v>89</v>
      </c>
      <c r="V88" s="336" t="s">
        <v>906</v>
      </c>
      <c r="W88" s="345"/>
      <c r="X88" s="345"/>
      <c r="Y88" s="111" t="s">
        <v>853</v>
      </c>
      <c r="Z88" s="111" t="s">
        <v>462</v>
      </c>
      <c r="AA88" s="111" t="s">
        <v>855</v>
      </c>
      <c r="AB88" s="201"/>
      <c r="AC88" s="201"/>
      <c r="AD88" s="201"/>
      <c r="AE88" s="201"/>
      <c r="AF88" s="161"/>
    </row>
    <row r="89" spans="3:32" ht="20.399999999999999">
      <c r="C89" s="48"/>
      <c r="V89" s="119" t="s">
        <v>907</v>
      </c>
      <c r="W89" s="290" t="s">
        <v>1001</v>
      </c>
      <c r="X89" s="115" t="s">
        <v>909</v>
      </c>
      <c r="Y89" s="116">
        <v>1500</v>
      </c>
      <c r="Z89" s="116">
        <v>2000</v>
      </c>
      <c r="AA89" s="116">
        <v>1500</v>
      </c>
      <c r="AB89" s="213"/>
      <c r="AC89" s="213"/>
      <c r="AD89" s="213"/>
      <c r="AE89" s="213"/>
      <c r="AF89" s="214" t="s">
        <v>910</v>
      </c>
    </row>
    <row r="90" spans="3:32" ht="20.399999999999999">
      <c r="C90" s="46" t="s">
        <v>38</v>
      </c>
      <c r="V90" s="119" t="s">
        <v>911</v>
      </c>
      <c r="W90" s="290" t="s">
        <v>983</v>
      </c>
      <c r="X90" s="115" t="s">
        <v>909</v>
      </c>
      <c r="Y90" s="116">
        <v>2700</v>
      </c>
      <c r="Z90" s="116">
        <v>3500</v>
      </c>
      <c r="AA90" s="116">
        <v>2000</v>
      </c>
      <c r="AB90" s="213"/>
      <c r="AC90" s="213"/>
      <c r="AD90" s="213"/>
      <c r="AE90" s="213"/>
      <c r="AF90" s="214" t="s">
        <v>910</v>
      </c>
    </row>
    <row r="91" spans="3:32" ht="20.399999999999999">
      <c r="C91" s="44" t="s">
        <v>90</v>
      </c>
      <c r="V91" s="119" t="s">
        <v>913</v>
      </c>
      <c r="W91" s="290" t="s">
        <v>1350</v>
      </c>
      <c r="X91" s="115" t="s">
        <v>888</v>
      </c>
      <c r="Y91" s="116">
        <v>200</v>
      </c>
      <c r="Z91" s="116">
        <v>300</v>
      </c>
      <c r="AA91" s="116">
        <v>300</v>
      </c>
      <c r="AB91" s="213"/>
      <c r="AC91" s="213"/>
      <c r="AD91" s="213"/>
      <c r="AE91" s="213"/>
      <c r="AF91" s="214" t="s">
        <v>910</v>
      </c>
    </row>
    <row r="92" spans="3:32" ht="20.399999999999999">
      <c r="C92" s="46" t="s">
        <v>91</v>
      </c>
      <c r="V92" s="119" t="s">
        <v>913</v>
      </c>
      <c r="W92" s="290" t="s">
        <v>992</v>
      </c>
      <c r="X92" s="115" t="s">
        <v>984</v>
      </c>
      <c r="Y92" s="116">
        <v>200</v>
      </c>
      <c r="Z92" s="116">
        <v>500</v>
      </c>
      <c r="AA92" s="116">
        <v>300</v>
      </c>
      <c r="AB92" s="213"/>
      <c r="AC92" s="213"/>
      <c r="AD92" s="213"/>
      <c r="AE92" s="213"/>
      <c r="AF92" s="214" t="s">
        <v>910</v>
      </c>
    </row>
    <row r="93" spans="3:32" ht="20.399999999999999">
      <c r="C93" s="46" t="s">
        <v>92</v>
      </c>
      <c r="V93" s="119" t="s">
        <v>916</v>
      </c>
      <c r="W93" s="290" t="s">
        <v>979</v>
      </c>
      <c r="X93" s="115" t="s">
        <v>909</v>
      </c>
      <c r="Y93" s="116">
        <v>500</v>
      </c>
      <c r="Z93" s="116">
        <v>600</v>
      </c>
      <c r="AA93" s="116">
        <v>1000</v>
      </c>
      <c r="AB93" s="213"/>
      <c r="AC93" s="213"/>
      <c r="AD93" s="213"/>
      <c r="AE93" s="213"/>
      <c r="AF93" s="214" t="s">
        <v>910</v>
      </c>
    </row>
    <row r="94" spans="3:32" ht="18" thickBot="1">
      <c r="V94" s="170" t="s">
        <v>918</v>
      </c>
      <c r="W94" s="288" t="s">
        <v>980</v>
      </c>
      <c r="X94" s="125" t="s">
        <v>915</v>
      </c>
      <c r="Y94" s="126">
        <v>500</v>
      </c>
      <c r="Z94" s="126">
        <v>800</v>
      </c>
      <c r="AA94" s="126">
        <v>500</v>
      </c>
      <c r="AB94" s="200"/>
      <c r="AC94" s="200"/>
      <c r="AD94" s="200"/>
      <c r="AE94" s="200"/>
      <c r="AF94" s="208" t="s">
        <v>910</v>
      </c>
    </row>
    <row r="95" spans="3:32" ht="18" thickBot="1">
      <c r="V95" s="105" t="s">
        <v>920</v>
      </c>
      <c r="W95" s="291" t="s">
        <v>1332</v>
      </c>
      <c r="X95" s="103" t="s">
        <v>879</v>
      </c>
      <c r="Y95" s="216">
        <v>11400</v>
      </c>
      <c r="Z95" s="217"/>
      <c r="AA95" s="217"/>
      <c r="AB95" s="217"/>
      <c r="AC95" s="217"/>
      <c r="AD95" s="217"/>
      <c r="AE95" s="217"/>
      <c r="AF95" s="107"/>
    </row>
    <row r="96" spans="3:32" s="228" customFormat="1" ht="14.4">
      <c r="C96" s="227"/>
      <c r="V96" s="336" t="s">
        <v>922</v>
      </c>
      <c r="W96" s="345"/>
      <c r="X96" s="345"/>
      <c r="Y96" s="111" t="s">
        <v>923</v>
      </c>
      <c r="Z96" s="111" t="s">
        <v>924</v>
      </c>
      <c r="AA96" s="201"/>
      <c r="AB96" s="201"/>
      <c r="AC96" s="201"/>
      <c r="AD96" s="201"/>
      <c r="AE96" s="201"/>
      <c r="AF96" s="161"/>
    </row>
    <row r="97" spans="3:32" s="228" customFormat="1" ht="17.399999999999999">
      <c r="C97" s="227"/>
      <c r="V97" s="329" t="s">
        <v>925</v>
      </c>
      <c r="W97" s="290" t="s">
        <v>1351</v>
      </c>
      <c r="X97" s="115" t="s">
        <v>888</v>
      </c>
      <c r="Y97" s="116">
        <v>42530</v>
      </c>
      <c r="Z97" s="116">
        <v>33800</v>
      </c>
      <c r="AA97" s="213"/>
      <c r="AB97" s="213"/>
      <c r="AC97" s="213"/>
      <c r="AD97" s="213"/>
      <c r="AE97" s="213"/>
      <c r="AF97" s="214" t="s">
        <v>889</v>
      </c>
    </row>
    <row r="98" spans="3:32" ht="17.399999999999999">
      <c r="V98" s="331"/>
      <c r="W98" s="290" t="s">
        <v>1352</v>
      </c>
      <c r="X98" s="115" t="s">
        <v>879</v>
      </c>
      <c r="Y98" s="116">
        <v>18200</v>
      </c>
      <c r="Z98" s="116">
        <v>15300</v>
      </c>
      <c r="AA98" s="213"/>
      <c r="AB98" s="213"/>
      <c r="AC98" s="213"/>
      <c r="AD98" s="213"/>
      <c r="AE98" s="213"/>
      <c r="AF98" s="214" t="s">
        <v>889</v>
      </c>
    </row>
    <row r="99" spans="3:32" ht="17.399999999999999">
      <c r="V99" s="170" t="s">
        <v>926</v>
      </c>
      <c r="W99" s="290" t="s">
        <v>1353</v>
      </c>
      <c r="X99" s="115" t="s">
        <v>888</v>
      </c>
      <c r="Y99" s="116">
        <v>24700</v>
      </c>
      <c r="Z99" s="116">
        <v>33800</v>
      </c>
      <c r="AA99" s="213"/>
      <c r="AB99" s="213"/>
      <c r="AC99" s="213"/>
      <c r="AD99" s="213"/>
      <c r="AE99" s="213"/>
      <c r="AF99" s="214" t="s">
        <v>889</v>
      </c>
    </row>
    <row r="100" spans="3:32" ht="17.399999999999999">
      <c r="V100" s="119" t="s">
        <v>927</v>
      </c>
      <c r="W100" s="290" t="s">
        <v>1335</v>
      </c>
      <c r="X100" s="115" t="s">
        <v>879</v>
      </c>
      <c r="Y100" s="116">
        <v>23500</v>
      </c>
      <c r="Z100" s="116">
        <v>36000</v>
      </c>
      <c r="AA100" s="213"/>
      <c r="AB100" s="213"/>
      <c r="AC100" s="213"/>
      <c r="AD100" s="213"/>
      <c r="AE100" s="213"/>
      <c r="AF100" s="214" t="s">
        <v>889</v>
      </c>
    </row>
    <row r="101" spans="3:32" ht="17.399999999999999">
      <c r="V101" s="119" t="s">
        <v>929</v>
      </c>
      <c r="W101" s="290" t="s">
        <v>1336</v>
      </c>
      <c r="X101" s="115" t="s">
        <v>879</v>
      </c>
      <c r="Y101" s="116">
        <v>7000</v>
      </c>
      <c r="Z101" s="116">
        <v>7200</v>
      </c>
      <c r="AA101" s="213"/>
      <c r="AB101" s="213"/>
      <c r="AC101" s="213"/>
      <c r="AD101" s="213"/>
      <c r="AE101" s="213"/>
      <c r="AF101" s="214" t="s">
        <v>889</v>
      </c>
    </row>
    <row r="102" spans="3:32" ht="17.399999999999999">
      <c r="V102" s="119" t="s">
        <v>931</v>
      </c>
      <c r="W102" s="290" t="s">
        <v>1354</v>
      </c>
      <c r="X102" s="115" t="s">
        <v>879</v>
      </c>
      <c r="Y102" s="116">
        <v>10000</v>
      </c>
      <c r="Z102" s="116">
        <v>12600</v>
      </c>
      <c r="AA102" s="213"/>
      <c r="AB102" s="213"/>
      <c r="AC102" s="213"/>
      <c r="AD102" s="213"/>
      <c r="AE102" s="213"/>
      <c r="AF102" s="214" t="s">
        <v>889</v>
      </c>
    </row>
    <row r="103" spans="3:32" ht="17.399999999999999">
      <c r="V103" s="119" t="s">
        <v>933</v>
      </c>
      <c r="W103" s="290" t="s">
        <v>1355</v>
      </c>
      <c r="X103" s="115" t="s">
        <v>888</v>
      </c>
      <c r="Y103" s="116">
        <v>15500</v>
      </c>
      <c r="Z103" s="116">
        <v>17600</v>
      </c>
      <c r="AA103" s="213"/>
      <c r="AB103" s="213"/>
      <c r="AC103" s="213"/>
      <c r="AD103" s="213"/>
      <c r="AE103" s="213"/>
      <c r="AF103" s="214" t="s">
        <v>889</v>
      </c>
    </row>
    <row r="104" spans="3:32" ht="14.4" customHeight="1" thickBot="1">
      <c r="V104" s="132" t="s">
        <v>935</v>
      </c>
      <c r="W104" s="286" t="s">
        <v>1339</v>
      </c>
      <c r="X104" s="133" t="s">
        <v>888</v>
      </c>
      <c r="Y104" s="134">
        <v>1470</v>
      </c>
      <c r="Z104" s="134">
        <v>11200</v>
      </c>
      <c r="AA104" s="203"/>
      <c r="AB104" s="203"/>
      <c r="AC104" s="203"/>
      <c r="AD104" s="203"/>
      <c r="AE104" s="203"/>
      <c r="AF104" s="195" t="s">
        <v>889</v>
      </c>
    </row>
    <row r="105" spans="3:32" ht="15" customHeight="1">
      <c r="V105" s="331" t="s">
        <v>937</v>
      </c>
      <c r="W105" s="352" t="s">
        <v>1340</v>
      </c>
      <c r="X105" s="328" t="s">
        <v>879</v>
      </c>
      <c r="Y105" s="198" t="s">
        <v>741</v>
      </c>
      <c r="Z105" s="198">
        <v>316</v>
      </c>
      <c r="AA105" s="198">
        <v>304</v>
      </c>
      <c r="AB105" s="199"/>
      <c r="AC105" s="199"/>
      <c r="AD105" s="199"/>
      <c r="AE105" s="199"/>
      <c r="AF105" s="347" t="s">
        <v>940</v>
      </c>
    </row>
    <row r="106" spans="3:32" ht="14.4" customHeight="1" thickBot="1">
      <c r="V106" s="329"/>
      <c r="W106" s="353"/>
      <c r="X106" s="327"/>
      <c r="Y106" s="126">
        <v>2970</v>
      </c>
      <c r="Z106" s="126">
        <v>11000</v>
      </c>
      <c r="AA106" s="126">
        <v>8030</v>
      </c>
      <c r="AB106" s="200"/>
      <c r="AC106" s="200"/>
      <c r="AD106" s="200"/>
      <c r="AE106" s="200"/>
      <c r="AF106" s="348"/>
    </row>
    <row r="107" spans="3:32" ht="15" customHeight="1">
      <c r="V107" s="336" t="s">
        <v>985</v>
      </c>
      <c r="W107" s="343" t="s">
        <v>994</v>
      </c>
      <c r="X107" s="111" t="s">
        <v>986</v>
      </c>
      <c r="Y107" s="111" t="s">
        <v>466</v>
      </c>
      <c r="Z107" s="111" t="s">
        <v>988</v>
      </c>
      <c r="AA107" s="111" t="s">
        <v>989</v>
      </c>
      <c r="AB107" s="111" t="s">
        <v>990</v>
      </c>
      <c r="AC107" s="201"/>
      <c r="AD107" s="201"/>
      <c r="AE107" s="201"/>
      <c r="AF107" s="347" t="s">
        <v>991</v>
      </c>
    </row>
    <row r="108" spans="3:32" ht="15" thickBot="1">
      <c r="V108" s="342"/>
      <c r="W108" s="344"/>
      <c r="X108" s="221">
        <v>7</v>
      </c>
      <c r="Y108" s="433" t="s">
        <v>870</v>
      </c>
      <c r="Z108" s="434"/>
      <c r="AA108" s="134">
        <v>26700</v>
      </c>
      <c r="AB108" s="134">
        <v>35000</v>
      </c>
      <c r="AC108" s="203"/>
      <c r="AD108" s="203"/>
      <c r="AE108" s="203"/>
      <c r="AF108" s="348"/>
    </row>
    <row r="114" spans="22:32" s="3" customFormat="1" ht="13.8" thickBot="1"/>
    <row r="115" spans="22:32" s="3" customFormat="1" ht="30" customHeight="1">
      <c r="V115" s="336" t="s">
        <v>1516</v>
      </c>
      <c r="W115" s="338"/>
      <c r="X115" s="340"/>
      <c r="Y115" s="171" t="s">
        <v>1517</v>
      </c>
      <c r="Z115" s="171" t="s">
        <v>1518</v>
      </c>
      <c r="AA115" s="171" t="s">
        <v>1519</v>
      </c>
      <c r="AB115" s="171"/>
      <c r="AC115" s="171"/>
      <c r="AD115" s="171"/>
      <c r="AE115" s="171"/>
      <c r="AF115" s="172"/>
    </row>
    <row r="116" spans="22:32" s="3" customFormat="1" ht="30" customHeight="1" thickBot="1">
      <c r="V116" s="337"/>
      <c r="W116" s="339"/>
      <c r="X116" s="341"/>
      <c r="Y116" s="173">
        <v>80000</v>
      </c>
      <c r="Z116" s="173">
        <f>IF(F8&gt;0,E8*520,IF(F9&gt;0,E9*520))</f>
        <v>52000</v>
      </c>
      <c r="AA116" s="173">
        <f>IF(F8&gt;0,E8*620,IF(F9&gt;0,E9*620))</f>
        <v>62000</v>
      </c>
      <c r="AB116" s="173"/>
      <c r="AC116" s="173"/>
      <c r="AD116" s="173"/>
      <c r="AE116" s="173"/>
      <c r="AF116" s="174"/>
    </row>
    <row r="117" spans="22:32" s="3" customFormat="1" ht="30" customHeight="1">
      <c r="V117" s="336" t="s">
        <v>1520</v>
      </c>
      <c r="W117" s="338"/>
      <c r="X117" s="340"/>
      <c r="Y117" s="171" t="s">
        <v>1517</v>
      </c>
      <c r="Z117" s="171" t="s">
        <v>1521</v>
      </c>
      <c r="AA117" s="171"/>
      <c r="AB117" s="171"/>
      <c r="AC117" s="171"/>
      <c r="AD117" s="171"/>
      <c r="AE117" s="171"/>
      <c r="AF117" s="172"/>
    </row>
    <row r="118" spans="22:32" s="3" customFormat="1" ht="30" customHeight="1" thickBot="1">
      <c r="V118" s="337"/>
      <c r="W118" s="339"/>
      <c r="X118" s="341"/>
      <c r="Y118" s="173">
        <v>100000</v>
      </c>
      <c r="Z118" s="173">
        <f>Y118</f>
        <v>100000</v>
      </c>
      <c r="AA118" s="173"/>
      <c r="AB118" s="173"/>
      <c r="AC118" s="173"/>
      <c r="AD118" s="173"/>
      <c r="AE118" s="173"/>
      <c r="AF118" s="174"/>
    </row>
    <row r="119" spans="22:32" s="3" customFormat="1" ht="30" customHeight="1">
      <c r="V119" s="336" t="s">
        <v>1522</v>
      </c>
      <c r="W119" s="338"/>
      <c r="X119" s="340"/>
      <c r="Y119" s="171" t="s">
        <v>1523</v>
      </c>
      <c r="Z119" s="171" t="s">
        <v>1524</v>
      </c>
      <c r="AA119" s="171" t="s">
        <v>1525</v>
      </c>
      <c r="AB119" s="171"/>
      <c r="AC119" s="171"/>
      <c r="AD119" s="171"/>
      <c r="AE119" s="171"/>
      <c r="AF119" s="172"/>
    </row>
    <row r="120" spans="22:32" s="3" customFormat="1" ht="30" customHeight="1">
      <c r="V120" s="337"/>
      <c r="W120" s="339"/>
      <c r="X120" s="341"/>
      <c r="Y120" s="306">
        <v>80000</v>
      </c>
      <c r="Z120" s="306">
        <v>130000</v>
      </c>
      <c r="AA120" s="173">
        <v>230000</v>
      </c>
      <c r="AB120" s="173"/>
      <c r="AC120" s="173"/>
      <c r="AD120" s="173"/>
      <c r="AE120" s="173"/>
      <c r="AF120" s="174"/>
    </row>
  </sheetData>
  <mergeCells count="68">
    <mergeCell ref="A1:S1"/>
    <mergeCell ref="A3:B4"/>
    <mergeCell ref="C3:C4"/>
    <mergeCell ref="D3:D4"/>
    <mergeCell ref="E3:E4"/>
    <mergeCell ref="F3:F4"/>
    <mergeCell ref="G3:G4"/>
    <mergeCell ref="H3:Q4"/>
    <mergeCell ref="R3:R4"/>
    <mergeCell ref="S3:S4"/>
    <mergeCell ref="T3:T7"/>
    <mergeCell ref="A5:B7"/>
    <mergeCell ref="C5:C7"/>
    <mergeCell ref="D5:D7"/>
    <mergeCell ref="E5:G6"/>
    <mergeCell ref="H5:H6"/>
    <mergeCell ref="I5:Q5"/>
    <mergeCell ref="R5:R7"/>
    <mergeCell ref="S5:S7"/>
    <mergeCell ref="A67:F67"/>
    <mergeCell ref="A68:F68"/>
    <mergeCell ref="A69:G70"/>
    <mergeCell ref="A8:A61"/>
    <mergeCell ref="A62:F62"/>
    <mergeCell ref="A63:F63"/>
    <mergeCell ref="A64:F64"/>
    <mergeCell ref="A65:F65"/>
    <mergeCell ref="A66:F66"/>
    <mergeCell ref="X78:X79"/>
    <mergeCell ref="Y72:AE72"/>
    <mergeCell ref="V73:V74"/>
    <mergeCell ref="Y73:AE73"/>
    <mergeCell ref="Y74:AE74"/>
    <mergeCell ref="Y75:AE75"/>
    <mergeCell ref="V3:V7"/>
    <mergeCell ref="V85:V86"/>
    <mergeCell ref="AF85:AF86"/>
    <mergeCell ref="V88:X88"/>
    <mergeCell ref="V96:X96"/>
    <mergeCell ref="V81:V82"/>
    <mergeCell ref="W81:W82"/>
    <mergeCell ref="X81:X82"/>
    <mergeCell ref="V83:V84"/>
    <mergeCell ref="W83:W84"/>
    <mergeCell ref="X83:X84"/>
    <mergeCell ref="V76:V77"/>
    <mergeCell ref="X76:AE76"/>
    <mergeCell ref="X77:AE77"/>
    <mergeCell ref="V78:V79"/>
    <mergeCell ref="W78:W79"/>
    <mergeCell ref="V107:V108"/>
    <mergeCell ref="W107:W108"/>
    <mergeCell ref="AF107:AF108"/>
    <mergeCell ref="Y108:Z108"/>
    <mergeCell ref="V97:V98"/>
    <mergeCell ref="V105:V106"/>
    <mergeCell ref="W105:W106"/>
    <mergeCell ref="X105:X106"/>
    <mergeCell ref="AF105:AF106"/>
    <mergeCell ref="V119:V120"/>
    <mergeCell ref="W119:W120"/>
    <mergeCell ref="X119:X120"/>
    <mergeCell ref="V115:V116"/>
    <mergeCell ref="W115:W116"/>
    <mergeCell ref="X115:X116"/>
    <mergeCell ref="V117:V118"/>
    <mergeCell ref="W117:W118"/>
    <mergeCell ref="X117:X118"/>
  </mergeCells>
  <phoneticPr fontId="3" type="noConversion"/>
  <printOptions horizontalCentered="1"/>
  <pageMargins left="0.39370078740157483" right="0.39370078740157483" top="0.39370078740157483" bottom="0.15748031496062992" header="0.51181102362204722" footer="0.51181102362204722"/>
  <pageSetup paperSize="9" scale="45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1:AF120"/>
  <sheetViews>
    <sheetView showGridLines="0" view="pageBreakPreview" zoomScale="70" zoomScaleNormal="55" zoomScaleSheetLayoutView="70" workbookViewId="0">
      <pane xSplit="7" ySplit="7" topLeftCell="H8" activePane="bottomRight" state="frozen"/>
      <selection activeCell="Y116" sqref="Y116"/>
      <selection pane="topRight" activeCell="Y116" sqref="Y116"/>
      <selection pane="bottomLeft" activeCell="Y116" sqref="Y116"/>
      <selection pane="bottomRight" activeCell="Y116" sqref="Y116"/>
    </sheetView>
  </sheetViews>
  <sheetFormatPr defaultColWidth="8.8984375" defaultRowHeight="13.2"/>
  <cols>
    <col min="1" max="1" width="3.3984375" style="3" customWidth="1"/>
    <col min="2" max="2" width="9.5" style="3" customWidth="1"/>
    <col min="3" max="3" width="25.19921875" style="49" customWidth="1"/>
    <col min="4" max="5" width="13.09765625" style="3" customWidth="1"/>
    <col min="6" max="7" width="15.09765625" style="3" customWidth="1"/>
    <col min="8" max="8" width="15.09765625" style="3" hidden="1" customWidth="1"/>
    <col min="9" max="17" width="15.69921875" style="3" hidden="1" customWidth="1"/>
    <col min="18" max="18" width="15.69921875" style="3" customWidth="1"/>
    <col min="19" max="19" width="26.8984375" style="3" customWidth="1"/>
    <col min="20" max="20" width="30.09765625" style="3" customWidth="1"/>
    <col min="21" max="21" width="12.19921875" style="3" bestFit="1" customWidth="1"/>
    <col min="22" max="22" width="47.69921875" style="3" bestFit="1" customWidth="1"/>
    <col min="23" max="23" width="42" style="3" bestFit="1" customWidth="1"/>
    <col min="24" max="24" width="10.5" style="3" bestFit="1" customWidth="1"/>
    <col min="25" max="25" width="12.19921875" style="3" bestFit="1" customWidth="1"/>
    <col min="26" max="26" width="14.09765625" style="3" bestFit="1" customWidth="1"/>
    <col min="27" max="27" width="12.3984375" style="3" bestFit="1" customWidth="1"/>
    <col min="28" max="28" width="13" style="3" bestFit="1" customWidth="1"/>
    <col min="29" max="30" width="8.59765625" style="3" bestFit="1" customWidth="1"/>
    <col min="31" max="31" width="14.3984375" style="3" bestFit="1" customWidth="1"/>
    <col min="32" max="32" width="18.59765625" style="3" bestFit="1" customWidth="1"/>
    <col min="33" max="16384" width="8.8984375" style="3"/>
  </cols>
  <sheetData>
    <row r="1" spans="1:31" s="2" customFormat="1" ht="51" customHeight="1" thickBot="1">
      <c r="A1" s="411" t="s">
        <v>1312</v>
      </c>
      <c r="B1" s="412"/>
      <c r="C1" s="412"/>
      <c r="D1" s="412"/>
      <c r="E1" s="412"/>
      <c r="F1" s="412"/>
      <c r="G1" s="412"/>
      <c r="H1" s="412"/>
      <c r="I1" s="412"/>
      <c r="J1" s="412"/>
      <c r="K1" s="412"/>
      <c r="L1" s="412"/>
      <c r="M1" s="412"/>
      <c r="N1" s="412"/>
      <c r="O1" s="412"/>
      <c r="P1" s="412"/>
      <c r="Q1" s="412"/>
      <c r="R1" s="412"/>
      <c r="S1" s="412"/>
      <c r="T1" s="1"/>
    </row>
    <row r="2" spans="1:31" s="2" customFormat="1" ht="30" customHeight="1" thickBot="1">
      <c r="A2" s="3"/>
      <c r="B2" s="3"/>
      <c r="T2" s="4" t="s">
        <v>0</v>
      </c>
    </row>
    <row r="3" spans="1:31" s="5" customFormat="1" ht="24" customHeight="1">
      <c r="A3" s="413" t="s">
        <v>1</v>
      </c>
      <c r="B3" s="414"/>
      <c r="C3" s="417" t="s">
        <v>669</v>
      </c>
      <c r="D3" s="419" t="s">
        <v>3</v>
      </c>
      <c r="E3" s="421" t="s">
        <v>1313</v>
      </c>
      <c r="F3" s="423" t="s">
        <v>4</v>
      </c>
      <c r="G3" s="425" t="str">
        <f>COVER!B9</f>
        <v>FLANGE</v>
      </c>
      <c r="H3" s="421" t="s">
        <v>5</v>
      </c>
      <c r="I3" s="427"/>
      <c r="J3" s="427"/>
      <c r="K3" s="427"/>
      <c r="L3" s="427"/>
      <c r="M3" s="427"/>
      <c r="N3" s="427"/>
      <c r="O3" s="427"/>
      <c r="P3" s="427"/>
      <c r="Q3" s="428"/>
      <c r="R3" s="423" t="s">
        <v>6</v>
      </c>
      <c r="S3" s="431" t="s">
        <v>7</v>
      </c>
      <c r="T3" s="381" t="s">
        <v>8</v>
      </c>
      <c r="V3" s="432"/>
    </row>
    <row r="4" spans="1:31" s="5" customFormat="1" ht="24" customHeight="1">
      <c r="A4" s="415"/>
      <c r="B4" s="416"/>
      <c r="C4" s="418"/>
      <c r="D4" s="420"/>
      <c r="E4" s="422"/>
      <c r="F4" s="424"/>
      <c r="G4" s="426"/>
      <c r="H4" s="422"/>
      <c r="I4" s="429"/>
      <c r="J4" s="429"/>
      <c r="K4" s="429"/>
      <c r="L4" s="429"/>
      <c r="M4" s="429"/>
      <c r="N4" s="429"/>
      <c r="O4" s="429"/>
      <c r="P4" s="429"/>
      <c r="Q4" s="430"/>
      <c r="R4" s="424"/>
      <c r="S4" s="410"/>
      <c r="T4" s="382"/>
      <c r="V4" s="432"/>
      <c r="W4" s="6"/>
      <c r="X4" s="6"/>
      <c r="Y4" s="7"/>
      <c r="Z4" s="7"/>
      <c r="AA4" s="7"/>
      <c r="AB4" s="7"/>
      <c r="AC4" s="7"/>
      <c r="AD4" s="7"/>
      <c r="AE4" s="7"/>
    </row>
    <row r="5" spans="1:31" s="5" customFormat="1" ht="24" customHeight="1">
      <c r="A5" s="384" t="s">
        <v>9</v>
      </c>
      <c r="B5" s="385"/>
      <c r="C5" s="390" t="s">
        <v>10</v>
      </c>
      <c r="D5" s="393" t="s">
        <v>11</v>
      </c>
      <c r="E5" s="396" t="s">
        <v>12</v>
      </c>
      <c r="F5" s="397"/>
      <c r="G5" s="398"/>
      <c r="H5" s="402" t="s">
        <v>13</v>
      </c>
      <c r="I5" s="404" t="s">
        <v>14</v>
      </c>
      <c r="J5" s="405"/>
      <c r="K5" s="405"/>
      <c r="L5" s="405"/>
      <c r="M5" s="405"/>
      <c r="N5" s="405"/>
      <c r="O5" s="405"/>
      <c r="P5" s="405"/>
      <c r="Q5" s="405"/>
      <c r="R5" s="406" t="s">
        <v>15</v>
      </c>
      <c r="S5" s="408" t="s">
        <v>16</v>
      </c>
      <c r="T5" s="382"/>
      <c r="V5" s="432"/>
      <c r="W5" s="7"/>
      <c r="X5" s="7"/>
      <c r="Y5" s="7"/>
      <c r="Z5" s="7"/>
      <c r="AA5" s="7"/>
      <c r="AB5" s="7"/>
      <c r="AC5" s="7"/>
      <c r="AD5" s="7"/>
      <c r="AE5" s="7"/>
    </row>
    <row r="6" spans="1:31" s="5" customFormat="1" ht="24" customHeight="1">
      <c r="A6" s="386"/>
      <c r="B6" s="387"/>
      <c r="C6" s="391"/>
      <c r="D6" s="394"/>
      <c r="E6" s="399"/>
      <c r="F6" s="400"/>
      <c r="G6" s="401"/>
      <c r="H6" s="403"/>
      <c r="I6" s="8" t="s">
        <v>17</v>
      </c>
      <c r="J6" s="8" t="s">
        <v>18</v>
      </c>
      <c r="K6" s="8" t="s">
        <v>19</v>
      </c>
      <c r="L6" s="9" t="s">
        <v>20</v>
      </c>
      <c r="M6" s="9" t="s">
        <v>21</v>
      </c>
      <c r="N6" s="8" t="s">
        <v>22</v>
      </c>
      <c r="O6" s="8" t="s">
        <v>23</v>
      </c>
      <c r="P6" s="8" t="s">
        <v>24</v>
      </c>
      <c r="Q6" s="10" t="s">
        <v>25</v>
      </c>
      <c r="R6" s="407"/>
      <c r="S6" s="409"/>
      <c r="T6" s="382"/>
      <c r="V6" s="432"/>
      <c r="W6" s="6"/>
      <c r="X6" s="6"/>
      <c r="Y6" s="7"/>
      <c r="Z6" s="7"/>
      <c r="AA6" s="7"/>
      <c r="AB6" s="7"/>
      <c r="AC6" s="7"/>
      <c r="AD6" s="7"/>
      <c r="AE6" s="7"/>
    </row>
    <row r="7" spans="1:31" ht="24" customHeight="1">
      <c r="A7" s="388"/>
      <c r="B7" s="389"/>
      <c r="C7" s="392"/>
      <c r="D7" s="395"/>
      <c r="E7" s="8" t="s">
        <v>26</v>
      </c>
      <c r="F7" s="8" t="s">
        <v>27</v>
      </c>
      <c r="G7" s="8" t="s">
        <v>28</v>
      </c>
      <c r="H7" s="8"/>
      <c r="I7" s="8" t="s">
        <v>29</v>
      </c>
      <c r="J7" s="8" t="s">
        <v>670</v>
      </c>
      <c r="K7" s="8" t="s">
        <v>31</v>
      </c>
      <c r="L7" s="9" t="s">
        <v>29</v>
      </c>
      <c r="M7" s="9" t="s">
        <v>32</v>
      </c>
      <c r="N7" s="8" t="s">
        <v>33</v>
      </c>
      <c r="O7" s="8" t="s">
        <v>34</v>
      </c>
      <c r="P7" s="8" t="s">
        <v>35</v>
      </c>
      <c r="Q7" s="10" t="s">
        <v>36</v>
      </c>
      <c r="R7" s="403"/>
      <c r="S7" s="410"/>
      <c r="T7" s="383"/>
      <c r="V7" s="432"/>
      <c r="W7" s="6"/>
      <c r="X7" s="6"/>
      <c r="Y7" s="7"/>
      <c r="Z7" s="7"/>
      <c r="AA7" s="7"/>
      <c r="AB7" s="7"/>
      <c r="AC7" s="7"/>
      <c r="AD7" s="7"/>
      <c r="AE7" s="7"/>
    </row>
    <row r="8" spans="1:31" ht="33" customHeight="1">
      <c r="A8" s="375" t="s">
        <v>37</v>
      </c>
      <c r="B8" s="11">
        <v>1</v>
      </c>
      <c r="C8" s="142" t="str">
        <f>COVER!A14</f>
        <v>BODY(LUG)</v>
      </c>
      <c r="D8" s="20">
        <f>COVER!B14</f>
        <v>0</v>
      </c>
      <c r="E8" s="148">
        <f>73*1.2</f>
        <v>87.6</v>
      </c>
      <c r="F8" s="14">
        <f>COVER!C14</f>
        <v>0</v>
      </c>
      <c r="G8" s="14">
        <f>F8*E8</f>
        <v>0</v>
      </c>
      <c r="H8" s="14"/>
      <c r="I8" s="15">
        <f>I10*I9</f>
        <v>36001489368637.438</v>
      </c>
      <c r="J8" s="15">
        <f t="shared" ref="J8:Q9" si="0">J10*J9</f>
        <v>43341753052405.07</v>
      </c>
      <c r="K8" s="15">
        <f t="shared" si="0"/>
        <v>168335087307216.53</v>
      </c>
      <c r="L8" s="15">
        <f t="shared" si="0"/>
        <v>506706621524695.19</v>
      </c>
      <c r="M8" s="15">
        <f t="shared" si="0"/>
        <v>632417344857819.5</v>
      </c>
      <c r="N8" s="15">
        <f t="shared" si="0"/>
        <v>46528628303586.25</v>
      </c>
      <c r="O8" s="15">
        <f t="shared" si="0"/>
        <v>0</v>
      </c>
      <c r="P8" s="15">
        <f t="shared" si="0"/>
        <v>0</v>
      </c>
      <c r="Q8" s="15">
        <f t="shared" si="0"/>
        <v>10000000000000</v>
      </c>
      <c r="R8" s="15">
        <f>IF(COVER!C14&gt;0,190000*1.2,0)</f>
        <v>0</v>
      </c>
      <c r="S8" s="15">
        <f>G8+R8</f>
        <v>0</v>
      </c>
      <c r="T8" s="309" t="s">
        <v>1171</v>
      </c>
      <c r="V8" s="6"/>
      <c r="W8" s="6"/>
      <c r="X8" s="6"/>
      <c r="Y8" s="7"/>
      <c r="Z8" s="7"/>
      <c r="AA8" s="7"/>
      <c r="AB8" s="7"/>
      <c r="AC8" s="7"/>
      <c r="AD8" s="7"/>
      <c r="AE8" s="7"/>
    </row>
    <row r="9" spans="1:31" ht="33" customHeight="1">
      <c r="A9" s="376"/>
      <c r="B9" s="146" t="s">
        <v>1167</v>
      </c>
      <c r="C9" s="142" t="str">
        <f>COVER!A15</f>
        <v>BODY(FLANGE)</v>
      </c>
      <c r="D9" s="20" t="str">
        <f>COVER!B15</f>
        <v>A216 WCB</v>
      </c>
      <c r="E9" s="148">
        <v>150</v>
      </c>
      <c r="F9" s="14">
        <f>COVER!C15</f>
        <v>4300</v>
      </c>
      <c r="G9" s="14">
        <f>F9*E9</f>
        <v>645000</v>
      </c>
      <c r="H9" s="14"/>
      <c r="I9" s="15">
        <f>I11*I10</f>
        <v>2348985369.5999999</v>
      </c>
      <c r="J9" s="15">
        <f t="shared" si="0"/>
        <v>2658301984.9000001</v>
      </c>
      <c r="K9" s="15">
        <f t="shared" si="0"/>
        <v>6568251379.5999994</v>
      </c>
      <c r="L9" s="15">
        <f t="shared" si="0"/>
        <v>13693182184.900002</v>
      </c>
      <c r="M9" s="15">
        <f t="shared" si="0"/>
        <v>15873371539.6</v>
      </c>
      <c r="N9" s="15">
        <f t="shared" si="0"/>
        <v>2787063302.5</v>
      </c>
      <c r="O9" s="15">
        <f t="shared" si="0"/>
        <v>0</v>
      </c>
      <c r="P9" s="15">
        <f t="shared" si="0"/>
        <v>0</v>
      </c>
      <c r="Q9" s="15">
        <f t="shared" si="0"/>
        <v>1000000000</v>
      </c>
      <c r="R9" s="15">
        <f>IF(COVER!C15&gt;0,250000*1.2,0)</f>
        <v>300000</v>
      </c>
      <c r="S9" s="15">
        <f t="shared" ref="S9:S62" si="1">G9+R9</f>
        <v>945000</v>
      </c>
      <c r="T9" s="309" t="s">
        <v>1169</v>
      </c>
      <c r="V9" s="150">
        <f>R9</f>
        <v>300000</v>
      </c>
      <c r="W9" s="6"/>
      <c r="X9" s="6"/>
      <c r="Y9" s="7"/>
      <c r="Z9" s="7"/>
      <c r="AA9" s="7"/>
      <c r="AB9" s="7"/>
      <c r="AC9" s="7"/>
      <c r="AD9" s="7"/>
      <c r="AE9" s="7"/>
    </row>
    <row r="10" spans="1:31" ht="33" hidden="1" customHeight="1">
      <c r="A10" s="376"/>
      <c r="B10" s="11"/>
      <c r="C10" s="142"/>
      <c r="D10" s="20"/>
      <c r="E10" s="13"/>
      <c r="F10" s="14"/>
      <c r="G10" s="14"/>
      <c r="H10" s="14" t="s">
        <v>40</v>
      </c>
      <c r="I10" s="15">
        <f t="shared" ref="I10:Q10" si="2">I11/10</f>
        <v>15326.4</v>
      </c>
      <c r="J10" s="15">
        <f t="shared" si="2"/>
        <v>16304.3</v>
      </c>
      <c r="K10" s="15">
        <f t="shared" si="2"/>
        <v>25628.6</v>
      </c>
      <c r="L10" s="15">
        <f t="shared" si="2"/>
        <v>37004.300000000003</v>
      </c>
      <c r="M10" s="15">
        <f t="shared" si="2"/>
        <v>39841.4</v>
      </c>
      <c r="N10" s="15">
        <f t="shared" si="2"/>
        <v>16694.5</v>
      </c>
      <c r="O10" s="15">
        <f t="shared" si="2"/>
        <v>0</v>
      </c>
      <c r="P10" s="15">
        <f t="shared" si="2"/>
        <v>0</v>
      </c>
      <c r="Q10" s="15">
        <f t="shared" si="2"/>
        <v>10000</v>
      </c>
      <c r="R10" s="15"/>
      <c r="S10" s="15">
        <f t="shared" si="1"/>
        <v>0</v>
      </c>
      <c r="T10" s="16"/>
      <c r="V10" s="6"/>
      <c r="W10" s="6"/>
      <c r="X10" s="6"/>
      <c r="Y10" s="7"/>
      <c r="Z10" s="7"/>
      <c r="AA10" s="7"/>
      <c r="AB10" s="7"/>
      <c r="AC10" s="7"/>
      <c r="AD10" s="7"/>
      <c r="AE10" s="7"/>
    </row>
    <row r="11" spans="1:31" ht="33" hidden="1" customHeight="1">
      <c r="A11" s="376"/>
      <c r="B11" s="11"/>
      <c r="C11" s="142"/>
      <c r="D11" s="20"/>
      <c r="E11" s="13"/>
      <c r="F11" s="14"/>
      <c r="G11" s="14"/>
      <c r="H11" s="17" t="s">
        <v>41</v>
      </c>
      <c r="I11" s="15">
        <v>153264</v>
      </c>
      <c r="J11" s="15">
        <v>163043</v>
      </c>
      <c r="K11" s="15">
        <v>256286</v>
      </c>
      <c r="L11" s="15">
        <v>370043</v>
      </c>
      <c r="M11" s="15">
        <v>398414</v>
      </c>
      <c r="N11" s="15">
        <v>166945</v>
      </c>
      <c r="O11" s="15">
        <v>0</v>
      </c>
      <c r="P11" s="15">
        <v>0</v>
      </c>
      <c r="Q11" s="15">
        <v>100000</v>
      </c>
      <c r="R11" s="15"/>
      <c r="S11" s="15">
        <f t="shared" si="1"/>
        <v>0</v>
      </c>
      <c r="T11" s="16"/>
      <c r="V11" s="6"/>
      <c r="W11" s="6"/>
      <c r="X11" s="6"/>
      <c r="Y11" s="7"/>
      <c r="Z11" s="7"/>
      <c r="AA11" s="7"/>
      <c r="AB11" s="7"/>
      <c r="AC11" s="7"/>
      <c r="AD11" s="7"/>
      <c r="AE11" s="7"/>
    </row>
    <row r="12" spans="1:31" s="19" customFormat="1" ht="33" customHeight="1">
      <c r="A12" s="376"/>
      <c r="B12" s="11">
        <v>2</v>
      </c>
      <c r="C12" s="142" t="s">
        <v>42</v>
      </c>
      <c r="D12" s="20" t="str">
        <f>COVER!B16</f>
        <v>A216 WCB</v>
      </c>
      <c r="E12" s="13">
        <v>19</v>
      </c>
      <c r="F12" s="14">
        <f>COVER!C16</f>
        <v>4300</v>
      </c>
      <c r="G12" s="14">
        <f>F12*E12</f>
        <v>81700</v>
      </c>
      <c r="H12" s="14"/>
      <c r="I12" s="15">
        <f>I13*I14</f>
        <v>15326.4</v>
      </c>
      <c r="J12" s="15">
        <f t="shared" ref="J12:Q12" si="3">J13*J14</f>
        <v>0</v>
      </c>
      <c r="K12" s="15">
        <f t="shared" si="3"/>
        <v>16304.3</v>
      </c>
      <c r="L12" s="15">
        <f t="shared" si="3"/>
        <v>22970</v>
      </c>
      <c r="M12" s="15">
        <f t="shared" si="3"/>
        <v>0</v>
      </c>
      <c r="N12" s="15">
        <f t="shared" si="3"/>
        <v>0</v>
      </c>
      <c r="O12" s="15">
        <f t="shared" si="3"/>
        <v>0</v>
      </c>
      <c r="P12" s="15">
        <f t="shared" si="3"/>
        <v>0</v>
      </c>
      <c r="Q12" s="15">
        <f t="shared" si="3"/>
        <v>4000</v>
      </c>
      <c r="R12" s="15">
        <v>172500</v>
      </c>
      <c r="S12" s="15">
        <f t="shared" si="1"/>
        <v>254200</v>
      </c>
      <c r="T12" s="18"/>
      <c r="V12" s="6"/>
      <c r="W12" s="6"/>
      <c r="X12" s="6"/>
      <c r="Y12" s="7"/>
      <c r="Z12" s="7"/>
      <c r="AA12" s="7"/>
      <c r="AB12" s="7"/>
      <c r="AC12" s="7"/>
      <c r="AD12" s="7"/>
      <c r="AE12" s="7"/>
    </row>
    <row r="13" spans="1:31" s="19" customFormat="1" ht="33" hidden="1" customHeight="1">
      <c r="A13" s="376"/>
      <c r="B13" s="11"/>
      <c r="C13" s="142"/>
      <c r="D13" s="20"/>
      <c r="E13" s="13"/>
      <c r="F13" s="14"/>
      <c r="G13" s="14"/>
      <c r="H13" s="17" t="s">
        <v>668</v>
      </c>
      <c r="I13" s="21">
        <v>1</v>
      </c>
      <c r="J13" s="21">
        <v>0</v>
      </c>
      <c r="K13" s="21">
        <v>1</v>
      </c>
      <c r="L13" s="21">
        <v>1</v>
      </c>
      <c r="M13" s="21">
        <v>0</v>
      </c>
      <c r="N13" s="21">
        <v>0</v>
      </c>
      <c r="O13" s="21"/>
      <c r="P13" s="21"/>
      <c r="Q13" s="21">
        <v>0.4</v>
      </c>
      <c r="R13" s="15"/>
      <c r="S13" s="15">
        <f t="shared" si="1"/>
        <v>0</v>
      </c>
      <c r="T13" s="22"/>
      <c r="V13" s="6"/>
      <c r="W13" s="6"/>
      <c r="X13" s="6"/>
      <c r="Y13" s="7"/>
      <c r="Z13" s="7"/>
      <c r="AA13" s="7"/>
      <c r="AB13" s="7"/>
      <c r="AC13" s="7"/>
      <c r="AD13" s="7"/>
      <c r="AE13" s="7"/>
    </row>
    <row r="14" spans="1:31" s="19" customFormat="1" ht="33" hidden="1" customHeight="1">
      <c r="A14" s="376"/>
      <c r="B14" s="11"/>
      <c r="C14" s="142"/>
      <c r="D14" s="20"/>
      <c r="E14" s="13"/>
      <c r="F14" s="14"/>
      <c r="G14" s="14"/>
      <c r="H14" s="14" t="s">
        <v>671</v>
      </c>
      <c r="I14" s="15">
        <f>I15/10</f>
        <v>15326.4</v>
      </c>
      <c r="J14" s="15">
        <f t="shared" ref="J14:Q14" si="4">J15/10</f>
        <v>16304.3</v>
      </c>
      <c r="K14" s="15">
        <f t="shared" si="4"/>
        <v>16304.3</v>
      </c>
      <c r="L14" s="15">
        <f t="shared" si="4"/>
        <v>22970</v>
      </c>
      <c r="M14" s="15">
        <f t="shared" si="4"/>
        <v>39841.4</v>
      </c>
      <c r="N14" s="15">
        <f t="shared" si="4"/>
        <v>16694.5</v>
      </c>
      <c r="O14" s="15">
        <f t="shared" si="4"/>
        <v>0</v>
      </c>
      <c r="P14" s="15">
        <f t="shared" si="4"/>
        <v>0</v>
      </c>
      <c r="Q14" s="15">
        <f t="shared" si="4"/>
        <v>10000</v>
      </c>
      <c r="R14" s="15"/>
      <c r="S14" s="15">
        <f t="shared" si="1"/>
        <v>0</v>
      </c>
      <c r="T14" s="22"/>
      <c r="V14" s="6"/>
      <c r="W14" s="6"/>
      <c r="X14" s="6"/>
      <c r="Y14" s="7"/>
      <c r="Z14" s="7"/>
      <c r="AA14" s="7"/>
      <c r="AB14" s="7"/>
      <c r="AC14" s="7"/>
      <c r="AD14" s="7"/>
      <c r="AE14" s="7"/>
    </row>
    <row r="15" spans="1:31" s="19" customFormat="1" ht="33" hidden="1" customHeight="1">
      <c r="A15" s="376"/>
      <c r="B15" s="11"/>
      <c r="C15" s="142"/>
      <c r="D15" s="20"/>
      <c r="E15" s="13"/>
      <c r="F15" s="14"/>
      <c r="G15" s="14"/>
      <c r="H15" s="14" t="s">
        <v>43</v>
      </c>
      <c r="I15" s="15">
        <v>153264</v>
      </c>
      <c r="J15" s="15">
        <v>163043</v>
      </c>
      <c r="K15" s="15">
        <v>163043</v>
      </c>
      <c r="L15" s="15">
        <v>229700</v>
      </c>
      <c r="M15" s="15">
        <v>398414</v>
      </c>
      <c r="N15" s="15">
        <v>166945</v>
      </c>
      <c r="O15" s="15">
        <v>0</v>
      </c>
      <c r="P15" s="15">
        <v>0</v>
      </c>
      <c r="Q15" s="15">
        <v>100000</v>
      </c>
      <c r="R15" s="15"/>
      <c r="S15" s="15">
        <f t="shared" si="1"/>
        <v>0</v>
      </c>
      <c r="T15" s="22"/>
      <c r="V15" s="6"/>
      <c r="W15" s="6"/>
      <c r="X15" s="6"/>
      <c r="Y15" s="7"/>
      <c r="Z15" s="7"/>
      <c r="AA15" s="7"/>
      <c r="AB15" s="7"/>
      <c r="AC15" s="7"/>
      <c r="AD15" s="7"/>
      <c r="AE15" s="7"/>
    </row>
    <row r="16" spans="1:31" s="19" customFormat="1" ht="33" customHeight="1">
      <c r="A16" s="376"/>
      <c r="B16" s="11">
        <v>3</v>
      </c>
      <c r="C16" s="142" t="s">
        <v>952</v>
      </c>
      <c r="D16" s="20" t="str">
        <f>COVER!B19</f>
        <v>WCB+309+#6</v>
      </c>
      <c r="E16" s="13">
        <v>1</v>
      </c>
      <c r="F16" s="14">
        <f>IF(D16="SUS+#6",X76,IF(D16="WCB+309+#6",X77))</f>
        <v>218400</v>
      </c>
      <c r="G16" s="14">
        <f>F16*E16</f>
        <v>218400</v>
      </c>
      <c r="H16" s="14"/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f t="shared" si="1"/>
        <v>218400</v>
      </c>
      <c r="T16" s="22"/>
      <c r="V16" s="6"/>
      <c r="W16" s="6"/>
      <c r="X16" s="6"/>
      <c r="Y16" s="7"/>
      <c r="Z16" s="7"/>
      <c r="AA16" s="7"/>
      <c r="AB16" s="7"/>
      <c r="AC16" s="7"/>
      <c r="AD16" s="7"/>
      <c r="AE16" s="7"/>
    </row>
    <row r="17" spans="1:31" s="19" customFormat="1" ht="33" customHeight="1">
      <c r="A17" s="376"/>
      <c r="B17" s="11">
        <v>4</v>
      </c>
      <c r="C17" s="142" t="s">
        <v>1188</v>
      </c>
      <c r="D17" s="20" t="str">
        <f>COVER!B18</f>
        <v>A240T316L+GARPHITE</v>
      </c>
      <c r="E17" s="13">
        <v>1</v>
      </c>
      <c r="F17" s="14">
        <f>IF(D17="A240T316L+GARPHITE",Y84+Z84)</f>
        <v>68200</v>
      </c>
      <c r="G17" s="14">
        <f>F17*E17</f>
        <v>68200</v>
      </c>
      <c r="H17" s="14"/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f>Z84*1.3</f>
        <v>53300</v>
      </c>
      <c r="S17" s="15">
        <f t="shared" si="1"/>
        <v>121500</v>
      </c>
      <c r="T17" s="22"/>
      <c r="V17" s="23"/>
      <c r="W17" s="23"/>
      <c r="X17" s="23"/>
      <c r="Y17" s="7"/>
      <c r="Z17" s="7"/>
      <c r="AA17" s="7"/>
      <c r="AB17" s="7"/>
      <c r="AC17" s="7"/>
      <c r="AD17" s="7"/>
      <c r="AE17" s="7"/>
    </row>
    <row r="18" spans="1:31" s="19" customFormat="1" ht="33" customHeight="1">
      <c r="A18" s="376"/>
      <c r="B18" s="11">
        <v>5</v>
      </c>
      <c r="C18" s="175" t="s">
        <v>852</v>
      </c>
      <c r="D18" s="24" t="str">
        <f>COVER!B20</f>
        <v>SS316L</v>
      </c>
      <c r="E18" s="301">
        <v>1</v>
      </c>
      <c r="F18" s="14">
        <f>IF(D18="SS304",Y82,IF(D18="SS316L",Z82))</f>
        <v>38000</v>
      </c>
      <c r="G18" s="14">
        <f>E18*F18</f>
        <v>38000</v>
      </c>
      <c r="H18" s="14"/>
      <c r="I18" s="15">
        <f>I19*I20</f>
        <v>7663.2</v>
      </c>
      <c r="J18" s="15">
        <f t="shared" ref="J18:Q18" si="5">J19*J20</f>
        <v>8152.15</v>
      </c>
      <c r="K18" s="15">
        <f t="shared" si="5"/>
        <v>0</v>
      </c>
      <c r="L18" s="15">
        <f t="shared" si="5"/>
        <v>0</v>
      </c>
      <c r="M18" s="15">
        <f t="shared" si="5"/>
        <v>0</v>
      </c>
      <c r="N18" s="15">
        <f t="shared" si="5"/>
        <v>0</v>
      </c>
      <c r="O18" s="15">
        <f t="shared" si="5"/>
        <v>0</v>
      </c>
      <c r="P18" s="15">
        <f t="shared" si="5"/>
        <v>0</v>
      </c>
      <c r="Q18" s="15">
        <f t="shared" si="5"/>
        <v>2000</v>
      </c>
      <c r="R18" s="15">
        <f>AA82*1.5</f>
        <v>63000</v>
      </c>
      <c r="S18" s="15">
        <f t="shared" si="1"/>
        <v>101000</v>
      </c>
      <c r="T18" s="25"/>
      <c r="V18" s="26"/>
      <c r="W18" s="26"/>
      <c r="X18" s="26"/>
      <c r="Y18" s="7"/>
      <c r="Z18" s="7"/>
      <c r="AA18" s="7"/>
      <c r="AB18" s="7"/>
      <c r="AC18" s="7"/>
      <c r="AD18" s="7"/>
      <c r="AE18" s="7"/>
    </row>
    <row r="19" spans="1:31" s="19" customFormat="1" ht="33" hidden="1" customHeight="1">
      <c r="A19" s="376"/>
      <c r="B19" s="11"/>
      <c r="C19" s="12"/>
      <c r="D19" s="24"/>
      <c r="E19" s="13"/>
      <c r="F19" s="14"/>
      <c r="G19" s="14"/>
      <c r="H19" s="17" t="s">
        <v>39</v>
      </c>
      <c r="I19" s="21">
        <v>0.5</v>
      </c>
      <c r="J19" s="21">
        <v>0.5</v>
      </c>
      <c r="K19" s="21"/>
      <c r="L19" s="21"/>
      <c r="M19" s="21"/>
      <c r="N19" s="21"/>
      <c r="O19" s="21"/>
      <c r="P19" s="21"/>
      <c r="Q19" s="21">
        <v>0.2</v>
      </c>
      <c r="R19" s="15"/>
      <c r="S19" s="15">
        <f t="shared" si="1"/>
        <v>0</v>
      </c>
      <c r="T19" s="25"/>
      <c r="V19" s="26"/>
      <c r="W19" s="26"/>
      <c r="X19" s="26"/>
      <c r="Y19" s="7"/>
      <c r="Z19" s="7"/>
      <c r="AA19" s="7"/>
      <c r="AB19" s="7"/>
      <c r="AC19" s="7"/>
      <c r="AD19" s="7"/>
      <c r="AE19" s="7"/>
    </row>
    <row r="20" spans="1:31" s="19" customFormat="1" ht="33" hidden="1" customHeight="1">
      <c r="A20" s="376"/>
      <c r="B20" s="11"/>
      <c r="C20" s="12"/>
      <c r="D20" s="24"/>
      <c r="E20" s="13"/>
      <c r="F20" s="14"/>
      <c r="G20" s="14"/>
      <c r="H20" s="17" t="s">
        <v>39</v>
      </c>
      <c r="I20" s="15">
        <f>I21/10</f>
        <v>15326.4</v>
      </c>
      <c r="J20" s="15">
        <f t="shared" ref="J20:Q20" si="6">J21/10</f>
        <v>16304.3</v>
      </c>
      <c r="K20" s="15">
        <f t="shared" si="6"/>
        <v>0</v>
      </c>
      <c r="L20" s="15">
        <f t="shared" si="6"/>
        <v>0</v>
      </c>
      <c r="M20" s="15">
        <f t="shared" si="6"/>
        <v>0</v>
      </c>
      <c r="N20" s="15">
        <f t="shared" si="6"/>
        <v>0</v>
      </c>
      <c r="O20" s="15">
        <f t="shared" si="6"/>
        <v>0</v>
      </c>
      <c r="P20" s="15">
        <f t="shared" si="6"/>
        <v>0</v>
      </c>
      <c r="Q20" s="15">
        <f t="shared" si="6"/>
        <v>10000</v>
      </c>
      <c r="R20" s="15"/>
      <c r="S20" s="15">
        <f t="shared" si="1"/>
        <v>0</v>
      </c>
      <c r="T20" s="25"/>
      <c r="V20" s="26"/>
      <c r="W20" s="26"/>
      <c r="X20" s="26"/>
      <c r="Y20" s="7"/>
      <c r="Z20" s="7"/>
      <c r="AA20" s="7"/>
      <c r="AB20" s="7"/>
      <c r="AC20" s="7"/>
      <c r="AD20" s="7"/>
      <c r="AE20" s="7"/>
    </row>
    <row r="21" spans="1:31" s="19" customFormat="1" ht="33" hidden="1" customHeight="1">
      <c r="A21" s="376"/>
      <c r="B21" s="11"/>
      <c r="C21" s="12"/>
      <c r="D21" s="24"/>
      <c r="E21" s="13"/>
      <c r="F21" s="14"/>
      <c r="G21" s="14"/>
      <c r="H21" s="17" t="s">
        <v>39</v>
      </c>
      <c r="I21" s="15">
        <v>153264</v>
      </c>
      <c r="J21" s="15">
        <v>163043</v>
      </c>
      <c r="K21" s="15"/>
      <c r="L21" s="15"/>
      <c r="M21" s="15"/>
      <c r="N21" s="15"/>
      <c r="O21" s="15"/>
      <c r="P21" s="15"/>
      <c r="Q21" s="15">
        <v>100000</v>
      </c>
      <c r="R21" s="15"/>
      <c r="S21" s="15">
        <f t="shared" si="1"/>
        <v>0</v>
      </c>
      <c r="T21" s="25"/>
      <c r="V21" s="26"/>
      <c r="W21" s="26"/>
      <c r="X21" s="26"/>
      <c r="Y21" s="7"/>
      <c r="Z21" s="7"/>
      <c r="AA21" s="7"/>
      <c r="AB21" s="7"/>
      <c r="AC21" s="7"/>
      <c r="AD21" s="7"/>
      <c r="AE21" s="7"/>
    </row>
    <row r="22" spans="1:31" s="19" customFormat="1" ht="33" customHeight="1">
      <c r="A22" s="376"/>
      <c r="B22" s="11">
        <v>6</v>
      </c>
      <c r="C22" s="175" t="s">
        <v>1178</v>
      </c>
      <c r="D22" s="24" t="s">
        <v>1189</v>
      </c>
      <c r="E22" s="301">
        <v>1</v>
      </c>
      <c r="F22" s="14">
        <f>Y85</f>
        <v>9000</v>
      </c>
      <c r="G22" s="14">
        <f>F22*E22</f>
        <v>9000</v>
      </c>
      <c r="H22" s="14"/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f t="shared" si="1"/>
        <v>9000</v>
      </c>
      <c r="T22" s="25"/>
      <c r="V22" s="26"/>
      <c r="W22" s="26"/>
      <c r="X22" s="26"/>
      <c r="Y22" s="7"/>
      <c r="Z22" s="7"/>
      <c r="AA22" s="7"/>
      <c r="AB22" s="7"/>
      <c r="AC22" s="7"/>
      <c r="AD22" s="7"/>
      <c r="AE22" s="7"/>
    </row>
    <row r="23" spans="1:31" s="19" customFormat="1" ht="33" customHeight="1">
      <c r="A23" s="376"/>
      <c r="B23" s="11">
        <v>7</v>
      </c>
      <c r="C23" s="175" t="s">
        <v>948</v>
      </c>
      <c r="D23" s="20" t="str">
        <f>COVER!B21</f>
        <v>B7(다크로)</v>
      </c>
      <c r="E23" s="13">
        <v>16</v>
      </c>
      <c r="F23" s="14">
        <f>IF(D23="B8",Y91,IF(D23="B8M",Z91,IF(D23="B7(다크로)",AA91)))</f>
        <v>300</v>
      </c>
      <c r="G23" s="14">
        <f>F23*E23</f>
        <v>4800</v>
      </c>
      <c r="H23" s="14"/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f t="shared" si="1"/>
        <v>4800</v>
      </c>
      <c r="T23" s="18"/>
      <c r="V23" s="7"/>
      <c r="W23" s="7"/>
      <c r="X23" s="7"/>
      <c r="Y23" s="7"/>
      <c r="Z23" s="7"/>
      <c r="AA23" s="7"/>
      <c r="AB23" s="7"/>
      <c r="AC23" s="7"/>
      <c r="AD23" s="7"/>
      <c r="AE23" s="7"/>
    </row>
    <row r="24" spans="1:31" s="19" customFormat="1" ht="33" customHeight="1">
      <c r="A24" s="376"/>
      <c r="B24" s="11">
        <v>8</v>
      </c>
      <c r="C24" s="142" t="s">
        <v>44</v>
      </c>
      <c r="D24" s="20" t="str">
        <f>COVER!B17</f>
        <v>A564T630</v>
      </c>
      <c r="E24" s="13">
        <v>15</v>
      </c>
      <c r="F24" s="14">
        <f>COVER!C17</f>
        <v>8500</v>
      </c>
      <c r="G24" s="14">
        <f>F24*E24</f>
        <v>127500</v>
      </c>
      <c r="H24" s="14"/>
      <c r="I24" s="15">
        <f>I25*I26</f>
        <v>7663.2</v>
      </c>
      <c r="J24" s="15">
        <f t="shared" ref="J24:Q24" si="7">J25*J26</f>
        <v>0</v>
      </c>
      <c r="K24" s="15">
        <f t="shared" si="7"/>
        <v>0</v>
      </c>
      <c r="L24" s="15">
        <f t="shared" si="7"/>
        <v>0</v>
      </c>
      <c r="M24" s="15">
        <f t="shared" si="7"/>
        <v>0</v>
      </c>
      <c r="N24" s="15">
        <f t="shared" si="7"/>
        <v>0</v>
      </c>
      <c r="O24" s="15">
        <f t="shared" si="7"/>
        <v>0</v>
      </c>
      <c r="P24" s="15">
        <f t="shared" si="7"/>
        <v>0</v>
      </c>
      <c r="Q24" s="15">
        <f t="shared" si="7"/>
        <v>1000</v>
      </c>
      <c r="R24" s="15">
        <f>R12*0.3</f>
        <v>51750</v>
      </c>
      <c r="S24" s="15">
        <f t="shared" si="1"/>
        <v>179250</v>
      </c>
      <c r="T24" s="27"/>
      <c r="U24" s="162"/>
      <c r="V24" s="162"/>
      <c r="W24" s="7"/>
      <c r="X24" s="7"/>
      <c r="Y24" s="28"/>
      <c r="Z24" s="28"/>
      <c r="AA24" s="28"/>
      <c r="AB24" s="28"/>
      <c r="AC24" s="28"/>
      <c r="AD24" s="28"/>
      <c r="AE24" s="28"/>
    </row>
    <row r="25" spans="1:31" s="19" customFormat="1" ht="33" hidden="1" customHeight="1">
      <c r="A25" s="376"/>
      <c r="B25" s="11"/>
      <c r="C25" s="12"/>
      <c r="D25" s="20"/>
      <c r="E25" s="13"/>
      <c r="F25" s="14"/>
      <c r="G25" s="14"/>
      <c r="H25" s="17" t="s">
        <v>39</v>
      </c>
      <c r="I25" s="21">
        <v>0.5</v>
      </c>
      <c r="J25" s="21"/>
      <c r="K25" s="21"/>
      <c r="L25" s="21"/>
      <c r="M25" s="21"/>
      <c r="N25" s="21"/>
      <c r="O25" s="21"/>
      <c r="P25" s="21"/>
      <c r="Q25" s="21">
        <v>0.1</v>
      </c>
      <c r="R25" s="15"/>
      <c r="S25" s="15">
        <f t="shared" si="1"/>
        <v>0</v>
      </c>
      <c r="T25" s="27"/>
      <c r="V25" s="7"/>
      <c r="W25" s="7"/>
      <c r="X25" s="7"/>
      <c r="Y25" s="28"/>
      <c r="Z25" s="28"/>
      <c r="AA25" s="28"/>
      <c r="AB25" s="28"/>
      <c r="AC25" s="28"/>
      <c r="AD25" s="28"/>
      <c r="AE25" s="28"/>
    </row>
    <row r="26" spans="1:31" s="19" customFormat="1" ht="33" hidden="1" customHeight="1">
      <c r="A26" s="376"/>
      <c r="B26" s="11"/>
      <c r="C26" s="12"/>
      <c r="D26" s="20"/>
      <c r="E26" s="13"/>
      <c r="F26" s="14"/>
      <c r="G26" s="14"/>
      <c r="H26" s="17" t="s">
        <v>39</v>
      </c>
      <c r="I26" s="15">
        <f>I27/10</f>
        <v>15326.4</v>
      </c>
      <c r="J26" s="15"/>
      <c r="K26" s="15"/>
      <c r="L26" s="15"/>
      <c r="M26" s="15"/>
      <c r="N26" s="15"/>
      <c r="O26" s="15"/>
      <c r="P26" s="15"/>
      <c r="Q26" s="15">
        <f>Q27/10</f>
        <v>10000</v>
      </c>
      <c r="R26" s="15"/>
      <c r="S26" s="15">
        <f t="shared" si="1"/>
        <v>0</v>
      </c>
      <c r="T26" s="27"/>
      <c r="V26" s="7"/>
      <c r="W26" s="7"/>
      <c r="X26" s="7"/>
      <c r="Y26" s="28"/>
      <c r="Z26" s="28"/>
      <c r="AA26" s="28"/>
      <c r="AB26" s="28"/>
      <c r="AC26" s="28"/>
      <c r="AD26" s="28"/>
      <c r="AE26" s="28"/>
    </row>
    <row r="27" spans="1:31" s="19" customFormat="1" ht="33" hidden="1" customHeight="1">
      <c r="A27" s="376"/>
      <c r="B27" s="11"/>
      <c r="C27" s="12"/>
      <c r="D27" s="20"/>
      <c r="E27" s="13"/>
      <c r="F27" s="14"/>
      <c r="G27" s="14"/>
      <c r="H27" s="17" t="s">
        <v>39</v>
      </c>
      <c r="I27" s="15">
        <v>153264</v>
      </c>
      <c r="J27" s="15"/>
      <c r="K27" s="15"/>
      <c r="L27" s="15"/>
      <c r="M27" s="15"/>
      <c r="N27" s="15"/>
      <c r="O27" s="15"/>
      <c r="P27" s="15"/>
      <c r="Q27" s="15">
        <v>100000</v>
      </c>
      <c r="R27" s="15"/>
      <c r="S27" s="15">
        <f t="shared" si="1"/>
        <v>0</v>
      </c>
      <c r="T27" s="27"/>
      <c r="V27" s="7"/>
      <c r="W27" s="7"/>
      <c r="X27" s="7"/>
      <c r="Y27" s="28"/>
      <c r="Z27" s="28"/>
      <c r="AA27" s="28"/>
      <c r="AB27" s="28"/>
      <c r="AC27" s="28"/>
      <c r="AD27" s="28"/>
      <c r="AE27" s="28"/>
    </row>
    <row r="28" spans="1:31" s="19" customFormat="1" ht="33" customHeight="1">
      <c r="A28" s="376"/>
      <c r="B28" s="11">
        <v>9</v>
      </c>
      <c r="C28" s="142" t="s">
        <v>45</v>
      </c>
      <c r="D28" s="24" t="s">
        <v>1197</v>
      </c>
      <c r="E28" s="13">
        <v>1</v>
      </c>
      <c r="F28" s="14">
        <v>24000</v>
      </c>
      <c r="G28" s="14">
        <f t="shared" ref="G28" si="8">E28*F28</f>
        <v>24000</v>
      </c>
      <c r="H28" s="14"/>
      <c r="I28" s="15"/>
      <c r="J28" s="15"/>
      <c r="K28" s="15"/>
      <c r="L28" s="15"/>
      <c r="M28" s="15"/>
      <c r="N28" s="15"/>
      <c r="O28" s="15"/>
      <c r="P28" s="15"/>
      <c r="Q28" s="15"/>
      <c r="R28" s="15">
        <v>0</v>
      </c>
      <c r="S28" s="15">
        <f t="shared" si="1"/>
        <v>24000</v>
      </c>
      <c r="T28" s="18"/>
      <c r="V28" s="7"/>
      <c r="W28" s="7"/>
      <c r="X28" s="7"/>
      <c r="Y28" s="6"/>
      <c r="Z28" s="6"/>
      <c r="AA28" s="6"/>
      <c r="AB28" s="6"/>
      <c r="AC28" s="6"/>
      <c r="AD28" s="6"/>
      <c r="AE28" s="6"/>
    </row>
    <row r="29" spans="1:31" s="19" customFormat="1" ht="33" customHeight="1">
      <c r="A29" s="376"/>
      <c r="B29" s="11">
        <v>10</v>
      </c>
      <c r="C29" s="142" t="s">
        <v>46</v>
      </c>
      <c r="D29" s="24" t="str">
        <f>COVER!B24</f>
        <v>A351 CF8M</v>
      </c>
      <c r="E29" s="13">
        <v>1</v>
      </c>
      <c r="F29" s="302">
        <f>IF(D29="A351 CF8M",Y98,IF(D29="B148 C95400",Z98))</f>
        <v>25600</v>
      </c>
      <c r="G29" s="14">
        <f>F29*E29</f>
        <v>25600</v>
      </c>
      <c r="H29" s="14"/>
      <c r="I29" s="15">
        <f>I30*I31</f>
        <v>3065.28</v>
      </c>
      <c r="J29" s="15">
        <f t="shared" ref="J29:Q29" si="9">J30*J31</f>
        <v>3260.86</v>
      </c>
      <c r="K29" s="15">
        <f t="shared" si="9"/>
        <v>0</v>
      </c>
      <c r="L29" s="15">
        <f t="shared" si="9"/>
        <v>0</v>
      </c>
      <c r="M29" s="15">
        <f t="shared" si="9"/>
        <v>0</v>
      </c>
      <c r="N29" s="15">
        <f t="shared" si="9"/>
        <v>0</v>
      </c>
      <c r="O29" s="15">
        <f t="shared" si="9"/>
        <v>0</v>
      </c>
      <c r="P29" s="15">
        <f t="shared" si="9"/>
        <v>0</v>
      </c>
      <c r="Q29" s="15">
        <f t="shared" si="9"/>
        <v>0</v>
      </c>
      <c r="R29" s="15">
        <v>0</v>
      </c>
      <c r="S29" s="15">
        <f t="shared" si="1"/>
        <v>25600</v>
      </c>
      <c r="T29" s="18"/>
      <c r="V29" s="7"/>
      <c r="W29" s="292"/>
      <c r="X29" s="7"/>
      <c r="Y29" s="7"/>
      <c r="Z29" s="7"/>
      <c r="AA29" s="7"/>
      <c r="AB29" s="7"/>
      <c r="AC29" s="7"/>
      <c r="AD29" s="7"/>
      <c r="AE29" s="7"/>
    </row>
    <row r="30" spans="1:31" s="19" customFormat="1" ht="33" hidden="1" customHeight="1">
      <c r="A30" s="376"/>
      <c r="B30" s="11"/>
      <c r="C30" s="12"/>
      <c r="D30" s="24"/>
      <c r="E30" s="13"/>
      <c r="F30" s="14"/>
      <c r="G30" s="14"/>
      <c r="H30" s="17" t="s">
        <v>39</v>
      </c>
      <c r="I30" s="21">
        <v>0.2</v>
      </c>
      <c r="J30" s="21">
        <v>0.2</v>
      </c>
      <c r="K30" s="21"/>
      <c r="L30" s="21"/>
      <c r="M30" s="21"/>
      <c r="N30" s="21"/>
      <c r="O30" s="21"/>
      <c r="P30" s="21"/>
      <c r="Q30" s="21"/>
      <c r="R30" s="15"/>
      <c r="S30" s="15">
        <f t="shared" si="1"/>
        <v>0</v>
      </c>
      <c r="T30" s="22"/>
      <c r="V30" s="7"/>
      <c r="W30" s="7"/>
      <c r="X30" s="7"/>
      <c r="Y30" s="7"/>
      <c r="Z30" s="7"/>
      <c r="AA30" s="7"/>
      <c r="AB30" s="7"/>
      <c r="AC30" s="7"/>
      <c r="AD30" s="7"/>
      <c r="AE30" s="7"/>
    </row>
    <row r="31" spans="1:31" s="19" customFormat="1" ht="33" hidden="1" customHeight="1">
      <c r="A31" s="376"/>
      <c r="B31" s="11"/>
      <c r="C31" s="12"/>
      <c r="D31" s="24"/>
      <c r="E31" s="13"/>
      <c r="F31" s="14"/>
      <c r="G31" s="14"/>
      <c r="H31" s="17" t="s">
        <v>39</v>
      </c>
      <c r="I31" s="15">
        <f>I32/10</f>
        <v>15326.4</v>
      </c>
      <c r="J31" s="15">
        <f>J32/10</f>
        <v>16304.3</v>
      </c>
      <c r="K31" s="15"/>
      <c r="L31" s="15"/>
      <c r="M31" s="15"/>
      <c r="N31" s="15"/>
      <c r="O31" s="15"/>
      <c r="P31" s="15"/>
      <c r="Q31" s="15"/>
      <c r="R31" s="15"/>
      <c r="S31" s="15">
        <f t="shared" si="1"/>
        <v>0</v>
      </c>
      <c r="T31" s="22"/>
      <c r="V31" s="7"/>
      <c r="W31" s="7"/>
      <c r="X31" s="7"/>
      <c r="Y31" s="7"/>
      <c r="Z31" s="7"/>
      <c r="AA31" s="7"/>
      <c r="AB31" s="7"/>
      <c r="AC31" s="7"/>
      <c r="AD31" s="7"/>
      <c r="AE31" s="7"/>
    </row>
    <row r="32" spans="1:31" s="19" customFormat="1" ht="33" hidden="1" customHeight="1">
      <c r="A32" s="376"/>
      <c r="B32" s="11"/>
      <c r="C32" s="12"/>
      <c r="D32" s="24"/>
      <c r="E32" s="13"/>
      <c r="F32" s="14"/>
      <c r="G32" s="14"/>
      <c r="H32" s="17" t="s">
        <v>39</v>
      </c>
      <c r="I32" s="15">
        <v>153264</v>
      </c>
      <c r="J32" s="15">
        <v>163043</v>
      </c>
      <c r="K32" s="15"/>
      <c r="L32" s="15"/>
      <c r="M32" s="15"/>
      <c r="N32" s="15"/>
      <c r="O32" s="15"/>
      <c r="P32" s="15"/>
      <c r="Q32" s="15"/>
      <c r="R32" s="15"/>
      <c r="S32" s="15">
        <f t="shared" si="1"/>
        <v>0</v>
      </c>
      <c r="T32" s="22"/>
      <c r="V32" s="7"/>
      <c r="W32" s="7"/>
      <c r="X32" s="7"/>
      <c r="Y32" s="7"/>
      <c r="Z32" s="7"/>
      <c r="AA32" s="7"/>
      <c r="AB32" s="7"/>
      <c r="AC32" s="7"/>
      <c r="AD32" s="7"/>
      <c r="AE32" s="7"/>
    </row>
    <row r="33" spans="1:31" s="19" customFormat="1" ht="33" customHeight="1">
      <c r="A33" s="376"/>
      <c r="B33" s="11">
        <v>11</v>
      </c>
      <c r="C33" s="142" t="s">
        <v>47</v>
      </c>
      <c r="D33" s="24" t="str">
        <f>COVER!B26</f>
        <v>316+NICKEL</v>
      </c>
      <c r="E33" s="13">
        <v>1</v>
      </c>
      <c r="F33" s="14">
        <f>IF(D33="316+NICKEL",Y102,IF(D33="B148 C95400",Z102))</f>
        <v>9700</v>
      </c>
      <c r="G33" s="14">
        <f>F33*E33</f>
        <v>9700</v>
      </c>
      <c r="H33" s="14"/>
      <c r="I33" s="15">
        <f>I34*I35</f>
        <v>4597.92</v>
      </c>
      <c r="J33" s="15">
        <f t="shared" ref="J33:Q33" si="10">J34*J35</f>
        <v>0</v>
      </c>
      <c r="K33" s="15">
        <f t="shared" si="10"/>
        <v>0</v>
      </c>
      <c r="L33" s="15">
        <f t="shared" si="10"/>
        <v>0</v>
      </c>
      <c r="M33" s="15">
        <f t="shared" si="10"/>
        <v>0</v>
      </c>
      <c r="N33" s="15">
        <f t="shared" si="10"/>
        <v>0</v>
      </c>
      <c r="O33" s="15">
        <f t="shared" si="10"/>
        <v>0</v>
      </c>
      <c r="P33" s="15">
        <f t="shared" si="10"/>
        <v>0</v>
      </c>
      <c r="Q33" s="15">
        <f t="shared" si="10"/>
        <v>0</v>
      </c>
      <c r="R33" s="15">
        <v>0</v>
      </c>
      <c r="S33" s="15">
        <f t="shared" si="1"/>
        <v>9700</v>
      </c>
      <c r="T33" s="25" t="s">
        <v>1200</v>
      </c>
      <c r="V33" s="7"/>
      <c r="W33" s="7"/>
      <c r="X33" s="7"/>
      <c r="Y33" s="7"/>
      <c r="Z33" s="7"/>
      <c r="AA33" s="7"/>
      <c r="AB33" s="7"/>
      <c r="AC33" s="7"/>
      <c r="AD33" s="7"/>
      <c r="AE33" s="7"/>
    </row>
    <row r="34" spans="1:31" s="19" customFormat="1" ht="33" hidden="1" customHeight="1">
      <c r="A34" s="376"/>
      <c r="B34" s="11"/>
      <c r="C34" s="12"/>
      <c r="D34" s="24"/>
      <c r="E34" s="13"/>
      <c r="F34" s="14"/>
      <c r="G34" s="14"/>
      <c r="H34" s="17" t="s">
        <v>39</v>
      </c>
      <c r="I34" s="21">
        <v>0.3</v>
      </c>
      <c r="J34" s="21"/>
      <c r="K34" s="21"/>
      <c r="L34" s="21"/>
      <c r="M34" s="21"/>
      <c r="N34" s="21"/>
      <c r="O34" s="21"/>
      <c r="P34" s="21"/>
      <c r="Q34" s="21"/>
      <c r="R34" s="15"/>
      <c r="S34" s="15">
        <f t="shared" si="1"/>
        <v>0</v>
      </c>
      <c r="T34" s="22"/>
      <c r="V34" s="7"/>
      <c r="W34" s="7"/>
      <c r="X34" s="7"/>
      <c r="Y34" s="7"/>
      <c r="Z34" s="7"/>
      <c r="AA34" s="7"/>
      <c r="AB34" s="7"/>
      <c r="AC34" s="7"/>
      <c r="AD34" s="7"/>
      <c r="AE34" s="7"/>
    </row>
    <row r="35" spans="1:31" s="19" customFormat="1" ht="33" hidden="1" customHeight="1">
      <c r="A35" s="376"/>
      <c r="B35" s="11"/>
      <c r="C35" s="12"/>
      <c r="D35" s="24"/>
      <c r="E35" s="13"/>
      <c r="F35" s="14"/>
      <c r="G35" s="14"/>
      <c r="H35" s="17" t="s">
        <v>39</v>
      </c>
      <c r="I35" s="15">
        <f>I36/10</f>
        <v>15326.4</v>
      </c>
      <c r="J35" s="15"/>
      <c r="K35" s="15"/>
      <c r="L35" s="15"/>
      <c r="M35" s="15"/>
      <c r="N35" s="15"/>
      <c r="O35" s="15"/>
      <c r="P35" s="15"/>
      <c r="Q35" s="15"/>
      <c r="R35" s="15"/>
      <c r="S35" s="15">
        <f t="shared" si="1"/>
        <v>0</v>
      </c>
      <c r="T35" s="22"/>
      <c r="V35" s="7"/>
      <c r="W35" s="7"/>
      <c r="X35" s="7"/>
      <c r="Y35" s="7"/>
      <c r="Z35" s="7"/>
      <c r="AA35" s="7"/>
      <c r="AB35" s="7"/>
      <c r="AC35" s="7"/>
      <c r="AD35" s="7"/>
      <c r="AE35" s="7"/>
    </row>
    <row r="36" spans="1:31" s="19" customFormat="1" ht="33" hidden="1" customHeight="1">
      <c r="A36" s="376"/>
      <c r="B36" s="11"/>
      <c r="C36" s="12"/>
      <c r="D36" s="24"/>
      <c r="E36" s="13"/>
      <c r="F36" s="14"/>
      <c r="G36" s="14"/>
      <c r="H36" s="17" t="s">
        <v>39</v>
      </c>
      <c r="I36" s="15">
        <v>153264</v>
      </c>
      <c r="J36" s="15"/>
      <c r="K36" s="15"/>
      <c r="L36" s="15"/>
      <c r="M36" s="15"/>
      <c r="N36" s="15"/>
      <c r="O36" s="15"/>
      <c r="P36" s="15"/>
      <c r="Q36" s="15"/>
      <c r="R36" s="15"/>
      <c r="S36" s="15">
        <f t="shared" si="1"/>
        <v>0</v>
      </c>
      <c r="T36" s="22"/>
      <c r="V36" s="7"/>
      <c r="W36" s="7"/>
      <c r="X36" s="7"/>
      <c r="Y36" s="7"/>
      <c r="Z36" s="7"/>
      <c r="AA36" s="7"/>
      <c r="AB36" s="7"/>
      <c r="AC36" s="7"/>
      <c r="AD36" s="7"/>
      <c r="AE36" s="7"/>
    </row>
    <row r="37" spans="1:31" s="19" customFormat="1" ht="33" customHeight="1">
      <c r="A37" s="376"/>
      <c r="B37" s="11">
        <v>12</v>
      </c>
      <c r="C37" s="169" t="s">
        <v>954</v>
      </c>
      <c r="D37" s="20" t="str">
        <f>COVER!B22</f>
        <v>B7(다크로)</v>
      </c>
      <c r="E37" s="13">
        <v>4</v>
      </c>
      <c r="F37" s="14">
        <f>IF(D37="B8",Y93,IF(D37="B8M",Z93,IF(D37="B7(다크로)",AA93)))</f>
        <v>1500</v>
      </c>
      <c r="G37" s="14">
        <f>E37*F37</f>
        <v>6000</v>
      </c>
      <c r="H37" s="14"/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f t="shared" si="1"/>
        <v>6000</v>
      </c>
      <c r="T37" s="22"/>
      <c r="V37" s="7"/>
      <c r="W37" s="7"/>
      <c r="X37" s="7"/>
      <c r="Y37" s="7"/>
      <c r="Z37" s="7"/>
      <c r="AA37" s="7"/>
      <c r="AB37" s="7"/>
      <c r="AC37" s="7"/>
      <c r="AD37" s="7"/>
      <c r="AE37" s="7"/>
    </row>
    <row r="38" spans="1:31" s="19" customFormat="1" ht="33" customHeight="1">
      <c r="A38" s="376"/>
      <c r="B38" s="11">
        <v>13</v>
      </c>
      <c r="C38" s="29" t="s">
        <v>49</v>
      </c>
      <c r="D38" s="24"/>
      <c r="E38" s="13">
        <v>1</v>
      </c>
      <c r="F38" s="14">
        <v>3000</v>
      </c>
      <c r="G38" s="14">
        <f t="shared" ref="G38:G54" si="11">E38*F38</f>
        <v>3000</v>
      </c>
      <c r="H38" s="14"/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f t="shared" si="1"/>
        <v>3000</v>
      </c>
      <c r="T38" s="22"/>
      <c r="V38" s="7"/>
      <c r="W38" s="7"/>
      <c r="X38" s="7"/>
      <c r="Y38" s="7"/>
      <c r="Z38" s="7"/>
      <c r="AA38" s="7"/>
      <c r="AB38" s="7"/>
      <c r="AC38" s="7"/>
      <c r="AD38" s="7"/>
      <c r="AE38" s="7"/>
    </row>
    <row r="39" spans="1:31" s="19" customFormat="1" ht="33" customHeight="1">
      <c r="A39" s="376"/>
      <c r="B39" s="11">
        <v>14</v>
      </c>
      <c r="C39" s="233" t="s">
        <v>50</v>
      </c>
      <c r="D39" s="24" t="str">
        <f>COVER!B23</f>
        <v>316+NICKEL</v>
      </c>
      <c r="E39" s="13">
        <v>3</v>
      </c>
      <c r="F39" s="14">
        <f>IF(D39="316+NICKEL",Y97+Y98,IF(D39="B148 C95400",Z97+Z98))</f>
        <v>106800</v>
      </c>
      <c r="G39" s="14">
        <f>F39*1</f>
        <v>106800</v>
      </c>
      <c r="H39" s="14"/>
      <c r="I39" s="15">
        <f t="shared" ref="I39:Q40" si="12">I40*I41</f>
        <v>0</v>
      </c>
      <c r="J39" s="15">
        <f t="shared" si="12"/>
        <v>0</v>
      </c>
      <c r="K39" s="15">
        <f t="shared" si="12"/>
        <v>0</v>
      </c>
      <c r="L39" s="15">
        <f t="shared" si="12"/>
        <v>0</v>
      </c>
      <c r="M39" s="15">
        <f t="shared" si="12"/>
        <v>0</v>
      </c>
      <c r="N39" s="15">
        <f t="shared" si="12"/>
        <v>0</v>
      </c>
      <c r="O39" s="15">
        <f t="shared" si="12"/>
        <v>0</v>
      </c>
      <c r="P39" s="15">
        <f t="shared" si="12"/>
        <v>0</v>
      </c>
      <c r="Q39" s="15">
        <f t="shared" si="12"/>
        <v>0</v>
      </c>
      <c r="R39" s="15">
        <v>0</v>
      </c>
      <c r="S39" s="15">
        <f t="shared" si="1"/>
        <v>106800</v>
      </c>
      <c r="T39" s="25" t="s">
        <v>1200</v>
      </c>
      <c r="V39" s="7"/>
      <c r="W39" s="7"/>
      <c r="X39" s="7"/>
      <c r="Y39" s="7"/>
      <c r="Z39" s="7"/>
      <c r="AA39" s="7"/>
      <c r="AB39" s="7"/>
      <c r="AC39" s="7"/>
      <c r="AD39" s="7"/>
      <c r="AE39" s="7"/>
    </row>
    <row r="40" spans="1:31" s="19" customFormat="1" ht="33" customHeight="1">
      <c r="A40" s="376"/>
      <c r="B40" s="11">
        <v>15</v>
      </c>
      <c r="C40" s="142" t="s">
        <v>51</v>
      </c>
      <c r="D40" s="24" t="str">
        <f>COVER!B23</f>
        <v>316+NICKEL</v>
      </c>
      <c r="E40" s="13">
        <v>2</v>
      </c>
      <c r="F40" s="14">
        <f>IF(D40="316+NICKEL",Y99+Y100,IF(D40="B148 C95400",Z99+Z100))</f>
        <v>79400</v>
      </c>
      <c r="G40" s="14">
        <f>F40*1</f>
        <v>79400</v>
      </c>
      <c r="H40" s="14"/>
      <c r="I40" s="15">
        <f t="shared" si="12"/>
        <v>0</v>
      </c>
      <c r="J40" s="15">
        <f t="shared" si="12"/>
        <v>0</v>
      </c>
      <c r="K40" s="15">
        <f t="shared" si="12"/>
        <v>0</v>
      </c>
      <c r="L40" s="15">
        <f t="shared" si="12"/>
        <v>0</v>
      </c>
      <c r="M40" s="15">
        <f t="shared" si="12"/>
        <v>0</v>
      </c>
      <c r="N40" s="15">
        <f t="shared" si="12"/>
        <v>0</v>
      </c>
      <c r="O40" s="15">
        <f t="shared" si="12"/>
        <v>0</v>
      </c>
      <c r="P40" s="15">
        <f t="shared" si="12"/>
        <v>0</v>
      </c>
      <c r="Q40" s="15">
        <f t="shared" si="12"/>
        <v>0</v>
      </c>
      <c r="R40" s="15">
        <v>0</v>
      </c>
      <c r="S40" s="15">
        <f t="shared" si="1"/>
        <v>79400</v>
      </c>
      <c r="T40" s="25" t="s">
        <v>1200</v>
      </c>
      <c r="V40" s="28"/>
      <c r="W40" s="28"/>
      <c r="X40" s="28"/>
      <c r="Y40" s="7"/>
      <c r="Z40" s="7"/>
      <c r="AA40" s="7"/>
      <c r="AB40" s="7"/>
      <c r="AC40" s="7"/>
      <c r="AD40" s="7"/>
      <c r="AE40" s="7"/>
    </row>
    <row r="41" spans="1:31" s="19" customFormat="1" ht="36.75" hidden="1" customHeight="1">
      <c r="A41" s="376"/>
      <c r="B41" s="11"/>
      <c r="C41" s="12"/>
      <c r="D41" s="20"/>
      <c r="E41" s="13"/>
      <c r="F41" s="14"/>
      <c r="G41" s="14"/>
      <c r="H41" s="17" t="s">
        <v>39</v>
      </c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>
        <f t="shared" si="1"/>
        <v>0</v>
      </c>
      <c r="T41" s="22"/>
      <c r="V41" s="28"/>
      <c r="W41" s="28"/>
      <c r="X41" s="28"/>
      <c r="Y41" s="7"/>
      <c r="Z41" s="7"/>
      <c r="AA41" s="7"/>
      <c r="AB41" s="7"/>
      <c r="AC41" s="7"/>
      <c r="AD41" s="7"/>
      <c r="AE41" s="7"/>
    </row>
    <row r="42" spans="1:31" s="19" customFormat="1" ht="33" hidden="1" customHeight="1">
      <c r="A42" s="376"/>
      <c r="B42" s="11"/>
      <c r="C42" s="12"/>
      <c r="D42" s="20"/>
      <c r="E42" s="13"/>
      <c r="F42" s="14"/>
      <c r="G42" s="14"/>
      <c r="H42" s="17" t="s">
        <v>39</v>
      </c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>
        <f t="shared" si="1"/>
        <v>0</v>
      </c>
      <c r="T42" s="22"/>
      <c r="V42" s="28"/>
      <c r="W42" s="28"/>
      <c r="X42" s="28"/>
      <c r="Y42" s="7"/>
      <c r="Z42" s="7"/>
      <c r="AA42" s="7"/>
      <c r="AB42" s="7"/>
      <c r="AC42" s="7"/>
      <c r="AD42" s="7"/>
      <c r="AE42" s="7"/>
    </row>
    <row r="43" spans="1:31" s="19" customFormat="1" ht="33" hidden="1" customHeight="1">
      <c r="A43" s="376"/>
      <c r="B43" s="11"/>
      <c r="C43" s="12"/>
      <c r="D43" s="20"/>
      <c r="E43" s="13"/>
      <c r="F43" s="14"/>
      <c r="G43" s="14"/>
      <c r="H43" s="17" t="s">
        <v>39</v>
      </c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>
        <f t="shared" si="1"/>
        <v>0</v>
      </c>
      <c r="T43" s="22"/>
      <c r="V43" s="28"/>
      <c r="W43" s="28"/>
      <c r="X43" s="28"/>
      <c r="Y43" s="7"/>
      <c r="Z43" s="7"/>
      <c r="AA43" s="7"/>
      <c r="AB43" s="7"/>
      <c r="AC43" s="7"/>
      <c r="AD43" s="7"/>
      <c r="AE43" s="7"/>
    </row>
    <row r="44" spans="1:31" s="19" customFormat="1" ht="33" customHeight="1">
      <c r="A44" s="376"/>
      <c r="B44" s="11">
        <v>16</v>
      </c>
      <c r="C44" s="142" t="s">
        <v>52</v>
      </c>
      <c r="D44" s="24" t="str">
        <f>COVER!B25</f>
        <v>316+NICKEL</v>
      </c>
      <c r="E44" s="13">
        <v>1</v>
      </c>
      <c r="F44" s="14">
        <f>IF(D44="316+NICKEL",Y102,IF(D44="B148 C95400",Z102))</f>
        <v>9700</v>
      </c>
      <c r="G44" s="14">
        <f>F44*E44</f>
        <v>9700</v>
      </c>
      <c r="H44" s="14"/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1000</v>
      </c>
      <c r="P44" s="15">
        <v>0</v>
      </c>
      <c r="Q44" s="15">
        <v>0</v>
      </c>
      <c r="R44" s="15">
        <v>0</v>
      </c>
      <c r="S44" s="15">
        <f t="shared" si="1"/>
        <v>9700</v>
      </c>
      <c r="T44" s="25" t="s">
        <v>1200</v>
      </c>
      <c r="U44" s="236"/>
      <c r="V44" s="28"/>
      <c r="W44" s="28"/>
      <c r="X44" s="28"/>
      <c r="Y44" s="7"/>
      <c r="Z44" s="7"/>
      <c r="AA44" s="7"/>
      <c r="AB44" s="7"/>
      <c r="AC44" s="7"/>
      <c r="AD44" s="7"/>
      <c r="AE44" s="7"/>
    </row>
    <row r="45" spans="1:31" s="19" customFormat="1" ht="33" customHeight="1">
      <c r="A45" s="376"/>
      <c r="B45" s="11">
        <v>17</v>
      </c>
      <c r="C45" s="175" t="s">
        <v>53</v>
      </c>
      <c r="D45" s="20" t="s">
        <v>463</v>
      </c>
      <c r="E45" s="14">
        <v>1</v>
      </c>
      <c r="F45" s="14">
        <f>Y87</f>
        <v>2670</v>
      </c>
      <c r="G45" s="14">
        <f>F45*E45</f>
        <v>2670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/>
      <c r="R45" s="15">
        <v>0</v>
      </c>
      <c r="S45" s="15">
        <f t="shared" si="1"/>
        <v>2670</v>
      </c>
      <c r="T45" s="22"/>
      <c r="V45" s="7"/>
      <c r="W45" s="7">
        <f>G24/9500</f>
        <v>13.421052631578947</v>
      </c>
      <c r="X45" s="7"/>
      <c r="Y45" s="7"/>
      <c r="Z45" s="7"/>
      <c r="AA45" s="7"/>
      <c r="AB45" s="7"/>
      <c r="AC45" s="7"/>
      <c r="AD45" s="7"/>
      <c r="AE45" s="7"/>
    </row>
    <row r="46" spans="1:31" s="19" customFormat="1" ht="33" customHeight="1">
      <c r="A46" s="376"/>
      <c r="B46" s="11">
        <v>18</v>
      </c>
      <c r="C46" s="175" t="s">
        <v>1208</v>
      </c>
      <c r="D46" s="24" t="str">
        <f>COVER!B29</f>
        <v>SS400</v>
      </c>
      <c r="E46" s="13">
        <v>1</v>
      </c>
      <c r="F46" s="14">
        <f>IF(D46="SS400",Y107,IF(D46="SS316",Z107,IF(D46="SS304",AA107)))</f>
        <v>7370</v>
      </c>
      <c r="G46" s="14">
        <f>F46*E46</f>
        <v>7370</v>
      </c>
      <c r="H46" s="14"/>
      <c r="I46" s="15">
        <f>I47*I48</f>
        <v>4597.92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8000</v>
      </c>
      <c r="S46" s="15">
        <f t="shared" si="1"/>
        <v>15370</v>
      </c>
      <c r="T46" s="22"/>
      <c r="V46" s="7"/>
      <c r="W46" s="7"/>
      <c r="X46" s="7"/>
      <c r="Y46" s="7"/>
      <c r="Z46" s="7"/>
      <c r="AA46" s="7"/>
      <c r="AB46" s="7"/>
      <c r="AC46" s="7"/>
      <c r="AD46" s="7"/>
      <c r="AE46" s="7"/>
    </row>
    <row r="47" spans="1:31" s="19" customFormat="1" ht="33" hidden="1" customHeight="1">
      <c r="A47" s="376"/>
      <c r="B47" s="11"/>
      <c r="C47" s="31"/>
      <c r="D47" s="24"/>
      <c r="E47" s="13"/>
      <c r="F47" s="14"/>
      <c r="G47" s="14"/>
      <c r="H47" s="17" t="s">
        <v>39</v>
      </c>
      <c r="I47" s="21">
        <v>0.3</v>
      </c>
      <c r="J47" s="21"/>
      <c r="K47" s="21"/>
      <c r="L47" s="21"/>
      <c r="M47" s="21"/>
      <c r="N47" s="21"/>
      <c r="O47" s="21"/>
      <c r="P47" s="21"/>
      <c r="Q47" s="21"/>
      <c r="R47" s="15"/>
      <c r="S47" s="15">
        <f t="shared" si="1"/>
        <v>0</v>
      </c>
      <c r="T47" s="22"/>
      <c r="V47" s="7"/>
      <c r="W47" s="7"/>
      <c r="X47" s="7"/>
      <c r="Y47" s="7"/>
      <c r="Z47" s="7"/>
      <c r="AA47" s="7"/>
      <c r="AB47" s="7"/>
      <c r="AC47" s="7"/>
      <c r="AD47" s="7"/>
      <c r="AE47" s="7"/>
    </row>
    <row r="48" spans="1:31" s="19" customFormat="1" ht="33" hidden="1" customHeight="1">
      <c r="A48" s="376"/>
      <c r="B48" s="11"/>
      <c r="C48" s="31"/>
      <c r="D48" s="24"/>
      <c r="E48" s="13"/>
      <c r="F48" s="14"/>
      <c r="G48" s="14"/>
      <c r="H48" s="17" t="s">
        <v>39</v>
      </c>
      <c r="I48" s="15">
        <f>I49/10</f>
        <v>15326.4</v>
      </c>
      <c r="J48" s="15"/>
      <c r="K48" s="15"/>
      <c r="L48" s="15"/>
      <c r="M48" s="15"/>
      <c r="N48" s="15"/>
      <c r="O48" s="15"/>
      <c r="P48" s="15"/>
      <c r="Q48" s="15"/>
      <c r="R48" s="15"/>
      <c r="S48" s="15">
        <f t="shared" si="1"/>
        <v>0</v>
      </c>
      <c r="T48" s="22"/>
      <c r="V48" s="7"/>
      <c r="W48" s="7"/>
      <c r="X48" s="7"/>
      <c r="Y48" s="7"/>
      <c r="Z48" s="7"/>
      <c r="AA48" s="7"/>
      <c r="AB48" s="7"/>
      <c r="AC48" s="7"/>
      <c r="AD48" s="7"/>
      <c r="AE48" s="7"/>
    </row>
    <row r="49" spans="1:31" s="19" customFormat="1" ht="33" hidden="1" customHeight="1">
      <c r="A49" s="376"/>
      <c r="B49" s="11"/>
      <c r="C49" s="31"/>
      <c r="D49" s="24"/>
      <c r="E49" s="13"/>
      <c r="F49" s="14"/>
      <c r="G49" s="14"/>
      <c r="H49" s="17" t="s">
        <v>39</v>
      </c>
      <c r="I49" s="15">
        <v>153264</v>
      </c>
      <c r="J49" s="15"/>
      <c r="K49" s="15"/>
      <c r="L49" s="15"/>
      <c r="M49" s="15"/>
      <c r="N49" s="15"/>
      <c r="O49" s="15"/>
      <c r="P49" s="15"/>
      <c r="Q49" s="15"/>
      <c r="R49" s="15"/>
      <c r="S49" s="15">
        <f t="shared" si="1"/>
        <v>0</v>
      </c>
      <c r="T49" s="22"/>
      <c r="V49" s="7"/>
      <c r="W49" s="7"/>
      <c r="X49" s="7"/>
      <c r="Y49" s="7"/>
      <c r="Z49" s="7"/>
      <c r="AA49" s="7"/>
      <c r="AB49" s="7"/>
      <c r="AC49" s="7"/>
      <c r="AD49" s="7"/>
      <c r="AE49" s="7"/>
    </row>
    <row r="50" spans="1:31" s="19" customFormat="1" ht="33" customHeight="1">
      <c r="A50" s="376"/>
      <c r="B50" s="11">
        <v>19</v>
      </c>
      <c r="C50" s="226" t="s">
        <v>55</v>
      </c>
      <c r="D50" s="20" t="str">
        <f>COVER!B22</f>
        <v>B7(다크로)</v>
      </c>
      <c r="E50" s="13">
        <v>6</v>
      </c>
      <c r="F50" s="14">
        <f>IF(D50="B8",Y94,IF(D50="B8M",Z94,IF(D50="B7(다크로)",AA94)))</f>
        <v>1500</v>
      </c>
      <c r="G50" s="14">
        <f>E50*F50</f>
        <v>9000</v>
      </c>
      <c r="H50" s="14"/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f t="shared" si="1"/>
        <v>9000</v>
      </c>
      <c r="T50" s="18"/>
      <c r="V50" s="26"/>
      <c r="W50" s="26"/>
      <c r="X50" s="26"/>
      <c r="Y50" s="7"/>
      <c r="Z50" s="7"/>
      <c r="AA50" s="7"/>
      <c r="AB50" s="7"/>
      <c r="AC50" s="7"/>
      <c r="AD50" s="7"/>
      <c r="AE50" s="7"/>
    </row>
    <row r="51" spans="1:31" s="19" customFormat="1" ht="33" customHeight="1">
      <c r="A51" s="376"/>
      <c r="B51" s="11">
        <v>20</v>
      </c>
      <c r="C51" s="169" t="s">
        <v>56</v>
      </c>
      <c r="D51" s="303" t="str">
        <f>D24</f>
        <v>A564T630</v>
      </c>
      <c r="E51" s="13">
        <v>3</v>
      </c>
      <c r="F51" s="14">
        <f>IF(D51="A276T316",Y80/E51,IF(D51="A276T316L",Y80/E51,IF(D51="A276T304",Z80/E51,IF(D51="A564T630",AA80/E51,IF(D51="A479T410",AB80/E51,IF(D51="UNS S31803",AC80/E51,IF(D51="UNS S32750",AD80/E51,IF(D51="MONEL K-400",AE80/E51,IF(D51="MONEL K-500",AE80/E51)))))))))</f>
        <v>450</v>
      </c>
      <c r="G51" s="14">
        <f>F51*E51</f>
        <v>1350</v>
      </c>
      <c r="H51" s="14"/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1000</v>
      </c>
      <c r="P51" s="15">
        <v>0</v>
      </c>
      <c r="Q51" s="15">
        <v>0</v>
      </c>
      <c r="R51" s="15">
        <f>2100*E51</f>
        <v>6300</v>
      </c>
      <c r="S51" s="15">
        <f t="shared" si="1"/>
        <v>7650</v>
      </c>
      <c r="T51" s="22"/>
      <c r="U51" s="162"/>
    </row>
    <row r="52" spans="1:31" s="19" customFormat="1" ht="33" customHeight="1">
      <c r="A52" s="376"/>
      <c r="B52" s="11">
        <v>21</v>
      </c>
      <c r="C52" s="169" t="s">
        <v>57</v>
      </c>
      <c r="D52" s="24" t="str">
        <f>COVER!B22</f>
        <v>B7(다크로)</v>
      </c>
      <c r="E52" s="13">
        <v>4</v>
      </c>
      <c r="F52" s="14">
        <f>IF(D52="B8",Y90,IF(D52="B8M",Z90,IF(D52="B7(다크로)",AA90)))</f>
        <v>4300</v>
      </c>
      <c r="G52" s="14">
        <f>F52*E52</f>
        <v>17200</v>
      </c>
      <c r="H52" s="14"/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1000</v>
      </c>
      <c r="O52" s="15">
        <v>1000</v>
      </c>
      <c r="P52" s="15">
        <v>1000</v>
      </c>
      <c r="Q52" s="15">
        <v>0</v>
      </c>
      <c r="R52" s="15">
        <v>0</v>
      </c>
      <c r="S52" s="15">
        <f t="shared" si="1"/>
        <v>17200</v>
      </c>
      <c r="T52" s="22"/>
      <c r="U52" s="162"/>
    </row>
    <row r="53" spans="1:31" s="19" customFormat="1" ht="33" customHeight="1">
      <c r="A53" s="376"/>
      <c r="B53" s="11">
        <v>22</v>
      </c>
      <c r="C53" s="169" t="s">
        <v>1199</v>
      </c>
      <c r="D53" s="24" t="str">
        <f>COVER!B26</f>
        <v>316+NICKEL</v>
      </c>
      <c r="E53" s="13">
        <v>1</v>
      </c>
      <c r="F53" s="14">
        <f>IF(D53="316+NICKEL",Y103,IF(D53="B148 C95400",Z103))</f>
        <v>12700</v>
      </c>
      <c r="G53" s="14">
        <f>F53*E53</f>
        <v>12700</v>
      </c>
      <c r="H53" s="14"/>
      <c r="I53" s="15"/>
      <c r="J53" s="15"/>
      <c r="K53" s="15"/>
      <c r="L53" s="15"/>
      <c r="M53" s="15"/>
      <c r="N53" s="15"/>
      <c r="O53" s="15"/>
      <c r="P53" s="15"/>
      <c r="Q53" s="15"/>
      <c r="R53" s="15">
        <v>0</v>
      </c>
      <c r="S53" s="15">
        <f t="shared" si="1"/>
        <v>12700</v>
      </c>
      <c r="T53" s="22"/>
    </row>
    <row r="54" spans="1:31" s="19" customFormat="1" ht="33" customHeight="1">
      <c r="A54" s="376"/>
      <c r="B54" s="11">
        <v>23</v>
      </c>
      <c r="C54" s="29" t="s">
        <v>58</v>
      </c>
      <c r="D54" s="24"/>
      <c r="E54" s="13">
        <v>1</v>
      </c>
      <c r="F54" s="14">
        <v>2000</v>
      </c>
      <c r="G54" s="14">
        <f t="shared" si="11"/>
        <v>2000</v>
      </c>
      <c r="H54" s="14"/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1000</v>
      </c>
      <c r="Q54" s="15">
        <v>0</v>
      </c>
      <c r="R54" s="15">
        <v>0</v>
      </c>
      <c r="S54" s="15">
        <f t="shared" si="1"/>
        <v>2000</v>
      </c>
      <c r="T54" s="22"/>
    </row>
    <row r="55" spans="1:31" s="19" customFormat="1" ht="33" customHeight="1">
      <c r="A55" s="376"/>
      <c r="B55" s="11">
        <v>24</v>
      </c>
      <c r="C55" s="142" t="s">
        <v>59</v>
      </c>
      <c r="D55" s="24" t="str">
        <f>COVER!B35</f>
        <v>GEAR</v>
      </c>
      <c r="E55" s="13">
        <v>1</v>
      </c>
      <c r="F55" s="302">
        <f>IF(D55="GEAR",262800,IF(D55="MOTOR",0,IF(D55="PNEUMATIC",0)))</f>
        <v>262800</v>
      </c>
      <c r="G55" s="14">
        <f>F55</f>
        <v>262800</v>
      </c>
      <c r="H55" s="14"/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f t="shared" si="1"/>
        <v>262800</v>
      </c>
      <c r="T55" s="22"/>
    </row>
    <row r="56" spans="1:31" s="19" customFormat="1" ht="33" customHeight="1">
      <c r="A56" s="376"/>
      <c r="B56" s="11">
        <v>25</v>
      </c>
      <c r="C56" s="186" t="s">
        <v>859</v>
      </c>
      <c r="D56" s="24" t="str">
        <f>COVER!B30</f>
        <v>WCB</v>
      </c>
      <c r="E56" s="13">
        <v>19</v>
      </c>
      <c r="F56" s="14">
        <f>IF(D56="WCB",4000,IF(D56="CF8M",9000))</f>
        <v>4000</v>
      </c>
      <c r="G56" s="14">
        <f>E56*F56</f>
        <v>76000</v>
      </c>
      <c r="H56" s="14"/>
      <c r="I56" s="15"/>
      <c r="J56" s="15"/>
      <c r="K56" s="15"/>
      <c r="L56" s="15"/>
      <c r="M56" s="15"/>
      <c r="N56" s="15"/>
      <c r="O56" s="15"/>
      <c r="P56" s="15"/>
      <c r="Q56" s="15"/>
      <c r="R56" s="14">
        <f>IF(D56="WCB",AA109,IF(D56="CF8M",AB109))</f>
        <v>32400</v>
      </c>
      <c r="S56" s="15">
        <f t="shared" si="1"/>
        <v>108400</v>
      </c>
      <c r="T56" s="22"/>
    </row>
    <row r="57" spans="1:31" s="19" customFormat="1" ht="33" customHeight="1">
      <c r="A57" s="376"/>
      <c r="B57" s="11">
        <v>26</v>
      </c>
      <c r="C57" s="175" t="s">
        <v>467</v>
      </c>
      <c r="D57" s="24" t="str">
        <f>COVER!B27</f>
        <v>316+NICKEL</v>
      </c>
      <c r="E57" s="13">
        <v>2</v>
      </c>
      <c r="F57" s="14">
        <f>IF(D57="316+NICKEL",Y104,IF(D57="B148 C95400",Z104))</f>
        <v>21400</v>
      </c>
      <c r="G57" s="14">
        <f>F57</f>
        <v>21400</v>
      </c>
      <c r="H57" s="14"/>
      <c r="I57" s="15"/>
      <c r="J57" s="15"/>
      <c r="K57" s="15"/>
      <c r="L57" s="15"/>
      <c r="M57" s="15"/>
      <c r="N57" s="15"/>
      <c r="O57" s="15"/>
      <c r="P57" s="15"/>
      <c r="Q57" s="15"/>
      <c r="R57" s="15">
        <v>0</v>
      </c>
      <c r="S57" s="15">
        <f t="shared" si="1"/>
        <v>21400</v>
      </c>
      <c r="T57" s="25" t="s">
        <v>1200</v>
      </c>
    </row>
    <row r="58" spans="1:31" s="19" customFormat="1" ht="33" customHeight="1">
      <c r="A58" s="376"/>
      <c r="B58" s="11">
        <v>27</v>
      </c>
      <c r="C58" s="175" t="s">
        <v>468</v>
      </c>
      <c r="D58" s="24" t="str">
        <f>COVER!B28</f>
        <v>316+NICKEL</v>
      </c>
      <c r="E58" s="13">
        <v>2</v>
      </c>
      <c r="F58" s="14">
        <f>IF(D58="316+NICKEL",Y105,IF(D58="B148 C95400",Z105))</f>
        <v>3430</v>
      </c>
      <c r="G58" s="14">
        <f>F58</f>
        <v>3430</v>
      </c>
      <c r="H58" s="14"/>
      <c r="I58" s="15"/>
      <c r="J58" s="15"/>
      <c r="K58" s="15"/>
      <c r="L58" s="15"/>
      <c r="M58" s="15"/>
      <c r="N58" s="15"/>
      <c r="O58" s="15"/>
      <c r="P58" s="15"/>
      <c r="Q58" s="15"/>
      <c r="R58" s="15">
        <v>0</v>
      </c>
      <c r="S58" s="15">
        <f t="shared" si="1"/>
        <v>3430</v>
      </c>
      <c r="T58" s="25" t="s">
        <v>1200</v>
      </c>
    </row>
    <row r="59" spans="1:31" s="19" customFormat="1" ht="33" customHeight="1">
      <c r="A59" s="376"/>
      <c r="B59" s="11">
        <v>28</v>
      </c>
      <c r="C59" s="142" t="s">
        <v>714</v>
      </c>
      <c r="D59" s="24" t="str">
        <f>COVER!B22</f>
        <v>B7(다크로)</v>
      </c>
      <c r="E59" s="13">
        <v>8</v>
      </c>
      <c r="F59" s="14">
        <f>IF(D59="B8",Y89,IF(D59="B8M",Z89,IF(D59="B7(다크로)",AA89)))</f>
        <v>1500</v>
      </c>
      <c r="G59" s="14">
        <f t="shared" ref="G59:G61" si="13">E59*F59</f>
        <v>12000</v>
      </c>
      <c r="H59" s="14"/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f t="shared" si="1"/>
        <v>12000</v>
      </c>
      <c r="T59" s="25"/>
    </row>
    <row r="60" spans="1:31" s="19" customFormat="1" ht="33" customHeight="1">
      <c r="A60" s="376"/>
      <c r="B60" s="11">
        <v>29</v>
      </c>
      <c r="C60" s="12" t="s">
        <v>61</v>
      </c>
      <c r="D60" s="303" t="str">
        <f>COVER!B32</f>
        <v>외주 2COATING</v>
      </c>
      <c r="E60" s="13">
        <v>1</v>
      </c>
      <c r="F60" s="14">
        <f>IF(COVER!B10="APPLICATION",0,IF(D60="기존 단가",Y116,IF(D60="외주 2COATING",Z116,IF(D60="외주 3COATING",AA116))))</f>
        <v>0</v>
      </c>
      <c r="G60" s="14">
        <f t="shared" si="13"/>
        <v>0</v>
      </c>
      <c r="H60" s="14"/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f t="shared" si="1"/>
        <v>0</v>
      </c>
      <c r="T60" s="22"/>
    </row>
    <row r="61" spans="1:31" s="19" customFormat="1" ht="33" customHeight="1">
      <c r="A61" s="377"/>
      <c r="B61" s="11">
        <v>30</v>
      </c>
      <c r="C61" s="12" t="s">
        <v>62</v>
      </c>
      <c r="D61" s="303" t="str">
        <f>COVER!B33</f>
        <v>신규</v>
      </c>
      <c r="E61" s="13">
        <v>1</v>
      </c>
      <c r="F61" s="14">
        <f>IF(COVER!B10="APPLICATION",0,IF(D61="기존 단가",Y118,IF(D61="신규",Z118)))</f>
        <v>0</v>
      </c>
      <c r="G61" s="14">
        <f t="shared" si="13"/>
        <v>0</v>
      </c>
      <c r="H61" s="14"/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f t="shared" si="1"/>
        <v>0</v>
      </c>
      <c r="T61" s="22"/>
    </row>
    <row r="62" spans="1:31" s="19" customFormat="1" ht="33" customHeight="1">
      <c r="A62" s="378" t="s">
        <v>63</v>
      </c>
      <c r="B62" s="379"/>
      <c r="C62" s="379"/>
      <c r="D62" s="379"/>
      <c r="E62" s="379"/>
      <c r="F62" s="380"/>
      <c r="G62" s="14">
        <f>IF(COVER!B10="APPLICATION",0,IF(D55="GEAR",Y120,IF(D55="MOTOR",Z120,IF(D55="PNEUMATIC",AA120))))</f>
        <v>0</v>
      </c>
      <c r="H62" s="14"/>
      <c r="I62" s="32" t="s">
        <v>38</v>
      </c>
      <c r="J62" s="32"/>
      <c r="K62" s="32"/>
      <c r="L62" s="32"/>
      <c r="M62" s="32"/>
      <c r="N62" s="32"/>
      <c r="O62" s="32"/>
      <c r="P62" s="32"/>
      <c r="Q62" s="32"/>
      <c r="R62" s="33"/>
      <c r="S62" s="33">
        <f t="shared" si="1"/>
        <v>0</v>
      </c>
      <c r="T62" s="253"/>
      <c r="X62" s="19" t="s">
        <v>38</v>
      </c>
    </row>
    <row r="63" spans="1:31" s="19" customFormat="1" ht="33" customHeight="1">
      <c r="A63" s="360" t="s">
        <v>64</v>
      </c>
      <c r="B63" s="361"/>
      <c r="C63" s="361"/>
      <c r="D63" s="361"/>
      <c r="E63" s="361"/>
      <c r="F63" s="362"/>
      <c r="G63" s="14"/>
      <c r="H63" s="14"/>
      <c r="I63" s="32"/>
      <c r="J63" s="32"/>
      <c r="K63" s="32"/>
      <c r="L63" s="32"/>
      <c r="M63" s="32"/>
      <c r="N63" s="32"/>
      <c r="O63" s="32"/>
      <c r="P63" s="32"/>
      <c r="Q63" s="32"/>
      <c r="R63" s="33"/>
      <c r="S63" s="33"/>
      <c r="T63" s="253" t="s">
        <v>1526</v>
      </c>
    </row>
    <row r="64" spans="1:31" s="19" customFormat="1" ht="33" customHeight="1">
      <c r="A64" s="378" t="s">
        <v>65</v>
      </c>
      <c r="B64" s="379"/>
      <c r="C64" s="379"/>
      <c r="D64" s="379"/>
      <c r="E64" s="379"/>
      <c r="F64" s="380"/>
      <c r="G64" s="93" t="s">
        <v>38</v>
      </c>
      <c r="H64" s="93"/>
      <c r="I64" s="32"/>
      <c r="J64" s="94"/>
      <c r="K64" s="94"/>
      <c r="L64" s="94"/>
      <c r="M64" s="94"/>
      <c r="N64" s="94"/>
      <c r="O64" s="94"/>
      <c r="P64" s="94"/>
      <c r="Q64" s="94"/>
      <c r="R64" s="94"/>
      <c r="S64" s="34">
        <f>SUM(S8:S63)</f>
        <v>2571970</v>
      </c>
      <c r="T64" s="254" t="s">
        <v>145</v>
      </c>
    </row>
    <row r="65" spans="1:32" s="19" customFormat="1" ht="33" customHeight="1">
      <c r="A65" s="378" t="s">
        <v>66</v>
      </c>
      <c r="B65" s="379"/>
      <c r="C65" s="379"/>
      <c r="D65" s="379"/>
      <c r="E65" s="379"/>
      <c r="F65" s="380"/>
      <c r="G65" s="32">
        <v>0.1</v>
      </c>
      <c r="H65" s="32"/>
      <c r="I65" s="32" t="s">
        <v>38</v>
      </c>
      <c r="J65" s="32"/>
      <c r="K65" s="32"/>
      <c r="L65" s="32"/>
      <c r="M65" s="32"/>
      <c r="N65" s="32"/>
      <c r="O65" s="32"/>
      <c r="P65" s="32"/>
      <c r="Q65" s="32"/>
      <c r="R65" s="32"/>
      <c r="S65" s="35">
        <f>S64*G65</f>
        <v>257197</v>
      </c>
      <c r="T65" s="253"/>
    </row>
    <row r="66" spans="1:32" s="19" customFormat="1" ht="33" customHeight="1">
      <c r="A66" s="360" t="s">
        <v>67</v>
      </c>
      <c r="B66" s="361"/>
      <c r="C66" s="361"/>
      <c r="D66" s="361"/>
      <c r="E66" s="361"/>
      <c r="F66" s="362"/>
      <c r="G66" s="95">
        <v>0.1</v>
      </c>
      <c r="H66" s="95"/>
      <c r="I66" s="32" t="s">
        <v>38</v>
      </c>
      <c r="J66" s="32"/>
      <c r="K66" s="32"/>
      <c r="L66" s="32"/>
      <c r="M66" s="32"/>
      <c r="N66" s="32"/>
      <c r="O66" s="32"/>
      <c r="P66" s="32"/>
      <c r="Q66" s="32"/>
      <c r="R66" s="32"/>
      <c r="S66" s="35">
        <f>(S64+S65)*G66</f>
        <v>282916.7</v>
      </c>
      <c r="T66" s="253" t="s">
        <v>38</v>
      </c>
    </row>
    <row r="67" spans="1:32" s="19" customFormat="1" ht="33" customHeight="1">
      <c r="A67" s="363" t="s">
        <v>68</v>
      </c>
      <c r="B67" s="364"/>
      <c r="C67" s="364"/>
      <c r="D67" s="364"/>
      <c r="E67" s="364"/>
      <c r="F67" s="365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294">
        <f>S64+S65+S66</f>
        <v>3112083.7</v>
      </c>
      <c r="T67" s="254" t="s">
        <v>69</v>
      </c>
    </row>
    <row r="68" spans="1:32" s="19" customFormat="1" ht="33" customHeight="1">
      <c r="A68" s="366" t="s">
        <v>70</v>
      </c>
      <c r="B68" s="367"/>
      <c r="C68" s="367"/>
      <c r="D68" s="367"/>
      <c r="E68" s="367"/>
      <c r="F68" s="368"/>
      <c r="G68" s="32">
        <f>COVER!B11</f>
        <v>1.5</v>
      </c>
      <c r="H68" s="32"/>
      <c r="I68" s="32" t="s">
        <v>38</v>
      </c>
      <c r="J68" s="32"/>
      <c r="K68" s="32"/>
      <c r="L68" s="32"/>
      <c r="M68" s="32"/>
      <c r="N68" s="32"/>
      <c r="O68" s="32"/>
      <c r="P68" s="32"/>
      <c r="Q68" s="32"/>
      <c r="R68" s="32"/>
      <c r="S68" s="36">
        <f>S67*G68</f>
        <v>4668125.5500000007</v>
      </c>
      <c r="T68" s="253"/>
    </row>
    <row r="69" spans="1:32" s="19" customFormat="1" ht="33" customHeight="1">
      <c r="A69" s="369" t="s">
        <v>71</v>
      </c>
      <c r="B69" s="370"/>
      <c r="C69" s="370"/>
      <c r="D69" s="370"/>
      <c r="E69" s="370"/>
      <c r="F69" s="370"/>
      <c r="G69" s="371"/>
      <c r="H69" s="37"/>
      <c r="I69" s="38"/>
      <c r="J69" s="38"/>
      <c r="K69" s="38"/>
      <c r="L69" s="38"/>
      <c r="M69" s="38"/>
      <c r="N69" s="38"/>
      <c r="O69" s="38"/>
      <c r="P69" s="38"/>
      <c r="Q69" s="38"/>
      <c r="R69" s="39" t="s">
        <v>17</v>
      </c>
      <c r="S69" s="40">
        <f>S68</f>
        <v>4668125.5500000007</v>
      </c>
      <c r="T69" s="246" t="s">
        <v>72</v>
      </c>
      <c r="V69" s="141" t="s">
        <v>862</v>
      </c>
      <c r="W69" s="140"/>
      <c r="X69" s="140"/>
      <c r="Y69" s="140"/>
      <c r="Z69" s="140"/>
      <c r="AA69" s="140"/>
      <c r="AB69" s="140"/>
      <c r="AC69" s="140"/>
      <c r="AD69" s="140"/>
      <c r="AE69" s="140"/>
      <c r="AF69" s="140"/>
    </row>
    <row r="70" spans="1:32" s="19" customFormat="1" ht="33" customHeight="1" thickBot="1">
      <c r="A70" s="372"/>
      <c r="B70" s="373"/>
      <c r="C70" s="373"/>
      <c r="D70" s="373"/>
      <c r="E70" s="373"/>
      <c r="F70" s="373"/>
      <c r="G70" s="374"/>
      <c r="H70" s="41"/>
      <c r="I70" s="42"/>
      <c r="J70" s="42"/>
      <c r="K70" s="42"/>
      <c r="L70" s="42"/>
      <c r="M70" s="42"/>
      <c r="N70" s="42"/>
      <c r="O70" s="42"/>
      <c r="P70" s="42"/>
      <c r="Q70" s="42"/>
      <c r="R70" s="43" t="s">
        <v>18</v>
      </c>
      <c r="S70" s="43">
        <f>S64*G68</f>
        <v>3857955</v>
      </c>
      <c r="T70" s="247" t="s">
        <v>73</v>
      </c>
      <c r="V70" s="141" t="s">
        <v>1356</v>
      </c>
      <c r="W70" s="140"/>
      <c r="X70" s="140"/>
      <c r="Y70" s="140"/>
      <c r="Z70" s="140"/>
      <c r="AA70" s="140"/>
      <c r="AB70" s="140"/>
      <c r="AC70" s="140"/>
      <c r="AD70" s="140"/>
      <c r="AE70" s="140"/>
      <c r="AF70" s="140"/>
    </row>
    <row r="71" spans="1:32" ht="15" thickBot="1">
      <c r="V71" s="140"/>
      <c r="W71" s="140"/>
      <c r="X71" s="140"/>
      <c r="Y71" s="140"/>
      <c r="Z71" s="140"/>
      <c r="AA71" s="140"/>
      <c r="AB71" s="140"/>
      <c r="AC71" s="140"/>
      <c r="AD71" s="140"/>
      <c r="AE71" s="140"/>
      <c r="AF71" s="140"/>
    </row>
    <row r="72" spans="1:32" ht="21" thickBot="1">
      <c r="C72" s="44" t="s">
        <v>310</v>
      </c>
      <c r="V72" s="193" t="s">
        <v>863</v>
      </c>
      <c r="W72" s="194" t="s">
        <v>864</v>
      </c>
      <c r="X72" s="194" t="s">
        <v>865</v>
      </c>
      <c r="Y72" s="358" t="s">
        <v>866</v>
      </c>
      <c r="Z72" s="358"/>
      <c r="AA72" s="358"/>
      <c r="AB72" s="358"/>
      <c r="AC72" s="358"/>
      <c r="AD72" s="358"/>
      <c r="AE72" s="358"/>
      <c r="AF72" s="218" t="s">
        <v>867</v>
      </c>
    </row>
    <row r="73" spans="1:32" ht="20.399999999999999">
      <c r="C73" s="44" t="s">
        <v>75</v>
      </c>
      <c r="V73" s="336" t="s">
        <v>868</v>
      </c>
      <c r="W73" s="111" t="s">
        <v>869</v>
      </c>
      <c r="X73" s="111" t="s">
        <v>1357</v>
      </c>
      <c r="Y73" s="345" t="s">
        <v>870</v>
      </c>
      <c r="Z73" s="345"/>
      <c r="AA73" s="345"/>
      <c r="AB73" s="345"/>
      <c r="AC73" s="345"/>
      <c r="AD73" s="345"/>
      <c r="AE73" s="345"/>
      <c r="AF73" s="161" t="s">
        <v>871</v>
      </c>
    </row>
    <row r="74" spans="1:32" ht="21" thickBot="1">
      <c r="C74" s="44" t="s">
        <v>76</v>
      </c>
      <c r="V74" s="342"/>
      <c r="W74" s="133" t="s">
        <v>872</v>
      </c>
      <c r="X74" s="219" t="s">
        <v>457</v>
      </c>
      <c r="Y74" s="346" t="s">
        <v>870</v>
      </c>
      <c r="Z74" s="346"/>
      <c r="AA74" s="346"/>
      <c r="AB74" s="346"/>
      <c r="AC74" s="346"/>
      <c r="AD74" s="346"/>
      <c r="AE74" s="346"/>
      <c r="AF74" s="195" t="s">
        <v>871</v>
      </c>
    </row>
    <row r="75" spans="1:32" ht="21" thickBot="1">
      <c r="C75" s="44" t="s">
        <v>77</v>
      </c>
      <c r="V75" s="196" t="s">
        <v>874</v>
      </c>
      <c r="W75" s="137" t="s">
        <v>875</v>
      </c>
      <c r="X75" s="137" t="s">
        <v>873</v>
      </c>
      <c r="Y75" s="359" t="s">
        <v>870</v>
      </c>
      <c r="Z75" s="359"/>
      <c r="AA75" s="359"/>
      <c r="AB75" s="359"/>
      <c r="AC75" s="359"/>
      <c r="AD75" s="359"/>
      <c r="AE75" s="359"/>
      <c r="AF75" s="197" t="s">
        <v>871</v>
      </c>
    </row>
    <row r="76" spans="1:32" ht="20.399999999999999">
      <c r="C76" s="44" t="s">
        <v>78</v>
      </c>
      <c r="V76" s="336" t="s">
        <v>877</v>
      </c>
      <c r="W76" s="111" t="s">
        <v>846</v>
      </c>
      <c r="X76" s="354">
        <v>156000</v>
      </c>
      <c r="Y76" s="354"/>
      <c r="Z76" s="354"/>
      <c r="AA76" s="354"/>
      <c r="AB76" s="354"/>
      <c r="AC76" s="354"/>
      <c r="AD76" s="354"/>
      <c r="AE76" s="354"/>
      <c r="AF76" s="161"/>
    </row>
    <row r="77" spans="1:32" ht="21" thickBot="1">
      <c r="C77" s="44" t="s">
        <v>79</v>
      </c>
      <c r="V77" s="329"/>
      <c r="W77" s="125" t="s">
        <v>847</v>
      </c>
      <c r="X77" s="355">
        <v>218400</v>
      </c>
      <c r="Y77" s="355"/>
      <c r="Z77" s="355"/>
      <c r="AA77" s="355"/>
      <c r="AB77" s="355"/>
      <c r="AC77" s="355"/>
      <c r="AD77" s="355"/>
      <c r="AE77" s="355"/>
      <c r="AF77" s="208"/>
    </row>
    <row r="78" spans="1:32" ht="20.399999999999999">
      <c r="C78" s="44" t="s">
        <v>80</v>
      </c>
      <c r="V78" s="336" t="s">
        <v>878</v>
      </c>
      <c r="W78" s="343" t="s">
        <v>1358</v>
      </c>
      <c r="X78" s="345" t="s">
        <v>879</v>
      </c>
      <c r="Y78" s="111" t="s">
        <v>880</v>
      </c>
      <c r="Z78" s="111">
        <v>304</v>
      </c>
      <c r="AA78" s="111" t="s">
        <v>881</v>
      </c>
      <c r="AB78" s="111" t="s">
        <v>882</v>
      </c>
      <c r="AC78" s="111" t="s">
        <v>883</v>
      </c>
      <c r="AD78" s="111" t="s">
        <v>884</v>
      </c>
      <c r="AE78" s="111" t="s">
        <v>885</v>
      </c>
      <c r="AF78" s="161"/>
    </row>
    <row r="79" spans="1:32" ht="20.399999999999999">
      <c r="C79" s="45"/>
      <c r="V79" s="337"/>
      <c r="W79" s="356"/>
      <c r="X79" s="357"/>
      <c r="Y79" s="116">
        <v>81830</v>
      </c>
      <c r="Z79" s="116">
        <v>58930</v>
      </c>
      <c r="AA79" s="116">
        <v>111220</v>
      </c>
      <c r="AB79" s="116">
        <v>47790</v>
      </c>
      <c r="AC79" s="116">
        <v>111220</v>
      </c>
      <c r="AD79" s="116">
        <v>145457</v>
      </c>
      <c r="AE79" s="116">
        <v>800800</v>
      </c>
      <c r="AF79" s="214" t="s">
        <v>886</v>
      </c>
    </row>
    <row r="80" spans="1:32" ht="21" thickBot="1">
      <c r="C80" s="44" t="s">
        <v>81</v>
      </c>
      <c r="V80" s="132" t="s">
        <v>887</v>
      </c>
      <c r="W80" s="286" t="s">
        <v>1359</v>
      </c>
      <c r="X80" s="133" t="s">
        <v>888</v>
      </c>
      <c r="Y80" s="134">
        <v>2000</v>
      </c>
      <c r="Z80" s="134">
        <v>1440</v>
      </c>
      <c r="AA80" s="134">
        <v>1350</v>
      </c>
      <c r="AB80" s="134">
        <v>1240</v>
      </c>
      <c r="AC80" s="134">
        <v>3400</v>
      </c>
      <c r="AD80" s="134">
        <v>5256</v>
      </c>
      <c r="AE80" s="134">
        <v>22000</v>
      </c>
      <c r="AF80" s="195" t="s">
        <v>889</v>
      </c>
    </row>
    <row r="81" spans="3:32" ht="20.399999999999999">
      <c r="C81" s="46" t="s">
        <v>82</v>
      </c>
      <c r="V81" s="331" t="s">
        <v>890</v>
      </c>
      <c r="W81" s="352" t="s">
        <v>1360</v>
      </c>
      <c r="X81" s="328" t="s">
        <v>879</v>
      </c>
      <c r="Y81" s="198">
        <v>304</v>
      </c>
      <c r="Z81" s="198" t="s">
        <v>880</v>
      </c>
      <c r="AA81" s="198" t="s">
        <v>892</v>
      </c>
      <c r="AB81" s="199"/>
      <c r="AC81" s="199"/>
      <c r="AD81" s="199"/>
      <c r="AE81" s="199"/>
      <c r="AF81" s="206"/>
    </row>
    <row r="82" spans="3:32" ht="21" thickBot="1">
      <c r="C82" s="46" t="s">
        <v>387</v>
      </c>
      <c r="V82" s="329"/>
      <c r="W82" s="353"/>
      <c r="X82" s="327"/>
      <c r="Y82" s="126">
        <v>30000</v>
      </c>
      <c r="Z82" s="126">
        <v>38000</v>
      </c>
      <c r="AA82" s="126">
        <v>42000</v>
      </c>
      <c r="AB82" s="200"/>
      <c r="AC82" s="200"/>
      <c r="AD82" s="200"/>
      <c r="AE82" s="200"/>
      <c r="AF82" s="208"/>
    </row>
    <row r="83" spans="3:32" ht="20.399999999999999">
      <c r="C83" s="46" t="s">
        <v>84</v>
      </c>
      <c r="V83" s="336" t="s">
        <v>893</v>
      </c>
      <c r="W83" s="343" t="s">
        <v>1361</v>
      </c>
      <c r="X83" s="345" t="s">
        <v>879</v>
      </c>
      <c r="Y83" s="111" t="s">
        <v>895</v>
      </c>
      <c r="Z83" s="111" t="s">
        <v>896</v>
      </c>
      <c r="AA83" s="201"/>
      <c r="AB83" s="201"/>
      <c r="AC83" s="201"/>
      <c r="AD83" s="201"/>
      <c r="AE83" s="201"/>
      <c r="AF83" s="161"/>
    </row>
    <row r="84" spans="3:32" ht="21" thickBot="1">
      <c r="C84" s="46" t="s">
        <v>85</v>
      </c>
      <c r="V84" s="342"/>
      <c r="W84" s="344"/>
      <c r="X84" s="346"/>
      <c r="Y84" s="296">
        <v>27200</v>
      </c>
      <c r="Z84" s="296">
        <v>41000</v>
      </c>
      <c r="AA84" s="203"/>
      <c r="AB84" s="203"/>
      <c r="AC84" s="203"/>
      <c r="AD84" s="203"/>
      <c r="AE84" s="203"/>
      <c r="AF84" s="195" t="s">
        <v>958</v>
      </c>
    </row>
    <row r="85" spans="3:32" ht="20.399999999999999">
      <c r="C85" s="46" t="s">
        <v>86</v>
      </c>
      <c r="V85" s="331" t="s">
        <v>898</v>
      </c>
      <c r="W85" s="287" t="s">
        <v>1362</v>
      </c>
      <c r="X85" s="198" t="s">
        <v>900</v>
      </c>
      <c r="Y85" s="113">
        <v>9000</v>
      </c>
      <c r="Z85" s="205"/>
      <c r="AA85" s="205"/>
      <c r="AB85" s="205"/>
      <c r="AC85" s="205"/>
      <c r="AD85" s="205"/>
      <c r="AE85" s="205"/>
      <c r="AF85" s="350" t="s">
        <v>901</v>
      </c>
    </row>
    <row r="86" spans="3:32" ht="21" thickBot="1">
      <c r="C86" s="46" t="s">
        <v>87</v>
      </c>
      <c r="V86" s="329"/>
      <c r="W86" s="288" t="s">
        <v>1363</v>
      </c>
      <c r="X86" s="125" t="s">
        <v>463</v>
      </c>
      <c r="Y86" s="126">
        <v>8000</v>
      </c>
      <c r="Z86" s="200"/>
      <c r="AA86" s="200"/>
      <c r="AB86" s="200"/>
      <c r="AC86" s="200"/>
      <c r="AD86" s="200"/>
      <c r="AE86" s="200"/>
      <c r="AF86" s="351"/>
    </row>
    <row r="87" spans="3:32" ht="21" thickBot="1">
      <c r="C87" s="46" t="s">
        <v>88</v>
      </c>
      <c r="V87" s="193" t="s">
        <v>904</v>
      </c>
      <c r="W87" s="289" t="s">
        <v>1364</v>
      </c>
      <c r="X87" s="194" t="s">
        <v>463</v>
      </c>
      <c r="Y87" s="210">
        <v>2670</v>
      </c>
      <c r="Z87" s="211"/>
      <c r="AA87" s="211"/>
      <c r="AB87" s="211"/>
      <c r="AC87" s="211"/>
      <c r="AD87" s="211"/>
      <c r="AE87" s="211"/>
      <c r="AF87" s="218"/>
    </row>
    <row r="88" spans="3:32" ht="20.399999999999999">
      <c r="C88" s="47" t="s">
        <v>89</v>
      </c>
      <c r="V88" s="336" t="s">
        <v>906</v>
      </c>
      <c r="W88" s="345"/>
      <c r="X88" s="345"/>
      <c r="Y88" s="111" t="s">
        <v>853</v>
      </c>
      <c r="Z88" s="111" t="s">
        <v>462</v>
      </c>
      <c r="AA88" s="111" t="s">
        <v>855</v>
      </c>
      <c r="AB88" s="201"/>
      <c r="AC88" s="201"/>
      <c r="AD88" s="201"/>
      <c r="AE88" s="201"/>
      <c r="AF88" s="161"/>
    </row>
    <row r="89" spans="3:32" ht="20.399999999999999">
      <c r="C89" s="48"/>
      <c r="V89" s="119" t="s">
        <v>907</v>
      </c>
      <c r="W89" s="290" t="s">
        <v>1080</v>
      </c>
      <c r="X89" s="115" t="s">
        <v>1081</v>
      </c>
      <c r="Y89" s="116">
        <v>2000</v>
      </c>
      <c r="Z89" s="116">
        <v>2500</v>
      </c>
      <c r="AA89" s="116">
        <v>1500</v>
      </c>
      <c r="AB89" s="213"/>
      <c r="AC89" s="213"/>
      <c r="AD89" s="213"/>
      <c r="AE89" s="213"/>
      <c r="AF89" s="214" t="s">
        <v>910</v>
      </c>
    </row>
    <row r="90" spans="3:32" ht="20.399999999999999">
      <c r="C90" s="46" t="s">
        <v>38</v>
      </c>
      <c r="V90" s="119" t="s">
        <v>911</v>
      </c>
      <c r="W90" s="290" t="s">
        <v>997</v>
      </c>
      <c r="X90" s="115" t="s">
        <v>909</v>
      </c>
      <c r="Y90" s="116">
        <v>7000</v>
      </c>
      <c r="Z90" s="116">
        <v>7800</v>
      </c>
      <c r="AA90" s="116">
        <v>4300</v>
      </c>
      <c r="AB90" s="213"/>
      <c r="AC90" s="213"/>
      <c r="AD90" s="213"/>
      <c r="AE90" s="213"/>
      <c r="AF90" s="214" t="s">
        <v>910</v>
      </c>
    </row>
    <row r="91" spans="3:32" ht="20.399999999999999">
      <c r="C91" s="44" t="s">
        <v>90</v>
      </c>
      <c r="V91" s="119" t="s">
        <v>913</v>
      </c>
      <c r="W91" s="290" t="s">
        <v>1365</v>
      </c>
      <c r="X91" s="115" t="s">
        <v>909</v>
      </c>
      <c r="Y91" s="116">
        <v>300</v>
      </c>
      <c r="Z91" s="116">
        <v>500</v>
      </c>
      <c r="AA91" s="116">
        <v>300</v>
      </c>
      <c r="AB91" s="213"/>
      <c r="AC91" s="213"/>
      <c r="AD91" s="213"/>
      <c r="AE91" s="213"/>
      <c r="AF91" s="214" t="s">
        <v>910</v>
      </c>
    </row>
    <row r="92" spans="3:32" ht="20.399999999999999">
      <c r="C92" s="46" t="s">
        <v>91</v>
      </c>
      <c r="V92" s="119" t="s">
        <v>913</v>
      </c>
      <c r="W92" s="290" t="s">
        <v>1366</v>
      </c>
      <c r="X92" s="115" t="s">
        <v>978</v>
      </c>
      <c r="Y92" s="116">
        <v>300</v>
      </c>
      <c r="Z92" s="116">
        <v>500</v>
      </c>
      <c r="AA92" s="116">
        <v>300</v>
      </c>
      <c r="AB92" s="213"/>
      <c r="AC92" s="213"/>
      <c r="AD92" s="213"/>
      <c r="AE92" s="213"/>
      <c r="AF92" s="214" t="s">
        <v>910</v>
      </c>
    </row>
    <row r="93" spans="3:32" ht="20.399999999999999">
      <c r="C93" s="46" t="s">
        <v>92</v>
      </c>
      <c r="V93" s="119" t="s">
        <v>916</v>
      </c>
      <c r="W93" s="290" t="s">
        <v>1367</v>
      </c>
      <c r="X93" s="115" t="s">
        <v>915</v>
      </c>
      <c r="Y93" s="116">
        <v>2500</v>
      </c>
      <c r="Z93" s="116">
        <v>3500</v>
      </c>
      <c r="AA93" s="116">
        <v>1500</v>
      </c>
      <c r="AB93" s="213"/>
      <c r="AC93" s="213"/>
      <c r="AD93" s="213"/>
      <c r="AE93" s="213"/>
      <c r="AF93" s="214" t="s">
        <v>910</v>
      </c>
    </row>
    <row r="94" spans="3:32" ht="18" thickBot="1">
      <c r="V94" s="170" t="s">
        <v>918</v>
      </c>
      <c r="W94" s="288" t="s">
        <v>1001</v>
      </c>
      <c r="X94" s="125" t="s">
        <v>915</v>
      </c>
      <c r="Y94" s="126">
        <v>1500</v>
      </c>
      <c r="Z94" s="126">
        <v>2000</v>
      </c>
      <c r="AA94" s="126">
        <v>1500</v>
      </c>
      <c r="AB94" s="200"/>
      <c r="AC94" s="200"/>
      <c r="AD94" s="200"/>
      <c r="AE94" s="200"/>
      <c r="AF94" s="208" t="s">
        <v>910</v>
      </c>
    </row>
    <row r="95" spans="3:32" ht="18" thickBot="1">
      <c r="V95" s="105" t="s">
        <v>920</v>
      </c>
      <c r="W95" s="291" t="s">
        <v>1368</v>
      </c>
      <c r="X95" s="103" t="s">
        <v>879</v>
      </c>
      <c r="Y95" s="216">
        <v>24000</v>
      </c>
      <c r="Z95" s="217"/>
      <c r="AA95" s="217"/>
      <c r="AB95" s="217"/>
      <c r="AC95" s="217"/>
      <c r="AD95" s="217"/>
      <c r="AE95" s="217"/>
      <c r="AF95" s="107"/>
    </row>
    <row r="96" spans="3:32" s="228" customFormat="1" ht="14.4">
      <c r="C96" s="227"/>
      <c r="V96" s="336" t="s">
        <v>922</v>
      </c>
      <c r="W96" s="345"/>
      <c r="X96" s="345"/>
      <c r="Y96" s="111" t="s">
        <v>923</v>
      </c>
      <c r="Z96" s="111" t="s">
        <v>924</v>
      </c>
      <c r="AA96" s="201"/>
      <c r="AB96" s="201"/>
      <c r="AC96" s="201"/>
      <c r="AD96" s="201"/>
      <c r="AE96" s="201"/>
      <c r="AF96" s="161"/>
    </row>
    <row r="97" spans="3:32" s="228" customFormat="1" ht="17.399999999999999">
      <c r="C97" s="227"/>
      <c r="V97" s="329" t="s">
        <v>925</v>
      </c>
      <c r="W97" s="290" t="s">
        <v>1369</v>
      </c>
      <c r="X97" s="115" t="s">
        <v>888</v>
      </c>
      <c r="Y97" s="116">
        <v>81200</v>
      </c>
      <c r="Z97" s="116">
        <v>61200</v>
      </c>
      <c r="AA97" s="213"/>
      <c r="AB97" s="213"/>
      <c r="AC97" s="213"/>
      <c r="AD97" s="213"/>
      <c r="AE97" s="213"/>
      <c r="AF97" s="214" t="s">
        <v>889</v>
      </c>
    </row>
    <row r="98" spans="3:32" ht="17.399999999999999">
      <c r="V98" s="331"/>
      <c r="W98" s="290" t="s">
        <v>1370</v>
      </c>
      <c r="X98" s="115" t="s">
        <v>879</v>
      </c>
      <c r="Y98" s="116">
        <v>25600</v>
      </c>
      <c r="Z98" s="116">
        <v>16600</v>
      </c>
      <c r="AA98" s="213"/>
      <c r="AB98" s="213"/>
      <c r="AC98" s="213"/>
      <c r="AD98" s="213"/>
      <c r="AE98" s="213"/>
      <c r="AF98" s="214" t="s">
        <v>889</v>
      </c>
    </row>
    <row r="99" spans="3:32" ht="17.399999999999999">
      <c r="V99" s="329" t="s">
        <v>926</v>
      </c>
      <c r="W99" s="290" t="s">
        <v>1369</v>
      </c>
      <c r="X99" s="115" t="s">
        <v>879</v>
      </c>
      <c r="Y99" s="116">
        <v>40600</v>
      </c>
      <c r="Z99" s="116">
        <v>30600</v>
      </c>
      <c r="AA99" s="213"/>
      <c r="AB99" s="213"/>
      <c r="AC99" s="213"/>
      <c r="AD99" s="213"/>
      <c r="AE99" s="213"/>
      <c r="AF99" s="214" t="s">
        <v>889</v>
      </c>
    </row>
    <row r="100" spans="3:32" ht="17.399999999999999">
      <c r="V100" s="331"/>
      <c r="W100" s="290" t="s">
        <v>1371</v>
      </c>
      <c r="X100" s="115" t="s">
        <v>879</v>
      </c>
      <c r="Y100" s="116">
        <v>38800</v>
      </c>
      <c r="Z100" s="116">
        <v>29600</v>
      </c>
      <c r="AA100" s="213"/>
      <c r="AB100" s="213"/>
      <c r="AC100" s="213"/>
      <c r="AD100" s="213"/>
      <c r="AE100" s="213"/>
      <c r="AF100" s="214" t="s">
        <v>889</v>
      </c>
    </row>
    <row r="101" spans="3:32" ht="17.399999999999999">
      <c r="V101" s="119" t="s">
        <v>927</v>
      </c>
      <c r="W101" s="290" t="s">
        <v>1024</v>
      </c>
      <c r="X101" s="115" t="s">
        <v>879</v>
      </c>
      <c r="Y101" s="116">
        <v>45700</v>
      </c>
      <c r="Z101" s="116">
        <v>88600</v>
      </c>
      <c r="AA101" s="213"/>
      <c r="AB101" s="213"/>
      <c r="AC101" s="213"/>
      <c r="AD101" s="213"/>
      <c r="AE101" s="213"/>
      <c r="AF101" s="214" t="s">
        <v>889</v>
      </c>
    </row>
    <row r="102" spans="3:32" ht="17.399999999999999">
      <c r="V102" s="119" t="s">
        <v>929</v>
      </c>
      <c r="W102" s="290" t="s">
        <v>1025</v>
      </c>
      <c r="X102" s="115" t="s">
        <v>879</v>
      </c>
      <c r="Y102" s="116">
        <v>9700</v>
      </c>
      <c r="Z102" s="116">
        <v>8900</v>
      </c>
      <c r="AA102" s="213"/>
      <c r="AB102" s="213"/>
      <c r="AC102" s="213"/>
      <c r="AD102" s="213"/>
      <c r="AE102" s="213"/>
      <c r="AF102" s="214" t="s">
        <v>889</v>
      </c>
    </row>
    <row r="103" spans="3:32" ht="17.399999999999999">
      <c r="V103" s="119" t="s">
        <v>931</v>
      </c>
      <c r="W103" s="290" t="s">
        <v>1372</v>
      </c>
      <c r="X103" s="115" t="s">
        <v>879</v>
      </c>
      <c r="Y103" s="116">
        <v>12700</v>
      </c>
      <c r="Z103" s="116">
        <v>12200</v>
      </c>
      <c r="AA103" s="213"/>
      <c r="AB103" s="213"/>
      <c r="AC103" s="213"/>
      <c r="AD103" s="213"/>
      <c r="AE103" s="213"/>
      <c r="AF103" s="214" t="s">
        <v>889</v>
      </c>
    </row>
    <row r="104" spans="3:32" ht="17.399999999999999">
      <c r="V104" s="119" t="s">
        <v>933</v>
      </c>
      <c r="W104" s="290" t="s">
        <v>1373</v>
      </c>
      <c r="X104" s="115" t="s">
        <v>888</v>
      </c>
      <c r="Y104" s="116">
        <v>21400</v>
      </c>
      <c r="Z104" s="116">
        <v>20400</v>
      </c>
      <c r="AA104" s="213"/>
      <c r="AB104" s="213"/>
      <c r="AC104" s="213"/>
      <c r="AD104" s="213"/>
      <c r="AE104" s="213"/>
      <c r="AF104" s="214" t="s">
        <v>889</v>
      </c>
    </row>
    <row r="105" spans="3:32" ht="14.4" customHeight="1" thickBot="1">
      <c r="V105" s="132" t="s">
        <v>935</v>
      </c>
      <c r="W105" s="286" t="s">
        <v>1028</v>
      </c>
      <c r="X105" s="133" t="s">
        <v>888</v>
      </c>
      <c r="Y105" s="134">
        <v>3430</v>
      </c>
      <c r="Z105" s="134">
        <v>12800</v>
      </c>
      <c r="AA105" s="203"/>
      <c r="AB105" s="203"/>
      <c r="AC105" s="203"/>
      <c r="AD105" s="203"/>
      <c r="AE105" s="203"/>
      <c r="AF105" s="195" t="s">
        <v>889</v>
      </c>
    </row>
    <row r="106" spans="3:32" ht="15" customHeight="1">
      <c r="V106" s="331" t="s">
        <v>937</v>
      </c>
      <c r="W106" s="352" t="s">
        <v>1029</v>
      </c>
      <c r="X106" s="328" t="s">
        <v>879</v>
      </c>
      <c r="Y106" s="198" t="s">
        <v>741</v>
      </c>
      <c r="Z106" s="198">
        <v>316</v>
      </c>
      <c r="AA106" s="198">
        <v>304</v>
      </c>
      <c r="AB106" s="199"/>
      <c r="AC106" s="199"/>
      <c r="AD106" s="199"/>
      <c r="AE106" s="199"/>
      <c r="AF106" s="347" t="s">
        <v>940</v>
      </c>
    </row>
    <row r="107" spans="3:32" ht="14.4" customHeight="1" thickBot="1">
      <c r="V107" s="329"/>
      <c r="W107" s="353"/>
      <c r="X107" s="327"/>
      <c r="Y107" s="126">
        <v>7370</v>
      </c>
      <c r="Z107" s="126">
        <v>26500</v>
      </c>
      <c r="AA107" s="126">
        <v>20805</v>
      </c>
      <c r="AB107" s="200"/>
      <c r="AC107" s="200"/>
      <c r="AD107" s="200"/>
      <c r="AE107" s="200"/>
      <c r="AF107" s="348"/>
    </row>
    <row r="108" spans="3:32" ht="15" customHeight="1">
      <c r="V108" s="336" t="s">
        <v>985</v>
      </c>
      <c r="W108" s="343" t="s">
        <v>1374</v>
      </c>
      <c r="X108" s="111" t="s">
        <v>986</v>
      </c>
      <c r="Y108" s="111" t="s">
        <v>466</v>
      </c>
      <c r="Z108" s="111" t="s">
        <v>988</v>
      </c>
      <c r="AA108" s="111" t="s">
        <v>989</v>
      </c>
      <c r="AB108" s="111" t="s">
        <v>990</v>
      </c>
      <c r="AC108" s="201"/>
      <c r="AD108" s="201"/>
      <c r="AE108" s="201"/>
      <c r="AF108" s="347" t="s">
        <v>991</v>
      </c>
    </row>
    <row r="109" spans="3:32" ht="15" thickBot="1">
      <c r="V109" s="342"/>
      <c r="W109" s="344"/>
      <c r="X109" s="221">
        <v>19</v>
      </c>
      <c r="Y109" s="433" t="s">
        <v>870</v>
      </c>
      <c r="Z109" s="434"/>
      <c r="AA109" s="134">
        <v>32400</v>
      </c>
      <c r="AB109" s="134">
        <v>50000</v>
      </c>
      <c r="AC109" s="203"/>
      <c r="AD109" s="203"/>
      <c r="AE109" s="203"/>
      <c r="AF109" s="348"/>
    </row>
    <row r="114" spans="22:32" ht="13.8" thickBot="1"/>
    <row r="115" spans="22:32" ht="30" customHeight="1">
      <c r="V115" s="336" t="s">
        <v>1516</v>
      </c>
      <c r="W115" s="338"/>
      <c r="X115" s="340"/>
      <c r="Y115" s="171" t="s">
        <v>1517</v>
      </c>
      <c r="Z115" s="171" t="s">
        <v>1518</v>
      </c>
      <c r="AA115" s="171" t="s">
        <v>1519</v>
      </c>
      <c r="AB115" s="171"/>
      <c r="AC115" s="171"/>
      <c r="AD115" s="171"/>
      <c r="AE115" s="171"/>
      <c r="AF115" s="172"/>
    </row>
    <row r="116" spans="22:32" ht="30" customHeight="1" thickBot="1">
      <c r="V116" s="337"/>
      <c r="W116" s="339"/>
      <c r="X116" s="341"/>
      <c r="Y116" s="173">
        <v>100000</v>
      </c>
      <c r="Z116" s="173">
        <f>IF(F8&gt;0,E8*520,IF(F9&gt;0,E9*520))</f>
        <v>78000</v>
      </c>
      <c r="AA116" s="173">
        <f>IF(F8&gt;0,E8*620,IF(F9&gt;0,E9*620))</f>
        <v>93000</v>
      </c>
      <c r="AB116" s="173"/>
      <c r="AC116" s="173"/>
      <c r="AD116" s="173"/>
      <c r="AE116" s="173"/>
      <c r="AF116" s="174"/>
    </row>
    <row r="117" spans="22:32" ht="30" customHeight="1">
      <c r="V117" s="336" t="s">
        <v>1520</v>
      </c>
      <c r="W117" s="338"/>
      <c r="X117" s="340"/>
      <c r="Y117" s="171" t="s">
        <v>1517</v>
      </c>
      <c r="Z117" s="171" t="s">
        <v>1521</v>
      </c>
      <c r="AA117" s="171"/>
      <c r="AB117" s="171"/>
      <c r="AC117" s="171"/>
      <c r="AD117" s="171"/>
      <c r="AE117" s="171"/>
      <c r="AF117" s="172"/>
    </row>
    <row r="118" spans="22:32" ht="30" customHeight="1" thickBot="1">
      <c r="V118" s="337"/>
      <c r="W118" s="339"/>
      <c r="X118" s="341"/>
      <c r="Y118" s="173">
        <v>125000</v>
      </c>
      <c r="Z118" s="173">
        <f>Y118</f>
        <v>125000</v>
      </c>
      <c r="AA118" s="173"/>
      <c r="AB118" s="173"/>
      <c r="AC118" s="173"/>
      <c r="AD118" s="173"/>
      <c r="AE118" s="173"/>
      <c r="AF118" s="174"/>
    </row>
    <row r="119" spans="22:32" ht="30" customHeight="1">
      <c r="V119" s="336" t="s">
        <v>1522</v>
      </c>
      <c r="W119" s="338"/>
      <c r="X119" s="340"/>
      <c r="Y119" s="171" t="s">
        <v>1523</v>
      </c>
      <c r="Z119" s="171" t="s">
        <v>1524</v>
      </c>
      <c r="AA119" s="171" t="s">
        <v>1525</v>
      </c>
      <c r="AB119" s="171"/>
      <c r="AC119" s="171"/>
      <c r="AD119" s="171"/>
      <c r="AE119" s="171"/>
      <c r="AF119" s="172"/>
    </row>
    <row r="120" spans="22:32" ht="30" customHeight="1">
      <c r="V120" s="337"/>
      <c r="W120" s="339"/>
      <c r="X120" s="341"/>
      <c r="Y120" s="306">
        <v>85000</v>
      </c>
      <c r="Z120" s="173">
        <v>180000</v>
      </c>
      <c r="AA120" s="173">
        <v>260000</v>
      </c>
      <c r="AB120" s="173"/>
      <c r="AC120" s="173"/>
      <c r="AD120" s="173"/>
      <c r="AE120" s="173"/>
      <c r="AF120" s="174"/>
    </row>
  </sheetData>
  <mergeCells count="69">
    <mergeCell ref="A1:S1"/>
    <mergeCell ref="A3:B4"/>
    <mergeCell ref="C3:C4"/>
    <mergeCell ref="D3:D4"/>
    <mergeCell ref="E3:E4"/>
    <mergeCell ref="F3:F4"/>
    <mergeCell ref="G3:G4"/>
    <mergeCell ref="H3:Q4"/>
    <mergeCell ref="R3:R4"/>
    <mergeCell ref="S3:S4"/>
    <mergeCell ref="T3:T7"/>
    <mergeCell ref="A5:B7"/>
    <mergeCell ref="C5:C7"/>
    <mergeCell ref="D5:D7"/>
    <mergeCell ref="E5:G6"/>
    <mergeCell ref="H5:H6"/>
    <mergeCell ref="I5:Q5"/>
    <mergeCell ref="R5:R7"/>
    <mergeCell ref="S5:S7"/>
    <mergeCell ref="A67:F67"/>
    <mergeCell ref="A68:F68"/>
    <mergeCell ref="A69:G70"/>
    <mergeCell ref="A8:A61"/>
    <mergeCell ref="A62:F62"/>
    <mergeCell ref="A63:F63"/>
    <mergeCell ref="A64:F64"/>
    <mergeCell ref="A65:F65"/>
    <mergeCell ref="A66:F66"/>
    <mergeCell ref="AF106:AF107"/>
    <mergeCell ref="V108:V109"/>
    <mergeCell ref="W108:W109"/>
    <mergeCell ref="X78:X79"/>
    <mergeCell ref="Y72:AE72"/>
    <mergeCell ref="V73:V74"/>
    <mergeCell ref="Y73:AE73"/>
    <mergeCell ref="Y74:AE74"/>
    <mergeCell ref="Y75:AE75"/>
    <mergeCell ref="V88:X88"/>
    <mergeCell ref="V96:X96"/>
    <mergeCell ref="V97:V98"/>
    <mergeCell ref="V99:V100"/>
    <mergeCell ref="V106:V107"/>
    <mergeCell ref="W106:W107"/>
    <mergeCell ref="X106:X107"/>
    <mergeCell ref="AF108:AF109"/>
    <mergeCell ref="Y109:Z109"/>
    <mergeCell ref="V3:V7"/>
    <mergeCell ref="V81:V82"/>
    <mergeCell ref="W81:W82"/>
    <mergeCell ref="X81:X82"/>
    <mergeCell ref="V83:V84"/>
    <mergeCell ref="W83:W84"/>
    <mergeCell ref="X83:X84"/>
    <mergeCell ref="V76:V77"/>
    <mergeCell ref="X76:AE76"/>
    <mergeCell ref="X77:AE77"/>
    <mergeCell ref="V78:V79"/>
    <mergeCell ref="W78:W79"/>
    <mergeCell ref="V85:V86"/>
    <mergeCell ref="AF85:AF86"/>
    <mergeCell ref="V119:V120"/>
    <mergeCell ref="W119:W120"/>
    <mergeCell ref="X119:X120"/>
    <mergeCell ref="V115:V116"/>
    <mergeCell ref="W115:W116"/>
    <mergeCell ref="X115:X116"/>
    <mergeCell ref="V117:V118"/>
    <mergeCell ref="W117:W118"/>
    <mergeCell ref="X117:X118"/>
  </mergeCells>
  <phoneticPr fontId="3" type="noConversion"/>
  <printOptions horizontalCentered="1"/>
  <pageMargins left="0.39370078740157483" right="0.39370078740157483" top="0.39370078740157483" bottom="0.15748031496062992" header="0.51181102362204722" footer="0.51181102362204722"/>
  <pageSetup paperSize="9" scale="45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A1:AF120"/>
  <sheetViews>
    <sheetView showGridLines="0" view="pageBreakPreview" zoomScale="70" zoomScaleNormal="55" zoomScaleSheetLayoutView="70" workbookViewId="0">
      <pane xSplit="7" ySplit="7" topLeftCell="H8" activePane="bottomRight" state="frozen"/>
      <selection activeCell="Y116" sqref="Y116"/>
      <selection pane="topRight" activeCell="Y116" sqref="Y116"/>
      <selection pane="bottomLeft" activeCell="Y116" sqref="Y116"/>
      <selection pane="bottomRight" activeCell="Y116" sqref="Y116"/>
    </sheetView>
  </sheetViews>
  <sheetFormatPr defaultColWidth="8.8984375" defaultRowHeight="13.2"/>
  <cols>
    <col min="1" max="1" width="3.3984375" style="3" customWidth="1"/>
    <col min="2" max="2" width="9.5" style="3" customWidth="1"/>
    <col min="3" max="3" width="25.19921875" style="49" customWidth="1"/>
    <col min="4" max="5" width="13.09765625" style="3" customWidth="1"/>
    <col min="6" max="7" width="15.09765625" style="3" customWidth="1"/>
    <col min="8" max="8" width="15.09765625" style="3" hidden="1" customWidth="1"/>
    <col min="9" max="17" width="15.69921875" style="3" hidden="1" customWidth="1"/>
    <col min="18" max="18" width="15.69921875" style="3" customWidth="1"/>
    <col min="19" max="19" width="26.8984375" style="3" customWidth="1"/>
    <col min="20" max="20" width="30.09765625" style="3" customWidth="1"/>
    <col min="21" max="21" width="12.19921875" style="3" bestFit="1" customWidth="1"/>
    <col min="22" max="22" width="48.3984375" style="3" bestFit="1" customWidth="1"/>
    <col min="23" max="23" width="44.19921875" style="3" bestFit="1" customWidth="1"/>
    <col min="24" max="24" width="10.09765625" style="3" bestFit="1" customWidth="1"/>
    <col min="25" max="25" width="11.5" style="3" bestFit="1" customWidth="1"/>
    <col min="26" max="26" width="12.5" style="3" bestFit="1" customWidth="1"/>
    <col min="27" max="27" width="12.09765625" style="3" bestFit="1" customWidth="1"/>
    <col min="28" max="28" width="13.09765625" style="3" bestFit="1" customWidth="1"/>
    <col min="29" max="30" width="7.59765625" style="3" bestFit="1" customWidth="1"/>
    <col min="31" max="31" width="13.3984375" style="3" bestFit="1" customWidth="1"/>
    <col min="32" max="32" width="19" style="3" bestFit="1" customWidth="1"/>
    <col min="33" max="16384" width="8.8984375" style="3"/>
  </cols>
  <sheetData>
    <row r="1" spans="1:31" s="2" customFormat="1" ht="51" customHeight="1" thickBot="1">
      <c r="A1" s="411" t="s">
        <v>1312</v>
      </c>
      <c r="B1" s="412"/>
      <c r="C1" s="412"/>
      <c r="D1" s="412"/>
      <c r="E1" s="412"/>
      <c r="F1" s="412"/>
      <c r="G1" s="412"/>
      <c r="H1" s="412"/>
      <c r="I1" s="412"/>
      <c r="J1" s="412"/>
      <c r="K1" s="412"/>
      <c r="L1" s="412"/>
      <c r="M1" s="412"/>
      <c r="N1" s="412"/>
      <c r="O1" s="412"/>
      <c r="P1" s="412"/>
      <c r="Q1" s="412"/>
      <c r="R1" s="412"/>
      <c r="S1" s="412"/>
      <c r="T1" s="1"/>
    </row>
    <row r="2" spans="1:31" s="2" customFormat="1" ht="30" customHeight="1" thickBot="1">
      <c r="A2" s="3"/>
      <c r="B2" s="3"/>
      <c r="T2" s="4" t="s">
        <v>0</v>
      </c>
    </row>
    <row r="3" spans="1:31" s="5" customFormat="1" ht="24" customHeight="1">
      <c r="A3" s="413" t="s">
        <v>1</v>
      </c>
      <c r="B3" s="414"/>
      <c r="C3" s="417" t="s">
        <v>672</v>
      </c>
      <c r="D3" s="419" t="s">
        <v>3</v>
      </c>
      <c r="E3" s="421" t="s">
        <v>1313</v>
      </c>
      <c r="F3" s="423" t="s">
        <v>4</v>
      </c>
      <c r="G3" s="425" t="str">
        <f>COVER!B9</f>
        <v>FLANGE</v>
      </c>
      <c r="H3" s="421" t="s">
        <v>5</v>
      </c>
      <c r="I3" s="427"/>
      <c r="J3" s="427"/>
      <c r="K3" s="427"/>
      <c r="L3" s="427"/>
      <c r="M3" s="427"/>
      <c r="N3" s="427"/>
      <c r="O3" s="427"/>
      <c r="P3" s="427"/>
      <c r="Q3" s="428"/>
      <c r="R3" s="423" t="s">
        <v>6</v>
      </c>
      <c r="S3" s="431" t="s">
        <v>673</v>
      </c>
      <c r="T3" s="381" t="s">
        <v>8</v>
      </c>
      <c r="V3" s="432"/>
    </row>
    <row r="4" spans="1:31" s="5" customFormat="1" ht="24" customHeight="1">
      <c r="A4" s="415"/>
      <c r="B4" s="416"/>
      <c r="C4" s="418"/>
      <c r="D4" s="420"/>
      <c r="E4" s="422"/>
      <c r="F4" s="424"/>
      <c r="G4" s="426"/>
      <c r="H4" s="422"/>
      <c r="I4" s="429"/>
      <c r="J4" s="429"/>
      <c r="K4" s="429"/>
      <c r="L4" s="429"/>
      <c r="M4" s="429"/>
      <c r="N4" s="429"/>
      <c r="O4" s="429"/>
      <c r="P4" s="429"/>
      <c r="Q4" s="430"/>
      <c r="R4" s="424"/>
      <c r="S4" s="410"/>
      <c r="T4" s="382"/>
      <c r="V4" s="432"/>
      <c r="W4" s="6"/>
      <c r="X4" s="6"/>
      <c r="Y4" s="7"/>
      <c r="Z4" s="7"/>
      <c r="AA4" s="7"/>
      <c r="AB4" s="7"/>
      <c r="AC4" s="7"/>
      <c r="AD4" s="7"/>
      <c r="AE4" s="7"/>
    </row>
    <row r="5" spans="1:31" s="5" customFormat="1" ht="24" customHeight="1">
      <c r="A5" s="384" t="s">
        <v>674</v>
      </c>
      <c r="B5" s="385"/>
      <c r="C5" s="390" t="s">
        <v>10</v>
      </c>
      <c r="D5" s="393" t="s">
        <v>11</v>
      </c>
      <c r="E5" s="396" t="s">
        <v>675</v>
      </c>
      <c r="F5" s="397"/>
      <c r="G5" s="398"/>
      <c r="H5" s="402" t="s">
        <v>13</v>
      </c>
      <c r="I5" s="404" t="s">
        <v>14</v>
      </c>
      <c r="J5" s="405"/>
      <c r="K5" s="405"/>
      <c r="L5" s="405"/>
      <c r="M5" s="405"/>
      <c r="N5" s="405"/>
      <c r="O5" s="405"/>
      <c r="P5" s="405"/>
      <c r="Q5" s="405"/>
      <c r="R5" s="406" t="s">
        <v>676</v>
      </c>
      <c r="S5" s="408" t="s">
        <v>677</v>
      </c>
      <c r="T5" s="382"/>
      <c r="V5" s="432"/>
      <c r="W5" s="7"/>
      <c r="X5" s="7"/>
      <c r="Y5" s="7"/>
      <c r="Z5" s="7"/>
      <c r="AA5" s="7"/>
      <c r="AB5" s="7"/>
      <c r="AC5" s="7"/>
      <c r="AD5" s="7"/>
      <c r="AE5" s="7"/>
    </row>
    <row r="6" spans="1:31" s="5" customFormat="1" ht="24" customHeight="1">
      <c r="A6" s="386"/>
      <c r="B6" s="387"/>
      <c r="C6" s="391"/>
      <c r="D6" s="394"/>
      <c r="E6" s="399"/>
      <c r="F6" s="400"/>
      <c r="G6" s="401"/>
      <c r="H6" s="403"/>
      <c r="I6" s="8" t="s">
        <v>17</v>
      </c>
      <c r="J6" s="8" t="s">
        <v>18</v>
      </c>
      <c r="K6" s="8" t="s">
        <v>678</v>
      </c>
      <c r="L6" s="9" t="s">
        <v>20</v>
      </c>
      <c r="M6" s="9" t="s">
        <v>21</v>
      </c>
      <c r="N6" s="8" t="s">
        <v>22</v>
      </c>
      <c r="O6" s="8" t="s">
        <v>23</v>
      </c>
      <c r="P6" s="8" t="s">
        <v>24</v>
      </c>
      <c r="Q6" s="10" t="s">
        <v>25</v>
      </c>
      <c r="R6" s="407"/>
      <c r="S6" s="409"/>
      <c r="T6" s="382"/>
      <c r="V6" s="432"/>
      <c r="W6" s="6"/>
      <c r="X6" s="6"/>
      <c r="Y6" s="7"/>
      <c r="Z6" s="7"/>
      <c r="AA6" s="7"/>
      <c r="AB6" s="7"/>
      <c r="AC6" s="7"/>
      <c r="AD6" s="7"/>
      <c r="AE6" s="7"/>
    </row>
    <row r="7" spans="1:31" ht="24" customHeight="1">
      <c r="A7" s="388"/>
      <c r="B7" s="389"/>
      <c r="C7" s="392"/>
      <c r="D7" s="395"/>
      <c r="E7" s="8" t="s">
        <v>26</v>
      </c>
      <c r="F7" s="8" t="s">
        <v>27</v>
      </c>
      <c r="G7" s="8" t="s">
        <v>28</v>
      </c>
      <c r="H7" s="8"/>
      <c r="I7" s="8" t="s">
        <v>29</v>
      </c>
      <c r="J7" s="8" t="s">
        <v>670</v>
      </c>
      <c r="K7" s="8" t="s">
        <v>31</v>
      </c>
      <c r="L7" s="9" t="s">
        <v>29</v>
      </c>
      <c r="M7" s="9" t="s">
        <v>32</v>
      </c>
      <c r="N7" s="8" t="s">
        <v>33</v>
      </c>
      <c r="O7" s="8" t="s">
        <v>34</v>
      </c>
      <c r="P7" s="8" t="s">
        <v>35</v>
      </c>
      <c r="Q7" s="10" t="s">
        <v>36</v>
      </c>
      <c r="R7" s="403"/>
      <c r="S7" s="410"/>
      <c r="T7" s="383"/>
      <c r="V7" s="432"/>
      <c r="W7" s="6"/>
      <c r="X7" s="6"/>
      <c r="Y7" s="7"/>
      <c r="Z7" s="7"/>
      <c r="AA7" s="7"/>
      <c r="AB7" s="7"/>
      <c r="AC7" s="7"/>
      <c r="AD7" s="7"/>
      <c r="AE7" s="7"/>
    </row>
    <row r="8" spans="1:31" ht="33" customHeight="1">
      <c r="A8" s="375" t="s">
        <v>37</v>
      </c>
      <c r="B8" s="11">
        <v>1</v>
      </c>
      <c r="C8" s="142" t="str">
        <f>COVER!A14</f>
        <v>BODY(LUG)</v>
      </c>
      <c r="D8" s="20">
        <f>COVER!B14</f>
        <v>0</v>
      </c>
      <c r="E8" s="13">
        <f>102*1.2</f>
        <v>122.39999999999999</v>
      </c>
      <c r="F8" s="14">
        <f>COVER!C14</f>
        <v>0</v>
      </c>
      <c r="G8" s="14">
        <f>F8*E8</f>
        <v>0</v>
      </c>
      <c r="H8" s="14"/>
      <c r="I8" s="15">
        <f>I10*I9</f>
        <v>36001489368637.438</v>
      </c>
      <c r="J8" s="15">
        <f t="shared" ref="J8:Q9" si="0">J10*J9</f>
        <v>43341753052405.07</v>
      </c>
      <c r="K8" s="15">
        <f t="shared" si="0"/>
        <v>168335087307216.53</v>
      </c>
      <c r="L8" s="15">
        <f t="shared" si="0"/>
        <v>506706621524695.19</v>
      </c>
      <c r="M8" s="15">
        <f t="shared" si="0"/>
        <v>632417344857819.5</v>
      </c>
      <c r="N8" s="15">
        <f t="shared" si="0"/>
        <v>46528628303586.25</v>
      </c>
      <c r="O8" s="15">
        <f t="shared" si="0"/>
        <v>0</v>
      </c>
      <c r="P8" s="15">
        <f t="shared" si="0"/>
        <v>0</v>
      </c>
      <c r="Q8" s="15">
        <f t="shared" si="0"/>
        <v>10000000000000</v>
      </c>
      <c r="R8" s="15">
        <f>IF(COVER!C14&gt;0,290000*1.2,0)</f>
        <v>0</v>
      </c>
      <c r="S8" s="15">
        <f>G8+R8</f>
        <v>0</v>
      </c>
      <c r="T8" s="309" t="s">
        <v>1171</v>
      </c>
      <c r="V8" s="6"/>
      <c r="W8" s="6"/>
      <c r="X8" s="6"/>
      <c r="Y8" s="7"/>
      <c r="Z8" s="7"/>
      <c r="AA8" s="7"/>
      <c r="AB8" s="7"/>
      <c r="AC8" s="7"/>
      <c r="AD8" s="7"/>
      <c r="AE8" s="7"/>
    </row>
    <row r="9" spans="1:31" ht="33" customHeight="1">
      <c r="A9" s="376"/>
      <c r="B9" s="146" t="s">
        <v>1167</v>
      </c>
      <c r="C9" s="142" t="str">
        <f>COVER!A15</f>
        <v>BODY(FLANGE)</v>
      </c>
      <c r="D9" s="20" t="str">
        <f>COVER!B15</f>
        <v>A216 WCB</v>
      </c>
      <c r="E9" s="13">
        <v>206</v>
      </c>
      <c r="F9" s="14">
        <f>COVER!C15</f>
        <v>4300</v>
      </c>
      <c r="G9" s="14">
        <f>F9*E9</f>
        <v>885800</v>
      </c>
      <c r="H9" s="14"/>
      <c r="I9" s="15">
        <f>I11*I10</f>
        <v>2348985369.5999999</v>
      </c>
      <c r="J9" s="15">
        <f t="shared" si="0"/>
        <v>2658301984.9000001</v>
      </c>
      <c r="K9" s="15">
        <f t="shared" si="0"/>
        <v>6568251379.5999994</v>
      </c>
      <c r="L9" s="15">
        <f t="shared" si="0"/>
        <v>13693182184.900002</v>
      </c>
      <c r="M9" s="15">
        <f t="shared" si="0"/>
        <v>15873371539.6</v>
      </c>
      <c r="N9" s="15">
        <f t="shared" si="0"/>
        <v>2787063302.5</v>
      </c>
      <c r="O9" s="15">
        <f t="shared" si="0"/>
        <v>0</v>
      </c>
      <c r="P9" s="15">
        <f t="shared" si="0"/>
        <v>0</v>
      </c>
      <c r="Q9" s="15">
        <f t="shared" si="0"/>
        <v>1000000000</v>
      </c>
      <c r="R9" s="15">
        <f>IF(COVER!C15&gt;0,300000*1.2,0)</f>
        <v>360000</v>
      </c>
      <c r="S9" s="15">
        <f t="shared" ref="S9:S62" si="1">G9+R9</f>
        <v>1245800</v>
      </c>
      <c r="T9" s="309" t="s">
        <v>1169</v>
      </c>
      <c r="V9" s="150">
        <f>R9</f>
        <v>360000</v>
      </c>
      <c r="W9" s="6"/>
      <c r="X9" s="6"/>
      <c r="Y9" s="7"/>
      <c r="Z9" s="7"/>
      <c r="AA9" s="7"/>
      <c r="AB9" s="7"/>
      <c r="AC9" s="7"/>
      <c r="AD9" s="7"/>
      <c r="AE9" s="7"/>
    </row>
    <row r="10" spans="1:31" ht="33" hidden="1" customHeight="1">
      <c r="A10" s="376"/>
      <c r="B10" s="11"/>
      <c r="C10" s="142"/>
      <c r="D10" s="20"/>
      <c r="E10" s="13"/>
      <c r="F10" s="14"/>
      <c r="G10" s="14"/>
      <c r="H10" s="14" t="s">
        <v>40</v>
      </c>
      <c r="I10" s="15">
        <f t="shared" ref="I10:Q10" si="2">I11/10</f>
        <v>15326.4</v>
      </c>
      <c r="J10" s="15">
        <f t="shared" si="2"/>
        <v>16304.3</v>
      </c>
      <c r="K10" s="15">
        <f t="shared" si="2"/>
        <v>25628.6</v>
      </c>
      <c r="L10" s="15">
        <f t="shared" si="2"/>
        <v>37004.300000000003</v>
      </c>
      <c r="M10" s="15">
        <f t="shared" si="2"/>
        <v>39841.4</v>
      </c>
      <c r="N10" s="15">
        <f t="shared" si="2"/>
        <v>16694.5</v>
      </c>
      <c r="O10" s="15">
        <f t="shared" si="2"/>
        <v>0</v>
      </c>
      <c r="P10" s="15">
        <f t="shared" si="2"/>
        <v>0</v>
      </c>
      <c r="Q10" s="15">
        <f t="shared" si="2"/>
        <v>10000</v>
      </c>
      <c r="R10" s="15"/>
      <c r="S10" s="15">
        <f t="shared" si="1"/>
        <v>0</v>
      </c>
      <c r="T10" s="16"/>
      <c r="V10" s="6"/>
      <c r="W10" s="6"/>
      <c r="X10" s="6"/>
      <c r="Y10" s="7"/>
      <c r="Z10" s="7"/>
      <c r="AA10" s="7"/>
      <c r="AB10" s="7"/>
      <c r="AC10" s="7"/>
      <c r="AD10" s="7"/>
      <c r="AE10" s="7"/>
    </row>
    <row r="11" spans="1:31" ht="33" hidden="1" customHeight="1">
      <c r="A11" s="376"/>
      <c r="B11" s="11"/>
      <c r="C11" s="142"/>
      <c r="D11" s="20"/>
      <c r="E11" s="13"/>
      <c r="F11" s="14"/>
      <c r="G11" s="14"/>
      <c r="H11" s="17" t="s">
        <v>41</v>
      </c>
      <c r="I11" s="15">
        <v>153264</v>
      </c>
      <c r="J11" s="15">
        <v>163043</v>
      </c>
      <c r="K11" s="15">
        <v>256286</v>
      </c>
      <c r="L11" s="15">
        <v>370043</v>
      </c>
      <c r="M11" s="15">
        <v>398414</v>
      </c>
      <c r="N11" s="15">
        <v>166945</v>
      </c>
      <c r="O11" s="15">
        <v>0</v>
      </c>
      <c r="P11" s="15">
        <v>0</v>
      </c>
      <c r="Q11" s="15">
        <v>100000</v>
      </c>
      <c r="R11" s="15"/>
      <c r="S11" s="15">
        <f t="shared" si="1"/>
        <v>0</v>
      </c>
      <c r="T11" s="16"/>
      <c r="V11" s="6"/>
      <c r="W11" s="6"/>
      <c r="X11" s="6"/>
      <c r="Y11" s="7"/>
      <c r="Z11" s="7"/>
      <c r="AA11" s="7"/>
      <c r="AB11" s="7"/>
      <c r="AC11" s="7"/>
      <c r="AD11" s="7"/>
      <c r="AE11" s="7"/>
    </row>
    <row r="12" spans="1:31" s="19" customFormat="1" ht="33" customHeight="1">
      <c r="A12" s="376"/>
      <c r="B12" s="11">
        <v>2</v>
      </c>
      <c r="C12" s="142" t="s">
        <v>42</v>
      </c>
      <c r="D12" s="20" t="str">
        <f>COVER!B16</f>
        <v>A216 WCB</v>
      </c>
      <c r="E12" s="13">
        <v>33</v>
      </c>
      <c r="F12" s="14">
        <f>COVER!C16</f>
        <v>4300</v>
      </c>
      <c r="G12" s="14">
        <f>F12*E12</f>
        <v>141900</v>
      </c>
      <c r="H12" s="14"/>
      <c r="I12" s="15">
        <f>I13*I14</f>
        <v>15326.4</v>
      </c>
      <c r="J12" s="15">
        <f t="shared" ref="J12:Q12" si="3">J13*J14</f>
        <v>0</v>
      </c>
      <c r="K12" s="15">
        <f t="shared" si="3"/>
        <v>16304.3</v>
      </c>
      <c r="L12" s="15">
        <f t="shared" si="3"/>
        <v>22970</v>
      </c>
      <c r="M12" s="15">
        <f t="shared" si="3"/>
        <v>0</v>
      </c>
      <c r="N12" s="15">
        <f t="shared" si="3"/>
        <v>0</v>
      </c>
      <c r="O12" s="15">
        <f t="shared" si="3"/>
        <v>0</v>
      </c>
      <c r="P12" s="15">
        <f t="shared" si="3"/>
        <v>0</v>
      </c>
      <c r="Q12" s="15">
        <f t="shared" si="3"/>
        <v>4000</v>
      </c>
      <c r="R12" s="15">
        <v>207000</v>
      </c>
      <c r="S12" s="15">
        <f t="shared" si="1"/>
        <v>348900</v>
      </c>
      <c r="T12" s="18"/>
      <c r="V12" s="6"/>
      <c r="W12" s="6"/>
      <c r="X12" s="6"/>
      <c r="Y12" s="7"/>
      <c r="Z12" s="7"/>
      <c r="AA12" s="7"/>
      <c r="AB12" s="7"/>
      <c r="AC12" s="7"/>
      <c r="AD12" s="7"/>
      <c r="AE12" s="7"/>
    </row>
    <row r="13" spans="1:31" s="19" customFormat="1" ht="33" hidden="1" customHeight="1">
      <c r="A13" s="376"/>
      <c r="B13" s="11"/>
      <c r="C13" s="142"/>
      <c r="D13" s="20"/>
      <c r="E13" s="13"/>
      <c r="F13" s="14"/>
      <c r="G13" s="14"/>
      <c r="H13" s="17" t="s">
        <v>39</v>
      </c>
      <c r="I13" s="21">
        <v>1</v>
      </c>
      <c r="J13" s="21">
        <v>0</v>
      </c>
      <c r="K13" s="21">
        <v>1</v>
      </c>
      <c r="L13" s="21">
        <v>1</v>
      </c>
      <c r="M13" s="21">
        <v>0</v>
      </c>
      <c r="N13" s="21">
        <v>0</v>
      </c>
      <c r="O13" s="21"/>
      <c r="P13" s="21"/>
      <c r="Q13" s="21">
        <v>0.4</v>
      </c>
      <c r="R13" s="15"/>
      <c r="S13" s="15">
        <f t="shared" si="1"/>
        <v>0</v>
      </c>
      <c r="T13" s="22"/>
      <c r="V13" s="6"/>
      <c r="W13" s="6"/>
      <c r="X13" s="6"/>
      <c r="Y13" s="7"/>
      <c r="Z13" s="7"/>
      <c r="AA13" s="7"/>
      <c r="AB13" s="7"/>
      <c r="AC13" s="7"/>
      <c r="AD13" s="7"/>
      <c r="AE13" s="7"/>
    </row>
    <row r="14" spans="1:31" s="19" customFormat="1" ht="33" hidden="1" customHeight="1">
      <c r="A14" s="376"/>
      <c r="B14" s="11"/>
      <c r="C14" s="142"/>
      <c r="D14" s="20"/>
      <c r="E14" s="13"/>
      <c r="F14" s="14"/>
      <c r="G14" s="14"/>
      <c r="H14" s="14" t="s">
        <v>40</v>
      </c>
      <c r="I14" s="15">
        <f>I15/10</f>
        <v>15326.4</v>
      </c>
      <c r="J14" s="15">
        <f t="shared" ref="J14:Q14" si="4">J15/10</f>
        <v>16304.3</v>
      </c>
      <c r="K14" s="15">
        <f t="shared" si="4"/>
        <v>16304.3</v>
      </c>
      <c r="L14" s="15">
        <f t="shared" si="4"/>
        <v>22970</v>
      </c>
      <c r="M14" s="15">
        <f t="shared" si="4"/>
        <v>39841.4</v>
      </c>
      <c r="N14" s="15">
        <f t="shared" si="4"/>
        <v>16694.5</v>
      </c>
      <c r="O14" s="15">
        <f t="shared" si="4"/>
        <v>0</v>
      </c>
      <c r="P14" s="15">
        <f t="shared" si="4"/>
        <v>0</v>
      </c>
      <c r="Q14" s="15">
        <f t="shared" si="4"/>
        <v>10000</v>
      </c>
      <c r="R14" s="15"/>
      <c r="S14" s="15">
        <f t="shared" si="1"/>
        <v>0</v>
      </c>
      <c r="T14" s="22"/>
      <c r="V14" s="6"/>
      <c r="W14" s="6"/>
      <c r="X14" s="6"/>
      <c r="Y14" s="7"/>
      <c r="Z14" s="7"/>
      <c r="AA14" s="7"/>
      <c r="AB14" s="7"/>
      <c r="AC14" s="7"/>
      <c r="AD14" s="7"/>
      <c r="AE14" s="7"/>
    </row>
    <row r="15" spans="1:31" s="19" customFormat="1" ht="33" hidden="1" customHeight="1">
      <c r="A15" s="376"/>
      <c r="B15" s="11"/>
      <c r="C15" s="142"/>
      <c r="D15" s="20"/>
      <c r="E15" s="13"/>
      <c r="F15" s="14"/>
      <c r="G15" s="14"/>
      <c r="H15" s="14" t="s">
        <v>43</v>
      </c>
      <c r="I15" s="15">
        <v>153264</v>
      </c>
      <c r="J15" s="15">
        <v>163043</v>
      </c>
      <c r="K15" s="15">
        <v>163043</v>
      </c>
      <c r="L15" s="15">
        <v>229700</v>
      </c>
      <c r="M15" s="15">
        <v>398414</v>
      </c>
      <c r="N15" s="15">
        <v>166945</v>
      </c>
      <c r="O15" s="15">
        <v>0</v>
      </c>
      <c r="P15" s="15">
        <v>0</v>
      </c>
      <c r="Q15" s="15">
        <v>100000</v>
      </c>
      <c r="R15" s="15"/>
      <c r="S15" s="15">
        <f t="shared" si="1"/>
        <v>0</v>
      </c>
      <c r="T15" s="22"/>
      <c r="V15" s="6"/>
      <c r="W15" s="6"/>
      <c r="X15" s="6"/>
      <c r="Y15" s="7"/>
      <c r="Z15" s="7"/>
      <c r="AA15" s="7"/>
      <c r="AB15" s="7"/>
      <c r="AC15" s="7"/>
      <c r="AD15" s="7"/>
      <c r="AE15" s="7"/>
    </row>
    <row r="16" spans="1:31" s="19" customFormat="1" ht="33" customHeight="1">
      <c r="A16" s="376"/>
      <c r="B16" s="11">
        <v>3</v>
      </c>
      <c r="C16" s="142" t="s">
        <v>952</v>
      </c>
      <c r="D16" s="20" t="str">
        <f>COVER!B19</f>
        <v>WCB+309+#6</v>
      </c>
      <c r="E16" s="13">
        <v>1</v>
      </c>
      <c r="F16" s="14">
        <f>IF(D16="SUS+#6",X76,IF(D16="WCB+309+#6",X77))</f>
        <v>224200</v>
      </c>
      <c r="G16" s="14">
        <f>F16*E16</f>
        <v>224200</v>
      </c>
      <c r="H16" s="14"/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f t="shared" si="1"/>
        <v>224200</v>
      </c>
      <c r="T16" s="22"/>
      <c r="V16" s="6"/>
      <c r="W16" s="6"/>
      <c r="X16" s="6"/>
      <c r="Y16" s="7"/>
      <c r="Z16" s="7"/>
      <c r="AA16" s="7"/>
      <c r="AB16" s="7"/>
      <c r="AC16" s="7"/>
      <c r="AD16" s="7"/>
      <c r="AE16" s="7"/>
    </row>
    <row r="17" spans="1:31" s="19" customFormat="1" ht="33" customHeight="1">
      <c r="A17" s="376"/>
      <c r="B17" s="11">
        <v>4</v>
      </c>
      <c r="C17" s="142" t="s">
        <v>1187</v>
      </c>
      <c r="D17" s="20" t="str">
        <f>COVER!B18</f>
        <v>A240T316L+GARPHITE</v>
      </c>
      <c r="E17" s="13">
        <v>1</v>
      </c>
      <c r="F17" s="14">
        <f>IF(D17="A240T316L+GARPHITE",Y84+Z84)</f>
        <v>72100</v>
      </c>
      <c r="G17" s="14">
        <f>F17*E17</f>
        <v>72100</v>
      </c>
      <c r="H17" s="14"/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f>Z84*1.3</f>
        <v>52000</v>
      </c>
      <c r="S17" s="15">
        <f t="shared" si="1"/>
        <v>124100</v>
      </c>
      <c r="T17" s="22"/>
      <c r="V17" s="23"/>
      <c r="W17" s="23"/>
      <c r="X17" s="23"/>
      <c r="Y17" s="7"/>
      <c r="Z17" s="7"/>
      <c r="AA17" s="7"/>
      <c r="AB17" s="7"/>
      <c r="AC17" s="7"/>
      <c r="AD17" s="7"/>
      <c r="AE17" s="7"/>
    </row>
    <row r="18" spans="1:31" s="19" customFormat="1" ht="33" customHeight="1">
      <c r="A18" s="376"/>
      <c r="B18" s="11">
        <v>5</v>
      </c>
      <c r="C18" s="175" t="s">
        <v>852</v>
      </c>
      <c r="D18" s="24" t="str">
        <f>COVER!B20</f>
        <v>SS316L</v>
      </c>
      <c r="E18" s="301">
        <v>1</v>
      </c>
      <c r="F18" s="14">
        <f>IF(D18="SS304",Y82,IF(D18="SS316L",Z82))</f>
        <v>76000</v>
      </c>
      <c r="G18" s="14">
        <f>E18*F18</f>
        <v>76000</v>
      </c>
      <c r="H18" s="14"/>
      <c r="I18" s="15">
        <f>I19*I20</f>
        <v>7663.2</v>
      </c>
      <c r="J18" s="15">
        <f t="shared" ref="J18:Q18" si="5">J19*J20</f>
        <v>8152.15</v>
      </c>
      <c r="K18" s="15">
        <f t="shared" si="5"/>
        <v>0</v>
      </c>
      <c r="L18" s="15">
        <f t="shared" si="5"/>
        <v>0</v>
      </c>
      <c r="M18" s="15">
        <f t="shared" si="5"/>
        <v>0</v>
      </c>
      <c r="N18" s="15">
        <f t="shared" si="5"/>
        <v>0</v>
      </c>
      <c r="O18" s="15">
        <f t="shared" si="5"/>
        <v>0</v>
      </c>
      <c r="P18" s="15">
        <f t="shared" si="5"/>
        <v>0</v>
      </c>
      <c r="Q18" s="15">
        <f t="shared" si="5"/>
        <v>2000</v>
      </c>
      <c r="R18" s="15">
        <f>AA82*1.5</f>
        <v>72000</v>
      </c>
      <c r="S18" s="15">
        <f t="shared" si="1"/>
        <v>148000</v>
      </c>
      <c r="T18" s="25"/>
      <c r="V18" s="26"/>
      <c r="W18" s="26"/>
      <c r="X18" s="26"/>
      <c r="Y18" s="7"/>
      <c r="Z18" s="7"/>
      <c r="AA18" s="7"/>
      <c r="AB18" s="7"/>
      <c r="AC18" s="7"/>
      <c r="AD18" s="7"/>
      <c r="AE18" s="7"/>
    </row>
    <row r="19" spans="1:31" s="19" customFormat="1" ht="33" hidden="1" customHeight="1">
      <c r="A19" s="376"/>
      <c r="B19" s="11"/>
      <c r="C19" s="12"/>
      <c r="D19" s="24"/>
      <c r="E19" s="13"/>
      <c r="F19" s="14"/>
      <c r="G19" s="14">
        <f t="shared" ref="G19:G54" si="6">E19*F19</f>
        <v>0</v>
      </c>
      <c r="H19" s="17" t="s">
        <v>39</v>
      </c>
      <c r="I19" s="21">
        <v>0.5</v>
      </c>
      <c r="J19" s="21">
        <v>0.5</v>
      </c>
      <c r="K19" s="21"/>
      <c r="L19" s="21"/>
      <c r="M19" s="21"/>
      <c r="N19" s="21"/>
      <c r="O19" s="21"/>
      <c r="P19" s="21"/>
      <c r="Q19" s="21">
        <v>0.2</v>
      </c>
      <c r="R19" s="15"/>
      <c r="S19" s="15">
        <f t="shared" si="1"/>
        <v>0</v>
      </c>
      <c r="T19" s="25"/>
      <c r="V19" s="26"/>
      <c r="W19" s="26"/>
      <c r="X19" s="26"/>
      <c r="Y19" s="7"/>
      <c r="Z19" s="7"/>
      <c r="AA19" s="7"/>
      <c r="AB19" s="7"/>
      <c r="AC19" s="7"/>
      <c r="AD19" s="7"/>
      <c r="AE19" s="7"/>
    </row>
    <row r="20" spans="1:31" s="19" customFormat="1" ht="33" hidden="1" customHeight="1">
      <c r="A20" s="376"/>
      <c r="B20" s="11"/>
      <c r="C20" s="12"/>
      <c r="D20" s="24"/>
      <c r="E20" s="13"/>
      <c r="F20" s="14"/>
      <c r="G20" s="14">
        <f t="shared" si="6"/>
        <v>0</v>
      </c>
      <c r="H20" s="17" t="s">
        <v>39</v>
      </c>
      <c r="I20" s="15">
        <f>I21/10</f>
        <v>15326.4</v>
      </c>
      <c r="J20" s="15">
        <f t="shared" ref="J20:Q20" si="7">J21/10</f>
        <v>16304.3</v>
      </c>
      <c r="K20" s="15">
        <f t="shared" si="7"/>
        <v>0</v>
      </c>
      <c r="L20" s="15">
        <f t="shared" si="7"/>
        <v>0</v>
      </c>
      <c r="M20" s="15">
        <f t="shared" si="7"/>
        <v>0</v>
      </c>
      <c r="N20" s="15">
        <f t="shared" si="7"/>
        <v>0</v>
      </c>
      <c r="O20" s="15">
        <f t="shared" si="7"/>
        <v>0</v>
      </c>
      <c r="P20" s="15">
        <f t="shared" si="7"/>
        <v>0</v>
      </c>
      <c r="Q20" s="15">
        <f t="shared" si="7"/>
        <v>10000</v>
      </c>
      <c r="R20" s="15"/>
      <c r="S20" s="15">
        <f t="shared" si="1"/>
        <v>0</v>
      </c>
      <c r="T20" s="25"/>
      <c r="V20" s="26"/>
      <c r="W20" s="26"/>
      <c r="X20" s="26"/>
      <c r="Y20" s="7"/>
      <c r="Z20" s="7"/>
      <c r="AA20" s="7"/>
      <c r="AB20" s="7"/>
      <c r="AC20" s="7"/>
      <c r="AD20" s="7"/>
      <c r="AE20" s="7"/>
    </row>
    <row r="21" spans="1:31" s="19" customFormat="1" ht="33" hidden="1" customHeight="1">
      <c r="A21" s="376"/>
      <c r="B21" s="11"/>
      <c r="C21" s="12"/>
      <c r="D21" s="24"/>
      <c r="E21" s="13"/>
      <c r="F21" s="14"/>
      <c r="G21" s="14">
        <f t="shared" si="6"/>
        <v>0</v>
      </c>
      <c r="H21" s="17" t="s">
        <v>39</v>
      </c>
      <c r="I21" s="15">
        <v>153264</v>
      </c>
      <c r="J21" s="15">
        <v>163043</v>
      </c>
      <c r="K21" s="15"/>
      <c r="L21" s="15"/>
      <c r="M21" s="15"/>
      <c r="N21" s="15"/>
      <c r="O21" s="15"/>
      <c r="P21" s="15"/>
      <c r="Q21" s="15">
        <v>100000</v>
      </c>
      <c r="R21" s="15"/>
      <c r="S21" s="15">
        <f t="shared" si="1"/>
        <v>0</v>
      </c>
      <c r="T21" s="25"/>
      <c r="V21" s="26"/>
      <c r="W21" s="26"/>
      <c r="X21" s="26"/>
      <c r="Y21" s="7"/>
      <c r="Z21" s="7"/>
      <c r="AA21" s="7"/>
      <c r="AB21" s="7"/>
      <c r="AC21" s="7"/>
      <c r="AD21" s="7"/>
      <c r="AE21" s="7"/>
    </row>
    <row r="22" spans="1:31" s="19" customFormat="1" ht="33" customHeight="1">
      <c r="A22" s="376"/>
      <c r="B22" s="11">
        <v>6</v>
      </c>
      <c r="C22" s="175" t="s">
        <v>1178</v>
      </c>
      <c r="D22" s="24" t="s">
        <v>1189</v>
      </c>
      <c r="E22" s="301">
        <v>1</v>
      </c>
      <c r="F22" s="14">
        <f>Y85</f>
        <v>12000</v>
      </c>
      <c r="G22" s="14">
        <f>F22*E22</f>
        <v>12000</v>
      </c>
      <c r="H22" s="14"/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f t="shared" si="1"/>
        <v>12000</v>
      </c>
      <c r="T22" s="25"/>
      <c r="V22" s="26"/>
      <c r="W22" s="26"/>
      <c r="X22" s="26"/>
      <c r="Y22" s="7"/>
      <c r="Z22" s="7"/>
      <c r="AA22" s="7"/>
      <c r="AB22" s="7"/>
      <c r="AC22" s="7"/>
      <c r="AD22" s="7"/>
      <c r="AE22" s="7"/>
    </row>
    <row r="23" spans="1:31" s="19" customFormat="1" ht="33" customHeight="1">
      <c r="A23" s="376"/>
      <c r="B23" s="11">
        <v>7</v>
      </c>
      <c r="C23" s="175" t="s">
        <v>948</v>
      </c>
      <c r="D23" s="20" t="str">
        <f>COVER!B21</f>
        <v>B7(다크로)</v>
      </c>
      <c r="E23" s="13">
        <v>20</v>
      </c>
      <c r="F23" s="14">
        <f>IF(D23="B8",Y92,IF(D23="B8M",Z92,IF(D23="B7(다크로)",AA92)))</f>
        <v>300</v>
      </c>
      <c r="G23" s="14">
        <f>F23*E23</f>
        <v>6000</v>
      </c>
      <c r="H23" s="14"/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f t="shared" si="1"/>
        <v>6000</v>
      </c>
      <c r="T23" s="18"/>
      <c r="V23" s="7"/>
      <c r="W23" s="7"/>
      <c r="X23" s="7"/>
      <c r="Y23" s="7"/>
      <c r="Z23" s="7"/>
      <c r="AA23" s="7"/>
      <c r="AB23" s="7"/>
      <c r="AC23" s="7"/>
      <c r="AD23" s="7"/>
      <c r="AE23" s="7"/>
    </row>
    <row r="24" spans="1:31" s="19" customFormat="1" ht="33" customHeight="1">
      <c r="A24" s="376"/>
      <c r="B24" s="11">
        <v>8</v>
      </c>
      <c r="C24" s="142" t="s">
        <v>44</v>
      </c>
      <c r="D24" s="20" t="str">
        <f>COVER!B17</f>
        <v>A564T630</v>
      </c>
      <c r="E24" s="13">
        <v>12</v>
      </c>
      <c r="F24" s="14">
        <f>COVER!C17</f>
        <v>8500</v>
      </c>
      <c r="G24" s="14">
        <f>F24*E24</f>
        <v>102000</v>
      </c>
      <c r="H24" s="14"/>
      <c r="I24" s="15">
        <f>I25*I26</f>
        <v>7663.2</v>
      </c>
      <c r="J24" s="15">
        <f t="shared" ref="J24:Q24" si="8">J25*J26</f>
        <v>0</v>
      </c>
      <c r="K24" s="15">
        <f t="shared" si="8"/>
        <v>0</v>
      </c>
      <c r="L24" s="15">
        <f t="shared" si="8"/>
        <v>0</v>
      </c>
      <c r="M24" s="15">
        <f t="shared" si="8"/>
        <v>0</v>
      </c>
      <c r="N24" s="15">
        <f t="shared" si="8"/>
        <v>0</v>
      </c>
      <c r="O24" s="15">
        <f t="shared" si="8"/>
        <v>0</v>
      </c>
      <c r="P24" s="15">
        <f t="shared" si="8"/>
        <v>0</v>
      </c>
      <c r="Q24" s="15">
        <f t="shared" si="8"/>
        <v>1000</v>
      </c>
      <c r="R24" s="15">
        <f>R12*0.3</f>
        <v>62100</v>
      </c>
      <c r="S24" s="15">
        <f t="shared" si="1"/>
        <v>164100</v>
      </c>
      <c r="T24" s="27"/>
      <c r="U24" s="162"/>
      <c r="V24" s="162"/>
      <c r="W24" s="7"/>
      <c r="X24" s="7"/>
      <c r="Y24" s="28"/>
      <c r="Z24" s="28"/>
      <c r="AA24" s="28"/>
      <c r="AB24" s="28"/>
      <c r="AC24" s="28"/>
      <c r="AD24" s="28"/>
      <c r="AE24" s="28"/>
    </row>
    <row r="25" spans="1:31" s="19" customFormat="1" ht="33" hidden="1" customHeight="1">
      <c r="A25" s="376"/>
      <c r="B25" s="11"/>
      <c r="C25" s="12"/>
      <c r="D25" s="20"/>
      <c r="E25" s="13"/>
      <c r="F25" s="14"/>
      <c r="G25" s="14"/>
      <c r="H25" s="17" t="s">
        <v>668</v>
      </c>
      <c r="I25" s="21">
        <v>0.5</v>
      </c>
      <c r="J25" s="21"/>
      <c r="K25" s="21"/>
      <c r="L25" s="21"/>
      <c r="M25" s="21"/>
      <c r="N25" s="21"/>
      <c r="O25" s="21"/>
      <c r="P25" s="21"/>
      <c r="Q25" s="21">
        <v>0.1</v>
      </c>
      <c r="R25" s="15"/>
      <c r="S25" s="15">
        <f t="shared" si="1"/>
        <v>0</v>
      </c>
      <c r="T25" s="27"/>
      <c r="V25" s="7"/>
      <c r="W25" s="7"/>
      <c r="X25" s="7"/>
      <c r="Y25" s="28"/>
      <c r="Z25" s="28"/>
      <c r="AA25" s="28"/>
      <c r="AB25" s="28"/>
      <c r="AC25" s="28"/>
      <c r="AD25" s="28"/>
      <c r="AE25" s="28"/>
    </row>
    <row r="26" spans="1:31" s="19" customFormat="1" ht="33" hidden="1" customHeight="1">
      <c r="A26" s="376"/>
      <c r="B26" s="11"/>
      <c r="C26" s="12"/>
      <c r="D26" s="20"/>
      <c r="E26" s="13"/>
      <c r="F26" s="14"/>
      <c r="G26" s="14"/>
      <c r="H26" s="17" t="s">
        <v>39</v>
      </c>
      <c r="I26" s="15">
        <f>I27/10</f>
        <v>15326.4</v>
      </c>
      <c r="J26" s="15"/>
      <c r="K26" s="15"/>
      <c r="L26" s="15"/>
      <c r="M26" s="15"/>
      <c r="N26" s="15"/>
      <c r="O26" s="15"/>
      <c r="P26" s="15"/>
      <c r="Q26" s="15">
        <f>Q27/10</f>
        <v>10000</v>
      </c>
      <c r="R26" s="15"/>
      <c r="S26" s="15">
        <f t="shared" si="1"/>
        <v>0</v>
      </c>
      <c r="T26" s="27"/>
      <c r="V26" s="7"/>
      <c r="W26" s="7"/>
      <c r="X26" s="7"/>
      <c r="Y26" s="28"/>
      <c r="Z26" s="28"/>
      <c r="AA26" s="28"/>
      <c r="AB26" s="28"/>
      <c r="AC26" s="28"/>
      <c r="AD26" s="28"/>
      <c r="AE26" s="28"/>
    </row>
    <row r="27" spans="1:31" s="19" customFormat="1" ht="33" hidden="1" customHeight="1">
      <c r="A27" s="376"/>
      <c r="B27" s="11"/>
      <c r="C27" s="12"/>
      <c r="D27" s="20"/>
      <c r="E27" s="13"/>
      <c r="F27" s="14"/>
      <c r="G27" s="14"/>
      <c r="H27" s="17" t="s">
        <v>39</v>
      </c>
      <c r="I27" s="15">
        <v>153264</v>
      </c>
      <c r="J27" s="15"/>
      <c r="K27" s="15"/>
      <c r="L27" s="15"/>
      <c r="M27" s="15"/>
      <c r="N27" s="15"/>
      <c r="O27" s="15"/>
      <c r="P27" s="15"/>
      <c r="Q27" s="15">
        <v>100000</v>
      </c>
      <c r="R27" s="15"/>
      <c r="S27" s="15">
        <f t="shared" si="1"/>
        <v>0</v>
      </c>
      <c r="T27" s="27"/>
      <c r="V27" s="7"/>
      <c r="W27" s="7"/>
      <c r="X27" s="7"/>
      <c r="Y27" s="28"/>
      <c r="Z27" s="28"/>
      <c r="AA27" s="28"/>
      <c r="AB27" s="28"/>
      <c r="AC27" s="28"/>
      <c r="AD27" s="28"/>
      <c r="AE27" s="28"/>
    </row>
    <row r="28" spans="1:31" s="19" customFormat="1" ht="33" customHeight="1">
      <c r="A28" s="376"/>
      <c r="B28" s="11">
        <v>9</v>
      </c>
      <c r="C28" s="142" t="s">
        <v>45</v>
      </c>
      <c r="D28" s="24" t="s">
        <v>1197</v>
      </c>
      <c r="E28" s="13">
        <v>1</v>
      </c>
      <c r="F28" s="14">
        <v>21900</v>
      </c>
      <c r="G28" s="14">
        <f t="shared" ref="G28" si="9">E28*F28</f>
        <v>21900</v>
      </c>
      <c r="H28" s="14"/>
      <c r="I28" s="15"/>
      <c r="J28" s="15"/>
      <c r="K28" s="15"/>
      <c r="L28" s="15"/>
      <c r="M28" s="15"/>
      <c r="N28" s="15"/>
      <c r="O28" s="15"/>
      <c r="P28" s="15"/>
      <c r="Q28" s="15"/>
      <c r="R28" s="15">
        <v>0</v>
      </c>
      <c r="S28" s="15">
        <f t="shared" si="1"/>
        <v>21900</v>
      </c>
      <c r="T28" s="18"/>
      <c r="V28" s="7"/>
      <c r="W28" s="7"/>
      <c r="X28" s="7"/>
      <c r="Y28" s="6"/>
      <c r="Z28" s="6"/>
      <c r="AA28" s="6"/>
      <c r="AB28" s="6"/>
      <c r="AC28" s="6"/>
      <c r="AD28" s="6"/>
      <c r="AE28" s="6"/>
    </row>
    <row r="29" spans="1:31" s="19" customFormat="1" ht="33" customHeight="1">
      <c r="A29" s="376"/>
      <c r="B29" s="11">
        <v>10</v>
      </c>
      <c r="C29" s="142" t="s">
        <v>679</v>
      </c>
      <c r="D29" s="24" t="str">
        <f>COVER!B24</f>
        <v>A351 CF8M</v>
      </c>
      <c r="E29" s="13">
        <v>1</v>
      </c>
      <c r="F29" s="302">
        <f>IF(D29="A351 CF8M",Y99,IF(D29="B148 C95400",Z99))</f>
        <v>39500</v>
      </c>
      <c r="G29" s="14">
        <f>F29*E29</f>
        <v>39500</v>
      </c>
      <c r="H29" s="14"/>
      <c r="I29" s="15">
        <f>I30*I31</f>
        <v>3065.28</v>
      </c>
      <c r="J29" s="15">
        <f t="shared" ref="J29:Q29" si="10">J30*J31</f>
        <v>3260.86</v>
      </c>
      <c r="K29" s="15">
        <f t="shared" si="10"/>
        <v>0</v>
      </c>
      <c r="L29" s="15">
        <f t="shared" si="10"/>
        <v>0</v>
      </c>
      <c r="M29" s="15">
        <f t="shared" si="10"/>
        <v>0</v>
      </c>
      <c r="N29" s="15">
        <f t="shared" si="10"/>
        <v>0</v>
      </c>
      <c r="O29" s="15">
        <f t="shared" si="10"/>
        <v>0</v>
      </c>
      <c r="P29" s="15">
        <f t="shared" si="10"/>
        <v>0</v>
      </c>
      <c r="Q29" s="15">
        <f t="shared" si="10"/>
        <v>0</v>
      </c>
      <c r="R29" s="15">
        <v>0</v>
      </c>
      <c r="S29" s="15">
        <f t="shared" si="1"/>
        <v>39500</v>
      </c>
      <c r="T29" s="18"/>
      <c r="V29" s="7"/>
      <c r="W29" s="292"/>
      <c r="X29" s="7"/>
      <c r="Y29" s="7"/>
      <c r="Z29" s="7"/>
      <c r="AA29" s="7"/>
      <c r="AB29" s="7"/>
      <c r="AC29" s="7"/>
      <c r="AD29" s="7"/>
      <c r="AE29" s="7"/>
    </row>
    <row r="30" spans="1:31" s="19" customFormat="1" ht="33" hidden="1" customHeight="1">
      <c r="A30" s="376"/>
      <c r="B30" s="11"/>
      <c r="C30" s="12"/>
      <c r="D30" s="24"/>
      <c r="E30" s="13"/>
      <c r="F30" s="14"/>
      <c r="G30" s="14"/>
      <c r="H30" s="17" t="s">
        <v>668</v>
      </c>
      <c r="I30" s="21">
        <v>0.2</v>
      </c>
      <c r="J30" s="21">
        <v>0.2</v>
      </c>
      <c r="K30" s="21"/>
      <c r="L30" s="21"/>
      <c r="M30" s="21"/>
      <c r="N30" s="21"/>
      <c r="O30" s="21"/>
      <c r="P30" s="21"/>
      <c r="Q30" s="21"/>
      <c r="R30" s="15"/>
      <c r="S30" s="15">
        <f t="shared" si="1"/>
        <v>0</v>
      </c>
      <c r="T30" s="22"/>
      <c r="V30" s="7"/>
      <c r="W30" s="7"/>
      <c r="X30" s="7"/>
      <c r="Y30" s="7"/>
      <c r="Z30" s="7"/>
      <c r="AA30" s="7"/>
      <c r="AB30" s="7"/>
      <c r="AC30" s="7"/>
      <c r="AD30" s="7"/>
      <c r="AE30" s="7"/>
    </row>
    <row r="31" spans="1:31" s="19" customFormat="1" ht="33" hidden="1" customHeight="1">
      <c r="A31" s="376"/>
      <c r="B31" s="11"/>
      <c r="C31" s="12"/>
      <c r="D31" s="24"/>
      <c r="E31" s="13"/>
      <c r="F31" s="14"/>
      <c r="G31" s="14"/>
      <c r="H31" s="17" t="s">
        <v>39</v>
      </c>
      <c r="I31" s="15">
        <f>I32/10</f>
        <v>15326.4</v>
      </c>
      <c r="J31" s="15">
        <f>J32/10</f>
        <v>16304.3</v>
      </c>
      <c r="K31" s="15"/>
      <c r="L31" s="15"/>
      <c r="M31" s="15"/>
      <c r="N31" s="15"/>
      <c r="O31" s="15"/>
      <c r="P31" s="15"/>
      <c r="Q31" s="15"/>
      <c r="R31" s="15"/>
      <c r="S31" s="15">
        <f t="shared" si="1"/>
        <v>0</v>
      </c>
      <c r="T31" s="22"/>
      <c r="V31" s="7"/>
      <c r="W31" s="7"/>
      <c r="X31" s="7"/>
      <c r="Y31" s="7"/>
      <c r="Z31" s="7"/>
      <c r="AA31" s="7"/>
      <c r="AB31" s="7"/>
      <c r="AC31" s="7"/>
      <c r="AD31" s="7"/>
      <c r="AE31" s="7"/>
    </row>
    <row r="32" spans="1:31" s="19" customFormat="1" ht="33" hidden="1" customHeight="1">
      <c r="A32" s="376"/>
      <c r="B32" s="11"/>
      <c r="C32" s="12"/>
      <c r="D32" s="24"/>
      <c r="E32" s="13"/>
      <c r="F32" s="14"/>
      <c r="G32" s="14"/>
      <c r="H32" s="17" t="s">
        <v>39</v>
      </c>
      <c r="I32" s="15">
        <v>153264</v>
      </c>
      <c r="J32" s="15">
        <v>163043</v>
      </c>
      <c r="K32" s="15"/>
      <c r="L32" s="15"/>
      <c r="M32" s="15"/>
      <c r="N32" s="15"/>
      <c r="O32" s="15"/>
      <c r="P32" s="15"/>
      <c r="Q32" s="15"/>
      <c r="R32" s="15"/>
      <c r="S32" s="15">
        <f t="shared" si="1"/>
        <v>0</v>
      </c>
      <c r="T32" s="22"/>
      <c r="V32" s="7"/>
      <c r="W32" s="7"/>
      <c r="X32" s="7"/>
      <c r="Y32" s="7"/>
      <c r="Z32" s="7"/>
      <c r="AA32" s="7"/>
      <c r="AB32" s="7"/>
      <c r="AC32" s="7"/>
      <c r="AD32" s="7"/>
      <c r="AE32" s="7"/>
    </row>
    <row r="33" spans="1:31" s="19" customFormat="1" ht="33" customHeight="1">
      <c r="A33" s="376"/>
      <c r="B33" s="11">
        <v>11</v>
      </c>
      <c r="C33" s="142" t="s">
        <v>47</v>
      </c>
      <c r="D33" s="24" t="str">
        <f>COVER!B26</f>
        <v>316+NICKEL</v>
      </c>
      <c r="E33" s="13">
        <v>1</v>
      </c>
      <c r="F33" s="14">
        <f>IF(D33="316+NICKEL",Y102,IF(D33="B148 C95400",Z102))</f>
        <v>19000</v>
      </c>
      <c r="G33" s="14">
        <f>F33*E33</f>
        <v>19000</v>
      </c>
      <c r="H33" s="14"/>
      <c r="I33" s="15">
        <f>I34*I35</f>
        <v>4597.92</v>
      </c>
      <c r="J33" s="15">
        <f t="shared" ref="J33:Q33" si="11">J34*J35</f>
        <v>0</v>
      </c>
      <c r="K33" s="15">
        <f t="shared" si="11"/>
        <v>0</v>
      </c>
      <c r="L33" s="15">
        <f t="shared" si="11"/>
        <v>0</v>
      </c>
      <c r="M33" s="15">
        <f t="shared" si="11"/>
        <v>0</v>
      </c>
      <c r="N33" s="15">
        <f t="shared" si="11"/>
        <v>0</v>
      </c>
      <c r="O33" s="15">
        <f t="shared" si="11"/>
        <v>0</v>
      </c>
      <c r="P33" s="15">
        <f t="shared" si="11"/>
        <v>0</v>
      </c>
      <c r="Q33" s="15">
        <f t="shared" si="11"/>
        <v>0</v>
      </c>
      <c r="R33" s="15">
        <v>0</v>
      </c>
      <c r="S33" s="15">
        <f t="shared" si="1"/>
        <v>19000</v>
      </c>
      <c r="T33" s="25" t="s">
        <v>1200</v>
      </c>
      <c r="V33" s="7"/>
      <c r="W33" s="7"/>
      <c r="X33" s="7"/>
      <c r="Y33" s="7"/>
      <c r="Z33" s="7"/>
      <c r="AA33" s="7"/>
      <c r="AB33" s="7"/>
      <c r="AC33" s="7"/>
      <c r="AD33" s="7"/>
      <c r="AE33" s="7"/>
    </row>
    <row r="34" spans="1:31" s="19" customFormat="1" ht="33" hidden="1" customHeight="1">
      <c r="A34" s="376"/>
      <c r="B34" s="11"/>
      <c r="C34" s="12"/>
      <c r="D34" s="24"/>
      <c r="E34" s="13"/>
      <c r="F34" s="14"/>
      <c r="G34" s="14"/>
      <c r="H34" s="17" t="s">
        <v>39</v>
      </c>
      <c r="I34" s="21">
        <v>0.3</v>
      </c>
      <c r="J34" s="21"/>
      <c r="K34" s="21"/>
      <c r="L34" s="21"/>
      <c r="M34" s="21"/>
      <c r="N34" s="21"/>
      <c r="O34" s="21"/>
      <c r="P34" s="21"/>
      <c r="Q34" s="21"/>
      <c r="R34" s="15"/>
      <c r="S34" s="15">
        <f t="shared" si="1"/>
        <v>0</v>
      </c>
      <c r="T34" s="22"/>
      <c r="V34" s="7"/>
      <c r="W34" s="7"/>
      <c r="X34" s="7"/>
      <c r="Y34" s="7"/>
      <c r="Z34" s="7"/>
      <c r="AA34" s="7"/>
      <c r="AB34" s="7"/>
      <c r="AC34" s="7"/>
      <c r="AD34" s="7"/>
      <c r="AE34" s="7"/>
    </row>
    <row r="35" spans="1:31" s="19" customFormat="1" ht="33" hidden="1" customHeight="1">
      <c r="A35" s="376"/>
      <c r="B35" s="11"/>
      <c r="C35" s="12"/>
      <c r="D35" s="24"/>
      <c r="E35" s="13"/>
      <c r="F35" s="14"/>
      <c r="G35" s="14"/>
      <c r="H35" s="17" t="s">
        <v>39</v>
      </c>
      <c r="I35" s="15">
        <f>I36/10</f>
        <v>15326.4</v>
      </c>
      <c r="J35" s="15"/>
      <c r="K35" s="15"/>
      <c r="L35" s="15"/>
      <c r="M35" s="15"/>
      <c r="N35" s="15"/>
      <c r="O35" s="15"/>
      <c r="P35" s="15"/>
      <c r="Q35" s="15"/>
      <c r="R35" s="15"/>
      <c r="S35" s="15">
        <f t="shared" si="1"/>
        <v>0</v>
      </c>
      <c r="T35" s="22"/>
      <c r="V35" s="7"/>
      <c r="W35" s="7"/>
      <c r="X35" s="7"/>
      <c r="Y35" s="7"/>
      <c r="Z35" s="7"/>
      <c r="AA35" s="7"/>
      <c r="AB35" s="7"/>
      <c r="AC35" s="7"/>
      <c r="AD35" s="7"/>
      <c r="AE35" s="7"/>
    </row>
    <row r="36" spans="1:31" s="19" customFormat="1" ht="33" hidden="1" customHeight="1">
      <c r="A36" s="376"/>
      <c r="B36" s="11"/>
      <c r="C36" s="12"/>
      <c r="D36" s="24"/>
      <c r="E36" s="13"/>
      <c r="F36" s="14"/>
      <c r="G36" s="14"/>
      <c r="H36" s="17" t="s">
        <v>39</v>
      </c>
      <c r="I36" s="15">
        <v>153264</v>
      </c>
      <c r="J36" s="15"/>
      <c r="K36" s="15"/>
      <c r="L36" s="15"/>
      <c r="M36" s="15"/>
      <c r="N36" s="15"/>
      <c r="O36" s="15"/>
      <c r="P36" s="15"/>
      <c r="Q36" s="15"/>
      <c r="R36" s="15"/>
      <c r="S36" s="15">
        <f t="shared" si="1"/>
        <v>0</v>
      </c>
      <c r="T36" s="22"/>
      <c r="V36" s="7"/>
      <c r="W36" s="7"/>
      <c r="X36" s="7"/>
      <c r="Y36" s="7"/>
      <c r="Z36" s="7"/>
      <c r="AA36" s="7"/>
      <c r="AB36" s="7"/>
      <c r="AC36" s="7"/>
      <c r="AD36" s="7"/>
      <c r="AE36" s="7"/>
    </row>
    <row r="37" spans="1:31" s="19" customFormat="1" ht="33" customHeight="1">
      <c r="A37" s="376"/>
      <c r="B37" s="11">
        <v>12</v>
      </c>
      <c r="C37" s="169" t="s">
        <v>954</v>
      </c>
      <c r="D37" s="20" t="str">
        <f>COVER!B22</f>
        <v>B7(다크로)</v>
      </c>
      <c r="E37" s="13">
        <v>6</v>
      </c>
      <c r="F37" s="14">
        <f>IF(D37="B8",Y93,IF(D37="B8M",Z93,IF(D37="B7(다크로)",AA93)))</f>
        <v>1500</v>
      </c>
      <c r="G37" s="14">
        <f>E37*F37</f>
        <v>9000</v>
      </c>
      <c r="H37" s="14"/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f t="shared" si="1"/>
        <v>9000</v>
      </c>
      <c r="T37" s="22"/>
      <c r="V37" s="7"/>
      <c r="W37" s="7"/>
      <c r="X37" s="7"/>
      <c r="Y37" s="7"/>
      <c r="Z37" s="7"/>
      <c r="AA37" s="7"/>
      <c r="AB37" s="7"/>
      <c r="AC37" s="7"/>
      <c r="AD37" s="7"/>
      <c r="AE37" s="7"/>
    </row>
    <row r="38" spans="1:31" s="19" customFormat="1" ht="33" customHeight="1">
      <c r="A38" s="376"/>
      <c r="B38" s="11">
        <v>13</v>
      </c>
      <c r="C38" s="29" t="s">
        <v>49</v>
      </c>
      <c r="D38" s="24"/>
      <c r="E38" s="13">
        <v>1</v>
      </c>
      <c r="F38" s="14">
        <v>3000</v>
      </c>
      <c r="G38" s="14">
        <f t="shared" si="6"/>
        <v>3000</v>
      </c>
      <c r="H38" s="14"/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f t="shared" si="1"/>
        <v>3000</v>
      </c>
      <c r="T38" s="22"/>
      <c r="V38" s="7"/>
      <c r="W38" s="7"/>
      <c r="X38" s="7"/>
      <c r="Y38" s="7"/>
      <c r="Z38" s="7"/>
      <c r="AA38" s="7"/>
      <c r="AB38" s="7"/>
      <c r="AC38" s="7"/>
      <c r="AD38" s="7"/>
      <c r="AE38" s="7"/>
    </row>
    <row r="39" spans="1:31" s="19" customFormat="1" ht="33" customHeight="1">
      <c r="A39" s="376"/>
      <c r="B39" s="11">
        <v>14</v>
      </c>
      <c r="C39" s="233" t="s">
        <v>50</v>
      </c>
      <c r="D39" s="24" t="str">
        <f>COVER!B23</f>
        <v>316+NICKEL</v>
      </c>
      <c r="E39" s="13">
        <v>2</v>
      </c>
      <c r="F39" s="14">
        <f>IF(D39="316+NICKEL",Y97,IF(D39="B148 C95400",Z97))</f>
        <v>66800</v>
      </c>
      <c r="G39" s="14">
        <f>F39*1</f>
        <v>66800</v>
      </c>
      <c r="H39" s="14"/>
      <c r="I39" s="15">
        <f t="shared" ref="I39:Q40" si="12">I40*I41</f>
        <v>0</v>
      </c>
      <c r="J39" s="15">
        <f t="shared" si="12"/>
        <v>0</v>
      </c>
      <c r="K39" s="15">
        <f t="shared" si="12"/>
        <v>0</v>
      </c>
      <c r="L39" s="15">
        <f t="shared" si="12"/>
        <v>0</v>
      </c>
      <c r="M39" s="15">
        <f t="shared" si="12"/>
        <v>0</v>
      </c>
      <c r="N39" s="15">
        <f t="shared" si="12"/>
        <v>0</v>
      </c>
      <c r="O39" s="15">
        <f t="shared" si="12"/>
        <v>0</v>
      </c>
      <c r="P39" s="15">
        <f t="shared" si="12"/>
        <v>0</v>
      </c>
      <c r="Q39" s="15">
        <f t="shared" si="12"/>
        <v>0</v>
      </c>
      <c r="R39" s="15">
        <v>0</v>
      </c>
      <c r="S39" s="15">
        <f t="shared" si="1"/>
        <v>66800</v>
      </c>
      <c r="T39" s="25" t="s">
        <v>1200</v>
      </c>
      <c r="V39" s="7"/>
      <c r="W39" s="7"/>
      <c r="X39" s="7"/>
      <c r="Y39" s="7"/>
      <c r="Z39" s="7"/>
      <c r="AA39" s="7"/>
      <c r="AB39" s="7"/>
      <c r="AC39" s="7"/>
      <c r="AD39" s="7"/>
      <c r="AE39" s="7"/>
    </row>
    <row r="40" spans="1:31" s="19" customFormat="1" ht="33" customHeight="1">
      <c r="A40" s="376"/>
      <c r="B40" s="11">
        <v>15</v>
      </c>
      <c r="C40" s="142" t="s">
        <v>51</v>
      </c>
      <c r="D40" s="24" t="str">
        <f>COVER!B23</f>
        <v>316+NICKEL</v>
      </c>
      <c r="E40" s="13">
        <v>2</v>
      </c>
      <c r="F40" s="14">
        <f>IF(D40="316+NICKEL",Y98,IF(D40="B148 C95400",Z98))</f>
        <v>56000</v>
      </c>
      <c r="G40" s="14">
        <f>F40*1</f>
        <v>56000</v>
      </c>
      <c r="H40" s="14"/>
      <c r="I40" s="15">
        <f t="shared" si="12"/>
        <v>0</v>
      </c>
      <c r="J40" s="15">
        <f t="shared" si="12"/>
        <v>0</v>
      </c>
      <c r="K40" s="15">
        <f t="shared" si="12"/>
        <v>0</v>
      </c>
      <c r="L40" s="15">
        <f t="shared" si="12"/>
        <v>0</v>
      </c>
      <c r="M40" s="15">
        <f t="shared" si="12"/>
        <v>0</v>
      </c>
      <c r="N40" s="15">
        <f t="shared" si="12"/>
        <v>0</v>
      </c>
      <c r="O40" s="15">
        <f t="shared" si="12"/>
        <v>0</v>
      </c>
      <c r="P40" s="15">
        <f t="shared" si="12"/>
        <v>0</v>
      </c>
      <c r="Q40" s="15">
        <f t="shared" si="12"/>
        <v>0</v>
      </c>
      <c r="R40" s="15">
        <v>0</v>
      </c>
      <c r="S40" s="15">
        <f t="shared" si="1"/>
        <v>56000</v>
      </c>
      <c r="T40" s="25" t="s">
        <v>1200</v>
      </c>
      <c r="V40" s="28"/>
      <c r="W40" s="28"/>
      <c r="X40" s="28"/>
      <c r="Y40" s="7"/>
      <c r="Z40" s="7"/>
      <c r="AA40" s="7"/>
      <c r="AB40" s="7"/>
      <c r="AC40" s="7"/>
      <c r="AD40" s="7"/>
      <c r="AE40" s="7"/>
    </row>
    <row r="41" spans="1:31" s="19" customFormat="1" ht="36.75" hidden="1" customHeight="1">
      <c r="A41" s="376"/>
      <c r="B41" s="11"/>
      <c r="C41" s="12"/>
      <c r="D41" s="20"/>
      <c r="E41" s="13"/>
      <c r="F41" s="14"/>
      <c r="G41" s="14"/>
      <c r="H41" s="17" t="s">
        <v>39</v>
      </c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>
        <f t="shared" si="1"/>
        <v>0</v>
      </c>
      <c r="T41" s="22"/>
      <c r="V41" s="28"/>
      <c r="W41" s="28"/>
      <c r="X41" s="28"/>
      <c r="Y41" s="7"/>
      <c r="Z41" s="7"/>
      <c r="AA41" s="7"/>
      <c r="AB41" s="7"/>
      <c r="AC41" s="7"/>
      <c r="AD41" s="7"/>
      <c r="AE41" s="7"/>
    </row>
    <row r="42" spans="1:31" s="19" customFormat="1" ht="33" hidden="1" customHeight="1">
      <c r="A42" s="376"/>
      <c r="B42" s="11"/>
      <c r="C42" s="12"/>
      <c r="D42" s="20"/>
      <c r="E42" s="13"/>
      <c r="F42" s="14"/>
      <c r="G42" s="14"/>
      <c r="H42" s="17" t="s">
        <v>39</v>
      </c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>
        <f t="shared" si="1"/>
        <v>0</v>
      </c>
      <c r="T42" s="22"/>
      <c r="V42" s="28"/>
      <c r="W42" s="28"/>
      <c r="X42" s="28"/>
      <c r="Y42" s="7"/>
      <c r="Z42" s="7"/>
      <c r="AA42" s="7"/>
      <c r="AB42" s="7"/>
      <c r="AC42" s="7"/>
      <c r="AD42" s="7"/>
      <c r="AE42" s="7"/>
    </row>
    <row r="43" spans="1:31" s="19" customFormat="1" ht="33" hidden="1" customHeight="1">
      <c r="A43" s="376"/>
      <c r="B43" s="11"/>
      <c r="C43" s="12"/>
      <c r="D43" s="20"/>
      <c r="E43" s="13"/>
      <c r="F43" s="14"/>
      <c r="G43" s="14"/>
      <c r="H43" s="17" t="s">
        <v>39</v>
      </c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>
        <f t="shared" si="1"/>
        <v>0</v>
      </c>
      <c r="T43" s="22"/>
      <c r="V43" s="28"/>
      <c r="W43" s="28"/>
      <c r="X43" s="28"/>
      <c r="Y43" s="7"/>
      <c r="Z43" s="7"/>
      <c r="AA43" s="7"/>
      <c r="AB43" s="7"/>
      <c r="AC43" s="7"/>
      <c r="AD43" s="7"/>
      <c r="AE43" s="7"/>
    </row>
    <row r="44" spans="1:31" s="19" customFormat="1" ht="33" customHeight="1">
      <c r="A44" s="376"/>
      <c r="B44" s="11">
        <v>16</v>
      </c>
      <c r="C44" s="142" t="s">
        <v>52</v>
      </c>
      <c r="D44" s="24" t="str">
        <f>COVER!B25</f>
        <v>316+NICKEL</v>
      </c>
      <c r="E44" s="13">
        <v>1</v>
      </c>
      <c r="F44" s="14">
        <f>IF(D44="316+NICKEL",Y100,IF(D44="B148 C95400",Z100))</f>
        <v>8600</v>
      </c>
      <c r="G44" s="14">
        <f>F44*E44</f>
        <v>8600</v>
      </c>
      <c r="H44" s="14"/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1000</v>
      </c>
      <c r="P44" s="15">
        <v>0</v>
      </c>
      <c r="Q44" s="15">
        <v>0</v>
      </c>
      <c r="R44" s="15">
        <v>0</v>
      </c>
      <c r="S44" s="15">
        <f t="shared" si="1"/>
        <v>8600</v>
      </c>
      <c r="T44" s="25" t="s">
        <v>1200</v>
      </c>
      <c r="U44" s="236"/>
      <c r="V44" s="28"/>
      <c r="W44" s="28"/>
      <c r="X44" s="28"/>
      <c r="Y44" s="7"/>
      <c r="Z44" s="7"/>
      <c r="AA44" s="7"/>
      <c r="AB44" s="7"/>
      <c r="AC44" s="7"/>
      <c r="AD44" s="7"/>
      <c r="AE44" s="7"/>
    </row>
    <row r="45" spans="1:31" s="19" customFormat="1" ht="33" customHeight="1">
      <c r="A45" s="376"/>
      <c r="B45" s="11">
        <v>17</v>
      </c>
      <c r="C45" s="175" t="s">
        <v>53</v>
      </c>
      <c r="D45" s="20" t="s">
        <v>463</v>
      </c>
      <c r="E45" s="14">
        <v>1</v>
      </c>
      <c r="F45" s="14">
        <f>Y87</f>
        <v>2520</v>
      </c>
      <c r="G45" s="14">
        <f>F45*E45</f>
        <v>2520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/>
      <c r="R45" s="15">
        <v>0</v>
      </c>
      <c r="S45" s="15">
        <f t="shared" si="1"/>
        <v>2520</v>
      </c>
      <c r="T45" s="22"/>
      <c r="V45" s="7"/>
      <c r="W45" s="7"/>
      <c r="X45" s="7"/>
      <c r="Y45" s="7"/>
      <c r="Z45" s="7"/>
      <c r="AA45" s="7"/>
      <c r="AB45" s="7"/>
      <c r="AC45" s="7"/>
      <c r="AD45" s="7"/>
      <c r="AE45" s="7"/>
    </row>
    <row r="46" spans="1:31" s="19" customFormat="1" ht="33" customHeight="1">
      <c r="A46" s="376"/>
      <c r="B46" s="11">
        <v>18</v>
      </c>
      <c r="C46" s="175" t="s">
        <v>1207</v>
      </c>
      <c r="D46" s="24" t="str">
        <f>COVER!B29</f>
        <v>SS400</v>
      </c>
      <c r="E46" s="13">
        <v>1</v>
      </c>
      <c r="F46" s="14">
        <f>IF(D46="SS400",Y105,IF(D46="SS316",Z105,IF(D46="SS304",AA105)))</f>
        <v>6380</v>
      </c>
      <c r="G46" s="14">
        <f>F46*E46</f>
        <v>6380</v>
      </c>
      <c r="H46" s="14"/>
      <c r="I46" s="15">
        <f>I47*I48</f>
        <v>4597.92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8000</v>
      </c>
      <c r="S46" s="15">
        <f t="shared" si="1"/>
        <v>14380</v>
      </c>
      <c r="T46" s="22"/>
      <c r="V46" s="7"/>
      <c r="W46" s="7"/>
      <c r="X46" s="7"/>
      <c r="Y46" s="7"/>
      <c r="Z46" s="7"/>
      <c r="AA46" s="7"/>
      <c r="AB46" s="7"/>
      <c r="AC46" s="7"/>
      <c r="AD46" s="7"/>
      <c r="AE46" s="7"/>
    </row>
    <row r="47" spans="1:31" s="19" customFormat="1" ht="33" hidden="1" customHeight="1">
      <c r="A47" s="376"/>
      <c r="B47" s="11"/>
      <c r="C47" s="31"/>
      <c r="D47" s="24"/>
      <c r="E47" s="13"/>
      <c r="F47" s="14"/>
      <c r="G47" s="14"/>
      <c r="H47" s="17" t="s">
        <v>39</v>
      </c>
      <c r="I47" s="21">
        <v>0.3</v>
      </c>
      <c r="J47" s="21"/>
      <c r="K47" s="21"/>
      <c r="L47" s="21"/>
      <c r="M47" s="21"/>
      <c r="N47" s="21"/>
      <c r="O47" s="21"/>
      <c r="P47" s="21"/>
      <c r="Q47" s="21"/>
      <c r="R47" s="15"/>
      <c r="S47" s="15">
        <f t="shared" si="1"/>
        <v>0</v>
      </c>
      <c r="T47" s="22"/>
      <c r="V47" s="7"/>
      <c r="W47" s="7"/>
      <c r="X47" s="7"/>
      <c r="Y47" s="7"/>
      <c r="Z47" s="7"/>
      <c r="AA47" s="7"/>
      <c r="AB47" s="7"/>
      <c r="AC47" s="7"/>
      <c r="AD47" s="7"/>
      <c r="AE47" s="7"/>
    </row>
    <row r="48" spans="1:31" s="19" customFormat="1" ht="33" hidden="1" customHeight="1">
      <c r="A48" s="376"/>
      <c r="B48" s="11"/>
      <c r="C48" s="31"/>
      <c r="D48" s="24"/>
      <c r="E48" s="13"/>
      <c r="F48" s="14"/>
      <c r="G48" s="14"/>
      <c r="H48" s="17" t="s">
        <v>39</v>
      </c>
      <c r="I48" s="15">
        <f>I49/10</f>
        <v>15326.4</v>
      </c>
      <c r="J48" s="15"/>
      <c r="K48" s="15"/>
      <c r="L48" s="15"/>
      <c r="M48" s="15"/>
      <c r="N48" s="15"/>
      <c r="O48" s="15"/>
      <c r="P48" s="15"/>
      <c r="Q48" s="15"/>
      <c r="R48" s="15"/>
      <c r="S48" s="15">
        <f t="shared" si="1"/>
        <v>0</v>
      </c>
      <c r="T48" s="22"/>
      <c r="V48" s="7"/>
      <c r="W48" s="7"/>
      <c r="X48" s="7"/>
      <c r="Y48" s="7"/>
      <c r="Z48" s="7"/>
      <c r="AA48" s="7"/>
      <c r="AB48" s="7"/>
      <c r="AC48" s="7"/>
      <c r="AD48" s="7"/>
      <c r="AE48" s="7"/>
    </row>
    <row r="49" spans="1:31" s="19" customFormat="1" ht="33" hidden="1" customHeight="1">
      <c r="A49" s="376"/>
      <c r="B49" s="11"/>
      <c r="C49" s="31"/>
      <c r="D49" s="24"/>
      <c r="E49" s="13"/>
      <c r="F49" s="14"/>
      <c r="G49" s="14"/>
      <c r="H49" s="17" t="s">
        <v>39</v>
      </c>
      <c r="I49" s="15">
        <v>153264</v>
      </c>
      <c r="J49" s="15"/>
      <c r="K49" s="15"/>
      <c r="L49" s="15"/>
      <c r="M49" s="15"/>
      <c r="N49" s="15"/>
      <c r="O49" s="15"/>
      <c r="P49" s="15"/>
      <c r="Q49" s="15"/>
      <c r="R49" s="15"/>
      <c r="S49" s="15">
        <f t="shared" si="1"/>
        <v>0</v>
      </c>
      <c r="T49" s="22"/>
      <c r="V49" s="7"/>
      <c r="W49" s="7"/>
      <c r="X49" s="7"/>
      <c r="Y49" s="7"/>
      <c r="Z49" s="7"/>
      <c r="AA49" s="7"/>
      <c r="AB49" s="7"/>
      <c r="AC49" s="7"/>
      <c r="AD49" s="7"/>
      <c r="AE49" s="7"/>
    </row>
    <row r="50" spans="1:31" s="19" customFormat="1" ht="33" customHeight="1">
      <c r="A50" s="376"/>
      <c r="B50" s="11">
        <v>19</v>
      </c>
      <c r="C50" s="226" t="s">
        <v>55</v>
      </c>
      <c r="D50" s="20" t="str">
        <f>COVER!B22</f>
        <v>B7(다크로)</v>
      </c>
      <c r="E50" s="13">
        <v>6</v>
      </c>
      <c r="F50" s="14">
        <f>IF(D50="B8",Y94,IF(D50="B8M",Z94,IF(D50="B7(다크로)",AA94)))</f>
        <v>1500</v>
      </c>
      <c r="G50" s="14">
        <f>E50*F50</f>
        <v>9000</v>
      </c>
      <c r="H50" s="14"/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f t="shared" si="1"/>
        <v>9000</v>
      </c>
      <c r="T50" s="18"/>
      <c r="V50" s="26"/>
      <c r="W50" s="26"/>
      <c r="X50" s="26"/>
      <c r="Y50" s="7"/>
      <c r="Z50" s="7"/>
      <c r="AA50" s="7"/>
      <c r="AB50" s="7"/>
      <c r="AC50" s="7"/>
      <c r="AD50" s="7"/>
      <c r="AE50" s="7"/>
    </row>
    <row r="51" spans="1:31" s="19" customFormat="1" ht="33" customHeight="1">
      <c r="A51" s="376"/>
      <c r="B51" s="11">
        <v>20</v>
      </c>
      <c r="C51" s="169" t="s">
        <v>56</v>
      </c>
      <c r="D51" s="303" t="str">
        <f>D24</f>
        <v>A564T630</v>
      </c>
      <c r="E51" s="13">
        <v>3</v>
      </c>
      <c r="F51" s="14">
        <f>IF(D51="A276T316",Y80/E51,IF(D51="A276T316L",Y80/E51,IF(D51="A276T304",Z80/E51,IF(D51="A564T630",AA80/E51,IF(D51="A479T410",AB80/E51,IF(D51="UNS S31803",AC80/E51,IF(D51="UNS S32750",AD80/E51,IF(D51="MONEL K-400",AE80/E51,IF(D51="MONEL K-500",AE80/E51)))))))))</f>
        <v>1125</v>
      </c>
      <c r="G51" s="14">
        <f>F51*E51</f>
        <v>3375</v>
      </c>
      <c r="H51" s="14"/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1000</v>
      </c>
      <c r="P51" s="15">
        <v>0</v>
      </c>
      <c r="Q51" s="15">
        <v>0</v>
      </c>
      <c r="R51" s="15">
        <f>2400*E51</f>
        <v>7200</v>
      </c>
      <c r="S51" s="15">
        <f t="shared" si="1"/>
        <v>10575</v>
      </c>
      <c r="T51" s="22"/>
      <c r="U51" s="162"/>
    </row>
    <row r="52" spans="1:31" s="19" customFormat="1" ht="33" customHeight="1">
      <c r="A52" s="376"/>
      <c r="B52" s="11">
        <v>21</v>
      </c>
      <c r="C52" s="169" t="s">
        <v>57</v>
      </c>
      <c r="D52" s="24" t="str">
        <f>COVER!B22</f>
        <v>B7(다크로)</v>
      </c>
      <c r="E52" s="13">
        <v>4</v>
      </c>
      <c r="F52" s="14">
        <f>IF(D52="B8",Y90,IF(D52="B8M",Z90,IF(D52="B7(다크로)",AA90)))</f>
        <v>4300</v>
      </c>
      <c r="G52" s="14">
        <f>F52*E52</f>
        <v>17200</v>
      </c>
      <c r="H52" s="14"/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1000</v>
      </c>
      <c r="O52" s="15">
        <v>1000</v>
      </c>
      <c r="P52" s="15">
        <v>1000</v>
      </c>
      <c r="Q52" s="15">
        <v>0</v>
      </c>
      <c r="R52" s="15">
        <v>0</v>
      </c>
      <c r="S52" s="15">
        <f t="shared" si="1"/>
        <v>17200</v>
      </c>
      <c r="T52" s="22"/>
      <c r="U52" s="162"/>
    </row>
    <row r="53" spans="1:31" s="19" customFormat="1" ht="33" customHeight="1">
      <c r="A53" s="376"/>
      <c r="B53" s="11">
        <v>22</v>
      </c>
      <c r="C53" s="169" t="s">
        <v>1199</v>
      </c>
      <c r="D53" s="24" t="str">
        <f>COVER!B26</f>
        <v>316+NICKEL</v>
      </c>
      <c r="E53" s="13">
        <v>1</v>
      </c>
      <c r="F53" s="14">
        <f>IF(D53="316+NICKEL",Y101,IF(D53="B148 C95400",Z101))</f>
        <v>21000</v>
      </c>
      <c r="G53" s="14">
        <f>F53*E53</f>
        <v>21000</v>
      </c>
      <c r="H53" s="14"/>
      <c r="I53" s="15"/>
      <c r="J53" s="15"/>
      <c r="K53" s="15"/>
      <c r="L53" s="15"/>
      <c r="M53" s="15"/>
      <c r="N53" s="15"/>
      <c r="O53" s="15"/>
      <c r="P53" s="15"/>
      <c r="Q53" s="15"/>
      <c r="R53" s="15">
        <v>0</v>
      </c>
      <c r="S53" s="15">
        <f t="shared" si="1"/>
        <v>21000</v>
      </c>
      <c r="T53" s="22"/>
    </row>
    <row r="54" spans="1:31" s="19" customFormat="1" ht="33" customHeight="1">
      <c r="A54" s="376"/>
      <c r="B54" s="11">
        <v>23</v>
      </c>
      <c r="C54" s="29" t="s">
        <v>58</v>
      </c>
      <c r="D54" s="24"/>
      <c r="E54" s="13">
        <v>1</v>
      </c>
      <c r="F54" s="14">
        <v>2000</v>
      </c>
      <c r="G54" s="14">
        <f t="shared" si="6"/>
        <v>2000</v>
      </c>
      <c r="H54" s="14"/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1000</v>
      </c>
      <c r="Q54" s="15">
        <v>0</v>
      </c>
      <c r="R54" s="15">
        <v>0</v>
      </c>
      <c r="S54" s="15">
        <f t="shared" si="1"/>
        <v>2000</v>
      </c>
      <c r="T54" s="22"/>
    </row>
    <row r="55" spans="1:31" s="19" customFormat="1" ht="33" customHeight="1">
      <c r="A55" s="376"/>
      <c r="B55" s="11">
        <v>24</v>
      </c>
      <c r="C55" s="142" t="s">
        <v>59</v>
      </c>
      <c r="D55" s="24" t="str">
        <f>COVER!B35</f>
        <v>GEAR</v>
      </c>
      <c r="E55" s="13">
        <v>1</v>
      </c>
      <c r="F55" s="302">
        <f>IF(D55="GEAR",262800,IF(D55="MOTOR",0,IF(D55="PNEUMATIC",0)))</f>
        <v>262800</v>
      </c>
      <c r="G55" s="14">
        <f>F55</f>
        <v>262800</v>
      </c>
      <c r="H55" s="14"/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f t="shared" si="1"/>
        <v>262800</v>
      </c>
      <c r="T55" s="22"/>
    </row>
    <row r="56" spans="1:31" s="19" customFormat="1" ht="33" customHeight="1">
      <c r="A56" s="376"/>
      <c r="B56" s="11">
        <v>25</v>
      </c>
      <c r="C56" s="186" t="s">
        <v>859</v>
      </c>
      <c r="D56" s="24" t="str">
        <f>COVER!B30</f>
        <v>WCB</v>
      </c>
      <c r="E56" s="13">
        <v>19</v>
      </c>
      <c r="F56" s="14">
        <f>IF(D56="WCB",4000,IF(D56="CF8M",9000))</f>
        <v>4000</v>
      </c>
      <c r="G56" s="14">
        <f>E56*F56</f>
        <v>76000</v>
      </c>
      <c r="H56" s="14"/>
      <c r="I56" s="15"/>
      <c r="J56" s="15"/>
      <c r="K56" s="15"/>
      <c r="L56" s="15"/>
      <c r="M56" s="15"/>
      <c r="N56" s="15"/>
      <c r="O56" s="15"/>
      <c r="P56" s="15"/>
      <c r="Q56" s="15"/>
      <c r="R56" s="15">
        <f>IF(D56="WCB",AA107,IF(D56="CF8M",AB107))</f>
        <v>32400</v>
      </c>
      <c r="S56" s="15">
        <f t="shared" si="1"/>
        <v>108400</v>
      </c>
      <c r="T56" s="22"/>
    </row>
    <row r="57" spans="1:31" s="19" customFormat="1" ht="33" customHeight="1">
      <c r="A57" s="376"/>
      <c r="B57" s="11">
        <v>26</v>
      </c>
      <c r="C57" s="175" t="s">
        <v>467</v>
      </c>
      <c r="D57" s="24" t="str">
        <f>COVER!B27</f>
        <v>316+NICKEL</v>
      </c>
      <c r="E57" s="13">
        <v>2</v>
      </c>
      <c r="F57" s="14">
        <f>IF(D57="316+NICKEL",Y102,IF(D57="B148 C95400",Z102))</f>
        <v>19000</v>
      </c>
      <c r="G57" s="14">
        <f>F57</f>
        <v>19000</v>
      </c>
      <c r="H57" s="14"/>
      <c r="I57" s="15"/>
      <c r="J57" s="15"/>
      <c r="K57" s="15"/>
      <c r="L57" s="15"/>
      <c r="M57" s="15"/>
      <c r="N57" s="15"/>
      <c r="O57" s="15"/>
      <c r="P57" s="15"/>
      <c r="Q57" s="15"/>
      <c r="R57" s="15">
        <v>0</v>
      </c>
      <c r="S57" s="15">
        <f t="shared" si="1"/>
        <v>19000</v>
      </c>
      <c r="T57" s="25" t="s">
        <v>1200</v>
      </c>
    </row>
    <row r="58" spans="1:31" s="19" customFormat="1" ht="33" customHeight="1">
      <c r="A58" s="376"/>
      <c r="B58" s="11">
        <v>27</v>
      </c>
      <c r="C58" s="175" t="s">
        <v>468</v>
      </c>
      <c r="D58" s="24" t="str">
        <f>COVER!B28</f>
        <v>316+NICKEL</v>
      </c>
      <c r="E58" s="13">
        <v>2</v>
      </c>
      <c r="F58" s="14">
        <f>IF(D58="316+NICKEL",Y103,IF(D58="B148 C95400",Z103))</f>
        <v>2940</v>
      </c>
      <c r="G58" s="14">
        <f>F58</f>
        <v>2940</v>
      </c>
      <c r="H58" s="14"/>
      <c r="I58" s="15"/>
      <c r="J58" s="15"/>
      <c r="K58" s="15"/>
      <c r="L58" s="15"/>
      <c r="M58" s="15"/>
      <c r="N58" s="15"/>
      <c r="O58" s="15"/>
      <c r="P58" s="15"/>
      <c r="Q58" s="15"/>
      <c r="R58" s="15">
        <v>0</v>
      </c>
      <c r="S58" s="15">
        <f t="shared" si="1"/>
        <v>2940</v>
      </c>
      <c r="T58" s="25" t="s">
        <v>1200</v>
      </c>
    </row>
    <row r="59" spans="1:31" s="19" customFormat="1" ht="33" customHeight="1">
      <c r="A59" s="376"/>
      <c r="B59" s="11">
        <v>28</v>
      </c>
      <c r="C59" s="142" t="s">
        <v>714</v>
      </c>
      <c r="D59" s="24" t="str">
        <f>COVER!B22</f>
        <v>B7(다크로)</v>
      </c>
      <c r="E59" s="13">
        <v>4</v>
      </c>
      <c r="F59" s="14">
        <f>IF(D59="B8",Y89,IF(D59="B8M",Z89,IF(D59="B7(다크로)",AA89)))</f>
        <v>2500</v>
      </c>
      <c r="G59" s="14">
        <f t="shared" ref="G59:G61" si="13">E59*F59</f>
        <v>10000</v>
      </c>
      <c r="H59" s="14"/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f t="shared" si="1"/>
        <v>10000</v>
      </c>
      <c r="T59" s="25"/>
    </row>
    <row r="60" spans="1:31" s="19" customFormat="1" ht="33" customHeight="1">
      <c r="A60" s="376"/>
      <c r="B60" s="11">
        <v>29</v>
      </c>
      <c r="C60" s="12" t="s">
        <v>61</v>
      </c>
      <c r="D60" s="303" t="str">
        <f>COVER!B32</f>
        <v>외주 2COATING</v>
      </c>
      <c r="E60" s="13">
        <v>1</v>
      </c>
      <c r="F60" s="14">
        <f>IF(COVER!B10="APPLICATION",0,IF(D60="기존 단가",Y116,IF(D60="외주 2COATING",Z116,IF(D60="외주 3COATING",AA116))))</f>
        <v>0</v>
      </c>
      <c r="G60" s="14">
        <f t="shared" si="13"/>
        <v>0</v>
      </c>
      <c r="H60" s="14"/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f t="shared" si="1"/>
        <v>0</v>
      </c>
      <c r="T60" s="22"/>
    </row>
    <row r="61" spans="1:31" s="19" customFormat="1" ht="33" customHeight="1">
      <c r="A61" s="377"/>
      <c r="B61" s="11">
        <v>30</v>
      </c>
      <c r="C61" s="12" t="s">
        <v>62</v>
      </c>
      <c r="D61" s="303" t="str">
        <f>COVER!B33</f>
        <v>신규</v>
      </c>
      <c r="E61" s="13">
        <v>1</v>
      </c>
      <c r="F61" s="14">
        <f>IF(COVER!B10="APPLICATION",0,IF(D61="기존 단가",Y118,IF(D61="신규",Z118)))</f>
        <v>0</v>
      </c>
      <c r="G61" s="14">
        <f t="shared" si="13"/>
        <v>0</v>
      </c>
      <c r="H61" s="14"/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f t="shared" si="1"/>
        <v>0</v>
      </c>
      <c r="T61" s="22"/>
    </row>
    <row r="62" spans="1:31" s="19" customFormat="1" ht="33" customHeight="1">
      <c r="A62" s="378" t="s">
        <v>63</v>
      </c>
      <c r="B62" s="379"/>
      <c r="C62" s="379"/>
      <c r="D62" s="379"/>
      <c r="E62" s="379"/>
      <c r="F62" s="380"/>
      <c r="G62" s="14">
        <f>IF(COVER!B10="APPLICATION",0,IF(D55="GEAR",Y120,IF(D55="MOTOR",Z120,IF(D55="PNEUMATIC",AA120))))</f>
        <v>0</v>
      </c>
      <c r="H62" s="14"/>
      <c r="I62" s="32" t="s">
        <v>38</v>
      </c>
      <c r="J62" s="32"/>
      <c r="K62" s="32"/>
      <c r="L62" s="32"/>
      <c r="M62" s="32"/>
      <c r="N62" s="32"/>
      <c r="O62" s="32"/>
      <c r="P62" s="32"/>
      <c r="Q62" s="32"/>
      <c r="R62" s="33"/>
      <c r="S62" s="33">
        <f t="shared" si="1"/>
        <v>0</v>
      </c>
      <c r="T62" s="253"/>
      <c r="X62" s="19" t="s">
        <v>38</v>
      </c>
    </row>
    <row r="63" spans="1:31" s="19" customFormat="1" ht="33" customHeight="1">
      <c r="A63" s="360" t="s">
        <v>64</v>
      </c>
      <c r="B63" s="361"/>
      <c r="C63" s="361"/>
      <c r="D63" s="361"/>
      <c r="E63" s="361"/>
      <c r="F63" s="362"/>
      <c r="G63" s="14"/>
      <c r="H63" s="14"/>
      <c r="I63" s="32"/>
      <c r="J63" s="32"/>
      <c r="K63" s="32"/>
      <c r="L63" s="32"/>
      <c r="M63" s="32"/>
      <c r="N63" s="32"/>
      <c r="O63" s="32"/>
      <c r="P63" s="32"/>
      <c r="Q63" s="32"/>
      <c r="R63" s="33"/>
      <c r="S63" s="33"/>
      <c r="T63" s="253" t="s">
        <v>1526</v>
      </c>
    </row>
    <row r="64" spans="1:31" s="19" customFormat="1" ht="33" customHeight="1">
      <c r="A64" s="378" t="s">
        <v>65</v>
      </c>
      <c r="B64" s="379"/>
      <c r="C64" s="379"/>
      <c r="D64" s="379"/>
      <c r="E64" s="379"/>
      <c r="F64" s="380"/>
      <c r="G64" s="93" t="s">
        <v>38</v>
      </c>
      <c r="H64" s="93"/>
      <c r="I64" s="32"/>
      <c r="J64" s="94"/>
      <c r="K64" s="94"/>
      <c r="L64" s="94"/>
      <c r="M64" s="94"/>
      <c r="N64" s="94"/>
      <c r="O64" s="94"/>
      <c r="P64" s="94"/>
      <c r="Q64" s="94"/>
      <c r="R64" s="94"/>
      <c r="S64" s="34">
        <f>SUM(S8:S63)</f>
        <v>2976715</v>
      </c>
      <c r="T64" s="254" t="s">
        <v>145</v>
      </c>
    </row>
    <row r="65" spans="1:32" s="19" customFormat="1" ht="33" customHeight="1">
      <c r="A65" s="378" t="s">
        <v>66</v>
      </c>
      <c r="B65" s="379"/>
      <c r="C65" s="379"/>
      <c r="D65" s="379"/>
      <c r="E65" s="379"/>
      <c r="F65" s="380"/>
      <c r="G65" s="32">
        <v>0.1</v>
      </c>
      <c r="H65" s="32"/>
      <c r="I65" s="32" t="s">
        <v>38</v>
      </c>
      <c r="J65" s="32"/>
      <c r="K65" s="32"/>
      <c r="L65" s="32"/>
      <c r="M65" s="32"/>
      <c r="N65" s="32"/>
      <c r="O65" s="32"/>
      <c r="P65" s="32"/>
      <c r="Q65" s="32"/>
      <c r="R65" s="32"/>
      <c r="S65" s="35">
        <f>S64*G65</f>
        <v>297671.5</v>
      </c>
      <c r="T65" s="253"/>
    </row>
    <row r="66" spans="1:32" s="19" customFormat="1" ht="33" customHeight="1">
      <c r="A66" s="360" t="s">
        <v>67</v>
      </c>
      <c r="B66" s="361"/>
      <c r="C66" s="361"/>
      <c r="D66" s="361"/>
      <c r="E66" s="361"/>
      <c r="F66" s="362"/>
      <c r="G66" s="95">
        <v>0.1</v>
      </c>
      <c r="H66" s="95"/>
      <c r="I66" s="32" t="s">
        <v>38</v>
      </c>
      <c r="J66" s="32"/>
      <c r="K66" s="32"/>
      <c r="L66" s="32"/>
      <c r="M66" s="32"/>
      <c r="N66" s="32"/>
      <c r="O66" s="32"/>
      <c r="P66" s="32"/>
      <c r="Q66" s="32"/>
      <c r="R66" s="32"/>
      <c r="S66" s="35">
        <f>(S64+S65)*G66</f>
        <v>327438.65000000002</v>
      </c>
      <c r="T66" s="253" t="s">
        <v>38</v>
      </c>
    </row>
    <row r="67" spans="1:32" s="19" customFormat="1" ht="33" customHeight="1">
      <c r="A67" s="363" t="s">
        <v>68</v>
      </c>
      <c r="B67" s="364"/>
      <c r="C67" s="364"/>
      <c r="D67" s="364"/>
      <c r="E67" s="364"/>
      <c r="F67" s="365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294">
        <f>S64+S65+S66</f>
        <v>3601825.15</v>
      </c>
      <c r="T67" s="254" t="s">
        <v>69</v>
      </c>
    </row>
    <row r="68" spans="1:32" s="19" customFormat="1" ht="33" customHeight="1">
      <c r="A68" s="366" t="s">
        <v>70</v>
      </c>
      <c r="B68" s="367"/>
      <c r="C68" s="367"/>
      <c r="D68" s="367"/>
      <c r="E68" s="367"/>
      <c r="F68" s="368"/>
      <c r="G68" s="32">
        <f>COVER!B11</f>
        <v>1.5</v>
      </c>
      <c r="H68" s="32"/>
      <c r="I68" s="32" t="s">
        <v>38</v>
      </c>
      <c r="J68" s="32"/>
      <c r="K68" s="32"/>
      <c r="L68" s="32"/>
      <c r="M68" s="32"/>
      <c r="N68" s="32"/>
      <c r="O68" s="32"/>
      <c r="P68" s="32"/>
      <c r="Q68" s="32"/>
      <c r="R68" s="32"/>
      <c r="S68" s="36">
        <f>S67*G68</f>
        <v>5402737.7249999996</v>
      </c>
      <c r="T68" s="253"/>
    </row>
    <row r="69" spans="1:32" s="19" customFormat="1" ht="33" customHeight="1">
      <c r="A69" s="369" t="s">
        <v>71</v>
      </c>
      <c r="B69" s="370"/>
      <c r="C69" s="370"/>
      <c r="D69" s="370"/>
      <c r="E69" s="370"/>
      <c r="F69" s="370"/>
      <c r="G69" s="371"/>
      <c r="H69" s="37"/>
      <c r="I69" s="38"/>
      <c r="J69" s="38"/>
      <c r="K69" s="38"/>
      <c r="L69" s="38"/>
      <c r="M69" s="38"/>
      <c r="N69" s="38"/>
      <c r="O69" s="38"/>
      <c r="P69" s="38"/>
      <c r="Q69" s="38"/>
      <c r="R69" s="39" t="s">
        <v>17</v>
      </c>
      <c r="S69" s="40">
        <f>S68</f>
        <v>5402737.7249999996</v>
      </c>
      <c r="T69" s="246" t="s">
        <v>72</v>
      </c>
      <c r="V69" s="141" t="s">
        <v>862</v>
      </c>
      <c r="W69" s="140"/>
      <c r="X69" s="140"/>
      <c r="Y69" s="140"/>
      <c r="Z69" s="140"/>
      <c r="AA69" s="140"/>
      <c r="AB69" s="140"/>
      <c r="AC69" s="140"/>
      <c r="AD69" s="140"/>
      <c r="AE69" s="140"/>
      <c r="AF69" s="140"/>
    </row>
    <row r="70" spans="1:32" s="19" customFormat="1" ht="33" customHeight="1" thickBot="1">
      <c r="A70" s="372"/>
      <c r="B70" s="373"/>
      <c r="C70" s="373"/>
      <c r="D70" s="373"/>
      <c r="E70" s="373"/>
      <c r="F70" s="373"/>
      <c r="G70" s="374"/>
      <c r="H70" s="41"/>
      <c r="I70" s="42"/>
      <c r="J70" s="42"/>
      <c r="K70" s="42"/>
      <c r="L70" s="42"/>
      <c r="M70" s="42"/>
      <c r="N70" s="42"/>
      <c r="O70" s="42"/>
      <c r="P70" s="42"/>
      <c r="Q70" s="42"/>
      <c r="R70" s="43" t="s">
        <v>18</v>
      </c>
      <c r="S70" s="43">
        <f>S64*G68</f>
        <v>4465072.5</v>
      </c>
      <c r="T70" s="247" t="s">
        <v>73</v>
      </c>
      <c r="V70" s="141" t="s">
        <v>1375</v>
      </c>
      <c r="W70" s="140"/>
      <c r="X70" s="140"/>
      <c r="Y70" s="140"/>
      <c r="Z70" s="140"/>
      <c r="AA70" s="140"/>
      <c r="AB70" s="140"/>
      <c r="AC70" s="140"/>
      <c r="AD70" s="140"/>
      <c r="AE70" s="140"/>
      <c r="AF70" s="140"/>
    </row>
    <row r="71" spans="1:32" ht="15" thickBot="1">
      <c r="V71" s="140"/>
      <c r="W71" s="140"/>
      <c r="X71" s="140"/>
      <c r="Y71" s="140"/>
      <c r="Z71" s="140"/>
      <c r="AA71" s="140"/>
      <c r="AB71" s="140"/>
      <c r="AC71" s="140"/>
      <c r="AD71" s="140"/>
      <c r="AE71" s="140"/>
      <c r="AF71" s="140"/>
    </row>
    <row r="72" spans="1:32" ht="21" thickBot="1">
      <c r="C72" s="44" t="s">
        <v>310</v>
      </c>
      <c r="V72" s="193" t="s">
        <v>863</v>
      </c>
      <c r="W72" s="194" t="s">
        <v>864</v>
      </c>
      <c r="X72" s="194" t="s">
        <v>865</v>
      </c>
      <c r="Y72" s="358" t="s">
        <v>866</v>
      </c>
      <c r="Z72" s="358"/>
      <c r="AA72" s="358"/>
      <c r="AB72" s="358"/>
      <c r="AC72" s="358"/>
      <c r="AD72" s="358"/>
      <c r="AE72" s="358"/>
      <c r="AF72" s="218" t="s">
        <v>867</v>
      </c>
    </row>
    <row r="73" spans="1:32" ht="20.399999999999999">
      <c r="C73" s="44" t="s">
        <v>75</v>
      </c>
      <c r="V73" s="336" t="s">
        <v>868</v>
      </c>
      <c r="W73" s="111" t="s">
        <v>869</v>
      </c>
      <c r="X73" s="111" t="s">
        <v>1376</v>
      </c>
      <c r="Y73" s="345" t="s">
        <v>870</v>
      </c>
      <c r="Z73" s="345"/>
      <c r="AA73" s="345"/>
      <c r="AB73" s="345"/>
      <c r="AC73" s="345"/>
      <c r="AD73" s="345"/>
      <c r="AE73" s="345"/>
      <c r="AF73" s="161" t="s">
        <v>871</v>
      </c>
    </row>
    <row r="74" spans="1:32" ht="21" thickBot="1">
      <c r="C74" s="44" t="s">
        <v>76</v>
      </c>
      <c r="V74" s="342"/>
      <c r="W74" s="133" t="s">
        <v>872</v>
      </c>
      <c r="X74" s="219" t="s">
        <v>457</v>
      </c>
      <c r="Y74" s="346" t="s">
        <v>870</v>
      </c>
      <c r="Z74" s="346"/>
      <c r="AA74" s="346"/>
      <c r="AB74" s="346"/>
      <c r="AC74" s="346"/>
      <c r="AD74" s="346"/>
      <c r="AE74" s="346"/>
      <c r="AF74" s="195" t="s">
        <v>871</v>
      </c>
    </row>
    <row r="75" spans="1:32" ht="21" thickBot="1">
      <c r="C75" s="44" t="s">
        <v>77</v>
      </c>
      <c r="V75" s="196" t="s">
        <v>874</v>
      </c>
      <c r="W75" s="137" t="s">
        <v>875</v>
      </c>
      <c r="X75" s="137" t="s">
        <v>1377</v>
      </c>
      <c r="Y75" s="359" t="s">
        <v>870</v>
      </c>
      <c r="Z75" s="359"/>
      <c r="AA75" s="359"/>
      <c r="AB75" s="359"/>
      <c r="AC75" s="359"/>
      <c r="AD75" s="359"/>
      <c r="AE75" s="359"/>
      <c r="AF75" s="197" t="s">
        <v>871</v>
      </c>
    </row>
    <row r="76" spans="1:32" ht="20.399999999999999">
      <c r="C76" s="44" t="s">
        <v>78</v>
      </c>
      <c r="V76" s="336" t="s">
        <v>877</v>
      </c>
      <c r="W76" s="111" t="s">
        <v>846</v>
      </c>
      <c r="X76" s="354">
        <v>160100</v>
      </c>
      <c r="Y76" s="354"/>
      <c r="Z76" s="354"/>
      <c r="AA76" s="354"/>
      <c r="AB76" s="354"/>
      <c r="AC76" s="354"/>
      <c r="AD76" s="354"/>
      <c r="AE76" s="354"/>
      <c r="AF76" s="161"/>
    </row>
    <row r="77" spans="1:32" ht="21" thickBot="1">
      <c r="C77" s="44" t="s">
        <v>79</v>
      </c>
      <c r="V77" s="329"/>
      <c r="W77" s="125" t="s">
        <v>847</v>
      </c>
      <c r="X77" s="355">
        <v>224200</v>
      </c>
      <c r="Y77" s="355"/>
      <c r="Z77" s="355"/>
      <c r="AA77" s="355"/>
      <c r="AB77" s="355"/>
      <c r="AC77" s="355"/>
      <c r="AD77" s="355"/>
      <c r="AE77" s="355"/>
      <c r="AF77" s="208"/>
    </row>
    <row r="78" spans="1:32" ht="20.399999999999999">
      <c r="C78" s="44" t="s">
        <v>80</v>
      </c>
      <c r="V78" s="336" t="s">
        <v>878</v>
      </c>
      <c r="W78" s="343" t="s">
        <v>1378</v>
      </c>
      <c r="X78" s="345" t="s">
        <v>879</v>
      </c>
      <c r="Y78" s="111" t="s">
        <v>880</v>
      </c>
      <c r="Z78" s="111">
        <v>304</v>
      </c>
      <c r="AA78" s="111" t="s">
        <v>881</v>
      </c>
      <c r="AB78" s="111" t="s">
        <v>882</v>
      </c>
      <c r="AC78" s="111" t="s">
        <v>883</v>
      </c>
      <c r="AD78" s="111" t="s">
        <v>884</v>
      </c>
      <c r="AE78" s="111" t="s">
        <v>885</v>
      </c>
      <c r="AF78" s="161"/>
    </row>
    <row r="79" spans="1:32" ht="20.399999999999999">
      <c r="C79" s="45"/>
      <c r="V79" s="337"/>
      <c r="W79" s="356"/>
      <c r="X79" s="357"/>
      <c r="Y79" s="116">
        <v>72030</v>
      </c>
      <c r="Z79" s="116">
        <v>51830</v>
      </c>
      <c r="AA79" s="116">
        <v>118590</v>
      </c>
      <c r="AB79" s="116">
        <v>42185</v>
      </c>
      <c r="AC79" s="116">
        <v>97820</v>
      </c>
      <c r="AD79" s="116">
        <v>128037</v>
      </c>
      <c r="AE79" s="116">
        <v>704000</v>
      </c>
      <c r="AF79" s="214" t="s">
        <v>886</v>
      </c>
    </row>
    <row r="80" spans="1:32" ht="21" thickBot="1">
      <c r="C80" s="44" t="s">
        <v>81</v>
      </c>
      <c r="V80" s="132" t="s">
        <v>887</v>
      </c>
      <c r="W80" s="286" t="s">
        <v>995</v>
      </c>
      <c r="X80" s="133" t="s">
        <v>981</v>
      </c>
      <c r="Y80" s="134">
        <v>1500</v>
      </c>
      <c r="Z80" s="134">
        <v>1080</v>
      </c>
      <c r="AA80" s="134">
        <v>3375</v>
      </c>
      <c r="AB80" s="134">
        <v>1550</v>
      </c>
      <c r="AC80" s="134">
        <v>2040</v>
      </c>
      <c r="AD80" s="134">
        <v>3504</v>
      </c>
      <c r="AE80" s="134">
        <v>26400</v>
      </c>
      <c r="AF80" s="195" t="s">
        <v>889</v>
      </c>
    </row>
    <row r="81" spans="3:32" ht="20.399999999999999">
      <c r="C81" s="46" t="s">
        <v>82</v>
      </c>
      <c r="V81" s="331" t="s">
        <v>890</v>
      </c>
      <c r="W81" s="352" t="s">
        <v>1379</v>
      </c>
      <c r="X81" s="328" t="s">
        <v>879</v>
      </c>
      <c r="Y81" s="198">
        <v>304</v>
      </c>
      <c r="Z81" s="198" t="s">
        <v>880</v>
      </c>
      <c r="AA81" s="198" t="s">
        <v>892</v>
      </c>
      <c r="AB81" s="199"/>
      <c r="AC81" s="199"/>
      <c r="AD81" s="199"/>
      <c r="AE81" s="199"/>
      <c r="AF81" s="206"/>
    </row>
    <row r="82" spans="3:32" ht="21" thickBot="1">
      <c r="C82" s="46" t="s">
        <v>387</v>
      </c>
      <c r="V82" s="329"/>
      <c r="W82" s="353"/>
      <c r="X82" s="327"/>
      <c r="Y82" s="126">
        <v>61000</v>
      </c>
      <c r="Z82" s="126">
        <v>76000</v>
      </c>
      <c r="AA82" s="126">
        <v>48000</v>
      </c>
      <c r="AB82" s="200"/>
      <c r="AC82" s="200"/>
      <c r="AD82" s="200"/>
      <c r="AE82" s="200"/>
      <c r="AF82" s="208"/>
    </row>
    <row r="83" spans="3:32" ht="20.399999999999999">
      <c r="C83" s="46" t="s">
        <v>84</v>
      </c>
      <c r="V83" s="336" t="s">
        <v>893</v>
      </c>
      <c r="W83" s="343" t="s">
        <v>1380</v>
      </c>
      <c r="X83" s="345" t="s">
        <v>879</v>
      </c>
      <c r="Y83" s="111" t="s">
        <v>895</v>
      </c>
      <c r="Z83" s="111" t="s">
        <v>896</v>
      </c>
      <c r="AA83" s="201"/>
      <c r="AB83" s="201"/>
      <c r="AC83" s="201"/>
      <c r="AD83" s="201"/>
      <c r="AE83" s="201"/>
      <c r="AF83" s="161"/>
    </row>
    <row r="84" spans="3:32" ht="21" thickBot="1">
      <c r="C84" s="46" t="s">
        <v>85</v>
      </c>
      <c r="V84" s="342"/>
      <c r="W84" s="344"/>
      <c r="X84" s="346"/>
      <c r="Y84" s="296">
        <v>32100</v>
      </c>
      <c r="Z84" s="296">
        <v>40000</v>
      </c>
      <c r="AA84" s="203"/>
      <c r="AB84" s="203"/>
      <c r="AC84" s="203"/>
      <c r="AD84" s="203"/>
      <c r="AE84" s="203"/>
      <c r="AF84" s="195" t="s">
        <v>958</v>
      </c>
    </row>
    <row r="85" spans="3:32" ht="20.399999999999999">
      <c r="C85" s="46" t="s">
        <v>86</v>
      </c>
      <c r="V85" s="331" t="s">
        <v>898</v>
      </c>
      <c r="W85" s="287" t="s">
        <v>1381</v>
      </c>
      <c r="X85" s="198" t="s">
        <v>900</v>
      </c>
      <c r="Y85" s="113">
        <v>12000</v>
      </c>
      <c r="Z85" s="205"/>
      <c r="AA85" s="205"/>
      <c r="AB85" s="205"/>
      <c r="AC85" s="205"/>
      <c r="AD85" s="205"/>
      <c r="AE85" s="205"/>
      <c r="AF85" s="350" t="s">
        <v>901</v>
      </c>
    </row>
    <row r="86" spans="3:32" ht="21" thickBot="1">
      <c r="C86" s="46" t="s">
        <v>87</v>
      </c>
      <c r="V86" s="329"/>
      <c r="W86" s="288" t="s">
        <v>1382</v>
      </c>
      <c r="X86" s="125" t="s">
        <v>463</v>
      </c>
      <c r="Y86" s="126">
        <v>9400</v>
      </c>
      <c r="Z86" s="200"/>
      <c r="AA86" s="200"/>
      <c r="AB86" s="200"/>
      <c r="AC86" s="200"/>
      <c r="AD86" s="200"/>
      <c r="AE86" s="200"/>
      <c r="AF86" s="351"/>
    </row>
    <row r="87" spans="3:32" ht="21" thickBot="1">
      <c r="C87" s="46" t="s">
        <v>88</v>
      </c>
      <c r="V87" s="193" t="s">
        <v>904</v>
      </c>
      <c r="W87" s="289" t="s">
        <v>996</v>
      </c>
      <c r="X87" s="194" t="s">
        <v>463</v>
      </c>
      <c r="Y87" s="210">
        <v>2520</v>
      </c>
      <c r="Z87" s="211"/>
      <c r="AA87" s="211"/>
      <c r="AB87" s="211"/>
      <c r="AC87" s="211"/>
      <c r="AD87" s="211"/>
      <c r="AE87" s="211"/>
      <c r="AF87" s="218"/>
    </row>
    <row r="88" spans="3:32" ht="20.399999999999999">
      <c r="C88" s="47" t="s">
        <v>89</v>
      </c>
      <c r="V88" s="336" t="s">
        <v>906</v>
      </c>
      <c r="W88" s="345"/>
      <c r="X88" s="345"/>
      <c r="Y88" s="111" t="s">
        <v>853</v>
      </c>
      <c r="Z88" s="111" t="s">
        <v>462</v>
      </c>
      <c r="AA88" s="111" t="s">
        <v>855</v>
      </c>
      <c r="AB88" s="201"/>
      <c r="AC88" s="201"/>
      <c r="AD88" s="201"/>
      <c r="AE88" s="201"/>
      <c r="AF88" s="161"/>
    </row>
    <row r="89" spans="3:32" ht="20.399999999999999">
      <c r="C89" s="48"/>
      <c r="V89" s="119" t="s">
        <v>907</v>
      </c>
      <c r="W89" s="290" t="s">
        <v>1065</v>
      </c>
      <c r="X89" s="115" t="s">
        <v>909</v>
      </c>
      <c r="Y89" s="116">
        <v>3800</v>
      </c>
      <c r="Z89" s="116">
        <v>4200</v>
      </c>
      <c r="AA89" s="116">
        <v>2500</v>
      </c>
      <c r="AB89" s="213"/>
      <c r="AC89" s="213"/>
      <c r="AD89" s="213"/>
      <c r="AE89" s="213"/>
      <c r="AF89" s="214" t="s">
        <v>910</v>
      </c>
    </row>
    <row r="90" spans="3:32" ht="20.399999999999999">
      <c r="C90" s="46" t="s">
        <v>38</v>
      </c>
      <c r="V90" s="119" t="s">
        <v>911</v>
      </c>
      <c r="W90" s="290" t="s">
        <v>997</v>
      </c>
      <c r="X90" s="115" t="s">
        <v>909</v>
      </c>
      <c r="Y90" s="116">
        <v>7000</v>
      </c>
      <c r="Z90" s="116">
        <v>7800</v>
      </c>
      <c r="AA90" s="116">
        <v>4300</v>
      </c>
      <c r="AB90" s="213"/>
      <c r="AC90" s="213"/>
      <c r="AD90" s="213"/>
      <c r="AE90" s="213"/>
      <c r="AF90" s="214" t="s">
        <v>910</v>
      </c>
    </row>
    <row r="91" spans="3:32" ht="20.399999999999999">
      <c r="C91" s="44" t="s">
        <v>90</v>
      </c>
      <c r="V91" s="119" t="s">
        <v>913</v>
      </c>
      <c r="W91" s="290" t="s">
        <v>1383</v>
      </c>
      <c r="X91" s="115" t="s">
        <v>888</v>
      </c>
      <c r="Y91" s="116">
        <v>300</v>
      </c>
      <c r="Z91" s="116">
        <v>500</v>
      </c>
      <c r="AA91" s="116">
        <v>300</v>
      </c>
      <c r="AB91" s="213"/>
      <c r="AC91" s="213"/>
      <c r="AD91" s="213"/>
      <c r="AE91" s="213"/>
      <c r="AF91" s="214" t="s">
        <v>910</v>
      </c>
    </row>
    <row r="92" spans="3:32" ht="20.399999999999999">
      <c r="C92" s="46" t="s">
        <v>91</v>
      </c>
      <c r="V92" s="119" t="s">
        <v>913</v>
      </c>
      <c r="W92" s="290" t="s">
        <v>1366</v>
      </c>
      <c r="X92" s="115" t="s">
        <v>993</v>
      </c>
      <c r="Y92" s="116">
        <v>300</v>
      </c>
      <c r="Z92" s="116">
        <v>500</v>
      </c>
      <c r="AA92" s="116">
        <v>300</v>
      </c>
      <c r="AB92" s="213"/>
      <c r="AC92" s="213"/>
      <c r="AD92" s="213"/>
      <c r="AE92" s="213"/>
      <c r="AF92" s="214" t="s">
        <v>910</v>
      </c>
    </row>
    <row r="93" spans="3:32" ht="20.399999999999999">
      <c r="C93" s="46" t="s">
        <v>92</v>
      </c>
      <c r="V93" s="119" t="s">
        <v>916</v>
      </c>
      <c r="W93" s="290" t="s">
        <v>1000</v>
      </c>
      <c r="X93" s="115" t="s">
        <v>915</v>
      </c>
      <c r="Y93" s="116">
        <v>2000</v>
      </c>
      <c r="Z93" s="116">
        <v>2500</v>
      </c>
      <c r="AA93" s="116">
        <v>1500</v>
      </c>
      <c r="AB93" s="213"/>
      <c r="AC93" s="213"/>
      <c r="AD93" s="213"/>
      <c r="AE93" s="213"/>
      <c r="AF93" s="214" t="s">
        <v>910</v>
      </c>
    </row>
    <row r="94" spans="3:32" ht="18" thickBot="1">
      <c r="V94" s="170" t="s">
        <v>918</v>
      </c>
      <c r="W94" s="288" t="s">
        <v>1001</v>
      </c>
      <c r="X94" s="125" t="s">
        <v>915</v>
      </c>
      <c r="Y94" s="126">
        <v>1500</v>
      </c>
      <c r="Z94" s="126">
        <v>2000</v>
      </c>
      <c r="AA94" s="126">
        <v>1500</v>
      </c>
      <c r="AB94" s="200"/>
      <c r="AC94" s="200"/>
      <c r="AD94" s="200"/>
      <c r="AE94" s="200"/>
      <c r="AF94" s="208" t="s">
        <v>910</v>
      </c>
    </row>
    <row r="95" spans="3:32" ht="18" thickBot="1">
      <c r="V95" s="105" t="s">
        <v>920</v>
      </c>
      <c r="W95" s="291" t="s">
        <v>1002</v>
      </c>
      <c r="X95" s="103" t="s">
        <v>879</v>
      </c>
      <c r="Y95" s="216">
        <v>21900</v>
      </c>
      <c r="Z95" s="217"/>
      <c r="AA95" s="217"/>
      <c r="AB95" s="217"/>
      <c r="AC95" s="217"/>
      <c r="AD95" s="217"/>
      <c r="AE95" s="217"/>
      <c r="AF95" s="107"/>
    </row>
    <row r="96" spans="3:32" s="228" customFormat="1" ht="14.4">
      <c r="C96" s="227"/>
      <c r="V96" s="336" t="s">
        <v>922</v>
      </c>
      <c r="W96" s="345"/>
      <c r="X96" s="345"/>
      <c r="Y96" s="111" t="s">
        <v>923</v>
      </c>
      <c r="Z96" s="111" t="s">
        <v>924</v>
      </c>
      <c r="AA96" s="201"/>
      <c r="AB96" s="201"/>
      <c r="AC96" s="201"/>
      <c r="AD96" s="201"/>
      <c r="AE96" s="201"/>
      <c r="AF96" s="161"/>
    </row>
    <row r="97" spans="3:32" s="228" customFormat="1" ht="17.399999999999999">
      <c r="C97" s="227"/>
      <c r="V97" s="170" t="s">
        <v>925</v>
      </c>
      <c r="W97" s="290" t="s">
        <v>1384</v>
      </c>
      <c r="X97" s="115" t="s">
        <v>888</v>
      </c>
      <c r="Y97" s="116">
        <v>66800</v>
      </c>
      <c r="Z97" s="116">
        <v>46800</v>
      </c>
      <c r="AA97" s="213"/>
      <c r="AB97" s="213"/>
      <c r="AC97" s="213"/>
      <c r="AD97" s="213"/>
      <c r="AE97" s="213"/>
      <c r="AF97" s="214" t="s">
        <v>889</v>
      </c>
    </row>
    <row r="98" spans="3:32" ht="17.399999999999999">
      <c r="V98" s="170" t="s">
        <v>926</v>
      </c>
      <c r="W98" s="290" t="s">
        <v>1385</v>
      </c>
      <c r="X98" s="115" t="s">
        <v>888</v>
      </c>
      <c r="Y98" s="116">
        <v>56000</v>
      </c>
      <c r="Z98" s="116">
        <v>41000</v>
      </c>
      <c r="AA98" s="213"/>
      <c r="AB98" s="213"/>
      <c r="AC98" s="213"/>
      <c r="AD98" s="213"/>
      <c r="AE98" s="213"/>
      <c r="AF98" s="214" t="s">
        <v>889</v>
      </c>
    </row>
    <row r="99" spans="3:32" ht="17.399999999999999">
      <c r="V99" s="119" t="s">
        <v>927</v>
      </c>
      <c r="W99" s="290" t="s">
        <v>1003</v>
      </c>
      <c r="X99" s="115" t="s">
        <v>879</v>
      </c>
      <c r="Y99" s="116">
        <v>39500</v>
      </c>
      <c r="Z99" s="116">
        <v>51600</v>
      </c>
      <c r="AA99" s="213"/>
      <c r="AB99" s="213"/>
      <c r="AC99" s="213"/>
      <c r="AD99" s="213"/>
      <c r="AE99" s="213"/>
      <c r="AF99" s="214" t="s">
        <v>889</v>
      </c>
    </row>
    <row r="100" spans="3:32" ht="17.399999999999999">
      <c r="V100" s="119" t="s">
        <v>929</v>
      </c>
      <c r="W100" s="290" t="s">
        <v>1004</v>
      </c>
      <c r="X100" s="115" t="s">
        <v>879</v>
      </c>
      <c r="Y100" s="116">
        <v>8600</v>
      </c>
      <c r="Z100" s="116">
        <v>9600</v>
      </c>
      <c r="AA100" s="213"/>
      <c r="AB100" s="213"/>
      <c r="AC100" s="213"/>
      <c r="AD100" s="213"/>
      <c r="AE100" s="213"/>
      <c r="AF100" s="214" t="s">
        <v>889</v>
      </c>
    </row>
    <row r="101" spans="3:32" ht="17.399999999999999">
      <c r="V101" s="119" t="s">
        <v>931</v>
      </c>
      <c r="W101" s="290" t="s">
        <v>1005</v>
      </c>
      <c r="X101" s="115" t="s">
        <v>879</v>
      </c>
      <c r="Y101" s="116">
        <v>21000</v>
      </c>
      <c r="Z101" s="116">
        <v>12600</v>
      </c>
      <c r="AA101" s="213"/>
      <c r="AB101" s="213"/>
      <c r="AC101" s="213"/>
      <c r="AD101" s="213"/>
      <c r="AE101" s="213"/>
      <c r="AF101" s="214" t="s">
        <v>889</v>
      </c>
    </row>
    <row r="102" spans="3:32" ht="17.399999999999999">
      <c r="V102" s="119" t="s">
        <v>933</v>
      </c>
      <c r="W102" s="290" t="s">
        <v>1006</v>
      </c>
      <c r="X102" s="115" t="s">
        <v>888</v>
      </c>
      <c r="Y102" s="116">
        <v>19000</v>
      </c>
      <c r="Z102" s="116">
        <v>20800</v>
      </c>
      <c r="AA102" s="213"/>
      <c r="AB102" s="213"/>
      <c r="AC102" s="213"/>
      <c r="AD102" s="213"/>
      <c r="AE102" s="213"/>
      <c r="AF102" s="214" t="s">
        <v>889</v>
      </c>
    </row>
    <row r="103" spans="3:32" ht="18" thickBot="1">
      <c r="V103" s="132" t="s">
        <v>935</v>
      </c>
      <c r="W103" s="286" t="s">
        <v>1007</v>
      </c>
      <c r="X103" s="133" t="s">
        <v>888</v>
      </c>
      <c r="Y103" s="134">
        <v>2940</v>
      </c>
      <c r="Z103" s="134">
        <v>15600</v>
      </c>
      <c r="AA103" s="203"/>
      <c r="AB103" s="203"/>
      <c r="AC103" s="203"/>
      <c r="AD103" s="203"/>
      <c r="AE103" s="203"/>
      <c r="AF103" s="195" t="s">
        <v>889</v>
      </c>
    </row>
    <row r="104" spans="3:32" ht="14.4" customHeight="1">
      <c r="V104" s="331" t="s">
        <v>937</v>
      </c>
      <c r="W104" s="352" t="s">
        <v>1008</v>
      </c>
      <c r="X104" s="328" t="s">
        <v>879</v>
      </c>
      <c r="Y104" s="198" t="s">
        <v>741</v>
      </c>
      <c r="Z104" s="198">
        <v>316</v>
      </c>
      <c r="AA104" s="198">
        <v>304</v>
      </c>
      <c r="AB104" s="199"/>
      <c r="AC104" s="199"/>
      <c r="AD104" s="199"/>
      <c r="AE104" s="199"/>
      <c r="AF104" s="347" t="s">
        <v>940</v>
      </c>
    </row>
    <row r="105" spans="3:32" ht="15" customHeight="1" thickBot="1">
      <c r="V105" s="329"/>
      <c r="W105" s="353"/>
      <c r="X105" s="327"/>
      <c r="Y105" s="126">
        <v>6380</v>
      </c>
      <c r="Z105" s="126">
        <v>23000</v>
      </c>
      <c r="AA105" s="126">
        <v>17885</v>
      </c>
      <c r="AB105" s="200"/>
      <c r="AC105" s="200"/>
      <c r="AD105" s="200"/>
      <c r="AE105" s="200"/>
      <c r="AF105" s="348"/>
    </row>
    <row r="106" spans="3:32" ht="14.4" customHeight="1">
      <c r="V106" s="336" t="s">
        <v>985</v>
      </c>
      <c r="W106" s="343" t="s">
        <v>1009</v>
      </c>
      <c r="X106" s="111" t="s">
        <v>986</v>
      </c>
      <c r="Y106" s="111" t="s">
        <v>466</v>
      </c>
      <c r="Z106" s="111" t="s">
        <v>988</v>
      </c>
      <c r="AA106" s="111" t="s">
        <v>989</v>
      </c>
      <c r="AB106" s="111" t="s">
        <v>990</v>
      </c>
      <c r="AC106" s="201"/>
      <c r="AD106" s="201"/>
      <c r="AE106" s="201"/>
      <c r="AF106" s="347" t="s">
        <v>991</v>
      </c>
    </row>
    <row r="107" spans="3:32" ht="15" customHeight="1" thickBot="1">
      <c r="V107" s="342"/>
      <c r="W107" s="344"/>
      <c r="X107" s="221">
        <v>19</v>
      </c>
      <c r="Y107" s="433" t="s">
        <v>870</v>
      </c>
      <c r="Z107" s="434"/>
      <c r="AA107" s="134">
        <v>32400</v>
      </c>
      <c r="AB107" s="134">
        <v>50000</v>
      </c>
      <c r="AC107" s="203"/>
      <c r="AD107" s="203"/>
      <c r="AE107" s="203"/>
      <c r="AF107" s="348"/>
    </row>
    <row r="114" spans="22:32" ht="13.8" thickBot="1"/>
    <row r="115" spans="22:32" ht="30" customHeight="1">
      <c r="V115" s="336" t="s">
        <v>1516</v>
      </c>
      <c r="W115" s="338"/>
      <c r="X115" s="340"/>
      <c r="Y115" s="171" t="s">
        <v>1517</v>
      </c>
      <c r="Z115" s="171" t="s">
        <v>1518</v>
      </c>
      <c r="AA115" s="171" t="s">
        <v>1519</v>
      </c>
      <c r="AB115" s="171"/>
      <c r="AC115" s="171"/>
      <c r="AD115" s="171"/>
      <c r="AE115" s="171"/>
      <c r="AF115" s="172"/>
    </row>
    <row r="116" spans="22:32" ht="30" customHeight="1" thickBot="1">
      <c r="V116" s="337"/>
      <c r="W116" s="339"/>
      <c r="X116" s="341"/>
      <c r="Y116" s="173">
        <v>120000</v>
      </c>
      <c r="Z116" s="173">
        <f>IF(F8&gt;0,E8*520,IF(F9&gt;0,E9*520))</f>
        <v>107120</v>
      </c>
      <c r="AA116" s="173">
        <f>IF(F8&gt;0,E8*620,IF(F9&gt;0,E9*620))</f>
        <v>127720</v>
      </c>
      <c r="AB116" s="173"/>
      <c r="AC116" s="173"/>
      <c r="AD116" s="173"/>
      <c r="AE116" s="173"/>
      <c r="AF116" s="174"/>
    </row>
    <row r="117" spans="22:32" ht="30" customHeight="1">
      <c r="V117" s="336" t="s">
        <v>1520</v>
      </c>
      <c r="W117" s="338"/>
      <c r="X117" s="340"/>
      <c r="Y117" s="171" t="s">
        <v>1517</v>
      </c>
      <c r="Z117" s="171" t="s">
        <v>1521</v>
      </c>
      <c r="AA117" s="171"/>
      <c r="AB117" s="171"/>
      <c r="AC117" s="171"/>
      <c r="AD117" s="171"/>
      <c r="AE117" s="171"/>
      <c r="AF117" s="172"/>
    </row>
    <row r="118" spans="22:32" ht="30" customHeight="1" thickBot="1">
      <c r="V118" s="337"/>
      <c r="W118" s="339"/>
      <c r="X118" s="341"/>
      <c r="Y118" s="173">
        <v>150000</v>
      </c>
      <c r="Z118" s="173">
        <f>Y118</f>
        <v>150000</v>
      </c>
      <c r="AA118" s="173"/>
      <c r="AB118" s="173"/>
      <c r="AC118" s="173"/>
      <c r="AD118" s="173"/>
      <c r="AE118" s="173"/>
      <c r="AF118" s="174"/>
    </row>
    <row r="119" spans="22:32" ht="30" customHeight="1">
      <c r="V119" s="336" t="s">
        <v>1522</v>
      </c>
      <c r="W119" s="338"/>
      <c r="X119" s="340"/>
      <c r="Y119" s="171" t="s">
        <v>1523</v>
      </c>
      <c r="Z119" s="171" t="s">
        <v>1524</v>
      </c>
      <c r="AA119" s="171" t="s">
        <v>1525</v>
      </c>
      <c r="AB119" s="171"/>
      <c r="AC119" s="171"/>
      <c r="AD119" s="171"/>
      <c r="AE119" s="171"/>
      <c r="AF119" s="172"/>
    </row>
    <row r="120" spans="22:32" ht="30" customHeight="1">
      <c r="V120" s="337"/>
      <c r="W120" s="339"/>
      <c r="X120" s="341"/>
      <c r="Y120" s="306">
        <v>90000</v>
      </c>
      <c r="Z120" s="306">
        <v>180000</v>
      </c>
      <c r="AA120" s="173">
        <v>240000</v>
      </c>
      <c r="AB120" s="173"/>
      <c r="AC120" s="173"/>
      <c r="AD120" s="173"/>
      <c r="AE120" s="173"/>
      <c r="AF120" s="174"/>
    </row>
  </sheetData>
  <mergeCells count="67">
    <mergeCell ref="A1:S1"/>
    <mergeCell ref="A3:B4"/>
    <mergeCell ref="C3:C4"/>
    <mergeCell ref="D3:D4"/>
    <mergeCell ref="E3:E4"/>
    <mergeCell ref="F3:F4"/>
    <mergeCell ref="G3:G4"/>
    <mergeCell ref="H3:Q4"/>
    <mergeCell ref="R3:R4"/>
    <mergeCell ref="S3:S4"/>
    <mergeCell ref="T3:T7"/>
    <mergeCell ref="A5:B7"/>
    <mergeCell ref="C5:C7"/>
    <mergeCell ref="D5:D7"/>
    <mergeCell ref="E5:G6"/>
    <mergeCell ref="H5:H6"/>
    <mergeCell ref="I5:Q5"/>
    <mergeCell ref="R5:R7"/>
    <mergeCell ref="S5:S7"/>
    <mergeCell ref="A67:F67"/>
    <mergeCell ref="A68:F68"/>
    <mergeCell ref="A69:G70"/>
    <mergeCell ref="A8:A61"/>
    <mergeCell ref="A62:F62"/>
    <mergeCell ref="A63:F63"/>
    <mergeCell ref="A64:F64"/>
    <mergeCell ref="A65:F65"/>
    <mergeCell ref="A66:F66"/>
    <mergeCell ref="Y72:AE72"/>
    <mergeCell ref="V73:V74"/>
    <mergeCell ref="Y73:AE73"/>
    <mergeCell ref="Y74:AE74"/>
    <mergeCell ref="Y75:AE75"/>
    <mergeCell ref="V83:V84"/>
    <mergeCell ref="W83:W84"/>
    <mergeCell ref="X83:X84"/>
    <mergeCell ref="V76:V77"/>
    <mergeCell ref="X76:AE76"/>
    <mergeCell ref="X77:AE77"/>
    <mergeCell ref="V78:V79"/>
    <mergeCell ref="W78:W79"/>
    <mergeCell ref="X78:X79"/>
    <mergeCell ref="V106:V107"/>
    <mergeCell ref="W106:W107"/>
    <mergeCell ref="AF106:AF107"/>
    <mergeCell ref="Y107:Z107"/>
    <mergeCell ref="V3:V7"/>
    <mergeCell ref="V85:V86"/>
    <mergeCell ref="AF85:AF86"/>
    <mergeCell ref="V88:X88"/>
    <mergeCell ref="V96:X96"/>
    <mergeCell ref="V104:V105"/>
    <mergeCell ref="W104:W105"/>
    <mergeCell ref="X104:X105"/>
    <mergeCell ref="AF104:AF105"/>
    <mergeCell ref="V81:V82"/>
    <mergeCell ref="W81:W82"/>
    <mergeCell ref="X81:X82"/>
    <mergeCell ref="V119:V120"/>
    <mergeCell ref="W119:W120"/>
    <mergeCell ref="X119:X120"/>
    <mergeCell ref="V115:V116"/>
    <mergeCell ref="W115:W116"/>
    <mergeCell ref="X115:X116"/>
    <mergeCell ref="V117:V118"/>
    <mergeCell ref="W117:W118"/>
    <mergeCell ref="X117:X118"/>
  </mergeCells>
  <phoneticPr fontId="3" type="noConversion"/>
  <printOptions horizontalCentered="1"/>
  <pageMargins left="0.39370078740157483" right="0.39370078740157483" top="0.39370078740157483" bottom="0.15748031496062992" header="0.51181102362204722" footer="0.51181102362204722"/>
  <pageSetup paperSize="9" scale="45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00"/>
  </sheetPr>
  <dimension ref="A1:AF120"/>
  <sheetViews>
    <sheetView showGridLines="0" view="pageBreakPreview" zoomScale="70" zoomScaleNormal="55" zoomScaleSheetLayoutView="70" workbookViewId="0">
      <pane xSplit="7" ySplit="7" topLeftCell="H92" activePane="bottomRight" state="frozen"/>
      <selection activeCell="Y116" sqref="Y116"/>
      <selection pane="topRight" activeCell="Y116" sqref="Y116"/>
      <selection pane="bottomLeft" activeCell="Y116" sqref="Y116"/>
      <selection pane="bottomRight" activeCell="Y116" sqref="Y116"/>
    </sheetView>
  </sheetViews>
  <sheetFormatPr defaultColWidth="8.8984375" defaultRowHeight="13.2"/>
  <cols>
    <col min="1" max="1" width="3.3984375" style="3" customWidth="1"/>
    <col min="2" max="2" width="9.5" style="3" customWidth="1"/>
    <col min="3" max="3" width="25.19921875" style="49" customWidth="1"/>
    <col min="4" max="5" width="13.09765625" style="3" customWidth="1"/>
    <col min="6" max="7" width="15.09765625" style="3" customWidth="1"/>
    <col min="8" max="8" width="15.09765625" style="3" hidden="1" customWidth="1"/>
    <col min="9" max="17" width="15.69921875" style="3" hidden="1" customWidth="1"/>
    <col min="18" max="18" width="15.69921875" style="3" customWidth="1"/>
    <col min="19" max="19" width="26.8984375" style="3" customWidth="1"/>
    <col min="20" max="20" width="30.09765625" style="3" customWidth="1"/>
    <col min="21" max="21" width="12.796875" style="3" bestFit="1" customWidth="1"/>
    <col min="22" max="22" width="49.59765625" style="3" bestFit="1" customWidth="1"/>
    <col min="23" max="23" width="44.19921875" style="3" bestFit="1" customWidth="1"/>
    <col min="24" max="24" width="10.09765625" style="3" bestFit="1" customWidth="1"/>
    <col min="25" max="25" width="11.5" style="3" bestFit="1" customWidth="1"/>
    <col min="26" max="26" width="12.5" style="3" bestFit="1" customWidth="1"/>
    <col min="27" max="27" width="12.09765625" style="3" bestFit="1" customWidth="1"/>
    <col min="28" max="28" width="13.09765625" style="3" bestFit="1" customWidth="1"/>
    <col min="29" max="29" width="7.59765625" style="3" bestFit="1" customWidth="1"/>
    <col min="30" max="30" width="8.59765625" style="3" bestFit="1" customWidth="1"/>
    <col min="31" max="31" width="13.3984375" style="3" bestFit="1" customWidth="1"/>
    <col min="32" max="32" width="19" style="3" bestFit="1" customWidth="1"/>
    <col min="33" max="16384" width="8.8984375" style="3"/>
  </cols>
  <sheetData>
    <row r="1" spans="1:31" s="2" customFormat="1" ht="51" customHeight="1" thickBot="1">
      <c r="A1" s="411" t="s">
        <v>1312</v>
      </c>
      <c r="B1" s="412"/>
      <c r="C1" s="412"/>
      <c r="D1" s="412"/>
      <c r="E1" s="412"/>
      <c r="F1" s="412"/>
      <c r="G1" s="412"/>
      <c r="H1" s="412"/>
      <c r="I1" s="412"/>
      <c r="J1" s="412"/>
      <c r="K1" s="412"/>
      <c r="L1" s="412"/>
      <c r="M1" s="412"/>
      <c r="N1" s="412"/>
      <c r="O1" s="412"/>
      <c r="P1" s="412"/>
      <c r="Q1" s="412"/>
      <c r="R1" s="412"/>
      <c r="S1" s="412"/>
      <c r="T1" s="1"/>
    </row>
    <row r="2" spans="1:31" s="2" customFormat="1" ht="30" customHeight="1" thickBot="1">
      <c r="A2" s="3"/>
      <c r="B2" s="3"/>
      <c r="T2" s="4" t="s">
        <v>0</v>
      </c>
    </row>
    <row r="3" spans="1:31" s="5" customFormat="1" ht="24" customHeight="1">
      <c r="A3" s="413" t="s">
        <v>1</v>
      </c>
      <c r="B3" s="414"/>
      <c r="C3" s="417" t="s">
        <v>680</v>
      </c>
      <c r="D3" s="419" t="s">
        <v>3</v>
      </c>
      <c r="E3" s="421" t="s">
        <v>1313</v>
      </c>
      <c r="F3" s="423" t="s">
        <v>4</v>
      </c>
      <c r="G3" s="425" t="str">
        <f>COVER!B9</f>
        <v>FLANGE</v>
      </c>
      <c r="H3" s="421" t="s">
        <v>5</v>
      </c>
      <c r="I3" s="427"/>
      <c r="J3" s="427"/>
      <c r="K3" s="427"/>
      <c r="L3" s="427"/>
      <c r="M3" s="427"/>
      <c r="N3" s="427"/>
      <c r="O3" s="427"/>
      <c r="P3" s="427"/>
      <c r="Q3" s="428"/>
      <c r="R3" s="423" t="s">
        <v>6</v>
      </c>
      <c r="S3" s="431" t="s">
        <v>7</v>
      </c>
      <c r="T3" s="381" t="s">
        <v>8</v>
      </c>
      <c r="V3" s="432"/>
    </row>
    <row r="4" spans="1:31" s="5" customFormat="1" ht="24" customHeight="1">
      <c r="A4" s="415"/>
      <c r="B4" s="416"/>
      <c r="C4" s="418"/>
      <c r="D4" s="420"/>
      <c r="E4" s="422"/>
      <c r="F4" s="424"/>
      <c r="G4" s="426"/>
      <c r="H4" s="422"/>
      <c r="I4" s="429"/>
      <c r="J4" s="429"/>
      <c r="K4" s="429"/>
      <c r="L4" s="429"/>
      <c r="M4" s="429"/>
      <c r="N4" s="429"/>
      <c r="O4" s="429"/>
      <c r="P4" s="429"/>
      <c r="Q4" s="430"/>
      <c r="R4" s="424"/>
      <c r="S4" s="410"/>
      <c r="T4" s="382"/>
      <c r="V4" s="432"/>
      <c r="W4" s="6"/>
      <c r="X4" s="6"/>
      <c r="Y4" s="7"/>
      <c r="Z4" s="7"/>
      <c r="AA4" s="7"/>
      <c r="AB4" s="7"/>
      <c r="AC4" s="7"/>
      <c r="AD4" s="7"/>
      <c r="AE4" s="7"/>
    </row>
    <row r="5" spans="1:31" s="5" customFormat="1" ht="24" customHeight="1">
      <c r="A5" s="384" t="s">
        <v>9</v>
      </c>
      <c r="B5" s="385"/>
      <c r="C5" s="390" t="s">
        <v>10</v>
      </c>
      <c r="D5" s="393" t="s">
        <v>11</v>
      </c>
      <c r="E5" s="396" t="s">
        <v>12</v>
      </c>
      <c r="F5" s="397"/>
      <c r="G5" s="398"/>
      <c r="H5" s="402" t="s">
        <v>13</v>
      </c>
      <c r="I5" s="404" t="s">
        <v>14</v>
      </c>
      <c r="J5" s="405"/>
      <c r="K5" s="405"/>
      <c r="L5" s="405"/>
      <c r="M5" s="405"/>
      <c r="N5" s="405"/>
      <c r="O5" s="405"/>
      <c r="P5" s="405"/>
      <c r="Q5" s="405"/>
      <c r="R5" s="406" t="s">
        <v>15</v>
      </c>
      <c r="S5" s="408" t="s">
        <v>16</v>
      </c>
      <c r="T5" s="382"/>
      <c r="V5" s="432"/>
      <c r="W5" s="7"/>
      <c r="X5" s="7"/>
      <c r="Y5" s="7"/>
      <c r="Z5" s="7"/>
      <c r="AA5" s="7"/>
      <c r="AB5" s="7"/>
      <c r="AC5" s="7"/>
      <c r="AD5" s="7"/>
      <c r="AE5" s="7"/>
    </row>
    <row r="6" spans="1:31" s="5" customFormat="1" ht="24" customHeight="1">
      <c r="A6" s="386"/>
      <c r="B6" s="387"/>
      <c r="C6" s="391"/>
      <c r="D6" s="394"/>
      <c r="E6" s="399"/>
      <c r="F6" s="400"/>
      <c r="G6" s="401"/>
      <c r="H6" s="403"/>
      <c r="I6" s="8" t="s">
        <v>17</v>
      </c>
      <c r="J6" s="8" t="s">
        <v>18</v>
      </c>
      <c r="K6" s="8" t="s">
        <v>19</v>
      </c>
      <c r="L6" s="9" t="s">
        <v>20</v>
      </c>
      <c r="M6" s="9" t="s">
        <v>21</v>
      </c>
      <c r="N6" s="8" t="s">
        <v>22</v>
      </c>
      <c r="O6" s="8" t="s">
        <v>23</v>
      </c>
      <c r="P6" s="8" t="s">
        <v>24</v>
      </c>
      <c r="Q6" s="10" t="s">
        <v>25</v>
      </c>
      <c r="R6" s="407"/>
      <c r="S6" s="409"/>
      <c r="T6" s="382"/>
      <c r="V6" s="432"/>
      <c r="W6" s="6"/>
      <c r="X6" s="6"/>
      <c r="Y6" s="7"/>
      <c r="Z6" s="7"/>
      <c r="AA6" s="7"/>
      <c r="AB6" s="7"/>
      <c r="AC6" s="7"/>
      <c r="AD6" s="7"/>
      <c r="AE6" s="7"/>
    </row>
    <row r="7" spans="1:31" ht="24" customHeight="1">
      <c r="A7" s="388"/>
      <c r="B7" s="389"/>
      <c r="C7" s="392"/>
      <c r="D7" s="395"/>
      <c r="E7" s="8" t="s">
        <v>26</v>
      </c>
      <c r="F7" s="8" t="s">
        <v>27</v>
      </c>
      <c r="G7" s="8" t="s">
        <v>28</v>
      </c>
      <c r="H7" s="8"/>
      <c r="I7" s="8" t="s">
        <v>29</v>
      </c>
      <c r="J7" s="8" t="s">
        <v>30</v>
      </c>
      <c r="K7" s="8" t="s">
        <v>31</v>
      </c>
      <c r="L7" s="9" t="s">
        <v>29</v>
      </c>
      <c r="M7" s="9" t="s">
        <v>32</v>
      </c>
      <c r="N7" s="8" t="s">
        <v>33</v>
      </c>
      <c r="O7" s="8" t="s">
        <v>34</v>
      </c>
      <c r="P7" s="8" t="s">
        <v>35</v>
      </c>
      <c r="Q7" s="10" t="s">
        <v>36</v>
      </c>
      <c r="R7" s="403"/>
      <c r="S7" s="410"/>
      <c r="T7" s="383"/>
      <c r="V7" s="432"/>
      <c r="W7" s="6"/>
      <c r="X7" s="6"/>
      <c r="Y7" s="7"/>
      <c r="Z7" s="7"/>
      <c r="AA7" s="7"/>
      <c r="AB7" s="7"/>
      <c r="AC7" s="7"/>
      <c r="AD7" s="7"/>
      <c r="AE7" s="7"/>
    </row>
    <row r="8" spans="1:31" ht="33" customHeight="1">
      <c r="A8" s="375" t="s">
        <v>37</v>
      </c>
      <c r="B8" s="11">
        <v>1</v>
      </c>
      <c r="C8" s="142" t="str">
        <f>COVER!A14</f>
        <v>BODY(LUG)</v>
      </c>
      <c r="D8" s="20">
        <f>COVER!B14</f>
        <v>0</v>
      </c>
      <c r="E8" s="13">
        <f>160*1.2</f>
        <v>192</v>
      </c>
      <c r="F8" s="14">
        <f>COVER!C14</f>
        <v>0</v>
      </c>
      <c r="G8" s="14">
        <f>F8*E8</f>
        <v>0</v>
      </c>
      <c r="H8" s="14"/>
      <c r="I8" s="15">
        <f>I10*I9</f>
        <v>36001489368637.438</v>
      </c>
      <c r="J8" s="15">
        <f t="shared" ref="J8:Q9" si="0">J10*J9</f>
        <v>43341753052405.07</v>
      </c>
      <c r="K8" s="15">
        <f t="shared" si="0"/>
        <v>168335087307216.53</v>
      </c>
      <c r="L8" s="15">
        <f t="shared" si="0"/>
        <v>506706621524695.19</v>
      </c>
      <c r="M8" s="15">
        <f t="shared" si="0"/>
        <v>632417344857819.5</v>
      </c>
      <c r="N8" s="15">
        <f t="shared" si="0"/>
        <v>46528628303586.25</v>
      </c>
      <c r="O8" s="15">
        <f t="shared" si="0"/>
        <v>0</v>
      </c>
      <c r="P8" s="15">
        <f t="shared" si="0"/>
        <v>0</v>
      </c>
      <c r="Q8" s="15">
        <f t="shared" si="0"/>
        <v>10000000000000</v>
      </c>
      <c r="R8" s="15">
        <f>IF(COVER!C14&gt;0,340000*1.2,0)</f>
        <v>0</v>
      </c>
      <c r="S8" s="15">
        <f>G8+R8</f>
        <v>0</v>
      </c>
      <c r="T8" s="309" t="s">
        <v>1171</v>
      </c>
      <c r="V8" s="6"/>
      <c r="W8" s="6"/>
      <c r="X8" s="6"/>
      <c r="Y8" s="7"/>
      <c r="Z8" s="7"/>
      <c r="AA8" s="7"/>
      <c r="AB8" s="7"/>
      <c r="AC8" s="7"/>
      <c r="AD8" s="7"/>
      <c r="AE8" s="7"/>
    </row>
    <row r="9" spans="1:31" ht="33" customHeight="1">
      <c r="A9" s="376"/>
      <c r="B9" s="146" t="s">
        <v>1167</v>
      </c>
      <c r="C9" s="142" t="str">
        <f>COVER!A15</f>
        <v>BODY(FLANGE)</v>
      </c>
      <c r="D9" s="20" t="str">
        <f>COVER!B15</f>
        <v>A216 WCB</v>
      </c>
      <c r="E9" s="13">
        <v>268</v>
      </c>
      <c r="F9" s="14">
        <f>COVER!C15</f>
        <v>4300</v>
      </c>
      <c r="G9" s="14">
        <f>F9*E9</f>
        <v>1152400</v>
      </c>
      <c r="H9" s="14"/>
      <c r="I9" s="15">
        <f>I11*I10</f>
        <v>2348985369.5999999</v>
      </c>
      <c r="J9" s="15">
        <f t="shared" si="0"/>
        <v>2658301984.9000001</v>
      </c>
      <c r="K9" s="15">
        <f t="shared" si="0"/>
        <v>6568251379.5999994</v>
      </c>
      <c r="L9" s="15">
        <f t="shared" si="0"/>
        <v>13693182184.900002</v>
      </c>
      <c r="M9" s="15">
        <f t="shared" si="0"/>
        <v>15873371539.6</v>
      </c>
      <c r="N9" s="15">
        <f t="shared" si="0"/>
        <v>2787063302.5</v>
      </c>
      <c r="O9" s="15">
        <f t="shared" si="0"/>
        <v>0</v>
      </c>
      <c r="P9" s="15">
        <f t="shared" si="0"/>
        <v>0</v>
      </c>
      <c r="Q9" s="15">
        <f t="shared" si="0"/>
        <v>1000000000</v>
      </c>
      <c r="R9" s="15">
        <f>IF(COVER!C15&gt;0,350000*1.2,0)</f>
        <v>420000</v>
      </c>
      <c r="S9" s="15">
        <f t="shared" ref="S9:S62" si="1">G9+R9</f>
        <v>1572400</v>
      </c>
      <c r="T9" s="309" t="s">
        <v>1169</v>
      </c>
      <c r="V9" s="150">
        <f>R9</f>
        <v>420000</v>
      </c>
      <c r="W9" s="6"/>
      <c r="X9" s="6"/>
      <c r="Y9" s="7"/>
      <c r="Z9" s="7"/>
      <c r="AA9" s="7"/>
      <c r="AB9" s="7"/>
      <c r="AC9" s="7"/>
      <c r="AD9" s="7"/>
      <c r="AE9" s="7"/>
    </row>
    <row r="10" spans="1:31" ht="33" hidden="1" customHeight="1">
      <c r="A10" s="376"/>
      <c r="B10" s="11"/>
      <c r="C10" s="142"/>
      <c r="D10" s="20"/>
      <c r="E10" s="13"/>
      <c r="F10" s="14"/>
      <c r="G10" s="14"/>
      <c r="H10" s="14" t="s">
        <v>40</v>
      </c>
      <c r="I10" s="15">
        <f t="shared" ref="I10:Q10" si="2">I11/10</f>
        <v>15326.4</v>
      </c>
      <c r="J10" s="15">
        <f t="shared" si="2"/>
        <v>16304.3</v>
      </c>
      <c r="K10" s="15">
        <f t="shared" si="2"/>
        <v>25628.6</v>
      </c>
      <c r="L10" s="15">
        <f t="shared" si="2"/>
        <v>37004.300000000003</v>
      </c>
      <c r="M10" s="15">
        <f t="shared" si="2"/>
        <v>39841.4</v>
      </c>
      <c r="N10" s="15">
        <f t="shared" si="2"/>
        <v>16694.5</v>
      </c>
      <c r="O10" s="15">
        <f t="shared" si="2"/>
        <v>0</v>
      </c>
      <c r="P10" s="15">
        <f t="shared" si="2"/>
        <v>0</v>
      </c>
      <c r="Q10" s="15">
        <f t="shared" si="2"/>
        <v>10000</v>
      </c>
      <c r="R10" s="15"/>
      <c r="S10" s="15">
        <f t="shared" si="1"/>
        <v>0</v>
      </c>
      <c r="T10" s="16"/>
      <c r="V10" s="6"/>
      <c r="W10" s="6"/>
      <c r="X10" s="6"/>
      <c r="Y10" s="7"/>
      <c r="Z10" s="7"/>
      <c r="AA10" s="7"/>
      <c r="AB10" s="7"/>
      <c r="AC10" s="7"/>
      <c r="AD10" s="7"/>
      <c r="AE10" s="7"/>
    </row>
    <row r="11" spans="1:31" ht="33" hidden="1" customHeight="1">
      <c r="A11" s="376"/>
      <c r="B11" s="11"/>
      <c r="C11" s="142"/>
      <c r="D11" s="20"/>
      <c r="E11" s="13"/>
      <c r="F11" s="14"/>
      <c r="G11" s="14"/>
      <c r="H11" s="17" t="s">
        <v>41</v>
      </c>
      <c r="I11" s="15">
        <v>153264</v>
      </c>
      <c r="J11" s="15">
        <v>163043</v>
      </c>
      <c r="K11" s="15">
        <v>256286</v>
      </c>
      <c r="L11" s="15">
        <v>370043</v>
      </c>
      <c r="M11" s="15">
        <v>398414</v>
      </c>
      <c r="N11" s="15">
        <v>166945</v>
      </c>
      <c r="O11" s="15">
        <v>0</v>
      </c>
      <c r="P11" s="15">
        <v>0</v>
      </c>
      <c r="Q11" s="15">
        <v>100000</v>
      </c>
      <c r="R11" s="15"/>
      <c r="S11" s="15">
        <f t="shared" si="1"/>
        <v>0</v>
      </c>
      <c r="T11" s="16"/>
      <c r="V11" s="6"/>
      <c r="W11" s="6"/>
      <c r="X11" s="6"/>
      <c r="Y11" s="7"/>
      <c r="Z11" s="7"/>
      <c r="AA11" s="7"/>
      <c r="AB11" s="7"/>
      <c r="AC11" s="7"/>
      <c r="AD11" s="7"/>
      <c r="AE11" s="7"/>
    </row>
    <row r="12" spans="1:31" s="19" customFormat="1" ht="33" customHeight="1">
      <c r="A12" s="376"/>
      <c r="B12" s="11">
        <v>2</v>
      </c>
      <c r="C12" s="142" t="s">
        <v>42</v>
      </c>
      <c r="D12" s="20" t="str">
        <f>COVER!B16</f>
        <v>A216 WCB</v>
      </c>
      <c r="E12" s="13">
        <v>40</v>
      </c>
      <c r="F12" s="14">
        <f>COVER!C16</f>
        <v>4300</v>
      </c>
      <c r="G12" s="14">
        <f>F12*E12</f>
        <v>172000</v>
      </c>
      <c r="H12" s="14"/>
      <c r="I12" s="15">
        <f>I13*I14</f>
        <v>15326.4</v>
      </c>
      <c r="J12" s="15">
        <f t="shared" ref="J12:Q12" si="3">J13*J14</f>
        <v>0</v>
      </c>
      <c r="K12" s="15">
        <f t="shared" si="3"/>
        <v>16304.3</v>
      </c>
      <c r="L12" s="15">
        <f t="shared" si="3"/>
        <v>45940</v>
      </c>
      <c r="M12" s="15">
        <f t="shared" si="3"/>
        <v>0</v>
      </c>
      <c r="N12" s="15">
        <f t="shared" si="3"/>
        <v>0</v>
      </c>
      <c r="O12" s="15">
        <f t="shared" si="3"/>
        <v>0</v>
      </c>
      <c r="P12" s="15">
        <f t="shared" si="3"/>
        <v>0</v>
      </c>
      <c r="Q12" s="15">
        <f t="shared" si="3"/>
        <v>4000</v>
      </c>
      <c r="R12" s="15">
        <v>241499.99999999994</v>
      </c>
      <c r="S12" s="15">
        <f t="shared" si="1"/>
        <v>413499.99999999994</v>
      </c>
      <c r="T12" s="18"/>
      <c r="V12" s="6"/>
      <c r="W12" s="6"/>
      <c r="X12" s="6"/>
      <c r="Y12" s="7"/>
      <c r="Z12" s="7"/>
      <c r="AA12" s="7"/>
      <c r="AB12" s="7"/>
      <c r="AC12" s="7"/>
      <c r="AD12" s="7"/>
      <c r="AE12" s="7"/>
    </row>
    <row r="13" spans="1:31" s="19" customFormat="1" ht="33" hidden="1" customHeight="1">
      <c r="A13" s="376"/>
      <c r="B13" s="11"/>
      <c r="C13" s="142"/>
      <c r="D13" s="20"/>
      <c r="E13" s="13"/>
      <c r="F13" s="14"/>
      <c r="G13" s="14"/>
      <c r="H13" s="17" t="s">
        <v>39</v>
      </c>
      <c r="I13" s="21">
        <v>1</v>
      </c>
      <c r="J13" s="21">
        <v>0</v>
      </c>
      <c r="K13" s="21">
        <v>1</v>
      </c>
      <c r="L13" s="21">
        <v>2</v>
      </c>
      <c r="M13" s="21">
        <v>0</v>
      </c>
      <c r="N13" s="21">
        <v>0</v>
      </c>
      <c r="O13" s="21"/>
      <c r="P13" s="21"/>
      <c r="Q13" s="21">
        <v>0.4</v>
      </c>
      <c r="R13" s="15"/>
      <c r="S13" s="15">
        <f t="shared" si="1"/>
        <v>0</v>
      </c>
      <c r="T13" s="22"/>
      <c r="V13" s="6"/>
      <c r="W13" s="6"/>
      <c r="X13" s="6"/>
      <c r="Y13" s="7"/>
      <c r="Z13" s="7"/>
      <c r="AA13" s="7"/>
      <c r="AB13" s="7"/>
      <c r="AC13" s="7"/>
      <c r="AD13" s="7"/>
      <c r="AE13" s="7"/>
    </row>
    <row r="14" spans="1:31" s="19" customFormat="1" ht="33" hidden="1" customHeight="1">
      <c r="A14" s="376"/>
      <c r="B14" s="11"/>
      <c r="C14" s="142"/>
      <c r="D14" s="20"/>
      <c r="E14" s="13"/>
      <c r="F14" s="14"/>
      <c r="G14" s="14"/>
      <c r="H14" s="14" t="s">
        <v>40</v>
      </c>
      <c r="I14" s="15">
        <f>I15/10</f>
        <v>15326.4</v>
      </c>
      <c r="J14" s="15">
        <f t="shared" ref="J14:Q14" si="4">J15/10</f>
        <v>16304.3</v>
      </c>
      <c r="K14" s="15">
        <f t="shared" si="4"/>
        <v>16304.3</v>
      </c>
      <c r="L14" s="15">
        <f t="shared" si="4"/>
        <v>22970</v>
      </c>
      <c r="M14" s="15">
        <f t="shared" si="4"/>
        <v>39841.4</v>
      </c>
      <c r="N14" s="15">
        <f t="shared" si="4"/>
        <v>16694.5</v>
      </c>
      <c r="O14" s="15">
        <f t="shared" si="4"/>
        <v>0</v>
      </c>
      <c r="P14" s="15">
        <f t="shared" si="4"/>
        <v>0</v>
      </c>
      <c r="Q14" s="15">
        <f t="shared" si="4"/>
        <v>10000</v>
      </c>
      <c r="R14" s="15"/>
      <c r="S14" s="15">
        <f t="shared" si="1"/>
        <v>0</v>
      </c>
      <c r="T14" s="22"/>
      <c r="V14" s="6"/>
      <c r="W14" s="6"/>
      <c r="X14" s="6"/>
      <c r="Y14" s="7"/>
      <c r="Z14" s="7"/>
      <c r="AA14" s="7"/>
      <c r="AB14" s="7"/>
      <c r="AC14" s="7"/>
      <c r="AD14" s="7"/>
      <c r="AE14" s="7"/>
    </row>
    <row r="15" spans="1:31" s="19" customFormat="1" ht="33" hidden="1" customHeight="1">
      <c r="A15" s="376"/>
      <c r="B15" s="11"/>
      <c r="C15" s="142"/>
      <c r="D15" s="20"/>
      <c r="E15" s="13"/>
      <c r="F15" s="14"/>
      <c r="G15" s="14"/>
      <c r="H15" s="14" t="s">
        <v>43</v>
      </c>
      <c r="I15" s="15">
        <v>153264</v>
      </c>
      <c r="J15" s="15">
        <v>163043</v>
      </c>
      <c r="K15" s="15">
        <v>163043</v>
      </c>
      <c r="L15" s="15">
        <v>229700</v>
      </c>
      <c r="M15" s="15">
        <v>398414</v>
      </c>
      <c r="N15" s="15">
        <v>166945</v>
      </c>
      <c r="O15" s="15">
        <v>0</v>
      </c>
      <c r="P15" s="15">
        <v>0</v>
      </c>
      <c r="Q15" s="15">
        <v>100000</v>
      </c>
      <c r="R15" s="15"/>
      <c r="S15" s="15">
        <f t="shared" si="1"/>
        <v>0</v>
      </c>
      <c r="T15" s="22"/>
      <c r="V15" s="6"/>
      <c r="W15" s="6"/>
      <c r="X15" s="6"/>
      <c r="Y15" s="7"/>
      <c r="Z15" s="7"/>
      <c r="AA15" s="7"/>
      <c r="AB15" s="7"/>
      <c r="AC15" s="7"/>
      <c r="AD15" s="7"/>
      <c r="AE15" s="7"/>
    </row>
    <row r="16" spans="1:31" s="19" customFormat="1" ht="33" customHeight="1">
      <c r="A16" s="376"/>
      <c r="B16" s="11">
        <v>3</v>
      </c>
      <c r="C16" s="142" t="s">
        <v>952</v>
      </c>
      <c r="D16" s="20" t="str">
        <f>COVER!B19</f>
        <v>WCB+309+#6</v>
      </c>
      <c r="E16" s="13">
        <v>1</v>
      </c>
      <c r="F16" s="14">
        <f>IF(D16="SUS+#6",X76,IF(D16="WCB+309+#6",X77))</f>
        <v>340700</v>
      </c>
      <c r="G16" s="14">
        <f>F16*E16</f>
        <v>340700</v>
      </c>
      <c r="H16" s="14"/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f t="shared" si="1"/>
        <v>340700</v>
      </c>
      <c r="T16" s="22"/>
      <c r="V16" s="6"/>
      <c r="W16" s="6"/>
      <c r="X16" s="6"/>
      <c r="Y16" s="7"/>
      <c r="Z16" s="7"/>
      <c r="AA16" s="7"/>
      <c r="AB16" s="7"/>
      <c r="AC16" s="7"/>
      <c r="AD16" s="7"/>
      <c r="AE16" s="7"/>
    </row>
    <row r="17" spans="1:31" s="19" customFormat="1" ht="33" customHeight="1">
      <c r="A17" s="376"/>
      <c r="B17" s="11">
        <v>4</v>
      </c>
      <c r="C17" s="142" t="s">
        <v>1187</v>
      </c>
      <c r="D17" s="20" t="str">
        <f>COVER!B18</f>
        <v>A240T316L+GARPHITE</v>
      </c>
      <c r="E17" s="13">
        <v>1</v>
      </c>
      <c r="F17" s="14">
        <f>IF(D17="A240T316L+GARPHITE",Y84+Z84)</f>
        <v>111300</v>
      </c>
      <c r="G17" s="14">
        <f>F17*E17</f>
        <v>111300</v>
      </c>
      <c r="H17" s="14"/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f>Z84*1.3</f>
        <v>78000</v>
      </c>
      <c r="S17" s="15">
        <f t="shared" si="1"/>
        <v>189300</v>
      </c>
      <c r="T17" s="22"/>
      <c r="V17" s="23"/>
      <c r="W17" s="23"/>
      <c r="X17" s="23"/>
      <c r="Y17" s="7"/>
      <c r="Z17" s="7"/>
      <c r="AA17" s="7"/>
      <c r="AB17" s="7"/>
      <c r="AC17" s="7"/>
      <c r="AD17" s="7"/>
      <c r="AE17" s="7"/>
    </row>
    <row r="18" spans="1:31" s="19" customFormat="1" ht="33" customHeight="1">
      <c r="A18" s="376"/>
      <c r="B18" s="11">
        <v>5</v>
      </c>
      <c r="C18" s="175" t="s">
        <v>852</v>
      </c>
      <c r="D18" s="24" t="str">
        <f>COVER!B20</f>
        <v>SS316L</v>
      </c>
      <c r="E18" s="301">
        <v>1</v>
      </c>
      <c r="F18" s="14">
        <f>IF(D18="SS304",Y82,IF(D18="SS316L",Z82))</f>
        <v>140000</v>
      </c>
      <c r="G18" s="14">
        <f>E18*F18</f>
        <v>140000</v>
      </c>
      <c r="H18" s="14"/>
      <c r="I18" s="15">
        <f>I19*I20</f>
        <v>12261.12</v>
      </c>
      <c r="J18" s="15">
        <f t="shared" ref="J18:Q18" si="5">J19*J20</f>
        <v>13043.44</v>
      </c>
      <c r="K18" s="15">
        <f t="shared" si="5"/>
        <v>0</v>
      </c>
      <c r="L18" s="15">
        <f t="shared" si="5"/>
        <v>0</v>
      </c>
      <c r="M18" s="15">
        <f t="shared" si="5"/>
        <v>0</v>
      </c>
      <c r="N18" s="15">
        <f t="shared" si="5"/>
        <v>0</v>
      </c>
      <c r="O18" s="15">
        <f t="shared" si="5"/>
        <v>0</v>
      </c>
      <c r="P18" s="15">
        <f t="shared" si="5"/>
        <v>0</v>
      </c>
      <c r="Q18" s="15">
        <f t="shared" si="5"/>
        <v>2000</v>
      </c>
      <c r="R18" s="15">
        <f>AA82*1.5</f>
        <v>81000</v>
      </c>
      <c r="S18" s="15">
        <f t="shared" si="1"/>
        <v>221000</v>
      </c>
      <c r="T18" s="25"/>
      <c r="V18" s="26"/>
      <c r="W18" s="26"/>
      <c r="X18" s="26"/>
      <c r="Y18" s="7"/>
      <c r="Z18" s="7"/>
      <c r="AA18" s="7"/>
      <c r="AB18" s="7"/>
      <c r="AC18" s="7"/>
      <c r="AD18" s="7"/>
      <c r="AE18" s="7"/>
    </row>
    <row r="19" spans="1:31" s="19" customFormat="1" ht="33" hidden="1" customHeight="1">
      <c r="A19" s="376"/>
      <c r="B19" s="11"/>
      <c r="C19" s="12"/>
      <c r="D19" s="24"/>
      <c r="E19" s="13"/>
      <c r="F19" s="14"/>
      <c r="G19" s="14"/>
      <c r="H19" s="17" t="s">
        <v>39</v>
      </c>
      <c r="I19" s="21">
        <v>0.8</v>
      </c>
      <c r="J19" s="21">
        <v>0.8</v>
      </c>
      <c r="K19" s="21"/>
      <c r="L19" s="21"/>
      <c r="M19" s="21"/>
      <c r="N19" s="21"/>
      <c r="O19" s="21"/>
      <c r="P19" s="21"/>
      <c r="Q19" s="21">
        <v>0.2</v>
      </c>
      <c r="R19" s="15"/>
      <c r="S19" s="15">
        <f t="shared" si="1"/>
        <v>0</v>
      </c>
      <c r="T19" s="25"/>
      <c r="V19" s="26"/>
      <c r="W19" s="26"/>
      <c r="X19" s="26"/>
      <c r="Y19" s="7"/>
      <c r="Z19" s="7"/>
      <c r="AA19" s="7"/>
      <c r="AB19" s="7"/>
      <c r="AC19" s="7"/>
      <c r="AD19" s="7"/>
      <c r="AE19" s="7"/>
    </row>
    <row r="20" spans="1:31" s="19" customFormat="1" ht="33" hidden="1" customHeight="1">
      <c r="A20" s="376"/>
      <c r="B20" s="11"/>
      <c r="C20" s="12"/>
      <c r="D20" s="24"/>
      <c r="E20" s="13"/>
      <c r="F20" s="14"/>
      <c r="G20" s="14"/>
      <c r="H20" s="17" t="s">
        <v>39</v>
      </c>
      <c r="I20" s="15">
        <f>I21/10</f>
        <v>15326.4</v>
      </c>
      <c r="J20" s="15">
        <f t="shared" ref="J20:Q20" si="6">J21/10</f>
        <v>16304.3</v>
      </c>
      <c r="K20" s="15">
        <f t="shared" si="6"/>
        <v>0</v>
      </c>
      <c r="L20" s="15">
        <f t="shared" si="6"/>
        <v>0</v>
      </c>
      <c r="M20" s="15">
        <f t="shared" si="6"/>
        <v>0</v>
      </c>
      <c r="N20" s="15">
        <f t="shared" si="6"/>
        <v>0</v>
      </c>
      <c r="O20" s="15">
        <f t="shared" si="6"/>
        <v>0</v>
      </c>
      <c r="P20" s="15">
        <f t="shared" si="6"/>
        <v>0</v>
      </c>
      <c r="Q20" s="15">
        <f t="shared" si="6"/>
        <v>10000</v>
      </c>
      <c r="R20" s="15"/>
      <c r="S20" s="15">
        <f t="shared" si="1"/>
        <v>0</v>
      </c>
      <c r="T20" s="25"/>
      <c r="V20" s="26"/>
      <c r="W20" s="26"/>
      <c r="X20" s="26"/>
      <c r="Y20" s="7"/>
      <c r="Z20" s="7"/>
      <c r="AA20" s="7"/>
      <c r="AB20" s="7"/>
      <c r="AC20" s="7"/>
      <c r="AD20" s="7"/>
      <c r="AE20" s="7"/>
    </row>
    <row r="21" spans="1:31" s="19" customFormat="1" ht="33" hidden="1" customHeight="1">
      <c r="A21" s="376"/>
      <c r="B21" s="11"/>
      <c r="C21" s="12"/>
      <c r="D21" s="24"/>
      <c r="E21" s="13"/>
      <c r="F21" s="14"/>
      <c r="G21" s="14"/>
      <c r="H21" s="17" t="s">
        <v>39</v>
      </c>
      <c r="I21" s="15">
        <v>153264</v>
      </c>
      <c r="J21" s="15">
        <v>163043</v>
      </c>
      <c r="K21" s="15"/>
      <c r="L21" s="15"/>
      <c r="M21" s="15"/>
      <c r="N21" s="15"/>
      <c r="O21" s="15"/>
      <c r="P21" s="15"/>
      <c r="Q21" s="15">
        <v>100000</v>
      </c>
      <c r="R21" s="15"/>
      <c r="S21" s="15">
        <f t="shared" si="1"/>
        <v>0</v>
      </c>
      <c r="T21" s="25"/>
      <c r="V21" s="26"/>
      <c r="W21" s="26"/>
      <c r="X21" s="26"/>
      <c r="Y21" s="7"/>
      <c r="Z21" s="7"/>
      <c r="AA21" s="7"/>
      <c r="AB21" s="7"/>
      <c r="AC21" s="7"/>
      <c r="AD21" s="7"/>
      <c r="AE21" s="7"/>
    </row>
    <row r="22" spans="1:31" s="19" customFormat="1" ht="33" customHeight="1">
      <c r="A22" s="376"/>
      <c r="B22" s="11">
        <v>6</v>
      </c>
      <c r="C22" s="175" t="s">
        <v>1195</v>
      </c>
      <c r="D22" s="24" t="s">
        <v>1189</v>
      </c>
      <c r="E22" s="301">
        <v>1</v>
      </c>
      <c r="F22" s="14">
        <f>Y85</f>
        <v>11000</v>
      </c>
      <c r="G22" s="14">
        <f>F22*E22</f>
        <v>11000</v>
      </c>
      <c r="H22" s="14"/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f t="shared" si="1"/>
        <v>11000</v>
      </c>
      <c r="T22" s="25"/>
      <c r="V22" s="26"/>
      <c r="W22" s="26"/>
      <c r="X22" s="26"/>
      <c r="Y22" s="7"/>
      <c r="Z22" s="7"/>
      <c r="AA22" s="7"/>
      <c r="AB22" s="7"/>
      <c r="AC22" s="7"/>
      <c r="AD22" s="7"/>
      <c r="AE22" s="7"/>
    </row>
    <row r="23" spans="1:31" s="19" customFormat="1" ht="33" customHeight="1">
      <c r="A23" s="376"/>
      <c r="B23" s="11">
        <v>7</v>
      </c>
      <c r="C23" s="175" t="s">
        <v>948</v>
      </c>
      <c r="D23" s="20" t="str">
        <f>COVER!B21</f>
        <v>B7(다크로)</v>
      </c>
      <c r="E23" s="13">
        <v>16</v>
      </c>
      <c r="F23" s="14">
        <f>IF(D23="B8",Y91,IF(D23="B8M",Z91,IF(D23="B7(다크로)",AA91)))</f>
        <v>500</v>
      </c>
      <c r="G23" s="14">
        <f>F23*E23</f>
        <v>8000</v>
      </c>
      <c r="H23" s="14"/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f t="shared" si="1"/>
        <v>8000</v>
      </c>
      <c r="T23" s="18"/>
      <c r="V23" s="7"/>
      <c r="W23" s="7"/>
      <c r="X23" s="7"/>
      <c r="Y23" s="7"/>
      <c r="Z23" s="7"/>
      <c r="AA23" s="7"/>
      <c r="AB23" s="7"/>
      <c r="AC23" s="7"/>
      <c r="AD23" s="7"/>
      <c r="AE23" s="7"/>
    </row>
    <row r="24" spans="1:31" s="19" customFormat="1" ht="33" customHeight="1">
      <c r="A24" s="376"/>
      <c r="B24" s="11">
        <v>8</v>
      </c>
      <c r="C24" s="142" t="s">
        <v>44</v>
      </c>
      <c r="D24" s="20" t="str">
        <f>COVER!B17</f>
        <v>A564T630</v>
      </c>
      <c r="E24" s="13">
        <v>34</v>
      </c>
      <c r="F24" s="14">
        <f>COVER!C17</f>
        <v>8500</v>
      </c>
      <c r="G24" s="14">
        <f>F24*E24</f>
        <v>289000</v>
      </c>
      <c r="H24" s="14"/>
      <c r="I24" s="15">
        <f>I25*I26</f>
        <v>7663.2</v>
      </c>
      <c r="J24" s="15">
        <f t="shared" ref="J24:Q24" si="7">J25*J26</f>
        <v>0</v>
      </c>
      <c r="K24" s="15">
        <f t="shared" si="7"/>
        <v>0</v>
      </c>
      <c r="L24" s="15">
        <f t="shared" si="7"/>
        <v>0</v>
      </c>
      <c r="M24" s="15">
        <f t="shared" si="7"/>
        <v>0</v>
      </c>
      <c r="N24" s="15">
        <f t="shared" si="7"/>
        <v>0</v>
      </c>
      <c r="O24" s="15">
        <f t="shared" si="7"/>
        <v>0</v>
      </c>
      <c r="P24" s="15">
        <f t="shared" si="7"/>
        <v>0</v>
      </c>
      <c r="Q24" s="15">
        <f t="shared" si="7"/>
        <v>1000</v>
      </c>
      <c r="R24" s="15">
        <f>R12*0.3</f>
        <v>72449.999999999985</v>
      </c>
      <c r="S24" s="15">
        <f t="shared" si="1"/>
        <v>361450</v>
      </c>
      <c r="T24" s="27"/>
      <c r="U24" s="162"/>
      <c r="V24" s="162"/>
      <c r="W24" s="7"/>
      <c r="X24" s="7"/>
      <c r="Y24" s="28"/>
      <c r="Z24" s="28"/>
      <c r="AA24" s="28"/>
      <c r="AB24" s="28"/>
      <c r="AC24" s="28"/>
      <c r="AD24" s="28"/>
      <c r="AE24" s="28"/>
    </row>
    <row r="25" spans="1:31" s="19" customFormat="1" ht="33" hidden="1" customHeight="1">
      <c r="A25" s="376"/>
      <c r="B25" s="11"/>
      <c r="C25" s="12"/>
      <c r="D25" s="20"/>
      <c r="E25" s="13"/>
      <c r="F25" s="14"/>
      <c r="G25" s="14"/>
      <c r="H25" s="17" t="s">
        <v>39</v>
      </c>
      <c r="I25" s="21">
        <v>0.5</v>
      </c>
      <c r="J25" s="21"/>
      <c r="K25" s="21"/>
      <c r="L25" s="21"/>
      <c r="M25" s="21"/>
      <c r="N25" s="21"/>
      <c r="O25" s="21"/>
      <c r="P25" s="21"/>
      <c r="Q25" s="21">
        <v>0.1</v>
      </c>
      <c r="R25" s="15"/>
      <c r="S25" s="15">
        <f t="shared" si="1"/>
        <v>0</v>
      </c>
      <c r="T25" s="27"/>
      <c r="V25" s="7"/>
      <c r="W25" s="7"/>
      <c r="X25" s="7"/>
      <c r="Y25" s="28"/>
      <c r="Z25" s="28"/>
      <c r="AA25" s="28"/>
      <c r="AB25" s="28"/>
      <c r="AC25" s="28"/>
      <c r="AD25" s="28"/>
      <c r="AE25" s="28"/>
    </row>
    <row r="26" spans="1:31" s="19" customFormat="1" ht="33" hidden="1" customHeight="1">
      <c r="A26" s="376"/>
      <c r="B26" s="11"/>
      <c r="C26" s="12"/>
      <c r="D26" s="20"/>
      <c r="E26" s="13"/>
      <c r="F26" s="14"/>
      <c r="G26" s="14"/>
      <c r="H26" s="17" t="s">
        <v>39</v>
      </c>
      <c r="I26" s="15">
        <f>I27/10</f>
        <v>15326.4</v>
      </c>
      <c r="J26" s="15"/>
      <c r="K26" s="15"/>
      <c r="L26" s="15"/>
      <c r="M26" s="15"/>
      <c r="N26" s="15"/>
      <c r="O26" s="15"/>
      <c r="P26" s="15"/>
      <c r="Q26" s="15">
        <f>Q27/10</f>
        <v>10000</v>
      </c>
      <c r="R26" s="15"/>
      <c r="S26" s="15">
        <f t="shared" si="1"/>
        <v>0</v>
      </c>
      <c r="T26" s="27"/>
      <c r="V26" s="7"/>
      <c r="W26" s="7"/>
      <c r="X26" s="7"/>
      <c r="Y26" s="28"/>
      <c r="Z26" s="28"/>
      <c r="AA26" s="28"/>
      <c r="AB26" s="28"/>
      <c r="AC26" s="28"/>
      <c r="AD26" s="28"/>
      <c r="AE26" s="28"/>
    </row>
    <row r="27" spans="1:31" s="19" customFormat="1" ht="33" hidden="1" customHeight="1">
      <c r="A27" s="376"/>
      <c r="B27" s="11"/>
      <c r="C27" s="12"/>
      <c r="D27" s="20"/>
      <c r="E27" s="13"/>
      <c r="F27" s="14"/>
      <c r="G27" s="14"/>
      <c r="H27" s="17" t="s">
        <v>39</v>
      </c>
      <c r="I27" s="15">
        <v>153264</v>
      </c>
      <c r="J27" s="15"/>
      <c r="K27" s="15"/>
      <c r="L27" s="15"/>
      <c r="M27" s="15"/>
      <c r="N27" s="15"/>
      <c r="O27" s="15"/>
      <c r="P27" s="15"/>
      <c r="Q27" s="15">
        <v>100000</v>
      </c>
      <c r="R27" s="15"/>
      <c r="S27" s="15">
        <f t="shared" si="1"/>
        <v>0</v>
      </c>
      <c r="T27" s="27"/>
      <c r="V27" s="7"/>
      <c r="W27" s="7"/>
      <c r="X27" s="7"/>
      <c r="Y27" s="28"/>
      <c r="Z27" s="28"/>
      <c r="AA27" s="28"/>
      <c r="AB27" s="28"/>
      <c r="AC27" s="28"/>
      <c r="AD27" s="28"/>
      <c r="AE27" s="28"/>
    </row>
    <row r="28" spans="1:31" s="19" customFormat="1" ht="33" customHeight="1">
      <c r="A28" s="376"/>
      <c r="B28" s="11">
        <v>9</v>
      </c>
      <c r="C28" s="142" t="s">
        <v>45</v>
      </c>
      <c r="D28" s="24" t="s">
        <v>1197</v>
      </c>
      <c r="E28" s="13">
        <v>1</v>
      </c>
      <c r="F28" s="14">
        <v>58900</v>
      </c>
      <c r="G28" s="14">
        <f t="shared" ref="G28" si="8">E28*F28</f>
        <v>58900</v>
      </c>
      <c r="H28" s="14"/>
      <c r="I28" s="15"/>
      <c r="J28" s="15"/>
      <c r="K28" s="15"/>
      <c r="L28" s="15"/>
      <c r="M28" s="15"/>
      <c r="N28" s="15"/>
      <c r="O28" s="15"/>
      <c r="P28" s="15"/>
      <c r="Q28" s="15"/>
      <c r="R28" s="15">
        <v>0</v>
      </c>
      <c r="S28" s="15">
        <f t="shared" si="1"/>
        <v>58900</v>
      </c>
      <c r="T28" s="18"/>
      <c r="V28" s="7"/>
      <c r="W28" s="7"/>
      <c r="X28" s="7"/>
      <c r="Y28" s="6"/>
      <c r="Z28" s="6"/>
      <c r="AA28" s="6"/>
      <c r="AB28" s="6"/>
      <c r="AC28" s="6"/>
      <c r="AD28" s="6"/>
      <c r="AE28" s="6"/>
    </row>
    <row r="29" spans="1:31" s="19" customFormat="1" ht="33" customHeight="1">
      <c r="A29" s="376"/>
      <c r="B29" s="11">
        <v>10</v>
      </c>
      <c r="C29" s="142" t="s">
        <v>46</v>
      </c>
      <c r="D29" s="24" t="str">
        <f>COVER!B24</f>
        <v>A351 CF8M</v>
      </c>
      <c r="E29" s="13">
        <v>1</v>
      </c>
      <c r="F29" s="302">
        <f>IF(D29="A351 CF8M",Y100,IF(D29="B148 C95400",Z100))</f>
        <v>78100</v>
      </c>
      <c r="G29" s="14">
        <f>F29*E29</f>
        <v>78100</v>
      </c>
      <c r="H29" s="14"/>
      <c r="I29" s="15">
        <f>I30*I31</f>
        <v>3065.28</v>
      </c>
      <c r="J29" s="15">
        <f t="shared" ref="J29:Q29" si="9">J30*J31</f>
        <v>3260.86</v>
      </c>
      <c r="K29" s="15">
        <f t="shared" si="9"/>
        <v>0</v>
      </c>
      <c r="L29" s="15">
        <f t="shared" si="9"/>
        <v>0</v>
      </c>
      <c r="M29" s="15">
        <f t="shared" si="9"/>
        <v>0</v>
      </c>
      <c r="N29" s="15">
        <f t="shared" si="9"/>
        <v>0</v>
      </c>
      <c r="O29" s="15">
        <f t="shared" si="9"/>
        <v>0</v>
      </c>
      <c r="P29" s="15">
        <f t="shared" si="9"/>
        <v>0</v>
      </c>
      <c r="Q29" s="15">
        <f t="shared" si="9"/>
        <v>0</v>
      </c>
      <c r="R29" s="15">
        <v>0</v>
      </c>
      <c r="S29" s="15">
        <f t="shared" si="1"/>
        <v>78100</v>
      </c>
      <c r="T29" s="18"/>
      <c r="V29" s="7"/>
      <c r="W29" s="292"/>
      <c r="X29" s="7"/>
      <c r="Y29" s="7"/>
      <c r="Z29" s="7"/>
      <c r="AA29" s="7"/>
      <c r="AB29" s="7"/>
      <c r="AC29" s="7"/>
      <c r="AD29" s="7"/>
      <c r="AE29" s="7"/>
    </row>
    <row r="30" spans="1:31" s="19" customFormat="1" ht="33" hidden="1" customHeight="1">
      <c r="A30" s="376"/>
      <c r="B30" s="11"/>
      <c r="C30" s="12"/>
      <c r="D30" s="24"/>
      <c r="E30" s="13"/>
      <c r="F30" s="14"/>
      <c r="G30" s="14"/>
      <c r="H30" s="17" t="s">
        <v>39</v>
      </c>
      <c r="I30" s="21">
        <v>0.2</v>
      </c>
      <c r="J30" s="21">
        <v>0.2</v>
      </c>
      <c r="K30" s="21"/>
      <c r="L30" s="21"/>
      <c r="M30" s="21"/>
      <c r="N30" s="21"/>
      <c r="O30" s="21"/>
      <c r="P30" s="21"/>
      <c r="Q30" s="21"/>
      <c r="R30" s="15"/>
      <c r="S30" s="15">
        <f t="shared" si="1"/>
        <v>0</v>
      </c>
      <c r="T30" s="22"/>
      <c r="V30" s="7"/>
      <c r="W30" s="7"/>
      <c r="X30" s="7"/>
      <c r="Y30" s="7"/>
      <c r="Z30" s="7"/>
      <c r="AA30" s="7"/>
      <c r="AB30" s="7"/>
      <c r="AC30" s="7"/>
      <c r="AD30" s="7"/>
      <c r="AE30" s="7"/>
    </row>
    <row r="31" spans="1:31" s="19" customFormat="1" ht="33" hidden="1" customHeight="1">
      <c r="A31" s="376"/>
      <c r="B31" s="11"/>
      <c r="C31" s="12"/>
      <c r="D31" s="24"/>
      <c r="E31" s="13"/>
      <c r="F31" s="14"/>
      <c r="G31" s="14"/>
      <c r="H31" s="17" t="s">
        <v>39</v>
      </c>
      <c r="I31" s="15">
        <f>I32/10</f>
        <v>15326.4</v>
      </c>
      <c r="J31" s="15">
        <f>J32/10</f>
        <v>16304.3</v>
      </c>
      <c r="K31" s="15"/>
      <c r="L31" s="15"/>
      <c r="M31" s="15"/>
      <c r="N31" s="15"/>
      <c r="O31" s="15"/>
      <c r="P31" s="15"/>
      <c r="Q31" s="15"/>
      <c r="R31" s="15"/>
      <c r="S31" s="15">
        <f t="shared" si="1"/>
        <v>0</v>
      </c>
      <c r="T31" s="22"/>
      <c r="V31" s="7"/>
      <c r="W31" s="7"/>
      <c r="X31" s="7"/>
      <c r="Y31" s="7"/>
      <c r="Z31" s="7"/>
      <c r="AA31" s="7"/>
      <c r="AB31" s="7"/>
      <c r="AC31" s="7"/>
      <c r="AD31" s="7"/>
      <c r="AE31" s="7"/>
    </row>
    <row r="32" spans="1:31" s="19" customFormat="1" ht="33" hidden="1" customHeight="1">
      <c r="A32" s="376"/>
      <c r="B32" s="11"/>
      <c r="C32" s="12"/>
      <c r="D32" s="24"/>
      <c r="E32" s="13"/>
      <c r="F32" s="14"/>
      <c r="G32" s="14"/>
      <c r="H32" s="17" t="s">
        <v>39</v>
      </c>
      <c r="I32" s="15">
        <v>153264</v>
      </c>
      <c r="J32" s="15">
        <v>163043</v>
      </c>
      <c r="K32" s="15"/>
      <c r="L32" s="15"/>
      <c r="M32" s="15"/>
      <c r="N32" s="15"/>
      <c r="O32" s="15"/>
      <c r="P32" s="15"/>
      <c r="Q32" s="15"/>
      <c r="R32" s="15"/>
      <c r="S32" s="15">
        <f t="shared" si="1"/>
        <v>0</v>
      </c>
      <c r="T32" s="22"/>
      <c r="V32" s="7"/>
      <c r="W32" s="7"/>
      <c r="X32" s="7"/>
      <c r="Y32" s="7"/>
      <c r="Z32" s="7"/>
      <c r="AA32" s="7"/>
      <c r="AB32" s="7"/>
      <c r="AC32" s="7"/>
      <c r="AD32" s="7"/>
      <c r="AE32" s="7"/>
    </row>
    <row r="33" spans="1:31" s="19" customFormat="1" ht="33" customHeight="1">
      <c r="A33" s="376"/>
      <c r="B33" s="11">
        <v>11</v>
      </c>
      <c r="C33" s="142" t="s">
        <v>47</v>
      </c>
      <c r="D33" s="24" t="str">
        <f>COVER!B26</f>
        <v>316+NICKEL</v>
      </c>
      <c r="E33" s="13">
        <v>1</v>
      </c>
      <c r="F33" s="14">
        <f>IF(D33="316+NICKEL",Y102,IF(D33="B148 C95400",Z102))</f>
        <v>18700</v>
      </c>
      <c r="G33" s="14">
        <f>F33*E33</f>
        <v>18700</v>
      </c>
      <c r="H33" s="14"/>
      <c r="I33" s="15">
        <f>I34*I35</f>
        <v>4597.92</v>
      </c>
      <c r="J33" s="15">
        <f t="shared" ref="J33:Q33" si="10">J34*J35</f>
        <v>0</v>
      </c>
      <c r="K33" s="15">
        <f t="shared" si="10"/>
        <v>0</v>
      </c>
      <c r="L33" s="15">
        <f t="shared" si="10"/>
        <v>0</v>
      </c>
      <c r="M33" s="15">
        <f t="shared" si="10"/>
        <v>0</v>
      </c>
      <c r="N33" s="15">
        <f t="shared" si="10"/>
        <v>0</v>
      </c>
      <c r="O33" s="15">
        <f t="shared" si="10"/>
        <v>0</v>
      </c>
      <c r="P33" s="15">
        <f t="shared" si="10"/>
        <v>0</v>
      </c>
      <c r="Q33" s="15">
        <f t="shared" si="10"/>
        <v>0</v>
      </c>
      <c r="R33" s="15">
        <v>0</v>
      </c>
      <c r="S33" s="15">
        <f t="shared" si="1"/>
        <v>18700</v>
      </c>
      <c r="T33" s="25" t="s">
        <v>1200</v>
      </c>
      <c r="V33" s="7"/>
      <c r="W33" s="7"/>
      <c r="X33" s="7"/>
      <c r="Y33" s="7"/>
      <c r="Z33" s="7"/>
      <c r="AA33" s="7"/>
      <c r="AB33" s="7"/>
      <c r="AC33" s="7"/>
      <c r="AD33" s="7"/>
      <c r="AE33" s="7"/>
    </row>
    <row r="34" spans="1:31" s="19" customFormat="1" ht="33" hidden="1" customHeight="1">
      <c r="A34" s="376"/>
      <c r="B34" s="11"/>
      <c r="C34" s="12"/>
      <c r="D34" s="24"/>
      <c r="E34" s="13"/>
      <c r="F34" s="14"/>
      <c r="G34" s="14"/>
      <c r="H34" s="17" t="s">
        <v>39</v>
      </c>
      <c r="I34" s="21">
        <v>0.3</v>
      </c>
      <c r="J34" s="21"/>
      <c r="K34" s="21"/>
      <c r="L34" s="21"/>
      <c r="M34" s="21"/>
      <c r="N34" s="21"/>
      <c r="O34" s="21"/>
      <c r="P34" s="21"/>
      <c r="Q34" s="21"/>
      <c r="R34" s="15"/>
      <c r="S34" s="15">
        <f t="shared" si="1"/>
        <v>0</v>
      </c>
      <c r="T34" s="22"/>
      <c r="V34" s="7"/>
      <c r="W34" s="7"/>
      <c r="X34" s="7"/>
      <c r="Y34" s="7"/>
      <c r="Z34" s="7"/>
      <c r="AA34" s="7"/>
      <c r="AB34" s="7"/>
      <c r="AC34" s="7"/>
      <c r="AD34" s="7"/>
      <c r="AE34" s="7"/>
    </row>
    <row r="35" spans="1:31" s="19" customFormat="1" ht="33" hidden="1" customHeight="1">
      <c r="A35" s="376"/>
      <c r="B35" s="11"/>
      <c r="C35" s="12"/>
      <c r="D35" s="24"/>
      <c r="E35" s="13"/>
      <c r="F35" s="14"/>
      <c r="G35" s="14"/>
      <c r="H35" s="17" t="s">
        <v>39</v>
      </c>
      <c r="I35" s="15">
        <f>I36/10</f>
        <v>15326.4</v>
      </c>
      <c r="J35" s="15"/>
      <c r="K35" s="15"/>
      <c r="L35" s="15"/>
      <c r="M35" s="15"/>
      <c r="N35" s="15"/>
      <c r="O35" s="15"/>
      <c r="P35" s="15"/>
      <c r="Q35" s="15"/>
      <c r="R35" s="15"/>
      <c r="S35" s="15">
        <f t="shared" si="1"/>
        <v>0</v>
      </c>
      <c r="T35" s="22"/>
      <c r="V35" s="7"/>
      <c r="W35" s="7"/>
      <c r="X35" s="7"/>
      <c r="Y35" s="7"/>
      <c r="Z35" s="7"/>
      <c r="AA35" s="7"/>
      <c r="AB35" s="7"/>
      <c r="AC35" s="7"/>
      <c r="AD35" s="7"/>
      <c r="AE35" s="7"/>
    </row>
    <row r="36" spans="1:31" s="19" customFormat="1" ht="33" hidden="1" customHeight="1">
      <c r="A36" s="376"/>
      <c r="B36" s="11"/>
      <c r="C36" s="12"/>
      <c r="D36" s="24"/>
      <c r="E36" s="13"/>
      <c r="F36" s="14"/>
      <c r="G36" s="14"/>
      <c r="H36" s="17" t="s">
        <v>39</v>
      </c>
      <c r="I36" s="15">
        <v>153264</v>
      </c>
      <c r="J36" s="15"/>
      <c r="K36" s="15"/>
      <c r="L36" s="15"/>
      <c r="M36" s="15"/>
      <c r="N36" s="15"/>
      <c r="O36" s="15"/>
      <c r="P36" s="15"/>
      <c r="Q36" s="15"/>
      <c r="R36" s="15"/>
      <c r="S36" s="15">
        <f t="shared" si="1"/>
        <v>0</v>
      </c>
      <c r="T36" s="22"/>
      <c r="V36" s="7"/>
      <c r="W36" s="7"/>
      <c r="X36" s="7"/>
      <c r="Y36" s="7"/>
      <c r="Z36" s="7"/>
      <c r="AA36" s="7"/>
      <c r="AB36" s="7"/>
      <c r="AC36" s="7"/>
      <c r="AD36" s="7"/>
      <c r="AE36" s="7"/>
    </row>
    <row r="37" spans="1:31" s="19" customFormat="1" ht="33" customHeight="1">
      <c r="A37" s="376"/>
      <c r="B37" s="11">
        <v>12</v>
      </c>
      <c r="C37" s="169" t="s">
        <v>954</v>
      </c>
      <c r="D37" s="20" t="str">
        <f>COVER!B22</f>
        <v>B7(다크로)</v>
      </c>
      <c r="E37" s="13">
        <v>6</v>
      </c>
      <c r="F37" s="14">
        <f>IF(D37="B8",Y92,IF(D37="B8M",Z92,IF(D37="B7(다크로)",AA92)))</f>
        <v>2000</v>
      </c>
      <c r="G37" s="14">
        <f>E37*F37</f>
        <v>12000</v>
      </c>
      <c r="H37" s="14"/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f t="shared" si="1"/>
        <v>12000</v>
      </c>
      <c r="T37" s="22"/>
      <c r="V37" s="7"/>
      <c r="W37" s="7"/>
      <c r="X37" s="7"/>
      <c r="Y37" s="7"/>
      <c r="Z37" s="7"/>
      <c r="AA37" s="7"/>
      <c r="AB37" s="7"/>
      <c r="AC37" s="7"/>
      <c r="AD37" s="7"/>
      <c r="AE37" s="7"/>
    </row>
    <row r="38" spans="1:31" s="19" customFormat="1" ht="33" customHeight="1">
      <c r="A38" s="376"/>
      <c r="B38" s="11">
        <v>13</v>
      </c>
      <c r="C38" s="29" t="s">
        <v>49</v>
      </c>
      <c r="D38" s="24"/>
      <c r="E38" s="13">
        <v>1</v>
      </c>
      <c r="F38" s="14">
        <v>3000</v>
      </c>
      <c r="G38" s="14">
        <f t="shared" ref="G38:G54" si="11">E38*F38</f>
        <v>3000</v>
      </c>
      <c r="H38" s="14"/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f t="shared" si="1"/>
        <v>3000</v>
      </c>
      <c r="T38" s="22"/>
      <c r="V38" s="7"/>
      <c r="W38" s="7"/>
      <c r="X38" s="7"/>
      <c r="Y38" s="7"/>
      <c r="Z38" s="7"/>
      <c r="AA38" s="7"/>
      <c r="AB38" s="7"/>
      <c r="AC38" s="7"/>
      <c r="AD38" s="7"/>
      <c r="AE38" s="7"/>
    </row>
    <row r="39" spans="1:31" s="19" customFormat="1" ht="33" customHeight="1">
      <c r="A39" s="376"/>
      <c r="B39" s="11">
        <v>14</v>
      </c>
      <c r="C39" s="233" t="s">
        <v>50</v>
      </c>
      <c r="D39" s="24" t="str">
        <f>COVER!B23</f>
        <v>316+NICKEL</v>
      </c>
      <c r="E39" s="13">
        <v>2</v>
      </c>
      <c r="F39" s="14">
        <f>IF(D39="316+NICKEL",Y96+Y97,IF(D39="B148 C95400",Z96+Z97))</f>
        <v>155800</v>
      </c>
      <c r="G39" s="14">
        <f>F39*1</f>
        <v>155800</v>
      </c>
      <c r="H39" s="14"/>
      <c r="I39" s="15">
        <f t="shared" ref="I39:Q40" si="12">I40*I41</f>
        <v>0</v>
      </c>
      <c r="J39" s="15">
        <f t="shared" si="12"/>
        <v>0</v>
      </c>
      <c r="K39" s="15">
        <f t="shared" si="12"/>
        <v>0</v>
      </c>
      <c r="L39" s="15">
        <f t="shared" si="12"/>
        <v>0</v>
      </c>
      <c r="M39" s="15">
        <f t="shared" si="12"/>
        <v>0</v>
      </c>
      <c r="N39" s="15">
        <f t="shared" si="12"/>
        <v>0</v>
      </c>
      <c r="O39" s="15">
        <f t="shared" si="12"/>
        <v>0</v>
      </c>
      <c r="P39" s="15">
        <f t="shared" si="12"/>
        <v>0</v>
      </c>
      <c r="Q39" s="15">
        <f t="shared" si="12"/>
        <v>0</v>
      </c>
      <c r="R39" s="15">
        <v>0</v>
      </c>
      <c r="S39" s="15">
        <f t="shared" si="1"/>
        <v>155800</v>
      </c>
      <c r="T39" s="25" t="s">
        <v>1200</v>
      </c>
      <c r="V39" s="7"/>
      <c r="W39" s="7"/>
      <c r="X39" s="7"/>
      <c r="Y39" s="7"/>
      <c r="Z39" s="7"/>
      <c r="AA39" s="7"/>
      <c r="AB39" s="7"/>
      <c r="AC39" s="7"/>
      <c r="AD39" s="7"/>
      <c r="AE39" s="7"/>
    </row>
    <row r="40" spans="1:31" s="19" customFormat="1" ht="33" customHeight="1">
      <c r="A40" s="376"/>
      <c r="B40" s="11">
        <v>15</v>
      </c>
      <c r="C40" s="142" t="s">
        <v>51</v>
      </c>
      <c r="D40" s="24" t="str">
        <f>COVER!B23</f>
        <v>316+NICKEL</v>
      </c>
      <c r="E40" s="13">
        <v>2</v>
      </c>
      <c r="F40" s="14">
        <f>IF(D40="316+NICKEL",Y98+Y99,IF(D40="B148 C95400",Z98+Z99))</f>
        <v>128900</v>
      </c>
      <c r="G40" s="14">
        <f>F40*1</f>
        <v>128900</v>
      </c>
      <c r="H40" s="14"/>
      <c r="I40" s="15">
        <f t="shared" si="12"/>
        <v>0</v>
      </c>
      <c r="J40" s="15">
        <f t="shared" si="12"/>
        <v>0</v>
      </c>
      <c r="K40" s="15">
        <f t="shared" si="12"/>
        <v>0</v>
      </c>
      <c r="L40" s="15">
        <f t="shared" si="12"/>
        <v>0</v>
      </c>
      <c r="M40" s="15">
        <f t="shared" si="12"/>
        <v>0</v>
      </c>
      <c r="N40" s="15">
        <f t="shared" si="12"/>
        <v>0</v>
      </c>
      <c r="O40" s="15">
        <f t="shared" si="12"/>
        <v>0</v>
      </c>
      <c r="P40" s="15">
        <f t="shared" si="12"/>
        <v>0</v>
      </c>
      <c r="Q40" s="15">
        <f t="shared" si="12"/>
        <v>0</v>
      </c>
      <c r="R40" s="15">
        <v>0</v>
      </c>
      <c r="S40" s="15">
        <f t="shared" si="1"/>
        <v>128900</v>
      </c>
      <c r="T40" s="25" t="s">
        <v>1200</v>
      </c>
      <c r="V40" s="28"/>
      <c r="W40" s="28"/>
      <c r="X40" s="28"/>
      <c r="Y40" s="7"/>
      <c r="Z40" s="7"/>
      <c r="AA40" s="7"/>
      <c r="AB40" s="7"/>
      <c r="AC40" s="7"/>
      <c r="AD40" s="7"/>
      <c r="AE40" s="7"/>
    </row>
    <row r="41" spans="1:31" s="19" customFormat="1" ht="33" hidden="1" customHeight="1">
      <c r="A41" s="376"/>
      <c r="B41" s="11"/>
      <c r="C41" s="12"/>
      <c r="D41" s="20"/>
      <c r="E41" s="13"/>
      <c r="F41" s="14"/>
      <c r="G41" s="14"/>
      <c r="H41" s="17" t="s">
        <v>39</v>
      </c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>
        <f t="shared" si="1"/>
        <v>0</v>
      </c>
      <c r="T41" s="22"/>
      <c r="V41" s="28"/>
      <c r="W41" s="28"/>
      <c r="X41" s="28"/>
      <c r="Y41" s="7"/>
      <c r="Z41" s="7"/>
      <c r="AA41" s="7"/>
      <c r="AB41" s="7"/>
      <c r="AC41" s="7"/>
      <c r="AD41" s="7"/>
      <c r="AE41" s="7"/>
    </row>
    <row r="42" spans="1:31" s="19" customFormat="1" ht="33" hidden="1" customHeight="1">
      <c r="A42" s="376"/>
      <c r="B42" s="11"/>
      <c r="C42" s="12"/>
      <c r="D42" s="20"/>
      <c r="E42" s="13"/>
      <c r="F42" s="14"/>
      <c r="G42" s="14"/>
      <c r="H42" s="17" t="s">
        <v>39</v>
      </c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>
        <f t="shared" si="1"/>
        <v>0</v>
      </c>
      <c r="T42" s="22"/>
      <c r="V42" s="28"/>
      <c r="W42" s="28"/>
      <c r="X42" s="28"/>
      <c r="Y42" s="7"/>
      <c r="Z42" s="7"/>
      <c r="AA42" s="7"/>
      <c r="AB42" s="7"/>
      <c r="AC42" s="7"/>
      <c r="AD42" s="7"/>
      <c r="AE42" s="7"/>
    </row>
    <row r="43" spans="1:31" s="19" customFormat="1" ht="33" hidden="1" customHeight="1">
      <c r="A43" s="376"/>
      <c r="B43" s="11"/>
      <c r="C43" s="12"/>
      <c r="D43" s="20"/>
      <c r="E43" s="13"/>
      <c r="F43" s="14"/>
      <c r="G43" s="14"/>
      <c r="H43" s="17" t="s">
        <v>39</v>
      </c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>
        <f t="shared" si="1"/>
        <v>0</v>
      </c>
      <c r="T43" s="22"/>
      <c r="V43" s="28"/>
      <c r="W43" s="28"/>
      <c r="X43" s="28"/>
      <c r="Y43" s="7"/>
      <c r="Z43" s="7"/>
      <c r="AA43" s="7"/>
      <c r="AB43" s="7"/>
      <c r="AC43" s="7"/>
      <c r="AD43" s="7"/>
      <c r="AE43" s="7"/>
    </row>
    <row r="44" spans="1:31" s="19" customFormat="1" ht="33" customHeight="1">
      <c r="A44" s="376"/>
      <c r="B44" s="11">
        <v>16</v>
      </c>
      <c r="C44" s="142" t="s">
        <v>52</v>
      </c>
      <c r="D44" s="24" t="str">
        <f>COVER!B25</f>
        <v>316+NICKEL</v>
      </c>
      <c r="E44" s="13">
        <v>1</v>
      </c>
      <c r="F44" s="14">
        <f>IF(D44="316+NICKEL",Y101,IF(D44="B148 C95400",Z101))</f>
        <v>16900</v>
      </c>
      <c r="G44" s="14">
        <f>F44*E44</f>
        <v>16900</v>
      </c>
      <c r="H44" s="14"/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1000</v>
      </c>
      <c r="P44" s="15">
        <v>0</v>
      </c>
      <c r="Q44" s="15">
        <v>0</v>
      </c>
      <c r="R44" s="15">
        <v>0</v>
      </c>
      <c r="S44" s="15">
        <f t="shared" si="1"/>
        <v>16900</v>
      </c>
      <c r="T44" s="25" t="s">
        <v>1200</v>
      </c>
      <c r="U44" s="236"/>
      <c r="V44" s="28"/>
      <c r="W44" s="28"/>
      <c r="X44" s="28"/>
      <c r="Y44" s="7"/>
      <c r="Z44" s="7"/>
      <c r="AA44" s="7"/>
      <c r="AB44" s="7"/>
      <c r="AC44" s="7"/>
      <c r="AD44" s="7"/>
      <c r="AE44" s="7"/>
    </row>
    <row r="45" spans="1:31" s="19" customFormat="1" ht="33" customHeight="1">
      <c r="A45" s="376"/>
      <c r="B45" s="11">
        <v>17</v>
      </c>
      <c r="C45" s="175" t="s">
        <v>53</v>
      </c>
      <c r="D45" s="20" t="s">
        <v>463</v>
      </c>
      <c r="E45" s="14">
        <v>1</v>
      </c>
      <c r="F45" s="14">
        <f>Y87</f>
        <v>4000</v>
      </c>
      <c r="G45" s="14">
        <f>F45*E45</f>
        <v>4000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/>
      <c r="R45" s="15">
        <v>0</v>
      </c>
      <c r="S45" s="15">
        <f t="shared" si="1"/>
        <v>4000</v>
      </c>
      <c r="T45" s="22"/>
      <c r="V45" s="7">
        <f>G24/9500</f>
        <v>30.421052631578949</v>
      </c>
      <c r="W45" s="7"/>
      <c r="X45" s="7"/>
      <c r="Y45" s="7"/>
      <c r="Z45" s="7"/>
      <c r="AA45" s="7"/>
      <c r="AB45" s="7"/>
      <c r="AC45" s="7"/>
      <c r="AD45" s="7"/>
      <c r="AE45" s="7"/>
    </row>
    <row r="46" spans="1:31" s="19" customFormat="1" ht="33" customHeight="1">
      <c r="A46" s="376"/>
      <c r="B46" s="11">
        <v>18</v>
      </c>
      <c r="C46" s="175" t="s">
        <v>1205</v>
      </c>
      <c r="D46" s="24" t="str">
        <f>COVER!B29</f>
        <v>SS400</v>
      </c>
      <c r="E46" s="13">
        <v>1</v>
      </c>
      <c r="F46" s="14">
        <f>IF(D46="SS400",Y106,IF(D46="SS316",Z106,IF(D46="SS304",AA106)))</f>
        <v>14080</v>
      </c>
      <c r="G46" s="14">
        <f>F46*E46</f>
        <v>14080</v>
      </c>
      <c r="H46" s="14"/>
      <c r="I46" s="15">
        <f>I47*I48</f>
        <v>4597.92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8500</v>
      </c>
      <c r="S46" s="15">
        <f t="shared" si="1"/>
        <v>22580</v>
      </c>
      <c r="T46" s="22"/>
      <c r="V46" s="7"/>
      <c r="W46" s="7"/>
      <c r="X46" s="7"/>
      <c r="Y46" s="7"/>
      <c r="Z46" s="7"/>
      <c r="AA46" s="7"/>
      <c r="AB46" s="7"/>
      <c r="AC46" s="7"/>
      <c r="AD46" s="7"/>
      <c r="AE46" s="7"/>
    </row>
    <row r="47" spans="1:31" s="19" customFormat="1" ht="33" hidden="1" customHeight="1">
      <c r="A47" s="376"/>
      <c r="B47" s="11"/>
      <c r="C47" s="31"/>
      <c r="D47" s="24"/>
      <c r="E47" s="13"/>
      <c r="F47" s="14"/>
      <c r="G47" s="14"/>
      <c r="H47" s="17" t="s">
        <v>39</v>
      </c>
      <c r="I47" s="21">
        <v>0.3</v>
      </c>
      <c r="J47" s="21"/>
      <c r="K47" s="21"/>
      <c r="L47" s="21"/>
      <c r="M47" s="21"/>
      <c r="N47" s="21"/>
      <c r="O47" s="21"/>
      <c r="P47" s="21"/>
      <c r="Q47" s="21"/>
      <c r="R47" s="15"/>
      <c r="S47" s="15">
        <f t="shared" si="1"/>
        <v>0</v>
      </c>
      <c r="T47" s="22"/>
      <c r="V47" s="7"/>
      <c r="W47" s="7"/>
      <c r="X47" s="7"/>
      <c r="Y47" s="7"/>
      <c r="Z47" s="7"/>
      <c r="AA47" s="7"/>
      <c r="AB47" s="7"/>
      <c r="AC47" s="7"/>
      <c r="AD47" s="7"/>
      <c r="AE47" s="7"/>
    </row>
    <row r="48" spans="1:31" s="19" customFormat="1" ht="33" hidden="1" customHeight="1">
      <c r="A48" s="376"/>
      <c r="B48" s="11"/>
      <c r="C48" s="31"/>
      <c r="D48" s="24"/>
      <c r="E48" s="13"/>
      <c r="F48" s="14"/>
      <c r="G48" s="14"/>
      <c r="H48" s="17" t="s">
        <v>39</v>
      </c>
      <c r="I48" s="15">
        <f>I49/10</f>
        <v>15326.4</v>
      </c>
      <c r="J48" s="15"/>
      <c r="K48" s="15"/>
      <c r="L48" s="15"/>
      <c r="M48" s="15"/>
      <c r="N48" s="15"/>
      <c r="O48" s="15"/>
      <c r="P48" s="15"/>
      <c r="Q48" s="15"/>
      <c r="R48" s="15"/>
      <c r="S48" s="15">
        <f t="shared" si="1"/>
        <v>0</v>
      </c>
      <c r="T48" s="22"/>
      <c r="V48" s="7"/>
      <c r="W48" s="7"/>
      <c r="X48" s="7"/>
      <c r="Y48" s="7"/>
      <c r="Z48" s="7"/>
      <c r="AA48" s="7"/>
      <c r="AB48" s="7"/>
      <c r="AC48" s="7"/>
      <c r="AD48" s="7"/>
      <c r="AE48" s="7"/>
    </row>
    <row r="49" spans="1:31" s="19" customFormat="1" ht="33" hidden="1" customHeight="1">
      <c r="A49" s="376"/>
      <c r="B49" s="11"/>
      <c r="C49" s="31"/>
      <c r="D49" s="24"/>
      <c r="E49" s="13"/>
      <c r="F49" s="14"/>
      <c r="G49" s="14"/>
      <c r="H49" s="17" t="s">
        <v>39</v>
      </c>
      <c r="I49" s="15">
        <v>153264</v>
      </c>
      <c r="J49" s="15"/>
      <c r="K49" s="15"/>
      <c r="L49" s="15"/>
      <c r="M49" s="15"/>
      <c r="N49" s="15"/>
      <c r="O49" s="15"/>
      <c r="P49" s="15"/>
      <c r="Q49" s="15"/>
      <c r="R49" s="15"/>
      <c r="S49" s="15">
        <f t="shared" si="1"/>
        <v>0</v>
      </c>
      <c r="T49" s="22"/>
      <c r="V49" s="7"/>
      <c r="W49" s="7"/>
      <c r="X49" s="7"/>
      <c r="Y49" s="7"/>
      <c r="Z49" s="7"/>
      <c r="AA49" s="7"/>
      <c r="AB49" s="7"/>
      <c r="AC49" s="7"/>
      <c r="AD49" s="7"/>
      <c r="AE49" s="7"/>
    </row>
    <row r="50" spans="1:31" s="19" customFormat="1" ht="33" customHeight="1">
      <c r="A50" s="376"/>
      <c r="B50" s="11">
        <v>19</v>
      </c>
      <c r="C50" s="226" t="s">
        <v>681</v>
      </c>
      <c r="D50" s="20" t="str">
        <f>COVER!B22</f>
        <v>B7(다크로)</v>
      </c>
      <c r="E50" s="13">
        <v>6</v>
      </c>
      <c r="F50" s="14">
        <f>IF(D50="B8",Y93,IF(D50="B8M",Z93,IF(D50="B7(다크로)",AA93)))</f>
        <v>2000</v>
      </c>
      <c r="G50" s="14">
        <f>E50*F50</f>
        <v>12000</v>
      </c>
      <c r="H50" s="14"/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f t="shared" si="1"/>
        <v>12000</v>
      </c>
      <c r="T50" s="18"/>
      <c r="V50" s="26"/>
      <c r="W50" s="26"/>
      <c r="X50" s="26"/>
      <c r="Y50" s="7"/>
      <c r="Z50" s="7"/>
      <c r="AA50" s="7"/>
      <c r="AB50" s="7"/>
      <c r="AC50" s="7"/>
      <c r="AD50" s="7"/>
      <c r="AE50" s="7"/>
    </row>
    <row r="51" spans="1:31" s="19" customFormat="1" ht="33" customHeight="1">
      <c r="A51" s="376"/>
      <c r="B51" s="11">
        <v>20</v>
      </c>
      <c r="C51" s="169" t="s">
        <v>56</v>
      </c>
      <c r="D51" s="303" t="str">
        <f>D24</f>
        <v>A564T630</v>
      </c>
      <c r="E51" s="13">
        <v>4</v>
      </c>
      <c r="F51" s="14">
        <f>IF(D51="A276T316",Y80/E51,IF(D51="A276T316L",Y80/E51,IF(D51="A276T304",Z80/E51,IF(D51="A564T630",AA80/E51,IF(D51="A479T410",AB80/E51,IF(D51="UNS S31803",AC80/E51,IF(D51="UNS S32750",AD80/E51,IF(D51="MONEL K-400",AE80/E51,IF(D51="MONEL K-500",AE80/E51)))))))))</f>
        <v>2025</v>
      </c>
      <c r="G51" s="14">
        <f>F51*E51</f>
        <v>8100</v>
      </c>
      <c r="H51" s="14"/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1000</v>
      </c>
      <c r="P51" s="15">
        <v>0</v>
      </c>
      <c r="Q51" s="15">
        <v>0</v>
      </c>
      <c r="R51" s="15">
        <f>2400*E51</f>
        <v>9600</v>
      </c>
      <c r="S51" s="15">
        <f t="shared" si="1"/>
        <v>17700</v>
      </c>
      <c r="T51" s="22"/>
      <c r="U51" s="162"/>
    </row>
    <row r="52" spans="1:31" s="19" customFormat="1" ht="33" customHeight="1">
      <c r="A52" s="376"/>
      <c r="B52" s="11">
        <v>21</v>
      </c>
      <c r="C52" s="169" t="s">
        <v>57</v>
      </c>
      <c r="D52" s="24" t="str">
        <f>COVER!B22</f>
        <v>B7(다크로)</v>
      </c>
      <c r="E52" s="13">
        <v>4</v>
      </c>
      <c r="F52" s="14">
        <f>IF(D52="B8",Y90,IF(D52="B8M",Z90,IF(D52="B7(다크로)",AA90)))</f>
        <v>4300</v>
      </c>
      <c r="G52" s="14">
        <f>F52*E52</f>
        <v>17200</v>
      </c>
      <c r="H52" s="14"/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1000</v>
      </c>
      <c r="O52" s="15">
        <v>1000</v>
      </c>
      <c r="P52" s="15">
        <v>1000</v>
      </c>
      <c r="Q52" s="15">
        <v>0</v>
      </c>
      <c r="R52" s="15">
        <v>0</v>
      </c>
      <c r="S52" s="15">
        <f t="shared" si="1"/>
        <v>17200</v>
      </c>
      <c r="T52" s="22"/>
      <c r="U52" s="162"/>
    </row>
    <row r="53" spans="1:31" s="19" customFormat="1" ht="33" customHeight="1">
      <c r="A53" s="376"/>
      <c r="B53" s="11">
        <v>22</v>
      </c>
      <c r="C53" s="169" t="s">
        <v>1199</v>
      </c>
      <c r="D53" s="24" t="str">
        <f>COVER!B26</f>
        <v>316+NICKEL</v>
      </c>
      <c r="E53" s="13">
        <v>1</v>
      </c>
      <c r="F53" s="14">
        <f>IF(D53="316+NICKEL",Y102,IF(D53="B148 C95400",Z102))</f>
        <v>18700</v>
      </c>
      <c r="G53" s="14">
        <f>F53*E53</f>
        <v>18700</v>
      </c>
      <c r="H53" s="14"/>
      <c r="I53" s="15"/>
      <c r="J53" s="15"/>
      <c r="K53" s="15"/>
      <c r="L53" s="15"/>
      <c r="M53" s="15"/>
      <c r="N53" s="15"/>
      <c r="O53" s="15"/>
      <c r="P53" s="15"/>
      <c r="Q53" s="15"/>
      <c r="R53" s="15">
        <v>0</v>
      </c>
      <c r="S53" s="15">
        <f t="shared" si="1"/>
        <v>18700</v>
      </c>
      <c r="T53" s="22"/>
    </row>
    <row r="54" spans="1:31" s="19" customFormat="1" ht="33" customHeight="1">
      <c r="A54" s="376"/>
      <c r="B54" s="11">
        <v>23</v>
      </c>
      <c r="C54" s="29" t="s">
        <v>58</v>
      </c>
      <c r="D54" s="24"/>
      <c r="E54" s="13">
        <v>1</v>
      </c>
      <c r="F54" s="14">
        <v>2000</v>
      </c>
      <c r="G54" s="14">
        <f t="shared" si="11"/>
        <v>2000</v>
      </c>
      <c r="H54" s="14"/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1000</v>
      </c>
      <c r="Q54" s="15">
        <v>0</v>
      </c>
      <c r="R54" s="15">
        <v>0</v>
      </c>
      <c r="S54" s="15">
        <f t="shared" si="1"/>
        <v>2000</v>
      </c>
      <c r="T54" s="22"/>
    </row>
    <row r="55" spans="1:31" s="19" customFormat="1" ht="33" customHeight="1">
      <c r="A55" s="376"/>
      <c r="B55" s="11">
        <v>24</v>
      </c>
      <c r="C55" s="142" t="s">
        <v>59</v>
      </c>
      <c r="D55" s="24" t="str">
        <f>COVER!B35</f>
        <v>GEAR</v>
      </c>
      <c r="E55" s="13">
        <v>1</v>
      </c>
      <c r="F55" s="302">
        <f>IF(D55="GEAR",304200,IF(D55="MOTOR",0,IF(D55="PNEUMATIC",0)))</f>
        <v>304200</v>
      </c>
      <c r="G55" s="14">
        <f>F55</f>
        <v>304200</v>
      </c>
      <c r="H55" s="14"/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f t="shared" si="1"/>
        <v>304200</v>
      </c>
      <c r="T55" s="22"/>
    </row>
    <row r="56" spans="1:31" s="19" customFormat="1" ht="33" customHeight="1">
      <c r="A56" s="376"/>
      <c r="B56" s="11">
        <v>25</v>
      </c>
      <c r="C56" s="186" t="s">
        <v>859</v>
      </c>
      <c r="D56" s="24" t="str">
        <f>COVER!B30</f>
        <v>WCB</v>
      </c>
      <c r="E56" s="13">
        <v>30</v>
      </c>
      <c r="F56" s="14">
        <f>IF(D56="WCB",4000,IF(D56="CF8M",9000))</f>
        <v>4000</v>
      </c>
      <c r="G56" s="14">
        <f>E56*F56</f>
        <v>120000</v>
      </c>
      <c r="H56" s="14"/>
      <c r="I56" s="15"/>
      <c r="J56" s="15"/>
      <c r="K56" s="15"/>
      <c r="L56" s="15"/>
      <c r="M56" s="15"/>
      <c r="N56" s="15"/>
      <c r="O56" s="15"/>
      <c r="P56" s="15"/>
      <c r="Q56" s="15"/>
      <c r="R56" s="15">
        <f>IF(D56="WCB",AA108,IF(D56="CF8M",AB108))</f>
        <v>46000</v>
      </c>
      <c r="S56" s="15">
        <f t="shared" si="1"/>
        <v>166000</v>
      </c>
      <c r="T56" s="22"/>
    </row>
    <row r="57" spans="1:31" s="19" customFormat="1" ht="33" customHeight="1">
      <c r="A57" s="376"/>
      <c r="B57" s="11">
        <v>26</v>
      </c>
      <c r="C57" s="175" t="s">
        <v>467</v>
      </c>
      <c r="D57" s="24" t="str">
        <f>COVER!B27</f>
        <v>316+NICKEL</v>
      </c>
      <c r="E57" s="13">
        <v>2</v>
      </c>
      <c r="F57" s="14">
        <f>IF(D57="316+NICKEL",Y103,IF(D57="B148 C95400",Z103))</f>
        <v>27200</v>
      </c>
      <c r="G57" s="14">
        <f>F57</f>
        <v>27200</v>
      </c>
      <c r="H57" s="14"/>
      <c r="I57" s="15"/>
      <c r="J57" s="15"/>
      <c r="K57" s="15"/>
      <c r="L57" s="15"/>
      <c r="M57" s="15"/>
      <c r="N57" s="15"/>
      <c r="O57" s="15"/>
      <c r="P57" s="15"/>
      <c r="Q57" s="15"/>
      <c r="R57" s="15">
        <v>0</v>
      </c>
      <c r="S57" s="15">
        <f t="shared" si="1"/>
        <v>27200</v>
      </c>
      <c r="T57" s="25" t="s">
        <v>1200</v>
      </c>
    </row>
    <row r="58" spans="1:31" s="19" customFormat="1" ht="33" customHeight="1">
      <c r="A58" s="376"/>
      <c r="B58" s="11">
        <v>27</v>
      </c>
      <c r="C58" s="175" t="s">
        <v>468</v>
      </c>
      <c r="D58" s="24" t="str">
        <f>COVER!B28</f>
        <v>316+NICKEL</v>
      </c>
      <c r="E58" s="13">
        <v>2</v>
      </c>
      <c r="F58" s="14">
        <f>IF(D58="316+NICKEL",Y104,IF(D58="B148 C95400",Z104))</f>
        <v>6370</v>
      </c>
      <c r="G58" s="14">
        <f>F58</f>
        <v>6370</v>
      </c>
      <c r="H58" s="14"/>
      <c r="I58" s="15"/>
      <c r="J58" s="15"/>
      <c r="K58" s="15"/>
      <c r="L58" s="15"/>
      <c r="M58" s="15"/>
      <c r="N58" s="15"/>
      <c r="O58" s="15"/>
      <c r="P58" s="15"/>
      <c r="Q58" s="15"/>
      <c r="R58" s="15">
        <v>0</v>
      </c>
      <c r="S58" s="15">
        <f t="shared" si="1"/>
        <v>6370</v>
      </c>
      <c r="T58" s="25" t="s">
        <v>1200</v>
      </c>
    </row>
    <row r="59" spans="1:31" s="19" customFormat="1" ht="33" customHeight="1">
      <c r="A59" s="376"/>
      <c r="B59" s="11">
        <v>28</v>
      </c>
      <c r="C59" s="142" t="s">
        <v>714</v>
      </c>
      <c r="D59" s="24" t="str">
        <f>COVER!B22</f>
        <v>B7(다크로)</v>
      </c>
      <c r="E59" s="13">
        <v>8</v>
      </c>
      <c r="F59" s="14">
        <f>IF(D59="B8",Y89,IF(D59="B8M",Z89,IF(D59="B7(다크로)",AA89)))</f>
        <v>1500</v>
      </c>
      <c r="G59" s="14">
        <f t="shared" ref="G59:G61" si="13">E59*F59</f>
        <v>12000</v>
      </c>
      <c r="H59" s="14"/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f t="shared" si="1"/>
        <v>12000</v>
      </c>
      <c r="T59" s="25"/>
    </row>
    <row r="60" spans="1:31" s="19" customFormat="1" ht="33" customHeight="1">
      <c r="A60" s="376"/>
      <c r="B60" s="11">
        <v>29</v>
      </c>
      <c r="C60" s="12" t="s">
        <v>61</v>
      </c>
      <c r="D60" s="303" t="str">
        <f>COVER!B32</f>
        <v>외주 2COATING</v>
      </c>
      <c r="E60" s="13">
        <v>1</v>
      </c>
      <c r="F60" s="14">
        <f>IF(COVER!B10="APPLICATION",0,IF(D60="기존 단가",Y116,IF(D60="외주 2COATING",Z116,IF(D60="외주 3COATING",AA116))))</f>
        <v>0</v>
      </c>
      <c r="G60" s="14">
        <f t="shared" si="13"/>
        <v>0</v>
      </c>
      <c r="H60" s="14"/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f t="shared" si="1"/>
        <v>0</v>
      </c>
      <c r="T60" s="22"/>
    </row>
    <row r="61" spans="1:31" s="19" customFormat="1" ht="33" customHeight="1">
      <c r="A61" s="377"/>
      <c r="B61" s="11">
        <v>30</v>
      </c>
      <c r="C61" s="12" t="s">
        <v>62</v>
      </c>
      <c r="D61" s="303" t="str">
        <f>COVER!B33</f>
        <v>신규</v>
      </c>
      <c r="E61" s="13">
        <v>1</v>
      </c>
      <c r="F61" s="14">
        <f>IF(COVER!B10="APPLICATION",0,IF(D61="기존 단가",Y118,IF(D61="신규",Z118)))</f>
        <v>0</v>
      </c>
      <c r="G61" s="14">
        <f t="shared" si="13"/>
        <v>0</v>
      </c>
      <c r="H61" s="14"/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f t="shared" si="1"/>
        <v>0</v>
      </c>
      <c r="T61" s="22"/>
    </row>
    <row r="62" spans="1:31" s="19" customFormat="1" ht="33" customHeight="1">
      <c r="A62" s="378" t="s">
        <v>63</v>
      </c>
      <c r="B62" s="379"/>
      <c r="C62" s="379"/>
      <c r="D62" s="379"/>
      <c r="E62" s="379"/>
      <c r="F62" s="380"/>
      <c r="G62" s="14">
        <f>IF(COVER!B10="APPLICATION",0,IF(D55="GEAR",Y120,IF(D55="MOTOR",Z120,IF(D55="PNEUMATIC",AA120))))</f>
        <v>0</v>
      </c>
      <c r="H62" s="14"/>
      <c r="I62" s="32" t="s">
        <v>38</v>
      </c>
      <c r="J62" s="32"/>
      <c r="K62" s="32"/>
      <c r="L62" s="32"/>
      <c r="M62" s="32"/>
      <c r="N62" s="32"/>
      <c r="O62" s="32"/>
      <c r="P62" s="32"/>
      <c r="Q62" s="32"/>
      <c r="R62" s="33"/>
      <c r="S62" s="33">
        <f t="shared" si="1"/>
        <v>0</v>
      </c>
      <c r="T62" s="253"/>
      <c r="X62" s="19" t="s">
        <v>38</v>
      </c>
    </row>
    <row r="63" spans="1:31" s="19" customFormat="1" ht="33" customHeight="1">
      <c r="A63" s="360" t="s">
        <v>64</v>
      </c>
      <c r="B63" s="361"/>
      <c r="C63" s="361"/>
      <c r="D63" s="361"/>
      <c r="E63" s="361"/>
      <c r="F63" s="362"/>
      <c r="G63" s="14"/>
      <c r="H63" s="14"/>
      <c r="I63" s="32"/>
      <c r="J63" s="32"/>
      <c r="K63" s="32"/>
      <c r="L63" s="32"/>
      <c r="M63" s="32"/>
      <c r="N63" s="32"/>
      <c r="O63" s="32"/>
      <c r="P63" s="32"/>
      <c r="Q63" s="32"/>
      <c r="R63" s="33"/>
      <c r="S63" s="33"/>
      <c r="T63" s="253" t="s">
        <v>1526</v>
      </c>
    </row>
    <row r="64" spans="1:31" s="19" customFormat="1" ht="33" customHeight="1">
      <c r="A64" s="378" t="s">
        <v>65</v>
      </c>
      <c r="B64" s="379"/>
      <c r="C64" s="379"/>
      <c r="D64" s="379"/>
      <c r="E64" s="379"/>
      <c r="F64" s="380"/>
      <c r="G64" s="93" t="s">
        <v>38</v>
      </c>
      <c r="H64" s="93"/>
      <c r="I64" s="32"/>
      <c r="J64" s="94"/>
      <c r="K64" s="94"/>
      <c r="L64" s="94"/>
      <c r="M64" s="94"/>
      <c r="N64" s="94"/>
      <c r="O64" s="94"/>
      <c r="P64" s="94"/>
      <c r="Q64" s="94"/>
      <c r="R64" s="94"/>
      <c r="S64" s="34">
        <f>SUM(S8:S63)</f>
        <v>4199600</v>
      </c>
      <c r="T64" s="254" t="s">
        <v>145</v>
      </c>
    </row>
    <row r="65" spans="1:32" s="19" customFormat="1" ht="33" customHeight="1">
      <c r="A65" s="378" t="s">
        <v>66</v>
      </c>
      <c r="B65" s="379"/>
      <c r="C65" s="379"/>
      <c r="D65" s="379"/>
      <c r="E65" s="379"/>
      <c r="F65" s="380"/>
      <c r="G65" s="32">
        <v>0.1</v>
      </c>
      <c r="H65" s="32"/>
      <c r="I65" s="32" t="s">
        <v>682</v>
      </c>
      <c r="J65" s="32"/>
      <c r="K65" s="32"/>
      <c r="L65" s="32"/>
      <c r="M65" s="32"/>
      <c r="N65" s="32"/>
      <c r="O65" s="32"/>
      <c r="P65" s="32"/>
      <c r="Q65" s="32"/>
      <c r="R65" s="32"/>
      <c r="S65" s="35">
        <f>S64*G65</f>
        <v>419960</v>
      </c>
      <c r="T65" s="253"/>
    </row>
    <row r="66" spans="1:32" s="19" customFormat="1" ht="33" customHeight="1">
      <c r="A66" s="360" t="s">
        <v>67</v>
      </c>
      <c r="B66" s="361"/>
      <c r="C66" s="361"/>
      <c r="D66" s="361"/>
      <c r="E66" s="361"/>
      <c r="F66" s="362"/>
      <c r="G66" s="95">
        <v>0.1</v>
      </c>
      <c r="H66" s="95"/>
      <c r="I66" s="32" t="s">
        <v>38</v>
      </c>
      <c r="J66" s="32"/>
      <c r="K66" s="32"/>
      <c r="L66" s="32"/>
      <c r="M66" s="32"/>
      <c r="N66" s="32"/>
      <c r="O66" s="32"/>
      <c r="P66" s="32"/>
      <c r="Q66" s="32"/>
      <c r="R66" s="32"/>
      <c r="S66" s="35">
        <f>(S64+S65)*G66</f>
        <v>461956</v>
      </c>
      <c r="T66" s="253" t="s">
        <v>38</v>
      </c>
    </row>
    <row r="67" spans="1:32" s="19" customFormat="1" ht="33" customHeight="1">
      <c r="A67" s="363" t="s">
        <v>68</v>
      </c>
      <c r="B67" s="364"/>
      <c r="C67" s="364"/>
      <c r="D67" s="364"/>
      <c r="E67" s="364"/>
      <c r="F67" s="365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294">
        <f>S64+S65+S66</f>
        <v>5081516</v>
      </c>
      <c r="T67" s="254" t="s">
        <v>69</v>
      </c>
    </row>
    <row r="68" spans="1:32" s="19" customFormat="1" ht="33" customHeight="1">
      <c r="A68" s="366" t="s">
        <v>70</v>
      </c>
      <c r="B68" s="367"/>
      <c r="C68" s="367"/>
      <c r="D68" s="367"/>
      <c r="E68" s="367"/>
      <c r="F68" s="368"/>
      <c r="G68" s="32">
        <f>COVER!B11</f>
        <v>1.5</v>
      </c>
      <c r="H68" s="32"/>
      <c r="I68" s="32" t="s">
        <v>38</v>
      </c>
      <c r="J68" s="32"/>
      <c r="K68" s="32"/>
      <c r="L68" s="32"/>
      <c r="M68" s="32"/>
      <c r="N68" s="32"/>
      <c r="O68" s="32"/>
      <c r="P68" s="32"/>
      <c r="Q68" s="32"/>
      <c r="R68" s="32"/>
      <c r="S68" s="36">
        <f>S67*G68</f>
        <v>7622274</v>
      </c>
      <c r="T68" s="253"/>
    </row>
    <row r="69" spans="1:32" s="19" customFormat="1" ht="33" customHeight="1">
      <c r="A69" s="369" t="s">
        <v>71</v>
      </c>
      <c r="B69" s="370"/>
      <c r="C69" s="370"/>
      <c r="D69" s="370"/>
      <c r="E69" s="370"/>
      <c r="F69" s="370"/>
      <c r="G69" s="371"/>
      <c r="H69" s="37"/>
      <c r="I69" s="38"/>
      <c r="J69" s="38"/>
      <c r="K69" s="38"/>
      <c r="L69" s="38"/>
      <c r="M69" s="38"/>
      <c r="N69" s="38"/>
      <c r="O69" s="38"/>
      <c r="P69" s="38"/>
      <c r="Q69" s="38"/>
      <c r="R69" s="39" t="s">
        <v>17</v>
      </c>
      <c r="S69" s="40">
        <f>S68</f>
        <v>7622274</v>
      </c>
      <c r="T69" s="246" t="s">
        <v>72</v>
      </c>
      <c r="V69" s="141" t="s">
        <v>862</v>
      </c>
      <c r="W69" s="140"/>
      <c r="X69" s="140"/>
      <c r="Y69" s="140"/>
      <c r="Z69" s="140"/>
      <c r="AA69" s="140"/>
      <c r="AB69" s="140"/>
      <c r="AC69" s="140"/>
      <c r="AD69" s="140"/>
      <c r="AE69" s="140"/>
      <c r="AF69" s="140"/>
    </row>
    <row r="70" spans="1:32" s="19" customFormat="1" ht="33" customHeight="1" thickBot="1">
      <c r="A70" s="372"/>
      <c r="B70" s="373"/>
      <c r="C70" s="373"/>
      <c r="D70" s="373"/>
      <c r="E70" s="373"/>
      <c r="F70" s="373"/>
      <c r="G70" s="374"/>
      <c r="H70" s="41"/>
      <c r="I70" s="42"/>
      <c r="J70" s="42"/>
      <c r="K70" s="42"/>
      <c r="L70" s="42"/>
      <c r="M70" s="42"/>
      <c r="N70" s="42"/>
      <c r="O70" s="42"/>
      <c r="P70" s="42"/>
      <c r="Q70" s="42"/>
      <c r="R70" s="43" t="s">
        <v>18</v>
      </c>
      <c r="S70" s="43">
        <f>S64*G68</f>
        <v>6299400</v>
      </c>
      <c r="T70" s="247" t="s">
        <v>73</v>
      </c>
      <c r="V70" s="141" t="s">
        <v>1386</v>
      </c>
      <c r="W70" s="140"/>
      <c r="X70" s="140"/>
      <c r="Y70" s="140"/>
      <c r="Z70" s="140"/>
      <c r="AA70" s="140"/>
      <c r="AB70" s="140"/>
      <c r="AC70" s="140"/>
      <c r="AD70" s="140"/>
      <c r="AE70" s="140"/>
      <c r="AF70" s="140"/>
    </row>
    <row r="71" spans="1:32" ht="15" thickBot="1">
      <c r="V71" s="140"/>
      <c r="W71" s="140"/>
      <c r="X71" s="140"/>
      <c r="Y71" s="140"/>
      <c r="Z71" s="140"/>
      <c r="AA71" s="140"/>
      <c r="AB71" s="140"/>
      <c r="AC71" s="140"/>
      <c r="AD71" s="140"/>
      <c r="AE71" s="140"/>
      <c r="AF71" s="140"/>
    </row>
    <row r="72" spans="1:32" ht="21" thickBot="1">
      <c r="C72" s="44" t="s">
        <v>310</v>
      </c>
      <c r="V72" s="193" t="s">
        <v>863</v>
      </c>
      <c r="W72" s="194" t="s">
        <v>864</v>
      </c>
      <c r="X72" s="194" t="s">
        <v>865</v>
      </c>
      <c r="Y72" s="358" t="s">
        <v>866</v>
      </c>
      <c r="Z72" s="358"/>
      <c r="AA72" s="358"/>
      <c r="AB72" s="358"/>
      <c r="AC72" s="358"/>
      <c r="AD72" s="358"/>
      <c r="AE72" s="358"/>
      <c r="AF72" s="218" t="s">
        <v>867</v>
      </c>
    </row>
    <row r="73" spans="1:32" ht="20.399999999999999">
      <c r="C73" s="44" t="s">
        <v>75</v>
      </c>
      <c r="V73" s="336" t="s">
        <v>868</v>
      </c>
      <c r="W73" s="111" t="s">
        <v>869</v>
      </c>
      <c r="X73" s="111" t="s">
        <v>1387</v>
      </c>
      <c r="Y73" s="345" t="s">
        <v>870</v>
      </c>
      <c r="Z73" s="345"/>
      <c r="AA73" s="345"/>
      <c r="AB73" s="345"/>
      <c r="AC73" s="345"/>
      <c r="AD73" s="345"/>
      <c r="AE73" s="345"/>
      <c r="AF73" s="161" t="s">
        <v>871</v>
      </c>
    </row>
    <row r="74" spans="1:32" ht="21" thickBot="1">
      <c r="C74" s="44" t="s">
        <v>76</v>
      </c>
      <c r="V74" s="342"/>
      <c r="W74" s="133" t="s">
        <v>872</v>
      </c>
      <c r="X74" s="219" t="s">
        <v>457</v>
      </c>
      <c r="Y74" s="346" t="s">
        <v>870</v>
      </c>
      <c r="Z74" s="346"/>
      <c r="AA74" s="346"/>
      <c r="AB74" s="346"/>
      <c r="AC74" s="346"/>
      <c r="AD74" s="346"/>
      <c r="AE74" s="346"/>
      <c r="AF74" s="195" t="s">
        <v>871</v>
      </c>
    </row>
    <row r="75" spans="1:32" ht="21" thickBot="1">
      <c r="C75" s="44" t="s">
        <v>77</v>
      </c>
      <c r="V75" s="196" t="s">
        <v>874</v>
      </c>
      <c r="W75" s="137" t="s">
        <v>875</v>
      </c>
      <c r="X75" s="137" t="s">
        <v>973</v>
      </c>
      <c r="Y75" s="359" t="s">
        <v>870</v>
      </c>
      <c r="Z75" s="359"/>
      <c r="AA75" s="359"/>
      <c r="AB75" s="359"/>
      <c r="AC75" s="359"/>
      <c r="AD75" s="359"/>
      <c r="AE75" s="359"/>
      <c r="AF75" s="197" t="s">
        <v>871</v>
      </c>
    </row>
    <row r="76" spans="1:32" ht="20.399999999999999">
      <c r="C76" s="44" t="s">
        <v>78</v>
      </c>
      <c r="V76" s="336" t="s">
        <v>877</v>
      </c>
      <c r="W76" s="111" t="s">
        <v>846</v>
      </c>
      <c r="X76" s="354">
        <v>243400</v>
      </c>
      <c r="Y76" s="354"/>
      <c r="Z76" s="354"/>
      <c r="AA76" s="354"/>
      <c r="AB76" s="354"/>
      <c r="AC76" s="354"/>
      <c r="AD76" s="354"/>
      <c r="AE76" s="354"/>
      <c r="AF76" s="161"/>
    </row>
    <row r="77" spans="1:32" ht="21" thickBot="1">
      <c r="C77" s="44" t="s">
        <v>79</v>
      </c>
      <c r="V77" s="329"/>
      <c r="W77" s="125" t="s">
        <v>847</v>
      </c>
      <c r="X77" s="355">
        <v>340700</v>
      </c>
      <c r="Y77" s="355"/>
      <c r="Z77" s="355"/>
      <c r="AA77" s="355"/>
      <c r="AB77" s="355"/>
      <c r="AC77" s="355"/>
      <c r="AD77" s="355"/>
      <c r="AE77" s="355"/>
      <c r="AF77" s="208"/>
    </row>
    <row r="78" spans="1:32" ht="20.399999999999999">
      <c r="C78" s="44" t="s">
        <v>80</v>
      </c>
      <c r="V78" s="336" t="s">
        <v>878</v>
      </c>
      <c r="W78" s="343" t="s">
        <v>1388</v>
      </c>
      <c r="X78" s="345" t="s">
        <v>879</v>
      </c>
      <c r="Y78" s="111" t="s">
        <v>880</v>
      </c>
      <c r="Z78" s="111">
        <v>304</v>
      </c>
      <c r="AA78" s="111" t="s">
        <v>881</v>
      </c>
      <c r="AB78" s="111" t="s">
        <v>882</v>
      </c>
      <c r="AC78" s="111" t="s">
        <v>883</v>
      </c>
      <c r="AD78" s="111" t="s">
        <v>884</v>
      </c>
      <c r="AE78" s="111" t="s">
        <v>885</v>
      </c>
      <c r="AF78" s="161"/>
    </row>
    <row r="79" spans="1:32" ht="20.399999999999999">
      <c r="C79" s="45"/>
      <c r="V79" s="337"/>
      <c r="W79" s="356"/>
      <c r="X79" s="357"/>
      <c r="Y79" s="116">
        <v>179830</v>
      </c>
      <c r="Z79" s="116">
        <v>129220</v>
      </c>
      <c r="AA79" s="116">
        <v>243880</v>
      </c>
      <c r="AB79" s="116">
        <v>105020</v>
      </c>
      <c r="AC79" s="116">
        <v>243880</v>
      </c>
      <c r="AD79" s="116">
        <v>319657</v>
      </c>
      <c r="AE79" s="293">
        <v>1024000</v>
      </c>
      <c r="AF79" s="214" t="s">
        <v>886</v>
      </c>
    </row>
    <row r="80" spans="1:32" ht="21" thickBot="1">
      <c r="C80" s="44" t="s">
        <v>81</v>
      </c>
      <c r="V80" s="132" t="s">
        <v>887</v>
      </c>
      <c r="W80" s="286" t="s">
        <v>1389</v>
      </c>
      <c r="X80" s="133" t="s">
        <v>981</v>
      </c>
      <c r="Y80" s="134">
        <v>6000</v>
      </c>
      <c r="Z80" s="134">
        <v>4320</v>
      </c>
      <c r="AA80" s="134">
        <v>8100</v>
      </c>
      <c r="AB80" s="134">
        <v>3720</v>
      </c>
      <c r="AC80" s="134">
        <v>8840</v>
      </c>
      <c r="AD80" s="134">
        <v>10512</v>
      </c>
      <c r="AE80" s="134">
        <v>79200</v>
      </c>
      <c r="AF80" s="195" t="s">
        <v>889</v>
      </c>
    </row>
    <row r="81" spans="3:32" ht="20.399999999999999">
      <c r="C81" s="46" t="s">
        <v>82</v>
      </c>
      <c r="V81" s="331" t="s">
        <v>890</v>
      </c>
      <c r="W81" s="352" t="s">
        <v>1390</v>
      </c>
      <c r="X81" s="328" t="s">
        <v>879</v>
      </c>
      <c r="Y81" s="198">
        <v>304</v>
      </c>
      <c r="Z81" s="198" t="s">
        <v>880</v>
      </c>
      <c r="AA81" s="198" t="s">
        <v>892</v>
      </c>
      <c r="AB81" s="199"/>
      <c r="AC81" s="199"/>
      <c r="AD81" s="199"/>
      <c r="AE81" s="199"/>
      <c r="AF81" s="206"/>
    </row>
    <row r="82" spans="3:32" ht="21" thickBot="1">
      <c r="C82" s="46" t="s">
        <v>387</v>
      </c>
      <c r="V82" s="329"/>
      <c r="W82" s="353"/>
      <c r="X82" s="327"/>
      <c r="Y82" s="126">
        <v>111000</v>
      </c>
      <c r="Z82" s="126">
        <v>140000</v>
      </c>
      <c r="AA82" s="126">
        <v>54000</v>
      </c>
      <c r="AB82" s="200"/>
      <c r="AC82" s="200"/>
      <c r="AD82" s="200"/>
      <c r="AE82" s="200"/>
      <c r="AF82" s="208"/>
    </row>
    <row r="83" spans="3:32" ht="20.399999999999999">
      <c r="C83" s="46" t="s">
        <v>84</v>
      </c>
      <c r="V83" s="336" t="s">
        <v>893</v>
      </c>
      <c r="W83" s="343" t="s">
        <v>1391</v>
      </c>
      <c r="X83" s="345" t="s">
        <v>879</v>
      </c>
      <c r="Y83" s="111" t="s">
        <v>895</v>
      </c>
      <c r="Z83" s="111" t="s">
        <v>896</v>
      </c>
      <c r="AA83" s="201"/>
      <c r="AB83" s="201"/>
      <c r="AC83" s="201"/>
      <c r="AD83" s="201"/>
      <c r="AE83" s="201"/>
      <c r="AF83" s="161"/>
    </row>
    <row r="84" spans="3:32" ht="21" thickBot="1">
      <c r="C84" s="46" t="s">
        <v>85</v>
      </c>
      <c r="V84" s="342"/>
      <c r="W84" s="344"/>
      <c r="X84" s="346"/>
      <c r="Y84" s="296">
        <v>51300</v>
      </c>
      <c r="Z84" s="296">
        <v>60000</v>
      </c>
      <c r="AA84" s="203"/>
      <c r="AB84" s="203"/>
      <c r="AC84" s="203"/>
      <c r="AD84" s="203"/>
      <c r="AE84" s="203"/>
      <c r="AF84" s="195" t="s">
        <v>958</v>
      </c>
    </row>
    <row r="85" spans="3:32" ht="20.399999999999999">
      <c r="C85" s="46" t="s">
        <v>683</v>
      </c>
      <c r="V85" s="331" t="s">
        <v>898</v>
      </c>
      <c r="W85" s="287" t="s">
        <v>1392</v>
      </c>
      <c r="X85" s="198" t="s">
        <v>900</v>
      </c>
      <c r="Y85" s="113">
        <v>11000</v>
      </c>
      <c r="Z85" s="205"/>
      <c r="AA85" s="205"/>
      <c r="AB85" s="205"/>
      <c r="AC85" s="205"/>
      <c r="AD85" s="205"/>
      <c r="AE85" s="205"/>
      <c r="AF85" s="350" t="s">
        <v>901</v>
      </c>
    </row>
    <row r="86" spans="3:32" ht="21" thickBot="1">
      <c r="C86" s="46" t="s">
        <v>684</v>
      </c>
      <c r="V86" s="329"/>
      <c r="W86" s="288" t="s">
        <v>1393</v>
      </c>
      <c r="X86" s="125" t="s">
        <v>463</v>
      </c>
      <c r="Y86" s="126">
        <v>9200</v>
      </c>
      <c r="Z86" s="200"/>
      <c r="AA86" s="200"/>
      <c r="AB86" s="200"/>
      <c r="AC86" s="200"/>
      <c r="AD86" s="200"/>
      <c r="AE86" s="200"/>
      <c r="AF86" s="351"/>
    </row>
    <row r="87" spans="3:32" ht="21" thickBot="1">
      <c r="C87" s="46" t="s">
        <v>88</v>
      </c>
      <c r="V87" s="193" t="s">
        <v>904</v>
      </c>
      <c r="W87" s="289" t="s">
        <v>1079</v>
      </c>
      <c r="X87" s="194" t="s">
        <v>463</v>
      </c>
      <c r="Y87" s="210">
        <v>4000</v>
      </c>
      <c r="Z87" s="211"/>
      <c r="AA87" s="211"/>
      <c r="AB87" s="211"/>
      <c r="AC87" s="211"/>
      <c r="AD87" s="211"/>
      <c r="AE87" s="211"/>
      <c r="AF87" s="218"/>
    </row>
    <row r="88" spans="3:32" ht="20.399999999999999">
      <c r="C88" s="47" t="s">
        <v>89</v>
      </c>
      <c r="V88" s="336" t="s">
        <v>906</v>
      </c>
      <c r="W88" s="345"/>
      <c r="X88" s="345"/>
      <c r="Y88" s="111" t="s">
        <v>853</v>
      </c>
      <c r="Z88" s="111" t="s">
        <v>462</v>
      </c>
      <c r="AA88" s="111" t="s">
        <v>855</v>
      </c>
      <c r="AB88" s="201"/>
      <c r="AC88" s="201"/>
      <c r="AD88" s="201"/>
      <c r="AE88" s="201"/>
      <c r="AF88" s="161"/>
    </row>
    <row r="89" spans="3:32" ht="20.399999999999999">
      <c r="C89" s="48"/>
      <c r="V89" s="119" t="s">
        <v>907</v>
      </c>
      <c r="W89" s="290" t="s">
        <v>1080</v>
      </c>
      <c r="X89" s="115" t="s">
        <v>1081</v>
      </c>
      <c r="Y89" s="116">
        <v>2000</v>
      </c>
      <c r="Z89" s="116">
        <v>2500</v>
      </c>
      <c r="AA89" s="116">
        <v>1500</v>
      </c>
      <c r="AB89" s="213"/>
      <c r="AC89" s="213"/>
      <c r="AD89" s="213"/>
      <c r="AE89" s="213"/>
      <c r="AF89" s="214" t="s">
        <v>910</v>
      </c>
    </row>
    <row r="90" spans="3:32" ht="20.399999999999999">
      <c r="C90" s="46" t="s">
        <v>38</v>
      </c>
      <c r="V90" s="119" t="s">
        <v>911</v>
      </c>
      <c r="W90" s="290" t="s">
        <v>997</v>
      </c>
      <c r="X90" s="115" t="s">
        <v>909</v>
      </c>
      <c r="Y90" s="116">
        <v>7000</v>
      </c>
      <c r="Z90" s="116">
        <v>7800</v>
      </c>
      <c r="AA90" s="116">
        <v>4300</v>
      </c>
      <c r="AB90" s="213"/>
      <c r="AC90" s="213"/>
      <c r="AD90" s="213"/>
      <c r="AE90" s="213"/>
      <c r="AF90" s="214" t="s">
        <v>910</v>
      </c>
    </row>
    <row r="91" spans="3:32" ht="20.399999999999999">
      <c r="C91" s="44" t="s">
        <v>90</v>
      </c>
      <c r="V91" s="119" t="s">
        <v>913</v>
      </c>
      <c r="W91" s="290" t="s">
        <v>1394</v>
      </c>
      <c r="X91" s="115" t="s">
        <v>1395</v>
      </c>
      <c r="Y91" s="116">
        <v>600</v>
      </c>
      <c r="Z91" s="116">
        <v>1200</v>
      </c>
      <c r="AA91" s="116">
        <v>500</v>
      </c>
      <c r="AB91" s="213"/>
      <c r="AC91" s="213"/>
      <c r="AD91" s="213"/>
      <c r="AE91" s="213"/>
      <c r="AF91" s="214" t="s">
        <v>910</v>
      </c>
    </row>
    <row r="92" spans="3:32" ht="20.399999999999999">
      <c r="C92" s="46" t="s">
        <v>91</v>
      </c>
      <c r="V92" s="119" t="s">
        <v>916</v>
      </c>
      <c r="W92" s="290" t="s">
        <v>1396</v>
      </c>
      <c r="X92" s="115" t="s">
        <v>915</v>
      </c>
      <c r="Y92" s="116">
        <v>3000</v>
      </c>
      <c r="Z92" s="116">
        <v>4500</v>
      </c>
      <c r="AA92" s="116">
        <v>2000</v>
      </c>
      <c r="AB92" s="213"/>
      <c r="AC92" s="213"/>
      <c r="AD92" s="213"/>
      <c r="AE92" s="213"/>
      <c r="AF92" s="214" t="s">
        <v>910</v>
      </c>
    </row>
    <row r="93" spans="3:32" ht="21" thickBot="1">
      <c r="C93" s="46" t="s">
        <v>92</v>
      </c>
      <c r="V93" s="170" t="s">
        <v>918</v>
      </c>
      <c r="W93" s="288" t="s">
        <v>1082</v>
      </c>
      <c r="X93" s="125" t="s">
        <v>915</v>
      </c>
      <c r="Y93" s="126">
        <v>2000</v>
      </c>
      <c r="Z93" s="126">
        <v>2800</v>
      </c>
      <c r="AA93" s="126">
        <v>2000</v>
      </c>
      <c r="AB93" s="200"/>
      <c r="AC93" s="200"/>
      <c r="AD93" s="200"/>
      <c r="AE93" s="200"/>
      <c r="AF93" s="208" t="s">
        <v>910</v>
      </c>
    </row>
    <row r="94" spans="3:32" ht="18" thickBot="1">
      <c r="V94" s="105" t="s">
        <v>920</v>
      </c>
      <c r="W94" s="291" t="s">
        <v>1083</v>
      </c>
      <c r="X94" s="103" t="s">
        <v>879</v>
      </c>
      <c r="Y94" s="216">
        <v>58900</v>
      </c>
      <c r="Z94" s="217"/>
      <c r="AA94" s="217"/>
      <c r="AB94" s="217"/>
      <c r="AC94" s="217"/>
      <c r="AD94" s="217"/>
      <c r="AE94" s="217"/>
      <c r="AF94" s="107"/>
    </row>
    <row r="95" spans="3:32" ht="14.4">
      <c r="V95" s="336" t="s">
        <v>922</v>
      </c>
      <c r="W95" s="345"/>
      <c r="X95" s="345"/>
      <c r="Y95" s="111" t="s">
        <v>923</v>
      </c>
      <c r="Z95" s="111" t="s">
        <v>924</v>
      </c>
      <c r="AA95" s="201"/>
      <c r="AB95" s="201"/>
      <c r="AC95" s="201"/>
      <c r="AD95" s="201"/>
      <c r="AE95" s="201"/>
      <c r="AF95" s="161"/>
    </row>
    <row r="96" spans="3:32" s="228" customFormat="1" ht="17.399999999999999">
      <c r="C96" s="227"/>
      <c r="V96" s="329" t="s">
        <v>925</v>
      </c>
      <c r="W96" s="290" t="s">
        <v>1397</v>
      </c>
      <c r="X96" s="115" t="s">
        <v>888</v>
      </c>
      <c r="Y96" s="116">
        <v>106900</v>
      </c>
      <c r="Z96" s="116">
        <v>75000</v>
      </c>
      <c r="AA96" s="213"/>
      <c r="AB96" s="213"/>
      <c r="AC96" s="213"/>
      <c r="AD96" s="213"/>
      <c r="AE96" s="213"/>
      <c r="AF96" s="214" t="s">
        <v>889</v>
      </c>
    </row>
    <row r="97" spans="3:32" s="228" customFormat="1" ht="17.399999999999999">
      <c r="C97" s="227"/>
      <c r="V97" s="331"/>
      <c r="W97" s="290" t="s">
        <v>1398</v>
      </c>
      <c r="X97" s="115" t="s">
        <v>879</v>
      </c>
      <c r="Y97" s="116">
        <v>48900</v>
      </c>
      <c r="Z97" s="116">
        <v>34600</v>
      </c>
      <c r="AA97" s="213"/>
      <c r="AB97" s="213"/>
      <c r="AC97" s="213"/>
      <c r="AD97" s="213"/>
      <c r="AE97" s="213"/>
      <c r="AF97" s="214" t="s">
        <v>889</v>
      </c>
    </row>
    <row r="98" spans="3:32" ht="17.399999999999999">
      <c r="V98" s="329" t="s">
        <v>926</v>
      </c>
      <c r="W98" s="290" t="s">
        <v>1397</v>
      </c>
      <c r="X98" s="115" t="s">
        <v>879</v>
      </c>
      <c r="Y98" s="116">
        <v>53200</v>
      </c>
      <c r="Z98" s="116">
        <v>37500</v>
      </c>
      <c r="AA98" s="213"/>
      <c r="AB98" s="213"/>
      <c r="AC98" s="213"/>
      <c r="AD98" s="213"/>
      <c r="AE98" s="213"/>
      <c r="AF98" s="214" t="s">
        <v>889</v>
      </c>
    </row>
    <row r="99" spans="3:32" ht="17.399999999999999">
      <c r="V99" s="331"/>
      <c r="W99" s="290" t="s">
        <v>1399</v>
      </c>
      <c r="X99" s="115" t="s">
        <v>879</v>
      </c>
      <c r="Y99" s="116">
        <v>75700</v>
      </c>
      <c r="Z99" s="116">
        <v>54800</v>
      </c>
      <c r="AA99" s="213"/>
      <c r="AB99" s="213"/>
      <c r="AC99" s="213"/>
      <c r="AD99" s="213"/>
      <c r="AE99" s="213"/>
      <c r="AF99" s="214" t="s">
        <v>889</v>
      </c>
    </row>
    <row r="100" spans="3:32" ht="17.399999999999999">
      <c r="V100" s="119" t="s">
        <v>927</v>
      </c>
      <c r="W100" s="290" t="s">
        <v>1400</v>
      </c>
      <c r="X100" s="115" t="s">
        <v>879</v>
      </c>
      <c r="Y100" s="116">
        <v>78100</v>
      </c>
      <c r="Z100" s="116">
        <v>106000</v>
      </c>
      <c r="AA100" s="213"/>
      <c r="AB100" s="213"/>
      <c r="AC100" s="213"/>
      <c r="AD100" s="213"/>
      <c r="AE100" s="213"/>
      <c r="AF100" s="214" t="s">
        <v>889</v>
      </c>
    </row>
    <row r="101" spans="3:32" ht="17.399999999999999">
      <c r="V101" s="119" t="s">
        <v>929</v>
      </c>
      <c r="W101" s="290" t="s">
        <v>1084</v>
      </c>
      <c r="X101" s="115" t="s">
        <v>879</v>
      </c>
      <c r="Y101" s="116">
        <v>16900</v>
      </c>
      <c r="Z101" s="116">
        <v>18400</v>
      </c>
      <c r="AA101" s="213"/>
      <c r="AB101" s="213"/>
      <c r="AC101" s="213"/>
      <c r="AD101" s="213"/>
      <c r="AE101" s="213"/>
      <c r="AF101" s="214" t="s">
        <v>889</v>
      </c>
    </row>
    <row r="102" spans="3:32" ht="17.399999999999999">
      <c r="V102" s="119" t="s">
        <v>931</v>
      </c>
      <c r="W102" s="290" t="s">
        <v>1401</v>
      </c>
      <c r="X102" s="115" t="s">
        <v>879</v>
      </c>
      <c r="Y102" s="116">
        <v>18700</v>
      </c>
      <c r="Z102" s="116">
        <v>19600</v>
      </c>
      <c r="AA102" s="213"/>
      <c r="AB102" s="213"/>
      <c r="AC102" s="213"/>
      <c r="AD102" s="213"/>
      <c r="AE102" s="213"/>
      <c r="AF102" s="214" t="s">
        <v>889</v>
      </c>
    </row>
    <row r="103" spans="3:32" ht="17.399999999999999">
      <c r="V103" s="119" t="s">
        <v>933</v>
      </c>
      <c r="W103" s="290" t="s">
        <v>1085</v>
      </c>
      <c r="X103" s="115" t="s">
        <v>888</v>
      </c>
      <c r="Y103" s="116">
        <v>27200</v>
      </c>
      <c r="Z103" s="116">
        <v>26000</v>
      </c>
      <c r="AA103" s="213"/>
      <c r="AB103" s="213"/>
      <c r="AC103" s="213"/>
      <c r="AD103" s="213"/>
      <c r="AE103" s="213"/>
      <c r="AF103" s="214" t="s">
        <v>889</v>
      </c>
    </row>
    <row r="104" spans="3:32" ht="14.4" customHeight="1" thickBot="1">
      <c r="V104" s="132" t="s">
        <v>935</v>
      </c>
      <c r="W104" s="286" t="s">
        <v>1086</v>
      </c>
      <c r="X104" s="133" t="s">
        <v>888</v>
      </c>
      <c r="Y104" s="134">
        <v>6370</v>
      </c>
      <c r="Z104" s="134">
        <v>28600</v>
      </c>
      <c r="AA104" s="203"/>
      <c r="AB104" s="203"/>
      <c r="AC104" s="203"/>
      <c r="AD104" s="203"/>
      <c r="AE104" s="203"/>
      <c r="AF104" s="195" t="s">
        <v>889</v>
      </c>
    </row>
    <row r="105" spans="3:32" ht="15" customHeight="1">
      <c r="V105" s="331" t="s">
        <v>937</v>
      </c>
      <c r="W105" s="352" t="s">
        <v>1087</v>
      </c>
      <c r="X105" s="328" t="s">
        <v>879</v>
      </c>
      <c r="Y105" s="198" t="s">
        <v>741</v>
      </c>
      <c r="Z105" s="198">
        <v>316</v>
      </c>
      <c r="AA105" s="198">
        <v>304</v>
      </c>
      <c r="AB105" s="199"/>
      <c r="AC105" s="199"/>
      <c r="AD105" s="199"/>
      <c r="AE105" s="199"/>
      <c r="AF105" s="347" t="s">
        <v>940</v>
      </c>
    </row>
    <row r="106" spans="3:32" ht="14.4" customHeight="1" thickBot="1">
      <c r="V106" s="329"/>
      <c r="W106" s="353"/>
      <c r="X106" s="327"/>
      <c r="Y106" s="126">
        <v>14080</v>
      </c>
      <c r="Z106" s="126">
        <v>54600</v>
      </c>
      <c r="AA106" s="126">
        <v>40425</v>
      </c>
      <c r="AB106" s="200"/>
      <c r="AC106" s="200"/>
      <c r="AD106" s="200"/>
      <c r="AE106" s="200"/>
      <c r="AF106" s="348"/>
    </row>
    <row r="107" spans="3:32" ht="15" customHeight="1">
      <c r="V107" s="336" t="s">
        <v>985</v>
      </c>
      <c r="W107" s="343" t="s">
        <v>1088</v>
      </c>
      <c r="X107" s="111" t="s">
        <v>986</v>
      </c>
      <c r="Y107" s="111" t="s">
        <v>466</v>
      </c>
      <c r="Z107" s="111" t="s">
        <v>988</v>
      </c>
      <c r="AA107" s="111" t="s">
        <v>989</v>
      </c>
      <c r="AB107" s="111" t="s">
        <v>990</v>
      </c>
      <c r="AC107" s="201"/>
      <c r="AD107" s="201"/>
      <c r="AE107" s="201"/>
      <c r="AF107" s="347" t="s">
        <v>991</v>
      </c>
    </row>
    <row r="108" spans="3:32" ht="15" thickBot="1">
      <c r="V108" s="342"/>
      <c r="W108" s="344"/>
      <c r="X108" s="221">
        <v>30</v>
      </c>
      <c r="Y108" s="433" t="s">
        <v>870</v>
      </c>
      <c r="Z108" s="434"/>
      <c r="AA108" s="134">
        <v>46000</v>
      </c>
      <c r="AB108" s="134">
        <v>58500</v>
      </c>
      <c r="AC108" s="203"/>
      <c r="AD108" s="203"/>
      <c r="AE108" s="203"/>
      <c r="AF108" s="348"/>
    </row>
    <row r="114" spans="22:32" ht="13.8" thickBot="1"/>
    <row r="115" spans="22:32" ht="30" customHeight="1">
      <c r="V115" s="336" t="s">
        <v>1516</v>
      </c>
      <c r="W115" s="338"/>
      <c r="X115" s="340"/>
      <c r="Y115" s="171" t="s">
        <v>1517</v>
      </c>
      <c r="Z115" s="171" t="s">
        <v>1518</v>
      </c>
      <c r="AA115" s="171" t="s">
        <v>1519</v>
      </c>
      <c r="AB115" s="171"/>
      <c r="AC115" s="171"/>
      <c r="AD115" s="171"/>
      <c r="AE115" s="171"/>
      <c r="AF115" s="172"/>
    </row>
    <row r="116" spans="22:32" ht="30" customHeight="1" thickBot="1">
      <c r="V116" s="337"/>
      <c r="W116" s="339"/>
      <c r="X116" s="341"/>
      <c r="Y116" s="173">
        <v>140000</v>
      </c>
      <c r="Z116" s="173">
        <f>IF(F8&gt;0,E8*520,IF(F9&gt;0,E9*520))</f>
        <v>139360</v>
      </c>
      <c r="AA116" s="173">
        <f>IF(F8&gt;0,E8*620,IF(F9&gt;0,E9*620))</f>
        <v>166160</v>
      </c>
      <c r="AB116" s="173"/>
      <c r="AC116" s="173"/>
      <c r="AD116" s="173"/>
      <c r="AE116" s="173"/>
      <c r="AF116" s="174"/>
    </row>
    <row r="117" spans="22:32" ht="30" customHeight="1">
      <c r="V117" s="336" t="s">
        <v>1520</v>
      </c>
      <c r="W117" s="338"/>
      <c r="X117" s="340"/>
      <c r="Y117" s="171" t="s">
        <v>1517</v>
      </c>
      <c r="Z117" s="171" t="s">
        <v>1521</v>
      </c>
      <c r="AA117" s="171"/>
      <c r="AB117" s="171"/>
      <c r="AC117" s="171"/>
      <c r="AD117" s="171"/>
      <c r="AE117" s="171"/>
      <c r="AF117" s="172"/>
    </row>
    <row r="118" spans="22:32" ht="30" customHeight="1" thickBot="1">
      <c r="V118" s="337"/>
      <c r="W118" s="339"/>
      <c r="X118" s="341"/>
      <c r="Y118" s="173">
        <v>165000</v>
      </c>
      <c r="Z118" s="173">
        <f>Y118</f>
        <v>165000</v>
      </c>
      <c r="AA118" s="173"/>
      <c r="AB118" s="173"/>
      <c r="AC118" s="173"/>
      <c r="AD118" s="173"/>
      <c r="AE118" s="173"/>
      <c r="AF118" s="174"/>
    </row>
    <row r="119" spans="22:32" ht="30" customHeight="1">
      <c r="V119" s="336" t="s">
        <v>1522</v>
      </c>
      <c r="W119" s="338"/>
      <c r="X119" s="340"/>
      <c r="Y119" s="171" t="s">
        <v>1523</v>
      </c>
      <c r="Z119" s="171" t="s">
        <v>1524</v>
      </c>
      <c r="AA119" s="171" t="s">
        <v>1525</v>
      </c>
      <c r="AB119" s="171"/>
      <c r="AC119" s="171"/>
      <c r="AD119" s="171"/>
      <c r="AE119" s="171"/>
      <c r="AF119" s="172"/>
    </row>
    <row r="120" spans="22:32" ht="30" customHeight="1">
      <c r="V120" s="337"/>
      <c r="W120" s="339"/>
      <c r="X120" s="341"/>
      <c r="Y120" s="306">
        <v>100000</v>
      </c>
      <c r="Z120" s="173">
        <v>200000</v>
      </c>
      <c r="AA120" s="173">
        <v>250000</v>
      </c>
      <c r="AB120" s="173"/>
      <c r="AC120" s="173"/>
      <c r="AD120" s="173"/>
      <c r="AE120" s="173"/>
      <c r="AF120" s="174"/>
    </row>
  </sheetData>
  <mergeCells count="69">
    <mergeCell ref="A1:S1"/>
    <mergeCell ref="A3:B4"/>
    <mergeCell ref="C3:C4"/>
    <mergeCell ref="D3:D4"/>
    <mergeCell ref="E3:E4"/>
    <mergeCell ref="F3:F4"/>
    <mergeCell ref="G3:G4"/>
    <mergeCell ref="H3:Q4"/>
    <mergeCell ref="R3:R4"/>
    <mergeCell ref="S3:S4"/>
    <mergeCell ref="T3:T7"/>
    <mergeCell ref="A5:B7"/>
    <mergeCell ref="C5:C7"/>
    <mergeCell ref="D5:D7"/>
    <mergeCell ref="E5:G6"/>
    <mergeCell ref="H5:H6"/>
    <mergeCell ref="I5:Q5"/>
    <mergeCell ref="R5:R7"/>
    <mergeCell ref="S5:S7"/>
    <mergeCell ref="A67:F67"/>
    <mergeCell ref="A68:F68"/>
    <mergeCell ref="A69:G70"/>
    <mergeCell ref="A8:A61"/>
    <mergeCell ref="A62:F62"/>
    <mergeCell ref="A63:F63"/>
    <mergeCell ref="A64:F64"/>
    <mergeCell ref="A65:F65"/>
    <mergeCell ref="A66:F66"/>
    <mergeCell ref="Y72:AE72"/>
    <mergeCell ref="V73:V74"/>
    <mergeCell ref="Y73:AE73"/>
    <mergeCell ref="Y74:AE74"/>
    <mergeCell ref="Y75:AE75"/>
    <mergeCell ref="V3:V7"/>
    <mergeCell ref="V85:V86"/>
    <mergeCell ref="AF85:AF86"/>
    <mergeCell ref="V88:X88"/>
    <mergeCell ref="V81:V82"/>
    <mergeCell ref="W81:W82"/>
    <mergeCell ref="X81:X82"/>
    <mergeCell ref="V83:V84"/>
    <mergeCell ref="W83:W84"/>
    <mergeCell ref="X83:X84"/>
    <mergeCell ref="V76:V77"/>
    <mergeCell ref="X76:AE76"/>
    <mergeCell ref="X77:AE77"/>
    <mergeCell ref="V78:V79"/>
    <mergeCell ref="W78:W79"/>
    <mergeCell ref="X78:X79"/>
    <mergeCell ref="V95:X95"/>
    <mergeCell ref="V96:V97"/>
    <mergeCell ref="V98:V99"/>
    <mergeCell ref="V105:V106"/>
    <mergeCell ref="W105:W106"/>
    <mergeCell ref="X105:X106"/>
    <mergeCell ref="AF105:AF106"/>
    <mergeCell ref="V107:V108"/>
    <mergeCell ref="W107:W108"/>
    <mergeCell ref="AF107:AF108"/>
    <mergeCell ref="Y108:Z108"/>
    <mergeCell ref="V119:V120"/>
    <mergeCell ref="W119:W120"/>
    <mergeCell ref="X119:X120"/>
    <mergeCell ref="V115:V116"/>
    <mergeCell ref="W115:W116"/>
    <mergeCell ref="X115:X116"/>
    <mergeCell ref="V117:V118"/>
    <mergeCell ref="W117:W118"/>
    <mergeCell ref="X117:X118"/>
  </mergeCells>
  <phoneticPr fontId="3" type="noConversion"/>
  <printOptions horizontalCentered="1"/>
  <pageMargins left="0.39370078740157483" right="0.39370078740157483" top="0.39370078740157483" bottom="0.15748031496062992" header="0.51181102362204722" footer="0.51181102362204722"/>
  <pageSetup paperSize="9" scale="45" orientation="portrait" r:id="rId1"/>
  <headerFooter alignWithMargins="0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F120"/>
  <sheetViews>
    <sheetView showGridLines="0" view="pageBreakPreview" zoomScale="70" zoomScaleNormal="55" zoomScaleSheetLayoutView="70" workbookViewId="0">
      <pane xSplit="7" ySplit="7" topLeftCell="R95" activePane="bottomRight" state="frozen"/>
      <selection activeCell="T8" activeCellId="1" sqref="T9 T8"/>
      <selection pane="topRight" activeCell="T8" activeCellId="1" sqref="T9 T8"/>
      <selection pane="bottomLeft" activeCell="T8" activeCellId="1" sqref="T9 T8"/>
      <selection pane="bottomRight" activeCell="T8" activeCellId="1" sqref="T9 T8"/>
    </sheetView>
  </sheetViews>
  <sheetFormatPr defaultColWidth="8.8984375" defaultRowHeight="13.2"/>
  <cols>
    <col min="1" max="1" width="3.3984375" style="3" customWidth="1"/>
    <col min="2" max="2" width="9.5" style="3" customWidth="1"/>
    <col min="3" max="3" width="25.19921875" style="49" customWidth="1"/>
    <col min="4" max="5" width="13.09765625" style="3" customWidth="1"/>
    <col min="6" max="7" width="15.09765625" style="3" customWidth="1"/>
    <col min="8" max="8" width="15.09765625" style="3" hidden="1" customWidth="1"/>
    <col min="9" max="17" width="15.69921875" style="3" hidden="1" customWidth="1"/>
    <col min="18" max="18" width="15.69921875" style="3" customWidth="1"/>
    <col min="19" max="19" width="26.8984375" style="3" customWidth="1"/>
    <col min="20" max="20" width="30.09765625" style="3" customWidth="1"/>
    <col min="21" max="21" width="13.3984375" style="3" bestFit="1" customWidth="1"/>
    <col min="22" max="22" width="48.3984375" style="3" bestFit="1" customWidth="1"/>
    <col min="23" max="23" width="45.3984375" style="3" bestFit="1" customWidth="1"/>
    <col min="24" max="24" width="10.09765625" style="3" bestFit="1" customWidth="1"/>
    <col min="25" max="25" width="11.5" style="3" bestFit="1" customWidth="1"/>
    <col min="26" max="26" width="12.5" style="3" bestFit="1" customWidth="1"/>
    <col min="27" max="27" width="12.09765625" style="3" bestFit="1" customWidth="1"/>
    <col min="28" max="28" width="13.09765625" style="3" bestFit="1" customWidth="1"/>
    <col min="29" max="30" width="8.59765625" style="3" bestFit="1" customWidth="1"/>
    <col min="31" max="31" width="13.3984375" style="3" bestFit="1" customWidth="1"/>
    <col min="32" max="32" width="19" style="3" bestFit="1" customWidth="1"/>
    <col min="33" max="16384" width="8.8984375" style="3"/>
  </cols>
  <sheetData>
    <row r="1" spans="1:31" s="2" customFormat="1" ht="51" customHeight="1" thickBot="1">
      <c r="A1" s="411" t="s">
        <v>1312</v>
      </c>
      <c r="B1" s="412"/>
      <c r="C1" s="412"/>
      <c r="D1" s="412"/>
      <c r="E1" s="412"/>
      <c r="F1" s="412"/>
      <c r="G1" s="412"/>
      <c r="H1" s="412"/>
      <c r="I1" s="412"/>
      <c r="J1" s="412"/>
      <c r="K1" s="412"/>
      <c r="L1" s="412"/>
      <c r="M1" s="412"/>
      <c r="N1" s="412"/>
      <c r="O1" s="412"/>
      <c r="P1" s="412"/>
      <c r="Q1" s="412"/>
      <c r="R1" s="412"/>
      <c r="S1" s="412"/>
      <c r="T1" s="1"/>
    </row>
    <row r="2" spans="1:31" s="2" customFormat="1" ht="30" customHeight="1" thickBot="1">
      <c r="A2" s="3"/>
      <c r="B2" s="3"/>
      <c r="T2" s="4" t="s">
        <v>0</v>
      </c>
    </row>
    <row r="3" spans="1:31" s="5" customFormat="1" ht="24" customHeight="1">
      <c r="A3" s="413" t="s">
        <v>1</v>
      </c>
      <c r="B3" s="414"/>
      <c r="C3" s="417" t="s">
        <v>685</v>
      </c>
      <c r="D3" s="419" t="s">
        <v>686</v>
      </c>
      <c r="E3" s="421" t="s">
        <v>1313</v>
      </c>
      <c r="F3" s="423" t="s">
        <v>4</v>
      </c>
      <c r="G3" s="425" t="str">
        <f>COVER!B9</f>
        <v>FLANGE</v>
      </c>
      <c r="H3" s="421" t="s">
        <v>5</v>
      </c>
      <c r="I3" s="427"/>
      <c r="J3" s="427"/>
      <c r="K3" s="427"/>
      <c r="L3" s="427"/>
      <c r="M3" s="427"/>
      <c r="N3" s="427"/>
      <c r="O3" s="427"/>
      <c r="P3" s="427"/>
      <c r="Q3" s="428"/>
      <c r="R3" s="423" t="s">
        <v>6</v>
      </c>
      <c r="S3" s="431" t="s">
        <v>687</v>
      </c>
      <c r="T3" s="381" t="s">
        <v>8</v>
      </c>
      <c r="V3" s="432"/>
    </row>
    <row r="4" spans="1:31" s="5" customFormat="1" ht="24" customHeight="1">
      <c r="A4" s="415"/>
      <c r="B4" s="416"/>
      <c r="C4" s="418"/>
      <c r="D4" s="420"/>
      <c r="E4" s="422"/>
      <c r="F4" s="424"/>
      <c r="G4" s="426"/>
      <c r="H4" s="422"/>
      <c r="I4" s="429"/>
      <c r="J4" s="429"/>
      <c r="K4" s="429"/>
      <c r="L4" s="429"/>
      <c r="M4" s="429"/>
      <c r="N4" s="429"/>
      <c r="O4" s="429"/>
      <c r="P4" s="429"/>
      <c r="Q4" s="430"/>
      <c r="R4" s="424"/>
      <c r="S4" s="410"/>
      <c r="T4" s="382"/>
      <c r="V4" s="432"/>
      <c r="W4" s="6"/>
      <c r="X4" s="6"/>
      <c r="Y4" s="7"/>
      <c r="Z4" s="7"/>
      <c r="AA4" s="7"/>
      <c r="AB4" s="7"/>
      <c r="AC4" s="7"/>
      <c r="AD4" s="7"/>
      <c r="AE4" s="7"/>
    </row>
    <row r="5" spans="1:31" s="5" customFormat="1" ht="24" customHeight="1">
      <c r="A5" s="384" t="s">
        <v>9</v>
      </c>
      <c r="B5" s="385"/>
      <c r="C5" s="390" t="s">
        <v>10</v>
      </c>
      <c r="D5" s="393" t="s">
        <v>11</v>
      </c>
      <c r="E5" s="396" t="s">
        <v>12</v>
      </c>
      <c r="F5" s="397"/>
      <c r="G5" s="398"/>
      <c r="H5" s="402" t="s">
        <v>13</v>
      </c>
      <c r="I5" s="404" t="s">
        <v>14</v>
      </c>
      <c r="J5" s="405"/>
      <c r="K5" s="405"/>
      <c r="L5" s="405"/>
      <c r="M5" s="405"/>
      <c r="N5" s="405"/>
      <c r="O5" s="405"/>
      <c r="P5" s="405"/>
      <c r="Q5" s="405"/>
      <c r="R5" s="406" t="s">
        <v>15</v>
      </c>
      <c r="S5" s="408" t="s">
        <v>16</v>
      </c>
      <c r="T5" s="382"/>
      <c r="V5" s="432"/>
      <c r="W5" s="7"/>
      <c r="X5" s="7"/>
      <c r="Y5" s="7"/>
      <c r="Z5" s="7"/>
      <c r="AA5" s="7"/>
      <c r="AB5" s="7"/>
      <c r="AC5" s="7"/>
      <c r="AD5" s="7"/>
      <c r="AE5" s="7"/>
    </row>
    <row r="6" spans="1:31" s="5" customFormat="1" ht="24" customHeight="1">
      <c r="A6" s="386"/>
      <c r="B6" s="387"/>
      <c r="C6" s="391"/>
      <c r="D6" s="394"/>
      <c r="E6" s="399"/>
      <c r="F6" s="400"/>
      <c r="G6" s="401"/>
      <c r="H6" s="403"/>
      <c r="I6" s="8" t="s">
        <v>17</v>
      </c>
      <c r="J6" s="8" t="s">
        <v>18</v>
      </c>
      <c r="K6" s="8" t="s">
        <v>19</v>
      </c>
      <c r="L6" s="9" t="s">
        <v>688</v>
      </c>
      <c r="M6" s="9" t="s">
        <v>21</v>
      </c>
      <c r="N6" s="8" t="s">
        <v>22</v>
      </c>
      <c r="O6" s="8" t="s">
        <v>23</v>
      </c>
      <c r="P6" s="8" t="s">
        <v>24</v>
      </c>
      <c r="Q6" s="10" t="s">
        <v>689</v>
      </c>
      <c r="R6" s="407"/>
      <c r="S6" s="409"/>
      <c r="T6" s="382"/>
      <c r="V6" s="432"/>
      <c r="W6" s="6"/>
      <c r="X6" s="6"/>
      <c r="Y6" s="7"/>
      <c r="Z6" s="7"/>
      <c r="AA6" s="7"/>
      <c r="AB6" s="7"/>
      <c r="AC6" s="7"/>
      <c r="AD6" s="7"/>
      <c r="AE6" s="7"/>
    </row>
    <row r="7" spans="1:31" ht="24" customHeight="1">
      <c r="A7" s="388"/>
      <c r="B7" s="389"/>
      <c r="C7" s="392"/>
      <c r="D7" s="395"/>
      <c r="E7" s="8" t="s">
        <v>26</v>
      </c>
      <c r="F7" s="8" t="s">
        <v>27</v>
      </c>
      <c r="G7" s="8" t="s">
        <v>28</v>
      </c>
      <c r="H7" s="8"/>
      <c r="I7" s="8" t="s">
        <v>29</v>
      </c>
      <c r="J7" s="8" t="s">
        <v>30</v>
      </c>
      <c r="K7" s="8" t="s">
        <v>690</v>
      </c>
      <c r="L7" s="9" t="s">
        <v>29</v>
      </c>
      <c r="M7" s="9" t="s">
        <v>32</v>
      </c>
      <c r="N7" s="8" t="s">
        <v>33</v>
      </c>
      <c r="O7" s="8" t="s">
        <v>34</v>
      </c>
      <c r="P7" s="8" t="s">
        <v>35</v>
      </c>
      <c r="Q7" s="10" t="s">
        <v>691</v>
      </c>
      <c r="R7" s="403"/>
      <c r="S7" s="410"/>
      <c r="T7" s="383"/>
      <c r="V7" s="432"/>
      <c r="W7" s="6"/>
      <c r="X7" s="6"/>
      <c r="Y7" s="7"/>
      <c r="Z7" s="7"/>
      <c r="AA7" s="7"/>
      <c r="AB7" s="7"/>
      <c r="AC7" s="7"/>
      <c r="AD7" s="7"/>
      <c r="AE7" s="7"/>
    </row>
    <row r="8" spans="1:31" ht="33" customHeight="1">
      <c r="A8" s="375" t="s">
        <v>37</v>
      </c>
      <c r="B8" s="11">
        <v>1</v>
      </c>
      <c r="C8" s="154" t="str">
        <f>COVER!A14</f>
        <v>BODY(LUG)</v>
      </c>
      <c r="D8" s="158">
        <f>COVER!B14</f>
        <v>0</v>
      </c>
      <c r="E8" s="148">
        <v>135</v>
      </c>
      <c r="F8" s="159">
        <f>COVER!C14</f>
        <v>0</v>
      </c>
      <c r="G8" s="159">
        <f>F8*E8</f>
        <v>0</v>
      </c>
      <c r="H8" s="159"/>
      <c r="I8" s="160">
        <f>I10*I9</f>
        <v>36001489368637.438</v>
      </c>
      <c r="J8" s="160">
        <f t="shared" ref="J8:Q9" si="0">J10*J9</f>
        <v>43341753052405.07</v>
      </c>
      <c r="K8" s="160">
        <f t="shared" si="0"/>
        <v>168335087307216.53</v>
      </c>
      <c r="L8" s="160">
        <f t="shared" si="0"/>
        <v>506706621524695.19</v>
      </c>
      <c r="M8" s="160">
        <f t="shared" si="0"/>
        <v>632417344857819.5</v>
      </c>
      <c r="N8" s="160">
        <f t="shared" si="0"/>
        <v>46528628303586.25</v>
      </c>
      <c r="O8" s="160">
        <f t="shared" si="0"/>
        <v>0</v>
      </c>
      <c r="P8" s="160">
        <f t="shared" si="0"/>
        <v>0</v>
      </c>
      <c r="Q8" s="160">
        <f t="shared" si="0"/>
        <v>10000000000000</v>
      </c>
      <c r="R8" s="318">
        <f>IF(COVER!C14&gt;0,390000*1.2,0)</f>
        <v>0</v>
      </c>
      <c r="S8" s="160">
        <f>G8+R8</f>
        <v>0</v>
      </c>
      <c r="T8" s="309" t="s">
        <v>1171</v>
      </c>
      <c r="V8" s="6"/>
      <c r="W8" s="6"/>
      <c r="X8" s="6"/>
      <c r="Y8" s="7"/>
      <c r="Z8" s="7"/>
      <c r="AA8" s="7"/>
      <c r="AB8" s="7"/>
      <c r="AC8" s="7"/>
      <c r="AD8" s="7"/>
      <c r="AE8" s="7"/>
    </row>
    <row r="9" spans="1:31" ht="33" customHeight="1">
      <c r="A9" s="376"/>
      <c r="B9" s="146" t="s">
        <v>1167</v>
      </c>
      <c r="C9" s="154" t="str">
        <f>COVER!A15</f>
        <v>BODY(FLANGE)</v>
      </c>
      <c r="D9" s="158" t="str">
        <f>COVER!B15</f>
        <v>A216 WCB</v>
      </c>
      <c r="E9" s="148">
        <v>198</v>
      </c>
      <c r="F9" s="159">
        <f>COVER!C15</f>
        <v>4300</v>
      </c>
      <c r="G9" s="159">
        <f>F9*E9</f>
        <v>851400</v>
      </c>
      <c r="H9" s="159"/>
      <c r="I9" s="160">
        <f>I11*I10</f>
        <v>2348985369.5999999</v>
      </c>
      <c r="J9" s="160">
        <f t="shared" si="0"/>
        <v>2658301984.9000001</v>
      </c>
      <c r="K9" s="160">
        <f t="shared" si="0"/>
        <v>6568251379.5999994</v>
      </c>
      <c r="L9" s="160">
        <f t="shared" si="0"/>
        <v>13693182184.900002</v>
      </c>
      <c r="M9" s="160">
        <f t="shared" si="0"/>
        <v>15873371539.6</v>
      </c>
      <c r="N9" s="160">
        <f t="shared" si="0"/>
        <v>2787063302.5</v>
      </c>
      <c r="O9" s="160">
        <f t="shared" si="0"/>
        <v>0</v>
      </c>
      <c r="P9" s="160">
        <f t="shared" si="0"/>
        <v>0</v>
      </c>
      <c r="Q9" s="160">
        <f t="shared" si="0"/>
        <v>1000000000</v>
      </c>
      <c r="R9" s="318">
        <f>IF(COVER!C15&gt;0,400000*1.2,0)</f>
        <v>480000</v>
      </c>
      <c r="S9" s="160">
        <f t="shared" ref="S9:S62" si="1">G9+R9</f>
        <v>1331400</v>
      </c>
      <c r="T9" s="309" t="s">
        <v>1169</v>
      </c>
      <c r="V9" s="150">
        <f>R9</f>
        <v>480000</v>
      </c>
      <c r="W9" s="6"/>
      <c r="X9" s="6"/>
      <c r="Y9" s="7"/>
      <c r="Z9" s="7"/>
      <c r="AA9" s="7"/>
      <c r="AB9" s="7"/>
      <c r="AC9" s="7"/>
      <c r="AD9" s="7"/>
      <c r="AE9" s="7"/>
    </row>
    <row r="10" spans="1:31" ht="33" hidden="1" customHeight="1">
      <c r="A10" s="376"/>
      <c r="B10" s="11"/>
      <c r="C10" s="142"/>
      <c r="D10" s="158"/>
      <c r="E10" s="148"/>
      <c r="F10" s="159"/>
      <c r="G10" s="159"/>
      <c r="H10" s="159" t="s">
        <v>40</v>
      </c>
      <c r="I10" s="160">
        <f t="shared" ref="I10:Q10" si="2">I11/10</f>
        <v>15326.4</v>
      </c>
      <c r="J10" s="160">
        <f t="shared" si="2"/>
        <v>16304.3</v>
      </c>
      <c r="K10" s="160">
        <f t="shared" si="2"/>
        <v>25628.6</v>
      </c>
      <c r="L10" s="160">
        <f t="shared" si="2"/>
        <v>37004.300000000003</v>
      </c>
      <c r="M10" s="160">
        <f t="shared" si="2"/>
        <v>39841.4</v>
      </c>
      <c r="N10" s="160">
        <f t="shared" si="2"/>
        <v>16694.5</v>
      </c>
      <c r="O10" s="160">
        <f t="shared" si="2"/>
        <v>0</v>
      </c>
      <c r="P10" s="160">
        <f t="shared" si="2"/>
        <v>0</v>
      </c>
      <c r="Q10" s="160">
        <f t="shared" si="2"/>
        <v>10000</v>
      </c>
      <c r="R10" s="160"/>
      <c r="S10" s="160">
        <f t="shared" si="1"/>
        <v>0</v>
      </c>
      <c r="T10" s="16"/>
      <c r="V10" s="6"/>
      <c r="W10" s="6"/>
      <c r="X10" s="6"/>
      <c r="Y10" s="7"/>
      <c r="Z10" s="7"/>
      <c r="AA10" s="7"/>
      <c r="AB10" s="7"/>
      <c r="AC10" s="7"/>
      <c r="AD10" s="7"/>
      <c r="AE10" s="7"/>
    </row>
    <row r="11" spans="1:31" ht="33" hidden="1" customHeight="1">
      <c r="A11" s="376"/>
      <c r="B11" s="11"/>
      <c r="C11" s="142"/>
      <c r="D11" s="158"/>
      <c r="E11" s="148"/>
      <c r="F11" s="159"/>
      <c r="G11" s="159"/>
      <c r="H11" s="187" t="s">
        <v>41</v>
      </c>
      <c r="I11" s="160">
        <v>153264</v>
      </c>
      <c r="J11" s="160">
        <v>163043</v>
      </c>
      <c r="K11" s="160">
        <v>256286</v>
      </c>
      <c r="L11" s="160">
        <v>370043</v>
      </c>
      <c r="M11" s="160">
        <v>398414</v>
      </c>
      <c r="N11" s="160">
        <v>166945</v>
      </c>
      <c r="O11" s="160">
        <v>0</v>
      </c>
      <c r="P11" s="160">
        <v>0</v>
      </c>
      <c r="Q11" s="160">
        <v>100000</v>
      </c>
      <c r="R11" s="160"/>
      <c r="S11" s="160">
        <f t="shared" si="1"/>
        <v>0</v>
      </c>
      <c r="T11" s="16"/>
      <c r="V11" s="6"/>
      <c r="W11" s="6"/>
      <c r="X11" s="6"/>
      <c r="Y11" s="7"/>
      <c r="Z11" s="7"/>
      <c r="AA11" s="7"/>
      <c r="AB11" s="7"/>
      <c r="AC11" s="7"/>
      <c r="AD11" s="7"/>
      <c r="AE11" s="7"/>
    </row>
    <row r="12" spans="1:31" s="19" customFormat="1" ht="33" customHeight="1">
      <c r="A12" s="376"/>
      <c r="B12" s="11">
        <v>2</v>
      </c>
      <c r="C12" s="142" t="s">
        <v>42</v>
      </c>
      <c r="D12" s="158" t="str">
        <f>COVER!B16</f>
        <v>A216 WCB</v>
      </c>
      <c r="E12" s="148">
        <v>34</v>
      </c>
      <c r="F12" s="159">
        <f>COVER!C16</f>
        <v>4300</v>
      </c>
      <c r="G12" s="159">
        <f>F12*E12</f>
        <v>146200</v>
      </c>
      <c r="H12" s="159"/>
      <c r="I12" s="160">
        <f>I13*I14</f>
        <v>15326.4</v>
      </c>
      <c r="J12" s="160">
        <f t="shared" ref="J12:Q12" si="3">J13*J14</f>
        <v>0</v>
      </c>
      <c r="K12" s="160">
        <f t="shared" si="3"/>
        <v>16304.3</v>
      </c>
      <c r="L12" s="160">
        <f t="shared" si="3"/>
        <v>45940</v>
      </c>
      <c r="M12" s="160">
        <f t="shared" si="3"/>
        <v>0</v>
      </c>
      <c r="N12" s="160">
        <f t="shared" si="3"/>
        <v>0</v>
      </c>
      <c r="O12" s="160">
        <f t="shared" si="3"/>
        <v>0</v>
      </c>
      <c r="P12" s="160">
        <f t="shared" si="3"/>
        <v>0</v>
      </c>
      <c r="Q12" s="160">
        <f t="shared" si="3"/>
        <v>4000</v>
      </c>
      <c r="R12" s="160">
        <v>240000</v>
      </c>
      <c r="S12" s="160">
        <f t="shared" si="1"/>
        <v>386200</v>
      </c>
      <c r="T12" s="18"/>
      <c r="V12" s="6"/>
      <c r="W12" s="6"/>
      <c r="X12" s="6"/>
      <c r="Y12" s="7"/>
      <c r="Z12" s="7"/>
      <c r="AA12" s="7"/>
      <c r="AB12" s="7"/>
      <c r="AC12" s="7"/>
      <c r="AD12" s="7"/>
      <c r="AE12" s="7"/>
    </row>
    <row r="13" spans="1:31" s="19" customFormat="1" ht="33" hidden="1" customHeight="1">
      <c r="A13" s="376"/>
      <c r="B13" s="11"/>
      <c r="C13" s="142"/>
      <c r="D13" s="158"/>
      <c r="E13" s="148"/>
      <c r="F13" s="159"/>
      <c r="G13" s="159"/>
      <c r="H13" s="187" t="s">
        <v>668</v>
      </c>
      <c r="I13" s="188">
        <v>1</v>
      </c>
      <c r="J13" s="188">
        <v>0</v>
      </c>
      <c r="K13" s="188">
        <v>1</v>
      </c>
      <c r="L13" s="188">
        <v>2</v>
      </c>
      <c r="M13" s="188">
        <v>0</v>
      </c>
      <c r="N13" s="188">
        <v>0</v>
      </c>
      <c r="O13" s="188"/>
      <c r="P13" s="188"/>
      <c r="Q13" s="188">
        <v>0.4</v>
      </c>
      <c r="R13" s="160"/>
      <c r="S13" s="160">
        <f t="shared" si="1"/>
        <v>0</v>
      </c>
      <c r="T13" s="22"/>
      <c r="V13" s="6"/>
      <c r="W13" s="6"/>
      <c r="X13" s="6"/>
      <c r="Y13" s="7"/>
      <c r="Z13" s="7"/>
      <c r="AA13" s="7"/>
      <c r="AB13" s="7"/>
      <c r="AC13" s="7"/>
      <c r="AD13" s="7"/>
      <c r="AE13" s="7"/>
    </row>
    <row r="14" spans="1:31" s="19" customFormat="1" ht="33" hidden="1" customHeight="1">
      <c r="A14" s="376"/>
      <c r="B14" s="11"/>
      <c r="C14" s="142"/>
      <c r="D14" s="158"/>
      <c r="E14" s="148"/>
      <c r="F14" s="159"/>
      <c r="G14" s="159"/>
      <c r="H14" s="159" t="s">
        <v>671</v>
      </c>
      <c r="I14" s="160">
        <f>I15/10</f>
        <v>15326.4</v>
      </c>
      <c r="J14" s="160">
        <f t="shared" ref="J14:Q14" si="4">J15/10</f>
        <v>16304.3</v>
      </c>
      <c r="K14" s="160">
        <f t="shared" si="4"/>
        <v>16304.3</v>
      </c>
      <c r="L14" s="160">
        <f t="shared" si="4"/>
        <v>22970</v>
      </c>
      <c r="M14" s="160">
        <f t="shared" si="4"/>
        <v>39841.4</v>
      </c>
      <c r="N14" s="160">
        <f t="shared" si="4"/>
        <v>16694.5</v>
      </c>
      <c r="O14" s="160">
        <f t="shared" si="4"/>
        <v>0</v>
      </c>
      <c r="P14" s="160">
        <f t="shared" si="4"/>
        <v>0</v>
      </c>
      <c r="Q14" s="160">
        <f t="shared" si="4"/>
        <v>10000</v>
      </c>
      <c r="R14" s="160"/>
      <c r="S14" s="160">
        <f t="shared" si="1"/>
        <v>0</v>
      </c>
      <c r="T14" s="22"/>
      <c r="V14" s="6"/>
      <c r="W14" s="6"/>
      <c r="X14" s="6"/>
      <c r="Y14" s="7"/>
      <c r="Z14" s="7"/>
      <c r="AA14" s="7"/>
      <c r="AB14" s="7"/>
      <c r="AC14" s="7"/>
      <c r="AD14" s="7"/>
      <c r="AE14" s="7"/>
    </row>
    <row r="15" spans="1:31" s="19" customFormat="1" ht="33" hidden="1" customHeight="1">
      <c r="A15" s="376"/>
      <c r="B15" s="11"/>
      <c r="C15" s="142"/>
      <c r="D15" s="158"/>
      <c r="E15" s="148"/>
      <c r="F15" s="159"/>
      <c r="G15" s="159"/>
      <c r="H15" s="159" t="s">
        <v>43</v>
      </c>
      <c r="I15" s="160">
        <v>153264</v>
      </c>
      <c r="J15" s="160">
        <v>163043</v>
      </c>
      <c r="K15" s="160">
        <v>163043</v>
      </c>
      <c r="L15" s="160">
        <v>229700</v>
      </c>
      <c r="M15" s="160">
        <v>398414</v>
      </c>
      <c r="N15" s="160">
        <v>166945</v>
      </c>
      <c r="O15" s="160">
        <v>0</v>
      </c>
      <c r="P15" s="160">
        <v>0</v>
      </c>
      <c r="Q15" s="160">
        <v>100000</v>
      </c>
      <c r="R15" s="160"/>
      <c r="S15" s="160">
        <f t="shared" si="1"/>
        <v>0</v>
      </c>
      <c r="T15" s="22"/>
      <c r="V15" s="6"/>
      <c r="W15" s="6"/>
      <c r="X15" s="6"/>
      <c r="Y15" s="7"/>
      <c r="Z15" s="7"/>
      <c r="AA15" s="7"/>
      <c r="AB15" s="7"/>
      <c r="AC15" s="7"/>
      <c r="AD15" s="7"/>
      <c r="AE15" s="7"/>
    </row>
    <row r="16" spans="1:31" s="19" customFormat="1" ht="33" customHeight="1">
      <c r="A16" s="376"/>
      <c r="B16" s="11">
        <v>3</v>
      </c>
      <c r="C16" s="142" t="s">
        <v>952</v>
      </c>
      <c r="D16" s="158" t="str">
        <f>COVER!B19</f>
        <v>WCB+309+#6</v>
      </c>
      <c r="E16" s="148">
        <v>1</v>
      </c>
      <c r="F16" s="159">
        <f>IF(D16="SUS+#6",X76,IF(D16="WCB+309+#6",X77))</f>
        <v>334100</v>
      </c>
      <c r="G16" s="159">
        <f>F16*E16</f>
        <v>334100</v>
      </c>
      <c r="H16" s="159"/>
      <c r="I16" s="160">
        <v>0</v>
      </c>
      <c r="J16" s="160">
        <v>0</v>
      </c>
      <c r="K16" s="160">
        <v>0</v>
      </c>
      <c r="L16" s="160">
        <v>0</v>
      </c>
      <c r="M16" s="160">
        <v>0</v>
      </c>
      <c r="N16" s="160">
        <v>0</v>
      </c>
      <c r="O16" s="160">
        <v>0</v>
      </c>
      <c r="P16" s="160">
        <v>0</v>
      </c>
      <c r="Q16" s="160">
        <v>0</v>
      </c>
      <c r="R16" s="160">
        <v>0</v>
      </c>
      <c r="S16" s="160">
        <f t="shared" si="1"/>
        <v>334100</v>
      </c>
      <c r="T16" s="22"/>
      <c r="V16" s="6"/>
      <c r="W16" s="6"/>
      <c r="X16" s="6"/>
      <c r="Y16" s="7"/>
      <c r="Z16" s="7"/>
      <c r="AA16" s="7"/>
      <c r="AB16" s="7"/>
      <c r="AC16" s="7"/>
      <c r="AD16" s="7"/>
      <c r="AE16" s="7"/>
    </row>
    <row r="17" spans="1:31" s="19" customFormat="1" ht="33" customHeight="1">
      <c r="A17" s="376"/>
      <c r="B17" s="11">
        <v>4</v>
      </c>
      <c r="C17" s="142" t="s">
        <v>1179</v>
      </c>
      <c r="D17" s="158" t="str">
        <f>COVER!B18</f>
        <v>A240T316L+GARPHITE</v>
      </c>
      <c r="E17" s="148">
        <v>1</v>
      </c>
      <c r="F17" s="159">
        <f>IF(D17="A240T316L+GARPHITE",Y84+Z84)</f>
        <v>154300</v>
      </c>
      <c r="G17" s="159">
        <f>F17*E17</f>
        <v>154300</v>
      </c>
      <c r="H17" s="159"/>
      <c r="I17" s="160">
        <v>0</v>
      </c>
      <c r="J17" s="160">
        <v>0</v>
      </c>
      <c r="K17" s="160">
        <v>0</v>
      </c>
      <c r="L17" s="160">
        <v>0</v>
      </c>
      <c r="M17" s="160">
        <v>0</v>
      </c>
      <c r="N17" s="160">
        <v>0</v>
      </c>
      <c r="O17" s="160">
        <v>0</v>
      </c>
      <c r="P17" s="160">
        <v>0</v>
      </c>
      <c r="Q17" s="160">
        <v>0</v>
      </c>
      <c r="R17" s="160">
        <f>Z84*1.3</f>
        <v>130000</v>
      </c>
      <c r="S17" s="160">
        <f t="shared" si="1"/>
        <v>284300</v>
      </c>
      <c r="T17" s="22"/>
      <c r="V17" s="23"/>
      <c r="W17" s="23"/>
      <c r="X17" s="23"/>
      <c r="Y17" s="7"/>
      <c r="Z17" s="7"/>
      <c r="AA17" s="7"/>
      <c r="AB17" s="7"/>
      <c r="AC17" s="7"/>
      <c r="AD17" s="7"/>
      <c r="AE17" s="7"/>
    </row>
    <row r="18" spans="1:31" s="19" customFormat="1" ht="33" customHeight="1">
      <c r="A18" s="376"/>
      <c r="B18" s="11">
        <v>5</v>
      </c>
      <c r="C18" s="175" t="s">
        <v>852</v>
      </c>
      <c r="D18" s="178" t="str">
        <f>COVER!B20</f>
        <v>SS316L</v>
      </c>
      <c r="E18" s="176">
        <v>1</v>
      </c>
      <c r="F18" s="159">
        <f>IF(D18="SS304",Y82,IF(D18="SS316L",Z82))</f>
        <v>101760</v>
      </c>
      <c r="G18" s="159">
        <f>E18*F18</f>
        <v>101760</v>
      </c>
      <c r="H18" s="159"/>
      <c r="I18" s="160">
        <f>I19*I20</f>
        <v>12261.12</v>
      </c>
      <c r="J18" s="160">
        <f t="shared" ref="J18:Q18" si="5">J19*J20</f>
        <v>13043.44</v>
      </c>
      <c r="K18" s="160">
        <f t="shared" si="5"/>
        <v>0</v>
      </c>
      <c r="L18" s="160">
        <f t="shared" si="5"/>
        <v>0</v>
      </c>
      <c r="M18" s="160">
        <f t="shared" si="5"/>
        <v>0</v>
      </c>
      <c r="N18" s="160">
        <f t="shared" si="5"/>
        <v>0</v>
      </c>
      <c r="O18" s="160">
        <f t="shared" si="5"/>
        <v>0</v>
      </c>
      <c r="P18" s="160">
        <f t="shared" si="5"/>
        <v>0</v>
      </c>
      <c r="Q18" s="160">
        <f t="shared" si="5"/>
        <v>2000</v>
      </c>
      <c r="R18" s="160">
        <f>AA82*1.5</f>
        <v>66000</v>
      </c>
      <c r="S18" s="160">
        <f t="shared" si="1"/>
        <v>167760</v>
      </c>
      <c r="T18" s="25"/>
      <c r="V18" s="26"/>
      <c r="W18" s="26"/>
      <c r="X18" s="26"/>
      <c r="Y18" s="7"/>
      <c r="Z18" s="7"/>
      <c r="AA18" s="7"/>
      <c r="AB18" s="7"/>
      <c r="AC18" s="7"/>
      <c r="AD18" s="7"/>
      <c r="AE18" s="7"/>
    </row>
    <row r="19" spans="1:31" s="19" customFormat="1" ht="33" hidden="1" customHeight="1">
      <c r="A19" s="376"/>
      <c r="B19" s="11"/>
      <c r="C19" s="12"/>
      <c r="D19" s="24"/>
      <c r="E19" s="13"/>
      <c r="F19" s="14"/>
      <c r="G19" s="14"/>
      <c r="H19" s="17" t="s">
        <v>692</v>
      </c>
      <c r="I19" s="21">
        <v>0.8</v>
      </c>
      <c r="J19" s="21">
        <v>0.8</v>
      </c>
      <c r="K19" s="21"/>
      <c r="L19" s="21"/>
      <c r="M19" s="21"/>
      <c r="N19" s="21"/>
      <c r="O19" s="21"/>
      <c r="P19" s="21"/>
      <c r="Q19" s="21">
        <v>0.2</v>
      </c>
      <c r="R19" s="15"/>
      <c r="S19" s="160">
        <f t="shared" si="1"/>
        <v>0</v>
      </c>
      <c r="T19" s="25"/>
      <c r="V19" s="26"/>
      <c r="W19" s="26"/>
      <c r="X19" s="26"/>
      <c r="Y19" s="7"/>
      <c r="Z19" s="7"/>
      <c r="AA19" s="7"/>
      <c r="AB19" s="7"/>
      <c r="AC19" s="7"/>
      <c r="AD19" s="7"/>
      <c r="AE19" s="7"/>
    </row>
    <row r="20" spans="1:31" s="19" customFormat="1" ht="33" hidden="1" customHeight="1">
      <c r="A20" s="376"/>
      <c r="B20" s="11"/>
      <c r="C20" s="12"/>
      <c r="D20" s="24"/>
      <c r="E20" s="13"/>
      <c r="F20" s="14"/>
      <c r="G20" s="14"/>
      <c r="H20" s="17" t="s">
        <v>39</v>
      </c>
      <c r="I20" s="15">
        <f>I21/10</f>
        <v>15326.4</v>
      </c>
      <c r="J20" s="15">
        <f t="shared" ref="J20:Q20" si="6">J21/10</f>
        <v>16304.3</v>
      </c>
      <c r="K20" s="15">
        <f t="shared" si="6"/>
        <v>0</v>
      </c>
      <c r="L20" s="15">
        <f t="shared" si="6"/>
        <v>0</v>
      </c>
      <c r="M20" s="15">
        <f t="shared" si="6"/>
        <v>0</v>
      </c>
      <c r="N20" s="15">
        <f t="shared" si="6"/>
        <v>0</v>
      </c>
      <c r="O20" s="15">
        <f t="shared" si="6"/>
        <v>0</v>
      </c>
      <c r="P20" s="15">
        <f t="shared" si="6"/>
        <v>0</v>
      </c>
      <c r="Q20" s="15">
        <f t="shared" si="6"/>
        <v>10000</v>
      </c>
      <c r="R20" s="15"/>
      <c r="S20" s="160">
        <f t="shared" si="1"/>
        <v>0</v>
      </c>
      <c r="T20" s="25"/>
      <c r="V20" s="26"/>
      <c r="W20" s="26"/>
      <c r="X20" s="26"/>
      <c r="Y20" s="7"/>
      <c r="Z20" s="7"/>
      <c r="AA20" s="7"/>
      <c r="AB20" s="7"/>
      <c r="AC20" s="7"/>
      <c r="AD20" s="7"/>
      <c r="AE20" s="7"/>
    </row>
    <row r="21" spans="1:31" s="19" customFormat="1" ht="33" hidden="1" customHeight="1">
      <c r="A21" s="376"/>
      <c r="B21" s="11"/>
      <c r="C21" s="12"/>
      <c r="D21" s="24"/>
      <c r="E21" s="13"/>
      <c r="F21" s="14"/>
      <c r="G21" s="14"/>
      <c r="H21" s="17" t="s">
        <v>39</v>
      </c>
      <c r="I21" s="15">
        <v>153264</v>
      </c>
      <c r="J21" s="15">
        <v>163043</v>
      </c>
      <c r="K21" s="15"/>
      <c r="L21" s="15"/>
      <c r="M21" s="15"/>
      <c r="N21" s="15"/>
      <c r="O21" s="15"/>
      <c r="P21" s="15"/>
      <c r="Q21" s="15">
        <v>100000</v>
      </c>
      <c r="R21" s="15"/>
      <c r="S21" s="160">
        <f t="shared" si="1"/>
        <v>0</v>
      </c>
      <c r="T21" s="25"/>
      <c r="V21" s="26"/>
      <c r="W21" s="26"/>
      <c r="X21" s="26"/>
      <c r="Y21" s="7"/>
      <c r="Z21" s="7"/>
      <c r="AA21" s="7"/>
      <c r="AB21" s="7"/>
      <c r="AC21" s="7"/>
      <c r="AD21" s="7"/>
      <c r="AE21" s="7"/>
    </row>
    <row r="22" spans="1:31" s="19" customFormat="1" ht="33" customHeight="1">
      <c r="A22" s="376"/>
      <c r="B22" s="11">
        <v>6</v>
      </c>
      <c r="C22" s="175" t="s">
        <v>1194</v>
      </c>
      <c r="D22" s="178" t="s">
        <v>1189</v>
      </c>
      <c r="E22" s="176">
        <v>1</v>
      </c>
      <c r="F22" s="159">
        <f>Y85</f>
        <v>23000</v>
      </c>
      <c r="G22" s="159">
        <f>F22*E22</f>
        <v>23000</v>
      </c>
      <c r="H22" s="159"/>
      <c r="I22" s="160">
        <v>0</v>
      </c>
      <c r="J22" s="160">
        <v>0</v>
      </c>
      <c r="K22" s="160">
        <v>0</v>
      </c>
      <c r="L22" s="160">
        <v>0</v>
      </c>
      <c r="M22" s="160">
        <v>0</v>
      </c>
      <c r="N22" s="160">
        <v>0</v>
      </c>
      <c r="O22" s="160">
        <v>0</v>
      </c>
      <c r="P22" s="160">
        <v>0</v>
      </c>
      <c r="Q22" s="160">
        <v>0</v>
      </c>
      <c r="R22" s="160">
        <v>0</v>
      </c>
      <c r="S22" s="160">
        <f t="shared" si="1"/>
        <v>23000</v>
      </c>
      <c r="T22" s="25"/>
      <c r="V22" s="26"/>
      <c r="W22" s="26"/>
      <c r="X22" s="26"/>
      <c r="Y22" s="7"/>
      <c r="Z22" s="7"/>
      <c r="AA22" s="7"/>
      <c r="AB22" s="7"/>
      <c r="AC22" s="7"/>
      <c r="AD22" s="7"/>
      <c r="AE22" s="7"/>
    </row>
    <row r="23" spans="1:31" s="19" customFormat="1" ht="33" customHeight="1">
      <c r="A23" s="376"/>
      <c r="B23" s="11">
        <v>7</v>
      </c>
      <c r="C23" s="175" t="s">
        <v>948</v>
      </c>
      <c r="D23" s="158" t="str">
        <f>COVER!B21</f>
        <v>B7(다크로)</v>
      </c>
      <c r="E23" s="148">
        <v>20</v>
      </c>
      <c r="F23" s="159">
        <f>IF(D23="B8",Y91,IF(D23="B8M",Z91,IF(D23="B7(다크로)",AA91)))</f>
        <v>400</v>
      </c>
      <c r="G23" s="159">
        <f>F23*E23</f>
        <v>8000</v>
      </c>
      <c r="H23" s="159"/>
      <c r="I23" s="160">
        <v>0</v>
      </c>
      <c r="J23" s="160">
        <v>0</v>
      </c>
      <c r="K23" s="160">
        <v>0</v>
      </c>
      <c r="L23" s="160">
        <v>0</v>
      </c>
      <c r="M23" s="160">
        <v>0</v>
      </c>
      <c r="N23" s="160">
        <v>0</v>
      </c>
      <c r="O23" s="160">
        <v>0</v>
      </c>
      <c r="P23" s="160">
        <v>0</v>
      </c>
      <c r="Q23" s="160">
        <v>0</v>
      </c>
      <c r="R23" s="160">
        <v>0</v>
      </c>
      <c r="S23" s="160">
        <f t="shared" si="1"/>
        <v>8000</v>
      </c>
      <c r="T23" s="18"/>
      <c r="V23" s="7"/>
      <c r="W23" s="7"/>
      <c r="X23" s="7"/>
      <c r="Y23" s="7"/>
      <c r="Z23" s="7"/>
      <c r="AA23" s="7"/>
      <c r="AB23" s="7"/>
      <c r="AC23" s="7"/>
      <c r="AD23" s="7"/>
      <c r="AE23" s="7"/>
    </row>
    <row r="24" spans="1:31" s="19" customFormat="1" ht="33" customHeight="1">
      <c r="A24" s="376"/>
      <c r="B24" s="11">
        <v>8</v>
      </c>
      <c r="C24" s="142" t="s">
        <v>44</v>
      </c>
      <c r="D24" s="158" t="str">
        <f>COVER!B17</f>
        <v>A564T630</v>
      </c>
      <c r="E24" s="148">
        <f>V24*1.1</f>
        <v>17.908000000000001</v>
      </c>
      <c r="F24" s="159">
        <f>COVER!C17</f>
        <v>8500</v>
      </c>
      <c r="G24" s="159">
        <f>F24*E24</f>
        <v>152218</v>
      </c>
      <c r="H24" s="159"/>
      <c r="I24" s="160">
        <f>I25*I26</f>
        <v>7663.2</v>
      </c>
      <c r="J24" s="160">
        <f t="shared" ref="J24:Q24" si="7">J25*J26</f>
        <v>0</v>
      </c>
      <c r="K24" s="160">
        <f t="shared" si="7"/>
        <v>0</v>
      </c>
      <c r="L24" s="160">
        <f t="shared" si="7"/>
        <v>0</v>
      </c>
      <c r="M24" s="160">
        <f t="shared" si="7"/>
        <v>0</v>
      </c>
      <c r="N24" s="160">
        <f t="shared" si="7"/>
        <v>0</v>
      </c>
      <c r="O24" s="160">
        <f t="shared" si="7"/>
        <v>0</v>
      </c>
      <c r="P24" s="160">
        <f t="shared" si="7"/>
        <v>0</v>
      </c>
      <c r="Q24" s="160">
        <f t="shared" si="7"/>
        <v>1000</v>
      </c>
      <c r="R24" s="160">
        <f>R12*0.3</f>
        <v>72000</v>
      </c>
      <c r="S24" s="160">
        <f t="shared" si="1"/>
        <v>224218</v>
      </c>
      <c r="T24" s="27"/>
      <c r="U24" s="162"/>
      <c r="V24" s="162">
        <v>16.28</v>
      </c>
      <c r="W24" s="7"/>
      <c r="X24" s="7"/>
      <c r="Y24" s="28"/>
      <c r="Z24" s="28"/>
      <c r="AA24" s="28"/>
      <c r="AB24" s="28"/>
      <c r="AC24" s="28"/>
      <c r="AD24" s="28"/>
      <c r="AE24" s="28"/>
    </row>
    <row r="25" spans="1:31" s="19" customFormat="1" ht="33" hidden="1" customHeight="1">
      <c r="A25" s="376"/>
      <c r="B25" s="11"/>
      <c r="C25" s="12"/>
      <c r="D25" s="20"/>
      <c r="E25" s="13"/>
      <c r="F25" s="14"/>
      <c r="G25" s="14"/>
      <c r="H25" s="17" t="s">
        <v>39</v>
      </c>
      <c r="I25" s="21">
        <v>0.5</v>
      </c>
      <c r="J25" s="21"/>
      <c r="K25" s="21"/>
      <c r="L25" s="21"/>
      <c r="M25" s="21"/>
      <c r="N25" s="21"/>
      <c r="O25" s="21"/>
      <c r="P25" s="21"/>
      <c r="Q25" s="21">
        <v>0.1</v>
      </c>
      <c r="R25" s="15"/>
      <c r="S25" s="160">
        <f t="shared" si="1"/>
        <v>0</v>
      </c>
      <c r="T25" s="27"/>
      <c r="V25" s="7"/>
      <c r="W25" s="7"/>
      <c r="X25" s="7"/>
      <c r="Y25" s="28"/>
      <c r="Z25" s="28"/>
      <c r="AA25" s="28"/>
      <c r="AB25" s="28"/>
      <c r="AC25" s="28"/>
      <c r="AD25" s="28"/>
      <c r="AE25" s="28"/>
    </row>
    <row r="26" spans="1:31" s="19" customFormat="1" ht="33" hidden="1" customHeight="1">
      <c r="A26" s="376"/>
      <c r="B26" s="11"/>
      <c r="C26" s="12"/>
      <c r="D26" s="20"/>
      <c r="E26" s="13"/>
      <c r="F26" s="14"/>
      <c r="G26" s="14"/>
      <c r="H26" s="17" t="s">
        <v>39</v>
      </c>
      <c r="I26" s="15">
        <f>I27/10</f>
        <v>15326.4</v>
      </c>
      <c r="J26" s="15"/>
      <c r="K26" s="15"/>
      <c r="L26" s="15"/>
      <c r="M26" s="15"/>
      <c r="N26" s="15"/>
      <c r="O26" s="15"/>
      <c r="P26" s="15"/>
      <c r="Q26" s="15">
        <f>Q27/10</f>
        <v>10000</v>
      </c>
      <c r="R26" s="15"/>
      <c r="S26" s="160">
        <f t="shared" si="1"/>
        <v>0</v>
      </c>
      <c r="T26" s="27"/>
      <c r="V26" s="7"/>
      <c r="W26" s="7"/>
      <c r="X26" s="7"/>
      <c r="Y26" s="28"/>
      <c r="Z26" s="28"/>
      <c r="AA26" s="28"/>
      <c r="AB26" s="28"/>
      <c r="AC26" s="28"/>
      <c r="AD26" s="28"/>
      <c r="AE26" s="28"/>
    </row>
    <row r="27" spans="1:31" s="19" customFormat="1" ht="33" hidden="1" customHeight="1">
      <c r="A27" s="376"/>
      <c r="B27" s="11"/>
      <c r="C27" s="12"/>
      <c r="D27" s="20"/>
      <c r="E27" s="13"/>
      <c r="F27" s="14"/>
      <c r="G27" s="14"/>
      <c r="H27" s="17" t="s">
        <v>39</v>
      </c>
      <c r="I27" s="15">
        <v>153264</v>
      </c>
      <c r="J27" s="15"/>
      <c r="K27" s="15"/>
      <c r="L27" s="15"/>
      <c r="M27" s="15"/>
      <c r="N27" s="15"/>
      <c r="O27" s="15"/>
      <c r="P27" s="15"/>
      <c r="Q27" s="15">
        <v>100000</v>
      </c>
      <c r="R27" s="15"/>
      <c r="S27" s="160">
        <f t="shared" si="1"/>
        <v>0</v>
      </c>
      <c r="T27" s="27"/>
      <c r="V27" s="7"/>
      <c r="W27" s="7"/>
      <c r="X27" s="7"/>
      <c r="Y27" s="28"/>
      <c r="Z27" s="28"/>
      <c r="AA27" s="28"/>
      <c r="AB27" s="28"/>
      <c r="AC27" s="28"/>
      <c r="AD27" s="28"/>
      <c r="AE27" s="28"/>
    </row>
    <row r="28" spans="1:31" s="19" customFormat="1" ht="33" customHeight="1">
      <c r="A28" s="376"/>
      <c r="B28" s="11">
        <v>9</v>
      </c>
      <c r="C28" s="142" t="s">
        <v>45</v>
      </c>
      <c r="D28" s="178" t="s">
        <v>1197</v>
      </c>
      <c r="E28" s="148">
        <v>1</v>
      </c>
      <c r="F28" s="159">
        <v>47100</v>
      </c>
      <c r="G28" s="159">
        <f t="shared" ref="G28" si="8">E28*F28</f>
        <v>47100</v>
      </c>
      <c r="H28" s="159"/>
      <c r="I28" s="160"/>
      <c r="J28" s="160"/>
      <c r="K28" s="160"/>
      <c r="L28" s="160"/>
      <c r="M28" s="160"/>
      <c r="N28" s="160"/>
      <c r="O28" s="160"/>
      <c r="P28" s="160"/>
      <c r="Q28" s="160"/>
      <c r="R28" s="160">
        <v>0</v>
      </c>
      <c r="S28" s="160">
        <f t="shared" si="1"/>
        <v>47100</v>
      </c>
      <c r="T28" s="231"/>
      <c r="V28" s="7"/>
      <c r="W28" s="7"/>
      <c r="X28" s="7"/>
      <c r="Y28" s="6"/>
      <c r="Z28" s="6"/>
      <c r="AA28" s="6"/>
      <c r="AB28" s="6"/>
      <c r="AC28" s="6"/>
      <c r="AD28" s="6"/>
      <c r="AE28" s="6"/>
    </row>
    <row r="29" spans="1:31" s="19" customFormat="1" ht="33" customHeight="1">
      <c r="A29" s="376"/>
      <c r="B29" s="11">
        <v>10</v>
      </c>
      <c r="C29" s="142" t="s">
        <v>679</v>
      </c>
      <c r="D29" s="178" t="str">
        <f>COVER!B24</f>
        <v>A351 CF8M</v>
      </c>
      <c r="E29" s="148">
        <v>1</v>
      </c>
      <c r="F29" s="235">
        <f>IF(D29="A351 CF8M",Y98,IF(D29="B148 C95400",Z98))</f>
        <v>66000</v>
      </c>
      <c r="G29" s="159">
        <f>F29*E29</f>
        <v>66000</v>
      </c>
      <c r="H29" s="159"/>
      <c r="I29" s="160">
        <f>I30*I31</f>
        <v>3065.28</v>
      </c>
      <c r="J29" s="160">
        <f t="shared" ref="J29:Q29" si="9">J30*J31</f>
        <v>3260.86</v>
      </c>
      <c r="K29" s="160">
        <f t="shared" si="9"/>
        <v>0</v>
      </c>
      <c r="L29" s="160">
        <f t="shared" si="9"/>
        <v>0</v>
      </c>
      <c r="M29" s="160">
        <f t="shared" si="9"/>
        <v>0</v>
      </c>
      <c r="N29" s="160">
        <f t="shared" si="9"/>
        <v>0</v>
      </c>
      <c r="O29" s="160">
        <f t="shared" si="9"/>
        <v>0</v>
      </c>
      <c r="P29" s="160">
        <f t="shared" si="9"/>
        <v>0</v>
      </c>
      <c r="Q29" s="160">
        <f t="shared" si="9"/>
        <v>0</v>
      </c>
      <c r="R29" s="160">
        <v>0</v>
      </c>
      <c r="S29" s="160">
        <f t="shared" si="1"/>
        <v>66000</v>
      </c>
      <c r="T29" s="231"/>
      <c r="V29" s="7"/>
      <c r="W29" s="7"/>
      <c r="X29" s="7"/>
      <c r="Y29" s="7"/>
      <c r="Z29" s="7"/>
      <c r="AA29" s="7"/>
      <c r="AB29" s="7"/>
      <c r="AC29" s="7"/>
      <c r="AD29" s="7"/>
      <c r="AE29" s="7"/>
    </row>
    <row r="30" spans="1:31" s="19" customFormat="1" ht="33" hidden="1" customHeight="1">
      <c r="A30" s="376"/>
      <c r="B30" s="11"/>
      <c r="C30" s="12"/>
      <c r="D30" s="24"/>
      <c r="E30" s="13"/>
      <c r="F30" s="14"/>
      <c r="G30" s="14"/>
      <c r="H30" s="17" t="s">
        <v>692</v>
      </c>
      <c r="I30" s="21">
        <v>0.2</v>
      </c>
      <c r="J30" s="21">
        <v>0.2</v>
      </c>
      <c r="K30" s="21"/>
      <c r="L30" s="21"/>
      <c r="M30" s="21"/>
      <c r="N30" s="21"/>
      <c r="O30" s="21"/>
      <c r="P30" s="21"/>
      <c r="Q30" s="21"/>
      <c r="R30" s="15"/>
      <c r="S30" s="160">
        <f t="shared" si="1"/>
        <v>0</v>
      </c>
      <c r="T30" s="22"/>
      <c r="V30" s="7"/>
      <c r="W30" s="7"/>
      <c r="X30" s="7"/>
      <c r="Y30" s="7"/>
      <c r="Z30" s="7"/>
      <c r="AA30" s="7"/>
      <c r="AB30" s="7"/>
      <c r="AC30" s="7"/>
      <c r="AD30" s="7"/>
      <c r="AE30" s="7"/>
    </row>
    <row r="31" spans="1:31" s="19" customFormat="1" ht="33" hidden="1" customHeight="1">
      <c r="A31" s="376"/>
      <c r="B31" s="11"/>
      <c r="C31" s="12"/>
      <c r="D31" s="24"/>
      <c r="E31" s="13"/>
      <c r="F31" s="14"/>
      <c r="G31" s="14"/>
      <c r="H31" s="17" t="s">
        <v>39</v>
      </c>
      <c r="I31" s="15">
        <f>I32/10</f>
        <v>15326.4</v>
      </c>
      <c r="J31" s="15">
        <f>J32/10</f>
        <v>16304.3</v>
      </c>
      <c r="K31" s="15"/>
      <c r="L31" s="15"/>
      <c r="M31" s="15"/>
      <c r="N31" s="15"/>
      <c r="O31" s="15"/>
      <c r="P31" s="15"/>
      <c r="Q31" s="15"/>
      <c r="R31" s="15"/>
      <c r="S31" s="160">
        <f t="shared" si="1"/>
        <v>0</v>
      </c>
      <c r="T31" s="22"/>
      <c r="V31" s="7"/>
      <c r="W31" s="7"/>
      <c r="X31" s="7"/>
      <c r="Y31" s="7"/>
      <c r="Z31" s="7"/>
      <c r="AA31" s="7"/>
      <c r="AB31" s="7"/>
      <c r="AC31" s="7"/>
      <c r="AD31" s="7"/>
      <c r="AE31" s="7"/>
    </row>
    <row r="32" spans="1:31" s="19" customFormat="1" ht="33" hidden="1" customHeight="1">
      <c r="A32" s="376"/>
      <c r="B32" s="11"/>
      <c r="C32" s="12"/>
      <c r="D32" s="24"/>
      <c r="E32" s="13"/>
      <c r="F32" s="14"/>
      <c r="G32" s="14"/>
      <c r="H32" s="17" t="s">
        <v>39</v>
      </c>
      <c r="I32" s="15">
        <v>153264</v>
      </c>
      <c r="J32" s="15">
        <v>163043</v>
      </c>
      <c r="K32" s="15"/>
      <c r="L32" s="15"/>
      <c r="M32" s="15"/>
      <c r="N32" s="15"/>
      <c r="O32" s="15"/>
      <c r="P32" s="15"/>
      <c r="Q32" s="15"/>
      <c r="R32" s="15"/>
      <c r="S32" s="160">
        <f t="shared" si="1"/>
        <v>0</v>
      </c>
      <c r="T32" s="22"/>
      <c r="V32" s="7"/>
      <c r="W32" s="7"/>
      <c r="X32" s="7"/>
      <c r="Y32" s="7"/>
      <c r="Z32" s="7"/>
      <c r="AA32" s="7"/>
      <c r="AB32" s="7"/>
      <c r="AC32" s="7"/>
      <c r="AD32" s="7"/>
      <c r="AE32" s="7"/>
    </row>
    <row r="33" spans="1:31" s="19" customFormat="1" ht="33" customHeight="1">
      <c r="A33" s="376"/>
      <c r="B33" s="11">
        <v>11</v>
      </c>
      <c r="C33" s="142" t="s">
        <v>693</v>
      </c>
      <c r="D33" s="178" t="str">
        <f>COVER!B26</f>
        <v>316+NICKEL</v>
      </c>
      <c r="E33" s="148">
        <v>1</v>
      </c>
      <c r="F33" s="159">
        <f>IF(D33="316+NICKEL",Y101,IF(D33="B148 C95400",Z101))</f>
        <v>16500</v>
      </c>
      <c r="G33" s="159">
        <f>F33*E33</f>
        <v>16500</v>
      </c>
      <c r="H33" s="159"/>
      <c r="I33" s="160">
        <f>I34*I35</f>
        <v>4597.92</v>
      </c>
      <c r="J33" s="160">
        <f t="shared" ref="J33:Q33" si="10">J34*J35</f>
        <v>0</v>
      </c>
      <c r="K33" s="160">
        <f t="shared" si="10"/>
        <v>0</v>
      </c>
      <c r="L33" s="160">
        <f t="shared" si="10"/>
        <v>0</v>
      </c>
      <c r="M33" s="160">
        <f t="shared" si="10"/>
        <v>0</v>
      </c>
      <c r="N33" s="160">
        <f t="shared" si="10"/>
        <v>0</v>
      </c>
      <c r="O33" s="160">
        <f t="shared" si="10"/>
        <v>0</v>
      </c>
      <c r="P33" s="160">
        <f t="shared" si="10"/>
        <v>0</v>
      </c>
      <c r="Q33" s="160">
        <f t="shared" si="10"/>
        <v>0</v>
      </c>
      <c r="R33" s="160">
        <v>0</v>
      </c>
      <c r="S33" s="160">
        <f t="shared" si="1"/>
        <v>16500</v>
      </c>
      <c r="T33" s="177" t="s">
        <v>1200</v>
      </c>
      <c r="V33" s="7"/>
      <c r="W33" s="7"/>
      <c r="X33" s="7"/>
      <c r="Y33" s="7"/>
      <c r="Z33" s="7"/>
      <c r="AA33" s="7"/>
      <c r="AB33" s="7"/>
      <c r="AC33" s="7"/>
      <c r="AD33" s="7"/>
      <c r="AE33" s="7"/>
    </row>
    <row r="34" spans="1:31" s="19" customFormat="1" ht="33" hidden="1" customHeight="1">
      <c r="A34" s="376"/>
      <c r="B34" s="11"/>
      <c r="C34" s="12"/>
      <c r="D34" s="24"/>
      <c r="E34" s="13"/>
      <c r="F34" s="14"/>
      <c r="G34" s="14"/>
      <c r="H34" s="17" t="s">
        <v>39</v>
      </c>
      <c r="I34" s="21">
        <v>0.3</v>
      </c>
      <c r="J34" s="21"/>
      <c r="K34" s="21"/>
      <c r="L34" s="21"/>
      <c r="M34" s="21"/>
      <c r="N34" s="21"/>
      <c r="O34" s="21"/>
      <c r="P34" s="21"/>
      <c r="Q34" s="21"/>
      <c r="R34" s="15"/>
      <c r="S34" s="160">
        <f t="shared" si="1"/>
        <v>0</v>
      </c>
      <c r="T34" s="22"/>
      <c r="V34" s="7"/>
      <c r="W34" s="7"/>
      <c r="X34" s="7"/>
      <c r="Y34" s="7"/>
      <c r="Z34" s="7"/>
      <c r="AA34" s="7"/>
      <c r="AB34" s="7"/>
      <c r="AC34" s="7"/>
      <c r="AD34" s="7"/>
      <c r="AE34" s="7"/>
    </row>
    <row r="35" spans="1:31" s="19" customFormat="1" ht="33" hidden="1" customHeight="1">
      <c r="A35" s="376"/>
      <c r="B35" s="11"/>
      <c r="C35" s="12"/>
      <c r="D35" s="24"/>
      <c r="E35" s="13"/>
      <c r="F35" s="14"/>
      <c r="G35" s="14"/>
      <c r="H35" s="17" t="s">
        <v>39</v>
      </c>
      <c r="I35" s="15">
        <f>I36/10</f>
        <v>15326.4</v>
      </c>
      <c r="J35" s="15"/>
      <c r="K35" s="15"/>
      <c r="L35" s="15"/>
      <c r="M35" s="15"/>
      <c r="N35" s="15"/>
      <c r="O35" s="15"/>
      <c r="P35" s="15"/>
      <c r="Q35" s="15"/>
      <c r="R35" s="15"/>
      <c r="S35" s="160">
        <f t="shared" si="1"/>
        <v>0</v>
      </c>
      <c r="T35" s="22"/>
      <c r="V35" s="7"/>
      <c r="W35" s="7"/>
      <c r="X35" s="7"/>
      <c r="Y35" s="7"/>
      <c r="Z35" s="7"/>
      <c r="AA35" s="7"/>
      <c r="AB35" s="7"/>
      <c r="AC35" s="7"/>
      <c r="AD35" s="7"/>
      <c r="AE35" s="7"/>
    </row>
    <row r="36" spans="1:31" s="19" customFormat="1" ht="33" hidden="1" customHeight="1">
      <c r="A36" s="376"/>
      <c r="B36" s="11"/>
      <c r="C36" s="12"/>
      <c r="D36" s="24"/>
      <c r="E36" s="13"/>
      <c r="F36" s="14"/>
      <c r="G36" s="14"/>
      <c r="H36" s="17" t="s">
        <v>39</v>
      </c>
      <c r="I36" s="15">
        <v>153264</v>
      </c>
      <c r="J36" s="15"/>
      <c r="K36" s="15"/>
      <c r="L36" s="15"/>
      <c r="M36" s="15"/>
      <c r="N36" s="15"/>
      <c r="O36" s="15"/>
      <c r="P36" s="15"/>
      <c r="Q36" s="15"/>
      <c r="R36" s="15"/>
      <c r="S36" s="160">
        <f t="shared" si="1"/>
        <v>0</v>
      </c>
      <c r="T36" s="22"/>
      <c r="V36" s="7"/>
      <c r="W36" s="7"/>
      <c r="X36" s="7"/>
      <c r="Y36" s="7"/>
      <c r="Z36" s="7"/>
      <c r="AA36" s="7"/>
      <c r="AB36" s="7"/>
      <c r="AC36" s="7"/>
      <c r="AD36" s="7"/>
      <c r="AE36" s="7"/>
    </row>
    <row r="37" spans="1:31" s="19" customFormat="1" ht="33" customHeight="1">
      <c r="A37" s="376"/>
      <c r="B37" s="11">
        <v>12</v>
      </c>
      <c r="C37" s="169" t="s">
        <v>954</v>
      </c>
      <c r="D37" s="158" t="str">
        <f>COVER!B22</f>
        <v>B7(다크로)</v>
      </c>
      <c r="E37" s="148">
        <v>6</v>
      </c>
      <c r="F37" s="159">
        <f>IF(D37="B8",Y93,IF(D37="B8M",Z93,IF(D37="B7(다크로)",AA93)))</f>
        <v>1500</v>
      </c>
      <c r="G37" s="159">
        <f>E37*F37</f>
        <v>9000</v>
      </c>
      <c r="H37" s="159"/>
      <c r="I37" s="160">
        <v>0</v>
      </c>
      <c r="J37" s="160">
        <v>0</v>
      </c>
      <c r="K37" s="160">
        <v>0</v>
      </c>
      <c r="L37" s="160">
        <v>0</v>
      </c>
      <c r="M37" s="160">
        <v>0</v>
      </c>
      <c r="N37" s="160">
        <v>0</v>
      </c>
      <c r="O37" s="160">
        <v>0</v>
      </c>
      <c r="P37" s="160">
        <v>0</v>
      </c>
      <c r="Q37" s="160">
        <v>0</v>
      </c>
      <c r="R37" s="160">
        <v>0</v>
      </c>
      <c r="S37" s="160">
        <f t="shared" si="1"/>
        <v>9000</v>
      </c>
      <c r="T37" s="224"/>
      <c r="V37" s="7"/>
      <c r="W37" s="7"/>
      <c r="X37" s="7"/>
      <c r="Y37" s="7"/>
      <c r="Z37" s="7"/>
      <c r="AA37" s="7"/>
      <c r="AB37" s="7"/>
      <c r="AC37" s="7"/>
      <c r="AD37" s="7"/>
      <c r="AE37" s="7"/>
    </row>
    <row r="38" spans="1:31" s="19" customFormat="1" ht="33" customHeight="1">
      <c r="A38" s="376"/>
      <c r="B38" s="11">
        <v>13</v>
      </c>
      <c r="C38" s="29" t="s">
        <v>49</v>
      </c>
      <c r="D38" s="24"/>
      <c r="E38" s="13">
        <v>1</v>
      </c>
      <c r="F38" s="14">
        <v>3000</v>
      </c>
      <c r="G38" s="14">
        <f t="shared" ref="G38:G54" si="11">E38*F38</f>
        <v>3000</v>
      </c>
      <c r="H38" s="14"/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60">
        <f t="shared" si="1"/>
        <v>3000</v>
      </c>
      <c r="T38" s="22"/>
      <c r="V38" s="7"/>
      <c r="W38" s="7"/>
      <c r="X38" s="7"/>
      <c r="Y38" s="7"/>
      <c r="Z38" s="7"/>
      <c r="AA38" s="7"/>
      <c r="AB38" s="7"/>
      <c r="AC38" s="7"/>
      <c r="AD38" s="7"/>
      <c r="AE38" s="7"/>
    </row>
    <row r="39" spans="1:31" s="19" customFormat="1" ht="33" customHeight="1">
      <c r="A39" s="376"/>
      <c r="B39" s="11">
        <v>14</v>
      </c>
      <c r="C39" s="233" t="s">
        <v>50</v>
      </c>
      <c r="D39" s="178" t="str">
        <f>COVER!B23</f>
        <v>316+NICKEL</v>
      </c>
      <c r="E39" s="148">
        <v>2</v>
      </c>
      <c r="F39" s="159">
        <f>IF(D39="316+NICKEL",Y97,IF(D39="B148 C95400",Z97))</f>
        <v>77500</v>
      </c>
      <c r="G39" s="159">
        <f>F39*1</f>
        <v>77500</v>
      </c>
      <c r="H39" s="159"/>
      <c r="I39" s="160">
        <f t="shared" ref="I39:Q40" si="12">I40*I41</f>
        <v>0</v>
      </c>
      <c r="J39" s="160">
        <f t="shared" si="12"/>
        <v>0</v>
      </c>
      <c r="K39" s="160">
        <f t="shared" si="12"/>
        <v>0</v>
      </c>
      <c r="L39" s="160">
        <f t="shared" si="12"/>
        <v>0</v>
      </c>
      <c r="M39" s="160">
        <f t="shared" si="12"/>
        <v>0</v>
      </c>
      <c r="N39" s="160">
        <f t="shared" si="12"/>
        <v>0</v>
      </c>
      <c r="O39" s="160">
        <f t="shared" si="12"/>
        <v>0</v>
      </c>
      <c r="P39" s="160">
        <f t="shared" si="12"/>
        <v>0</v>
      </c>
      <c r="Q39" s="160">
        <f t="shared" si="12"/>
        <v>0</v>
      </c>
      <c r="R39" s="160">
        <v>0</v>
      </c>
      <c r="S39" s="160">
        <f t="shared" si="1"/>
        <v>77500</v>
      </c>
      <c r="T39" s="177" t="s">
        <v>1200</v>
      </c>
      <c r="V39" s="7"/>
      <c r="W39" s="7"/>
      <c r="X39" s="7"/>
      <c r="Y39" s="7"/>
      <c r="Z39" s="7"/>
      <c r="AA39" s="7"/>
      <c r="AB39" s="7"/>
      <c r="AC39" s="7"/>
      <c r="AD39" s="7"/>
      <c r="AE39" s="7"/>
    </row>
    <row r="40" spans="1:31" s="19" customFormat="1" ht="33" customHeight="1">
      <c r="A40" s="376"/>
      <c r="B40" s="11">
        <v>15</v>
      </c>
      <c r="C40" s="142" t="s">
        <v>51</v>
      </c>
      <c r="D40" s="178" t="str">
        <f>COVER!B23</f>
        <v>316+NICKEL</v>
      </c>
      <c r="E40" s="148">
        <v>2</v>
      </c>
      <c r="F40" s="159">
        <f>IF(D40="316+NICKEL",Y98,IF(D40="B148 C95400",Z97))</f>
        <v>66000</v>
      </c>
      <c r="G40" s="159">
        <f>F40*1</f>
        <v>66000</v>
      </c>
      <c r="H40" s="159"/>
      <c r="I40" s="160">
        <f t="shared" si="12"/>
        <v>0</v>
      </c>
      <c r="J40" s="160">
        <f t="shared" si="12"/>
        <v>0</v>
      </c>
      <c r="K40" s="160">
        <f t="shared" si="12"/>
        <v>0</v>
      </c>
      <c r="L40" s="160">
        <f t="shared" si="12"/>
        <v>0</v>
      </c>
      <c r="M40" s="160">
        <f t="shared" si="12"/>
        <v>0</v>
      </c>
      <c r="N40" s="160">
        <f t="shared" si="12"/>
        <v>0</v>
      </c>
      <c r="O40" s="160">
        <f t="shared" si="12"/>
        <v>0</v>
      </c>
      <c r="P40" s="160">
        <f t="shared" si="12"/>
        <v>0</v>
      </c>
      <c r="Q40" s="160">
        <f t="shared" si="12"/>
        <v>0</v>
      </c>
      <c r="R40" s="160">
        <v>0</v>
      </c>
      <c r="S40" s="160">
        <f t="shared" si="1"/>
        <v>66000</v>
      </c>
      <c r="T40" s="177" t="s">
        <v>1200</v>
      </c>
      <c r="V40" s="28"/>
      <c r="W40" s="28"/>
      <c r="X40" s="28"/>
      <c r="Y40" s="7"/>
      <c r="Z40" s="7"/>
      <c r="AA40" s="7"/>
      <c r="AB40" s="7"/>
      <c r="AC40" s="7"/>
      <c r="AD40" s="7"/>
      <c r="AE40" s="7"/>
    </row>
    <row r="41" spans="1:31" s="19" customFormat="1" ht="33" hidden="1" customHeight="1">
      <c r="A41" s="376"/>
      <c r="B41" s="11"/>
      <c r="C41" s="12"/>
      <c r="D41" s="20"/>
      <c r="E41" s="13"/>
      <c r="F41" s="14"/>
      <c r="G41" s="14"/>
      <c r="H41" s="17" t="s">
        <v>39</v>
      </c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60">
        <f t="shared" si="1"/>
        <v>0</v>
      </c>
      <c r="T41" s="22"/>
      <c r="V41" s="28"/>
      <c r="W41" s="28"/>
      <c r="X41" s="28"/>
      <c r="Y41" s="7"/>
      <c r="Z41" s="7"/>
      <c r="AA41" s="7"/>
      <c r="AB41" s="7"/>
      <c r="AC41" s="7"/>
      <c r="AD41" s="7"/>
      <c r="AE41" s="7"/>
    </row>
    <row r="42" spans="1:31" s="19" customFormat="1" ht="33" hidden="1" customHeight="1">
      <c r="A42" s="376"/>
      <c r="B42" s="11"/>
      <c r="C42" s="12"/>
      <c r="D42" s="20"/>
      <c r="E42" s="13"/>
      <c r="F42" s="14"/>
      <c r="G42" s="14"/>
      <c r="H42" s="17" t="s">
        <v>39</v>
      </c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60">
        <f t="shared" si="1"/>
        <v>0</v>
      </c>
      <c r="T42" s="22"/>
      <c r="V42" s="28"/>
      <c r="W42" s="28"/>
      <c r="X42" s="28"/>
      <c r="Y42" s="7"/>
      <c r="Z42" s="7"/>
      <c r="AA42" s="7"/>
      <c r="AB42" s="7"/>
      <c r="AC42" s="7"/>
      <c r="AD42" s="7"/>
      <c r="AE42" s="7"/>
    </row>
    <row r="43" spans="1:31" s="19" customFormat="1" ht="33" hidden="1" customHeight="1">
      <c r="A43" s="376"/>
      <c r="B43" s="11"/>
      <c r="C43" s="12"/>
      <c r="D43" s="20"/>
      <c r="E43" s="13"/>
      <c r="F43" s="14"/>
      <c r="G43" s="14"/>
      <c r="H43" s="17" t="s">
        <v>39</v>
      </c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60">
        <f t="shared" si="1"/>
        <v>0</v>
      </c>
      <c r="T43" s="22"/>
      <c r="V43" s="28"/>
      <c r="W43" s="28"/>
      <c r="X43" s="28"/>
      <c r="Y43" s="7"/>
      <c r="Z43" s="7"/>
      <c r="AA43" s="7"/>
      <c r="AB43" s="7"/>
      <c r="AC43" s="7"/>
      <c r="AD43" s="7"/>
      <c r="AE43" s="7"/>
    </row>
    <row r="44" spans="1:31" s="19" customFormat="1" ht="33" customHeight="1">
      <c r="A44" s="376"/>
      <c r="B44" s="11">
        <v>16</v>
      </c>
      <c r="C44" s="142" t="s">
        <v>52</v>
      </c>
      <c r="D44" s="178" t="str">
        <f>COVER!B25</f>
        <v>316+NICKEL</v>
      </c>
      <c r="E44" s="148">
        <v>1</v>
      </c>
      <c r="F44" s="159">
        <f>IF(D44="316+NICKEL",Y100,IF(D44="B148 C95400",Z100))</f>
        <v>10000</v>
      </c>
      <c r="G44" s="159">
        <f>F44*E44</f>
        <v>10000</v>
      </c>
      <c r="H44" s="159"/>
      <c r="I44" s="160">
        <v>0</v>
      </c>
      <c r="J44" s="160">
        <v>0</v>
      </c>
      <c r="K44" s="160">
        <v>0</v>
      </c>
      <c r="L44" s="160">
        <v>0</v>
      </c>
      <c r="M44" s="160">
        <v>0</v>
      </c>
      <c r="N44" s="160">
        <v>0</v>
      </c>
      <c r="O44" s="160">
        <v>1000</v>
      </c>
      <c r="P44" s="160">
        <v>0</v>
      </c>
      <c r="Q44" s="160">
        <v>0</v>
      </c>
      <c r="R44" s="160">
        <v>0</v>
      </c>
      <c r="S44" s="160">
        <f t="shared" si="1"/>
        <v>10000</v>
      </c>
      <c r="T44" s="177" t="s">
        <v>1200</v>
      </c>
      <c r="U44" s="236"/>
      <c r="V44" s="28"/>
      <c r="W44" s="28"/>
      <c r="X44" s="28"/>
      <c r="Y44" s="7"/>
      <c r="Z44" s="7"/>
      <c r="AA44" s="7"/>
      <c r="AB44" s="7"/>
      <c r="AC44" s="7"/>
      <c r="AD44" s="7"/>
      <c r="AE44" s="7"/>
    </row>
    <row r="45" spans="1:31" s="19" customFormat="1" ht="33" customHeight="1">
      <c r="A45" s="376"/>
      <c r="B45" s="11">
        <v>17</v>
      </c>
      <c r="C45" s="175" t="s">
        <v>53</v>
      </c>
      <c r="D45" s="158" t="s">
        <v>463</v>
      </c>
      <c r="E45" s="159">
        <v>1</v>
      </c>
      <c r="F45" s="159">
        <f>Y87</f>
        <v>2670</v>
      </c>
      <c r="G45" s="159">
        <f>F45*E45</f>
        <v>2670</v>
      </c>
      <c r="H45" s="160">
        <v>0</v>
      </c>
      <c r="I45" s="160">
        <v>0</v>
      </c>
      <c r="J45" s="160">
        <v>0</v>
      </c>
      <c r="K45" s="160">
        <v>0</v>
      </c>
      <c r="L45" s="160">
        <v>0</v>
      </c>
      <c r="M45" s="160">
        <v>0</v>
      </c>
      <c r="N45" s="160">
        <v>0</v>
      </c>
      <c r="O45" s="160">
        <v>0</v>
      </c>
      <c r="P45" s="160">
        <v>0</v>
      </c>
      <c r="Q45" s="160"/>
      <c r="R45" s="160">
        <v>0</v>
      </c>
      <c r="S45" s="160">
        <f t="shared" si="1"/>
        <v>2670</v>
      </c>
      <c r="T45" s="22"/>
      <c r="V45" s="7"/>
      <c r="W45" s="7"/>
      <c r="X45" s="7"/>
      <c r="Y45" s="7"/>
      <c r="Z45" s="7"/>
      <c r="AA45" s="7"/>
      <c r="AB45" s="7"/>
      <c r="AC45" s="7"/>
      <c r="AD45" s="7"/>
      <c r="AE45" s="7"/>
    </row>
    <row r="46" spans="1:31" s="19" customFormat="1" ht="33" customHeight="1">
      <c r="A46" s="376"/>
      <c r="B46" s="11">
        <v>18</v>
      </c>
      <c r="C46" s="175" t="s">
        <v>1205</v>
      </c>
      <c r="D46" s="178" t="str">
        <f>COVER!B29</f>
        <v>SS400</v>
      </c>
      <c r="E46" s="148">
        <v>1</v>
      </c>
      <c r="F46" s="159">
        <f>IF(D46="SS400",Y105,IF(D46="SS316",Z105,IF(D46="SS304",AA105)))</f>
        <v>7370</v>
      </c>
      <c r="G46" s="159">
        <f>F46*E46</f>
        <v>7370</v>
      </c>
      <c r="H46" s="159"/>
      <c r="I46" s="160">
        <f>I47*I48</f>
        <v>4597.92</v>
      </c>
      <c r="J46" s="160">
        <v>0</v>
      </c>
      <c r="K46" s="160">
        <v>0</v>
      </c>
      <c r="L46" s="160">
        <v>0</v>
      </c>
      <c r="M46" s="160">
        <v>0</v>
      </c>
      <c r="N46" s="160">
        <v>0</v>
      </c>
      <c r="O46" s="160">
        <v>0</v>
      </c>
      <c r="P46" s="160">
        <v>0</v>
      </c>
      <c r="Q46" s="160">
        <v>0</v>
      </c>
      <c r="R46" s="160">
        <v>8500</v>
      </c>
      <c r="S46" s="160">
        <f t="shared" si="1"/>
        <v>15870</v>
      </c>
      <c r="T46" s="224"/>
      <c r="V46" s="7"/>
      <c r="W46" s="7"/>
      <c r="X46" s="7"/>
      <c r="Y46" s="7"/>
      <c r="Z46" s="7"/>
      <c r="AA46" s="7"/>
      <c r="AB46" s="7"/>
      <c r="AC46" s="7"/>
      <c r="AD46" s="7"/>
      <c r="AE46" s="7"/>
    </row>
    <row r="47" spans="1:31" s="19" customFormat="1" ht="33" hidden="1" customHeight="1">
      <c r="A47" s="376"/>
      <c r="B47" s="11"/>
      <c r="C47" s="31"/>
      <c r="D47" s="24"/>
      <c r="E47" s="13"/>
      <c r="F47" s="14"/>
      <c r="G47" s="14"/>
      <c r="H47" s="17" t="s">
        <v>39</v>
      </c>
      <c r="I47" s="21">
        <v>0.3</v>
      </c>
      <c r="J47" s="21"/>
      <c r="K47" s="21"/>
      <c r="L47" s="21"/>
      <c r="M47" s="21"/>
      <c r="N47" s="21"/>
      <c r="O47" s="21"/>
      <c r="P47" s="21"/>
      <c r="Q47" s="21"/>
      <c r="R47" s="15"/>
      <c r="S47" s="160">
        <f t="shared" si="1"/>
        <v>0</v>
      </c>
      <c r="T47" s="22"/>
      <c r="V47" s="7"/>
      <c r="W47" s="7"/>
      <c r="X47" s="7"/>
      <c r="Y47" s="7"/>
      <c r="Z47" s="7"/>
      <c r="AA47" s="7"/>
      <c r="AB47" s="7"/>
      <c r="AC47" s="7"/>
      <c r="AD47" s="7"/>
      <c r="AE47" s="7"/>
    </row>
    <row r="48" spans="1:31" s="19" customFormat="1" ht="33" hidden="1" customHeight="1">
      <c r="A48" s="376"/>
      <c r="B48" s="11"/>
      <c r="C48" s="31"/>
      <c r="D48" s="24"/>
      <c r="E48" s="13"/>
      <c r="F48" s="14"/>
      <c r="G48" s="14"/>
      <c r="H48" s="17" t="s">
        <v>39</v>
      </c>
      <c r="I48" s="15">
        <f>I49/10</f>
        <v>15326.4</v>
      </c>
      <c r="J48" s="15"/>
      <c r="K48" s="15"/>
      <c r="L48" s="15"/>
      <c r="M48" s="15"/>
      <c r="N48" s="15"/>
      <c r="O48" s="15"/>
      <c r="P48" s="15"/>
      <c r="Q48" s="15"/>
      <c r="R48" s="15"/>
      <c r="S48" s="160">
        <f t="shared" si="1"/>
        <v>0</v>
      </c>
      <c r="T48" s="22"/>
      <c r="V48" s="7"/>
      <c r="W48" s="7"/>
      <c r="X48" s="7"/>
      <c r="Y48" s="7"/>
      <c r="Z48" s="7"/>
      <c r="AA48" s="7"/>
      <c r="AB48" s="7"/>
      <c r="AC48" s="7"/>
      <c r="AD48" s="7"/>
      <c r="AE48" s="7"/>
    </row>
    <row r="49" spans="1:31" s="19" customFormat="1" ht="33" hidden="1" customHeight="1">
      <c r="A49" s="376"/>
      <c r="B49" s="11"/>
      <c r="C49" s="31"/>
      <c r="D49" s="24"/>
      <c r="E49" s="13"/>
      <c r="F49" s="14"/>
      <c r="G49" s="14"/>
      <c r="H49" s="17" t="s">
        <v>39</v>
      </c>
      <c r="I49" s="15">
        <v>153264</v>
      </c>
      <c r="J49" s="15"/>
      <c r="K49" s="15"/>
      <c r="L49" s="15"/>
      <c r="M49" s="15"/>
      <c r="N49" s="15"/>
      <c r="O49" s="15"/>
      <c r="P49" s="15"/>
      <c r="Q49" s="15"/>
      <c r="R49" s="15"/>
      <c r="S49" s="160">
        <f t="shared" si="1"/>
        <v>0</v>
      </c>
      <c r="T49" s="22"/>
      <c r="V49" s="7"/>
      <c r="W49" s="7"/>
      <c r="X49" s="7"/>
      <c r="Y49" s="7"/>
      <c r="Z49" s="7"/>
      <c r="AA49" s="7"/>
      <c r="AB49" s="7"/>
      <c r="AC49" s="7"/>
      <c r="AD49" s="7"/>
      <c r="AE49" s="7"/>
    </row>
    <row r="50" spans="1:31" s="19" customFormat="1" ht="33" customHeight="1">
      <c r="A50" s="376"/>
      <c r="B50" s="11">
        <v>19</v>
      </c>
      <c r="C50" s="226" t="s">
        <v>55</v>
      </c>
      <c r="D50" s="158" t="str">
        <f>COVER!B22</f>
        <v>B7(다크로)</v>
      </c>
      <c r="E50" s="148">
        <v>6</v>
      </c>
      <c r="F50" s="159">
        <f>IF(D50="B8",Y94,IF(D50="B8M",Z94,IF(D50="B7(다크로)",AA94)))</f>
        <v>1500</v>
      </c>
      <c r="G50" s="159">
        <f>E50*F50</f>
        <v>9000</v>
      </c>
      <c r="H50" s="159"/>
      <c r="I50" s="160">
        <v>0</v>
      </c>
      <c r="J50" s="160">
        <v>0</v>
      </c>
      <c r="K50" s="160">
        <v>0</v>
      </c>
      <c r="L50" s="160">
        <v>0</v>
      </c>
      <c r="M50" s="160">
        <v>0</v>
      </c>
      <c r="N50" s="160">
        <v>0</v>
      </c>
      <c r="O50" s="160">
        <v>0</v>
      </c>
      <c r="P50" s="160">
        <v>0</v>
      </c>
      <c r="Q50" s="160">
        <v>0</v>
      </c>
      <c r="R50" s="160">
        <v>0</v>
      </c>
      <c r="S50" s="160">
        <f t="shared" si="1"/>
        <v>9000</v>
      </c>
      <c r="T50" s="231"/>
      <c r="V50" s="26"/>
      <c r="W50" s="26"/>
      <c r="X50" s="26"/>
      <c r="Y50" s="7"/>
      <c r="Z50" s="7"/>
      <c r="AA50" s="7"/>
      <c r="AB50" s="7"/>
      <c r="AC50" s="7"/>
      <c r="AD50" s="7"/>
      <c r="AE50" s="7"/>
    </row>
    <row r="51" spans="1:31" s="19" customFormat="1" ht="33" customHeight="1">
      <c r="A51" s="376"/>
      <c r="B51" s="11">
        <v>20</v>
      </c>
      <c r="C51" s="169" t="s">
        <v>56</v>
      </c>
      <c r="D51" s="305" t="str">
        <f>D24</f>
        <v>A564T630</v>
      </c>
      <c r="E51" s="148">
        <v>4</v>
      </c>
      <c r="F51" s="159">
        <f>IF(D51="A276T316L",Y80/E51,IF(D51="A276T304",Z80/E51,IF(D51="A564T630",AA80/E51,IF(D51="A479T410",AB80/E51,IF(D51="UNS S31803",AC80/E51,IF(D51="UNS S32750",AD80/E51,IF(D51="MONEL K-500",AE80/E51)))))))</f>
        <v>1181.25</v>
      </c>
      <c r="G51" s="159">
        <f>F51*E51</f>
        <v>4725</v>
      </c>
      <c r="H51" s="159"/>
      <c r="I51" s="160">
        <v>0</v>
      </c>
      <c r="J51" s="160">
        <v>0</v>
      </c>
      <c r="K51" s="160">
        <v>0</v>
      </c>
      <c r="L51" s="160">
        <v>0</v>
      </c>
      <c r="M51" s="160">
        <v>0</v>
      </c>
      <c r="N51" s="160">
        <v>0</v>
      </c>
      <c r="O51" s="160">
        <v>1000</v>
      </c>
      <c r="P51" s="160">
        <v>0</v>
      </c>
      <c r="Q51" s="160">
        <v>0</v>
      </c>
      <c r="R51" s="160">
        <f>3500*E51</f>
        <v>14000</v>
      </c>
      <c r="S51" s="160">
        <f t="shared" si="1"/>
        <v>18725</v>
      </c>
      <c r="T51" s="22"/>
      <c r="U51" s="162"/>
    </row>
    <row r="52" spans="1:31" s="19" customFormat="1" ht="33" customHeight="1">
      <c r="A52" s="376"/>
      <c r="B52" s="11">
        <v>21</v>
      </c>
      <c r="C52" s="169" t="s">
        <v>57</v>
      </c>
      <c r="D52" s="178" t="str">
        <f>COVER!B22</f>
        <v>B7(다크로)</v>
      </c>
      <c r="E52" s="148">
        <v>4</v>
      </c>
      <c r="F52" s="159">
        <f>IF(D52="B8",Y90,IF(D52="B8M",Z90,IF(D52="B7(다크로)",AA90)))</f>
        <v>5000</v>
      </c>
      <c r="G52" s="159">
        <f>F52*E52</f>
        <v>20000</v>
      </c>
      <c r="H52" s="159"/>
      <c r="I52" s="160">
        <v>0</v>
      </c>
      <c r="J52" s="160">
        <v>0</v>
      </c>
      <c r="K52" s="160">
        <v>0</v>
      </c>
      <c r="L52" s="160">
        <v>0</v>
      </c>
      <c r="M52" s="160">
        <v>0</v>
      </c>
      <c r="N52" s="160">
        <v>1000</v>
      </c>
      <c r="O52" s="160">
        <v>1000</v>
      </c>
      <c r="P52" s="160">
        <v>1000</v>
      </c>
      <c r="Q52" s="160">
        <v>0</v>
      </c>
      <c r="R52" s="160">
        <v>0</v>
      </c>
      <c r="S52" s="160">
        <f t="shared" si="1"/>
        <v>20000</v>
      </c>
      <c r="T52" s="22"/>
      <c r="U52" s="162"/>
    </row>
    <row r="53" spans="1:31" s="19" customFormat="1" ht="33" customHeight="1">
      <c r="A53" s="376"/>
      <c r="B53" s="11">
        <v>22</v>
      </c>
      <c r="C53" s="169" t="s">
        <v>1203</v>
      </c>
      <c r="D53" s="178" t="str">
        <f>COVER!B26</f>
        <v>316+NICKEL</v>
      </c>
      <c r="E53" s="148">
        <v>1</v>
      </c>
      <c r="F53" s="159">
        <f>IF(D53="316+NICKEL",Y101,IF(D53="B148 C95400",Z101))</f>
        <v>16500</v>
      </c>
      <c r="G53" s="159">
        <f>F53*E53</f>
        <v>16500</v>
      </c>
      <c r="H53" s="159"/>
      <c r="I53" s="160"/>
      <c r="J53" s="160"/>
      <c r="K53" s="160"/>
      <c r="L53" s="160"/>
      <c r="M53" s="160"/>
      <c r="N53" s="160"/>
      <c r="O53" s="160"/>
      <c r="P53" s="160"/>
      <c r="Q53" s="160"/>
      <c r="R53" s="160">
        <v>0</v>
      </c>
      <c r="S53" s="160">
        <f t="shared" si="1"/>
        <v>16500</v>
      </c>
      <c r="T53" s="224"/>
    </row>
    <row r="54" spans="1:31" s="19" customFormat="1" ht="33" customHeight="1">
      <c r="A54" s="376"/>
      <c r="B54" s="11">
        <v>23</v>
      </c>
      <c r="C54" s="29" t="s">
        <v>58</v>
      </c>
      <c r="D54" s="24"/>
      <c r="E54" s="13">
        <v>1</v>
      </c>
      <c r="F54" s="14">
        <v>2000</v>
      </c>
      <c r="G54" s="14">
        <f t="shared" si="11"/>
        <v>2000</v>
      </c>
      <c r="H54" s="14"/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1000</v>
      </c>
      <c r="Q54" s="15">
        <v>0</v>
      </c>
      <c r="R54" s="15">
        <v>0</v>
      </c>
      <c r="S54" s="160">
        <f t="shared" si="1"/>
        <v>2000</v>
      </c>
      <c r="T54" s="22"/>
    </row>
    <row r="55" spans="1:31" s="19" customFormat="1" ht="33" customHeight="1">
      <c r="A55" s="376"/>
      <c r="B55" s="11">
        <v>24</v>
      </c>
      <c r="C55" s="142" t="s">
        <v>59</v>
      </c>
      <c r="D55" s="178" t="str">
        <f>COVER!B35</f>
        <v>GEAR</v>
      </c>
      <c r="E55" s="148">
        <v>1</v>
      </c>
      <c r="F55" s="235">
        <f>IF(D55="GEAR",262800,IF(D55="MOTOR",0,IF(D55="PNEUMATIC",0)))</f>
        <v>262800</v>
      </c>
      <c r="G55" s="159">
        <f>F55</f>
        <v>262800</v>
      </c>
      <c r="H55" s="159"/>
      <c r="I55" s="160">
        <v>0</v>
      </c>
      <c r="J55" s="160">
        <v>0</v>
      </c>
      <c r="K55" s="160">
        <v>0</v>
      </c>
      <c r="L55" s="160">
        <v>0</v>
      </c>
      <c r="M55" s="160">
        <v>0</v>
      </c>
      <c r="N55" s="160">
        <v>0</v>
      </c>
      <c r="O55" s="160">
        <v>0</v>
      </c>
      <c r="P55" s="160">
        <v>0</v>
      </c>
      <c r="Q55" s="160">
        <v>0</v>
      </c>
      <c r="R55" s="160">
        <v>0</v>
      </c>
      <c r="S55" s="160">
        <f t="shared" si="1"/>
        <v>262800</v>
      </c>
      <c r="T55" s="224"/>
    </row>
    <row r="56" spans="1:31" s="19" customFormat="1" ht="33" customHeight="1">
      <c r="A56" s="376"/>
      <c r="B56" s="11">
        <v>25</v>
      </c>
      <c r="C56" s="186" t="s">
        <v>859</v>
      </c>
      <c r="D56" s="178" t="str">
        <f>COVER!B30</f>
        <v>WCB</v>
      </c>
      <c r="E56" s="148">
        <v>19</v>
      </c>
      <c r="F56" s="159">
        <f>IF(D56="WCB",4000,IF(D56="CF8M",9000))</f>
        <v>4000</v>
      </c>
      <c r="G56" s="159">
        <f>E56*F56</f>
        <v>76000</v>
      </c>
      <c r="H56" s="159"/>
      <c r="I56" s="160"/>
      <c r="J56" s="160"/>
      <c r="K56" s="160"/>
      <c r="L56" s="160"/>
      <c r="M56" s="160"/>
      <c r="N56" s="160"/>
      <c r="O56" s="160"/>
      <c r="P56" s="160"/>
      <c r="Q56" s="160"/>
      <c r="R56" s="160">
        <f>IF(D56="WCB",AA107,IF(D56="CF8M",AB107))</f>
        <v>32400</v>
      </c>
      <c r="S56" s="160">
        <f t="shared" si="1"/>
        <v>108400</v>
      </c>
      <c r="T56" s="224"/>
    </row>
    <row r="57" spans="1:31" s="19" customFormat="1" ht="33" customHeight="1">
      <c r="A57" s="376"/>
      <c r="B57" s="11">
        <v>26</v>
      </c>
      <c r="C57" s="175" t="s">
        <v>467</v>
      </c>
      <c r="D57" s="178" t="str">
        <f>COVER!B27</f>
        <v>316+NICKEL</v>
      </c>
      <c r="E57" s="148">
        <v>2</v>
      </c>
      <c r="F57" s="159">
        <f>IF(D57="316+NICKEL",Y102,IF(D57="B148 C95400",Z102))</f>
        <v>24000</v>
      </c>
      <c r="G57" s="159">
        <f>F57</f>
        <v>24000</v>
      </c>
      <c r="H57" s="159"/>
      <c r="I57" s="160"/>
      <c r="J57" s="160"/>
      <c r="K57" s="160"/>
      <c r="L57" s="160"/>
      <c r="M57" s="160"/>
      <c r="N57" s="160"/>
      <c r="O57" s="160"/>
      <c r="P57" s="160"/>
      <c r="Q57" s="160"/>
      <c r="R57" s="160">
        <v>0</v>
      </c>
      <c r="S57" s="160">
        <f t="shared" si="1"/>
        <v>24000</v>
      </c>
      <c r="T57" s="177" t="s">
        <v>1200</v>
      </c>
    </row>
    <row r="58" spans="1:31" s="19" customFormat="1" ht="33" customHeight="1">
      <c r="A58" s="376"/>
      <c r="B58" s="11">
        <v>27</v>
      </c>
      <c r="C58" s="175" t="s">
        <v>468</v>
      </c>
      <c r="D58" s="178" t="str">
        <f>COVER!B28</f>
        <v>316+NICKEL</v>
      </c>
      <c r="E58" s="148">
        <v>2</v>
      </c>
      <c r="F58" s="159">
        <f>IF(D58="316+NICKEL",Y103,IF(D58="B148 C95400",Z103))</f>
        <v>3100</v>
      </c>
      <c r="G58" s="159">
        <f>F58</f>
        <v>3100</v>
      </c>
      <c r="H58" s="159"/>
      <c r="I58" s="160"/>
      <c r="J58" s="160"/>
      <c r="K58" s="160"/>
      <c r="L58" s="160"/>
      <c r="M58" s="160"/>
      <c r="N58" s="160"/>
      <c r="O58" s="160"/>
      <c r="P58" s="160"/>
      <c r="Q58" s="160"/>
      <c r="R58" s="160">
        <v>0</v>
      </c>
      <c r="S58" s="160">
        <f t="shared" si="1"/>
        <v>3100</v>
      </c>
      <c r="T58" s="177" t="s">
        <v>1200</v>
      </c>
    </row>
    <row r="59" spans="1:31" s="19" customFormat="1" ht="33" customHeight="1">
      <c r="A59" s="376"/>
      <c r="B59" s="11">
        <v>28</v>
      </c>
      <c r="C59" s="142" t="s">
        <v>714</v>
      </c>
      <c r="D59" s="178" t="str">
        <f>COVER!B22</f>
        <v>B7(다크로)</v>
      </c>
      <c r="E59" s="148">
        <v>4</v>
      </c>
      <c r="F59" s="159">
        <f>IF(D59="B8",Y89,IF(D59="B8M",Z89,IF(D59="B7(다크로)",AA89)))</f>
        <v>2500</v>
      </c>
      <c r="G59" s="159">
        <f t="shared" ref="G59:G61" si="13">E59*F59</f>
        <v>10000</v>
      </c>
      <c r="H59" s="159"/>
      <c r="I59" s="160">
        <v>0</v>
      </c>
      <c r="J59" s="160">
        <v>0</v>
      </c>
      <c r="K59" s="160">
        <v>0</v>
      </c>
      <c r="L59" s="160">
        <v>0</v>
      </c>
      <c r="M59" s="160">
        <v>0</v>
      </c>
      <c r="N59" s="160">
        <v>0</v>
      </c>
      <c r="O59" s="160">
        <v>0</v>
      </c>
      <c r="P59" s="160">
        <v>0</v>
      </c>
      <c r="Q59" s="160">
        <v>0</v>
      </c>
      <c r="R59" s="160">
        <v>0</v>
      </c>
      <c r="S59" s="160">
        <f t="shared" si="1"/>
        <v>10000</v>
      </c>
      <c r="T59" s="177"/>
    </row>
    <row r="60" spans="1:31" s="19" customFormat="1" ht="33" customHeight="1">
      <c r="A60" s="376"/>
      <c r="B60" s="11">
        <v>29</v>
      </c>
      <c r="C60" s="12" t="s">
        <v>61</v>
      </c>
      <c r="D60" s="303" t="str">
        <f>COVER!B32</f>
        <v>외주 2COATING</v>
      </c>
      <c r="E60" s="13">
        <v>1</v>
      </c>
      <c r="F60" s="14">
        <f>IF(COVER!B10="APPLICATION",0,IF(D60="기존 단가",Y116,IF(D60="외주 2COATING",Z116,IF(D60="외주 3COATING",AA116))))</f>
        <v>0</v>
      </c>
      <c r="G60" s="14">
        <f t="shared" si="13"/>
        <v>0</v>
      </c>
      <c r="H60" s="14"/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f t="shared" si="1"/>
        <v>0</v>
      </c>
      <c r="T60" s="22"/>
    </row>
    <row r="61" spans="1:31" s="19" customFormat="1" ht="33" customHeight="1">
      <c r="A61" s="377"/>
      <c r="B61" s="11">
        <v>30</v>
      </c>
      <c r="C61" s="12" t="s">
        <v>62</v>
      </c>
      <c r="D61" s="303" t="str">
        <f>COVER!B33</f>
        <v>신규</v>
      </c>
      <c r="E61" s="13">
        <v>1</v>
      </c>
      <c r="F61" s="14">
        <f>IF(COVER!B10="APPLICATION",0,IF(D61="기존 단가",Y118,IF(D61="신규",Z118)))</f>
        <v>0</v>
      </c>
      <c r="G61" s="14">
        <f t="shared" si="13"/>
        <v>0</v>
      </c>
      <c r="H61" s="14"/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f t="shared" si="1"/>
        <v>0</v>
      </c>
      <c r="T61" s="22"/>
    </row>
    <row r="62" spans="1:31" s="19" customFormat="1" ht="33" customHeight="1">
      <c r="A62" s="378" t="s">
        <v>63</v>
      </c>
      <c r="B62" s="379"/>
      <c r="C62" s="379"/>
      <c r="D62" s="379"/>
      <c r="E62" s="379"/>
      <c r="F62" s="380"/>
      <c r="G62" s="14">
        <f>IF(COVER!B10="APPLICATION",0,IF(D55="GEAR",Y120,IF(D55="MOTOR",Z120,IF(D55="PNEUMATIC",AA120))))</f>
        <v>0</v>
      </c>
      <c r="H62" s="14"/>
      <c r="I62" s="32" t="s">
        <v>38</v>
      </c>
      <c r="J62" s="32"/>
      <c r="K62" s="32"/>
      <c r="L62" s="32"/>
      <c r="M62" s="32"/>
      <c r="N62" s="32"/>
      <c r="O62" s="32"/>
      <c r="P62" s="32"/>
      <c r="Q62" s="32"/>
      <c r="R62" s="33"/>
      <c r="S62" s="33">
        <f t="shared" si="1"/>
        <v>0</v>
      </c>
      <c r="T62" s="253"/>
      <c r="X62" s="19" t="s">
        <v>38</v>
      </c>
    </row>
    <row r="63" spans="1:31" s="19" customFormat="1" ht="33" customHeight="1">
      <c r="A63" s="360" t="s">
        <v>64</v>
      </c>
      <c r="B63" s="361"/>
      <c r="C63" s="361"/>
      <c r="D63" s="361"/>
      <c r="E63" s="361"/>
      <c r="F63" s="362"/>
      <c r="G63" s="14"/>
      <c r="H63" s="14"/>
      <c r="I63" s="32"/>
      <c r="J63" s="32"/>
      <c r="K63" s="32"/>
      <c r="L63" s="32"/>
      <c r="M63" s="32"/>
      <c r="N63" s="32"/>
      <c r="O63" s="32"/>
      <c r="P63" s="32"/>
      <c r="Q63" s="32"/>
      <c r="R63" s="33"/>
      <c r="S63" s="33"/>
      <c r="T63" s="253" t="s">
        <v>1526</v>
      </c>
    </row>
    <row r="64" spans="1:31" s="19" customFormat="1" ht="33" customHeight="1">
      <c r="A64" s="378" t="s">
        <v>65</v>
      </c>
      <c r="B64" s="379"/>
      <c r="C64" s="379"/>
      <c r="D64" s="379"/>
      <c r="E64" s="379"/>
      <c r="F64" s="380"/>
      <c r="G64" s="93" t="s">
        <v>38</v>
      </c>
      <c r="H64" s="93"/>
      <c r="I64" s="32"/>
      <c r="J64" s="94"/>
      <c r="K64" s="94"/>
      <c r="L64" s="94"/>
      <c r="M64" s="94"/>
      <c r="N64" s="94"/>
      <c r="O64" s="94"/>
      <c r="P64" s="94"/>
      <c r="Q64" s="94"/>
      <c r="R64" s="94"/>
      <c r="S64" s="34">
        <f>SUM(S8:S63)</f>
        <v>3547143</v>
      </c>
      <c r="T64" s="254" t="s">
        <v>145</v>
      </c>
    </row>
    <row r="65" spans="1:32" s="19" customFormat="1" ht="33" customHeight="1">
      <c r="A65" s="378" t="s">
        <v>66</v>
      </c>
      <c r="B65" s="379"/>
      <c r="C65" s="379"/>
      <c r="D65" s="379"/>
      <c r="E65" s="379"/>
      <c r="F65" s="380"/>
      <c r="G65" s="32">
        <v>0.1</v>
      </c>
      <c r="H65" s="32"/>
      <c r="I65" s="32" t="s">
        <v>38</v>
      </c>
      <c r="J65" s="32"/>
      <c r="K65" s="32"/>
      <c r="L65" s="32"/>
      <c r="M65" s="32"/>
      <c r="N65" s="32"/>
      <c r="O65" s="32"/>
      <c r="P65" s="32"/>
      <c r="Q65" s="32"/>
      <c r="R65" s="32"/>
      <c r="S65" s="35">
        <f>S64*G65</f>
        <v>354714.30000000005</v>
      </c>
      <c r="T65" s="253"/>
    </row>
    <row r="66" spans="1:32" s="19" customFormat="1" ht="33" customHeight="1">
      <c r="A66" s="360" t="s">
        <v>67</v>
      </c>
      <c r="B66" s="361"/>
      <c r="C66" s="361"/>
      <c r="D66" s="361"/>
      <c r="E66" s="361"/>
      <c r="F66" s="362"/>
      <c r="G66" s="95">
        <v>0.1</v>
      </c>
      <c r="H66" s="95"/>
      <c r="I66" s="32" t="s">
        <v>38</v>
      </c>
      <c r="J66" s="32"/>
      <c r="K66" s="32"/>
      <c r="L66" s="32"/>
      <c r="M66" s="32"/>
      <c r="N66" s="32"/>
      <c r="O66" s="32"/>
      <c r="P66" s="32"/>
      <c r="Q66" s="32"/>
      <c r="R66" s="32"/>
      <c r="S66" s="35">
        <f>(S64+S65)*G66</f>
        <v>390185.73</v>
      </c>
      <c r="T66" s="253" t="s">
        <v>38</v>
      </c>
    </row>
    <row r="67" spans="1:32" s="19" customFormat="1" ht="33" customHeight="1">
      <c r="A67" s="363" t="s">
        <v>68</v>
      </c>
      <c r="B67" s="364"/>
      <c r="C67" s="364"/>
      <c r="D67" s="364"/>
      <c r="E67" s="364"/>
      <c r="F67" s="365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275">
        <f>S64+S65+S66</f>
        <v>4292043.0299999993</v>
      </c>
      <c r="T67" s="254" t="s">
        <v>69</v>
      </c>
    </row>
    <row r="68" spans="1:32" s="19" customFormat="1" ht="33" customHeight="1">
      <c r="A68" s="366" t="s">
        <v>70</v>
      </c>
      <c r="B68" s="367"/>
      <c r="C68" s="367"/>
      <c r="D68" s="367"/>
      <c r="E68" s="367"/>
      <c r="F68" s="368"/>
      <c r="G68" s="32">
        <f>COVER!B11</f>
        <v>1.5</v>
      </c>
      <c r="H68" s="32"/>
      <c r="I68" s="32" t="s">
        <v>38</v>
      </c>
      <c r="J68" s="32"/>
      <c r="K68" s="32"/>
      <c r="L68" s="32"/>
      <c r="M68" s="32"/>
      <c r="N68" s="32"/>
      <c r="O68" s="32"/>
      <c r="P68" s="32"/>
      <c r="Q68" s="32"/>
      <c r="R68" s="32"/>
      <c r="S68" s="36">
        <f>S67*G68</f>
        <v>6438064.544999999</v>
      </c>
      <c r="T68" s="253"/>
    </row>
    <row r="69" spans="1:32" s="19" customFormat="1" ht="33" customHeight="1">
      <c r="A69" s="369" t="s">
        <v>71</v>
      </c>
      <c r="B69" s="370"/>
      <c r="C69" s="370"/>
      <c r="D69" s="370"/>
      <c r="E69" s="370"/>
      <c r="F69" s="370"/>
      <c r="G69" s="371"/>
      <c r="H69" s="37"/>
      <c r="I69" s="38"/>
      <c r="J69" s="38"/>
      <c r="K69" s="38"/>
      <c r="L69" s="38"/>
      <c r="M69" s="38"/>
      <c r="N69" s="38"/>
      <c r="O69" s="38"/>
      <c r="P69" s="38"/>
      <c r="Q69" s="38"/>
      <c r="R69" s="39" t="s">
        <v>17</v>
      </c>
      <c r="S69" s="40">
        <f>S68</f>
        <v>6438064.544999999</v>
      </c>
      <c r="T69" s="246" t="s">
        <v>72</v>
      </c>
      <c r="V69" s="141" t="s">
        <v>972</v>
      </c>
      <c r="W69" s="140"/>
      <c r="X69" s="140"/>
      <c r="Y69" s="140"/>
      <c r="Z69" s="140"/>
      <c r="AA69" s="140"/>
      <c r="AB69" s="140"/>
      <c r="AC69" s="140"/>
      <c r="AD69" s="140"/>
      <c r="AE69" s="140"/>
      <c r="AF69" s="140"/>
    </row>
    <row r="70" spans="1:32" s="19" customFormat="1" ht="33" customHeight="1" thickBot="1">
      <c r="A70" s="372"/>
      <c r="B70" s="373"/>
      <c r="C70" s="373"/>
      <c r="D70" s="373"/>
      <c r="E70" s="373"/>
      <c r="F70" s="373"/>
      <c r="G70" s="374"/>
      <c r="H70" s="41"/>
      <c r="I70" s="42"/>
      <c r="J70" s="42"/>
      <c r="K70" s="42"/>
      <c r="L70" s="42"/>
      <c r="M70" s="42"/>
      <c r="N70" s="42"/>
      <c r="O70" s="42"/>
      <c r="P70" s="42"/>
      <c r="Q70" s="42"/>
      <c r="R70" s="43" t="s">
        <v>18</v>
      </c>
      <c r="S70" s="43">
        <f>S64*G68</f>
        <v>5320714.5</v>
      </c>
      <c r="T70" s="247" t="s">
        <v>73</v>
      </c>
      <c r="V70" s="141" t="s">
        <v>1010</v>
      </c>
      <c r="W70" s="140"/>
      <c r="X70" s="140"/>
      <c r="Y70" s="140"/>
      <c r="Z70" s="140"/>
      <c r="AA70" s="140"/>
      <c r="AB70" s="140"/>
      <c r="AC70" s="140"/>
      <c r="AD70" s="140"/>
      <c r="AE70" s="140"/>
      <c r="AF70" s="140"/>
    </row>
    <row r="71" spans="1:32" ht="15" thickBot="1">
      <c r="V71" s="140"/>
      <c r="W71" s="140"/>
      <c r="X71" s="140"/>
      <c r="Y71" s="140"/>
      <c r="Z71" s="140"/>
      <c r="AA71" s="140"/>
      <c r="AB71" s="140"/>
      <c r="AC71" s="140"/>
      <c r="AD71" s="140"/>
      <c r="AE71" s="140"/>
      <c r="AF71" s="140"/>
    </row>
    <row r="72" spans="1:32" ht="21" thickBot="1">
      <c r="C72" s="44" t="s">
        <v>310</v>
      </c>
      <c r="V72" s="193" t="s">
        <v>863</v>
      </c>
      <c r="W72" s="194" t="s">
        <v>864</v>
      </c>
      <c r="X72" s="194" t="s">
        <v>865</v>
      </c>
      <c r="Y72" s="358" t="s">
        <v>866</v>
      </c>
      <c r="Z72" s="358"/>
      <c r="AA72" s="358"/>
      <c r="AB72" s="358"/>
      <c r="AC72" s="358"/>
      <c r="AD72" s="358"/>
      <c r="AE72" s="358"/>
      <c r="AF72" s="218" t="s">
        <v>867</v>
      </c>
    </row>
    <row r="73" spans="1:32" ht="20.399999999999999">
      <c r="C73" s="44" t="s">
        <v>75</v>
      </c>
      <c r="V73" s="336" t="s">
        <v>868</v>
      </c>
      <c r="W73" s="111" t="s">
        <v>869</v>
      </c>
      <c r="X73" s="111" t="s">
        <v>1011</v>
      </c>
      <c r="Y73" s="345" t="s">
        <v>870</v>
      </c>
      <c r="Z73" s="345"/>
      <c r="AA73" s="345"/>
      <c r="AB73" s="345"/>
      <c r="AC73" s="345"/>
      <c r="AD73" s="345"/>
      <c r="AE73" s="345"/>
      <c r="AF73" s="161" t="s">
        <v>871</v>
      </c>
    </row>
    <row r="74" spans="1:32" ht="21" thickBot="1">
      <c r="C74" s="44" t="s">
        <v>76</v>
      </c>
      <c r="V74" s="342"/>
      <c r="W74" s="133" t="s">
        <v>872</v>
      </c>
      <c r="X74" s="133" t="s">
        <v>1012</v>
      </c>
      <c r="Y74" s="346" t="s">
        <v>870</v>
      </c>
      <c r="Z74" s="346"/>
      <c r="AA74" s="346"/>
      <c r="AB74" s="346"/>
      <c r="AC74" s="346"/>
      <c r="AD74" s="346"/>
      <c r="AE74" s="346"/>
      <c r="AF74" s="195" t="s">
        <v>871</v>
      </c>
    </row>
    <row r="75" spans="1:32" ht="21" thickBot="1">
      <c r="C75" s="44" t="s">
        <v>77</v>
      </c>
      <c r="V75" s="196" t="s">
        <v>874</v>
      </c>
      <c r="W75" s="137" t="s">
        <v>875</v>
      </c>
      <c r="X75" s="137" t="s">
        <v>1013</v>
      </c>
      <c r="Y75" s="359" t="s">
        <v>870</v>
      </c>
      <c r="Z75" s="359"/>
      <c r="AA75" s="359"/>
      <c r="AB75" s="359"/>
      <c r="AC75" s="359"/>
      <c r="AD75" s="359"/>
      <c r="AE75" s="359"/>
      <c r="AF75" s="197" t="s">
        <v>871</v>
      </c>
    </row>
    <row r="76" spans="1:32" ht="20.399999999999999">
      <c r="C76" s="44" t="s">
        <v>78</v>
      </c>
      <c r="V76" s="336" t="s">
        <v>877</v>
      </c>
      <c r="W76" s="111" t="s">
        <v>846</v>
      </c>
      <c r="X76" s="354">
        <v>238600</v>
      </c>
      <c r="Y76" s="354"/>
      <c r="Z76" s="354"/>
      <c r="AA76" s="354"/>
      <c r="AB76" s="354"/>
      <c r="AC76" s="354"/>
      <c r="AD76" s="354"/>
      <c r="AE76" s="354"/>
      <c r="AF76" s="161"/>
    </row>
    <row r="77" spans="1:32" ht="21" thickBot="1">
      <c r="C77" s="44" t="s">
        <v>79</v>
      </c>
      <c r="V77" s="329"/>
      <c r="W77" s="125" t="s">
        <v>847</v>
      </c>
      <c r="X77" s="355">
        <v>334100</v>
      </c>
      <c r="Y77" s="355"/>
      <c r="Z77" s="355"/>
      <c r="AA77" s="355"/>
      <c r="AB77" s="355"/>
      <c r="AC77" s="355"/>
      <c r="AD77" s="355"/>
      <c r="AE77" s="355"/>
      <c r="AF77" s="208"/>
    </row>
    <row r="78" spans="1:32" ht="20.399999999999999">
      <c r="C78" s="44" t="s">
        <v>80</v>
      </c>
      <c r="V78" s="336" t="s">
        <v>878</v>
      </c>
      <c r="W78" s="338" t="s">
        <v>1014</v>
      </c>
      <c r="X78" s="340" t="s">
        <v>879</v>
      </c>
      <c r="Y78" s="171" t="s">
        <v>880</v>
      </c>
      <c r="Z78" s="171">
        <v>304</v>
      </c>
      <c r="AA78" s="171" t="s">
        <v>881</v>
      </c>
      <c r="AB78" s="171" t="s">
        <v>882</v>
      </c>
      <c r="AC78" s="171" t="s">
        <v>883</v>
      </c>
      <c r="AD78" s="171" t="s">
        <v>884</v>
      </c>
      <c r="AE78" s="171" t="s">
        <v>885</v>
      </c>
      <c r="AF78" s="172"/>
    </row>
    <row r="79" spans="1:32" ht="20.399999999999999">
      <c r="C79" s="45"/>
      <c r="V79" s="337"/>
      <c r="W79" s="339"/>
      <c r="X79" s="341"/>
      <c r="Y79" s="173">
        <v>97020</v>
      </c>
      <c r="Z79" s="173">
        <v>69935</v>
      </c>
      <c r="AA79" s="173">
        <v>131990</v>
      </c>
      <c r="AB79" s="173">
        <v>56640</v>
      </c>
      <c r="AC79" s="173">
        <v>131990</v>
      </c>
      <c r="AD79" s="173">
        <v>172458</v>
      </c>
      <c r="AE79" s="173">
        <v>950400</v>
      </c>
      <c r="AF79" s="174" t="s">
        <v>886</v>
      </c>
    </row>
    <row r="80" spans="1:32" ht="21" thickBot="1">
      <c r="C80" s="44" t="s">
        <v>81</v>
      </c>
      <c r="V80" s="132" t="s">
        <v>887</v>
      </c>
      <c r="W80" s="202" t="s">
        <v>1015</v>
      </c>
      <c r="X80" s="133" t="s">
        <v>909</v>
      </c>
      <c r="Y80" s="134">
        <v>2500</v>
      </c>
      <c r="Z80" s="134">
        <v>1800</v>
      </c>
      <c r="AA80" s="134">
        <v>4725</v>
      </c>
      <c r="AB80" s="134">
        <v>2170</v>
      </c>
      <c r="AC80" s="134">
        <v>3400</v>
      </c>
      <c r="AD80" s="134">
        <v>5256</v>
      </c>
      <c r="AE80" s="134">
        <v>24000</v>
      </c>
      <c r="AF80" s="195" t="s">
        <v>889</v>
      </c>
    </row>
    <row r="81" spans="3:32" ht="20.399999999999999">
      <c r="C81" s="46" t="s">
        <v>82</v>
      </c>
      <c r="V81" s="331" t="s">
        <v>890</v>
      </c>
      <c r="W81" s="437" t="s">
        <v>1016</v>
      </c>
      <c r="X81" s="328" t="s">
        <v>879</v>
      </c>
      <c r="Y81" s="198">
        <v>304</v>
      </c>
      <c r="Z81" s="198" t="s">
        <v>880</v>
      </c>
      <c r="AA81" s="198" t="s">
        <v>892</v>
      </c>
      <c r="AB81" s="199"/>
      <c r="AC81" s="199"/>
      <c r="AD81" s="199"/>
      <c r="AE81" s="199"/>
      <c r="AF81" s="206"/>
    </row>
    <row r="82" spans="3:32" ht="21" thickBot="1">
      <c r="C82" s="46" t="s">
        <v>387</v>
      </c>
      <c r="V82" s="329"/>
      <c r="W82" s="438"/>
      <c r="X82" s="327"/>
      <c r="Y82" s="126">
        <v>80560</v>
      </c>
      <c r="Z82" s="126">
        <v>101760</v>
      </c>
      <c r="AA82" s="126">
        <v>44000</v>
      </c>
      <c r="AB82" s="200"/>
      <c r="AC82" s="200"/>
      <c r="AD82" s="200"/>
      <c r="AE82" s="200"/>
      <c r="AF82" s="208"/>
    </row>
    <row r="83" spans="3:32" ht="20.399999999999999">
      <c r="C83" s="46" t="s">
        <v>84</v>
      </c>
      <c r="V83" s="336" t="s">
        <v>893</v>
      </c>
      <c r="W83" s="435" t="s">
        <v>1017</v>
      </c>
      <c r="X83" s="345" t="s">
        <v>879</v>
      </c>
      <c r="Y83" s="111" t="s">
        <v>895</v>
      </c>
      <c r="Z83" s="111" t="s">
        <v>896</v>
      </c>
      <c r="AA83" s="201"/>
      <c r="AB83" s="201"/>
      <c r="AC83" s="201"/>
      <c r="AD83" s="201"/>
      <c r="AE83" s="201"/>
      <c r="AF83" s="161"/>
    </row>
    <row r="84" spans="3:32" ht="21" thickBot="1">
      <c r="C84" s="46" t="s">
        <v>85</v>
      </c>
      <c r="V84" s="342"/>
      <c r="W84" s="436"/>
      <c r="X84" s="346"/>
      <c r="Y84" s="296">
        <v>54300</v>
      </c>
      <c r="Z84" s="296">
        <v>100000</v>
      </c>
      <c r="AA84" s="203"/>
      <c r="AB84" s="203"/>
      <c r="AC84" s="203"/>
      <c r="AD84" s="203"/>
      <c r="AE84" s="203"/>
      <c r="AF84" s="195" t="s">
        <v>958</v>
      </c>
    </row>
    <row r="85" spans="3:32" ht="20.399999999999999">
      <c r="C85" s="46" t="s">
        <v>86</v>
      </c>
      <c r="V85" s="331" t="s">
        <v>898</v>
      </c>
      <c r="W85" s="204" t="s">
        <v>1018</v>
      </c>
      <c r="X85" s="198" t="s">
        <v>900</v>
      </c>
      <c r="Y85" s="113">
        <v>23000</v>
      </c>
      <c r="Z85" s="205"/>
      <c r="AA85" s="205"/>
      <c r="AB85" s="205"/>
      <c r="AC85" s="205"/>
      <c r="AD85" s="205"/>
      <c r="AE85" s="205"/>
      <c r="AF85" s="350" t="s">
        <v>901</v>
      </c>
    </row>
    <row r="86" spans="3:32" ht="21" thickBot="1">
      <c r="C86" s="46" t="s">
        <v>87</v>
      </c>
      <c r="V86" s="329"/>
      <c r="W86" s="207" t="s">
        <v>1019</v>
      </c>
      <c r="X86" s="125" t="s">
        <v>903</v>
      </c>
      <c r="Y86" s="126">
        <v>12000</v>
      </c>
      <c r="Z86" s="200"/>
      <c r="AA86" s="200"/>
      <c r="AB86" s="200"/>
      <c r="AC86" s="200"/>
      <c r="AD86" s="200"/>
      <c r="AE86" s="200"/>
      <c r="AF86" s="351"/>
    </row>
    <row r="87" spans="3:32" ht="21" thickBot="1">
      <c r="C87" s="46" t="s">
        <v>88</v>
      </c>
      <c r="V87" s="193" t="s">
        <v>904</v>
      </c>
      <c r="W87" s="209" t="s">
        <v>1020</v>
      </c>
      <c r="X87" s="194" t="s">
        <v>903</v>
      </c>
      <c r="Y87" s="210">
        <v>2670</v>
      </c>
      <c r="Z87" s="211"/>
      <c r="AA87" s="211"/>
      <c r="AB87" s="211"/>
      <c r="AC87" s="211"/>
      <c r="AD87" s="211"/>
      <c r="AE87" s="211"/>
      <c r="AF87" s="218"/>
    </row>
    <row r="88" spans="3:32" ht="20.399999999999999">
      <c r="C88" s="47" t="s">
        <v>89</v>
      </c>
      <c r="V88" s="336" t="s">
        <v>906</v>
      </c>
      <c r="W88" s="345"/>
      <c r="X88" s="345"/>
      <c r="Y88" s="111" t="s">
        <v>853</v>
      </c>
      <c r="Z88" s="111" t="s">
        <v>854</v>
      </c>
      <c r="AA88" s="111" t="s">
        <v>855</v>
      </c>
      <c r="AB88" s="201"/>
      <c r="AC88" s="201"/>
      <c r="AD88" s="201"/>
      <c r="AE88" s="201"/>
      <c r="AF88" s="161"/>
    </row>
    <row r="89" spans="3:32" ht="20.399999999999999">
      <c r="C89" s="48"/>
      <c r="V89" s="119" t="s">
        <v>907</v>
      </c>
      <c r="W89" s="212" t="s">
        <v>1021</v>
      </c>
      <c r="X89" s="115" t="s">
        <v>909</v>
      </c>
      <c r="Y89" s="116">
        <v>4500</v>
      </c>
      <c r="Z89" s="116">
        <v>5000</v>
      </c>
      <c r="AA89" s="116">
        <v>2500</v>
      </c>
      <c r="AB89" s="213"/>
      <c r="AC89" s="213"/>
      <c r="AD89" s="213"/>
      <c r="AE89" s="213"/>
      <c r="AF89" s="214" t="s">
        <v>910</v>
      </c>
    </row>
    <row r="90" spans="3:32" ht="20.399999999999999">
      <c r="C90" s="46" t="s">
        <v>38</v>
      </c>
      <c r="V90" s="119" t="s">
        <v>911</v>
      </c>
      <c r="W90" s="212" t="s">
        <v>997</v>
      </c>
      <c r="X90" s="115" t="s">
        <v>909</v>
      </c>
      <c r="Y90" s="116">
        <v>6800</v>
      </c>
      <c r="Z90" s="116">
        <v>10100</v>
      </c>
      <c r="AA90" s="116">
        <v>5000</v>
      </c>
      <c r="AB90" s="213"/>
      <c r="AC90" s="213"/>
      <c r="AD90" s="213"/>
      <c r="AE90" s="213"/>
      <c r="AF90" s="214" t="s">
        <v>910</v>
      </c>
    </row>
    <row r="91" spans="3:32" ht="20.399999999999999">
      <c r="C91" s="44" t="s">
        <v>90</v>
      </c>
      <c r="V91" s="119" t="s">
        <v>913</v>
      </c>
      <c r="W91" s="212" t="s">
        <v>998</v>
      </c>
      <c r="X91" s="115" t="s">
        <v>888</v>
      </c>
      <c r="Y91" s="116">
        <v>500</v>
      </c>
      <c r="Z91" s="116">
        <v>1000</v>
      </c>
      <c r="AA91" s="116">
        <v>400</v>
      </c>
      <c r="AB91" s="213"/>
      <c r="AC91" s="213"/>
      <c r="AD91" s="213"/>
      <c r="AE91" s="213"/>
      <c r="AF91" s="214" t="s">
        <v>910</v>
      </c>
    </row>
    <row r="92" spans="3:32" ht="20.399999999999999">
      <c r="C92" s="46" t="s">
        <v>91</v>
      </c>
      <c r="V92" s="119" t="s">
        <v>913</v>
      </c>
      <c r="W92" s="212" t="s">
        <v>999</v>
      </c>
      <c r="X92" s="115" t="s">
        <v>993</v>
      </c>
      <c r="Y92" s="116">
        <v>500</v>
      </c>
      <c r="Z92" s="116">
        <v>1000</v>
      </c>
      <c r="AA92" s="116">
        <v>400</v>
      </c>
      <c r="AB92" s="213"/>
      <c r="AC92" s="213"/>
      <c r="AD92" s="213"/>
      <c r="AE92" s="213"/>
      <c r="AF92" s="214" t="s">
        <v>910</v>
      </c>
    </row>
    <row r="93" spans="3:32" ht="20.399999999999999">
      <c r="C93" s="46" t="s">
        <v>92</v>
      </c>
      <c r="V93" s="119" t="s">
        <v>916</v>
      </c>
      <c r="W93" s="212" t="s">
        <v>1000</v>
      </c>
      <c r="X93" s="115" t="s">
        <v>915</v>
      </c>
      <c r="Y93" s="116">
        <v>2000</v>
      </c>
      <c r="Z93" s="116">
        <v>3000</v>
      </c>
      <c r="AA93" s="116">
        <v>1500</v>
      </c>
      <c r="AB93" s="213"/>
      <c r="AC93" s="213"/>
      <c r="AD93" s="213"/>
      <c r="AE93" s="213"/>
      <c r="AF93" s="214" t="s">
        <v>910</v>
      </c>
    </row>
    <row r="94" spans="3:32" ht="18" thickBot="1">
      <c r="V94" s="170" t="s">
        <v>918</v>
      </c>
      <c r="W94" s="207" t="s">
        <v>1001</v>
      </c>
      <c r="X94" s="125" t="s">
        <v>915</v>
      </c>
      <c r="Y94" s="126">
        <v>1500</v>
      </c>
      <c r="Z94" s="126">
        <v>2000</v>
      </c>
      <c r="AA94" s="126">
        <v>1500</v>
      </c>
      <c r="AB94" s="200"/>
      <c r="AC94" s="200"/>
      <c r="AD94" s="200"/>
      <c r="AE94" s="200"/>
      <c r="AF94" s="208" t="s">
        <v>910</v>
      </c>
    </row>
    <row r="95" spans="3:32" ht="18" thickBot="1">
      <c r="V95" s="105" t="s">
        <v>920</v>
      </c>
      <c r="W95" s="215" t="s">
        <v>1002</v>
      </c>
      <c r="X95" s="103" t="s">
        <v>879</v>
      </c>
      <c r="Y95" s="216">
        <v>21900</v>
      </c>
      <c r="Z95" s="217"/>
      <c r="AA95" s="217"/>
      <c r="AB95" s="217"/>
      <c r="AC95" s="217"/>
      <c r="AD95" s="217"/>
      <c r="AE95" s="217"/>
      <c r="AF95" s="107"/>
    </row>
    <row r="96" spans="3:32" s="228" customFormat="1" ht="14.4">
      <c r="C96" s="227"/>
      <c r="V96" s="336" t="s">
        <v>922</v>
      </c>
      <c r="W96" s="345"/>
      <c r="X96" s="345"/>
      <c r="Y96" s="111" t="s">
        <v>923</v>
      </c>
      <c r="Z96" s="111" t="s">
        <v>924</v>
      </c>
      <c r="AA96" s="201"/>
      <c r="AB96" s="201"/>
      <c r="AC96" s="201"/>
      <c r="AD96" s="201"/>
      <c r="AE96" s="201"/>
      <c r="AF96" s="161"/>
    </row>
    <row r="97" spans="3:32" s="228" customFormat="1" ht="17.399999999999999">
      <c r="C97" s="227"/>
      <c r="V97" s="170" t="s">
        <v>925</v>
      </c>
      <c r="W97" s="212" t="s">
        <v>1022</v>
      </c>
      <c r="X97" s="115" t="s">
        <v>888</v>
      </c>
      <c r="Y97" s="116">
        <v>77500</v>
      </c>
      <c r="Z97" s="116">
        <v>52400</v>
      </c>
      <c r="AA97" s="213"/>
      <c r="AB97" s="213"/>
      <c r="AC97" s="213"/>
      <c r="AD97" s="213"/>
      <c r="AE97" s="213"/>
      <c r="AF97" s="214" t="s">
        <v>889</v>
      </c>
    </row>
    <row r="98" spans="3:32" ht="17.399999999999999">
      <c r="V98" s="170" t="s">
        <v>926</v>
      </c>
      <c r="W98" s="212" t="s">
        <v>1023</v>
      </c>
      <c r="X98" s="115" t="s">
        <v>888</v>
      </c>
      <c r="Y98" s="116">
        <v>66000</v>
      </c>
      <c r="Z98" s="116">
        <v>45200</v>
      </c>
      <c r="AA98" s="213"/>
      <c r="AB98" s="213"/>
      <c r="AC98" s="213"/>
      <c r="AD98" s="213"/>
      <c r="AE98" s="213"/>
      <c r="AF98" s="214" t="s">
        <v>889</v>
      </c>
    </row>
    <row r="99" spans="3:32" ht="17.399999999999999">
      <c r="V99" s="119" t="s">
        <v>927</v>
      </c>
      <c r="W99" s="212" t="s">
        <v>1024</v>
      </c>
      <c r="X99" s="115" t="s">
        <v>879</v>
      </c>
      <c r="Y99" s="116">
        <v>51500</v>
      </c>
      <c r="Z99" s="116">
        <v>88600</v>
      </c>
      <c r="AA99" s="213"/>
      <c r="AB99" s="213"/>
      <c r="AC99" s="213"/>
      <c r="AD99" s="213"/>
      <c r="AE99" s="213"/>
      <c r="AF99" s="214" t="s">
        <v>889</v>
      </c>
    </row>
    <row r="100" spans="3:32" ht="17.399999999999999">
      <c r="V100" s="119" t="s">
        <v>929</v>
      </c>
      <c r="W100" s="212" t="s">
        <v>1025</v>
      </c>
      <c r="X100" s="115" t="s">
        <v>879</v>
      </c>
      <c r="Y100" s="116">
        <v>10000</v>
      </c>
      <c r="Z100" s="116">
        <v>8900</v>
      </c>
      <c r="AA100" s="213"/>
      <c r="AB100" s="213"/>
      <c r="AC100" s="213"/>
      <c r="AD100" s="213"/>
      <c r="AE100" s="213"/>
      <c r="AF100" s="214" t="s">
        <v>889</v>
      </c>
    </row>
    <row r="101" spans="3:32" ht="17.399999999999999">
      <c r="V101" s="119" t="s">
        <v>931</v>
      </c>
      <c r="W101" s="212" t="s">
        <v>1026</v>
      </c>
      <c r="X101" s="115" t="s">
        <v>879</v>
      </c>
      <c r="Y101" s="116">
        <v>16500</v>
      </c>
      <c r="Z101" s="116">
        <v>13000</v>
      </c>
      <c r="AA101" s="213"/>
      <c r="AB101" s="213"/>
      <c r="AC101" s="213"/>
      <c r="AD101" s="213"/>
      <c r="AE101" s="213"/>
      <c r="AF101" s="214" t="s">
        <v>889</v>
      </c>
    </row>
    <row r="102" spans="3:32" ht="17.399999999999999">
      <c r="V102" s="119" t="s">
        <v>933</v>
      </c>
      <c r="W102" s="212" t="s">
        <v>1027</v>
      </c>
      <c r="X102" s="115" t="s">
        <v>888</v>
      </c>
      <c r="Y102" s="116">
        <v>24000</v>
      </c>
      <c r="Z102" s="116">
        <v>15200</v>
      </c>
      <c r="AA102" s="213"/>
      <c r="AB102" s="213"/>
      <c r="AC102" s="213"/>
      <c r="AD102" s="213"/>
      <c r="AE102" s="213"/>
      <c r="AF102" s="214" t="s">
        <v>889</v>
      </c>
    </row>
    <row r="103" spans="3:32" ht="18" thickBot="1">
      <c r="V103" s="132" t="s">
        <v>935</v>
      </c>
      <c r="W103" s="202" t="s">
        <v>1028</v>
      </c>
      <c r="X103" s="133" t="s">
        <v>888</v>
      </c>
      <c r="Y103" s="134">
        <v>3100</v>
      </c>
      <c r="Z103" s="134">
        <v>12800</v>
      </c>
      <c r="AA103" s="203"/>
      <c r="AB103" s="203"/>
      <c r="AC103" s="203"/>
      <c r="AD103" s="203"/>
      <c r="AE103" s="203"/>
      <c r="AF103" s="195" t="s">
        <v>889</v>
      </c>
    </row>
    <row r="104" spans="3:32" ht="14.4">
      <c r="V104" s="331" t="s">
        <v>937</v>
      </c>
      <c r="W104" s="437" t="s">
        <v>1029</v>
      </c>
      <c r="X104" s="328" t="s">
        <v>879</v>
      </c>
      <c r="Y104" s="198" t="s">
        <v>939</v>
      </c>
      <c r="Z104" s="198">
        <v>316</v>
      </c>
      <c r="AA104" s="198">
        <v>304</v>
      </c>
      <c r="AB104" s="199"/>
      <c r="AC104" s="199"/>
      <c r="AD104" s="199"/>
      <c r="AE104" s="199"/>
      <c r="AF104" s="347" t="s">
        <v>940</v>
      </c>
    </row>
    <row r="105" spans="3:32" ht="15" thickBot="1">
      <c r="V105" s="329"/>
      <c r="W105" s="438"/>
      <c r="X105" s="327"/>
      <c r="Y105" s="126">
        <v>7370</v>
      </c>
      <c r="Z105" s="126">
        <v>28500</v>
      </c>
      <c r="AA105" s="126">
        <v>20805</v>
      </c>
      <c r="AB105" s="200"/>
      <c r="AC105" s="200"/>
      <c r="AD105" s="200"/>
      <c r="AE105" s="200"/>
      <c r="AF105" s="348"/>
    </row>
    <row r="106" spans="3:32" ht="14.4">
      <c r="V106" s="336" t="s">
        <v>985</v>
      </c>
      <c r="W106" s="435" t="s">
        <v>1009</v>
      </c>
      <c r="X106" s="111" t="s">
        <v>986</v>
      </c>
      <c r="Y106" s="111" t="s">
        <v>987</v>
      </c>
      <c r="Z106" s="111" t="s">
        <v>988</v>
      </c>
      <c r="AA106" s="111" t="s">
        <v>989</v>
      </c>
      <c r="AB106" s="111" t="s">
        <v>990</v>
      </c>
      <c r="AC106" s="201"/>
      <c r="AD106" s="201"/>
      <c r="AE106" s="201"/>
      <c r="AF106" s="347" t="s">
        <v>991</v>
      </c>
    </row>
    <row r="107" spans="3:32" ht="15" thickBot="1">
      <c r="V107" s="342"/>
      <c r="W107" s="436"/>
      <c r="X107" s="221">
        <v>19</v>
      </c>
      <c r="Y107" s="433" t="s">
        <v>870</v>
      </c>
      <c r="Z107" s="434"/>
      <c r="AA107" s="134">
        <v>32400</v>
      </c>
      <c r="AB107" s="134">
        <v>50000</v>
      </c>
      <c r="AC107" s="203"/>
      <c r="AD107" s="203"/>
      <c r="AE107" s="203"/>
      <c r="AF107" s="348"/>
    </row>
    <row r="114" spans="22:32" ht="13.8" thickBot="1"/>
    <row r="115" spans="22:32" ht="30" customHeight="1">
      <c r="V115" s="336" t="s">
        <v>1516</v>
      </c>
      <c r="W115" s="338"/>
      <c r="X115" s="340"/>
      <c r="Y115" s="171" t="s">
        <v>1517</v>
      </c>
      <c r="Z115" s="171" t="s">
        <v>1518</v>
      </c>
      <c r="AA115" s="171" t="s">
        <v>1519</v>
      </c>
      <c r="AB115" s="171"/>
      <c r="AC115" s="171"/>
      <c r="AD115" s="171"/>
      <c r="AE115" s="171"/>
      <c r="AF115" s="172"/>
    </row>
    <row r="116" spans="22:32" ht="30" customHeight="1" thickBot="1">
      <c r="V116" s="337"/>
      <c r="W116" s="339"/>
      <c r="X116" s="341"/>
      <c r="Y116" s="173">
        <v>24000</v>
      </c>
      <c r="Z116" s="173">
        <f>IF(F8&gt;0,E8*520,IF(F9&gt;0,E9*520))</f>
        <v>102960</v>
      </c>
      <c r="AA116" s="173">
        <f>IF(F8&gt;0,E8*620,IF(F9&gt;0,E9*620))</f>
        <v>122760</v>
      </c>
      <c r="AB116" s="173"/>
      <c r="AC116" s="173"/>
      <c r="AD116" s="173"/>
      <c r="AE116" s="173"/>
      <c r="AF116" s="174"/>
    </row>
    <row r="117" spans="22:32" ht="30" customHeight="1">
      <c r="V117" s="336" t="s">
        <v>1520</v>
      </c>
      <c r="W117" s="338"/>
      <c r="X117" s="340"/>
      <c r="Y117" s="171" t="s">
        <v>1517</v>
      </c>
      <c r="Z117" s="171" t="s">
        <v>1521</v>
      </c>
      <c r="AA117" s="171"/>
      <c r="AB117" s="171"/>
      <c r="AC117" s="171"/>
      <c r="AD117" s="171"/>
      <c r="AE117" s="171"/>
      <c r="AF117" s="172"/>
    </row>
    <row r="118" spans="22:32" ht="30" customHeight="1" thickBot="1">
      <c r="V118" s="337"/>
      <c r="W118" s="339"/>
      <c r="X118" s="341"/>
      <c r="Y118" s="173"/>
      <c r="Z118" s="173">
        <f>Y118</f>
        <v>0</v>
      </c>
      <c r="AA118" s="173"/>
      <c r="AB118" s="173"/>
      <c r="AC118" s="173"/>
      <c r="AD118" s="173"/>
      <c r="AE118" s="173"/>
      <c r="AF118" s="174"/>
    </row>
    <row r="119" spans="22:32" ht="30" customHeight="1">
      <c r="V119" s="336" t="s">
        <v>1522</v>
      </c>
      <c r="W119" s="338"/>
      <c r="X119" s="340"/>
      <c r="Y119" s="171" t="s">
        <v>1523</v>
      </c>
      <c r="Z119" s="171" t="s">
        <v>1524</v>
      </c>
      <c r="AA119" s="171" t="s">
        <v>1525</v>
      </c>
      <c r="AB119" s="171"/>
      <c r="AC119" s="171"/>
      <c r="AD119" s="171"/>
      <c r="AE119" s="171"/>
      <c r="AF119" s="172"/>
    </row>
    <row r="120" spans="22:32" ht="30" customHeight="1">
      <c r="V120" s="337"/>
      <c r="W120" s="339"/>
      <c r="X120" s="341"/>
      <c r="Y120" s="306"/>
      <c r="Z120" s="306"/>
      <c r="AA120" s="173"/>
      <c r="AB120" s="173"/>
      <c r="AC120" s="173"/>
      <c r="AD120" s="173"/>
      <c r="AE120" s="173"/>
      <c r="AF120" s="174"/>
    </row>
  </sheetData>
  <mergeCells count="67">
    <mergeCell ref="A1:S1"/>
    <mergeCell ref="A3:B4"/>
    <mergeCell ref="C3:C4"/>
    <mergeCell ref="D3:D4"/>
    <mergeCell ref="E3:E4"/>
    <mergeCell ref="F3:F4"/>
    <mergeCell ref="G3:G4"/>
    <mergeCell ref="H3:Q4"/>
    <mergeCell ref="R3:R4"/>
    <mergeCell ref="S3:S4"/>
    <mergeCell ref="T3:T7"/>
    <mergeCell ref="A5:B7"/>
    <mergeCell ref="C5:C7"/>
    <mergeCell ref="D5:D7"/>
    <mergeCell ref="E5:G6"/>
    <mergeCell ref="H5:H6"/>
    <mergeCell ref="I5:Q5"/>
    <mergeCell ref="R5:R7"/>
    <mergeCell ref="S5:S7"/>
    <mergeCell ref="A67:F67"/>
    <mergeCell ref="A68:F68"/>
    <mergeCell ref="A69:G70"/>
    <mergeCell ref="A8:A61"/>
    <mergeCell ref="A62:F62"/>
    <mergeCell ref="A63:F63"/>
    <mergeCell ref="A64:F64"/>
    <mergeCell ref="A65:F65"/>
    <mergeCell ref="A66:F66"/>
    <mergeCell ref="Y72:AE72"/>
    <mergeCell ref="V73:V74"/>
    <mergeCell ref="Y73:AE73"/>
    <mergeCell ref="Y74:AE74"/>
    <mergeCell ref="Y75:AE75"/>
    <mergeCell ref="V83:V84"/>
    <mergeCell ref="W83:W84"/>
    <mergeCell ref="X83:X84"/>
    <mergeCell ref="V76:V77"/>
    <mergeCell ref="X76:AE76"/>
    <mergeCell ref="X77:AE77"/>
    <mergeCell ref="V78:V79"/>
    <mergeCell ref="W78:W79"/>
    <mergeCell ref="X78:X79"/>
    <mergeCell ref="V106:V107"/>
    <mergeCell ref="W106:W107"/>
    <mergeCell ref="AF106:AF107"/>
    <mergeCell ref="Y107:Z107"/>
    <mergeCell ref="V3:V7"/>
    <mergeCell ref="V85:V86"/>
    <mergeCell ref="AF85:AF86"/>
    <mergeCell ref="V88:X88"/>
    <mergeCell ref="V96:X96"/>
    <mergeCell ref="V104:V105"/>
    <mergeCell ref="W104:W105"/>
    <mergeCell ref="X104:X105"/>
    <mergeCell ref="AF104:AF105"/>
    <mergeCell ref="V81:V82"/>
    <mergeCell ref="W81:W82"/>
    <mergeCell ref="X81:X82"/>
    <mergeCell ref="V119:V120"/>
    <mergeCell ref="W119:W120"/>
    <mergeCell ref="X119:X120"/>
    <mergeCell ref="V115:V116"/>
    <mergeCell ref="W115:W116"/>
    <mergeCell ref="X115:X116"/>
    <mergeCell ref="V117:V118"/>
    <mergeCell ref="W117:W118"/>
    <mergeCell ref="X117:X118"/>
  </mergeCells>
  <phoneticPr fontId="3" type="noConversion"/>
  <printOptions horizontalCentered="1"/>
  <pageMargins left="0.39370078740157483" right="0.39370078740157483" top="0.39370078740157483" bottom="0.15748031496062992" header="0.51181102362204722" footer="0.51181102362204722"/>
  <pageSetup paperSize="9" scale="45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F120"/>
  <sheetViews>
    <sheetView showGridLines="0" view="pageBreakPreview" zoomScale="70" zoomScaleNormal="55" zoomScaleSheetLayoutView="70" workbookViewId="0">
      <pane xSplit="7" ySplit="7" topLeftCell="H8" activePane="bottomRight" state="frozen"/>
      <selection activeCell="T8" activeCellId="1" sqref="T9 T8"/>
      <selection pane="topRight" activeCell="T8" activeCellId="1" sqref="T9 T8"/>
      <selection pane="bottomLeft" activeCell="T8" activeCellId="1" sqref="T9 T8"/>
      <selection pane="bottomRight" activeCell="T8" activeCellId="1" sqref="T9 T8"/>
    </sheetView>
  </sheetViews>
  <sheetFormatPr defaultColWidth="8.8984375" defaultRowHeight="13.2"/>
  <cols>
    <col min="1" max="1" width="3.3984375" style="3" customWidth="1"/>
    <col min="2" max="2" width="9.5" style="3" customWidth="1"/>
    <col min="3" max="3" width="25.19921875" style="49" customWidth="1"/>
    <col min="4" max="5" width="13.09765625" style="3" customWidth="1"/>
    <col min="6" max="7" width="15.09765625" style="3" customWidth="1"/>
    <col min="8" max="8" width="15.09765625" style="3" hidden="1" customWidth="1"/>
    <col min="9" max="17" width="15.69921875" style="3" hidden="1" customWidth="1"/>
    <col min="18" max="18" width="15.69921875" style="3" customWidth="1"/>
    <col min="19" max="19" width="26.8984375" style="3" customWidth="1"/>
    <col min="20" max="20" width="30.09765625" style="3" customWidth="1"/>
    <col min="21" max="21" width="14.09765625" style="3" bestFit="1" customWidth="1"/>
    <col min="22" max="22" width="48.3984375" style="3" bestFit="1" customWidth="1"/>
    <col min="23" max="23" width="45.3984375" style="3" bestFit="1" customWidth="1"/>
    <col min="24" max="24" width="10.09765625" style="3" bestFit="1" customWidth="1"/>
    <col min="25" max="25" width="11.5" style="3" bestFit="1" customWidth="1"/>
    <col min="26" max="26" width="12.5" style="3" bestFit="1" customWidth="1"/>
    <col min="27" max="27" width="12.09765625" style="3" bestFit="1" customWidth="1"/>
    <col min="28" max="28" width="13.09765625" style="3" bestFit="1" customWidth="1"/>
    <col min="29" max="30" width="8.59765625" style="3" bestFit="1" customWidth="1"/>
    <col min="31" max="31" width="13.3984375" style="3" bestFit="1" customWidth="1"/>
    <col min="32" max="32" width="19" style="3" bestFit="1" customWidth="1"/>
    <col min="33" max="16384" width="8.8984375" style="3"/>
  </cols>
  <sheetData>
    <row r="1" spans="1:31" s="2" customFormat="1" ht="51" customHeight="1" thickBot="1">
      <c r="A1" s="411" t="s">
        <v>1312</v>
      </c>
      <c r="B1" s="412"/>
      <c r="C1" s="412"/>
      <c r="D1" s="412"/>
      <c r="E1" s="412"/>
      <c r="F1" s="412"/>
      <c r="G1" s="412"/>
      <c r="H1" s="412"/>
      <c r="I1" s="412"/>
      <c r="J1" s="412"/>
      <c r="K1" s="412"/>
      <c r="L1" s="412"/>
      <c r="M1" s="412"/>
      <c r="N1" s="412"/>
      <c r="O1" s="412"/>
      <c r="P1" s="412"/>
      <c r="Q1" s="412"/>
      <c r="R1" s="412"/>
      <c r="S1" s="412"/>
      <c r="T1" s="1"/>
    </row>
    <row r="2" spans="1:31" s="2" customFormat="1" ht="30" customHeight="1" thickBot="1">
      <c r="A2" s="3"/>
      <c r="B2" s="3"/>
      <c r="T2" s="4" t="s">
        <v>0</v>
      </c>
    </row>
    <row r="3" spans="1:31" s="5" customFormat="1" ht="24" customHeight="1">
      <c r="A3" s="413" t="s">
        <v>1</v>
      </c>
      <c r="B3" s="414"/>
      <c r="C3" s="417" t="s">
        <v>694</v>
      </c>
      <c r="D3" s="419" t="s">
        <v>3</v>
      </c>
      <c r="E3" s="421" t="s">
        <v>1313</v>
      </c>
      <c r="F3" s="423" t="s">
        <v>4</v>
      </c>
      <c r="G3" s="425" t="str">
        <f>COVER!B9</f>
        <v>FLANGE</v>
      </c>
      <c r="H3" s="421" t="s">
        <v>5</v>
      </c>
      <c r="I3" s="427"/>
      <c r="J3" s="427"/>
      <c r="K3" s="427"/>
      <c r="L3" s="427"/>
      <c r="M3" s="427"/>
      <c r="N3" s="427"/>
      <c r="O3" s="427"/>
      <c r="P3" s="427"/>
      <c r="Q3" s="428"/>
      <c r="R3" s="423" t="s">
        <v>695</v>
      </c>
      <c r="S3" s="431" t="s">
        <v>7</v>
      </c>
      <c r="T3" s="381" t="s">
        <v>8</v>
      </c>
      <c r="V3" s="2"/>
    </row>
    <row r="4" spans="1:31" s="5" customFormat="1" ht="24" customHeight="1">
      <c r="A4" s="415"/>
      <c r="B4" s="416"/>
      <c r="C4" s="418"/>
      <c r="D4" s="420"/>
      <c r="E4" s="422"/>
      <c r="F4" s="424"/>
      <c r="G4" s="426"/>
      <c r="H4" s="422"/>
      <c r="I4" s="429"/>
      <c r="J4" s="429"/>
      <c r="K4" s="429"/>
      <c r="L4" s="429"/>
      <c r="M4" s="429"/>
      <c r="N4" s="429"/>
      <c r="O4" s="429"/>
      <c r="P4" s="429"/>
      <c r="Q4" s="430"/>
      <c r="R4" s="424"/>
      <c r="S4" s="410"/>
      <c r="T4" s="382"/>
      <c r="V4" s="2"/>
      <c r="W4" s="6"/>
      <c r="X4" s="6"/>
      <c r="Y4" s="7"/>
      <c r="Z4" s="7"/>
      <c r="AA4" s="7"/>
      <c r="AB4" s="7"/>
      <c r="AC4" s="7"/>
      <c r="AD4" s="7"/>
      <c r="AE4" s="7"/>
    </row>
    <row r="5" spans="1:31" s="5" customFormat="1" ht="24" customHeight="1">
      <c r="A5" s="384" t="s">
        <v>696</v>
      </c>
      <c r="B5" s="385"/>
      <c r="C5" s="390" t="s">
        <v>10</v>
      </c>
      <c r="D5" s="393" t="s">
        <v>11</v>
      </c>
      <c r="E5" s="396" t="s">
        <v>697</v>
      </c>
      <c r="F5" s="397"/>
      <c r="G5" s="398"/>
      <c r="H5" s="402" t="s">
        <v>13</v>
      </c>
      <c r="I5" s="404" t="s">
        <v>14</v>
      </c>
      <c r="J5" s="405"/>
      <c r="K5" s="405"/>
      <c r="L5" s="405"/>
      <c r="M5" s="405"/>
      <c r="N5" s="405"/>
      <c r="O5" s="405"/>
      <c r="P5" s="405"/>
      <c r="Q5" s="405"/>
      <c r="R5" s="406" t="s">
        <v>15</v>
      </c>
      <c r="S5" s="408" t="s">
        <v>698</v>
      </c>
      <c r="T5" s="382"/>
      <c r="V5" s="2"/>
      <c r="W5" s="7"/>
      <c r="X5" s="7"/>
      <c r="Y5" s="7"/>
      <c r="Z5" s="7"/>
      <c r="AA5" s="7"/>
      <c r="AB5" s="7"/>
      <c r="AC5" s="7"/>
      <c r="AD5" s="7"/>
      <c r="AE5" s="7"/>
    </row>
    <row r="6" spans="1:31" s="5" customFormat="1" ht="24" customHeight="1">
      <c r="A6" s="386"/>
      <c r="B6" s="387"/>
      <c r="C6" s="391"/>
      <c r="D6" s="394"/>
      <c r="E6" s="399"/>
      <c r="F6" s="400"/>
      <c r="G6" s="401"/>
      <c r="H6" s="403"/>
      <c r="I6" s="8" t="s">
        <v>17</v>
      </c>
      <c r="J6" s="8" t="s">
        <v>18</v>
      </c>
      <c r="K6" s="8" t="s">
        <v>19</v>
      </c>
      <c r="L6" s="9" t="s">
        <v>20</v>
      </c>
      <c r="M6" s="9" t="s">
        <v>699</v>
      </c>
      <c r="N6" s="8" t="s">
        <v>22</v>
      </c>
      <c r="O6" s="8" t="s">
        <v>700</v>
      </c>
      <c r="P6" s="8" t="s">
        <v>701</v>
      </c>
      <c r="Q6" s="10" t="s">
        <v>25</v>
      </c>
      <c r="R6" s="407"/>
      <c r="S6" s="409"/>
      <c r="T6" s="382"/>
      <c r="V6" s="2"/>
      <c r="W6" s="6"/>
      <c r="X6" s="6"/>
      <c r="Y6" s="7"/>
      <c r="Z6" s="7"/>
      <c r="AA6" s="7"/>
      <c r="AB6" s="7"/>
      <c r="AC6" s="7"/>
      <c r="AD6" s="7"/>
      <c r="AE6" s="7"/>
    </row>
    <row r="7" spans="1:31" ht="24" customHeight="1">
      <c r="A7" s="388"/>
      <c r="B7" s="389"/>
      <c r="C7" s="392"/>
      <c r="D7" s="395"/>
      <c r="E7" s="8" t="s">
        <v>26</v>
      </c>
      <c r="F7" s="8" t="s">
        <v>702</v>
      </c>
      <c r="G7" s="8" t="s">
        <v>28</v>
      </c>
      <c r="H7" s="8"/>
      <c r="I7" s="8" t="s">
        <v>703</v>
      </c>
      <c r="J7" s="8" t="s">
        <v>30</v>
      </c>
      <c r="K7" s="8" t="s">
        <v>31</v>
      </c>
      <c r="L7" s="9" t="s">
        <v>29</v>
      </c>
      <c r="M7" s="9" t="s">
        <v>32</v>
      </c>
      <c r="N7" s="8" t="s">
        <v>33</v>
      </c>
      <c r="O7" s="8" t="s">
        <v>34</v>
      </c>
      <c r="P7" s="8" t="s">
        <v>35</v>
      </c>
      <c r="Q7" s="10" t="s">
        <v>36</v>
      </c>
      <c r="R7" s="403"/>
      <c r="S7" s="410"/>
      <c r="T7" s="383"/>
      <c r="V7" s="2"/>
      <c r="W7" s="6"/>
      <c r="X7" s="6"/>
      <c r="Y7" s="7"/>
      <c r="Z7" s="7"/>
      <c r="AA7" s="7"/>
      <c r="AB7" s="7"/>
      <c r="AC7" s="7"/>
      <c r="AD7" s="7"/>
      <c r="AE7" s="7"/>
    </row>
    <row r="8" spans="1:31" ht="33" customHeight="1">
      <c r="A8" s="375" t="s">
        <v>37</v>
      </c>
      <c r="B8" s="11">
        <v>1</v>
      </c>
      <c r="C8" s="154" t="str">
        <f>COVER!A14</f>
        <v>BODY(LUG)</v>
      </c>
      <c r="D8" s="158">
        <f>COVER!B14</f>
        <v>0</v>
      </c>
      <c r="E8" s="148">
        <v>155</v>
      </c>
      <c r="F8" s="159">
        <f>COVER!C14</f>
        <v>0</v>
      </c>
      <c r="G8" s="159">
        <f>F8*E8</f>
        <v>0</v>
      </c>
      <c r="H8" s="159"/>
      <c r="I8" s="160">
        <f>I10*I9</f>
        <v>506706621524695.19</v>
      </c>
      <c r="J8" s="160">
        <f t="shared" ref="J8:Q9" si="0">J10*J9</f>
        <v>43341753052405.07</v>
      </c>
      <c r="K8" s="160">
        <f t="shared" si="0"/>
        <v>270470072536680.25</v>
      </c>
      <c r="L8" s="160">
        <f t="shared" si="0"/>
        <v>506706621524695.19</v>
      </c>
      <c r="M8" s="160">
        <f t="shared" si="0"/>
        <v>632417344857819.5</v>
      </c>
      <c r="N8" s="160">
        <f t="shared" si="0"/>
        <v>46528628303586.25</v>
      </c>
      <c r="O8" s="160">
        <f t="shared" si="0"/>
        <v>0</v>
      </c>
      <c r="P8" s="160">
        <f t="shared" si="0"/>
        <v>0</v>
      </c>
      <c r="Q8" s="160">
        <f t="shared" si="0"/>
        <v>10000000000000</v>
      </c>
      <c r="R8" s="318">
        <f>IF(COVER!C14&gt;0,440000*1.2,0)</f>
        <v>0</v>
      </c>
      <c r="S8" s="160">
        <f>G8+R8</f>
        <v>0</v>
      </c>
      <c r="T8" s="309" t="s">
        <v>1171</v>
      </c>
      <c r="V8" s="2"/>
      <c r="W8" s="6"/>
      <c r="X8" s="6"/>
      <c r="Y8" s="7"/>
      <c r="Z8" s="7"/>
      <c r="AA8" s="7"/>
      <c r="AB8" s="7"/>
      <c r="AC8" s="7"/>
      <c r="AD8" s="7"/>
      <c r="AE8" s="7"/>
    </row>
    <row r="9" spans="1:31" ht="33" customHeight="1">
      <c r="A9" s="376"/>
      <c r="B9" s="146" t="s">
        <v>1167</v>
      </c>
      <c r="C9" s="154" t="str">
        <f>COVER!A15</f>
        <v>BODY(FLANGE)</v>
      </c>
      <c r="D9" s="158" t="str">
        <f>COVER!B15</f>
        <v>A216 WCB</v>
      </c>
      <c r="E9" s="148">
        <v>227</v>
      </c>
      <c r="F9" s="159">
        <f>COVER!C15</f>
        <v>4300</v>
      </c>
      <c r="G9" s="159">
        <f>F9*E9</f>
        <v>976100</v>
      </c>
      <c r="H9" s="159"/>
      <c r="I9" s="160">
        <f>I11*I10</f>
        <v>13693182184.900002</v>
      </c>
      <c r="J9" s="160">
        <f t="shared" si="0"/>
        <v>2658301984.9000001</v>
      </c>
      <c r="K9" s="160">
        <f t="shared" si="0"/>
        <v>9010443027.6000004</v>
      </c>
      <c r="L9" s="160">
        <f t="shared" si="0"/>
        <v>13693182184.900002</v>
      </c>
      <c r="M9" s="160">
        <f t="shared" si="0"/>
        <v>15873371539.6</v>
      </c>
      <c r="N9" s="160">
        <f t="shared" si="0"/>
        <v>2787063302.5</v>
      </c>
      <c r="O9" s="160">
        <f t="shared" si="0"/>
        <v>0</v>
      </c>
      <c r="P9" s="160">
        <f t="shared" si="0"/>
        <v>0</v>
      </c>
      <c r="Q9" s="160">
        <f t="shared" si="0"/>
        <v>1000000000</v>
      </c>
      <c r="R9" s="318">
        <f>IF(COVER!C15&gt;0,450000*1.2,0)</f>
        <v>540000</v>
      </c>
      <c r="S9" s="160">
        <f t="shared" ref="S9:S62" si="1">G9+R9</f>
        <v>1516100</v>
      </c>
      <c r="T9" s="309" t="s">
        <v>1169</v>
      </c>
      <c r="V9" s="2"/>
      <c r="W9" s="6"/>
      <c r="X9" s="6"/>
      <c r="Y9" s="7"/>
      <c r="Z9" s="7"/>
      <c r="AA9" s="7"/>
      <c r="AB9" s="7"/>
      <c r="AC9" s="7"/>
      <c r="AD9" s="7"/>
      <c r="AE9" s="7"/>
    </row>
    <row r="10" spans="1:31" ht="33" hidden="1" customHeight="1">
      <c r="A10" s="376"/>
      <c r="B10" s="11"/>
      <c r="C10" s="142"/>
      <c r="D10" s="158"/>
      <c r="E10" s="148"/>
      <c r="F10" s="159"/>
      <c r="G10" s="159"/>
      <c r="H10" s="159" t="s">
        <v>705</v>
      </c>
      <c r="I10" s="160">
        <f t="shared" ref="I10:Q10" si="2">I11/10</f>
        <v>37004.300000000003</v>
      </c>
      <c r="J10" s="160">
        <f t="shared" si="2"/>
        <v>16304.3</v>
      </c>
      <c r="K10" s="160">
        <f t="shared" si="2"/>
        <v>30017.4</v>
      </c>
      <c r="L10" s="160">
        <f t="shared" si="2"/>
        <v>37004.300000000003</v>
      </c>
      <c r="M10" s="160">
        <f t="shared" si="2"/>
        <v>39841.4</v>
      </c>
      <c r="N10" s="160">
        <f t="shared" si="2"/>
        <v>16694.5</v>
      </c>
      <c r="O10" s="160">
        <f t="shared" si="2"/>
        <v>0</v>
      </c>
      <c r="P10" s="160">
        <f t="shared" si="2"/>
        <v>0</v>
      </c>
      <c r="Q10" s="160">
        <f t="shared" si="2"/>
        <v>10000</v>
      </c>
      <c r="R10" s="160"/>
      <c r="S10" s="160">
        <f t="shared" si="1"/>
        <v>0</v>
      </c>
      <c r="T10" s="16"/>
      <c r="V10" s="2"/>
      <c r="W10" s="6"/>
      <c r="X10" s="6"/>
      <c r="Y10" s="7"/>
      <c r="Z10" s="7"/>
      <c r="AA10" s="7"/>
      <c r="AB10" s="7"/>
      <c r="AC10" s="7"/>
      <c r="AD10" s="7"/>
      <c r="AE10" s="7"/>
    </row>
    <row r="11" spans="1:31" ht="33" hidden="1" customHeight="1">
      <c r="A11" s="376"/>
      <c r="B11" s="11"/>
      <c r="C11" s="142"/>
      <c r="D11" s="158"/>
      <c r="E11" s="148"/>
      <c r="F11" s="159"/>
      <c r="G11" s="159"/>
      <c r="H11" s="187" t="s">
        <v>41</v>
      </c>
      <c r="I11" s="160">
        <v>370043</v>
      </c>
      <c r="J11" s="160">
        <v>163043</v>
      </c>
      <c r="K11" s="160">
        <v>300174</v>
      </c>
      <c r="L11" s="160">
        <v>370043</v>
      </c>
      <c r="M11" s="160">
        <v>398414</v>
      </c>
      <c r="N11" s="160">
        <v>166945</v>
      </c>
      <c r="O11" s="160">
        <v>0</v>
      </c>
      <c r="P11" s="160">
        <v>0</v>
      </c>
      <c r="Q11" s="160">
        <v>100000</v>
      </c>
      <c r="R11" s="160"/>
      <c r="S11" s="160">
        <f t="shared" si="1"/>
        <v>0</v>
      </c>
      <c r="T11" s="16"/>
      <c r="V11" s="2"/>
      <c r="W11" s="6"/>
      <c r="X11" s="6"/>
      <c r="Y11" s="7"/>
      <c r="Z11" s="7"/>
      <c r="AA11" s="7"/>
      <c r="AB11" s="7"/>
      <c r="AC11" s="7"/>
      <c r="AD11" s="7"/>
      <c r="AE11" s="7"/>
    </row>
    <row r="12" spans="1:31" s="19" customFormat="1" ht="33" customHeight="1">
      <c r="A12" s="376"/>
      <c r="B12" s="11">
        <v>2</v>
      </c>
      <c r="C12" s="142" t="s">
        <v>42</v>
      </c>
      <c r="D12" s="158" t="str">
        <f>COVER!B16</f>
        <v>A216 WCB</v>
      </c>
      <c r="E12" s="148">
        <v>49</v>
      </c>
      <c r="F12" s="159">
        <f>COVER!C16</f>
        <v>4300</v>
      </c>
      <c r="G12" s="159">
        <f>F12*E12</f>
        <v>210700</v>
      </c>
      <c r="H12" s="159"/>
      <c r="I12" s="160">
        <f>I13*I14</f>
        <v>111012.90000000001</v>
      </c>
      <c r="J12" s="160">
        <f t="shared" ref="J12:Q12" si="3">J13*J14</f>
        <v>0</v>
      </c>
      <c r="K12" s="160">
        <f t="shared" si="3"/>
        <v>60034.8</v>
      </c>
      <c r="L12" s="160">
        <f t="shared" si="3"/>
        <v>111012.90000000001</v>
      </c>
      <c r="M12" s="160">
        <f t="shared" si="3"/>
        <v>0</v>
      </c>
      <c r="N12" s="160">
        <f t="shared" si="3"/>
        <v>0</v>
      </c>
      <c r="O12" s="160">
        <f t="shared" si="3"/>
        <v>0</v>
      </c>
      <c r="P12" s="160">
        <f t="shared" si="3"/>
        <v>0</v>
      </c>
      <c r="Q12" s="160">
        <f t="shared" si="3"/>
        <v>4000</v>
      </c>
      <c r="R12" s="160">
        <v>270000</v>
      </c>
      <c r="S12" s="160">
        <f t="shared" si="1"/>
        <v>480700</v>
      </c>
      <c r="T12" s="18"/>
      <c r="V12" s="2"/>
      <c r="W12" s="6"/>
      <c r="X12" s="6"/>
      <c r="Y12" s="7"/>
      <c r="Z12" s="7"/>
      <c r="AA12" s="7"/>
      <c r="AB12" s="7"/>
      <c r="AC12" s="7"/>
      <c r="AD12" s="7"/>
      <c r="AE12" s="7"/>
    </row>
    <row r="13" spans="1:31" s="19" customFormat="1" ht="33" hidden="1" customHeight="1">
      <c r="A13" s="376"/>
      <c r="B13" s="11"/>
      <c r="C13" s="142"/>
      <c r="D13" s="158"/>
      <c r="E13" s="148"/>
      <c r="F13" s="159"/>
      <c r="G13" s="159"/>
      <c r="H13" s="187" t="s">
        <v>706</v>
      </c>
      <c r="I13" s="188">
        <v>3</v>
      </c>
      <c r="J13" s="188">
        <v>0</v>
      </c>
      <c r="K13" s="188">
        <v>2</v>
      </c>
      <c r="L13" s="188">
        <v>3</v>
      </c>
      <c r="M13" s="188">
        <v>0</v>
      </c>
      <c r="N13" s="188">
        <v>0</v>
      </c>
      <c r="O13" s="188"/>
      <c r="P13" s="188"/>
      <c r="Q13" s="188">
        <v>0.4</v>
      </c>
      <c r="R13" s="160"/>
      <c r="S13" s="160">
        <f t="shared" si="1"/>
        <v>0</v>
      </c>
      <c r="T13" s="22"/>
      <c r="V13" s="2"/>
      <c r="W13" s="6"/>
      <c r="X13" s="6"/>
      <c r="Y13" s="7"/>
      <c r="Z13" s="7"/>
      <c r="AA13" s="7"/>
      <c r="AB13" s="7"/>
      <c r="AC13" s="7"/>
      <c r="AD13" s="7"/>
      <c r="AE13" s="7"/>
    </row>
    <row r="14" spans="1:31" s="19" customFormat="1" ht="33" hidden="1" customHeight="1">
      <c r="A14" s="376"/>
      <c r="B14" s="11"/>
      <c r="C14" s="142"/>
      <c r="D14" s="158"/>
      <c r="E14" s="148"/>
      <c r="F14" s="159"/>
      <c r="G14" s="159"/>
      <c r="H14" s="159" t="s">
        <v>40</v>
      </c>
      <c r="I14" s="160">
        <f>I15/10</f>
        <v>37004.300000000003</v>
      </c>
      <c r="J14" s="160">
        <f t="shared" ref="J14:Q14" si="4">J15/10</f>
        <v>16304.3</v>
      </c>
      <c r="K14" s="160">
        <f t="shared" si="4"/>
        <v>30017.4</v>
      </c>
      <c r="L14" s="160">
        <f t="shared" si="4"/>
        <v>37004.300000000003</v>
      </c>
      <c r="M14" s="160">
        <f t="shared" si="4"/>
        <v>39841.4</v>
      </c>
      <c r="N14" s="160">
        <f t="shared" si="4"/>
        <v>16694.5</v>
      </c>
      <c r="O14" s="160">
        <f t="shared" si="4"/>
        <v>0</v>
      </c>
      <c r="P14" s="160">
        <f t="shared" si="4"/>
        <v>0</v>
      </c>
      <c r="Q14" s="160">
        <f t="shared" si="4"/>
        <v>10000</v>
      </c>
      <c r="R14" s="160"/>
      <c r="S14" s="160">
        <f t="shared" si="1"/>
        <v>0</v>
      </c>
      <c r="T14" s="22"/>
      <c r="V14" s="2"/>
      <c r="W14" s="6"/>
      <c r="X14" s="6"/>
      <c r="Y14" s="7"/>
      <c r="Z14" s="7"/>
      <c r="AA14" s="7"/>
      <c r="AB14" s="7"/>
      <c r="AC14" s="7"/>
      <c r="AD14" s="7"/>
      <c r="AE14" s="7"/>
    </row>
    <row r="15" spans="1:31" s="19" customFormat="1" ht="33" hidden="1" customHeight="1">
      <c r="A15" s="376"/>
      <c r="B15" s="11"/>
      <c r="C15" s="142"/>
      <c r="D15" s="158"/>
      <c r="E15" s="148"/>
      <c r="F15" s="159"/>
      <c r="G15" s="159"/>
      <c r="H15" s="159" t="s">
        <v>43</v>
      </c>
      <c r="I15" s="160">
        <v>370043</v>
      </c>
      <c r="J15" s="160">
        <v>163043</v>
      </c>
      <c r="K15" s="160">
        <v>300174</v>
      </c>
      <c r="L15" s="160">
        <v>370043</v>
      </c>
      <c r="M15" s="160">
        <v>398414</v>
      </c>
      <c r="N15" s="160">
        <v>166945</v>
      </c>
      <c r="O15" s="160">
        <v>0</v>
      </c>
      <c r="P15" s="160">
        <v>0</v>
      </c>
      <c r="Q15" s="160">
        <v>100000</v>
      </c>
      <c r="R15" s="160"/>
      <c r="S15" s="160">
        <f t="shared" si="1"/>
        <v>0</v>
      </c>
      <c r="T15" s="22"/>
      <c r="V15" s="2"/>
      <c r="W15" s="6"/>
      <c r="X15" s="6"/>
      <c r="Y15" s="7"/>
      <c r="Z15" s="7"/>
      <c r="AA15" s="7"/>
      <c r="AB15" s="7"/>
      <c r="AC15" s="7"/>
      <c r="AD15" s="7"/>
      <c r="AE15" s="7"/>
    </row>
    <row r="16" spans="1:31" s="19" customFormat="1" ht="33" customHeight="1">
      <c r="A16" s="376"/>
      <c r="B16" s="11">
        <v>3</v>
      </c>
      <c r="C16" s="142" t="s">
        <v>952</v>
      </c>
      <c r="D16" s="158" t="str">
        <f>COVER!B19</f>
        <v>WCB+309+#6</v>
      </c>
      <c r="E16" s="148">
        <v>1</v>
      </c>
      <c r="F16" s="159">
        <f>IF(D16="SUS+#6",X76,IF(D16="WCB+309+#6",X77))</f>
        <v>395600</v>
      </c>
      <c r="G16" s="159">
        <f>F16*E16</f>
        <v>395600</v>
      </c>
      <c r="H16" s="159"/>
      <c r="I16" s="160">
        <v>0</v>
      </c>
      <c r="J16" s="160">
        <v>0</v>
      </c>
      <c r="K16" s="160">
        <v>0</v>
      </c>
      <c r="L16" s="160">
        <v>0</v>
      </c>
      <c r="M16" s="160">
        <v>0</v>
      </c>
      <c r="N16" s="160">
        <v>0</v>
      </c>
      <c r="O16" s="160">
        <v>0</v>
      </c>
      <c r="P16" s="160">
        <v>0</v>
      </c>
      <c r="Q16" s="160">
        <v>0</v>
      </c>
      <c r="R16" s="160">
        <v>0</v>
      </c>
      <c r="S16" s="160">
        <f t="shared" si="1"/>
        <v>395600</v>
      </c>
      <c r="T16" s="22"/>
      <c r="V16" s="2"/>
      <c r="W16" s="6"/>
      <c r="X16" s="6"/>
      <c r="Y16" s="7"/>
      <c r="Z16" s="7"/>
      <c r="AA16" s="7"/>
      <c r="AB16" s="7"/>
      <c r="AC16" s="7"/>
      <c r="AD16" s="7"/>
      <c r="AE16" s="7"/>
    </row>
    <row r="17" spans="1:31" s="19" customFormat="1" ht="33" customHeight="1">
      <c r="A17" s="376"/>
      <c r="B17" s="11">
        <v>4</v>
      </c>
      <c r="C17" s="142" t="s">
        <v>1179</v>
      </c>
      <c r="D17" s="158" t="str">
        <f>COVER!B18</f>
        <v>A240T316L+GARPHITE</v>
      </c>
      <c r="E17" s="148">
        <v>1</v>
      </c>
      <c r="F17" s="159">
        <f>IF(D17="A240T316L+GARPHITE",Y84+Z84)</f>
        <v>188500</v>
      </c>
      <c r="G17" s="159">
        <f>F17*E17</f>
        <v>188500</v>
      </c>
      <c r="H17" s="159"/>
      <c r="I17" s="160">
        <v>0</v>
      </c>
      <c r="J17" s="160">
        <v>0</v>
      </c>
      <c r="K17" s="160">
        <v>0</v>
      </c>
      <c r="L17" s="160">
        <v>0</v>
      </c>
      <c r="M17" s="160">
        <v>0</v>
      </c>
      <c r="N17" s="160">
        <v>0</v>
      </c>
      <c r="O17" s="160">
        <v>0</v>
      </c>
      <c r="P17" s="160">
        <v>0</v>
      </c>
      <c r="Q17" s="160">
        <v>0</v>
      </c>
      <c r="R17" s="160">
        <f>Z84*1.3</f>
        <v>156000</v>
      </c>
      <c r="S17" s="160">
        <f t="shared" si="1"/>
        <v>344500</v>
      </c>
      <c r="T17" s="22"/>
      <c r="V17" s="2"/>
      <c r="W17" s="23"/>
      <c r="X17" s="23"/>
      <c r="Y17" s="7"/>
      <c r="Z17" s="7"/>
      <c r="AA17" s="7"/>
      <c r="AB17" s="7"/>
      <c r="AC17" s="7"/>
      <c r="AD17" s="7"/>
      <c r="AE17" s="7"/>
    </row>
    <row r="18" spans="1:31" s="19" customFormat="1" ht="33" customHeight="1">
      <c r="A18" s="376"/>
      <c r="B18" s="11">
        <v>5</v>
      </c>
      <c r="C18" s="175" t="s">
        <v>852</v>
      </c>
      <c r="D18" s="178" t="str">
        <f>COVER!B20</f>
        <v>SS316L</v>
      </c>
      <c r="E18" s="176">
        <v>1</v>
      </c>
      <c r="F18" s="159">
        <f>IF(D18="SS304",Y82,IF(D18="SS316L",Z82))</f>
        <v>166080</v>
      </c>
      <c r="G18" s="159">
        <f>E18*F18</f>
        <v>166080</v>
      </c>
      <c r="H18" s="159"/>
      <c r="I18" s="160">
        <f>I19*I20</f>
        <v>74008.600000000006</v>
      </c>
      <c r="J18" s="160">
        <f t="shared" ref="J18:Q18" si="5">J19*J20</f>
        <v>32608.6</v>
      </c>
      <c r="K18" s="160">
        <f t="shared" si="5"/>
        <v>0</v>
      </c>
      <c r="L18" s="160">
        <f t="shared" si="5"/>
        <v>0</v>
      </c>
      <c r="M18" s="160">
        <f t="shared" si="5"/>
        <v>0</v>
      </c>
      <c r="N18" s="160">
        <f t="shared" si="5"/>
        <v>0</v>
      </c>
      <c r="O18" s="160">
        <f t="shared" si="5"/>
        <v>0</v>
      </c>
      <c r="P18" s="160">
        <f t="shared" si="5"/>
        <v>0</v>
      </c>
      <c r="Q18" s="160">
        <f t="shared" si="5"/>
        <v>2000</v>
      </c>
      <c r="R18" s="160">
        <f>AA82*1.5</f>
        <v>90750</v>
      </c>
      <c r="S18" s="160">
        <f t="shared" si="1"/>
        <v>256830</v>
      </c>
      <c r="T18" s="25"/>
      <c r="V18" s="2"/>
      <c r="W18" s="26"/>
      <c r="X18" s="26"/>
      <c r="Y18" s="7"/>
      <c r="Z18" s="7"/>
      <c r="AA18" s="7"/>
      <c r="AB18" s="7"/>
      <c r="AC18" s="7"/>
      <c r="AD18" s="7"/>
      <c r="AE18" s="7"/>
    </row>
    <row r="19" spans="1:31" s="19" customFormat="1" ht="33" hidden="1" customHeight="1">
      <c r="A19" s="376"/>
      <c r="B19" s="11"/>
      <c r="C19" s="12"/>
      <c r="D19" s="24"/>
      <c r="E19" s="13"/>
      <c r="F19" s="14"/>
      <c r="G19" s="14"/>
      <c r="H19" s="17" t="s">
        <v>707</v>
      </c>
      <c r="I19" s="21">
        <v>2</v>
      </c>
      <c r="J19" s="21">
        <v>2</v>
      </c>
      <c r="K19" s="21"/>
      <c r="L19" s="21"/>
      <c r="M19" s="21"/>
      <c r="N19" s="21"/>
      <c r="O19" s="21"/>
      <c r="P19" s="21"/>
      <c r="Q19" s="21">
        <v>0.2</v>
      </c>
      <c r="R19" s="15"/>
      <c r="S19" s="160">
        <f t="shared" si="1"/>
        <v>0</v>
      </c>
      <c r="T19" s="25"/>
      <c r="V19" s="2"/>
      <c r="W19" s="26"/>
      <c r="X19" s="26"/>
      <c r="Y19" s="7"/>
      <c r="Z19" s="7"/>
      <c r="AA19" s="7"/>
      <c r="AB19" s="7"/>
      <c r="AC19" s="7"/>
      <c r="AD19" s="7"/>
      <c r="AE19" s="7"/>
    </row>
    <row r="20" spans="1:31" s="19" customFormat="1" ht="33" hidden="1" customHeight="1">
      <c r="A20" s="376"/>
      <c r="B20" s="11"/>
      <c r="C20" s="12"/>
      <c r="D20" s="24"/>
      <c r="E20" s="13"/>
      <c r="F20" s="14"/>
      <c r="G20" s="14"/>
      <c r="H20" s="17" t="s">
        <v>692</v>
      </c>
      <c r="I20" s="15">
        <f>I21/10</f>
        <v>37004.300000000003</v>
      </c>
      <c r="J20" s="15">
        <f t="shared" ref="J20:Q20" si="6">J21/10</f>
        <v>16304.3</v>
      </c>
      <c r="K20" s="15">
        <f t="shared" si="6"/>
        <v>0</v>
      </c>
      <c r="L20" s="15">
        <f t="shared" si="6"/>
        <v>0</v>
      </c>
      <c r="M20" s="15">
        <f t="shared" si="6"/>
        <v>0</v>
      </c>
      <c r="N20" s="15">
        <f t="shared" si="6"/>
        <v>0</v>
      </c>
      <c r="O20" s="15">
        <f t="shared" si="6"/>
        <v>0</v>
      </c>
      <c r="P20" s="15">
        <f t="shared" si="6"/>
        <v>0</v>
      </c>
      <c r="Q20" s="15">
        <f t="shared" si="6"/>
        <v>10000</v>
      </c>
      <c r="R20" s="15"/>
      <c r="S20" s="160">
        <f t="shared" si="1"/>
        <v>0</v>
      </c>
      <c r="T20" s="25"/>
      <c r="V20" s="2"/>
      <c r="W20" s="26"/>
      <c r="X20" s="26"/>
      <c r="Y20" s="7"/>
      <c r="Z20" s="7"/>
      <c r="AA20" s="7"/>
      <c r="AB20" s="7"/>
      <c r="AC20" s="7"/>
      <c r="AD20" s="7"/>
      <c r="AE20" s="7"/>
    </row>
    <row r="21" spans="1:31" s="19" customFormat="1" ht="33" hidden="1" customHeight="1">
      <c r="A21" s="376"/>
      <c r="B21" s="11"/>
      <c r="C21" s="12"/>
      <c r="D21" s="24"/>
      <c r="E21" s="13"/>
      <c r="F21" s="14"/>
      <c r="G21" s="14"/>
      <c r="H21" s="17" t="s">
        <v>39</v>
      </c>
      <c r="I21" s="15">
        <v>370043</v>
      </c>
      <c r="J21" s="15">
        <v>163043</v>
      </c>
      <c r="K21" s="15"/>
      <c r="L21" s="15"/>
      <c r="M21" s="15"/>
      <c r="N21" s="15"/>
      <c r="O21" s="15"/>
      <c r="P21" s="15"/>
      <c r="Q21" s="15">
        <v>100000</v>
      </c>
      <c r="R21" s="15"/>
      <c r="S21" s="160">
        <f t="shared" si="1"/>
        <v>0</v>
      </c>
      <c r="T21" s="25"/>
      <c r="V21" s="2"/>
      <c r="W21" s="26"/>
      <c r="X21" s="26"/>
      <c r="Y21" s="7"/>
      <c r="Z21" s="7"/>
      <c r="AA21" s="7"/>
      <c r="AB21" s="7"/>
      <c r="AC21" s="7"/>
      <c r="AD21" s="7"/>
      <c r="AE21" s="7"/>
    </row>
    <row r="22" spans="1:31" s="19" customFormat="1" ht="33" customHeight="1">
      <c r="A22" s="376"/>
      <c r="B22" s="11">
        <v>6</v>
      </c>
      <c r="C22" s="175" t="s">
        <v>1193</v>
      </c>
      <c r="D22" s="178" t="s">
        <v>1189</v>
      </c>
      <c r="E22" s="176">
        <v>1</v>
      </c>
      <c r="F22" s="159">
        <f>Y85</f>
        <v>25000</v>
      </c>
      <c r="G22" s="159">
        <f>F22*E22</f>
        <v>25000</v>
      </c>
      <c r="H22" s="159"/>
      <c r="I22" s="160">
        <v>0</v>
      </c>
      <c r="J22" s="160">
        <v>0</v>
      </c>
      <c r="K22" s="160">
        <v>0</v>
      </c>
      <c r="L22" s="160">
        <v>0</v>
      </c>
      <c r="M22" s="160">
        <v>0</v>
      </c>
      <c r="N22" s="160">
        <v>0</v>
      </c>
      <c r="O22" s="160">
        <v>0</v>
      </c>
      <c r="P22" s="160">
        <v>0</v>
      </c>
      <c r="Q22" s="160">
        <v>0</v>
      </c>
      <c r="R22" s="160">
        <v>0</v>
      </c>
      <c r="S22" s="160">
        <f t="shared" si="1"/>
        <v>25000</v>
      </c>
      <c r="T22" s="25"/>
      <c r="V22" s="2"/>
      <c r="W22" s="26"/>
      <c r="X22" s="26"/>
      <c r="Y22" s="7"/>
      <c r="Z22" s="7"/>
      <c r="AA22" s="7"/>
      <c r="AB22" s="7"/>
      <c r="AC22" s="7"/>
      <c r="AD22" s="7"/>
      <c r="AE22" s="7"/>
    </row>
    <row r="23" spans="1:31" s="19" customFormat="1" ht="33" customHeight="1">
      <c r="A23" s="376"/>
      <c r="B23" s="11">
        <v>7</v>
      </c>
      <c r="C23" s="175" t="s">
        <v>948</v>
      </c>
      <c r="D23" s="158" t="str">
        <f>COVER!B21</f>
        <v>B7(다크로)</v>
      </c>
      <c r="E23" s="148">
        <v>20</v>
      </c>
      <c r="F23" s="159">
        <f>IF(D23="B8",Y91,IF(D23="B8M",Z91,IF(D23="B7(다크로)",AA91)))</f>
        <v>400</v>
      </c>
      <c r="G23" s="159">
        <f>F23*E23</f>
        <v>8000</v>
      </c>
      <c r="H23" s="159"/>
      <c r="I23" s="160">
        <v>0</v>
      </c>
      <c r="J23" s="160">
        <v>0</v>
      </c>
      <c r="K23" s="160">
        <v>0</v>
      </c>
      <c r="L23" s="160">
        <v>0</v>
      </c>
      <c r="M23" s="160">
        <v>0</v>
      </c>
      <c r="N23" s="160">
        <v>0</v>
      </c>
      <c r="O23" s="160">
        <v>0</v>
      </c>
      <c r="P23" s="160">
        <v>0</v>
      </c>
      <c r="Q23" s="160">
        <v>0</v>
      </c>
      <c r="R23" s="160">
        <v>0</v>
      </c>
      <c r="S23" s="160">
        <f t="shared" si="1"/>
        <v>8000</v>
      </c>
      <c r="T23" s="18"/>
      <c r="V23" s="2"/>
      <c r="W23" s="7"/>
      <c r="X23" s="7"/>
      <c r="Y23" s="7"/>
      <c r="Z23" s="7"/>
      <c r="AA23" s="7"/>
      <c r="AB23" s="7"/>
      <c r="AC23" s="7"/>
      <c r="AD23" s="7"/>
      <c r="AE23" s="7"/>
    </row>
    <row r="24" spans="1:31" s="19" customFormat="1" ht="33" customHeight="1">
      <c r="A24" s="376"/>
      <c r="B24" s="11">
        <v>8</v>
      </c>
      <c r="C24" s="142" t="s">
        <v>44</v>
      </c>
      <c r="D24" s="158" t="str">
        <f>COVER!B17</f>
        <v>A564T630</v>
      </c>
      <c r="E24" s="148">
        <f>V24*1.1</f>
        <v>22.539000000000001</v>
      </c>
      <c r="F24" s="159">
        <f>COVER!C17</f>
        <v>8500</v>
      </c>
      <c r="G24" s="159">
        <f>F24*E24</f>
        <v>191581.5</v>
      </c>
      <c r="H24" s="159"/>
      <c r="I24" s="160">
        <f>I25*I26</f>
        <v>74008.600000000006</v>
      </c>
      <c r="J24" s="160">
        <f t="shared" ref="J24:Q24" si="7">J25*J26</f>
        <v>0</v>
      </c>
      <c r="K24" s="160">
        <f t="shared" si="7"/>
        <v>0</v>
      </c>
      <c r="L24" s="160">
        <f t="shared" si="7"/>
        <v>0</v>
      </c>
      <c r="M24" s="160">
        <f t="shared" si="7"/>
        <v>0</v>
      </c>
      <c r="N24" s="160">
        <f t="shared" si="7"/>
        <v>0</v>
      </c>
      <c r="O24" s="160">
        <f t="shared" si="7"/>
        <v>0</v>
      </c>
      <c r="P24" s="160">
        <f t="shared" si="7"/>
        <v>0</v>
      </c>
      <c r="Q24" s="160">
        <f t="shared" si="7"/>
        <v>1000</v>
      </c>
      <c r="R24" s="160">
        <f>R12*0.3</f>
        <v>81000</v>
      </c>
      <c r="S24" s="160">
        <f t="shared" si="1"/>
        <v>272581.5</v>
      </c>
      <c r="T24" s="27"/>
      <c r="U24" s="162"/>
      <c r="V24" s="49">
        <v>20.49</v>
      </c>
      <c r="W24" s="7"/>
      <c r="X24" s="7"/>
      <c r="Y24" s="28"/>
      <c r="Z24" s="28"/>
      <c r="AA24" s="28"/>
      <c r="AB24" s="28"/>
      <c r="AC24" s="28"/>
      <c r="AD24" s="28"/>
      <c r="AE24" s="28"/>
    </row>
    <row r="25" spans="1:31" s="19" customFormat="1" ht="33" hidden="1" customHeight="1">
      <c r="A25" s="376"/>
      <c r="B25" s="11"/>
      <c r="C25" s="12"/>
      <c r="D25" s="20"/>
      <c r="E25" s="13"/>
      <c r="F25" s="14"/>
      <c r="G25" s="14"/>
      <c r="H25" s="17" t="s">
        <v>39</v>
      </c>
      <c r="I25" s="21">
        <v>2</v>
      </c>
      <c r="J25" s="21"/>
      <c r="K25" s="21"/>
      <c r="L25" s="21"/>
      <c r="M25" s="21"/>
      <c r="N25" s="21"/>
      <c r="O25" s="21"/>
      <c r="P25" s="21"/>
      <c r="Q25" s="21">
        <v>0.1</v>
      </c>
      <c r="R25" s="15"/>
      <c r="S25" s="160">
        <f t="shared" si="1"/>
        <v>0</v>
      </c>
      <c r="T25" s="27"/>
      <c r="V25" s="2"/>
      <c r="W25" s="7"/>
      <c r="X25" s="7"/>
      <c r="Y25" s="28"/>
      <c r="Z25" s="28"/>
      <c r="AA25" s="28"/>
      <c r="AB25" s="28"/>
      <c r="AC25" s="28"/>
      <c r="AD25" s="28"/>
      <c r="AE25" s="28"/>
    </row>
    <row r="26" spans="1:31" s="19" customFormat="1" ht="33" hidden="1" customHeight="1">
      <c r="A26" s="376"/>
      <c r="B26" s="11"/>
      <c r="C26" s="12"/>
      <c r="D26" s="20"/>
      <c r="E26" s="13"/>
      <c r="F26" s="14"/>
      <c r="G26" s="14"/>
      <c r="H26" s="17" t="s">
        <v>39</v>
      </c>
      <c r="I26" s="15">
        <f>I27/10</f>
        <v>37004.300000000003</v>
      </c>
      <c r="J26" s="15"/>
      <c r="K26" s="15"/>
      <c r="L26" s="15"/>
      <c r="M26" s="15"/>
      <c r="N26" s="15"/>
      <c r="O26" s="15"/>
      <c r="P26" s="15"/>
      <c r="Q26" s="15">
        <f>Q27/10</f>
        <v>10000</v>
      </c>
      <c r="R26" s="15"/>
      <c r="S26" s="160">
        <f t="shared" si="1"/>
        <v>0</v>
      </c>
      <c r="T26" s="27"/>
      <c r="V26" s="2"/>
      <c r="W26" s="7"/>
      <c r="X26" s="7"/>
      <c r="Y26" s="28"/>
      <c r="Z26" s="28"/>
      <c r="AA26" s="28"/>
      <c r="AB26" s="28"/>
      <c r="AC26" s="28"/>
      <c r="AD26" s="28"/>
      <c r="AE26" s="28"/>
    </row>
    <row r="27" spans="1:31" s="19" customFormat="1" ht="33" hidden="1" customHeight="1">
      <c r="A27" s="376"/>
      <c r="B27" s="11"/>
      <c r="C27" s="12"/>
      <c r="D27" s="20"/>
      <c r="E27" s="13"/>
      <c r="F27" s="14"/>
      <c r="G27" s="14"/>
      <c r="H27" s="17" t="s">
        <v>707</v>
      </c>
      <c r="I27" s="15">
        <v>370043</v>
      </c>
      <c r="J27" s="15"/>
      <c r="K27" s="15"/>
      <c r="L27" s="15"/>
      <c r="M27" s="15"/>
      <c r="N27" s="15"/>
      <c r="O27" s="15"/>
      <c r="P27" s="15"/>
      <c r="Q27" s="15">
        <v>100000</v>
      </c>
      <c r="R27" s="15"/>
      <c r="S27" s="160">
        <f t="shared" si="1"/>
        <v>0</v>
      </c>
      <c r="T27" s="27"/>
      <c r="V27" s="2"/>
      <c r="W27" s="7"/>
      <c r="X27" s="7"/>
      <c r="Y27" s="28"/>
      <c r="Z27" s="28"/>
      <c r="AA27" s="28"/>
      <c r="AB27" s="28"/>
      <c r="AC27" s="28"/>
      <c r="AD27" s="28"/>
      <c r="AE27" s="28"/>
    </row>
    <row r="28" spans="1:31" s="19" customFormat="1" ht="33" customHeight="1">
      <c r="A28" s="376"/>
      <c r="B28" s="11">
        <v>9</v>
      </c>
      <c r="C28" s="142" t="s">
        <v>708</v>
      </c>
      <c r="D28" s="178" t="s">
        <v>1197</v>
      </c>
      <c r="E28" s="148">
        <v>1</v>
      </c>
      <c r="F28" s="159">
        <v>49900</v>
      </c>
      <c r="G28" s="159">
        <f t="shared" ref="G28" si="8">E28*F28</f>
        <v>49900</v>
      </c>
      <c r="H28" s="159"/>
      <c r="I28" s="160"/>
      <c r="J28" s="160"/>
      <c r="K28" s="160"/>
      <c r="L28" s="160"/>
      <c r="M28" s="160"/>
      <c r="N28" s="160"/>
      <c r="O28" s="160"/>
      <c r="P28" s="160"/>
      <c r="Q28" s="160"/>
      <c r="R28" s="160">
        <v>0</v>
      </c>
      <c r="S28" s="160">
        <f t="shared" si="1"/>
        <v>49900</v>
      </c>
      <c r="T28" s="231"/>
      <c r="V28" s="2"/>
      <c r="W28" s="7"/>
      <c r="X28" s="7"/>
      <c r="Y28" s="6"/>
      <c r="Z28" s="6"/>
      <c r="AA28" s="6"/>
      <c r="AB28" s="6"/>
      <c r="AC28" s="6"/>
      <c r="AD28" s="6"/>
      <c r="AE28" s="6"/>
    </row>
    <row r="29" spans="1:31" s="19" customFormat="1" ht="33" customHeight="1">
      <c r="A29" s="376"/>
      <c r="B29" s="11">
        <v>10</v>
      </c>
      <c r="C29" s="142" t="s">
        <v>46</v>
      </c>
      <c r="D29" s="178" t="str">
        <f>COVER!B24</f>
        <v>A351 CF8M</v>
      </c>
      <c r="E29" s="148">
        <v>1</v>
      </c>
      <c r="F29" s="235">
        <f>IF(D29="A351 CF8M",Y98,IF(D29="B148 C95400",Z98))</f>
        <v>58500</v>
      </c>
      <c r="G29" s="159">
        <f>F29*E29</f>
        <v>58500</v>
      </c>
      <c r="H29" s="159"/>
      <c r="I29" s="160">
        <f>I30*I31</f>
        <v>3065.28</v>
      </c>
      <c r="J29" s="160">
        <f t="shared" ref="J29:Q29" si="9">J30*J31</f>
        <v>3260.86</v>
      </c>
      <c r="K29" s="160">
        <f t="shared" si="9"/>
        <v>0</v>
      </c>
      <c r="L29" s="160">
        <f t="shared" si="9"/>
        <v>0</v>
      </c>
      <c r="M29" s="160">
        <f t="shared" si="9"/>
        <v>0</v>
      </c>
      <c r="N29" s="160">
        <f t="shared" si="9"/>
        <v>0</v>
      </c>
      <c r="O29" s="160">
        <f t="shared" si="9"/>
        <v>0</v>
      </c>
      <c r="P29" s="160">
        <f t="shared" si="9"/>
        <v>0</v>
      </c>
      <c r="Q29" s="160">
        <f t="shared" si="9"/>
        <v>0</v>
      </c>
      <c r="R29" s="160">
        <v>0</v>
      </c>
      <c r="S29" s="160">
        <f t="shared" si="1"/>
        <v>58500</v>
      </c>
      <c r="T29" s="231"/>
      <c r="V29" s="2"/>
      <c r="W29" s="7"/>
      <c r="X29" s="7"/>
      <c r="Y29" s="7"/>
      <c r="Z29" s="7"/>
      <c r="AA29" s="7"/>
      <c r="AB29" s="7"/>
      <c r="AC29" s="7"/>
      <c r="AD29" s="7"/>
      <c r="AE29" s="7"/>
    </row>
    <row r="30" spans="1:31" s="19" customFormat="1" ht="33" hidden="1" customHeight="1">
      <c r="A30" s="376"/>
      <c r="B30" s="11"/>
      <c r="C30" s="12"/>
      <c r="D30" s="24"/>
      <c r="E30" s="13"/>
      <c r="F30" s="14"/>
      <c r="G30" s="14"/>
      <c r="H30" s="17" t="s">
        <v>668</v>
      </c>
      <c r="I30" s="21">
        <v>0.2</v>
      </c>
      <c r="J30" s="21">
        <v>0.2</v>
      </c>
      <c r="K30" s="21"/>
      <c r="L30" s="21"/>
      <c r="M30" s="21"/>
      <c r="N30" s="21"/>
      <c r="O30" s="21"/>
      <c r="P30" s="21"/>
      <c r="Q30" s="21"/>
      <c r="R30" s="15"/>
      <c r="S30" s="160">
        <f t="shared" si="1"/>
        <v>0</v>
      </c>
      <c r="T30" s="22"/>
      <c r="V30" s="2"/>
      <c r="W30" s="7"/>
      <c r="X30" s="7"/>
      <c r="Y30" s="7"/>
      <c r="Z30" s="7"/>
      <c r="AA30" s="7"/>
      <c r="AB30" s="7"/>
      <c r="AC30" s="7"/>
      <c r="AD30" s="7"/>
      <c r="AE30" s="7"/>
    </row>
    <row r="31" spans="1:31" s="19" customFormat="1" ht="33" hidden="1" customHeight="1">
      <c r="A31" s="376"/>
      <c r="B31" s="11"/>
      <c r="C31" s="12"/>
      <c r="D31" s="24"/>
      <c r="E31" s="13"/>
      <c r="F31" s="14"/>
      <c r="G31" s="14"/>
      <c r="H31" s="17" t="s">
        <v>706</v>
      </c>
      <c r="I31" s="15">
        <f>I32/10</f>
        <v>15326.4</v>
      </c>
      <c r="J31" s="15">
        <f>J32/10</f>
        <v>16304.3</v>
      </c>
      <c r="K31" s="15"/>
      <c r="L31" s="15"/>
      <c r="M31" s="15"/>
      <c r="N31" s="15"/>
      <c r="O31" s="15"/>
      <c r="P31" s="15"/>
      <c r="Q31" s="15"/>
      <c r="R31" s="15"/>
      <c r="S31" s="160">
        <f t="shared" si="1"/>
        <v>0</v>
      </c>
      <c r="T31" s="22"/>
      <c r="V31" s="2"/>
      <c r="W31" s="7"/>
      <c r="X31" s="7"/>
      <c r="Y31" s="7"/>
      <c r="Z31" s="7"/>
      <c r="AA31" s="7"/>
      <c r="AB31" s="7"/>
      <c r="AC31" s="7"/>
      <c r="AD31" s="7"/>
      <c r="AE31" s="7"/>
    </row>
    <row r="32" spans="1:31" s="19" customFormat="1" ht="33" hidden="1" customHeight="1">
      <c r="A32" s="376"/>
      <c r="B32" s="11"/>
      <c r="C32" s="12"/>
      <c r="D32" s="24"/>
      <c r="E32" s="13"/>
      <c r="F32" s="14"/>
      <c r="G32" s="14"/>
      <c r="H32" s="17" t="s">
        <v>709</v>
      </c>
      <c r="I32" s="15">
        <v>153264</v>
      </c>
      <c r="J32" s="15">
        <v>163043</v>
      </c>
      <c r="K32" s="15"/>
      <c r="L32" s="15"/>
      <c r="M32" s="15"/>
      <c r="N32" s="15"/>
      <c r="O32" s="15"/>
      <c r="P32" s="15"/>
      <c r="Q32" s="15"/>
      <c r="R32" s="15"/>
      <c r="S32" s="160">
        <f t="shared" si="1"/>
        <v>0</v>
      </c>
      <c r="T32" s="22"/>
      <c r="V32" s="2"/>
      <c r="W32" s="7"/>
      <c r="X32" s="7"/>
      <c r="Y32" s="7"/>
      <c r="Z32" s="7"/>
      <c r="AA32" s="7"/>
      <c r="AB32" s="7"/>
      <c r="AC32" s="7"/>
      <c r="AD32" s="7"/>
      <c r="AE32" s="7"/>
    </row>
    <row r="33" spans="1:31" s="19" customFormat="1" ht="33" customHeight="1">
      <c r="A33" s="376"/>
      <c r="B33" s="11">
        <v>11</v>
      </c>
      <c r="C33" s="142" t="s">
        <v>710</v>
      </c>
      <c r="D33" s="178" t="str">
        <f>COVER!B26</f>
        <v>316+NICKEL</v>
      </c>
      <c r="E33" s="148">
        <v>1</v>
      </c>
      <c r="F33" s="159">
        <f>IF(D33="316+NICKEL",Y100,IF(D33="B148 C95400",Z100))</f>
        <v>17000</v>
      </c>
      <c r="G33" s="159">
        <f>F33*E33</f>
        <v>17000</v>
      </c>
      <c r="H33" s="159"/>
      <c r="I33" s="160">
        <f>I34*I35</f>
        <v>4597.92</v>
      </c>
      <c r="J33" s="160">
        <f t="shared" ref="J33:Q33" si="10">J34*J35</f>
        <v>0</v>
      </c>
      <c r="K33" s="160">
        <f t="shared" si="10"/>
        <v>0</v>
      </c>
      <c r="L33" s="160">
        <f t="shared" si="10"/>
        <v>0</v>
      </c>
      <c r="M33" s="160">
        <f t="shared" si="10"/>
        <v>0</v>
      </c>
      <c r="N33" s="160">
        <f t="shared" si="10"/>
        <v>0</v>
      </c>
      <c r="O33" s="160">
        <f t="shared" si="10"/>
        <v>0</v>
      </c>
      <c r="P33" s="160">
        <f t="shared" si="10"/>
        <v>0</v>
      </c>
      <c r="Q33" s="160">
        <f t="shared" si="10"/>
        <v>0</v>
      </c>
      <c r="R33" s="160">
        <v>0</v>
      </c>
      <c r="S33" s="160">
        <f t="shared" si="1"/>
        <v>17000</v>
      </c>
      <c r="T33" s="177" t="s">
        <v>1200</v>
      </c>
      <c r="V33" s="2"/>
      <c r="W33" s="7"/>
      <c r="X33" s="7"/>
      <c r="Y33" s="7"/>
      <c r="Z33" s="7"/>
      <c r="AA33" s="7"/>
      <c r="AB33" s="7"/>
      <c r="AC33" s="7"/>
      <c r="AD33" s="7"/>
      <c r="AE33" s="7"/>
    </row>
    <row r="34" spans="1:31" s="19" customFormat="1" ht="33" hidden="1" customHeight="1">
      <c r="A34" s="376"/>
      <c r="B34" s="11"/>
      <c r="C34" s="12"/>
      <c r="D34" s="24"/>
      <c r="E34" s="13"/>
      <c r="F34" s="14"/>
      <c r="G34" s="14"/>
      <c r="H34" s="17" t="s">
        <v>709</v>
      </c>
      <c r="I34" s="21">
        <v>0.3</v>
      </c>
      <c r="J34" s="21"/>
      <c r="K34" s="21"/>
      <c r="L34" s="21"/>
      <c r="M34" s="21"/>
      <c r="N34" s="21"/>
      <c r="O34" s="21"/>
      <c r="P34" s="21"/>
      <c r="Q34" s="21"/>
      <c r="R34" s="15"/>
      <c r="S34" s="160">
        <f t="shared" si="1"/>
        <v>0</v>
      </c>
      <c r="T34" s="22"/>
      <c r="V34" s="2"/>
      <c r="W34" s="7"/>
      <c r="X34" s="7"/>
      <c r="Y34" s="7"/>
      <c r="Z34" s="7"/>
      <c r="AA34" s="7"/>
      <c r="AB34" s="7"/>
      <c r="AC34" s="7"/>
      <c r="AD34" s="7"/>
      <c r="AE34" s="7"/>
    </row>
    <row r="35" spans="1:31" s="19" customFormat="1" ht="33" hidden="1" customHeight="1">
      <c r="A35" s="376"/>
      <c r="B35" s="11"/>
      <c r="C35" s="12"/>
      <c r="D35" s="24"/>
      <c r="E35" s="13"/>
      <c r="F35" s="14"/>
      <c r="G35" s="14"/>
      <c r="H35" s="17" t="s">
        <v>709</v>
      </c>
      <c r="I35" s="15">
        <f>I36/10</f>
        <v>15326.4</v>
      </c>
      <c r="J35" s="15"/>
      <c r="K35" s="15"/>
      <c r="L35" s="15"/>
      <c r="M35" s="15"/>
      <c r="N35" s="15"/>
      <c r="O35" s="15"/>
      <c r="P35" s="15"/>
      <c r="Q35" s="15"/>
      <c r="R35" s="15"/>
      <c r="S35" s="160">
        <f t="shared" si="1"/>
        <v>0</v>
      </c>
      <c r="T35" s="22"/>
      <c r="V35" s="2"/>
      <c r="W35" s="7"/>
      <c r="X35" s="7"/>
      <c r="Y35" s="7"/>
      <c r="Z35" s="7"/>
      <c r="AA35" s="7"/>
      <c r="AB35" s="7"/>
      <c r="AC35" s="7"/>
      <c r="AD35" s="7"/>
      <c r="AE35" s="7"/>
    </row>
    <row r="36" spans="1:31" s="19" customFormat="1" ht="33" hidden="1" customHeight="1">
      <c r="A36" s="376"/>
      <c r="B36" s="11"/>
      <c r="C36" s="12"/>
      <c r="D36" s="24"/>
      <c r="E36" s="13"/>
      <c r="F36" s="14"/>
      <c r="G36" s="14"/>
      <c r="H36" s="17" t="s">
        <v>706</v>
      </c>
      <c r="I36" s="15">
        <v>153264</v>
      </c>
      <c r="J36" s="15"/>
      <c r="K36" s="15"/>
      <c r="L36" s="15"/>
      <c r="M36" s="15"/>
      <c r="N36" s="15"/>
      <c r="O36" s="15"/>
      <c r="P36" s="15"/>
      <c r="Q36" s="15"/>
      <c r="R36" s="15"/>
      <c r="S36" s="160">
        <f t="shared" si="1"/>
        <v>0</v>
      </c>
      <c r="T36" s="22"/>
      <c r="V36" s="2"/>
      <c r="W36" s="7"/>
      <c r="X36" s="7"/>
      <c r="Y36" s="7"/>
      <c r="Z36" s="7"/>
      <c r="AA36" s="7"/>
      <c r="AB36" s="7"/>
      <c r="AC36" s="7"/>
      <c r="AD36" s="7"/>
      <c r="AE36" s="7"/>
    </row>
    <row r="37" spans="1:31" s="19" customFormat="1" ht="33" customHeight="1">
      <c r="A37" s="376"/>
      <c r="B37" s="11">
        <v>12</v>
      </c>
      <c r="C37" s="169" t="s">
        <v>954</v>
      </c>
      <c r="D37" s="158" t="str">
        <f>COVER!B22</f>
        <v>B7(다크로)</v>
      </c>
      <c r="E37" s="148">
        <v>6</v>
      </c>
      <c r="F37" s="159">
        <f>IF(D37="B8",Y92,IF(D37="B8M",Z92,IF(D37="B7(다크로)",AA92)))</f>
        <v>1500</v>
      </c>
      <c r="G37" s="159">
        <f>E37*F37</f>
        <v>9000</v>
      </c>
      <c r="H37" s="159"/>
      <c r="I37" s="160">
        <v>0</v>
      </c>
      <c r="J37" s="160">
        <v>0</v>
      </c>
      <c r="K37" s="160">
        <v>0</v>
      </c>
      <c r="L37" s="160">
        <v>0</v>
      </c>
      <c r="M37" s="160">
        <v>0</v>
      </c>
      <c r="N37" s="160">
        <v>0</v>
      </c>
      <c r="O37" s="160">
        <v>0</v>
      </c>
      <c r="P37" s="160">
        <v>0</v>
      </c>
      <c r="Q37" s="160">
        <v>0</v>
      </c>
      <c r="R37" s="160">
        <v>0</v>
      </c>
      <c r="S37" s="160">
        <f t="shared" si="1"/>
        <v>9000</v>
      </c>
      <c r="T37" s="224"/>
      <c r="V37" s="2"/>
      <c r="W37" s="7"/>
      <c r="X37" s="7"/>
      <c r="Y37" s="7"/>
      <c r="Z37" s="7"/>
      <c r="AA37" s="7"/>
      <c r="AB37" s="7"/>
      <c r="AC37" s="7"/>
      <c r="AD37" s="7"/>
      <c r="AE37" s="7"/>
    </row>
    <row r="38" spans="1:31" s="19" customFormat="1" ht="33" customHeight="1">
      <c r="A38" s="376"/>
      <c r="B38" s="11">
        <v>13</v>
      </c>
      <c r="C38" s="29" t="s">
        <v>49</v>
      </c>
      <c r="D38" s="24"/>
      <c r="E38" s="13">
        <v>1</v>
      </c>
      <c r="F38" s="14">
        <v>10000</v>
      </c>
      <c r="G38" s="14">
        <f t="shared" ref="G38:G54" si="11">E38*F38</f>
        <v>10000</v>
      </c>
      <c r="H38" s="14"/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60">
        <f t="shared" si="1"/>
        <v>10000</v>
      </c>
      <c r="T38" s="22"/>
      <c r="V38" s="2"/>
      <c r="W38" s="7"/>
      <c r="X38" s="7"/>
      <c r="Y38" s="7"/>
      <c r="Z38" s="7"/>
      <c r="AA38" s="7"/>
      <c r="AB38" s="7"/>
      <c r="AC38" s="7"/>
      <c r="AD38" s="7"/>
      <c r="AE38" s="7"/>
    </row>
    <row r="39" spans="1:31" s="19" customFormat="1" ht="33" customHeight="1">
      <c r="A39" s="376"/>
      <c r="B39" s="11">
        <v>14</v>
      </c>
      <c r="C39" s="233" t="s">
        <v>50</v>
      </c>
      <c r="D39" s="178" t="str">
        <f>COVER!B23</f>
        <v>316+NICKEL</v>
      </c>
      <c r="E39" s="148">
        <v>2</v>
      </c>
      <c r="F39" s="159">
        <f>IF(D39="316+NICKEL",Y96,IF(D39="B148 C95400",Z96))</f>
        <v>85000</v>
      </c>
      <c r="G39" s="159">
        <f>F39*1</f>
        <v>85000</v>
      </c>
      <c r="H39" s="159"/>
      <c r="I39" s="160">
        <f t="shared" ref="I39:Q40" si="12">I40*I41</f>
        <v>0</v>
      </c>
      <c r="J39" s="160">
        <f t="shared" si="12"/>
        <v>0</v>
      </c>
      <c r="K39" s="160">
        <f t="shared" si="12"/>
        <v>0</v>
      </c>
      <c r="L39" s="160">
        <f t="shared" si="12"/>
        <v>0</v>
      </c>
      <c r="M39" s="160">
        <f t="shared" si="12"/>
        <v>0</v>
      </c>
      <c r="N39" s="160">
        <f t="shared" si="12"/>
        <v>0</v>
      </c>
      <c r="O39" s="160">
        <f t="shared" si="12"/>
        <v>0</v>
      </c>
      <c r="P39" s="160">
        <f t="shared" si="12"/>
        <v>0</v>
      </c>
      <c r="Q39" s="160">
        <f t="shared" si="12"/>
        <v>0</v>
      </c>
      <c r="R39" s="160">
        <v>0</v>
      </c>
      <c r="S39" s="160">
        <f t="shared" si="1"/>
        <v>85000</v>
      </c>
      <c r="T39" s="177" t="s">
        <v>1200</v>
      </c>
      <c r="V39" s="2"/>
      <c r="W39" s="7"/>
      <c r="X39" s="7"/>
      <c r="Y39" s="7"/>
      <c r="Z39" s="7"/>
      <c r="AA39" s="7"/>
      <c r="AB39" s="7"/>
      <c r="AC39" s="7"/>
      <c r="AD39" s="7"/>
      <c r="AE39" s="7"/>
    </row>
    <row r="40" spans="1:31" s="19" customFormat="1" ht="33" customHeight="1">
      <c r="A40" s="376"/>
      <c r="B40" s="11">
        <v>15</v>
      </c>
      <c r="C40" s="142" t="s">
        <v>711</v>
      </c>
      <c r="D40" s="178" t="str">
        <f>COVER!B23</f>
        <v>316+NICKEL</v>
      </c>
      <c r="E40" s="148">
        <v>2</v>
      </c>
      <c r="F40" s="159">
        <f>IF(D40="316+NICKEL",Y97,IF(D40="B148 C95400",Z97))</f>
        <v>72000</v>
      </c>
      <c r="G40" s="159">
        <f>F40*1</f>
        <v>72000</v>
      </c>
      <c r="H40" s="159"/>
      <c r="I40" s="160">
        <f t="shared" si="12"/>
        <v>0</v>
      </c>
      <c r="J40" s="160">
        <f t="shared" si="12"/>
        <v>0</v>
      </c>
      <c r="K40" s="160">
        <f t="shared" si="12"/>
        <v>0</v>
      </c>
      <c r="L40" s="160">
        <f t="shared" si="12"/>
        <v>0</v>
      </c>
      <c r="M40" s="160">
        <f t="shared" si="12"/>
        <v>0</v>
      </c>
      <c r="N40" s="160">
        <f t="shared" si="12"/>
        <v>0</v>
      </c>
      <c r="O40" s="160">
        <f t="shared" si="12"/>
        <v>0</v>
      </c>
      <c r="P40" s="160">
        <f t="shared" si="12"/>
        <v>0</v>
      </c>
      <c r="Q40" s="160">
        <f t="shared" si="12"/>
        <v>0</v>
      </c>
      <c r="R40" s="160">
        <v>0</v>
      </c>
      <c r="S40" s="160">
        <f t="shared" si="1"/>
        <v>72000</v>
      </c>
      <c r="T40" s="177" t="s">
        <v>1200</v>
      </c>
      <c r="V40" s="2"/>
      <c r="W40" s="28"/>
      <c r="X40" s="28"/>
      <c r="Y40" s="7"/>
      <c r="Z40" s="7"/>
      <c r="AA40" s="7"/>
      <c r="AB40" s="7"/>
      <c r="AC40" s="7"/>
      <c r="AD40" s="7"/>
      <c r="AE40" s="7"/>
    </row>
    <row r="41" spans="1:31" s="19" customFormat="1" ht="33" hidden="1" customHeight="1">
      <c r="A41" s="376"/>
      <c r="B41" s="11"/>
      <c r="C41" s="12"/>
      <c r="D41" s="20"/>
      <c r="E41" s="13"/>
      <c r="F41" s="14"/>
      <c r="G41" s="14"/>
      <c r="H41" s="17" t="s">
        <v>39</v>
      </c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60">
        <f t="shared" si="1"/>
        <v>0</v>
      </c>
      <c r="T41" s="22"/>
      <c r="V41" s="2"/>
      <c r="W41" s="28"/>
      <c r="X41" s="28"/>
      <c r="Y41" s="7"/>
      <c r="Z41" s="7"/>
      <c r="AA41" s="7"/>
      <c r="AB41" s="7"/>
      <c r="AC41" s="7"/>
      <c r="AD41" s="7"/>
      <c r="AE41" s="7"/>
    </row>
    <row r="42" spans="1:31" s="19" customFormat="1" ht="33" hidden="1" customHeight="1">
      <c r="A42" s="376"/>
      <c r="B42" s="11"/>
      <c r="C42" s="12"/>
      <c r="D42" s="20"/>
      <c r="E42" s="13"/>
      <c r="F42" s="14"/>
      <c r="G42" s="14"/>
      <c r="H42" s="17" t="s">
        <v>707</v>
      </c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60">
        <f t="shared" si="1"/>
        <v>0</v>
      </c>
      <c r="T42" s="22"/>
      <c r="V42" s="2"/>
      <c r="W42" s="28"/>
      <c r="X42" s="28"/>
      <c r="Y42" s="7"/>
      <c r="Z42" s="7"/>
      <c r="AA42" s="7"/>
      <c r="AB42" s="7"/>
      <c r="AC42" s="7"/>
      <c r="AD42" s="7"/>
      <c r="AE42" s="7"/>
    </row>
    <row r="43" spans="1:31" s="19" customFormat="1" ht="33" hidden="1" customHeight="1">
      <c r="A43" s="376"/>
      <c r="B43" s="11"/>
      <c r="C43" s="12"/>
      <c r="D43" s="20"/>
      <c r="E43" s="13"/>
      <c r="F43" s="14"/>
      <c r="G43" s="14"/>
      <c r="H43" s="17" t="s">
        <v>706</v>
      </c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60">
        <f t="shared" si="1"/>
        <v>0</v>
      </c>
      <c r="T43" s="22"/>
      <c r="V43" s="2"/>
      <c r="W43" s="28"/>
      <c r="X43" s="28"/>
      <c r="Y43" s="7"/>
      <c r="Z43" s="7"/>
      <c r="AA43" s="7"/>
      <c r="AB43" s="7"/>
      <c r="AC43" s="7"/>
      <c r="AD43" s="7"/>
      <c r="AE43" s="7"/>
    </row>
    <row r="44" spans="1:31" s="19" customFormat="1" ht="33" customHeight="1">
      <c r="A44" s="376"/>
      <c r="B44" s="11">
        <v>16</v>
      </c>
      <c r="C44" s="142" t="s">
        <v>52</v>
      </c>
      <c r="D44" s="178" t="str">
        <f>COVER!B25</f>
        <v>316+NICKEL</v>
      </c>
      <c r="E44" s="148">
        <v>1</v>
      </c>
      <c r="F44" s="159">
        <f>IF(D44="316+NICKEL",Y99,IF(D44="B148 C95400",Z99))</f>
        <v>12500</v>
      </c>
      <c r="G44" s="159">
        <f>F44*E44</f>
        <v>12500</v>
      </c>
      <c r="H44" s="159"/>
      <c r="I44" s="160">
        <v>0</v>
      </c>
      <c r="J44" s="160">
        <v>0</v>
      </c>
      <c r="K44" s="160">
        <v>0</v>
      </c>
      <c r="L44" s="160">
        <v>0</v>
      </c>
      <c r="M44" s="160">
        <v>0</v>
      </c>
      <c r="N44" s="160">
        <v>0</v>
      </c>
      <c r="O44" s="160">
        <v>1000</v>
      </c>
      <c r="P44" s="160">
        <v>0</v>
      </c>
      <c r="Q44" s="160">
        <v>0</v>
      </c>
      <c r="R44" s="160">
        <v>0</v>
      </c>
      <c r="S44" s="160">
        <f t="shared" si="1"/>
        <v>12500</v>
      </c>
      <c r="T44" s="177" t="s">
        <v>1200</v>
      </c>
      <c r="U44" s="236"/>
      <c r="V44" s="2"/>
      <c r="W44" s="28"/>
      <c r="X44" s="28"/>
      <c r="Y44" s="7"/>
      <c r="Z44" s="7"/>
      <c r="AA44" s="7"/>
      <c r="AB44" s="7"/>
      <c r="AC44" s="7"/>
      <c r="AD44" s="7"/>
      <c r="AE44" s="7"/>
    </row>
    <row r="45" spans="1:31" s="19" customFormat="1" ht="33" customHeight="1">
      <c r="A45" s="376"/>
      <c r="B45" s="11">
        <v>17</v>
      </c>
      <c r="C45" s="175" t="s">
        <v>712</v>
      </c>
      <c r="D45" s="158" t="s">
        <v>463</v>
      </c>
      <c r="E45" s="159">
        <v>1</v>
      </c>
      <c r="F45" s="159">
        <f>Y87</f>
        <v>2670</v>
      </c>
      <c r="G45" s="159">
        <f>F45*E45</f>
        <v>2670</v>
      </c>
      <c r="H45" s="160">
        <v>0</v>
      </c>
      <c r="I45" s="160">
        <v>0</v>
      </c>
      <c r="J45" s="160">
        <v>0</v>
      </c>
      <c r="K45" s="160">
        <v>0</v>
      </c>
      <c r="L45" s="160">
        <v>0</v>
      </c>
      <c r="M45" s="160">
        <v>0</v>
      </c>
      <c r="N45" s="160">
        <v>0</v>
      </c>
      <c r="O45" s="160">
        <v>0</v>
      </c>
      <c r="P45" s="160">
        <v>0</v>
      </c>
      <c r="Q45" s="160"/>
      <c r="R45" s="160">
        <v>0</v>
      </c>
      <c r="S45" s="160">
        <f t="shared" si="1"/>
        <v>2670</v>
      </c>
      <c r="T45" s="22"/>
      <c r="V45" s="2"/>
      <c r="W45" s="7"/>
      <c r="X45" s="7"/>
      <c r="Y45" s="7"/>
      <c r="Z45" s="7"/>
      <c r="AA45" s="7"/>
      <c r="AB45" s="7"/>
      <c r="AC45" s="7"/>
      <c r="AD45" s="7"/>
      <c r="AE45" s="7"/>
    </row>
    <row r="46" spans="1:31" s="19" customFormat="1" ht="33" customHeight="1">
      <c r="A46" s="376"/>
      <c r="B46" s="11">
        <v>18</v>
      </c>
      <c r="C46" s="175" t="s">
        <v>1205</v>
      </c>
      <c r="D46" s="178" t="str">
        <f>COVER!B29</f>
        <v>SS400</v>
      </c>
      <c r="E46" s="148">
        <v>1</v>
      </c>
      <c r="F46" s="159">
        <f>IF(D46="SS400",Y104,IF(D46="SS316",Z104,IF(D46="SS304",AA104)))</f>
        <v>8910</v>
      </c>
      <c r="G46" s="159">
        <f>F46*E46</f>
        <v>8910</v>
      </c>
      <c r="H46" s="159"/>
      <c r="I46" s="160">
        <f>I47*I48</f>
        <v>4597.92</v>
      </c>
      <c r="J46" s="160">
        <v>0</v>
      </c>
      <c r="K46" s="160">
        <v>0</v>
      </c>
      <c r="L46" s="160">
        <v>0</v>
      </c>
      <c r="M46" s="160">
        <v>0</v>
      </c>
      <c r="N46" s="160">
        <v>0</v>
      </c>
      <c r="O46" s="160">
        <v>0</v>
      </c>
      <c r="P46" s="160">
        <v>0</v>
      </c>
      <c r="Q46" s="160">
        <v>0</v>
      </c>
      <c r="R46" s="160">
        <v>9000</v>
      </c>
      <c r="S46" s="160">
        <f t="shared" si="1"/>
        <v>17910</v>
      </c>
      <c r="T46" s="224"/>
      <c r="V46" s="2"/>
      <c r="W46" s="7"/>
      <c r="X46" s="7"/>
      <c r="Y46" s="7"/>
      <c r="Z46" s="7"/>
      <c r="AA46" s="7"/>
      <c r="AB46" s="7"/>
      <c r="AC46" s="7"/>
      <c r="AD46" s="7"/>
      <c r="AE46" s="7"/>
    </row>
    <row r="47" spans="1:31" s="19" customFormat="1" ht="33" hidden="1" customHeight="1">
      <c r="A47" s="376"/>
      <c r="B47" s="11"/>
      <c r="C47" s="31"/>
      <c r="D47" s="24"/>
      <c r="E47" s="13"/>
      <c r="F47" s="14"/>
      <c r="G47" s="14"/>
      <c r="H47" s="17" t="s">
        <v>39</v>
      </c>
      <c r="I47" s="21">
        <v>0.3</v>
      </c>
      <c r="J47" s="21"/>
      <c r="K47" s="21"/>
      <c r="L47" s="21"/>
      <c r="M47" s="21"/>
      <c r="N47" s="21"/>
      <c r="O47" s="21"/>
      <c r="P47" s="21"/>
      <c r="Q47" s="21"/>
      <c r="R47" s="15"/>
      <c r="S47" s="160">
        <f t="shared" si="1"/>
        <v>0</v>
      </c>
      <c r="T47" s="22"/>
      <c r="V47" s="2"/>
      <c r="W47" s="7"/>
      <c r="X47" s="7"/>
      <c r="Y47" s="7"/>
      <c r="Z47" s="7"/>
      <c r="AA47" s="7"/>
      <c r="AB47" s="7"/>
      <c r="AC47" s="7"/>
      <c r="AD47" s="7"/>
      <c r="AE47" s="7"/>
    </row>
    <row r="48" spans="1:31" s="19" customFormat="1" ht="33" hidden="1" customHeight="1">
      <c r="A48" s="376"/>
      <c r="B48" s="11"/>
      <c r="C48" s="31"/>
      <c r="D48" s="24"/>
      <c r="E48" s="13"/>
      <c r="F48" s="14"/>
      <c r="G48" s="14"/>
      <c r="H48" s="17" t="s">
        <v>39</v>
      </c>
      <c r="I48" s="15">
        <f>I49/10</f>
        <v>15326.4</v>
      </c>
      <c r="J48" s="15"/>
      <c r="K48" s="15"/>
      <c r="L48" s="15"/>
      <c r="M48" s="15"/>
      <c r="N48" s="15"/>
      <c r="O48" s="15"/>
      <c r="P48" s="15"/>
      <c r="Q48" s="15"/>
      <c r="R48" s="15"/>
      <c r="S48" s="160">
        <f t="shared" si="1"/>
        <v>0</v>
      </c>
      <c r="T48" s="22"/>
      <c r="V48" s="2"/>
      <c r="W48" s="7"/>
      <c r="X48" s="7"/>
      <c r="Y48" s="7"/>
      <c r="Z48" s="7"/>
      <c r="AA48" s="7"/>
      <c r="AB48" s="7"/>
      <c r="AC48" s="7"/>
      <c r="AD48" s="7"/>
      <c r="AE48" s="7"/>
    </row>
    <row r="49" spans="1:31" s="19" customFormat="1" ht="33" hidden="1" customHeight="1">
      <c r="A49" s="376"/>
      <c r="B49" s="11"/>
      <c r="C49" s="31"/>
      <c r="D49" s="24"/>
      <c r="E49" s="13"/>
      <c r="F49" s="14"/>
      <c r="G49" s="14"/>
      <c r="H49" s="17" t="s">
        <v>692</v>
      </c>
      <c r="I49" s="15">
        <v>153264</v>
      </c>
      <c r="J49" s="15"/>
      <c r="K49" s="15"/>
      <c r="L49" s="15"/>
      <c r="M49" s="15"/>
      <c r="N49" s="15"/>
      <c r="O49" s="15"/>
      <c r="P49" s="15"/>
      <c r="Q49" s="15"/>
      <c r="R49" s="15"/>
      <c r="S49" s="160">
        <f t="shared" si="1"/>
        <v>0</v>
      </c>
      <c r="T49" s="22"/>
      <c r="V49" s="2"/>
      <c r="W49" s="7"/>
      <c r="X49" s="7"/>
      <c r="Y49" s="7"/>
      <c r="Z49" s="7"/>
      <c r="AA49" s="7"/>
      <c r="AB49" s="7"/>
      <c r="AC49" s="7"/>
      <c r="AD49" s="7"/>
      <c r="AE49" s="7"/>
    </row>
    <row r="50" spans="1:31" s="19" customFormat="1" ht="33" customHeight="1">
      <c r="A50" s="376"/>
      <c r="B50" s="11">
        <v>19</v>
      </c>
      <c r="C50" s="226" t="s">
        <v>713</v>
      </c>
      <c r="D50" s="158" t="str">
        <f>COVER!B22</f>
        <v>B7(다크로)</v>
      </c>
      <c r="E50" s="148">
        <v>6</v>
      </c>
      <c r="F50" s="159">
        <f>IF(D50="B8",Y93,IF(D50="B8M",Z93,IF(D50="B7(다크로)",AA93)))</f>
        <v>2000</v>
      </c>
      <c r="G50" s="159">
        <f>E50*F50</f>
        <v>12000</v>
      </c>
      <c r="H50" s="159"/>
      <c r="I50" s="160">
        <v>0</v>
      </c>
      <c r="J50" s="160">
        <v>0</v>
      </c>
      <c r="K50" s="160">
        <v>0</v>
      </c>
      <c r="L50" s="160">
        <v>0</v>
      </c>
      <c r="M50" s="160">
        <v>0</v>
      </c>
      <c r="N50" s="160">
        <v>0</v>
      </c>
      <c r="O50" s="160">
        <v>0</v>
      </c>
      <c r="P50" s="160">
        <v>0</v>
      </c>
      <c r="Q50" s="160">
        <v>0</v>
      </c>
      <c r="R50" s="160">
        <v>0</v>
      </c>
      <c r="S50" s="160">
        <f t="shared" si="1"/>
        <v>12000</v>
      </c>
      <c r="T50" s="231"/>
      <c r="V50" s="2"/>
      <c r="W50" s="26"/>
      <c r="X50" s="26"/>
      <c r="Y50" s="7"/>
      <c r="Z50" s="7"/>
      <c r="AA50" s="7"/>
      <c r="AB50" s="7"/>
      <c r="AC50" s="7"/>
      <c r="AD50" s="7"/>
      <c r="AE50" s="7"/>
    </row>
    <row r="51" spans="1:31" s="19" customFormat="1" ht="33" customHeight="1">
      <c r="A51" s="376"/>
      <c r="B51" s="11">
        <v>20</v>
      </c>
      <c r="C51" s="169" t="s">
        <v>56</v>
      </c>
      <c r="D51" s="305" t="str">
        <f>D24</f>
        <v>A564T630</v>
      </c>
      <c r="E51" s="148">
        <v>4</v>
      </c>
      <c r="F51" s="159">
        <f>IF(D51="A276T316L",Y80/E51,IF(D51="A276T304",Z80/E51,IF(D51="A564T630",AA80/E51,IF(D51="A479T410",AB80/E51,IF(D51="UNS S31803",AC80/E51,IF(D51="UNS S32750",AD80/E51,IF(D51="MONEL K-500",AE80/E51)))))))</f>
        <v>1181.25</v>
      </c>
      <c r="G51" s="159">
        <f>F51*E51</f>
        <v>4725</v>
      </c>
      <c r="H51" s="159"/>
      <c r="I51" s="160">
        <v>0</v>
      </c>
      <c r="J51" s="160">
        <v>0</v>
      </c>
      <c r="K51" s="160">
        <v>0</v>
      </c>
      <c r="L51" s="160">
        <v>0</v>
      </c>
      <c r="M51" s="160">
        <v>0</v>
      </c>
      <c r="N51" s="160">
        <v>0</v>
      </c>
      <c r="O51" s="160">
        <v>1000</v>
      </c>
      <c r="P51" s="160">
        <v>0</v>
      </c>
      <c r="Q51" s="160">
        <v>0</v>
      </c>
      <c r="R51" s="160">
        <f>3500*E51</f>
        <v>14000</v>
      </c>
      <c r="S51" s="160">
        <f t="shared" si="1"/>
        <v>18725</v>
      </c>
      <c r="T51" s="22"/>
      <c r="U51" s="162"/>
      <c r="V51" s="2"/>
    </row>
    <row r="52" spans="1:31" s="19" customFormat="1" ht="33" customHeight="1">
      <c r="A52" s="376"/>
      <c r="B52" s="11">
        <v>21</v>
      </c>
      <c r="C52" s="169" t="s">
        <v>57</v>
      </c>
      <c r="D52" s="178" t="str">
        <f>COVER!B22</f>
        <v>B7(다크로)</v>
      </c>
      <c r="E52" s="148">
        <v>4</v>
      </c>
      <c r="F52" s="159">
        <f>IF(D52="B8",Y90,IF(D52="B8M",Z90,IF(D52="B7(다크로)",AA90)))</f>
        <v>5000</v>
      </c>
      <c r="G52" s="159">
        <f>F52*E52</f>
        <v>20000</v>
      </c>
      <c r="H52" s="159"/>
      <c r="I52" s="160">
        <v>0</v>
      </c>
      <c r="J52" s="160">
        <v>0</v>
      </c>
      <c r="K52" s="160">
        <v>0</v>
      </c>
      <c r="L52" s="160">
        <v>0</v>
      </c>
      <c r="M52" s="160">
        <v>0</v>
      </c>
      <c r="N52" s="160">
        <v>1000</v>
      </c>
      <c r="O52" s="160">
        <v>1000</v>
      </c>
      <c r="P52" s="160">
        <v>1000</v>
      </c>
      <c r="Q52" s="160">
        <v>0</v>
      </c>
      <c r="R52" s="160">
        <v>0</v>
      </c>
      <c r="S52" s="160">
        <f t="shared" si="1"/>
        <v>20000</v>
      </c>
      <c r="T52" s="22"/>
      <c r="U52" s="162"/>
      <c r="V52" s="2"/>
    </row>
    <row r="53" spans="1:31" s="19" customFormat="1" ht="33" customHeight="1">
      <c r="A53" s="376"/>
      <c r="B53" s="11">
        <v>22</v>
      </c>
      <c r="C53" s="169" t="s">
        <v>1202</v>
      </c>
      <c r="D53" s="178" t="str">
        <f>COVER!B26</f>
        <v>316+NICKEL</v>
      </c>
      <c r="E53" s="148">
        <v>1</v>
      </c>
      <c r="F53" s="159">
        <f>IF(D53="316+NICKEL",Y100,IF(D53="B148 C95400",Z100))</f>
        <v>17000</v>
      </c>
      <c r="G53" s="159">
        <f>F53*E53</f>
        <v>17000</v>
      </c>
      <c r="H53" s="159"/>
      <c r="I53" s="160"/>
      <c r="J53" s="160"/>
      <c r="K53" s="160"/>
      <c r="L53" s="160"/>
      <c r="M53" s="160"/>
      <c r="N53" s="160"/>
      <c r="O53" s="160"/>
      <c r="P53" s="160"/>
      <c r="Q53" s="160"/>
      <c r="R53" s="160">
        <v>0</v>
      </c>
      <c r="S53" s="160">
        <f t="shared" si="1"/>
        <v>17000</v>
      </c>
      <c r="T53" s="224"/>
      <c r="V53" s="2"/>
    </row>
    <row r="54" spans="1:31" s="19" customFormat="1" ht="33" customHeight="1">
      <c r="A54" s="376"/>
      <c r="B54" s="11">
        <v>23</v>
      </c>
      <c r="C54" s="29" t="s">
        <v>58</v>
      </c>
      <c r="D54" s="24"/>
      <c r="E54" s="13">
        <v>1</v>
      </c>
      <c r="F54" s="14">
        <v>3000</v>
      </c>
      <c r="G54" s="14">
        <f t="shared" si="11"/>
        <v>3000</v>
      </c>
      <c r="H54" s="14"/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1000</v>
      </c>
      <c r="Q54" s="15">
        <v>0</v>
      </c>
      <c r="R54" s="15">
        <v>0</v>
      </c>
      <c r="S54" s="160">
        <f t="shared" si="1"/>
        <v>3000</v>
      </c>
      <c r="T54" s="22"/>
      <c r="V54" s="2"/>
    </row>
    <row r="55" spans="1:31" s="19" customFormat="1" ht="33" customHeight="1">
      <c r="A55" s="376"/>
      <c r="B55" s="11">
        <v>24</v>
      </c>
      <c r="C55" s="142" t="s">
        <v>59</v>
      </c>
      <c r="D55" s="178" t="str">
        <f>COVER!B35</f>
        <v>GEAR</v>
      </c>
      <c r="E55" s="148">
        <v>1</v>
      </c>
      <c r="F55" s="235">
        <f>IF(D55="GEAR",304200,IF(D55="MOTOR",0,IF(D55="PNEUMATIC",0)))</f>
        <v>304200</v>
      </c>
      <c r="G55" s="159">
        <f>F55</f>
        <v>304200</v>
      </c>
      <c r="H55" s="159"/>
      <c r="I55" s="160">
        <v>0</v>
      </c>
      <c r="J55" s="160">
        <v>0</v>
      </c>
      <c r="K55" s="160">
        <v>0</v>
      </c>
      <c r="L55" s="160">
        <v>0</v>
      </c>
      <c r="M55" s="160">
        <v>0</v>
      </c>
      <c r="N55" s="160">
        <v>0</v>
      </c>
      <c r="O55" s="160">
        <v>0</v>
      </c>
      <c r="P55" s="160">
        <v>0</v>
      </c>
      <c r="Q55" s="160">
        <v>0</v>
      </c>
      <c r="R55" s="160">
        <v>0</v>
      </c>
      <c r="S55" s="160">
        <f t="shared" si="1"/>
        <v>304200</v>
      </c>
      <c r="T55" s="224"/>
      <c r="V55" s="2"/>
    </row>
    <row r="56" spans="1:31" s="19" customFormat="1" ht="33" customHeight="1">
      <c r="A56" s="376"/>
      <c r="B56" s="11">
        <v>25</v>
      </c>
      <c r="C56" s="186" t="s">
        <v>859</v>
      </c>
      <c r="D56" s="178" t="str">
        <f>COVER!B30</f>
        <v>WCB</v>
      </c>
      <c r="E56" s="148">
        <v>19</v>
      </c>
      <c r="F56" s="159">
        <f>IF(D56="WCB",4000,IF(D56="CF8M",9000))</f>
        <v>4000</v>
      </c>
      <c r="G56" s="159">
        <f>E56*F56</f>
        <v>76000</v>
      </c>
      <c r="H56" s="159"/>
      <c r="I56" s="160"/>
      <c r="J56" s="160"/>
      <c r="K56" s="160"/>
      <c r="L56" s="160"/>
      <c r="M56" s="160"/>
      <c r="N56" s="160"/>
      <c r="O56" s="160"/>
      <c r="P56" s="160"/>
      <c r="Q56" s="160"/>
      <c r="R56" s="160">
        <f>IF(D56="WCB",AA106,IF(D56="CF8M",AB106))</f>
        <v>32400</v>
      </c>
      <c r="S56" s="160">
        <f t="shared" si="1"/>
        <v>108400</v>
      </c>
      <c r="T56" s="224"/>
      <c r="V56" s="2"/>
    </row>
    <row r="57" spans="1:31" s="19" customFormat="1" ht="33" customHeight="1">
      <c r="A57" s="376"/>
      <c r="B57" s="11">
        <v>26</v>
      </c>
      <c r="C57" s="175" t="s">
        <v>467</v>
      </c>
      <c r="D57" s="178" t="str">
        <f>COVER!B27</f>
        <v>316+NICKEL</v>
      </c>
      <c r="E57" s="148">
        <v>2</v>
      </c>
      <c r="F57" s="159">
        <f>IF(D57="316+NICKEL",Y101,IF(D57="B148 C95400",Z101))</f>
        <v>26000</v>
      </c>
      <c r="G57" s="159">
        <f>F57</f>
        <v>26000</v>
      </c>
      <c r="H57" s="159"/>
      <c r="I57" s="160"/>
      <c r="J57" s="160"/>
      <c r="K57" s="160"/>
      <c r="L57" s="160"/>
      <c r="M57" s="160"/>
      <c r="N57" s="160"/>
      <c r="O57" s="160"/>
      <c r="P57" s="160"/>
      <c r="Q57" s="160"/>
      <c r="R57" s="160">
        <v>0</v>
      </c>
      <c r="S57" s="160">
        <f t="shared" si="1"/>
        <v>26000</v>
      </c>
      <c r="T57" s="177" t="s">
        <v>1200</v>
      </c>
      <c r="V57" s="2"/>
    </row>
    <row r="58" spans="1:31" s="19" customFormat="1" ht="33" customHeight="1">
      <c r="A58" s="376"/>
      <c r="B58" s="11">
        <v>27</v>
      </c>
      <c r="C58" s="175" t="s">
        <v>468</v>
      </c>
      <c r="D58" s="178" t="str">
        <f>COVER!B28</f>
        <v>316+NICKEL</v>
      </c>
      <c r="E58" s="148">
        <v>2</v>
      </c>
      <c r="F58" s="159">
        <f>IF(D58="316+NICKEL",Y102,IF(D58="B148 C95400",Z102))</f>
        <v>3300</v>
      </c>
      <c r="G58" s="159">
        <f>F58</f>
        <v>3300</v>
      </c>
      <c r="H58" s="159"/>
      <c r="I58" s="160"/>
      <c r="J58" s="160"/>
      <c r="K58" s="160"/>
      <c r="L58" s="160"/>
      <c r="M58" s="160"/>
      <c r="N58" s="160"/>
      <c r="O58" s="160"/>
      <c r="P58" s="160"/>
      <c r="Q58" s="160"/>
      <c r="R58" s="160">
        <v>0</v>
      </c>
      <c r="S58" s="160">
        <f t="shared" si="1"/>
        <v>3300</v>
      </c>
      <c r="T58" s="177" t="s">
        <v>1200</v>
      </c>
      <c r="V58" s="2"/>
    </row>
    <row r="59" spans="1:31" s="19" customFormat="1" ht="33" customHeight="1">
      <c r="A59" s="376"/>
      <c r="B59" s="11">
        <v>28</v>
      </c>
      <c r="C59" s="142" t="s">
        <v>714</v>
      </c>
      <c r="D59" s="178" t="str">
        <f>COVER!B22</f>
        <v>B7(다크로)</v>
      </c>
      <c r="E59" s="148">
        <v>4</v>
      </c>
      <c r="F59" s="159">
        <f>IF(D59="B8",Y89,IF(D59="B8M",Z89,IF(D59="B7(다크로)",AA89)))</f>
        <v>2500</v>
      </c>
      <c r="G59" s="159">
        <f t="shared" ref="G59:G61" si="13">E59*F59</f>
        <v>10000</v>
      </c>
      <c r="H59" s="159"/>
      <c r="I59" s="160">
        <v>0</v>
      </c>
      <c r="J59" s="160">
        <v>0</v>
      </c>
      <c r="K59" s="160">
        <v>0</v>
      </c>
      <c r="L59" s="160">
        <v>0</v>
      </c>
      <c r="M59" s="160">
        <v>0</v>
      </c>
      <c r="N59" s="160">
        <v>0</v>
      </c>
      <c r="O59" s="160">
        <v>0</v>
      </c>
      <c r="P59" s="160">
        <v>0</v>
      </c>
      <c r="Q59" s="160">
        <v>0</v>
      </c>
      <c r="R59" s="160">
        <v>0</v>
      </c>
      <c r="S59" s="160">
        <f t="shared" si="1"/>
        <v>10000</v>
      </c>
      <c r="T59" s="177"/>
      <c r="V59" s="2"/>
    </row>
    <row r="60" spans="1:31" s="19" customFormat="1" ht="33" customHeight="1">
      <c r="A60" s="376"/>
      <c r="B60" s="11">
        <v>29</v>
      </c>
      <c r="C60" s="12" t="s">
        <v>715</v>
      </c>
      <c r="D60" s="303" t="str">
        <f>COVER!B32</f>
        <v>외주 2COATING</v>
      </c>
      <c r="E60" s="13">
        <v>1</v>
      </c>
      <c r="F60" s="14">
        <f>IF(COVER!B10="APPLICATION",0,IF(D60="기존 단가",Y116,IF(D60="외주 2COATING",Z116,IF(D60="외주 3COATING",AA116))))</f>
        <v>0</v>
      </c>
      <c r="G60" s="14">
        <f t="shared" si="13"/>
        <v>0</v>
      </c>
      <c r="H60" s="14"/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f t="shared" si="1"/>
        <v>0</v>
      </c>
      <c r="T60" s="22"/>
      <c r="V60" s="2"/>
    </row>
    <row r="61" spans="1:31" s="19" customFormat="1" ht="33" customHeight="1">
      <c r="A61" s="377"/>
      <c r="B61" s="11">
        <v>30</v>
      </c>
      <c r="C61" s="12" t="s">
        <v>716</v>
      </c>
      <c r="D61" s="303" t="str">
        <f>COVER!B33</f>
        <v>신규</v>
      </c>
      <c r="E61" s="13">
        <v>1</v>
      </c>
      <c r="F61" s="14">
        <f>IF(COVER!B10="APPLICATION",0,IF(D61="기존 단가",Y118,IF(D61="신규",Z118)))</f>
        <v>0</v>
      </c>
      <c r="G61" s="14">
        <f t="shared" si="13"/>
        <v>0</v>
      </c>
      <c r="H61" s="14"/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f t="shared" si="1"/>
        <v>0</v>
      </c>
      <c r="T61" s="22"/>
      <c r="V61" s="2"/>
    </row>
    <row r="62" spans="1:31" s="19" customFormat="1" ht="33" customHeight="1">
      <c r="A62" s="378" t="s">
        <v>717</v>
      </c>
      <c r="B62" s="379"/>
      <c r="C62" s="379"/>
      <c r="D62" s="379"/>
      <c r="E62" s="379"/>
      <c r="F62" s="380"/>
      <c r="G62" s="14">
        <f>IF(COVER!B10="APPLICATION",0,IF(D55="GEAR",Y120,IF(D55="MOTOR",Z120,IF(D55="PNEUMATIC",AA120))))</f>
        <v>0</v>
      </c>
      <c r="H62" s="14"/>
      <c r="I62" s="32" t="s">
        <v>38</v>
      </c>
      <c r="J62" s="32"/>
      <c r="K62" s="32"/>
      <c r="L62" s="32"/>
      <c r="M62" s="32"/>
      <c r="N62" s="32"/>
      <c r="O62" s="32"/>
      <c r="P62" s="32"/>
      <c r="Q62" s="32"/>
      <c r="R62" s="33"/>
      <c r="S62" s="33">
        <f t="shared" si="1"/>
        <v>0</v>
      </c>
      <c r="T62" s="253"/>
      <c r="V62" s="2"/>
      <c r="X62" s="19" t="s">
        <v>38</v>
      </c>
    </row>
    <row r="63" spans="1:31" s="19" customFormat="1" ht="33" customHeight="1">
      <c r="A63" s="360" t="s">
        <v>64</v>
      </c>
      <c r="B63" s="361"/>
      <c r="C63" s="361"/>
      <c r="D63" s="361"/>
      <c r="E63" s="361"/>
      <c r="F63" s="362"/>
      <c r="G63" s="14"/>
      <c r="H63" s="14"/>
      <c r="I63" s="32"/>
      <c r="J63" s="32"/>
      <c r="K63" s="32"/>
      <c r="L63" s="32"/>
      <c r="M63" s="32"/>
      <c r="N63" s="32"/>
      <c r="O63" s="32"/>
      <c r="P63" s="32"/>
      <c r="Q63" s="32"/>
      <c r="R63" s="33"/>
      <c r="S63" s="33"/>
      <c r="T63" s="253" t="s">
        <v>1526</v>
      </c>
      <c r="V63" s="2"/>
    </row>
    <row r="64" spans="1:31" s="19" customFormat="1" ht="33" customHeight="1">
      <c r="A64" s="378" t="s">
        <v>718</v>
      </c>
      <c r="B64" s="379"/>
      <c r="C64" s="379"/>
      <c r="D64" s="379"/>
      <c r="E64" s="379"/>
      <c r="F64" s="380"/>
      <c r="G64" s="93" t="s">
        <v>704</v>
      </c>
      <c r="H64" s="93"/>
      <c r="I64" s="32"/>
      <c r="J64" s="94"/>
      <c r="K64" s="94"/>
      <c r="L64" s="94"/>
      <c r="M64" s="94"/>
      <c r="N64" s="94"/>
      <c r="O64" s="94"/>
      <c r="P64" s="94"/>
      <c r="Q64" s="94"/>
      <c r="R64" s="94"/>
      <c r="S64" s="34">
        <f>SUM(S8:S63)</f>
        <v>4156416.5</v>
      </c>
      <c r="T64" s="254" t="s">
        <v>145</v>
      </c>
      <c r="V64" s="2"/>
    </row>
    <row r="65" spans="1:32" s="19" customFormat="1" ht="33" customHeight="1">
      <c r="A65" s="378" t="s">
        <v>66</v>
      </c>
      <c r="B65" s="379"/>
      <c r="C65" s="379"/>
      <c r="D65" s="379"/>
      <c r="E65" s="379"/>
      <c r="F65" s="380"/>
      <c r="G65" s="32">
        <v>0.1</v>
      </c>
      <c r="H65" s="32"/>
      <c r="I65" s="32" t="s">
        <v>704</v>
      </c>
      <c r="J65" s="32"/>
      <c r="K65" s="32"/>
      <c r="L65" s="32"/>
      <c r="M65" s="32"/>
      <c r="N65" s="32"/>
      <c r="O65" s="32"/>
      <c r="P65" s="32"/>
      <c r="Q65" s="32"/>
      <c r="R65" s="32"/>
      <c r="S65" s="35">
        <f>S64*G65</f>
        <v>415641.65</v>
      </c>
      <c r="T65" s="253"/>
      <c r="V65" s="2"/>
    </row>
    <row r="66" spans="1:32" s="19" customFormat="1" ht="33" customHeight="1">
      <c r="A66" s="360" t="s">
        <v>67</v>
      </c>
      <c r="B66" s="361"/>
      <c r="C66" s="361"/>
      <c r="D66" s="361"/>
      <c r="E66" s="361"/>
      <c r="F66" s="362"/>
      <c r="G66" s="95">
        <v>0.1</v>
      </c>
      <c r="H66" s="95"/>
      <c r="I66" s="32" t="s">
        <v>38</v>
      </c>
      <c r="J66" s="32"/>
      <c r="K66" s="32"/>
      <c r="L66" s="32"/>
      <c r="M66" s="32"/>
      <c r="N66" s="32"/>
      <c r="O66" s="32"/>
      <c r="P66" s="32"/>
      <c r="Q66" s="32"/>
      <c r="R66" s="32"/>
      <c r="S66" s="35">
        <f>(S64+S65)*G66</f>
        <v>457205.81500000006</v>
      </c>
      <c r="T66" s="253" t="s">
        <v>38</v>
      </c>
      <c r="V66" s="2"/>
    </row>
    <row r="67" spans="1:32" s="19" customFormat="1" ht="33" customHeight="1">
      <c r="A67" s="363" t="s">
        <v>68</v>
      </c>
      <c r="B67" s="364"/>
      <c r="C67" s="364"/>
      <c r="D67" s="364"/>
      <c r="E67" s="364"/>
      <c r="F67" s="365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275">
        <f>S64+S65+S66</f>
        <v>5029263.9650000008</v>
      </c>
      <c r="T67" s="254" t="s">
        <v>719</v>
      </c>
      <c r="V67" s="2"/>
    </row>
    <row r="68" spans="1:32" s="19" customFormat="1" ht="33" customHeight="1">
      <c r="A68" s="366" t="s">
        <v>720</v>
      </c>
      <c r="B68" s="367"/>
      <c r="C68" s="367"/>
      <c r="D68" s="367"/>
      <c r="E68" s="367"/>
      <c r="F68" s="368"/>
      <c r="G68" s="32">
        <f>COVER!B11</f>
        <v>1.5</v>
      </c>
      <c r="H68" s="32"/>
      <c r="I68" s="32" t="s">
        <v>38</v>
      </c>
      <c r="J68" s="32"/>
      <c r="K68" s="32"/>
      <c r="L68" s="32"/>
      <c r="M68" s="32"/>
      <c r="N68" s="32"/>
      <c r="O68" s="32"/>
      <c r="P68" s="32"/>
      <c r="Q68" s="32"/>
      <c r="R68" s="32"/>
      <c r="S68" s="36">
        <f>S67*G68</f>
        <v>7543895.9475000016</v>
      </c>
      <c r="T68" s="253"/>
      <c r="V68" s="2"/>
    </row>
    <row r="69" spans="1:32" s="19" customFormat="1" ht="33" customHeight="1">
      <c r="A69" s="369" t="s">
        <v>721</v>
      </c>
      <c r="B69" s="370"/>
      <c r="C69" s="370"/>
      <c r="D69" s="370"/>
      <c r="E69" s="370"/>
      <c r="F69" s="370"/>
      <c r="G69" s="371"/>
      <c r="H69" s="37"/>
      <c r="I69" s="38"/>
      <c r="J69" s="38"/>
      <c r="K69" s="38"/>
      <c r="L69" s="38"/>
      <c r="M69" s="38"/>
      <c r="N69" s="38"/>
      <c r="O69" s="38"/>
      <c r="P69" s="38"/>
      <c r="Q69" s="38"/>
      <c r="R69" s="39" t="s">
        <v>722</v>
      </c>
      <c r="S69" s="40">
        <f>S68</f>
        <v>7543895.9475000016</v>
      </c>
      <c r="T69" s="246" t="s">
        <v>723</v>
      </c>
      <c r="V69" s="141" t="s">
        <v>972</v>
      </c>
      <c r="W69" s="140"/>
      <c r="X69" s="140"/>
      <c r="Y69" s="140"/>
      <c r="Z69" s="140"/>
      <c r="AA69" s="140"/>
      <c r="AB69" s="140"/>
      <c r="AC69" s="140"/>
      <c r="AD69" s="140"/>
      <c r="AE69" s="140"/>
      <c r="AF69" s="140"/>
    </row>
    <row r="70" spans="1:32" s="19" customFormat="1" ht="33" customHeight="1" thickBot="1">
      <c r="A70" s="372"/>
      <c r="B70" s="373"/>
      <c r="C70" s="373"/>
      <c r="D70" s="373"/>
      <c r="E70" s="373"/>
      <c r="F70" s="373"/>
      <c r="G70" s="374"/>
      <c r="H70" s="41"/>
      <c r="I70" s="42"/>
      <c r="J70" s="42"/>
      <c r="K70" s="42"/>
      <c r="L70" s="42"/>
      <c r="M70" s="42"/>
      <c r="N70" s="42"/>
      <c r="O70" s="42"/>
      <c r="P70" s="42"/>
      <c r="Q70" s="42"/>
      <c r="R70" s="43" t="s">
        <v>724</v>
      </c>
      <c r="S70" s="43">
        <f>S64*G68</f>
        <v>6234624.75</v>
      </c>
      <c r="T70" s="247" t="s">
        <v>73</v>
      </c>
      <c r="V70" s="141" t="s">
        <v>1030</v>
      </c>
      <c r="W70" s="140"/>
      <c r="X70" s="140"/>
      <c r="Y70" s="140"/>
      <c r="Z70" s="140"/>
      <c r="AA70" s="140"/>
      <c r="AB70" s="140"/>
      <c r="AC70" s="140"/>
      <c r="AD70" s="140"/>
      <c r="AE70" s="140"/>
      <c r="AF70" s="140"/>
    </row>
    <row r="71" spans="1:32" ht="15" thickBot="1">
      <c r="V71" s="140"/>
      <c r="W71" s="140"/>
      <c r="X71" s="140"/>
      <c r="Y71" s="140"/>
      <c r="Z71" s="140"/>
      <c r="AA71" s="140"/>
      <c r="AB71" s="140"/>
      <c r="AC71" s="140"/>
      <c r="AD71" s="140"/>
      <c r="AE71" s="140"/>
      <c r="AF71" s="140"/>
    </row>
    <row r="72" spans="1:32" ht="21" thickBot="1">
      <c r="C72" s="44" t="s">
        <v>310</v>
      </c>
      <c r="V72" s="193" t="s">
        <v>863</v>
      </c>
      <c r="W72" s="194" t="s">
        <v>864</v>
      </c>
      <c r="X72" s="194" t="s">
        <v>865</v>
      </c>
      <c r="Y72" s="358" t="s">
        <v>866</v>
      </c>
      <c r="Z72" s="358"/>
      <c r="AA72" s="358"/>
      <c r="AB72" s="358"/>
      <c r="AC72" s="358"/>
      <c r="AD72" s="358"/>
      <c r="AE72" s="358"/>
      <c r="AF72" s="218" t="s">
        <v>867</v>
      </c>
    </row>
    <row r="73" spans="1:32" ht="20.399999999999999">
      <c r="C73" s="44" t="s">
        <v>725</v>
      </c>
      <c r="V73" s="336" t="s">
        <v>868</v>
      </c>
      <c r="W73" s="111" t="s">
        <v>869</v>
      </c>
      <c r="X73" s="111" t="s">
        <v>1031</v>
      </c>
      <c r="Y73" s="345" t="s">
        <v>870</v>
      </c>
      <c r="Z73" s="345"/>
      <c r="AA73" s="345"/>
      <c r="AB73" s="345"/>
      <c r="AC73" s="345"/>
      <c r="AD73" s="345"/>
      <c r="AE73" s="345"/>
      <c r="AF73" s="161" t="s">
        <v>871</v>
      </c>
    </row>
    <row r="74" spans="1:32" ht="21" thickBot="1">
      <c r="C74" s="44" t="s">
        <v>726</v>
      </c>
      <c r="V74" s="342"/>
      <c r="W74" s="133" t="s">
        <v>872</v>
      </c>
      <c r="X74" s="133" t="s">
        <v>1032</v>
      </c>
      <c r="Y74" s="346" t="s">
        <v>870</v>
      </c>
      <c r="Z74" s="346"/>
      <c r="AA74" s="346"/>
      <c r="AB74" s="346"/>
      <c r="AC74" s="346"/>
      <c r="AD74" s="346"/>
      <c r="AE74" s="346"/>
      <c r="AF74" s="195" t="s">
        <v>871</v>
      </c>
    </row>
    <row r="75" spans="1:32" ht="21" thickBot="1">
      <c r="C75" s="44" t="s">
        <v>77</v>
      </c>
      <c r="V75" s="196" t="s">
        <v>874</v>
      </c>
      <c r="W75" s="137" t="s">
        <v>875</v>
      </c>
      <c r="X75" s="137" t="s">
        <v>1033</v>
      </c>
      <c r="Y75" s="359" t="s">
        <v>870</v>
      </c>
      <c r="Z75" s="359"/>
      <c r="AA75" s="359"/>
      <c r="AB75" s="359"/>
      <c r="AC75" s="359"/>
      <c r="AD75" s="359"/>
      <c r="AE75" s="359"/>
      <c r="AF75" s="197" t="s">
        <v>871</v>
      </c>
    </row>
    <row r="76" spans="1:32" ht="20.399999999999999">
      <c r="C76" s="44" t="s">
        <v>78</v>
      </c>
      <c r="V76" s="336" t="s">
        <v>877</v>
      </c>
      <c r="W76" s="111" t="s">
        <v>846</v>
      </c>
      <c r="X76" s="354">
        <v>282600</v>
      </c>
      <c r="Y76" s="354"/>
      <c r="Z76" s="354"/>
      <c r="AA76" s="354"/>
      <c r="AB76" s="354"/>
      <c r="AC76" s="354"/>
      <c r="AD76" s="354"/>
      <c r="AE76" s="354"/>
      <c r="AF76" s="161"/>
    </row>
    <row r="77" spans="1:32" ht="21" thickBot="1">
      <c r="C77" s="44" t="s">
        <v>727</v>
      </c>
      <c r="V77" s="329"/>
      <c r="W77" s="125" t="s">
        <v>847</v>
      </c>
      <c r="X77" s="355">
        <v>395600</v>
      </c>
      <c r="Y77" s="355"/>
      <c r="Z77" s="355"/>
      <c r="AA77" s="355"/>
      <c r="AB77" s="355"/>
      <c r="AC77" s="355"/>
      <c r="AD77" s="355"/>
      <c r="AE77" s="355"/>
      <c r="AF77" s="208"/>
    </row>
    <row r="78" spans="1:32" ht="20.399999999999999">
      <c r="C78" s="44" t="s">
        <v>728</v>
      </c>
      <c r="V78" s="336" t="s">
        <v>878</v>
      </c>
      <c r="W78" s="338" t="s">
        <v>1034</v>
      </c>
      <c r="X78" s="340" t="s">
        <v>879</v>
      </c>
      <c r="Y78" s="171" t="s">
        <v>880</v>
      </c>
      <c r="Z78" s="171">
        <v>304</v>
      </c>
      <c r="AA78" s="171" t="s">
        <v>881</v>
      </c>
      <c r="AB78" s="171" t="s">
        <v>882</v>
      </c>
      <c r="AC78" s="171" t="s">
        <v>883</v>
      </c>
      <c r="AD78" s="171" t="s">
        <v>884</v>
      </c>
      <c r="AE78" s="171" t="s">
        <v>885</v>
      </c>
      <c r="AF78" s="172"/>
    </row>
    <row r="79" spans="1:32" ht="20.399999999999999">
      <c r="C79" s="45"/>
      <c r="V79" s="337"/>
      <c r="W79" s="339"/>
      <c r="X79" s="341"/>
      <c r="Y79" s="173">
        <v>120050</v>
      </c>
      <c r="Z79" s="173">
        <v>86265</v>
      </c>
      <c r="AA79" s="173">
        <v>162810</v>
      </c>
      <c r="AB79" s="173">
        <v>70210</v>
      </c>
      <c r="AC79" s="173">
        <v>162810</v>
      </c>
      <c r="AD79" s="173">
        <v>213395</v>
      </c>
      <c r="AE79" s="173">
        <v>742000</v>
      </c>
      <c r="AF79" s="174" t="s">
        <v>886</v>
      </c>
    </row>
    <row r="80" spans="1:32" ht="21" thickBot="1">
      <c r="C80" s="44" t="s">
        <v>81</v>
      </c>
      <c r="V80" s="132" t="s">
        <v>887</v>
      </c>
      <c r="W80" s="202" t="s">
        <v>1035</v>
      </c>
      <c r="X80" s="133" t="s">
        <v>909</v>
      </c>
      <c r="Y80" s="134">
        <v>2500</v>
      </c>
      <c r="Z80" s="134">
        <v>1800</v>
      </c>
      <c r="AA80" s="134">
        <v>4725</v>
      </c>
      <c r="AB80" s="134">
        <v>2480</v>
      </c>
      <c r="AC80" s="134">
        <v>3400</v>
      </c>
      <c r="AD80" s="134">
        <v>6132</v>
      </c>
      <c r="AE80" s="134">
        <v>28800</v>
      </c>
      <c r="AF80" s="195" t="s">
        <v>889</v>
      </c>
    </row>
    <row r="81" spans="3:32" ht="20.399999999999999">
      <c r="C81" s="46" t="s">
        <v>82</v>
      </c>
      <c r="V81" s="331" t="s">
        <v>890</v>
      </c>
      <c r="W81" s="437" t="s">
        <v>1036</v>
      </c>
      <c r="X81" s="328" t="s">
        <v>879</v>
      </c>
      <c r="Y81" s="198">
        <v>304</v>
      </c>
      <c r="Z81" s="198" t="s">
        <v>880</v>
      </c>
      <c r="AA81" s="198" t="s">
        <v>892</v>
      </c>
      <c r="AB81" s="199"/>
      <c r="AC81" s="199"/>
      <c r="AD81" s="199"/>
      <c r="AE81" s="199"/>
      <c r="AF81" s="206"/>
    </row>
    <row r="82" spans="3:32" ht="21" thickBot="1">
      <c r="C82" s="46" t="s">
        <v>387</v>
      </c>
      <c r="V82" s="329"/>
      <c r="W82" s="438"/>
      <c r="X82" s="327"/>
      <c r="Y82" s="126">
        <v>131480</v>
      </c>
      <c r="Z82" s="126">
        <v>166080</v>
      </c>
      <c r="AA82" s="126">
        <v>60500</v>
      </c>
      <c r="AB82" s="200"/>
      <c r="AC82" s="200"/>
      <c r="AD82" s="200"/>
      <c r="AE82" s="200"/>
      <c r="AF82" s="208"/>
    </row>
    <row r="83" spans="3:32" ht="20.399999999999999">
      <c r="C83" s="46" t="s">
        <v>729</v>
      </c>
      <c r="V83" s="336" t="s">
        <v>893</v>
      </c>
      <c r="W83" s="435" t="s">
        <v>1037</v>
      </c>
      <c r="X83" s="345" t="s">
        <v>879</v>
      </c>
      <c r="Y83" s="111" t="s">
        <v>895</v>
      </c>
      <c r="Z83" s="111" t="s">
        <v>896</v>
      </c>
      <c r="AA83" s="201"/>
      <c r="AB83" s="201"/>
      <c r="AC83" s="201"/>
      <c r="AD83" s="201"/>
      <c r="AE83" s="201"/>
      <c r="AF83" s="161"/>
    </row>
    <row r="84" spans="3:32" ht="21" thickBot="1">
      <c r="C84" s="46" t="s">
        <v>730</v>
      </c>
      <c r="V84" s="342"/>
      <c r="W84" s="436"/>
      <c r="X84" s="346"/>
      <c r="Y84" s="296">
        <v>68500</v>
      </c>
      <c r="Z84" s="296">
        <v>120000</v>
      </c>
      <c r="AA84" s="203"/>
      <c r="AB84" s="203"/>
      <c r="AC84" s="203"/>
      <c r="AD84" s="203"/>
      <c r="AE84" s="203"/>
      <c r="AF84" s="195" t="s">
        <v>958</v>
      </c>
    </row>
    <row r="85" spans="3:32" ht="20.399999999999999">
      <c r="C85" s="46" t="s">
        <v>683</v>
      </c>
      <c r="V85" s="331" t="s">
        <v>898</v>
      </c>
      <c r="W85" s="204" t="s">
        <v>1038</v>
      </c>
      <c r="X85" s="198" t="s">
        <v>900</v>
      </c>
      <c r="Y85" s="113">
        <v>25000</v>
      </c>
      <c r="Z85" s="205"/>
      <c r="AA85" s="205"/>
      <c r="AB85" s="205"/>
      <c r="AC85" s="205"/>
      <c r="AD85" s="205"/>
      <c r="AE85" s="205"/>
      <c r="AF85" s="350" t="s">
        <v>901</v>
      </c>
    </row>
    <row r="86" spans="3:32" ht="21" thickBot="1">
      <c r="C86" s="46" t="s">
        <v>684</v>
      </c>
      <c r="V86" s="329"/>
      <c r="W86" s="207" t="s">
        <v>1039</v>
      </c>
      <c r="X86" s="125" t="s">
        <v>903</v>
      </c>
      <c r="Y86" s="126">
        <v>15900</v>
      </c>
      <c r="Z86" s="200"/>
      <c r="AA86" s="200"/>
      <c r="AB86" s="200"/>
      <c r="AC86" s="200"/>
      <c r="AD86" s="200"/>
      <c r="AE86" s="200"/>
      <c r="AF86" s="351"/>
    </row>
    <row r="87" spans="3:32" ht="21" thickBot="1">
      <c r="C87" s="46" t="s">
        <v>731</v>
      </c>
      <c r="V87" s="193" t="s">
        <v>904</v>
      </c>
      <c r="W87" s="209" t="s">
        <v>1040</v>
      </c>
      <c r="X87" s="194" t="s">
        <v>903</v>
      </c>
      <c r="Y87" s="210">
        <v>2670</v>
      </c>
      <c r="Z87" s="211"/>
      <c r="AA87" s="211"/>
      <c r="AB87" s="211"/>
      <c r="AC87" s="211"/>
      <c r="AD87" s="211"/>
      <c r="AE87" s="211"/>
      <c r="AF87" s="218"/>
    </row>
    <row r="88" spans="3:32" ht="20.399999999999999">
      <c r="C88" s="47" t="s">
        <v>732</v>
      </c>
      <c r="V88" s="336" t="s">
        <v>906</v>
      </c>
      <c r="W88" s="345"/>
      <c r="X88" s="345"/>
      <c r="Y88" s="111" t="s">
        <v>853</v>
      </c>
      <c r="Z88" s="111" t="s">
        <v>854</v>
      </c>
      <c r="AA88" s="111" t="s">
        <v>855</v>
      </c>
      <c r="AB88" s="201"/>
      <c r="AC88" s="201"/>
      <c r="AD88" s="201"/>
      <c r="AE88" s="201"/>
      <c r="AF88" s="161"/>
    </row>
    <row r="89" spans="3:32" ht="20.399999999999999">
      <c r="C89" s="48"/>
      <c r="V89" s="119" t="s">
        <v>907</v>
      </c>
      <c r="W89" s="212" t="s">
        <v>1041</v>
      </c>
      <c r="X89" s="115" t="s">
        <v>909</v>
      </c>
      <c r="Y89" s="116">
        <v>4500</v>
      </c>
      <c r="Z89" s="116">
        <v>5000</v>
      </c>
      <c r="AA89" s="116">
        <v>2500</v>
      </c>
      <c r="AB89" s="213"/>
      <c r="AC89" s="213"/>
      <c r="AD89" s="213"/>
      <c r="AE89" s="213"/>
      <c r="AF89" s="214" t="s">
        <v>910</v>
      </c>
    </row>
    <row r="90" spans="3:32" ht="20.399999999999999">
      <c r="C90" s="46" t="s">
        <v>38</v>
      </c>
      <c r="V90" s="119" t="s">
        <v>911</v>
      </c>
      <c r="W90" s="212" t="s">
        <v>997</v>
      </c>
      <c r="X90" s="115" t="s">
        <v>909</v>
      </c>
      <c r="Y90" s="116">
        <v>6800</v>
      </c>
      <c r="Z90" s="116">
        <v>10100</v>
      </c>
      <c r="AA90" s="116">
        <v>5000</v>
      </c>
      <c r="AB90" s="213"/>
      <c r="AC90" s="213"/>
      <c r="AD90" s="213"/>
      <c r="AE90" s="213"/>
      <c r="AF90" s="214" t="s">
        <v>910</v>
      </c>
    </row>
    <row r="91" spans="3:32" ht="20.399999999999999">
      <c r="C91" s="44" t="s">
        <v>733</v>
      </c>
      <c r="V91" s="119" t="s">
        <v>913</v>
      </c>
      <c r="W91" s="212" t="s">
        <v>999</v>
      </c>
      <c r="X91" s="115" t="s">
        <v>1042</v>
      </c>
      <c r="Y91" s="116">
        <v>500</v>
      </c>
      <c r="Z91" s="116">
        <v>1000</v>
      </c>
      <c r="AA91" s="116">
        <v>400</v>
      </c>
      <c r="AB91" s="213"/>
      <c r="AC91" s="213"/>
      <c r="AD91" s="213"/>
      <c r="AE91" s="213"/>
      <c r="AF91" s="214" t="s">
        <v>910</v>
      </c>
    </row>
    <row r="92" spans="3:32" ht="20.399999999999999">
      <c r="C92" s="46" t="s">
        <v>734</v>
      </c>
      <c r="V92" s="119" t="s">
        <v>916</v>
      </c>
      <c r="W92" s="212" t="s">
        <v>1043</v>
      </c>
      <c r="X92" s="115" t="s">
        <v>915</v>
      </c>
      <c r="Y92" s="116">
        <v>2200</v>
      </c>
      <c r="Z92" s="116">
        <v>3000</v>
      </c>
      <c r="AA92" s="116">
        <v>1500</v>
      </c>
      <c r="AB92" s="213"/>
      <c r="AC92" s="213"/>
      <c r="AD92" s="213"/>
      <c r="AE92" s="213"/>
      <c r="AF92" s="214" t="s">
        <v>910</v>
      </c>
    </row>
    <row r="93" spans="3:32" ht="21" thickBot="1">
      <c r="C93" s="46" t="s">
        <v>92</v>
      </c>
      <c r="V93" s="170" t="s">
        <v>918</v>
      </c>
      <c r="W93" s="207" t="s">
        <v>1044</v>
      </c>
      <c r="X93" s="125" t="s">
        <v>915</v>
      </c>
      <c r="Y93" s="126">
        <v>2000</v>
      </c>
      <c r="Z93" s="126">
        <v>2500</v>
      </c>
      <c r="AA93" s="126">
        <v>2000</v>
      </c>
      <c r="AB93" s="200"/>
      <c r="AC93" s="200"/>
      <c r="AD93" s="200"/>
      <c r="AE93" s="200"/>
      <c r="AF93" s="208" t="s">
        <v>910</v>
      </c>
    </row>
    <row r="94" spans="3:32" ht="18" thickBot="1">
      <c r="V94" s="105" t="s">
        <v>920</v>
      </c>
      <c r="W94" s="215" t="s">
        <v>1045</v>
      </c>
      <c r="X94" s="103" t="s">
        <v>879</v>
      </c>
      <c r="Y94" s="216">
        <v>47100</v>
      </c>
      <c r="Z94" s="217"/>
      <c r="AA94" s="217"/>
      <c r="AB94" s="217"/>
      <c r="AC94" s="217"/>
      <c r="AD94" s="217"/>
      <c r="AE94" s="217"/>
      <c r="AF94" s="107"/>
    </row>
    <row r="95" spans="3:32" ht="14.4">
      <c r="V95" s="336" t="s">
        <v>922</v>
      </c>
      <c r="W95" s="345"/>
      <c r="X95" s="345"/>
      <c r="Y95" s="111" t="s">
        <v>923</v>
      </c>
      <c r="Z95" s="111" t="s">
        <v>924</v>
      </c>
      <c r="AA95" s="201"/>
      <c r="AB95" s="201"/>
      <c r="AC95" s="201"/>
      <c r="AD95" s="201"/>
      <c r="AE95" s="201"/>
      <c r="AF95" s="161"/>
    </row>
    <row r="96" spans="3:32" s="228" customFormat="1" ht="17.399999999999999">
      <c r="C96" s="227"/>
      <c r="V96" s="170" t="s">
        <v>925</v>
      </c>
      <c r="W96" s="212" t="s">
        <v>1046</v>
      </c>
      <c r="X96" s="115" t="s">
        <v>888</v>
      </c>
      <c r="Y96" s="116">
        <v>85000</v>
      </c>
      <c r="Z96" s="116">
        <v>55600</v>
      </c>
      <c r="AA96" s="213"/>
      <c r="AB96" s="213"/>
      <c r="AC96" s="213"/>
      <c r="AD96" s="213"/>
      <c r="AE96" s="213"/>
      <c r="AF96" s="214" t="s">
        <v>889</v>
      </c>
    </row>
    <row r="97" spans="3:32" s="228" customFormat="1" ht="17.399999999999999">
      <c r="C97" s="227"/>
      <c r="V97" s="170" t="s">
        <v>926</v>
      </c>
      <c r="W97" s="212" t="s">
        <v>1047</v>
      </c>
      <c r="X97" s="115" t="s">
        <v>888</v>
      </c>
      <c r="Y97" s="116">
        <v>72000</v>
      </c>
      <c r="Z97" s="116">
        <v>49600</v>
      </c>
      <c r="AA97" s="213"/>
      <c r="AB97" s="213"/>
      <c r="AC97" s="213"/>
      <c r="AD97" s="213"/>
      <c r="AE97" s="213"/>
      <c r="AF97" s="214" t="s">
        <v>889</v>
      </c>
    </row>
    <row r="98" spans="3:32" ht="17.399999999999999">
      <c r="V98" s="119" t="s">
        <v>927</v>
      </c>
      <c r="W98" s="212" t="s">
        <v>1048</v>
      </c>
      <c r="X98" s="115" t="s">
        <v>879</v>
      </c>
      <c r="Y98" s="116">
        <v>58500</v>
      </c>
      <c r="Z98" s="116">
        <v>76000</v>
      </c>
      <c r="AA98" s="213"/>
      <c r="AB98" s="213"/>
      <c r="AC98" s="213"/>
      <c r="AD98" s="213"/>
      <c r="AE98" s="213"/>
      <c r="AF98" s="214" t="s">
        <v>889</v>
      </c>
    </row>
    <row r="99" spans="3:32" ht="17.399999999999999">
      <c r="V99" s="119" t="s">
        <v>929</v>
      </c>
      <c r="W99" s="212" t="s">
        <v>1049</v>
      </c>
      <c r="X99" s="115" t="s">
        <v>879</v>
      </c>
      <c r="Y99" s="116">
        <v>12500</v>
      </c>
      <c r="Z99" s="116">
        <v>14200</v>
      </c>
      <c r="AA99" s="213"/>
      <c r="AB99" s="213"/>
      <c r="AC99" s="213"/>
      <c r="AD99" s="213"/>
      <c r="AE99" s="213"/>
      <c r="AF99" s="214" t="s">
        <v>889</v>
      </c>
    </row>
    <row r="100" spans="3:32" ht="17.399999999999999">
      <c r="V100" s="119" t="s">
        <v>931</v>
      </c>
      <c r="W100" s="212" t="s">
        <v>1050</v>
      </c>
      <c r="X100" s="115" t="s">
        <v>879</v>
      </c>
      <c r="Y100" s="116">
        <v>17000</v>
      </c>
      <c r="Z100" s="116">
        <v>19600</v>
      </c>
      <c r="AA100" s="213"/>
      <c r="AB100" s="213"/>
      <c r="AC100" s="213"/>
      <c r="AD100" s="213"/>
      <c r="AE100" s="213"/>
      <c r="AF100" s="214" t="s">
        <v>889</v>
      </c>
    </row>
    <row r="101" spans="3:32" ht="17.399999999999999">
      <c r="V101" s="119" t="s">
        <v>933</v>
      </c>
      <c r="W101" s="212" t="s">
        <v>1051</v>
      </c>
      <c r="X101" s="115" t="s">
        <v>888</v>
      </c>
      <c r="Y101" s="116">
        <v>26000</v>
      </c>
      <c r="Z101" s="116">
        <v>26000</v>
      </c>
      <c r="AA101" s="213"/>
      <c r="AB101" s="213"/>
      <c r="AC101" s="213"/>
      <c r="AD101" s="213"/>
      <c r="AE101" s="213"/>
      <c r="AF101" s="214" t="s">
        <v>889</v>
      </c>
    </row>
    <row r="102" spans="3:32" ht="18" thickBot="1">
      <c r="V102" s="132" t="s">
        <v>935</v>
      </c>
      <c r="W102" s="202" t="s">
        <v>1052</v>
      </c>
      <c r="X102" s="133" t="s">
        <v>888</v>
      </c>
      <c r="Y102" s="134">
        <v>3300</v>
      </c>
      <c r="Z102" s="134">
        <v>14200</v>
      </c>
      <c r="AA102" s="203"/>
      <c r="AB102" s="203"/>
      <c r="AC102" s="203"/>
      <c r="AD102" s="203"/>
      <c r="AE102" s="203"/>
      <c r="AF102" s="195" t="s">
        <v>889</v>
      </c>
    </row>
    <row r="103" spans="3:32" ht="14.4">
      <c r="V103" s="331" t="s">
        <v>937</v>
      </c>
      <c r="W103" s="437" t="s">
        <v>1053</v>
      </c>
      <c r="X103" s="328" t="s">
        <v>879</v>
      </c>
      <c r="Y103" s="198" t="s">
        <v>939</v>
      </c>
      <c r="Z103" s="198">
        <v>316</v>
      </c>
      <c r="AA103" s="198">
        <v>304</v>
      </c>
      <c r="AB103" s="199"/>
      <c r="AC103" s="199"/>
      <c r="AD103" s="199"/>
      <c r="AE103" s="199"/>
      <c r="AF103" s="347" t="s">
        <v>940</v>
      </c>
    </row>
    <row r="104" spans="3:32" ht="15" thickBot="1">
      <c r="V104" s="329"/>
      <c r="W104" s="438"/>
      <c r="X104" s="327"/>
      <c r="Y104" s="126">
        <v>8910</v>
      </c>
      <c r="Z104" s="126">
        <v>33800</v>
      </c>
      <c r="AA104" s="126">
        <v>25025</v>
      </c>
      <c r="AB104" s="200"/>
      <c r="AC104" s="200"/>
      <c r="AD104" s="200"/>
      <c r="AE104" s="200"/>
      <c r="AF104" s="348"/>
    </row>
    <row r="105" spans="3:32" ht="14.4">
      <c r="V105" s="336" t="s">
        <v>985</v>
      </c>
      <c r="W105" s="435" t="s">
        <v>1009</v>
      </c>
      <c r="X105" s="111" t="s">
        <v>986</v>
      </c>
      <c r="Y105" s="111" t="s">
        <v>987</v>
      </c>
      <c r="Z105" s="111" t="s">
        <v>988</v>
      </c>
      <c r="AA105" s="111" t="s">
        <v>989</v>
      </c>
      <c r="AB105" s="111" t="s">
        <v>990</v>
      </c>
      <c r="AC105" s="201"/>
      <c r="AD105" s="201"/>
      <c r="AE105" s="201"/>
      <c r="AF105" s="347" t="s">
        <v>991</v>
      </c>
    </row>
    <row r="106" spans="3:32" ht="15" thickBot="1">
      <c r="V106" s="342"/>
      <c r="W106" s="436"/>
      <c r="X106" s="221">
        <v>19</v>
      </c>
      <c r="Y106" s="433" t="s">
        <v>870</v>
      </c>
      <c r="Z106" s="434"/>
      <c r="AA106" s="134">
        <v>32400</v>
      </c>
      <c r="AB106" s="134">
        <v>50000</v>
      </c>
      <c r="AC106" s="203"/>
      <c r="AD106" s="203"/>
      <c r="AE106" s="203"/>
      <c r="AF106" s="348"/>
    </row>
    <row r="114" spans="22:32" ht="13.8" thickBot="1"/>
    <row r="115" spans="22:32" ht="30" customHeight="1">
      <c r="V115" s="336" t="s">
        <v>1516</v>
      </c>
      <c r="W115" s="338"/>
      <c r="X115" s="340"/>
      <c r="Y115" s="171" t="s">
        <v>1517</v>
      </c>
      <c r="Z115" s="171" t="s">
        <v>1518</v>
      </c>
      <c r="AA115" s="171" t="s">
        <v>1519</v>
      </c>
      <c r="AB115" s="171"/>
      <c r="AC115" s="171"/>
      <c r="AD115" s="171"/>
      <c r="AE115" s="171"/>
      <c r="AF115" s="172"/>
    </row>
    <row r="116" spans="22:32" ht="30" customHeight="1" thickBot="1">
      <c r="V116" s="337"/>
      <c r="W116" s="339"/>
      <c r="X116" s="341"/>
      <c r="Y116" s="173">
        <v>24000</v>
      </c>
      <c r="Z116" s="173">
        <f>IF(F8&gt;0,E8*520,IF(F9&gt;0,E9*520))</f>
        <v>118040</v>
      </c>
      <c r="AA116" s="173">
        <f>IF(F8&gt;0,E8*620,IF(F9&gt;0,E9*620))</f>
        <v>140740</v>
      </c>
      <c r="AB116" s="173"/>
      <c r="AC116" s="173"/>
      <c r="AD116" s="173"/>
      <c r="AE116" s="173"/>
      <c r="AF116" s="174"/>
    </row>
    <row r="117" spans="22:32" ht="30" customHeight="1">
      <c r="V117" s="336" t="s">
        <v>1520</v>
      </c>
      <c r="W117" s="338"/>
      <c r="X117" s="340"/>
      <c r="Y117" s="171" t="s">
        <v>1517</v>
      </c>
      <c r="Z117" s="171" t="s">
        <v>1521</v>
      </c>
      <c r="AA117" s="171"/>
      <c r="AB117" s="171"/>
      <c r="AC117" s="171"/>
      <c r="AD117" s="171"/>
      <c r="AE117" s="171"/>
      <c r="AF117" s="172"/>
    </row>
    <row r="118" spans="22:32" ht="30" customHeight="1" thickBot="1">
      <c r="V118" s="337"/>
      <c r="W118" s="339"/>
      <c r="X118" s="341"/>
      <c r="Y118" s="173"/>
      <c r="Z118" s="173">
        <f>Y118</f>
        <v>0</v>
      </c>
      <c r="AA118" s="173"/>
      <c r="AB118" s="173"/>
      <c r="AC118" s="173"/>
      <c r="AD118" s="173"/>
      <c r="AE118" s="173"/>
      <c r="AF118" s="174"/>
    </row>
    <row r="119" spans="22:32" ht="30" customHeight="1">
      <c r="V119" s="336" t="s">
        <v>1522</v>
      </c>
      <c r="W119" s="338"/>
      <c r="X119" s="340"/>
      <c r="Y119" s="171" t="s">
        <v>1523</v>
      </c>
      <c r="Z119" s="171" t="s">
        <v>1524</v>
      </c>
      <c r="AA119" s="171" t="s">
        <v>1525</v>
      </c>
      <c r="AB119" s="171"/>
      <c r="AC119" s="171"/>
      <c r="AD119" s="171"/>
      <c r="AE119" s="171"/>
      <c r="AF119" s="172"/>
    </row>
    <row r="120" spans="22:32" ht="30" customHeight="1">
      <c r="V120" s="337"/>
      <c r="W120" s="339"/>
      <c r="X120" s="341"/>
      <c r="Y120" s="306"/>
      <c r="Z120" s="306"/>
      <c r="AA120" s="173"/>
      <c r="AB120" s="173"/>
      <c r="AC120" s="173"/>
      <c r="AD120" s="173"/>
      <c r="AE120" s="173"/>
      <c r="AF120" s="174"/>
    </row>
  </sheetData>
  <mergeCells count="66">
    <mergeCell ref="A1:S1"/>
    <mergeCell ref="A3:B4"/>
    <mergeCell ref="C3:C4"/>
    <mergeCell ref="D3:D4"/>
    <mergeCell ref="E3:E4"/>
    <mergeCell ref="F3:F4"/>
    <mergeCell ref="G3:G4"/>
    <mergeCell ref="H3:Q4"/>
    <mergeCell ref="R3:R4"/>
    <mergeCell ref="S3:S4"/>
    <mergeCell ref="T3:T7"/>
    <mergeCell ref="A5:B7"/>
    <mergeCell ref="C5:C7"/>
    <mergeCell ref="D5:D7"/>
    <mergeCell ref="E5:G6"/>
    <mergeCell ref="H5:H6"/>
    <mergeCell ref="I5:Q5"/>
    <mergeCell ref="R5:R7"/>
    <mergeCell ref="S5:S7"/>
    <mergeCell ref="A67:F67"/>
    <mergeCell ref="A68:F68"/>
    <mergeCell ref="A69:G70"/>
    <mergeCell ref="A8:A61"/>
    <mergeCell ref="A62:F62"/>
    <mergeCell ref="A63:F63"/>
    <mergeCell ref="A64:F64"/>
    <mergeCell ref="A65:F65"/>
    <mergeCell ref="A66:F66"/>
    <mergeCell ref="Y72:AE72"/>
    <mergeCell ref="V73:V74"/>
    <mergeCell ref="Y73:AE73"/>
    <mergeCell ref="Y74:AE74"/>
    <mergeCell ref="Y75:AE75"/>
    <mergeCell ref="V76:V77"/>
    <mergeCell ref="X76:AE76"/>
    <mergeCell ref="X77:AE77"/>
    <mergeCell ref="V78:V79"/>
    <mergeCell ref="W78:W79"/>
    <mergeCell ref="X78:X79"/>
    <mergeCell ref="V81:V82"/>
    <mergeCell ref="W81:W82"/>
    <mergeCell ref="X81:X82"/>
    <mergeCell ref="V83:V84"/>
    <mergeCell ref="W83:W84"/>
    <mergeCell ref="X83:X84"/>
    <mergeCell ref="V105:V106"/>
    <mergeCell ref="W105:W106"/>
    <mergeCell ref="AF105:AF106"/>
    <mergeCell ref="Y106:Z106"/>
    <mergeCell ref="V85:V86"/>
    <mergeCell ref="AF85:AF86"/>
    <mergeCell ref="V88:X88"/>
    <mergeCell ref="V95:X95"/>
    <mergeCell ref="V103:V104"/>
    <mergeCell ref="W103:W104"/>
    <mergeCell ref="X103:X104"/>
    <mergeCell ref="AF103:AF104"/>
    <mergeCell ref="V119:V120"/>
    <mergeCell ref="W119:W120"/>
    <mergeCell ref="X119:X120"/>
    <mergeCell ref="V115:V116"/>
    <mergeCell ref="W115:W116"/>
    <mergeCell ref="X115:X116"/>
    <mergeCell ref="V117:V118"/>
    <mergeCell ref="W117:W118"/>
    <mergeCell ref="X117:X118"/>
  </mergeCells>
  <phoneticPr fontId="3" type="noConversion"/>
  <printOptions horizontalCentered="1"/>
  <pageMargins left="0.39370078740157483" right="0.39370078740157483" top="0.39370078740157483" bottom="0.15748031496062992" header="0.51181102362204722" footer="0.51181102362204722"/>
  <pageSetup paperSize="9" scale="45" orientation="portrait" r:id="rId1"/>
  <headerFooter alignWithMargins="0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F120"/>
  <sheetViews>
    <sheetView showGridLines="0" view="pageBreakPreview" zoomScale="70" zoomScaleNormal="55" zoomScaleSheetLayoutView="70" workbookViewId="0">
      <selection activeCell="T8" activeCellId="1" sqref="T9 T8"/>
    </sheetView>
  </sheetViews>
  <sheetFormatPr defaultColWidth="8.8984375" defaultRowHeight="13.2"/>
  <cols>
    <col min="1" max="1" width="3.3984375" style="3" customWidth="1"/>
    <col min="2" max="2" width="9.5" style="3" customWidth="1"/>
    <col min="3" max="3" width="25.19921875" style="49" customWidth="1"/>
    <col min="4" max="5" width="13.09765625" style="3" customWidth="1"/>
    <col min="6" max="7" width="15.09765625" style="3" customWidth="1"/>
    <col min="8" max="8" width="15.09765625" style="3" hidden="1" customWidth="1"/>
    <col min="9" max="17" width="15.69921875" style="3" hidden="1" customWidth="1"/>
    <col min="18" max="18" width="15.69921875" style="3" customWidth="1"/>
    <col min="19" max="19" width="26.8984375" style="3" customWidth="1"/>
    <col min="20" max="20" width="30.09765625" style="3" customWidth="1"/>
    <col min="21" max="21" width="14" style="3" bestFit="1" customWidth="1"/>
    <col min="22" max="22" width="48.3984375" style="3" bestFit="1" customWidth="1"/>
    <col min="23" max="23" width="45.3984375" style="3" bestFit="1" customWidth="1"/>
    <col min="24" max="24" width="10.09765625" style="3" bestFit="1" customWidth="1"/>
    <col min="25" max="25" width="11.5" style="3" bestFit="1" customWidth="1"/>
    <col min="26" max="26" width="12.5" style="3" bestFit="1" customWidth="1"/>
    <col min="27" max="27" width="12.09765625" style="3" bestFit="1" customWidth="1"/>
    <col min="28" max="28" width="13.09765625" style="3" bestFit="1" customWidth="1"/>
    <col min="29" max="30" width="8.59765625" style="3" bestFit="1" customWidth="1"/>
    <col min="31" max="31" width="13.3984375" style="3" bestFit="1" customWidth="1"/>
    <col min="32" max="32" width="19" style="3" bestFit="1" customWidth="1"/>
    <col min="33" max="16384" width="8.8984375" style="3"/>
  </cols>
  <sheetData>
    <row r="1" spans="1:22" s="2" customFormat="1" ht="51" customHeight="1" thickBot="1">
      <c r="A1" s="411" t="s">
        <v>1312</v>
      </c>
      <c r="B1" s="412"/>
      <c r="C1" s="412"/>
      <c r="D1" s="412"/>
      <c r="E1" s="412"/>
      <c r="F1" s="412"/>
      <c r="G1" s="412"/>
      <c r="H1" s="412"/>
      <c r="I1" s="412"/>
      <c r="J1" s="412"/>
      <c r="K1" s="412"/>
      <c r="L1" s="412"/>
      <c r="M1" s="412"/>
      <c r="N1" s="412"/>
      <c r="O1" s="412"/>
      <c r="P1" s="412"/>
      <c r="Q1" s="412"/>
      <c r="R1" s="412"/>
      <c r="S1" s="412"/>
      <c r="T1" s="1"/>
    </row>
    <row r="2" spans="1:22" s="2" customFormat="1" ht="30" customHeight="1" thickBot="1">
      <c r="A2" s="3"/>
      <c r="B2" s="3"/>
      <c r="T2" s="4" t="s">
        <v>0</v>
      </c>
    </row>
    <row r="3" spans="1:22" s="5" customFormat="1" ht="24" customHeight="1">
      <c r="A3" s="413" t="s">
        <v>1</v>
      </c>
      <c r="B3" s="414"/>
      <c r="C3" s="417" t="s">
        <v>735</v>
      </c>
      <c r="D3" s="419" t="s">
        <v>3</v>
      </c>
      <c r="E3" s="421" t="s">
        <v>1313</v>
      </c>
      <c r="F3" s="423" t="s">
        <v>4</v>
      </c>
      <c r="G3" s="425" t="str">
        <f>COVER!B9</f>
        <v>FLANGE</v>
      </c>
      <c r="H3" s="421" t="s">
        <v>5</v>
      </c>
      <c r="I3" s="427"/>
      <c r="J3" s="427"/>
      <c r="K3" s="427"/>
      <c r="L3" s="427"/>
      <c r="M3" s="427"/>
      <c r="N3" s="427"/>
      <c r="O3" s="427"/>
      <c r="P3" s="427"/>
      <c r="Q3" s="428"/>
      <c r="R3" s="423" t="s">
        <v>6</v>
      </c>
      <c r="S3" s="431" t="s">
        <v>7</v>
      </c>
      <c r="T3" s="381" t="s">
        <v>8</v>
      </c>
      <c r="V3" s="432"/>
    </row>
    <row r="4" spans="1:22" s="5" customFormat="1" ht="24" customHeight="1">
      <c r="A4" s="415"/>
      <c r="B4" s="416"/>
      <c r="C4" s="418"/>
      <c r="D4" s="420"/>
      <c r="E4" s="422"/>
      <c r="F4" s="424"/>
      <c r="G4" s="426"/>
      <c r="H4" s="422"/>
      <c r="I4" s="429"/>
      <c r="J4" s="429"/>
      <c r="K4" s="429"/>
      <c r="L4" s="429"/>
      <c r="M4" s="429"/>
      <c r="N4" s="429"/>
      <c r="O4" s="429"/>
      <c r="P4" s="429"/>
      <c r="Q4" s="430"/>
      <c r="R4" s="424"/>
      <c r="S4" s="410"/>
      <c r="T4" s="382"/>
      <c r="V4" s="432"/>
    </row>
    <row r="5" spans="1:22" s="5" customFormat="1" ht="24" customHeight="1">
      <c r="A5" s="384" t="s">
        <v>9</v>
      </c>
      <c r="B5" s="385"/>
      <c r="C5" s="390" t="s">
        <v>10</v>
      </c>
      <c r="D5" s="393" t="s">
        <v>11</v>
      </c>
      <c r="E5" s="396" t="s">
        <v>12</v>
      </c>
      <c r="F5" s="397"/>
      <c r="G5" s="398"/>
      <c r="H5" s="402" t="s">
        <v>736</v>
      </c>
      <c r="I5" s="404" t="s">
        <v>14</v>
      </c>
      <c r="J5" s="405"/>
      <c r="K5" s="405"/>
      <c r="L5" s="405"/>
      <c r="M5" s="405"/>
      <c r="N5" s="405"/>
      <c r="O5" s="405"/>
      <c r="P5" s="405"/>
      <c r="Q5" s="405"/>
      <c r="R5" s="406" t="s">
        <v>15</v>
      </c>
      <c r="S5" s="408" t="s">
        <v>16</v>
      </c>
      <c r="T5" s="382"/>
      <c r="V5" s="432"/>
    </row>
    <row r="6" spans="1:22" s="5" customFormat="1" ht="24" customHeight="1">
      <c r="A6" s="386"/>
      <c r="B6" s="387"/>
      <c r="C6" s="391"/>
      <c r="D6" s="394"/>
      <c r="E6" s="399"/>
      <c r="F6" s="400"/>
      <c r="G6" s="401"/>
      <c r="H6" s="403"/>
      <c r="I6" s="8" t="s">
        <v>17</v>
      </c>
      <c r="J6" s="8" t="s">
        <v>18</v>
      </c>
      <c r="K6" s="8" t="s">
        <v>19</v>
      </c>
      <c r="L6" s="9" t="s">
        <v>20</v>
      </c>
      <c r="M6" s="9" t="s">
        <v>699</v>
      </c>
      <c r="N6" s="8" t="s">
        <v>22</v>
      </c>
      <c r="O6" s="8" t="s">
        <v>23</v>
      </c>
      <c r="P6" s="8" t="s">
        <v>24</v>
      </c>
      <c r="Q6" s="10" t="s">
        <v>25</v>
      </c>
      <c r="R6" s="407"/>
      <c r="S6" s="409"/>
      <c r="T6" s="382"/>
      <c r="V6" s="432"/>
    </row>
    <row r="7" spans="1:22" ht="24" customHeight="1">
      <c r="A7" s="388"/>
      <c r="B7" s="389"/>
      <c r="C7" s="392"/>
      <c r="D7" s="395"/>
      <c r="E7" s="8" t="s">
        <v>737</v>
      </c>
      <c r="F7" s="8" t="s">
        <v>27</v>
      </c>
      <c r="G7" s="8" t="s">
        <v>28</v>
      </c>
      <c r="H7" s="8"/>
      <c r="I7" s="8" t="s">
        <v>29</v>
      </c>
      <c r="J7" s="8" t="s">
        <v>30</v>
      </c>
      <c r="K7" s="8" t="s">
        <v>31</v>
      </c>
      <c r="L7" s="9" t="s">
        <v>29</v>
      </c>
      <c r="M7" s="9" t="s">
        <v>32</v>
      </c>
      <c r="N7" s="8" t="s">
        <v>33</v>
      </c>
      <c r="O7" s="8" t="s">
        <v>738</v>
      </c>
      <c r="P7" s="8" t="s">
        <v>35</v>
      </c>
      <c r="Q7" s="10" t="s">
        <v>36</v>
      </c>
      <c r="R7" s="403"/>
      <c r="S7" s="410"/>
      <c r="T7" s="383"/>
      <c r="V7" s="432"/>
    </row>
    <row r="8" spans="1:22" ht="33" customHeight="1">
      <c r="A8" s="375" t="s">
        <v>739</v>
      </c>
      <c r="B8" s="11">
        <v>1</v>
      </c>
      <c r="C8" s="154" t="str">
        <f>COVER!A14</f>
        <v>BODY(LUG)</v>
      </c>
      <c r="D8" s="158">
        <f>COVER!B14</f>
        <v>0</v>
      </c>
      <c r="E8" s="148">
        <v>210</v>
      </c>
      <c r="F8" s="159">
        <f>COVER!C14</f>
        <v>0</v>
      </c>
      <c r="G8" s="159">
        <f>F8*E8</f>
        <v>0</v>
      </c>
      <c r="H8" s="159"/>
      <c r="I8" s="160">
        <f>I10*I9</f>
        <v>506706621524695.19</v>
      </c>
      <c r="J8" s="160">
        <f t="shared" ref="J8:Q9" si="0">J10*J9</f>
        <v>43341753052405.07</v>
      </c>
      <c r="K8" s="160">
        <f t="shared" si="0"/>
        <v>270470072536680.25</v>
      </c>
      <c r="L8" s="160">
        <f t="shared" si="0"/>
        <v>506706621524695.19</v>
      </c>
      <c r="M8" s="160">
        <f t="shared" si="0"/>
        <v>632417344857819.5</v>
      </c>
      <c r="N8" s="160">
        <f t="shared" si="0"/>
        <v>46528628303586.25</v>
      </c>
      <c r="O8" s="160">
        <f t="shared" si="0"/>
        <v>0</v>
      </c>
      <c r="P8" s="160">
        <f t="shared" si="0"/>
        <v>0</v>
      </c>
      <c r="Q8" s="160">
        <f t="shared" si="0"/>
        <v>10000000000000</v>
      </c>
      <c r="R8" s="318">
        <f>IF(COVER!C14&gt;0,490000*1.2,0)</f>
        <v>0</v>
      </c>
      <c r="S8" s="160">
        <f>G8+R8</f>
        <v>0</v>
      </c>
      <c r="T8" s="309" t="s">
        <v>1171</v>
      </c>
    </row>
    <row r="9" spans="1:22" ht="33" customHeight="1">
      <c r="A9" s="376"/>
      <c r="B9" s="146" t="s">
        <v>1167</v>
      </c>
      <c r="C9" s="154" t="str">
        <f>COVER!A15</f>
        <v>BODY(FLANGE)</v>
      </c>
      <c r="D9" s="158" t="str">
        <f>COVER!B15</f>
        <v>A216 WCB</v>
      </c>
      <c r="E9" s="148">
        <v>300</v>
      </c>
      <c r="F9" s="159">
        <f>COVER!C15</f>
        <v>4300</v>
      </c>
      <c r="G9" s="159">
        <f>F9*E9</f>
        <v>1290000</v>
      </c>
      <c r="H9" s="159"/>
      <c r="I9" s="160">
        <f>I11*I10</f>
        <v>13693182184.900002</v>
      </c>
      <c r="J9" s="160">
        <f t="shared" si="0"/>
        <v>2658301984.9000001</v>
      </c>
      <c r="K9" s="160">
        <f t="shared" si="0"/>
        <v>9010443027.6000004</v>
      </c>
      <c r="L9" s="160">
        <f t="shared" si="0"/>
        <v>13693182184.900002</v>
      </c>
      <c r="M9" s="160">
        <f t="shared" si="0"/>
        <v>15873371539.6</v>
      </c>
      <c r="N9" s="160">
        <f t="shared" si="0"/>
        <v>2787063302.5</v>
      </c>
      <c r="O9" s="160">
        <f t="shared" si="0"/>
        <v>0</v>
      </c>
      <c r="P9" s="160">
        <f t="shared" si="0"/>
        <v>0</v>
      </c>
      <c r="Q9" s="160">
        <f t="shared" si="0"/>
        <v>1000000000</v>
      </c>
      <c r="R9" s="318">
        <f>IF(COVER!C15&gt;0,500000*1.2,0)</f>
        <v>600000</v>
      </c>
      <c r="S9" s="160">
        <f t="shared" ref="S9:S62" si="1">G9+R9</f>
        <v>1890000</v>
      </c>
      <c r="T9" s="309" t="s">
        <v>1169</v>
      </c>
      <c r="V9" s="153">
        <f>R9</f>
        <v>600000</v>
      </c>
    </row>
    <row r="10" spans="1:22" ht="33" hidden="1" customHeight="1">
      <c r="A10" s="376"/>
      <c r="B10" s="11"/>
      <c r="C10" s="142"/>
      <c r="D10" s="158"/>
      <c r="E10" s="148"/>
      <c r="F10" s="159"/>
      <c r="G10" s="159"/>
      <c r="H10" s="159" t="s">
        <v>40</v>
      </c>
      <c r="I10" s="160">
        <f t="shared" ref="I10:Q10" si="2">I11/10</f>
        <v>37004.300000000003</v>
      </c>
      <c r="J10" s="160">
        <f t="shared" si="2"/>
        <v>16304.3</v>
      </c>
      <c r="K10" s="160">
        <f t="shared" si="2"/>
        <v>30017.4</v>
      </c>
      <c r="L10" s="160">
        <f t="shared" si="2"/>
        <v>37004.300000000003</v>
      </c>
      <c r="M10" s="160">
        <f t="shared" si="2"/>
        <v>39841.4</v>
      </c>
      <c r="N10" s="160">
        <f t="shared" si="2"/>
        <v>16694.5</v>
      </c>
      <c r="O10" s="160">
        <f t="shared" si="2"/>
        <v>0</v>
      </c>
      <c r="P10" s="160">
        <f t="shared" si="2"/>
        <v>0</v>
      </c>
      <c r="Q10" s="160">
        <f t="shared" si="2"/>
        <v>10000</v>
      </c>
      <c r="R10" s="160"/>
      <c r="S10" s="160">
        <f t="shared" si="1"/>
        <v>0</v>
      </c>
      <c r="T10" s="16"/>
    </row>
    <row r="11" spans="1:22" ht="33" hidden="1" customHeight="1">
      <c r="A11" s="376"/>
      <c r="B11" s="11"/>
      <c r="C11" s="142"/>
      <c r="D11" s="158"/>
      <c r="E11" s="148"/>
      <c r="F11" s="159"/>
      <c r="G11" s="159"/>
      <c r="H11" s="187" t="s">
        <v>41</v>
      </c>
      <c r="I11" s="160">
        <v>370043</v>
      </c>
      <c r="J11" s="160">
        <v>163043</v>
      </c>
      <c r="K11" s="160">
        <v>300174</v>
      </c>
      <c r="L11" s="160">
        <v>370043</v>
      </c>
      <c r="M11" s="160">
        <v>398414</v>
      </c>
      <c r="N11" s="160">
        <v>166945</v>
      </c>
      <c r="O11" s="160">
        <v>0</v>
      </c>
      <c r="P11" s="160">
        <v>0</v>
      </c>
      <c r="Q11" s="160">
        <v>100000</v>
      </c>
      <c r="R11" s="160"/>
      <c r="S11" s="160">
        <f t="shared" si="1"/>
        <v>0</v>
      </c>
      <c r="T11" s="16"/>
    </row>
    <row r="12" spans="1:22" s="19" customFormat="1" ht="33" customHeight="1">
      <c r="A12" s="376"/>
      <c r="B12" s="11">
        <v>2</v>
      </c>
      <c r="C12" s="142" t="s">
        <v>42</v>
      </c>
      <c r="D12" s="158" t="str">
        <f>COVER!B16</f>
        <v>A216 WCB</v>
      </c>
      <c r="E12" s="148">
        <v>71</v>
      </c>
      <c r="F12" s="159">
        <f>COVER!C16</f>
        <v>4300</v>
      </c>
      <c r="G12" s="159">
        <f>F12*E12</f>
        <v>305300</v>
      </c>
      <c r="H12" s="159"/>
      <c r="I12" s="160">
        <f>I13*I14</f>
        <v>111012.90000000001</v>
      </c>
      <c r="J12" s="160">
        <f t="shared" ref="J12:Q12" si="3">J13*J14</f>
        <v>0</v>
      </c>
      <c r="K12" s="160">
        <f t="shared" si="3"/>
        <v>60034.8</v>
      </c>
      <c r="L12" s="160">
        <f t="shared" si="3"/>
        <v>111012.90000000001</v>
      </c>
      <c r="M12" s="160">
        <f t="shared" si="3"/>
        <v>0</v>
      </c>
      <c r="N12" s="160">
        <f t="shared" si="3"/>
        <v>0</v>
      </c>
      <c r="O12" s="160">
        <f t="shared" si="3"/>
        <v>0</v>
      </c>
      <c r="P12" s="160">
        <f t="shared" si="3"/>
        <v>0</v>
      </c>
      <c r="Q12" s="160">
        <f t="shared" si="3"/>
        <v>4000</v>
      </c>
      <c r="R12" s="160">
        <v>300000</v>
      </c>
      <c r="S12" s="160">
        <f t="shared" si="1"/>
        <v>605300</v>
      </c>
      <c r="T12" s="18"/>
    </row>
    <row r="13" spans="1:22" s="19" customFormat="1" ht="33" hidden="1" customHeight="1">
      <c r="A13" s="376"/>
      <c r="B13" s="11"/>
      <c r="C13" s="142"/>
      <c r="D13" s="158"/>
      <c r="E13" s="148"/>
      <c r="F13" s="159"/>
      <c r="G13" s="159"/>
      <c r="H13" s="187" t="s">
        <v>39</v>
      </c>
      <c r="I13" s="188">
        <v>3</v>
      </c>
      <c r="J13" s="188">
        <v>0</v>
      </c>
      <c r="K13" s="188">
        <v>2</v>
      </c>
      <c r="L13" s="188">
        <v>3</v>
      </c>
      <c r="M13" s="188">
        <v>0</v>
      </c>
      <c r="N13" s="188">
        <v>0</v>
      </c>
      <c r="O13" s="188"/>
      <c r="P13" s="188"/>
      <c r="Q13" s="188">
        <v>0.4</v>
      </c>
      <c r="R13" s="160"/>
      <c r="S13" s="160">
        <f t="shared" si="1"/>
        <v>0</v>
      </c>
      <c r="T13" s="22"/>
    </row>
    <row r="14" spans="1:22" s="19" customFormat="1" ht="33" hidden="1" customHeight="1">
      <c r="A14" s="376"/>
      <c r="B14" s="11"/>
      <c r="C14" s="142"/>
      <c r="D14" s="158"/>
      <c r="E14" s="148"/>
      <c r="F14" s="159"/>
      <c r="G14" s="159"/>
      <c r="H14" s="159" t="s">
        <v>40</v>
      </c>
      <c r="I14" s="160">
        <f>I15/10</f>
        <v>37004.300000000003</v>
      </c>
      <c r="J14" s="160">
        <f t="shared" ref="J14:Q14" si="4">J15/10</f>
        <v>16304.3</v>
      </c>
      <c r="K14" s="160">
        <f t="shared" si="4"/>
        <v>30017.4</v>
      </c>
      <c r="L14" s="160">
        <f t="shared" si="4"/>
        <v>37004.300000000003</v>
      </c>
      <c r="M14" s="160">
        <f t="shared" si="4"/>
        <v>39841.4</v>
      </c>
      <c r="N14" s="160">
        <f t="shared" si="4"/>
        <v>16694.5</v>
      </c>
      <c r="O14" s="160">
        <f t="shared" si="4"/>
        <v>0</v>
      </c>
      <c r="P14" s="160">
        <f t="shared" si="4"/>
        <v>0</v>
      </c>
      <c r="Q14" s="160">
        <f t="shared" si="4"/>
        <v>10000</v>
      </c>
      <c r="R14" s="160"/>
      <c r="S14" s="160">
        <f t="shared" si="1"/>
        <v>0</v>
      </c>
      <c r="T14" s="22"/>
    </row>
    <row r="15" spans="1:22" s="19" customFormat="1" ht="33" hidden="1" customHeight="1">
      <c r="A15" s="376"/>
      <c r="B15" s="11"/>
      <c r="C15" s="142"/>
      <c r="D15" s="158"/>
      <c r="E15" s="148"/>
      <c r="F15" s="159"/>
      <c r="G15" s="159"/>
      <c r="H15" s="159" t="s">
        <v>43</v>
      </c>
      <c r="I15" s="160">
        <v>370043</v>
      </c>
      <c r="J15" s="160">
        <v>163043</v>
      </c>
      <c r="K15" s="160">
        <v>300174</v>
      </c>
      <c r="L15" s="160">
        <v>370043</v>
      </c>
      <c r="M15" s="160">
        <v>398414</v>
      </c>
      <c r="N15" s="160">
        <v>166945</v>
      </c>
      <c r="O15" s="160">
        <v>0</v>
      </c>
      <c r="P15" s="160">
        <v>0</v>
      </c>
      <c r="Q15" s="160">
        <v>100000</v>
      </c>
      <c r="R15" s="160"/>
      <c r="S15" s="160">
        <f t="shared" si="1"/>
        <v>0</v>
      </c>
      <c r="T15" s="22"/>
    </row>
    <row r="16" spans="1:22" s="19" customFormat="1" ht="33" customHeight="1">
      <c r="A16" s="376"/>
      <c r="B16" s="11">
        <v>3</v>
      </c>
      <c r="C16" s="142" t="s">
        <v>952</v>
      </c>
      <c r="D16" s="158" t="str">
        <f>COVER!B19</f>
        <v>WCB+309+#6</v>
      </c>
      <c r="E16" s="148">
        <v>1</v>
      </c>
      <c r="F16" s="159">
        <f>IF(D16="SUS+#6",X76,IF(D16="WCB+309+#6",X77))</f>
        <v>439600</v>
      </c>
      <c r="G16" s="159">
        <f>F16*E16</f>
        <v>439600</v>
      </c>
      <c r="H16" s="159"/>
      <c r="I16" s="160">
        <v>0</v>
      </c>
      <c r="J16" s="160">
        <v>0</v>
      </c>
      <c r="K16" s="160">
        <v>0</v>
      </c>
      <c r="L16" s="160">
        <v>0</v>
      </c>
      <c r="M16" s="160">
        <v>0</v>
      </c>
      <c r="N16" s="160">
        <v>0</v>
      </c>
      <c r="O16" s="160">
        <v>0</v>
      </c>
      <c r="P16" s="160">
        <v>0</v>
      </c>
      <c r="Q16" s="160">
        <v>0</v>
      </c>
      <c r="R16" s="160">
        <v>0</v>
      </c>
      <c r="S16" s="160">
        <f t="shared" si="1"/>
        <v>439600</v>
      </c>
      <c r="T16" s="22"/>
    </row>
    <row r="17" spans="1:22" s="19" customFormat="1" ht="33" customHeight="1">
      <c r="A17" s="376"/>
      <c r="B17" s="11">
        <v>4</v>
      </c>
      <c r="C17" s="142" t="s">
        <v>1179</v>
      </c>
      <c r="D17" s="158" t="str">
        <f>COVER!B18</f>
        <v>A240T316L+GARPHITE</v>
      </c>
      <c r="E17" s="148">
        <v>1</v>
      </c>
      <c r="F17" s="159">
        <f>IF(D17="A240T316L+GARPHITE",Y84+Z84)</f>
        <v>214500</v>
      </c>
      <c r="G17" s="159">
        <f>F17*E17</f>
        <v>214500</v>
      </c>
      <c r="H17" s="159"/>
      <c r="I17" s="160">
        <v>0</v>
      </c>
      <c r="J17" s="160">
        <v>0</v>
      </c>
      <c r="K17" s="160">
        <v>0</v>
      </c>
      <c r="L17" s="160">
        <v>0</v>
      </c>
      <c r="M17" s="160">
        <v>0</v>
      </c>
      <c r="N17" s="160">
        <v>0</v>
      </c>
      <c r="O17" s="160">
        <v>0</v>
      </c>
      <c r="P17" s="160">
        <v>0</v>
      </c>
      <c r="Q17" s="160">
        <v>0</v>
      </c>
      <c r="R17" s="160">
        <f>Z84*1.3</f>
        <v>169000</v>
      </c>
      <c r="S17" s="160">
        <f t="shared" si="1"/>
        <v>383500</v>
      </c>
      <c r="T17" s="22"/>
    </row>
    <row r="18" spans="1:22" s="19" customFormat="1" ht="33" customHeight="1">
      <c r="A18" s="376"/>
      <c r="B18" s="11">
        <v>5</v>
      </c>
      <c r="C18" s="175" t="s">
        <v>852</v>
      </c>
      <c r="D18" s="178" t="str">
        <f>COVER!B20</f>
        <v>SS316L</v>
      </c>
      <c r="E18" s="176">
        <v>1</v>
      </c>
      <c r="F18" s="159">
        <f>IF(D18="SS304",Y82,IF(D18="SS316L",Z82))</f>
        <v>279840</v>
      </c>
      <c r="G18" s="159">
        <f>E18*F18</f>
        <v>279840</v>
      </c>
      <c r="H18" s="159"/>
      <c r="I18" s="160">
        <f>I19*I20</f>
        <v>74008.600000000006</v>
      </c>
      <c r="J18" s="160">
        <f t="shared" ref="J18:Q18" si="5">J19*J20</f>
        <v>32608.6</v>
      </c>
      <c r="K18" s="160">
        <f t="shared" si="5"/>
        <v>0</v>
      </c>
      <c r="L18" s="160">
        <f t="shared" si="5"/>
        <v>0</v>
      </c>
      <c r="M18" s="160">
        <f t="shared" si="5"/>
        <v>0</v>
      </c>
      <c r="N18" s="160">
        <f t="shared" si="5"/>
        <v>0</v>
      </c>
      <c r="O18" s="160">
        <f t="shared" si="5"/>
        <v>0</v>
      </c>
      <c r="P18" s="160">
        <f t="shared" si="5"/>
        <v>0</v>
      </c>
      <c r="Q18" s="160">
        <f t="shared" si="5"/>
        <v>2000</v>
      </c>
      <c r="R18" s="160">
        <f>AA82*1.5</f>
        <v>99000</v>
      </c>
      <c r="S18" s="160">
        <f t="shared" si="1"/>
        <v>378840</v>
      </c>
      <c r="T18" s="25"/>
    </row>
    <row r="19" spans="1:22" s="19" customFormat="1" ht="33" hidden="1" customHeight="1">
      <c r="A19" s="376"/>
      <c r="B19" s="11"/>
      <c r="C19" s="12"/>
      <c r="D19" s="24"/>
      <c r="E19" s="13"/>
      <c r="F19" s="14"/>
      <c r="G19" s="14"/>
      <c r="H19" s="17" t="s">
        <v>39</v>
      </c>
      <c r="I19" s="21">
        <v>2</v>
      </c>
      <c r="J19" s="21">
        <v>2</v>
      </c>
      <c r="K19" s="21"/>
      <c r="L19" s="21"/>
      <c r="M19" s="21"/>
      <c r="N19" s="21"/>
      <c r="O19" s="21"/>
      <c r="P19" s="21"/>
      <c r="Q19" s="21">
        <v>0.2</v>
      </c>
      <c r="R19" s="15"/>
      <c r="S19" s="160">
        <f t="shared" si="1"/>
        <v>0</v>
      </c>
      <c r="T19" s="25"/>
    </row>
    <row r="20" spans="1:22" s="19" customFormat="1" ht="33" hidden="1" customHeight="1">
      <c r="A20" s="376"/>
      <c r="B20" s="11"/>
      <c r="C20" s="12"/>
      <c r="D20" s="24"/>
      <c r="E20" s="13"/>
      <c r="F20" s="14"/>
      <c r="G20" s="14"/>
      <c r="H20" s="17" t="s">
        <v>39</v>
      </c>
      <c r="I20" s="15">
        <f>I21/10</f>
        <v>37004.300000000003</v>
      </c>
      <c r="J20" s="15">
        <f t="shared" ref="J20:Q20" si="6">J21/10</f>
        <v>16304.3</v>
      </c>
      <c r="K20" s="15">
        <f t="shared" si="6"/>
        <v>0</v>
      </c>
      <c r="L20" s="15">
        <f t="shared" si="6"/>
        <v>0</v>
      </c>
      <c r="M20" s="15">
        <f t="shared" si="6"/>
        <v>0</v>
      </c>
      <c r="N20" s="15">
        <f t="shared" si="6"/>
        <v>0</v>
      </c>
      <c r="O20" s="15">
        <f t="shared" si="6"/>
        <v>0</v>
      </c>
      <c r="P20" s="15">
        <f t="shared" si="6"/>
        <v>0</v>
      </c>
      <c r="Q20" s="15">
        <f t="shared" si="6"/>
        <v>10000</v>
      </c>
      <c r="R20" s="15"/>
      <c r="S20" s="160">
        <f t="shared" si="1"/>
        <v>0</v>
      </c>
      <c r="T20" s="25"/>
    </row>
    <row r="21" spans="1:22" s="19" customFormat="1" ht="33" hidden="1" customHeight="1">
      <c r="A21" s="376"/>
      <c r="B21" s="11"/>
      <c r="C21" s="12"/>
      <c r="D21" s="24"/>
      <c r="E21" s="13"/>
      <c r="F21" s="14"/>
      <c r="G21" s="14"/>
      <c r="H21" s="17" t="s">
        <v>39</v>
      </c>
      <c r="I21" s="15">
        <v>370043</v>
      </c>
      <c r="J21" s="15">
        <v>163043</v>
      </c>
      <c r="K21" s="15"/>
      <c r="L21" s="15"/>
      <c r="M21" s="15"/>
      <c r="N21" s="15"/>
      <c r="O21" s="15"/>
      <c r="P21" s="15"/>
      <c r="Q21" s="15">
        <v>100000</v>
      </c>
      <c r="R21" s="15"/>
      <c r="S21" s="160">
        <f t="shared" si="1"/>
        <v>0</v>
      </c>
      <c r="T21" s="25"/>
    </row>
    <row r="22" spans="1:22" s="19" customFormat="1" ht="33" customHeight="1">
      <c r="A22" s="376"/>
      <c r="B22" s="11">
        <v>6</v>
      </c>
      <c r="C22" s="175" t="s">
        <v>1178</v>
      </c>
      <c r="D22" s="178" t="s">
        <v>1189</v>
      </c>
      <c r="E22" s="176">
        <v>1</v>
      </c>
      <c r="F22" s="159">
        <f>Y85</f>
        <v>28000</v>
      </c>
      <c r="G22" s="159">
        <f>F22*E22</f>
        <v>28000</v>
      </c>
      <c r="H22" s="159"/>
      <c r="I22" s="160">
        <v>0</v>
      </c>
      <c r="J22" s="160">
        <v>0</v>
      </c>
      <c r="K22" s="160">
        <v>0</v>
      </c>
      <c r="L22" s="160">
        <v>0</v>
      </c>
      <c r="M22" s="160">
        <v>0</v>
      </c>
      <c r="N22" s="160">
        <v>0</v>
      </c>
      <c r="O22" s="160">
        <v>0</v>
      </c>
      <c r="P22" s="160">
        <v>0</v>
      </c>
      <c r="Q22" s="160">
        <v>0</v>
      </c>
      <c r="R22" s="160">
        <v>0</v>
      </c>
      <c r="S22" s="160">
        <f t="shared" si="1"/>
        <v>28000</v>
      </c>
      <c r="T22" s="25"/>
    </row>
    <row r="23" spans="1:22" s="19" customFormat="1" ht="33" customHeight="1">
      <c r="A23" s="376"/>
      <c r="B23" s="11">
        <v>7</v>
      </c>
      <c r="C23" s="175" t="s">
        <v>948</v>
      </c>
      <c r="D23" s="158" t="str">
        <f>COVER!B21</f>
        <v>B7(다크로)</v>
      </c>
      <c r="E23" s="148">
        <v>24</v>
      </c>
      <c r="F23" s="159">
        <f>IF(D23="B8",Y91,IF(D23="B8M",Z91,IF(D23="B7(다크로)",AA91)))</f>
        <v>1000</v>
      </c>
      <c r="G23" s="159">
        <f>F23*E23</f>
        <v>24000</v>
      </c>
      <c r="H23" s="159"/>
      <c r="I23" s="160">
        <v>0</v>
      </c>
      <c r="J23" s="160">
        <v>0</v>
      </c>
      <c r="K23" s="160">
        <v>0</v>
      </c>
      <c r="L23" s="160">
        <v>0</v>
      </c>
      <c r="M23" s="160">
        <v>0</v>
      </c>
      <c r="N23" s="160">
        <v>0</v>
      </c>
      <c r="O23" s="160">
        <v>0</v>
      </c>
      <c r="P23" s="160">
        <v>0</v>
      </c>
      <c r="Q23" s="160">
        <v>0</v>
      </c>
      <c r="R23" s="160">
        <v>0</v>
      </c>
      <c r="S23" s="160">
        <f t="shared" si="1"/>
        <v>24000</v>
      </c>
      <c r="T23" s="18"/>
    </row>
    <row r="24" spans="1:22" s="19" customFormat="1" ht="33" customHeight="1">
      <c r="A24" s="376"/>
      <c r="B24" s="11">
        <v>8</v>
      </c>
      <c r="C24" s="142" t="s">
        <v>44</v>
      </c>
      <c r="D24" s="158" t="str">
        <f>COVER!B17</f>
        <v>A564T630</v>
      </c>
      <c r="E24" s="148">
        <f>V24*1.1</f>
        <v>28.567</v>
      </c>
      <c r="F24" s="159">
        <f>COVER!C17</f>
        <v>8500</v>
      </c>
      <c r="G24" s="159">
        <f>F24*E24</f>
        <v>242819.5</v>
      </c>
      <c r="H24" s="159"/>
      <c r="I24" s="160">
        <f>I25*I26</f>
        <v>74008.600000000006</v>
      </c>
      <c r="J24" s="160">
        <f t="shared" ref="J24:Q24" si="7">J25*J26</f>
        <v>0</v>
      </c>
      <c r="K24" s="160">
        <f t="shared" si="7"/>
        <v>0</v>
      </c>
      <c r="L24" s="160">
        <f t="shared" si="7"/>
        <v>0</v>
      </c>
      <c r="M24" s="160">
        <f t="shared" si="7"/>
        <v>0</v>
      </c>
      <c r="N24" s="160">
        <f t="shared" si="7"/>
        <v>0</v>
      </c>
      <c r="O24" s="160">
        <f t="shared" si="7"/>
        <v>0</v>
      </c>
      <c r="P24" s="160">
        <f t="shared" si="7"/>
        <v>0</v>
      </c>
      <c r="Q24" s="160">
        <f t="shared" si="7"/>
        <v>1000</v>
      </c>
      <c r="R24" s="160">
        <f>R12*0.3</f>
        <v>90000</v>
      </c>
      <c r="S24" s="160">
        <f t="shared" si="1"/>
        <v>332819.5</v>
      </c>
      <c r="T24" s="27"/>
      <c r="U24" s="162"/>
      <c r="V24" s="162">
        <v>25.97</v>
      </c>
    </row>
    <row r="25" spans="1:22" s="19" customFormat="1" ht="33" hidden="1" customHeight="1">
      <c r="A25" s="376"/>
      <c r="B25" s="11"/>
      <c r="C25" s="12"/>
      <c r="D25" s="20"/>
      <c r="E25" s="13"/>
      <c r="F25" s="14"/>
      <c r="G25" s="14"/>
      <c r="H25" s="17" t="s">
        <v>39</v>
      </c>
      <c r="I25" s="21">
        <v>2</v>
      </c>
      <c r="J25" s="21"/>
      <c r="K25" s="21"/>
      <c r="L25" s="21"/>
      <c r="M25" s="21"/>
      <c r="N25" s="21"/>
      <c r="O25" s="21"/>
      <c r="P25" s="21"/>
      <c r="Q25" s="21">
        <v>0.1</v>
      </c>
      <c r="R25" s="15"/>
      <c r="S25" s="160">
        <f t="shared" si="1"/>
        <v>0</v>
      </c>
      <c r="T25" s="27"/>
    </row>
    <row r="26" spans="1:22" s="19" customFormat="1" ht="33" hidden="1" customHeight="1">
      <c r="A26" s="376"/>
      <c r="B26" s="11"/>
      <c r="C26" s="12"/>
      <c r="D26" s="20"/>
      <c r="E26" s="13"/>
      <c r="F26" s="14"/>
      <c r="G26" s="14"/>
      <c r="H26" s="17" t="s">
        <v>39</v>
      </c>
      <c r="I26" s="15">
        <f>I27/10</f>
        <v>37004.300000000003</v>
      </c>
      <c r="J26" s="15"/>
      <c r="K26" s="15"/>
      <c r="L26" s="15"/>
      <c r="M26" s="15"/>
      <c r="N26" s="15"/>
      <c r="O26" s="15"/>
      <c r="P26" s="15"/>
      <c r="Q26" s="15">
        <f>Q27/10</f>
        <v>10000</v>
      </c>
      <c r="R26" s="15"/>
      <c r="S26" s="160">
        <f t="shared" si="1"/>
        <v>0</v>
      </c>
      <c r="T26" s="27"/>
    </row>
    <row r="27" spans="1:22" s="19" customFormat="1" ht="33" hidden="1" customHeight="1">
      <c r="A27" s="376"/>
      <c r="B27" s="11"/>
      <c r="C27" s="12"/>
      <c r="D27" s="20"/>
      <c r="E27" s="13"/>
      <c r="F27" s="14"/>
      <c r="G27" s="14"/>
      <c r="H27" s="17" t="s">
        <v>39</v>
      </c>
      <c r="I27" s="15">
        <v>370043</v>
      </c>
      <c r="J27" s="15"/>
      <c r="K27" s="15"/>
      <c r="L27" s="15"/>
      <c r="M27" s="15"/>
      <c r="N27" s="15"/>
      <c r="O27" s="15"/>
      <c r="P27" s="15"/>
      <c r="Q27" s="15">
        <v>100000</v>
      </c>
      <c r="R27" s="15"/>
      <c r="S27" s="160">
        <f t="shared" si="1"/>
        <v>0</v>
      </c>
      <c r="T27" s="27"/>
    </row>
    <row r="28" spans="1:22" s="19" customFormat="1" ht="33" customHeight="1">
      <c r="A28" s="376"/>
      <c r="B28" s="11">
        <v>9</v>
      </c>
      <c r="C28" s="142" t="s">
        <v>45</v>
      </c>
      <c r="D28" s="178" t="s">
        <v>1197</v>
      </c>
      <c r="E28" s="148">
        <v>1</v>
      </c>
      <c r="F28" s="159">
        <v>49900</v>
      </c>
      <c r="G28" s="159">
        <f t="shared" ref="G28" si="8">E28*F28</f>
        <v>49900</v>
      </c>
      <c r="H28" s="159"/>
      <c r="I28" s="160"/>
      <c r="J28" s="160"/>
      <c r="K28" s="160"/>
      <c r="L28" s="160"/>
      <c r="M28" s="160"/>
      <c r="N28" s="160"/>
      <c r="O28" s="160"/>
      <c r="P28" s="160"/>
      <c r="Q28" s="160"/>
      <c r="R28" s="160">
        <v>0</v>
      </c>
      <c r="S28" s="160">
        <f t="shared" si="1"/>
        <v>49900</v>
      </c>
      <c r="T28" s="231"/>
    </row>
    <row r="29" spans="1:22" s="19" customFormat="1" ht="33" customHeight="1">
      <c r="A29" s="376"/>
      <c r="B29" s="11">
        <v>10</v>
      </c>
      <c r="C29" s="142" t="s">
        <v>46</v>
      </c>
      <c r="D29" s="178" t="str">
        <f>COVER!B24</f>
        <v>A351 CF8M</v>
      </c>
      <c r="E29" s="148">
        <v>1</v>
      </c>
      <c r="F29" s="235">
        <f>IF(D29="A351 CF8M",Y98,IF(D29="B148 C95400",Z98))</f>
        <v>75000</v>
      </c>
      <c r="G29" s="159">
        <f>F29*E29</f>
        <v>75000</v>
      </c>
      <c r="H29" s="159"/>
      <c r="I29" s="160">
        <f>I30*I31</f>
        <v>3065.28</v>
      </c>
      <c r="J29" s="160">
        <f t="shared" ref="J29:Q29" si="9">J30*J31</f>
        <v>3260.86</v>
      </c>
      <c r="K29" s="160">
        <f t="shared" si="9"/>
        <v>0</v>
      </c>
      <c r="L29" s="160">
        <f t="shared" si="9"/>
        <v>0</v>
      </c>
      <c r="M29" s="160">
        <f t="shared" si="9"/>
        <v>0</v>
      </c>
      <c r="N29" s="160">
        <f t="shared" si="9"/>
        <v>0</v>
      </c>
      <c r="O29" s="160">
        <f t="shared" si="9"/>
        <v>0</v>
      </c>
      <c r="P29" s="160">
        <f t="shared" si="9"/>
        <v>0</v>
      </c>
      <c r="Q29" s="160">
        <f t="shared" si="9"/>
        <v>0</v>
      </c>
      <c r="R29" s="160">
        <v>0</v>
      </c>
      <c r="S29" s="160">
        <f t="shared" si="1"/>
        <v>75000</v>
      </c>
      <c r="T29" s="231"/>
    </row>
    <row r="30" spans="1:22" s="19" customFormat="1" ht="33" hidden="1" customHeight="1">
      <c r="A30" s="376"/>
      <c r="B30" s="11"/>
      <c r="C30" s="12"/>
      <c r="D30" s="24"/>
      <c r="E30" s="13"/>
      <c r="F30" s="14"/>
      <c r="G30" s="14"/>
      <c r="H30" s="17" t="s">
        <v>39</v>
      </c>
      <c r="I30" s="21">
        <v>0.2</v>
      </c>
      <c r="J30" s="21">
        <v>0.2</v>
      </c>
      <c r="K30" s="21"/>
      <c r="L30" s="21"/>
      <c r="M30" s="21"/>
      <c r="N30" s="21"/>
      <c r="O30" s="21"/>
      <c r="P30" s="21"/>
      <c r="Q30" s="21"/>
      <c r="R30" s="15"/>
      <c r="S30" s="160">
        <f t="shared" si="1"/>
        <v>0</v>
      </c>
      <c r="T30" s="22"/>
    </row>
    <row r="31" spans="1:22" s="19" customFormat="1" ht="33" hidden="1" customHeight="1">
      <c r="A31" s="376"/>
      <c r="B31" s="11"/>
      <c r="C31" s="12"/>
      <c r="D31" s="24"/>
      <c r="E31" s="13"/>
      <c r="F31" s="14"/>
      <c r="G31" s="14"/>
      <c r="H31" s="17" t="s">
        <v>39</v>
      </c>
      <c r="I31" s="15">
        <f>I32/10</f>
        <v>15326.4</v>
      </c>
      <c r="J31" s="15">
        <f>J32/10</f>
        <v>16304.3</v>
      </c>
      <c r="K31" s="15"/>
      <c r="L31" s="15"/>
      <c r="M31" s="15"/>
      <c r="N31" s="15"/>
      <c r="O31" s="15"/>
      <c r="P31" s="15"/>
      <c r="Q31" s="15"/>
      <c r="R31" s="15"/>
      <c r="S31" s="160">
        <f t="shared" si="1"/>
        <v>0</v>
      </c>
      <c r="T31" s="22"/>
    </row>
    <row r="32" spans="1:22" s="19" customFormat="1" ht="33" hidden="1" customHeight="1">
      <c r="A32" s="376"/>
      <c r="B32" s="11"/>
      <c r="C32" s="12"/>
      <c r="D32" s="24"/>
      <c r="E32" s="13"/>
      <c r="F32" s="14"/>
      <c r="G32" s="14"/>
      <c r="H32" s="17" t="s">
        <v>39</v>
      </c>
      <c r="I32" s="15">
        <v>153264</v>
      </c>
      <c r="J32" s="15">
        <v>163043</v>
      </c>
      <c r="K32" s="15"/>
      <c r="L32" s="15"/>
      <c r="M32" s="15"/>
      <c r="N32" s="15"/>
      <c r="O32" s="15"/>
      <c r="P32" s="15"/>
      <c r="Q32" s="15"/>
      <c r="R32" s="15"/>
      <c r="S32" s="160">
        <f t="shared" si="1"/>
        <v>0</v>
      </c>
      <c r="T32" s="22"/>
    </row>
    <row r="33" spans="1:23" s="19" customFormat="1" ht="33" customHeight="1">
      <c r="A33" s="376"/>
      <c r="B33" s="11">
        <v>11</v>
      </c>
      <c r="C33" s="142" t="s">
        <v>47</v>
      </c>
      <c r="D33" s="178" t="str">
        <f>COVER!B26</f>
        <v>316+NICKEL</v>
      </c>
      <c r="E33" s="148">
        <v>1</v>
      </c>
      <c r="F33" s="159">
        <f>IF(D33="316+NICKEL",Y101,IF(D33="B148 C95400",Z101))</f>
        <v>22000</v>
      </c>
      <c r="G33" s="159">
        <f>F33*E33</f>
        <v>22000</v>
      </c>
      <c r="H33" s="159"/>
      <c r="I33" s="160">
        <f>I34*I35</f>
        <v>4597.92</v>
      </c>
      <c r="J33" s="160">
        <f t="shared" ref="J33:Q33" si="10">J34*J35</f>
        <v>0</v>
      </c>
      <c r="K33" s="160">
        <f t="shared" si="10"/>
        <v>0</v>
      </c>
      <c r="L33" s="160">
        <f t="shared" si="10"/>
        <v>0</v>
      </c>
      <c r="M33" s="160">
        <f t="shared" si="10"/>
        <v>0</v>
      </c>
      <c r="N33" s="160">
        <f t="shared" si="10"/>
        <v>0</v>
      </c>
      <c r="O33" s="160">
        <f t="shared" si="10"/>
        <v>0</v>
      </c>
      <c r="P33" s="160">
        <f t="shared" si="10"/>
        <v>0</v>
      </c>
      <c r="Q33" s="160">
        <f t="shared" si="10"/>
        <v>0</v>
      </c>
      <c r="R33" s="160">
        <v>0</v>
      </c>
      <c r="S33" s="160">
        <f t="shared" si="1"/>
        <v>22000</v>
      </c>
      <c r="T33" s="177" t="s">
        <v>1200</v>
      </c>
    </row>
    <row r="34" spans="1:23" s="19" customFormat="1" ht="33" hidden="1" customHeight="1">
      <c r="A34" s="376"/>
      <c r="B34" s="11"/>
      <c r="C34" s="12"/>
      <c r="D34" s="24"/>
      <c r="E34" s="13"/>
      <c r="F34" s="14"/>
      <c r="G34" s="14"/>
      <c r="H34" s="17" t="s">
        <v>39</v>
      </c>
      <c r="I34" s="21">
        <v>0.3</v>
      </c>
      <c r="J34" s="21"/>
      <c r="K34" s="21"/>
      <c r="L34" s="21"/>
      <c r="M34" s="21"/>
      <c r="N34" s="21"/>
      <c r="O34" s="21"/>
      <c r="P34" s="21"/>
      <c r="Q34" s="21"/>
      <c r="R34" s="15"/>
      <c r="S34" s="160">
        <f t="shared" si="1"/>
        <v>0</v>
      </c>
      <c r="T34" s="22"/>
    </row>
    <row r="35" spans="1:23" s="19" customFormat="1" ht="33" hidden="1" customHeight="1">
      <c r="A35" s="376"/>
      <c r="B35" s="11"/>
      <c r="C35" s="12"/>
      <c r="D35" s="24"/>
      <c r="E35" s="13"/>
      <c r="F35" s="14"/>
      <c r="G35" s="14"/>
      <c r="H35" s="17" t="s">
        <v>39</v>
      </c>
      <c r="I35" s="15">
        <f>I36/10</f>
        <v>15326.4</v>
      </c>
      <c r="J35" s="15"/>
      <c r="K35" s="15"/>
      <c r="L35" s="15"/>
      <c r="M35" s="15"/>
      <c r="N35" s="15"/>
      <c r="O35" s="15"/>
      <c r="P35" s="15"/>
      <c r="Q35" s="15"/>
      <c r="R35" s="15"/>
      <c r="S35" s="160">
        <f t="shared" si="1"/>
        <v>0</v>
      </c>
      <c r="T35" s="22"/>
    </row>
    <row r="36" spans="1:23" s="19" customFormat="1" ht="33" hidden="1" customHeight="1">
      <c r="A36" s="376"/>
      <c r="B36" s="11"/>
      <c r="C36" s="12"/>
      <c r="D36" s="24"/>
      <c r="E36" s="13"/>
      <c r="F36" s="14"/>
      <c r="G36" s="14"/>
      <c r="H36" s="17" t="s">
        <v>39</v>
      </c>
      <c r="I36" s="15">
        <v>153264</v>
      </c>
      <c r="J36" s="15"/>
      <c r="K36" s="15"/>
      <c r="L36" s="15"/>
      <c r="M36" s="15"/>
      <c r="N36" s="15"/>
      <c r="O36" s="15"/>
      <c r="P36" s="15"/>
      <c r="Q36" s="15"/>
      <c r="R36" s="15"/>
      <c r="S36" s="160">
        <f t="shared" si="1"/>
        <v>0</v>
      </c>
      <c r="T36" s="22"/>
    </row>
    <row r="37" spans="1:23" s="19" customFormat="1" ht="33" customHeight="1">
      <c r="A37" s="376"/>
      <c r="B37" s="11">
        <v>12</v>
      </c>
      <c r="C37" s="169" t="s">
        <v>954</v>
      </c>
      <c r="D37" s="158" t="str">
        <f>COVER!B22</f>
        <v>B7(다크로)</v>
      </c>
      <c r="E37" s="148">
        <v>6</v>
      </c>
      <c r="F37" s="159">
        <f>IF(D37="B8",Y93,IF(D37="B8M",Z93,IF(D37="B7(다크로)",AA93)))</f>
        <v>1500</v>
      </c>
      <c r="G37" s="159">
        <f>E37*F37</f>
        <v>9000</v>
      </c>
      <c r="H37" s="159"/>
      <c r="I37" s="160">
        <v>0</v>
      </c>
      <c r="J37" s="160">
        <v>0</v>
      </c>
      <c r="K37" s="160">
        <v>0</v>
      </c>
      <c r="L37" s="160">
        <v>0</v>
      </c>
      <c r="M37" s="160">
        <v>0</v>
      </c>
      <c r="N37" s="160">
        <v>0</v>
      </c>
      <c r="O37" s="160">
        <v>0</v>
      </c>
      <c r="P37" s="160">
        <v>0</v>
      </c>
      <c r="Q37" s="160">
        <v>0</v>
      </c>
      <c r="R37" s="160">
        <v>0</v>
      </c>
      <c r="S37" s="160">
        <f t="shared" si="1"/>
        <v>9000</v>
      </c>
      <c r="T37" s="224"/>
    </row>
    <row r="38" spans="1:23" s="19" customFormat="1" ht="33" customHeight="1">
      <c r="A38" s="376"/>
      <c r="B38" s="11">
        <v>13</v>
      </c>
      <c r="C38" s="29" t="s">
        <v>49</v>
      </c>
      <c r="D38" s="24"/>
      <c r="E38" s="13">
        <v>1</v>
      </c>
      <c r="F38" s="14">
        <v>10000</v>
      </c>
      <c r="G38" s="14">
        <f t="shared" ref="G38:G61" si="11">E38*F38</f>
        <v>10000</v>
      </c>
      <c r="H38" s="14"/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60">
        <f t="shared" si="1"/>
        <v>10000</v>
      </c>
      <c r="T38" s="22"/>
    </row>
    <row r="39" spans="1:23" s="19" customFormat="1" ht="33" customHeight="1">
      <c r="A39" s="376"/>
      <c r="B39" s="11">
        <v>14</v>
      </c>
      <c r="C39" s="233" t="s">
        <v>50</v>
      </c>
      <c r="D39" s="178" t="str">
        <f>COVER!B23</f>
        <v>316+NICKEL</v>
      </c>
      <c r="E39" s="148">
        <v>2</v>
      </c>
      <c r="F39" s="159">
        <f>IF(D39="316+NICKEL",Y97,IF(D39="B148 C95400",Z97))</f>
        <v>86000</v>
      </c>
      <c r="G39" s="159">
        <f>F39*1</f>
        <v>86000</v>
      </c>
      <c r="H39" s="159"/>
      <c r="I39" s="160">
        <f t="shared" ref="I39:Q40" si="12">I40*I41</f>
        <v>0</v>
      </c>
      <c r="J39" s="160">
        <f t="shared" si="12"/>
        <v>0</v>
      </c>
      <c r="K39" s="160">
        <f t="shared" si="12"/>
        <v>0</v>
      </c>
      <c r="L39" s="160">
        <f t="shared" si="12"/>
        <v>0</v>
      </c>
      <c r="M39" s="160">
        <f t="shared" si="12"/>
        <v>0</v>
      </c>
      <c r="N39" s="160">
        <f t="shared" si="12"/>
        <v>0</v>
      </c>
      <c r="O39" s="160">
        <f t="shared" si="12"/>
        <v>0</v>
      </c>
      <c r="P39" s="160">
        <f t="shared" si="12"/>
        <v>0</v>
      </c>
      <c r="Q39" s="160">
        <f t="shared" si="12"/>
        <v>0</v>
      </c>
      <c r="R39" s="160">
        <v>0</v>
      </c>
      <c r="S39" s="160">
        <f t="shared" si="1"/>
        <v>86000</v>
      </c>
      <c r="T39" s="177" t="s">
        <v>1200</v>
      </c>
    </row>
    <row r="40" spans="1:23" s="19" customFormat="1" ht="33" customHeight="1">
      <c r="A40" s="376"/>
      <c r="B40" s="11">
        <v>15</v>
      </c>
      <c r="C40" s="142" t="s">
        <v>51</v>
      </c>
      <c r="D40" s="178" t="str">
        <f>COVER!B23</f>
        <v>316+NICKEL</v>
      </c>
      <c r="E40" s="148">
        <v>2</v>
      </c>
      <c r="F40" s="159">
        <f>IF(D40="316+NICKEL",Y98,IF(D40="B148 C95400",Z98))</f>
        <v>75000</v>
      </c>
      <c r="G40" s="159">
        <f>F40*1</f>
        <v>75000</v>
      </c>
      <c r="H40" s="159"/>
      <c r="I40" s="160">
        <f t="shared" si="12"/>
        <v>0</v>
      </c>
      <c r="J40" s="160">
        <f t="shared" si="12"/>
        <v>0</v>
      </c>
      <c r="K40" s="160">
        <f t="shared" si="12"/>
        <v>0</v>
      </c>
      <c r="L40" s="160">
        <f t="shared" si="12"/>
        <v>0</v>
      </c>
      <c r="M40" s="160">
        <f t="shared" si="12"/>
        <v>0</v>
      </c>
      <c r="N40" s="160">
        <f t="shared" si="12"/>
        <v>0</v>
      </c>
      <c r="O40" s="160">
        <f t="shared" si="12"/>
        <v>0</v>
      </c>
      <c r="P40" s="160">
        <f t="shared" si="12"/>
        <v>0</v>
      </c>
      <c r="Q40" s="160">
        <f t="shared" si="12"/>
        <v>0</v>
      </c>
      <c r="R40" s="160">
        <v>0</v>
      </c>
      <c r="S40" s="160">
        <f t="shared" si="1"/>
        <v>75000</v>
      </c>
      <c r="T40" s="177" t="s">
        <v>1200</v>
      </c>
    </row>
    <row r="41" spans="1:23" s="19" customFormat="1" ht="33" hidden="1" customHeight="1">
      <c r="A41" s="376"/>
      <c r="B41" s="11"/>
      <c r="C41" s="12"/>
      <c r="D41" s="20"/>
      <c r="E41" s="13"/>
      <c r="F41" s="14"/>
      <c r="G41" s="14"/>
      <c r="H41" s="17" t="s">
        <v>39</v>
      </c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60">
        <f t="shared" si="1"/>
        <v>0</v>
      </c>
      <c r="T41" s="22"/>
    </row>
    <row r="42" spans="1:23" s="19" customFormat="1" ht="33" hidden="1" customHeight="1">
      <c r="A42" s="376"/>
      <c r="B42" s="11"/>
      <c r="C42" s="12"/>
      <c r="D42" s="20"/>
      <c r="E42" s="13"/>
      <c r="F42" s="14"/>
      <c r="G42" s="14"/>
      <c r="H42" s="17" t="s">
        <v>39</v>
      </c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60">
        <f t="shared" si="1"/>
        <v>0</v>
      </c>
      <c r="T42" s="22"/>
    </row>
    <row r="43" spans="1:23" s="19" customFormat="1" ht="33" hidden="1" customHeight="1">
      <c r="A43" s="376"/>
      <c r="B43" s="11"/>
      <c r="C43" s="12"/>
      <c r="D43" s="20"/>
      <c r="E43" s="13"/>
      <c r="F43" s="14"/>
      <c r="G43" s="14"/>
      <c r="H43" s="17" t="s">
        <v>39</v>
      </c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60">
        <f t="shared" si="1"/>
        <v>0</v>
      </c>
      <c r="T43" s="22"/>
    </row>
    <row r="44" spans="1:23" s="19" customFormat="1" ht="33" customHeight="1">
      <c r="A44" s="376"/>
      <c r="B44" s="11">
        <v>16</v>
      </c>
      <c r="C44" s="142" t="s">
        <v>52</v>
      </c>
      <c r="D44" s="178" t="str">
        <f>COVER!B25</f>
        <v>316+NICKEL</v>
      </c>
      <c r="E44" s="148">
        <v>1</v>
      </c>
      <c r="F44" s="159">
        <f>IF(D44="316+NICKEL",Y100,IF(D44="B148 C95400",Z100))</f>
        <v>13500</v>
      </c>
      <c r="G44" s="159">
        <f>F44*E44</f>
        <v>13500</v>
      </c>
      <c r="H44" s="159"/>
      <c r="I44" s="160">
        <v>0</v>
      </c>
      <c r="J44" s="160">
        <v>0</v>
      </c>
      <c r="K44" s="160">
        <v>0</v>
      </c>
      <c r="L44" s="160">
        <v>0</v>
      </c>
      <c r="M44" s="160">
        <v>0</v>
      </c>
      <c r="N44" s="160">
        <v>0</v>
      </c>
      <c r="O44" s="160">
        <v>1000</v>
      </c>
      <c r="P44" s="160">
        <v>0</v>
      </c>
      <c r="Q44" s="160">
        <v>0</v>
      </c>
      <c r="R44" s="160">
        <v>0</v>
      </c>
      <c r="S44" s="160">
        <f t="shared" si="1"/>
        <v>13500</v>
      </c>
      <c r="T44" s="177" t="s">
        <v>1200</v>
      </c>
      <c r="U44" s="236"/>
    </row>
    <row r="45" spans="1:23" s="19" customFormat="1" ht="33" customHeight="1">
      <c r="A45" s="376"/>
      <c r="B45" s="11">
        <v>17</v>
      </c>
      <c r="C45" s="175" t="s">
        <v>53</v>
      </c>
      <c r="D45" s="158" t="s">
        <v>463</v>
      </c>
      <c r="E45" s="159">
        <v>1</v>
      </c>
      <c r="F45" s="159">
        <f>Y87</f>
        <v>3660</v>
      </c>
      <c r="G45" s="159">
        <f>F45*E45</f>
        <v>3660</v>
      </c>
      <c r="H45" s="160">
        <v>0</v>
      </c>
      <c r="I45" s="160">
        <v>0</v>
      </c>
      <c r="J45" s="160">
        <v>0</v>
      </c>
      <c r="K45" s="160">
        <v>0</v>
      </c>
      <c r="L45" s="160">
        <v>0</v>
      </c>
      <c r="M45" s="160">
        <v>0</v>
      </c>
      <c r="N45" s="160">
        <v>0</v>
      </c>
      <c r="O45" s="160">
        <v>0</v>
      </c>
      <c r="P45" s="160">
        <v>0</v>
      </c>
      <c r="Q45" s="160"/>
      <c r="R45" s="160">
        <v>0</v>
      </c>
      <c r="S45" s="160">
        <f t="shared" si="1"/>
        <v>3660</v>
      </c>
      <c r="T45" s="22"/>
      <c r="W45" s="19" t="s">
        <v>740</v>
      </c>
    </row>
    <row r="46" spans="1:23" s="19" customFormat="1" ht="33" customHeight="1">
      <c r="A46" s="376"/>
      <c r="B46" s="11">
        <v>18</v>
      </c>
      <c r="C46" s="175" t="s">
        <v>1205</v>
      </c>
      <c r="D46" s="178" t="str">
        <f>COVER!B29</f>
        <v>SS400</v>
      </c>
      <c r="E46" s="148">
        <v>1</v>
      </c>
      <c r="F46" s="159">
        <f>IF(D46="SS400",Y105,IF(D46="SS316",Z105,IF(D46="SS304",AA105)))</f>
        <v>8910</v>
      </c>
      <c r="G46" s="159">
        <f>F46*E46</f>
        <v>8910</v>
      </c>
      <c r="H46" s="159"/>
      <c r="I46" s="160">
        <f>I47*I48</f>
        <v>4597.92</v>
      </c>
      <c r="J46" s="160">
        <v>0</v>
      </c>
      <c r="K46" s="160">
        <v>0</v>
      </c>
      <c r="L46" s="160">
        <v>0</v>
      </c>
      <c r="M46" s="160">
        <v>0</v>
      </c>
      <c r="N46" s="160">
        <v>0</v>
      </c>
      <c r="O46" s="160">
        <v>0</v>
      </c>
      <c r="P46" s="160">
        <v>0</v>
      </c>
      <c r="Q46" s="160">
        <v>0</v>
      </c>
      <c r="R46" s="160">
        <v>9500</v>
      </c>
      <c r="S46" s="160">
        <f t="shared" si="1"/>
        <v>18410</v>
      </c>
      <c r="T46" s="224"/>
    </row>
    <row r="47" spans="1:23" s="19" customFormat="1" ht="33" hidden="1" customHeight="1">
      <c r="A47" s="376"/>
      <c r="B47" s="11"/>
      <c r="C47" s="31"/>
      <c r="D47" s="24"/>
      <c r="E47" s="13"/>
      <c r="F47" s="14"/>
      <c r="G47" s="14"/>
      <c r="H47" s="17" t="s">
        <v>39</v>
      </c>
      <c r="I47" s="21">
        <v>0.3</v>
      </c>
      <c r="J47" s="21"/>
      <c r="K47" s="21"/>
      <c r="L47" s="21"/>
      <c r="M47" s="21"/>
      <c r="N47" s="21"/>
      <c r="O47" s="21"/>
      <c r="P47" s="21"/>
      <c r="Q47" s="21"/>
      <c r="R47" s="15"/>
      <c r="S47" s="160">
        <f t="shared" si="1"/>
        <v>0</v>
      </c>
      <c r="T47" s="22"/>
    </row>
    <row r="48" spans="1:23" s="19" customFormat="1" ht="33" hidden="1" customHeight="1">
      <c r="A48" s="376"/>
      <c r="B48" s="11"/>
      <c r="C48" s="31"/>
      <c r="D48" s="24"/>
      <c r="E48" s="13"/>
      <c r="F48" s="14"/>
      <c r="G48" s="14"/>
      <c r="H48" s="17" t="s">
        <v>39</v>
      </c>
      <c r="I48" s="15">
        <f>I49/10</f>
        <v>15326.4</v>
      </c>
      <c r="J48" s="15"/>
      <c r="K48" s="15"/>
      <c r="L48" s="15"/>
      <c r="M48" s="15"/>
      <c r="N48" s="15"/>
      <c r="O48" s="15"/>
      <c r="P48" s="15"/>
      <c r="Q48" s="15"/>
      <c r="R48" s="15"/>
      <c r="S48" s="160">
        <f t="shared" si="1"/>
        <v>0</v>
      </c>
      <c r="T48" s="22"/>
    </row>
    <row r="49" spans="1:21" s="19" customFormat="1" ht="33" hidden="1" customHeight="1">
      <c r="A49" s="376"/>
      <c r="B49" s="11"/>
      <c r="C49" s="31"/>
      <c r="D49" s="24"/>
      <c r="E49" s="13"/>
      <c r="F49" s="14"/>
      <c r="G49" s="14"/>
      <c r="H49" s="17" t="s">
        <v>39</v>
      </c>
      <c r="I49" s="15">
        <v>153264</v>
      </c>
      <c r="J49" s="15"/>
      <c r="K49" s="15"/>
      <c r="L49" s="15"/>
      <c r="M49" s="15"/>
      <c r="N49" s="15"/>
      <c r="O49" s="15"/>
      <c r="P49" s="15"/>
      <c r="Q49" s="15"/>
      <c r="R49" s="15"/>
      <c r="S49" s="160">
        <f t="shared" si="1"/>
        <v>0</v>
      </c>
      <c r="T49" s="22"/>
    </row>
    <row r="50" spans="1:21" s="19" customFormat="1" ht="33" customHeight="1">
      <c r="A50" s="376"/>
      <c r="B50" s="11">
        <v>19</v>
      </c>
      <c r="C50" s="226" t="s">
        <v>55</v>
      </c>
      <c r="D50" s="158" t="str">
        <f>COVER!B22</f>
        <v>B7(다크로)</v>
      </c>
      <c r="E50" s="148">
        <v>6</v>
      </c>
      <c r="F50" s="159">
        <f>IF(D50="B8",Y94,IF(D50="B8M",Z94,IF(D50="B7(다크로)",AA94)))</f>
        <v>2000</v>
      </c>
      <c r="G50" s="159">
        <f>E50*F50</f>
        <v>12000</v>
      </c>
      <c r="H50" s="159"/>
      <c r="I50" s="160">
        <v>0</v>
      </c>
      <c r="J50" s="160">
        <v>0</v>
      </c>
      <c r="K50" s="160">
        <v>0</v>
      </c>
      <c r="L50" s="160">
        <v>0</v>
      </c>
      <c r="M50" s="160">
        <v>0</v>
      </c>
      <c r="N50" s="160">
        <v>0</v>
      </c>
      <c r="O50" s="160">
        <v>0</v>
      </c>
      <c r="P50" s="160">
        <v>0</v>
      </c>
      <c r="Q50" s="160">
        <v>0</v>
      </c>
      <c r="R50" s="160">
        <v>0</v>
      </c>
      <c r="S50" s="160">
        <f t="shared" si="1"/>
        <v>12000</v>
      </c>
      <c r="T50" s="231"/>
    </row>
    <row r="51" spans="1:21" s="19" customFormat="1" ht="33" customHeight="1">
      <c r="A51" s="376"/>
      <c r="B51" s="11">
        <v>20</v>
      </c>
      <c r="C51" s="169" t="s">
        <v>56</v>
      </c>
      <c r="D51" s="305" t="str">
        <f>D24</f>
        <v>A564T630</v>
      </c>
      <c r="E51" s="148">
        <v>4</v>
      </c>
      <c r="F51" s="159">
        <f>IF(D51="A276T316L",Y80/E51,IF(D51="A276T304",Z80/E51,IF(D51="A564T630",AA80/E51,IF(D51="A479T410",AB80/E51,IF(D51="UNS S31803",AC80/E51,IF(D51="UNS S32750",AD80/E51,IF(D51="MONEL K-500",AE80/E51)))))))</f>
        <v>1350</v>
      </c>
      <c r="G51" s="159">
        <f>F51*E51</f>
        <v>5400</v>
      </c>
      <c r="H51" s="159"/>
      <c r="I51" s="160">
        <v>0</v>
      </c>
      <c r="J51" s="160">
        <v>0</v>
      </c>
      <c r="K51" s="160">
        <v>0</v>
      </c>
      <c r="L51" s="160">
        <v>0</v>
      </c>
      <c r="M51" s="160">
        <v>0</v>
      </c>
      <c r="N51" s="160">
        <v>0</v>
      </c>
      <c r="O51" s="160">
        <v>1000</v>
      </c>
      <c r="P51" s="160">
        <v>0</v>
      </c>
      <c r="Q51" s="160">
        <v>0</v>
      </c>
      <c r="R51" s="160">
        <f>E51*4000</f>
        <v>16000</v>
      </c>
      <c r="S51" s="160">
        <f t="shared" si="1"/>
        <v>21400</v>
      </c>
      <c r="T51" s="22"/>
      <c r="U51" s="162"/>
    </row>
    <row r="52" spans="1:21" s="19" customFormat="1" ht="33" customHeight="1">
      <c r="A52" s="376"/>
      <c r="B52" s="11">
        <v>21</v>
      </c>
      <c r="C52" s="169" t="s">
        <v>57</v>
      </c>
      <c r="D52" s="178" t="str">
        <f>COVER!B22</f>
        <v>B7(다크로)</v>
      </c>
      <c r="E52" s="148">
        <v>4</v>
      </c>
      <c r="F52" s="159">
        <f>IF(D52="B8",Y90,IF(D52="B8M",Z90,IF(D52="B7(다크로)",AA90)))</f>
        <v>5000</v>
      </c>
      <c r="G52" s="159">
        <f>F52*E52</f>
        <v>20000</v>
      </c>
      <c r="H52" s="159"/>
      <c r="I52" s="160">
        <v>0</v>
      </c>
      <c r="J52" s="160">
        <v>0</v>
      </c>
      <c r="K52" s="160">
        <v>0</v>
      </c>
      <c r="L52" s="160">
        <v>0</v>
      </c>
      <c r="M52" s="160">
        <v>0</v>
      </c>
      <c r="N52" s="160">
        <v>1000</v>
      </c>
      <c r="O52" s="160">
        <v>1000</v>
      </c>
      <c r="P52" s="160">
        <v>1000</v>
      </c>
      <c r="Q52" s="160">
        <v>0</v>
      </c>
      <c r="R52" s="160">
        <v>0</v>
      </c>
      <c r="S52" s="160">
        <f t="shared" si="1"/>
        <v>20000</v>
      </c>
      <c r="T52" s="22"/>
      <c r="U52" s="162"/>
    </row>
    <row r="53" spans="1:21" s="19" customFormat="1" ht="33" customHeight="1">
      <c r="A53" s="376"/>
      <c r="B53" s="11">
        <v>22</v>
      </c>
      <c r="C53" s="169" t="s">
        <v>1199</v>
      </c>
      <c r="D53" s="178" t="str">
        <f>COVER!B26</f>
        <v>316+NICKEL</v>
      </c>
      <c r="E53" s="148">
        <v>1</v>
      </c>
      <c r="F53" s="159">
        <f>IF(D53="316+NICKEL",Y101,IF(D53="B148 C95400",Z101))</f>
        <v>22000</v>
      </c>
      <c r="G53" s="159">
        <f>F53*E53</f>
        <v>22000</v>
      </c>
      <c r="H53" s="159"/>
      <c r="I53" s="160"/>
      <c r="J53" s="160"/>
      <c r="K53" s="160"/>
      <c r="L53" s="160"/>
      <c r="M53" s="160"/>
      <c r="N53" s="160"/>
      <c r="O53" s="160"/>
      <c r="P53" s="160"/>
      <c r="Q53" s="160"/>
      <c r="R53" s="160">
        <v>0</v>
      </c>
      <c r="S53" s="160">
        <f t="shared" si="1"/>
        <v>22000</v>
      </c>
      <c r="T53" s="224"/>
    </row>
    <row r="54" spans="1:21" s="19" customFormat="1" ht="33" customHeight="1">
      <c r="A54" s="376"/>
      <c r="B54" s="11">
        <v>23</v>
      </c>
      <c r="C54" s="29" t="s">
        <v>58</v>
      </c>
      <c r="D54" s="24"/>
      <c r="E54" s="13">
        <v>1</v>
      </c>
      <c r="F54" s="14">
        <v>3000</v>
      </c>
      <c r="G54" s="14">
        <f t="shared" si="11"/>
        <v>3000</v>
      </c>
      <c r="H54" s="14"/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1000</v>
      </c>
      <c r="Q54" s="15">
        <v>0</v>
      </c>
      <c r="R54" s="15">
        <v>0</v>
      </c>
      <c r="S54" s="160">
        <f t="shared" si="1"/>
        <v>3000</v>
      </c>
      <c r="T54" s="22"/>
    </row>
    <row r="55" spans="1:21" s="19" customFormat="1" ht="33" customHeight="1">
      <c r="A55" s="376"/>
      <c r="B55" s="11">
        <v>24</v>
      </c>
      <c r="C55" s="142" t="s">
        <v>59</v>
      </c>
      <c r="D55" s="178" t="str">
        <f>COVER!B35</f>
        <v>GEAR</v>
      </c>
      <c r="E55" s="148">
        <v>1</v>
      </c>
      <c r="F55" s="235">
        <f>IF(D55="GEAR",304200,IF(D55="MOTOR",0,IF(D55="PNEUMATIC",0)))</f>
        <v>304200</v>
      </c>
      <c r="G55" s="159">
        <f>F55</f>
        <v>304200</v>
      </c>
      <c r="H55" s="159"/>
      <c r="I55" s="160">
        <v>0</v>
      </c>
      <c r="J55" s="160">
        <v>0</v>
      </c>
      <c r="K55" s="160">
        <v>0</v>
      </c>
      <c r="L55" s="160">
        <v>0</v>
      </c>
      <c r="M55" s="160">
        <v>0</v>
      </c>
      <c r="N55" s="160">
        <v>0</v>
      </c>
      <c r="O55" s="160">
        <v>0</v>
      </c>
      <c r="P55" s="160">
        <v>0</v>
      </c>
      <c r="Q55" s="160">
        <v>0</v>
      </c>
      <c r="R55" s="160">
        <v>0</v>
      </c>
      <c r="S55" s="160">
        <f t="shared" si="1"/>
        <v>304200</v>
      </c>
      <c r="T55" s="224"/>
    </row>
    <row r="56" spans="1:21" s="19" customFormat="1" ht="33" customHeight="1">
      <c r="A56" s="376"/>
      <c r="B56" s="11">
        <v>25</v>
      </c>
      <c r="C56" s="186" t="s">
        <v>859</v>
      </c>
      <c r="D56" s="178" t="str">
        <f>COVER!B30</f>
        <v>WCB</v>
      </c>
      <c r="E56" s="148">
        <v>19</v>
      </c>
      <c r="F56" s="159">
        <f>IF(D56="WCB",4000,IF(D56="CF8M",9000))</f>
        <v>4000</v>
      </c>
      <c r="G56" s="159">
        <f>E56*F56</f>
        <v>76000</v>
      </c>
      <c r="H56" s="159"/>
      <c r="I56" s="160"/>
      <c r="J56" s="160"/>
      <c r="K56" s="160"/>
      <c r="L56" s="160"/>
      <c r="M56" s="160"/>
      <c r="N56" s="160"/>
      <c r="O56" s="160"/>
      <c r="P56" s="160"/>
      <c r="Q56" s="160"/>
      <c r="R56" s="160">
        <f>IF(D56="WCB",AA107,IF(D56="CF8M",AB107))</f>
        <v>32400</v>
      </c>
      <c r="S56" s="160">
        <f t="shared" si="1"/>
        <v>108400</v>
      </c>
      <c r="T56" s="224"/>
    </row>
    <row r="57" spans="1:21" s="19" customFormat="1" ht="33" customHeight="1">
      <c r="A57" s="376"/>
      <c r="B57" s="11">
        <v>26</v>
      </c>
      <c r="C57" s="175" t="s">
        <v>467</v>
      </c>
      <c r="D57" s="178" t="str">
        <f>COVER!B27</f>
        <v>316+NICKEL</v>
      </c>
      <c r="E57" s="148">
        <v>2</v>
      </c>
      <c r="F57" s="159">
        <f>IF(D57="316+NICKEL",Y102,IF(D57="B148 C95400",Z102))</f>
        <v>30500</v>
      </c>
      <c r="G57" s="159">
        <f>F57</f>
        <v>30500</v>
      </c>
      <c r="H57" s="159"/>
      <c r="I57" s="160"/>
      <c r="J57" s="160"/>
      <c r="K57" s="160"/>
      <c r="L57" s="160"/>
      <c r="M57" s="160"/>
      <c r="N57" s="160"/>
      <c r="O57" s="160"/>
      <c r="P57" s="160"/>
      <c r="Q57" s="160"/>
      <c r="R57" s="160">
        <v>0</v>
      </c>
      <c r="S57" s="160">
        <f t="shared" si="1"/>
        <v>30500</v>
      </c>
      <c r="T57" s="177" t="s">
        <v>1200</v>
      </c>
    </row>
    <row r="58" spans="1:21" s="19" customFormat="1" ht="33" customHeight="1">
      <c r="A58" s="376"/>
      <c r="B58" s="11">
        <v>27</v>
      </c>
      <c r="C58" s="175" t="s">
        <v>468</v>
      </c>
      <c r="D58" s="178" t="str">
        <f>COVER!B28</f>
        <v>316+NICKEL</v>
      </c>
      <c r="E58" s="148">
        <v>2</v>
      </c>
      <c r="F58" s="159">
        <f>IF(D58="316+NICKEL",Y103,IF(D58="B148 C95400",Z103))</f>
        <v>3500</v>
      </c>
      <c r="G58" s="159">
        <f>F58</f>
        <v>3500</v>
      </c>
      <c r="H58" s="159"/>
      <c r="I58" s="160"/>
      <c r="J58" s="160"/>
      <c r="K58" s="160"/>
      <c r="L58" s="160"/>
      <c r="M58" s="160"/>
      <c r="N58" s="160"/>
      <c r="O58" s="160"/>
      <c r="P58" s="160"/>
      <c r="Q58" s="160"/>
      <c r="R58" s="160">
        <v>0</v>
      </c>
      <c r="S58" s="160">
        <f t="shared" si="1"/>
        <v>3500</v>
      </c>
      <c r="T58" s="177" t="s">
        <v>1200</v>
      </c>
    </row>
    <row r="59" spans="1:21" s="19" customFormat="1" ht="33" customHeight="1">
      <c r="A59" s="376"/>
      <c r="B59" s="11">
        <v>28</v>
      </c>
      <c r="C59" s="142" t="s">
        <v>60</v>
      </c>
      <c r="D59" s="178" t="str">
        <f>COVER!B22</f>
        <v>B7(다크로)</v>
      </c>
      <c r="E59" s="148">
        <v>4</v>
      </c>
      <c r="F59" s="159">
        <f>IF(D59="B8",Y89,IF(D59="B8M",Z89,IF(D59="B7(다크로)",AA89)))</f>
        <v>1800</v>
      </c>
      <c r="G59" s="159">
        <f t="shared" si="11"/>
        <v>7200</v>
      </c>
      <c r="H59" s="159"/>
      <c r="I59" s="160">
        <v>0</v>
      </c>
      <c r="J59" s="160">
        <v>0</v>
      </c>
      <c r="K59" s="160">
        <v>0</v>
      </c>
      <c r="L59" s="160">
        <v>0</v>
      </c>
      <c r="M59" s="160">
        <v>0</v>
      </c>
      <c r="N59" s="160">
        <v>0</v>
      </c>
      <c r="O59" s="160">
        <v>0</v>
      </c>
      <c r="P59" s="160">
        <v>0</v>
      </c>
      <c r="Q59" s="160">
        <v>0</v>
      </c>
      <c r="R59" s="160">
        <v>0</v>
      </c>
      <c r="S59" s="160">
        <f t="shared" si="1"/>
        <v>7200</v>
      </c>
      <c r="T59" s="177"/>
    </row>
    <row r="60" spans="1:21" s="19" customFormat="1" ht="33" customHeight="1">
      <c r="A60" s="376"/>
      <c r="B60" s="11">
        <v>29</v>
      </c>
      <c r="C60" s="12" t="s">
        <v>61</v>
      </c>
      <c r="D60" s="303" t="str">
        <f>COVER!B32</f>
        <v>외주 2COATING</v>
      </c>
      <c r="E60" s="13">
        <v>1</v>
      </c>
      <c r="F60" s="14">
        <f>IF(COVER!B10="APPLICATION",0,IF(D60="기존 단가",Y116,IF(D60="외주 2COATING",Z116,IF(D60="외주 3COATING",AA116))))</f>
        <v>0</v>
      </c>
      <c r="G60" s="14">
        <f t="shared" si="11"/>
        <v>0</v>
      </c>
      <c r="H60" s="14"/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f t="shared" si="1"/>
        <v>0</v>
      </c>
      <c r="T60" s="22"/>
    </row>
    <row r="61" spans="1:21" s="19" customFormat="1" ht="33" customHeight="1">
      <c r="A61" s="377"/>
      <c r="B61" s="11">
        <v>30</v>
      </c>
      <c r="C61" s="12" t="s">
        <v>62</v>
      </c>
      <c r="D61" s="303" t="str">
        <f>COVER!B33</f>
        <v>신규</v>
      </c>
      <c r="E61" s="13">
        <v>1</v>
      </c>
      <c r="F61" s="14">
        <f>IF(COVER!B10="APPLICATION",0,IF(D61="기존 단가",Y118,IF(D61="신규",Z118)))</f>
        <v>0</v>
      </c>
      <c r="G61" s="14">
        <f t="shared" si="11"/>
        <v>0</v>
      </c>
      <c r="H61" s="14"/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f t="shared" si="1"/>
        <v>0</v>
      </c>
      <c r="T61" s="22"/>
    </row>
    <row r="62" spans="1:21" s="19" customFormat="1" ht="33" customHeight="1">
      <c r="A62" s="378" t="s">
        <v>63</v>
      </c>
      <c r="B62" s="379"/>
      <c r="C62" s="379"/>
      <c r="D62" s="379"/>
      <c r="E62" s="379"/>
      <c r="F62" s="380"/>
      <c r="G62" s="14">
        <f>IF(COVER!B10="APPLICATION",0,IF(D55="GEAR",Y120,IF(D55="MOTOR",Z120,IF(D55="PNEUMATIC",AA120))))</f>
        <v>0</v>
      </c>
      <c r="H62" s="14"/>
      <c r="I62" s="32" t="s">
        <v>38</v>
      </c>
      <c r="J62" s="32"/>
      <c r="K62" s="32"/>
      <c r="L62" s="32"/>
      <c r="M62" s="32"/>
      <c r="N62" s="32"/>
      <c r="O62" s="32"/>
      <c r="P62" s="32"/>
      <c r="Q62" s="32"/>
      <c r="R62" s="33"/>
      <c r="S62" s="33">
        <f t="shared" si="1"/>
        <v>0</v>
      </c>
      <c r="T62" s="253"/>
    </row>
    <row r="63" spans="1:21" s="19" customFormat="1" ht="33" customHeight="1">
      <c r="A63" s="360" t="s">
        <v>64</v>
      </c>
      <c r="B63" s="361"/>
      <c r="C63" s="361"/>
      <c r="D63" s="361"/>
      <c r="E63" s="361"/>
      <c r="F63" s="362"/>
      <c r="G63" s="14"/>
      <c r="H63" s="14"/>
      <c r="I63" s="32"/>
      <c r="J63" s="32"/>
      <c r="K63" s="32"/>
      <c r="L63" s="32"/>
      <c r="M63" s="32"/>
      <c r="N63" s="32"/>
      <c r="O63" s="32"/>
      <c r="P63" s="32"/>
      <c r="Q63" s="32"/>
      <c r="R63" s="33"/>
      <c r="S63" s="33"/>
      <c r="T63" s="253" t="s">
        <v>1526</v>
      </c>
    </row>
    <row r="64" spans="1:21" s="19" customFormat="1" ht="33" customHeight="1">
      <c r="A64" s="378" t="s">
        <v>65</v>
      </c>
      <c r="B64" s="379"/>
      <c r="C64" s="379"/>
      <c r="D64" s="379"/>
      <c r="E64" s="379"/>
      <c r="F64" s="380"/>
      <c r="G64" s="93" t="s">
        <v>38</v>
      </c>
      <c r="H64" s="93"/>
      <c r="I64" s="32"/>
      <c r="J64" s="94"/>
      <c r="K64" s="94"/>
      <c r="L64" s="94"/>
      <c r="M64" s="94"/>
      <c r="N64" s="94"/>
      <c r="O64" s="94"/>
      <c r="P64" s="94"/>
      <c r="Q64" s="94"/>
      <c r="R64" s="94"/>
      <c r="S64" s="34">
        <f>SUM(S8:S63)</f>
        <v>4976729.5</v>
      </c>
      <c r="T64" s="254" t="s">
        <v>145</v>
      </c>
    </row>
    <row r="65" spans="1:32" s="19" customFormat="1" ht="33" customHeight="1">
      <c r="A65" s="378" t="s">
        <v>66</v>
      </c>
      <c r="B65" s="379"/>
      <c r="C65" s="379"/>
      <c r="D65" s="379"/>
      <c r="E65" s="379"/>
      <c r="F65" s="380"/>
      <c r="G65" s="32">
        <v>0.1</v>
      </c>
      <c r="H65" s="32"/>
      <c r="I65" s="32" t="s">
        <v>38</v>
      </c>
      <c r="J65" s="32"/>
      <c r="K65" s="32"/>
      <c r="L65" s="32"/>
      <c r="M65" s="32"/>
      <c r="N65" s="32"/>
      <c r="O65" s="32"/>
      <c r="P65" s="32"/>
      <c r="Q65" s="32"/>
      <c r="R65" s="32"/>
      <c r="S65" s="35">
        <f>S64*G65</f>
        <v>497672.95</v>
      </c>
      <c r="T65" s="253"/>
    </row>
    <row r="66" spans="1:32" s="19" customFormat="1" ht="33" customHeight="1">
      <c r="A66" s="360" t="s">
        <v>67</v>
      </c>
      <c r="B66" s="361"/>
      <c r="C66" s="361"/>
      <c r="D66" s="361"/>
      <c r="E66" s="361"/>
      <c r="F66" s="362"/>
      <c r="G66" s="95">
        <v>0.1</v>
      </c>
      <c r="H66" s="95"/>
      <c r="I66" s="32" t="s">
        <v>38</v>
      </c>
      <c r="J66" s="32"/>
      <c r="K66" s="32"/>
      <c r="L66" s="32"/>
      <c r="M66" s="32"/>
      <c r="N66" s="32"/>
      <c r="O66" s="32"/>
      <c r="P66" s="32"/>
      <c r="Q66" s="32"/>
      <c r="R66" s="32"/>
      <c r="S66" s="35">
        <f>(S64+S65)*G66</f>
        <v>547440.245</v>
      </c>
      <c r="T66" s="253" t="s">
        <v>38</v>
      </c>
    </row>
    <row r="67" spans="1:32" s="19" customFormat="1" ht="33" customHeight="1">
      <c r="A67" s="363" t="s">
        <v>68</v>
      </c>
      <c r="B67" s="364"/>
      <c r="C67" s="364"/>
      <c r="D67" s="364"/>
      <c r="E67" s="364"/>
      <c r="F67" s="365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275">
        <f>S64+S65+S66</f>
        <v>6021842.6950000003</v>
      </c>
      <c r="T67" s="254" t="s">
        <v>69</v>
      </c>
    </row>
    <row r="68" spans="1:32" s="19" customFormat="1" ht="33" customHeight="1">
      <c r="A68" s="366" t="s">
        <v>70</v>
      </c>
      <c r="B68" s="367"/>
      <c r="C68" s="367"/>
      <c r="D68" s="367"/>
      <c r="E68" s="367"/>
      <c r="F68" s="368"/>
      <c r="G68" s="32">
        <f>COVER!B11</f>
        <v>1.5</v>
      </c>
      <c r="H68" s="32"/>
      <c r="I68" s="32" t="s">
        <v>38</v>
      </c>
      <c r="J68" s="32"/>
      <c r="K68" s="32"/>
      <c r="L68" s="32"/>
      <c r="M68" s="32"/>
      <c r="N68" s="32"/>
      <c r="O68" s="32"/>
      <c r="P68" s="32"/>
      <c r="Q68" s="32"/>
      <c r="R68" s="32"/>
      <c r="S68" s="36">
        <f>S67*G68</f>
        <v>9032764.0425000004</v>
      </c>
      <c r="T68" s="253"/>
    </row>
    <row r="69" spans="1:32" s="19" customFormat="1" ht="33" customHeight="1">
      <c r="A69" s="369" t="s">
        <v>71</v>
      </c>
      <c r="B69" s="370"/>
      <c r="C69" s="370"/>
      <c r="D69" s="370"/>
      <c r="E69" s="370"/>
      <c r="F69" s="370"/>
      <c r="G69" s="371"/>
      <c r="H69" s="37"/>
      <c r="I69" s="38"/>
      <c r="J69" s="38"/>
      <c r="K69" s="38"/>
      <c r="L69" s="38"/>
      <c r="M69" s="38"/>
      <c r="N69" s="38"/>
      <c r="O69" s="38"/>
      <c r="P69" s="38"/>
      <c r="Q69" s="38"/>
      <c r="R69" s="39" t="s">
        <v>17</v>
      </c>
      <c r="S69" s="40">
        <f>S68</f>
        <v>9032764.0425000004</v>
      </c>
      <c r="T69" s="246" t="s">
        <v>72</v>
      </c>
      <c r="V69" s="141" t="s">
        <v>972</v>
      </c>
      <c r="W69" s="140"/>
      <c r="X69" s="140"/>
      <c r="Y69" s="140"/>
      <c r="Z69" s="140"/>
      <c r="AA69" s="140"/>
      <c r="AB69" s="140"/>
      <c r="AC69" s="140"/>
      <c r="AD69" s="140"/>
      <c r="AE69" s="140"/>
      <c r="AF69" s="140"/>
    </row>
    <row r="70" spans="1:32" s="19" customFormat="1" ht="33" customHeight="1" thickBot="1">
      <c r="A70" s="372"/>
      <c r="B70" s="373"/>
      <c r="C70" s="373"/>
      <c r="D70" s="373"/>
      <c r="E70" s="373"/>
      <c r="F70" s="373"/>
      <c r="G70" s="374"/>
      <c r="H70" s="41"/>
      <c r="I70" s="42"/>
      <c r="J70" s="42"/>
      <c r="K70" s="42"/>
      <c r="L70" s="42"/>
      <c r="M70" s="42"/>
      <c r="N70" s="42"/>
      <c r="O70" s="42"/>
      <c r="P70" s="42"/>
      <c r="Q70" s="42"/>
      <c r="R70" s="43" t="s">
        <v>18</v>
      </c>
      <c r="S70" s="43">
        <f>S64*G68</f>
        <v>7465094.25</v>
      </c>
      <c r="T70" s="247" t="s">
        <v>73</v>
      </c>
      <c r="V70" s="141" t="s">
        <v>1054</v>
      </c>
      <c r="W70" s="140"/>
      <c r="X70" s="140"/>
      <c r="Y70" s="140"/>
      <c r="Z70" s="140"/>
      <c r="AA70" s="140"/>
      <c r="AB70" s="140"/>
      <c r="AC70" s="140"/>
      <c r="AD70" s="140"/>
      <c r="AE70" s="140"/>
      <c r="AF70" s="140"/>
    </row>
    <row r="71" spans="1:32" ht="15" thickBot="1">
      <c r="V71" s="140"/>
      <c r="W71" s="140"/>
      <c r="X71" s="140"/>
      <c r="Y71" s="140"/>
      <c r="Z71" s="140"/>
      <c r="AA71" s="140"/>
      <c r="AB71" s="140"/>
      <c r="AC71" s="140"/>
      <c r="AD71" s="140"/>
      <c r="AE71" s="140"/>
      <c r="AF71" s="140"/>
    </row>
    <row r="72" spans="1:32" ht="21" thickBot="1">
      <c r="C72" s="44" t="s">
        <v>310</v>
      </c>
      <c r="V72" s="193" t="s">
        <v>863</v>
      </c>
      <c r="W72" s="194" t="s">
        <v>864</v>
      </c>
      <c r="X72" s="194" t="s">
        <v>865</v>
      </c>
      <c r="Y72" s="358" t="s">
        <v>866</v>
      </c>
      <c r="Z72" s="358"/>
      <c r="AA72" s="358"/>
      <c r="AB72" s="358"/>
      <c r="AC72" s="358"/>
      <c r="AD72" s="358"/>
      <c r="AE72" s="358"/>
      <c r="AF72" s="218" t="s">
        <v>867</v>
      </c>
    </row>
    <row r="73" spans="1:32" ht="20.399999999999999">
      <c r="C73" s="44" t="s">
        <v>75</v>
      </c>
      <c r="V73" s="336" t="s">
        <v>868</v>
      </c>
      <c r="W73" s="111" t="s">
        <v>869</v>
      </c>
      <c r="X73" s="111" t="s">
        <v>1055</v>
      </c>
      <c r="Y73" s="345" t="s">
        <v>870</v>
      </c>
      <c r="Z73" s="345"/>
      <c r="AA73" s="345"/>
      <c r="AB73" s="345"/>
      <c r="AC73" s="345"/>
      <c r="AD73" s="345"/>
      <c r="AE73" s="345"/>
      <c r="AF73" s="161" t="s">
        <v>871</v>
      </c>
    </row>
    <row r="74" spans="1:32" ht="21" thickBot="1">
      <c r="C74" s="44" t="s">
        <v>76</v>
      </c>
      <c r="V74" s="342"/>
      <c r="W74" s="133" t="s">
        <v>872</v>
      </c>
      <c r="X74" s="133" t="s">
        <v>1056</v>
      </c>
      <c r="Y74" s="346" t="s">
        <v>870</v>
      </c>
      <c r="Z74" s="346"/>
      <c r="AA74" s="346"/>
      <c r="AB74" s="346"/>
      <c r="AC74" s="346"/>
      <c r="AD74" s="346"/>
      <c r="AE74" s="346"/>
      <c r="AF74" s="195" t="s">
        <v>871</v>
      </c>
    </row>
    <row r="75" spans="1:32" ht="21" thickBot="1">
      <c r="C75" s="44" t="s">
        <v>77</v>
      </c>
      <c r="V75" s="196" t="s">
        <v>874</v>
      </c>
      <c r="W75" s="137" t="s">
        <v>875</v>
      </c>
      <c r="X75" s="137" t="s">
        <v>1057</v>
      </c>
      <c r="Y75" s="359" t="s">
        <v>870</v>
      </c>
      <c r="Z75" s="359"/>
      <c r="AA75" s="359"/>
      <c r="AB75" s="359"/>
      <c r="AC75" s="359"/>
      <c r="AD75" s="359"/>
      <c r="AE75" s="359"/>
      <c r="AF75" s="197" t="s">
        <v>871</v>
      </c>
    </row>
    <row r="76" spans="1:32" ht="20.399999999999999">
      <c r="C76" s="44" t="s">
        <v>78</v>
      </c>
      <c r="V76" s="336" t="s">
        <v>877</v>
      </c>
      <c r="W76" s="111" t="s">
        <v>846</v>
      </c>
      <c r="X76" s="354">
        <v>314000</v>
      </c>
      <c r="Y76" s="354"/>
      <c r="Z76" s="354"/>
      <c r="AA76" s="354"/>
      <c r="AB76" s="354"/>
      <c r="AC76" s="354"/>
      <c r="AD76" s="354"/>
      <c r="AE76" s="354"/>
      <c r="AF76" s="161"/>
    </row>
    <row r="77" spans="1:32" ht="21" thickBot="1">
      <c r="C77" s="44" t="s">
        <v>79</v>
      </c>
      <c r="V77" s="329"/>
      <c r="W77" s="125" t="s">
        <v>847</v>
      </c>
      <c r="X77" s="355">
        <v>439600</v>
      </c>
      <c r="Y77" s="355"/>
      <c r="Z77" s="355"/>
      <c r="AA77" s="355"/>
      <c r="AB77" s="355"/>
      <c r="AC77" s="355"/>
      <c r="AD77" s="355"/>
      <c r="AE77" s="355"/>
      <c r="AF77" s="208"/>
    </row>
    <row r="78" spans="1:32" ht="20.399999999999999">
      <c r="C78" s="44" t="s">
        <v>80</v>
      </c>
      <c r="V78" s="336" t="s">
        <v>878</v>
      </c>
      <c r="W78" s="338" t="s">
        <v>1058</v>
      </c>
      <c r="X78" s="340" t="s">
        <v>879</v>
      </c>
      <c r="Y78" s="171" t="s">
        <v>880</v>
      </c>
      <c r="Z78" s="171">
        <v>304</v>
      </c>
      <c r="AA78" s="171" t="s">
        <v>881</v>
      </c>
      <c r="AB78" s="171" t="s">
        <v>882</v>
      </c>
      <c r="AC78" s="171" t="s">
        <v>883</v>
      </c>
      <c r="AD78" s="171" t="s">
        <v>884</v>
      </c>
      <c r="AE78" s="171" t="s">
        <v>885</v>
      </c>
      <c r="AF78" s="172"/>
    </row>
    <row r="79" spans="1:32" ht="20.399999999999999">
      <c r="C79" s="45"/>
      <c r="V79" s="337"/>
      <c r="W79" s="339"/>
      <c r="X79" s="341"/>
      <c r="Y79" s="173">
        <v>149940</v>
      </c>
      <c r="Z79" s="173">
        <v>107920</v>
      </c>
      <c r="AA79" s="173">
        <v>203680</v>
      </c>
      <c r="AB79" s="173">
        <v>87615</v>
      </c>
      <c r="AC79" s="173">
        <v>203680</v>
      </c>
      <c r="AD79" s="173">
        <v>266526</v>
      </c>
      <c r="AE79" s="173">
        <v>906000</v>
      </c>
      <c r="AF79" s="174" t="s">
        <v>886</v>
      </c>
    </row>
    <row r="80" spans="1:32" ht="21" thickBot="1">
      <c r="C80" s="44" t="s">
        <v>81</v>
      </c>
      <c r="V80" s="132" t="s">
        <v>887</v>
      </c>
      <c r="W80" s="202" t="s">
        <v>1059</v>
      </c>
      <c r="X80" s="133" t="s">
        <v>909</v>
      </c>
      <c r="Y80" s="134">
        <v>3000</v>
      </c>
      <c r="Z80" s="134">
        <v>2160</v>
      </c>
      <c r="AA80" s="134">
        <v>5400</v>
      </c>
      <c r="AB80" s="134">
        <v>2790</v>
      </c>
      <c r="AC80" s="134">
        <v>4080</v>
      </c>
      <c r="AD80" s="134">
        <v>6132</v>
      </c>
      <c r="AE80" s="134">
        <v>28800</v>
      </c>
      <c r="AF80" s="195" t="s">
        <v>889</v>
      </c>
    </row>
    <row r="81" spans="3:32" ht="20.399999999999999">
      <c r="C81" s="46" t="s">
        <v>82</v>
      </c>
      <c r="V81" s="331" t="s">
        <v>890</v>
      </c>
      <c r="W81" s="437" t="s">
        <v>1060</v>
      </c>
      <c r="X81" s="328" t="s">
        <v>879</v>
      </c>
      <c r="Y81" s="198">
        <v>304</v>
      </c>
      <c r="Z81" s="198" t="s">
        <v>880</v>
      </c>
      <c r="AA81" s="198" t="s">
        <v>892</v>
      </c>
      <c r="AB81" s="199"/>
      <c r="AC81" s="199"/>
      <c r="AD81" s="199"/>
      <c r="AE81" s="199"/>
      <c r="AF81" s="206"/>
    </row>
    <row r="82" spans="3:32" ht="21" thickBot="1">
      <c r="C82" s="46" t="s">
        <v>387</v>
      </c>
      <c r="V82" s="329"/>
      <c r="W82" s="438"/>
      <c r="X82" s="327"/>
      <c r="Y82" s="126">
        <v>221540</v>
      </c>
      <c r="Z82" s="126">
        <v>279840</v>
      </c>
      <c r="AA82" s="126">
        <v>66000</v>
      </c>
      <c r="AB82" s="200"/>
      <c r="AC82" s="200"/>
      <c r="AD82" s="200"/>
      <c r="AE82" s="200"/>
      <c r="AF82" s="208"/>
    </row>
    <row r="83" spans="3:32" ht="20.399999999999999">
      <c r="C83" s="46" t="s">
        <v>84</v>
      </c>
      <c r="V83" s="336" t="s">
        <v>893</v>
      </c>
      <c r="W83" s="435" t="s">
        <v>1061</v>
      </c>
      <c r="X83" s="345" t="s">
        <v>879</v>
      </c>
      <c r="Y83" s="111" t="s">
        <v>895</v>
      </c>
      <c r="Z83" s="111" t="s">
        <v>896</v>
      </c>
      <c r="AA83" s="201"/>
      <c r="AB83" s="201"/>
      <c r="AC83" s="201"/>
      <c r="AD83" s="201"/>
      <c r="AE83" s="201"/>
      <c r="AF83" s="161"/>
    </row>
    <row r="84" spans="3:32" ht="21" thickBot="1">
      <c r="C84" s="46" t="s">
        <v>85</v>
      </c>
      <c r="V84" s="342"/>
      <c r="W84" s="436"/>
      <c r="X84" s="346"/>
      <c r="Y84" s="296">
        <v>84500</v>
      </c>
      <c r="Z84" s="296">
        <v>130000</v>
      </c>
      <c r="AA84" s="203"/>
      <c r="AB84" s="203"/>
      <c r="AC84" s="203"/>
      <c r="AD84" s="203"/>
      <c r="AE84" s="203"/>
      <c r="AF84" s="195" t="s">
        <v>958</v>
      </c>
    </row>
    <row r="85" spans="3:32" ht="20.399999999999999">
      <c r="C85" s="46" t="s">
        <v>86</v>
      </c>
      <c r="V85" s="331" t="s">
        <v>898</v>
      </c>
      <c r="W85" s="204" t="s">
        <v>1062</v>
      </c>
      <c r="X85" s="198" t="s">
        <v>900</v>
      </c>
      <c r="Y85" s="113">
        <v>28000</v>
      </c>
      <c r="Z85" s="205"/>
      <c r="AA85" s="205"/>
      <c r="AB85" s="205"/>
      <c r="AC85" s="205"/>
      <c r="AD85" s="205"/>
      <c r="AE85" s="205"/>
      <c r="AF85" s="350" t="s">
        <v>901</v>
      </c>
    </row>
    <row r="86" spans="3:32" ht="21" thickBot="1">
      <c r="C86" s="46" t="s">
        <v>87</v>
      </c>
      <c r="V86" s="329"/>
      <c r="W86" s="207" t="s">
        <v>1063</v>
      </c>
      <c r="X86" s="125" t="s">
        <v>903</v>
      </c>
      <c r="Y86" s="126">
        <v>18000</v>
      </c>
      <c r="Z86" s="200"/>
      <c r="AA86" s="200"/>
      <c r="AB86" s="200"/>
      <c r="AC86" s="200"/>
      <c r="AD86" s="200"/>
      <c r="AE86" s="200"/>
      <c r="AF86" s="351"/>
    </row>
    <row r="87" spans="3:32" ht="21" thickBot="1">
      <c r="C87" s="46" t="s">
        <v>88</v>
      </c>
      <c r="V87" s="193" t="s">
        <v>904</v>
      </c>
      <c r="W87" s="209" t="s">
        <v>1064</v>
      </c>
      <c r="X87" s="194" t="s">
        <v>903</v>
      </c>
      <c r="Y87" s="210">
        <v>3660</v>
      </c>
      <c r="Z87" s="211"/>
      <c r="AA87" s="211"/>
      <c r="AB87" s="211"/>
      <c r="AC87" s="211"/>
      <c r="AD87" s="211"/>
      <c r="AE87" s="211"/>
      <c r="AF87" s="218"/>
    </row>
    <row r="88" spans="3:32" ht="20.399999999999999">
      <c r="C88" s="47" t="s">
        <v>89</v>
      </c>
      <c r="V88" s="336" t="s">
        <v>906</v>
      </c>
      <c r="W88" s="345"/>
      <c r="X88" s="345"/>
      <c r="Y88" s="111" t="s">
        <v>853</v>
      </c>
      <c r="Z88" s="111" t="s">
        <v>854</v>
      </c>
      <c r="AA88" s="111" t="s">
        <v>855</v>
      </c>
      <c r="AB88" s="201"/>
      <c r="AC88" s="201"/>
      <c r="AD88" s="201"/>
      <c r="AE88" s="201"/>
      <c r="AF88" s="161"/>
    </row>
    <row r="89" spans="3:32" ht="20.399999999999999">
      <c r="C89" s="48"/>
      <c r="V89" s="119" t="s">
        <v>907</v>
      </c>
      <c r="W89" s="212" t="s">
        <v>1065</v>
      </c>
      <c r="X89" s="115" t="s">
        <v>909</v>
      </c>
      <c r="Y89" s="116">
        <v>3000</v>
      </c>
      <c r="Z89" s="116">
        <v>4000</v>
      </c>
      <c r="AA89" s="116">
        <v>1800</v>
      </c>
      <c r="AB89" s="213"/>
      <c r="AC89" s="213"/>
      <c r="AD89" s="213"/>
      <c r="AE89" s="213"/>
      <c r="AF89" s="214" t="s">
        <v>910</v>
      </c>
    </row>
    <row r="90" spans="3:32" ht="20.399999999999999">
      <c r="C90" s="46" t="s">
        <v>38</v>
      </c>
      <c r="V90" s="119" t="s">
        <v>911</v>
      </c>
      <c r="W90" s="212" t="s">
        <v>997</v>
      </c>
      <c r="X90" s="115" t="s">
        <v>909</v>
      </c>
      <c r="Y90" s="116">
        <v>6800</v>
      </c>
      <c r="Z90" s="116">
        <v>10100</v>
      </c>
      <c r="AA90" s="116">
        <v>5000</v>
      </c>
      <c r="AB90" s="213"/>
      <c r="AC90" s="213"/>
      <c r="AD90" s="213"/>
      <c r="AE90" s="213"/>
      <c r="AF90" s="214" t="s">
        <v>910</v>
      </c>
    </row>
    <row r="91" spans="3:32" ht="20.399999999999999">
      <c r="C91" s="44" t="s">
        <v>90</v>
      </c>
      <c r="V91" s="119" t="s">
        <v>913</v>
      </c>
      <c r="W91" s="212" t="s">
        <v>1066</v>
      </c>
      <c r="X91" s="115" t="s">
        <v>888</v>
      </c>
      <c r="Y91" s="116">
        <v>1200</v>
      </c>
      <c r="Z91" s="116">
        <v>2500</v>
      </c>
      <c r="AA91" s="116">
        <v>1000</v>
      </c>
      <c r="AB91" s="213"/>
      <c r="AC91" s="213"/>
      <c r="AD91" s="213"/>
      <c r="AE91" s="213"/>
      <c r="AF91" s="214" t="s">
        <v>910</v>
      </c>
    </row>
    <row r="92" spans="3:32" ht="20.399999999999999">
      <c r="C92" s="46" t="s">
        <v>91</v>
      </c>
      <c r="V92" s="119" t="s">
        <v>913</v>
      </c>
      <c r="W92" s="212" t="s">
        <v>1067</v>
      </c>
      <c r="X92" s="115" t="s">
        <v>1068</v>
      </c>
      <c r="Y92" s="116">
        <v>1200</v>
      </c>
      <c r="Z92" s="116">
        <v>2500</v>
      </c>
      <c r="AA92" s="116">
        <v>1000</v>
      </c>
      <c r="AB92" s="213"/>
      <c r="AC92" s="213"/>
      <c r="AD92" s="213"/>
      <c r="AE92" s="213"/>
      <c r="AF92" s="214" t="s">
        <v>910</v>
      </c>
    </row>
    <row r="93" spans="3:32" ht="20.399999999999999">
      <c r="C93" s="46" t="s">
        <v>92</v>
      </c>
      <c r="V93" s="119" t="s">
        <v>916</v>
      </c>
      <c r="W93" s="212" t="s">
        <v>1069</v>
      </c>
      <c r="X93" s="115" t="s">
        <v>915</v>
      </c>
      <c r="Y93" s="116">
        <v>2000</v>
      </c>
      <c r="Z93" s="116">
        <v>3000</v>
      </c>
      <c r="AA93" s="116">
        <v>1500</v>
      </c>
      <c r="AB93" s="213"/>
      <c r="AC93" s="213"/>
      <c r="AD93" s="213"/>
      <c r="AE93" s="213"/>
      <c r="AF93" s="214" t="s">
        <v>910</v>
      </c>
    </row>
    <row r="94" spans="3:32" ht="18" thickBot="1">
      <c r="V94" s="170" t="s">
        <v>918</v>
      </c>
      <c r="W94" s="207" t="s">
        <v>1044</v>
      </c>
      <c r="X94" s="125" t="s">
        <v>915</v>
      </c>
      <c r="Y94" s="126">
        <v>2000</v>
      </c>
      <c r="Z94" s="126">
        <v>2500</v>
      </c>
      <c r="AA94" s="126">
        <v>2000</v>
      </c>
      <c r="AB94" s="200"/>
      <c r="AC94" s="200"/>
      <c r="AD94" s="200"/>
      <c r="AE94" s="200"/>
      <c r="AF94" s="208" t="s">
        <v>910</v>
      </c>
    </row>
    <row r="95" spans="3:32" ht="18" thickBot="1">
      <c r="V95" s="105" t="s">
        <v>920</v>
      </c>
      <c r="W95" s="215" t="s">
        <v>1070</v>
      </c>
      <c r="X95" s="103" t="s">
        <v>879</v>
      </c>
      <c r="Y95" s="216">
        <v>49900</v>
      </c>
      <c r="Z95" s="217"/>
      <c r="AA95" s="217"/>
      <c r="AB95" s="217"/>
      <c r="AC95" s="217"/>
      <c r="AD95" s="217"/>
      <c r="AE95" s="217"/>
      <c r="AF95" s="107"/>
    </row>
    <row r="96" spans="3:32" s="228" customFormat="1" ht="14.4">
      <c r="C96" s="227"/>
      <c r="V96" s="336" t="s">
        <v>922</v>
      </c>
      <c r="W96" s="345"/>
      <c r="X96" s="345"/>
      <c r="Y96" s="111" t="s">
        <v>923</v>
      </c>
      <c r="Z96" s="111" t="s">
        <v>924</v>
      </c>
      <c r="AA96" s="201"/>
      <c r="AB96" s="201"/>
      <c r="AC96" s="201"/>
      <c r="AD96" s="201"/>
      <c r="AE96" s="201"/>
      <c r="AF96" s="161"/>
    </row>
    <row r="97" spans="3:32" s="228" customFormat="1" ht="17.399999999999999">
      <c r="C97" s="227"/>
      <c r="V97" s="170" t="s">
        <v>925</v>
      </c>
      <c r="W97" s="212" t="s">
        <v>1071</v>
      </c>
      <c r="X97" s="115" t="s">
        <v>888</v>
      </c>
      <c r="Y97" s="116">
        <v>86000</v>
      </c>
      <c r="Z97" s="116">
        <v>61600</v>
      </c>
      <c r="AA97" s="213"/>
      <c r="AB97" s="213"/>
      <c r="AC97" s="213"/>
      <c r="AD97" s="213"/>
      <c r="AE97" s="213"/>
      <c r="AF97" s="214" t="s">
        <v>889</v>
      </c>
    </row>
    <row r="98" spans="3:32" ht="17.399999999999999">
      <c r="V98" s="170" t="s">
        <v>926</v>
      </c>
      <c r="W98" s="212" t="s">
        <v>1072</v>
      </c>
      <c r="X98" s="115" t="s">
        <v>888</v>
      </c>
      <c r="Y98" s="116">
        <v>75000</v>
      </c>
      <c r="Z98" s="116">
        <v>55200</v>
      </c>
      <c r="AA98" s="213"/>
      <c r="AB98" s="213"/>
      <c r="AC98" s="213"/>
      <c r="AD98" s="213"/>
      <c r="AE98" s="213"/>
      <c r="AF98" s="214" t="s">
        <v>889</v>
      </c>
    </row>
    <row r="99" spans="3:32" ht="17.399999999999999">
      <c r="V99" s="119" t="s">
        <v>927</v>
      </c>
      <c r="W99" s="212" t="s">
        <v>1073</v>
      </c>
      <c r="X99" s="115" t="s">
        <v>879</v>
      </c>
      <c r="Y99" s="116">
        <v>67000</v>
      </c>
      <c r="Z99" s="116">
        <v>86000</v>
      </c>
      <c r="AA99" s="213"/>
      <c r="AB99" s="213"/>
      <c r="AC99" s="213"/>
      <c r="AD99" s="213"/>
      <c r="AE99" s="213"/>
      <c r="AF99" s="214" t="s">
        <v>889</v>
      </c>
    </row>
    <row r="100" spans="3:32" ht="17.399999999999999">
      <c r="V100" s="119" t="s">
        <v>929</v>
      </c>
      <c r="W100" s="212" t="s">
        <v>1074</v>
      </c>
      <c r="X100" s="115" t="s">
        <v>879</v>
      </c>
      <c r="Y100" s="116">
        <v>13500</v>
      </c>
      <c r="Z100" s="116">
        <v>14600</v>
      </c>
      <c r="AA100" s="213"/>
      <c r="AB100" s="213"/>
      <c r="AC100" s="213"/>
      <c r="AD100" s="213"/>
      <c r="AE100" s="213"/>
      <c r="AF100" s="214" t="s">
        <v>889</v>
      </c>
    </row>
    <row r="101" spans="3:32" ht="17.399999999999999">
      <c r="V101" s="119" t="s">
        <v>931</v>
      </c>
      <c r="W101" s="212" t="s">
        <v>1075</v>
      </c>
      <c r="X101" s="115" t="s">
        <v>879</v>
      </c>
      <c r="Y101" s="116">
        <v>22000</v>
      </c>
      <c r="Z101" s="116">
        <v>20800</v>
      </c>
      <c r="AA101" s="213"/>
      <c r="AB101" s="213"/>
      <c r="AC101" s="213"/>
      <c r="AD101" s="213"/>
      <c r="AE101" s="213"/>
      <c r="AF101" s="214" t="s">
        <v>889</v>
      </c>
    </row>
    <row r="102" spans="3:32" ht="17.399999999999999">
      <c r="V102" s="119" t="s">
        <v>933</v>
      </c>
      <c r="W102" s="212" t="s">
        <v>1076</v>
      </c>
      <c r="X102" s="115" t="s">
        <v>888</v>
      </c>
      <c r="Y102" s="116">
        <v>30500</v>
      </c>
      <c r="Z102" s="116">
        <v>27200</v>
      </c>
      <c r="AA102" s="213"/>
      <c r="AB102" s="213"/>
      <c r="AC102" s="213"/>
      <c r="AD102" s="213"/>
      <c r="AE102" s="213"/>
      <c r="AF102" s="214" t="s">
        <v>889</v>
      </c>
    </row>
    <row r="103" spans="3:32" ht="18" thickBot="1">
      <c r="V103" s="132" t="s">
        <v>935</v>
      </c>
      <c r="W103" s="202" t="s">
        <v>1077</v>
      </c>
      <c r="X103" s="133" t="s">
        <v>888</v>
      </c>
      <c r="Y103" s="134">
        <v>3500</v>
      </c>
      <c r="Z103" s="134">
        <v>20200</v>
      </c>
      <c r="AA103" s="203"/>
      <c r="AB103" s="203"/>
      <c r="AC103" s="203"/>
      <c r="AD103" s="203"/>
      <c r="AE103" s="203"/>
      <c r="AF103" s="195" t="s">
        <v>889</v>
      </c>
    </row>
    <row r="104" spans="3:32" ht="14.4">
      <c r="V104" s="331" t="s">
        <v>937</v>
      </c>
      <c r="W104" s="437" t="s">
        <v>1078</v>
      </c>
      <c r="X104" s="328" t="s">
        <v>879</v>
      </c>
      <c r="Y104" s="198" t="s">
        <v>939</v>
      </c>
      <c r="Z104" s="198">
        <v>316</v>
      </c>
      <c r="AA104" s="198">
        <v>304</v>
      </c>
      <c r="AB104" s="199"/>
      <c r="AC104" s="199"/>
      <c r="AD104" s="199"/>
      <c r="AE104" s="199"/>
      <c r="AF104" s="347" t="s">
        <v>940</v>
      </c>
    </row>
    <row r="105" spans="3:32" ht="15" thickBot="1">
      <c r="V105" s="329"/>
      <c r="W105" s="438"/>
      <c r="X105" s="327"/>
      <c r="Y105" s="126">
        <v>8910</v>
      </c>
      <c r="Z105" s="126">
        <v>35360</v>
      </c>
      <c r="AA105" s="126">
        <v>26180</v>
      </c>
      <c r="AB105" s="200"/>
      <c r="AC105" s="200"/>
      <c r="AD105" s="200"/>
      <c r="AE105" s="200"/>
      <c r="AF105" s="348"/>
    </row>
    <row r="106" spans="3:32" ht="14.4">
      <c r="V106" s="336" t="s">
        <v>985</v>
      </c>
      <c r="W106" s="435" t="s">
        <v>1009</v>
      </c>
      <c r="X106" s="111" t="s">
        <v>986</v>
      </c>
      <c r="Y106" s="111" t="s">
        <v>987</v>
      </c>
      <c r="Z106" s="111" t="s">
        <v>988</v>
      </c>
      <c r="AA106" s="111" t="s">
        <v>989</v>
      </c>
      <c r="AB106" s="111" t="s">
        <v>990</v>
      </c>
      <c r="AC106" s="201"/>
      <c r="AD106" s="201"/>
      <c r="AE106" s="201"/>
      <c r="AF106" s="347" t="s">
        <v>991</v>
      </c>
    </row>
    <row r="107" spans="3:32" ht="15" thickBot="1">
      <c r="V107" s="342"/>
      <c r="W107" s="436"/>
      <c r="X107" s="221">
        <v>19</v>
      </c>
      <c r="Y107" s="433" t="s">
        <v>870</v>
      </c>
      <c r="Z107" s="434"/>
      <c r="AA107" s="134">
        <v>32400</v>
      </c>
      <c r="AB107" s="134">
        <v>50000</v>
      </c>
      <c r="AC107" s="203"/>
      <c r="AD107" s="203"/>
      <c r="AE107" s="203"/>
      <c r="AF107" s="348"/>
    </row>
    <row r="114" spans="22:32" ht="13.8" thickBot="1"/>
    <row r="115" spans="22:32" ht="30" customHeight="1">
      <c r="V115" s="336" t="s">
        <v>1516</v>
      </c>
      <c r="W115" s="338"/>
      <c r="X115" s="340"/>
      <c r="Y115" s="171" t="s">
        <v>1517</v>
      </c>
      <c r="Z115" s="171" t="s">
        <v>1518</v>
      </c>
      <c r="AA115" s="171" t="s">
        <v>1519</v>
      </c>
      <c r="AB115" s="171"/>
      <c r="AC115" s="171"/>
      <c r="AD115" s="171"/>
      <c r="AE115" s="171"/>
      <c r="AF115" s="172"/>
    </row>
    <row r="116" spans="22:32" ht="30" customHeight="1" thickBot="1">
      <c r="V116" s="337"/>
      <c r="W116" s="339"/>
      <c r="X116" s="341"/>
      <c r="Y116" s="173">
        <v>24000</v>
      </c>
      <c r="Z116" s="173">
        <f>IF(F8&gt;0,E8*520,IF(F9&gt;0,E9*520))</f>
        <v>156000</v>
      </c>
      <c r="AA116" s="173">
        <f>IF(F8&gt;0,E8*620,IF(F9&gt;0,E9*620))</f>
        <v>186000</v>
      </c>
      <c r="AB116" s="173"/>
      <c r="AC116" s="173"/>
      <c r="AD116" s="173"/>
      <c r="AE116" s="173"/>
      <c r="AF116" s="174"/>
    </row>
    <row r="117" spans="22:32" ht="30" customHeight="1">
      <c r="V117" s="336" t="s">
        <v>1520</v>
      </c>
      <c r="W117" s="338"/>
      <c r="X117" s="340"/>
      <c r="Y117" s="171" t="s">
        <v>1517</v>
      </c>
      <c r="Z117" s="171" t="s">
        <v>1521</v>
      </c>
      <c r="AA117" s="171"/>
      <c r="AB117" s="171"/>
      <c r="AC117" s="171"/>
      <c r="AD117" s="171"/>
      <c r="AE117" s="171"/>
      <c r="AF117" s="172"/>
    </row>
    <row r="118" spans="22:32" ht="30" customHeight="1" thickBot="1">
      <c r="V118" s="337"/>
      <c r="W118" s="339"/>
      <c r="X118" s="341"/>
      <c r="Y118" s="173"/>
      <c r="Z118" s="173">
        <f>Y118</f>
        <v>0</v>
      </c>
      <c r="AA118" s="173"/>
      <c r="AB118" s="173"/>
      <c r="AC118" s="173"/>
      <c r="AD118" s="173"/>
      <c r="AE118" s="173"/>
      <c r="AF118" s="174"/>
    </row>
    <row r="119" spans="22:32" ht="30" customHeight="1">
      <c r="V119" s="336" t="s">
        <v>1522</v>
      </c>
      <c r="W119" s="338"/>
      <c r="X119" s="340"/>
      <c r="Y119" s="171" t="s">
        <v>1523</v>
      </c>
      <c r="Z119" s="171" t="s">
        <v>1524</v>
      </c>
      <c r="AA119" s="171" t="s">
        <v>1525</v>
      </c>
      <c r="AB119" s="171"/>
      <c r="AC119" s="171"/>
      <c r="AD119" s="171"/>
      <c r="AE119" s="171"/>
      <c r="AF119" s="172"/>
    </row>
    <row r="120" spans="22:32" ht="30" customHeight="1">
      <c r="V120" s="337"/>
      <c r="W120" s="339"/>
      <c r="X120" s="341"/>
      <c r="Y120" s="306"/>
      <c r="Z120" s="306"/>
      <c r="AA120" s="173"/>
      <c r="AB120" s="173"/>
      <c r="AC120" s="173"/>
      <c r="AD120" s="173"/>
      <c r="AE120" s="173"/>
      <c r="AF120" s="174"/>
    </row>
  </sheetData>
  <mergeCells count="67">
    <mergeCell ref="A1:S1"/>
    <mergeCell ref="A3:B4"/>
    <mergeCell ref="C3:C4"/>
    <mergeCell ref="D3:D4"/>
    <mergeCell ref="E3:E4"/>
    <mergeCell ref="F3:F4"/>
    <mergeCell ref="G3:G4"/>
    <mergeCell ref="H3:Q4"/>
    <mergeCell ref="R3:R4"/>
    <mergeCell ref="S3:S4"/>
    <mergeCell ref="T3:T7"/>
    <mergeCell ref="A5:B7"/>
    <mergeCell ref="C5:C7"/>
    <mergeCell ref="D5:D7"/>
    <mergeCell ref="E5:G6"/>
    <mergeCell ref="H5:H6"/>
    <mergeCell ref="I5:Q5"/>
    <mergeCell ref="R5:R7"/>
    <mergeCell ref="S5:S7"/>
    <mergeCell ref="A67:F67"/>
    <mergeCell ref="A68:F68"/>
    <mergeCell ref="A69:G70"/>
    <mergeCell ref="A8:A61"/>
    <mergeCell ref="A62:F62"/>
    <mergeCell ref="A63:F63"/>
    <mergeCell ref="A64:F64"/>
    <mergeCell ref="A65:F65"/>
    <mergeCell ref="A66:F66"/>
    <mergeCell ref="Y72:AE72"/>
    <mergeCell ref="V73:V74"/>
    <mergeCell ref="Y73:AE73"/>
    <mergeCell ref="Y74:AE74"/>
    <mergeCell ref="Y75:AE75"/>
    <mergeCell ref="V83:V84"/>
    <mergeCell ref="W83:W84"/>
    <mergeCell ref="X83:X84"/>
    <mergeCell ref="V76:V77"/>
    <mergeCell ref="X76:AE76"/>
    <mergeCell ref="X77:AE77"/>
    <mergeCell ref="V78:V79"/>
    <mergeCell ref="W78:W79"/>
    <mergeCell ref="X78:X79"/>
    <mergeCell ref="V106:V107"/>
    <mergeCell ref="W106:W107"/>
    <mergeCell ref="AF106:AF107"/>
    <mergeCell ref="Y107:Z107"/>
    <mergeCell ref="V3:V7"/>
    <mergeCell ref="V85:V86"/>
    <mergeCell ref="AF85:AF86"/>
    <mergeCell ref="V88:X88"/>
    <mergeCell ref="V96:X96"/>
    <mergeCell ref="V104:V105"/>
    <mergeCell ref="W104:W105"/>
    <mergeCell ref="X104:X105"/>
    <mergeCell ref="AF104:AF105"/>
    <mergeCell ref="V81:V82"/>
    <mergeCell ref="W81:W82"/>
    <mergeCell ref="X81:X82"/>
    <mergeCell ref="V119:V120"/>
    <mergeCell ref="W119:W120"/>
    <mergeCell ref="X119:X120"/>
    <mergeCell ref="V115:V116"/>
    <mergeCell ref="W115:W116"/>
    <mergeCell ref="X115:X116"/>
    <mergeCell ref="V117:V118"/>
    <mergeCell ref="W117:W118"/>
    <mergeCell ref="X117:X118"/>
  </mergeCells>
  <phoneticPr fontId="3" type="noConversion"/>
  <printOptions horizontalCentered="1"/>
  <pageMargins left="0.39370078740157483" right="0.39370078740157483" top="0.39370078740157483" bottom="0.15748031496062992" header="0.51181102362204722" footer="0.51181102362204722"/>
  <pageSetup paperSize="9" scale="45" orientation="portrait" r:id="rId1"/>
  <headerFooter alignWithMargins="0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00"/>
  </sheetPr>
  <dimension ref="A1:AF120"/>
  <sheetViews>
    <sheetView showGridLines="0" view="pageBreakPreview" topLeftCell="A98" zoomScale="70" zoomScaleNormal="55" zoomScaleSheetLayoutView="70" workbookViewId="0">
      <selection activeCell="T133" sqref="T133"/>
    </sheetView>
  </sheetViews>
  <sheetFormatPr defaultColWidth="8.8984375" defaultRowHeight="13.2"/>
  <cols>
    <col min="1" max="1" width="3.3984375" style="3" customWidth="1"/>
    <col min="2" max="2" width="9.5" style="3" customWidth="1"/>
    <col min="3" max="3" width="25.19921875" style="49" customWidth="1"/>
    <col min="4" max="5" width="13.09765625" style="3" customWidth="1"/>
    <col min="6" max="7" width="15.09765625" style="3" customWidth="1"/>
    <col min="8" max="8" width="15.09765625" style="3" hidden="1" customWidth="1"/>
    <col min="9" max="17" width="15.69921875" style="3" hidden="1" customWidth="1"/>
    <col min="18" max="18" width="15.69921875" style="3" customWidth="1"/>
    <col min="19" max="19" width="26.8984375" style="3" customWidth="1"/>
    <col min="20" max="20" width="30.09765625" style="3" customWidth="1"/>
    <col min="21" max="21" width="13.3984375" style="3" bestFit="1" customWidth="1"/>
    <col min="22" max="22" width="48.3984375" style="3" bestFit="1" customWidth="1"/>
    <col min="23" max="23" width="45.3984375" style="3" bestFit="1" customWidth="1"/>
    <col min="24" max="24" width="10.09765625" style="3" bestFit="1" customWidth="1"/>
    <col min="25" max="25" width="11.5" style="3" bestFit="1" customWidth="1"/>
    <col min="26" max="26" width="12.5" style="3" bestFit="1" customWidth="1"/>
    <col min="27" max="27" width="12.09765625" style="3" bestFit="1" customWidth="1"/>
    <col min="28" max="28" width="13.09765625" style="3" bestFit="1" customWidth="1"/>
    <col min="29" max="30" width="11.5" style="3" bestFit="1" customWidth="1"/>
    <col min="31" max="31" width="13.3984375" style="3" bestFit="1" customWidth="1"/>
    <col min="32" max="32" width="19" style="3" bestFit="1" customWidth="1"/>
    <col min="33" max="16384" width="8.8984375" style="3"/>
  </cols>
  <sheetData>
    <row r="1" spans="1:22" s="2" customFormat="1" ht="51" customHeight="1" thickBot="1">
      <c r="A1" s="411" t="s">
        <v>1312</v>
      </c>
      <c r="B1" s="412"/>
      <c r="C1" s="412"/>
      <c r="D1" s="412"/>
      <c r="E1" s="412"/>
      <c r="F1" s="412"/>
      <c r="G1" s="412"/>
      <c r="H1" s="412"/>
      <c r="I1" s="412"/>
      <c r="J1" s="412"/>
      <c r="K1" s="412"/>
      <c r="L1" s="412"/>
      <c r="M1" s="412"/>
      <c r="N1" s="412"/>
      <c r="O1" s="412"/>
      <c r="P1" s="412"/>
      <c r="Q1" s="412"/>
      <c r="R1" s="412"/>
      <c r="S1" s="412"/>
      <c r="T1" s="1"/>
    </row>
    <row r="2" spans="1:22" s="2" customFormat="1" ht="30" customHeight="1" thickBot="1">
      <c r="A2" s="3"/>
      <c r="B2" s="3"/>
      <c r="T2" s="4" t="s">
        <v>0</v>
      </c>
    </row>
    <row r="3" spans="1:22" s="5" customFormat="1" ht="24" customHeight="1">
      <c r="A3" s="413" t="s">
        <v>1</v>
      </c>
      <c r="B3" s="414"/>
      <c r="C3" s="417" t="s">
        <v>2</v>
      </c>
      <c r="D3" s="419" t="s">
        <v>3</v>
      </c>
      <c r="E3" s="421" t="s">
        <v>1313</v>
      </c>
      <c r="F3" s="423" t="s">
        <v>4</v>
      </c>
      <c r="G3" s="425" t="str">
        <f>COVER!B9</f>
        <v>FLANGE</v>
      </c>
      <c r="H3" s="421" t="s">
        <v>5</v>
      </c>
      <c r="I3" s="427"/>
      <c r="J3" s="427"/>
      <c r="K3" s="427"/>
      <c r="L3" s="427"/>
      <c r="M3" s="427"/>
      <c r="N3" s="427"/>
      <c r="O3" s="427"/>
      <c r="P3" s="427"/>
      <c r="Q3" s="428"/>
      <c r="R3" s="423" t="s">
        <v>6</v>
      </c>
      <c r="S3" s="431" t="s">
        <v>7</v>
      </c>
      <c r="T3" s="381" t="s">
        <v>8</v>
      </c>
      <c r="V3" s="432"/>
    </row>
    <row r="4" spans="1:22" s="5" customFormat="1" ht="24" customHeight="1">
      <c r="A4" s="415"/>
      <c r="B4" s="416"/>
      <c r="C4" s="418"/>
      <c r="D4" s="420"/>
      <c r="E4" s="422"/>
      <c r="F4" s="424"/>
      <c r="G4" s="426"/>
      <c r="H4" s="422"/>
      <c r="I4" s="429"/>
      <c r="J4" s="429"/>
      <c r="K4" s="429"/>
      <c r="L4" s="429"/>
      <c r="M4" s="429"/>
      <c r="N4" s="429"/>
      <c r="O4" s="429"/>
      <c r="P4" s="429"/>
      <c r="Q4" s="430"/>
      <c r="R4" s="424"/>
      <c r="S4" s="410"/>
      <c r="T4" s="382"/>
      <c r="V4" s="432"/>
    </row>
    <row r="5" spans="1:22" s="5" customFormat="1" ht="24" customHeight="1">
      <c r="A5" s="384" t="s">
        <v>9</v>
      </c>
      <c r="B5" s="385"/>
      <c r="C5" s="390" t="s">
        <v>10</v>
      </c>
      <c r="D5" s="393" t="s">
        <v>11</v>
      </c>
      <c r="E5" s="396" t="s">
        <v>12</v>
      </c>
      <c r="F5" s="397"/>
      <c r="G5" s="398"/>
      <c r="H5" s="402" t="s">
        <v>13</v>
      </c>
      <c r="I5" s="404" t="s">
        <v>14</v>
      </c>
      <c r="J5" s="405"/>
      <c r="K5" s="405"/>
      <c r="L5" s="405"/>
      <c r="M5" s="405"/>
      <c r="N5" s="405"/>
      <c r="O5" s="405"/>
      <c r="P5" s="405"/>
      <c r="Q5" s="405"/>
      <c r="R5" s="406" t="s">
        <v>15</v>
      </c>
      <c r="S5" s="408" t="s">
        <v>16</v>
      </c>
      <c r="T5" s="382"/>
      <c r="V5" s="432"/>
    </row>
    <row r="6" spans="1:22" s="5" customFormat="1" ht="24" customHeight="1">
      <c r="A6" s="386"/>
      <c r="B6" s="387"/>
      <c r="C6" s="391"/>
      <c r="D6" s="394"/>
      <c r="E6" s="399"/>
      <c r="F6" s="400"/>
      <c r="G6" s="401"/>
      <c r="H6" s="403"/>
      <c r="I6" s="8" t="s">
        <v>17</v>
      </c>
      <c r="J6" s="8" t="s">
        <v>18</v>
      </c>
      <c r="K6" s="8" t="s">
        <v>19</v>
      </c>
      <c r="L6" s="9" t="s">
        <v>20</v>
      </c>
      <c r="M6" s="9" t="s">
        <v>21</v>
      </c>
      <c r="N6" s="8" t="s">
        <v>22</v>
      </c>
      <c r="O6" s="8" t="s">
        <v>23</v>
      </c>
      <c r="P6" s="8" t="s">
        <v>24</v>
      </c>
      <c r="Q6" s="10" t="s">
        <v>25</v>
      </c>
      <c r="R6" s="407"/>
      <c r="S6" s="409"/>
      <c r="T6" s="382"/>
      <c r="V6" s="432"/>
    </row>
    <row r="7" spans="1:22" ht="24" customHeight="1">
      <c r="A7" s="388"/>
      <c r="B7" s="389"/>
      <c r="C7" s="392"/>
      <c r="D7" s="395"/>
      <c r="E7" s="8" t="s">
        <v>464</v>
      </c>
      <c r="F7" s="8" t="s">
        <v>27</v>
      </c>
      <c r="G7" s="8" t="s">
        <v>28</v>
      </c>
      <c r="H7" s="8"/>
      <c r="I7" s="8" t="s">
        <v>29</v>
      </c>
      <c r="J7" s="8" t="s">
        <v>30</v>
      </c>
      <c r="K7" s="8" t="s">
        <v>31</v>
      </c>
      <c r="L7" s="9" t="s">
        <v>29</v>
      </c>
      <c r="M7" s="9" t="s">
        <v>32</v>
      </c>
      <c r="N7" s="8" t="s">
        <v>33</v>
      </c>
      <c r="O7" s="8" t="s">
        <v>34</v>
      </c>
      <c r="P7" s="8" t="s">
        <v>35</v>
      </c>
      <c r="Q7" s="10" t="s">
        <v>36</v>
      </c>
      <c r="R7" s="403"/>
      <c r="S7" s="410"/>
      <c r="T7" s="383"/>
      <c r="V7" s="432"/>
    </row>
    <row r="8" spans="1:22" ht="33" customHeight="1">
      <c r="A8" s="439" t="s">
        <v>37</v>
      </c>
      <c r="B8" s="285">
        <v>1</v>
      </c>
      <c r="C8" s="175" t="str">
        <f>COVER!A14</f>
        <v>BODY(LUG)</v>
      </c>
      <c r="D8" s="20">
        <f>COVER!B14</f>
        <v>0</v>
      </c>
      <c r="E8" s="148">
        <f>560*1.2</f>
        <v>672</v>
      </c>
      <c r="F8" s="14">
        <f>COVER!C14</f>
        <v>0</v>
      </c>
      <c r="G8" s="14">
        <v>0</v>
      </c>
      <c r="H8" s="14"/>
      <c r="I8" s="15">
        <f>I10*I9</f>
        <v>506706621524695.19</v>
      </c>
      <c r="J8" s="15">
        <f t="shared" ref="J8:Q8" si="0">J10*J9</f>
        <v>43341753052405.07</v>
      </c>
      <c r="K8" s="15">
        <f t="shared" si="0"/>
        <v>270470072536680.25</v>
      </c>
      <c r="L8" s="15">
        <f t="shared" si="0"/>
        <v>506706621524695.19</v>
      </c>
      <c r="M8" s="15">
        <f t="shared" si="0"/>
        <v>632417344857819.5</v>
      </c>
      <c r="N8" s="15">
        <f t="shared" si="0"/>
        <v>46528628303586.25</v>
      </c>
      <c r="O8" s="15">
        <f t="shared" si="0"/>
        <v>0</v>
      </c>
      <c r="P8" s="15">
        <f t="shared" si="0"/>
        <v>0</v>
      </c>
      <c r="Q8" s="15">
        <f t="shared" si="0"/>
        <v>10000000000000</v>
      </c>
      <c r="R8" s="15">
        <f>IF(COVER!C14&gt;0,590000*1.2,0)</f>
        <v>0</v>
      </c>
      <c r="S8" s="15">
        <f>G8+R8</f>
        <v>0</v>
      </c>
      <c r="T8" s="309" t="s">
        <v>1171</v>
      </c>
    </row>
    <row r="9" spans="1:22" ht="33" customHeight="1">
      <c r="A9" s="439"/>
      <c r="B9" s="147" t="s">
        <v>1167</v>
      </c>
      <c r="C9" s="175" t="str">
        <f>COVER!A15</f>
        <v>BODY(FLANGE)</v>
      </c>
      <c r="D9" s="20" t="str">
        <f>COVER!B15</f>
        <v>A216 WCB</v>
      </c>
      <c r="E9" s="13">
        <v>730</v>
      </c>
      <c r="F9" s="14">
        <f>COVER!C15</f>
        <v>4300</v>
      </c>
      <c r="G9" s="14">
        <f>F9*E9</f>
        <v>3139000</v>
      </c>
      <c r="H9" s="14"/>
      <c r="I9" s="15">
        <f>I11*I10</f>
        <v>13693182184.900002</v>
      </c>
      <c r="J9" s="15">
        <f t="shared" ref="J9:Q9" si="1">J11*J10</f>
        <v>2658301984.9000001</v>
      </c>
      <c r="K9" s="15">
        <f t="shared" si="1"/>
        <v>9010443027.6000004</v>
      </c>
      <c r="L9" s="15">
        <f t="shared" si="1"/>
        <v>13693182184.900002</v>
      </c>
      <c r="M9" s="15">
        <f t="shared" si="1"/>
        <v>15873371539.6</v>
      </c>
      <c r="N9" s="15">
        <f t="shared" si="1"/>
        <v>2787063302.5</v>
      </c>
      <c r="O9" s="15">
        <f t="shared" si="1"/>
        <v>0</v>
      </c>
      <c r="P9" s="15">
        <f t="shared" si="1"/>
        <v>0</v>
      </c>
      <c r="Q9" s="15">
        <f t="shared" si="1"/>
        <v>1000000000</v>
      </c>
      <c r="R9" s="15">
        <f>IF(COVER!C15&gt;0,600000*1.2,0)</f>
        <v>720000</v>
      </c>
      <c r="S9" s="15">
        <f t="shared" ref="S9:S62" si="2">G9+R9</f>
        <v>3859000</v>
      </c>
      <c r="T9" s="309" t="s">
        <v>1169</v>
      </c>
      <c r="V9" s="153"/>
    </row>
    <row r="10" spans="1:22" ht="33" hidden="1" customHeight="1">
      <c r="A10" s="439"/>
      <c r="B10" s="285"/>
      <c r="C10" s="175"/>
      <c r="D10" s="20"/>
      <c r="E10" s="13"/>
      <c r="F10" s="14"/>
      <c r="G10" s="14"/>
      <c r="H10" s="14" t="s">
        <v>40</v>
      </c>
      <c r="I10" s="15">
        <f t="shared" ref="I10:Q10" si="3">I11/10</f>
        <v>37004.300000000003</v>
      </c>
      <c r="J10" s="15">
        <f t="shared" si="3"/>
        <v>16304.3</v>
      </c>
      <c r="K10" s="15">
        <f t="shared" si="3"/>
        <v>30017.4</v>
      </c>
      <c r="L10" s="15">
        <f t="shared" si="3"/>
        <v>37004.300000000003</v>
      </c>
      <c r="M10" s="15">
        <f t="shared" si="3"/>
        <v>39841.4</v>
      </c>
      <c r="N10" s="15">
        <f t="shared" si="3"/>
        <v>16694.5</v>
      </c>
      <c r="O10" s="15">
        <f t="shared" si="3"/>
        <v>0</v>
      </c>
      <c r="P10" s="15">
        <f t="shared" si="3"/>
        <v>0</v>
      </c>
      <c r="Q10" s="15">
        <f t="shared" si="3"/>
        <v>10000</v>
      </c>
      <c r="R10" s="15"/>
      <c r="S10" s="15">
        <f t="shared" si="2"/>
        <v>0</v>
      </c>
      <c r="T10" s="16"/>
    </row>
    <row r="11" spans="1:22" ht="33" hidden="1" customHeight="1">
      <c r="A11" s="439"/>
      <c r="B11" s="285"/>
      <c r="C11" s="175"/>
      <c r="D11" s="20"/>
      <c r="E11" s="13"/>
      <c r="F11" s="14"/>
      <c r="G11" s="14"/>
      <c r="H11" s="17" t="s">
        <v>41</v>
      </c>
      <c r="I11" s="15">
        <v>370043</v>
      </c>
      <c r="J11" s="15">
        <v>163043</v>
      </c>
      <c r="K11" s="15">
        <v>300174</v>
      </c>
      <c r="L11" s="15">
        <v>370043</v>
      </c>
      <c r="M11" s="15">
        <v>398414</v>
      </c>
      <c r="N11" s="15">
        <v>166945</v>
      </c>
      <c r="O11" s="15">
        <v>0</v>
      </c>
      <c r="P11" s="15">
        <v>0</v>
      </c>
      <c r="Q11" s="15">
        <v>100000</v>
      </c>
      <c r="R11" s="15"/>
      <c r="S11" s="15">
        <f t="shared" si="2"/>
        <v>0</v>
      </c>
      <c r="T11" s="16"/>
    </row>
    <row r="12" spans="1:22" s="19" customFormat="1" ht="33" customHeight="1">
      <c r="A12" s="439"/>
      <c r="B12" s="285">
        <v>2</v>
      </c>
      <c r="C12" s="175" t="s">
        <v>42</v>
      </c>
      <c r="D12" s="20" t="str">
        <f>COVER!B16</f>
        <v>A216 WCB</v>
      </c>
      <c r="E12" s="13">
        <v>190</v>
      </c>
      <c r="F12" s="14">
        <f>COVER!C16</f>
        <v>4300</v>
      </c>
      <c r="G12" s="14">
        <f>F12*E12</f>
        <v>817000</v>
      </c>
      <c r="H12" s="14"/>
      <c r="I12" s="15">
        <f>I13*I14</f>
        <v>111012.90000000001</v>
      </c>
      <c r="J12" s="15">
        <f t="shared" ref="J12:Q12" si="4">J13*J14</f>
        <v>0</v>
      </c>
      <c r="K12" s="15">
        <f t="shared" si="4"/>
        <v>60034.8</v>
      </c>
      <c r="L12" s="15">
        <f t="shared" si="4"/>
        <v>111012.90000000001</v>
      </c>
      <c r="M12" s="15">
        <f t="shared" si="4"/>
        <v>0</v>
      </c>
      <c r="N12" s="15">
        <f t="shared" si="4"/>
        <v>0</v>
      </c>
      <c r="O12" s="15">
        <f t="shared" si="4"/>
        <v>0</v>
      </c>
      <c r="P12" s="15">
        <f t="shared" si="4"/>
        <v>0</v>
      </c>
      <c r="Q12" s="15">
        <f t="shared" si="4"/>
        <v>4000</v>
      </c>
      <c r="R12" s="15">
        <v>414000</v>
      </c>
      <c r="S12" s="15">
        <f t="shared" si="2"/>
        <v>1231000</v>
      </c>
      <c r="T12" s="18"/>
    </row>
    <row r="13" spans="1:22" s="19" customFormat="1" ht="33" hidden="1" customHeight="1">
      <c r="A13" s="439"/>
      <c r="B13" s="285"/>
      <c r="C13" s="175"/>
      <c r="D13" s="20"/>
      <c r="E13" s="13"/>
      <c r="F13" s="14"/>
      <c r="G13" s="14"/>
      <c r="H13" s="17" t="s">
        <v>39</v>
      </c>
      <c r="I13" s="21">
        <v>3</v>
      </c>
      <c r="J13" s="21">
        <v>0</v>
      </c>
      <c r="K13" s="21">
        <v>2</v>
      </c>
      <c r="L13" s="21">
        <v>3</v>
      </c>
      <c r="M13" s="21">
        <v>0</v>
      </c>
      <c r="N13" s="21">
        <v>0</v>
      </c>
      <c r="O13" s="21"/>
      <c r="P13" s="21"/>
      <c r="Q13" s="21">
        <v>0.4</v>
      </c>
      <c r="R13" s="15"/>
      <c r="S13" s="15">
        <f t="shared" si="2"/>
        <v>0</v>
      </c>
      <c r="T13" s="22"/>
    </row>
    <row r="14" spans="1:22" s="19" customFormat="1" ht="33" hidden="1" customHeight="1">
      <c r="A14" s="439"/>
      <c r="B14" s="285"/>
      <c r="C14" s="175"/>
      <c r="D14" s="20"/>
      <c r="E14" s="13"/>
      <c r="F14" s="14"/>
      <c r="G14" s="14"/>
      <c r="H14" s="14" t="s">
        <v>40</v>
      </c>
      <c r="I14" s="15">
        <f>I15/10</f>
        <v>37004.300000000003</v>
      </c>
      <c r="J14" s="15">
        <f t="shared" ref="J14:Q14" si="5">J15/10</f>
        <v>16304.3</v>
      </c>
      <c r="K14" s="15">
        <f t="shared" si="5"/>
        <v>30017.4</v>
      </c>
      <c r="L14" s="15">
        <f t="shared" si="5"/>
        <v>37004.300000000003</v>
      </c>
      <c r="M14" s="15">
        <f t="shared" si="5"/>
        <v>39841.4</v>
      </c>
      <c r="N14" s="15">
        <f t="shared" si="5"/>
        <v>16694.5</v>
      </c>
      <c r="O14" s="15">
        <f t="shared" si="5"/>
        <v>0</v>
      </c>
      <c r="P14" s="15">
        <f t="shared" si="5"/>
        <v>0</v>
      </c>
      <c r="Q14" s="15">
        <f t="shared" si="5"/>
        <v>10000</v>
      </c>
      <c r="R14" s="15"/>
      <c r="S14" s="15">
        <f t="shared" si="2"/>
        <v>0</v>
      </c>
      <c r="T14" s="22"/>
    </row>
    <row r="15" spans="1:22" s="19" customFormat="1" ht="33" hidden="1" customHeight="1">
      <c r="A15" s="439"/>
      <c r="B15" s="285"/>
      <c r="C15" s="175"/>
      <c r="D15" s="20"/>
      <c r="E15" s="13"/>
      <c r="F15" s="14"/>
      <c r="G15" s="14"/>
      <c r="H15" s="14" t="s">
        <v>43</v>
      </c>
      <c r="I15" s="15">
        <v>370043</v>
      </c>
      <c r="J15" s="15">
        <v>163043</v>
      </c>
      <c r="K15" s="15">
        <v>300174</v>
      </c>
      <c r="L15" s="15">
        <v>370043</v>
      </c>
      <c r="M15" s="15">
        <v>398414</v>
      </c>
      <c r="N15" s="15">
        <v>166945</v>
      </c>
      <c r="O15" s="15">
        <v>0</v>
      </c>
      <c r="P15" s="15">
        <v>0</v>
      </c>
      <c r="Q15" s="15">
        <v>100000</v>
      </c>
      <c r="R15" s="15"/>
      <c r="S15" s="15">
        <f t="shared" si="2"/>
        <v>0</v>
      </c>
      <c r="T15" s="22"/>
    </row>
    <row r="16" spans="1:22" s="19" customFormat="1" ht="33" customHeight="1">
      <c r="A16" s="439"/>
      <c r="B16" s="285">
        <v>3</v>
      </c>
      <c r="C16" s="175" t="s">
        <v>952</v>
      </c>
      <c r="D16" s="20" t="str">
        <f>COVER!B19</f>
        <v>WCB+309+#6</v>
      </c>
      <c r="E16" s="13">
        <v>1</v>
      </c>
      <c r="F16" s="14">
        <f>IF(D16="SUS+#6",X76,IF(D16="WCB+309+#6",X77))</f>
        <v>686800</v>
      </c>
      <c r="G16" s="14">
        <f>F16*E16</f>
        <v>686800</v>
      </c>
      <c r="H16" s="14"/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f t="shared" si="2"/>
        <v>686800</v>
      </c>
      <c r="T16" s="22"/>
    </row>
    <row r="17" spans="1:22" s="19" customFormat="1" ht="33" customHeight="1">
      <c r="A17" s="439"/>
      <c r="B17" s="285">
        <v>4</v>
      </c>
      <c r="C17" s="175" t="s">
        <v>1186</v>
      </c>
      <c r="D17" s="20" t="str">
        <f>COVER!B18</f>
        <v>A240T316L+GARPHITE</v>
      </c>
      <c r="E17" s="13">
        <v>1</v>
      </c>
      <c r="F17" s="14">
        <f>IF(D17="A240T316L+GARPHITE",Y84+Z84)</f>
        <v>303600</v>
      </c>
      <c r="G17" s="14">
        <f>F17*E17</f>
        <v>303600</v>
      </c>
      <c r="H17" s="14"/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f>Z84*1.3</f>
        <v>195000</v>
      </c>
      <c r="S17" s="15">
        <f t="shared" si="2"/>
        <v>498600</v>
      </c>
      <c r="T17" s="90"/>
    </row>
    <row r="18" spans="1:22" s="19" customFormat="1" ht="33" customHeight="1">
      <c r="A18" s="439"/>
      <c r="B18" s="285">
        <v>5</v>
      </c>
      <c r="C18" s="175" t="s">
        <v>852</v>
      </c>
      <c r="D18" s="24" t="str">
        <f>COVER!B20</f>
        <v>SS316L</v>
      </c>
      <c r="E18" s="301">
        <v>1</v>
      </c>
      <c r="F18" s="14">
        <f>IF(D18="SS304",Y82,IF(D18="SS316L",Z82))</f>
        <v>290000</v>
      </c>
      <c r="G18" s="14">
        <f>E18*F18</f>
        <v>290000</v>
      </c>
      <c r="H18" s="14"/>
      <c r="I18" s="15">
        <f>I19*I20</f>
        <v>74008.600000000006</v>
      </c>
      <c r="J18" s="15">
        <f t="shared" ref="J18:Q18" si="6">J19*J20</f>
        <v>32608.6</v>
      </c>
      <c r="K18" s="15">
        <f t="shared" si="6"/>
        <v>0</v>
      </c>
      <c r="L18" s="15">
        <f t="shared" si="6"/>
        <v>0</v>
      </c>
      <c r="M18" s="15">
        <f t="shared" si="6"/>
        <v>0</v>
      </c>
      <c r="N18" s="15">
        <f t="shared" si="6"/>
        <v>0</v>
      </c>
      <c r="O18" s="15">
        <f t="shared" si="6"/>
        <v>0</v>
      </c>
      <c r="P18" s="15">
        <f t="shared" si="6"/>
        <v>0</v>
      </c>
      <c r="Q18" s="15">
        <f t="shared" si="6"/>
        <v>2000</v>
      </c>
      <c r="R18" s="15">
        <f>AA82*1.5</f>
        <v>126000</v>
      </c>
      <c r="S18" s="15">
        <f t="shared" si="2"/>
        <v>416000</v>
      </c>
      <c r="T18" s="90"/>
    </row>
    <row r="19" spans="1:22" s="19" customFormat="1" ht="33" hidden="1" customHeight="1">
      <c r="A19" s="439"/>
      <c r="B19" s="285"/>
      <c r="C19" s="30"/>
      <c r="D19" s="24"/>
      <c r="E19" s="13"/>
      <c r="F19" s="14"/>
      <c r="G19" s="14"/>
      <c r="H19" s="17" t="s">
        <v>39</v>
      </c>
      <c r="I19" s="21">
        <v>2</v>
      </c>
      <c r="J19" s="21">
        <v>2</v>
      </c>
      <c r="K19" s="21"/>
      <c r="L19" s="21"/>
      <c r="M19" s="21"/>
      <c r="N19" s="21"/>
      <c r="O19" s="21"/>
      <c r="P19" s="21"/>
      <c r="Q19" s="21">
        <v>0.2</v>
      </c>
      <c r="R19" s="15"/>
      <c r="S19" s="15">
        <f t="shared" si="2"/>
        <v>0</v>
      </c>
      <c r="T19" s="90"/>
    </row>
    <row r="20" spans="1:22" s="19" customFormat="1" ht="33" hidden="1" customHeight="1">
      <c r="A20" s="439"/>
      <c r="B20" s="285"/>
      <c r="C20" s="30"/>
      <c r="D20" s="24"/>
      <c r="E20" s="13"/>
      <c r="F20" s="14"/>
      <c r="G20" s="14"/>
      <c r="H20" s="17" t="s">
        <v>39</v>
      </c>
      <c r="I20" s="15">
        <f>I21/10</f>
        <v>37004.300000000003</v>
      </c>
      <c r="J20" s="15">
        <f t="shared" ref="J20:Q20" si="7">J21/10</f>
        <v>16304.3</v>
      </c>
      <c r="K20" s="15">
        <f t="shared" si="7"/>
        <v>0</v>
      </c>
      <c r="L20" s="15">
        <f t="shared" si="7"/>
        <v>0</v>
      </c>
      <c r="M20" s="15">
        <f t="shared" si="7"/>
        <v>0</v>
      </c>
      <c r="N20" s="15">
        <f t="shared" si="7"/>
        <v>0</v>
      </c>
      <c r="O20" s="15">
        <f t="shared" si="7"/>
        <v>0</v>
      </c>
      <c r="P20" s="15">
        <f t="shared" si="7"/>
        <v>0</v>
      </c>
      <c r="Q20" s="15">
        <f t="shared" si="7"/>
        <v>10000</v>
      </c>
      <c r="R20" s="15"/>
      <c r="S20" s="15">
        <f t="shared" si="2"/>
        <v>0</v>
      </c>
      <c r="T20" s="90"/>
    </row>
    <row r="21" spans="1:22" s="19" customFormat="1" ht="33" hidden="1" customHeight="1">
      <c r="A21" s="439"/>
      <c r="B21" s="285"/>
      <c r="C21" s="30"/>
      <c r="D21" s="24"/>
      <c r="E21" s="13"/>
      <c r="F21" s="14"/>
      <c r="G21" s="14"/>
      <c r="H21" s="17" t="s">
        <v>39</v>
      </c>
      <c r="I21" s="15">
        <v>370043</v>
      </c>
      <c r="J21" s="15">
        <v>163043</v>
      </c>
      <c r="K21" s="15"/>
      <c r="L21" s="15"/>
      <c r="M21" s="15"/>
      <c r="N21" s="15"/>
      <c r="O21" s="15"/>
      <c r="P21" s="15"/>
      <c r="Q21" s="15">
        <v>100000</v>
      </c>
      <c r="R21" s="15"/>
      <c r="S21" s="15">
        <f t="shared" si="2"/>
        <v>0</v>
      </c>
      <c r="T21" s="90"/>
    </row>
    <row r="22" spans="1:22" s="19" customFormat="1" ht="33" customHeight="1">
      <c r="A22" s="439"/>
      <c r="B22" s="285">
        <v>6</v>
      </c>
      <c r="C22" s="175" t="s">
        <v>1178</v>
      </c>
      <c r="D22" s="24" t="s">
        <v>1189</v>
      </c>
      <c r="E22" s="301">
        <v>1</v>
      </c>
      <c r="F22" s="14">
        <f>Y85</f>
        <v>30000</v>
      </c>
      <c r="G22" s="14">
        <f>F22*E22</f>
        <v>30000</v>
      </c>
      <c r="H22" s="14"/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f t="shared" si="2"/>
        <v>30000</v>
      </c>
      <c r="T22" s="90"/>
    </row>
    <row r="23" spans="1:22" s="19" customFormat="1" ht="33" customHeight="1">
      <c r="A23" s="439"/>
      <c r="B23" s="285">
        <v>7</v>
      </c>
      <c r="C23" s="175" t="s">
        <v>948</v>
      </c>
      <c r="D23" s="20" t="str">
        <f>COVER!B21</f>
        <v>B7(다크로)</v>
      </c>
      <c r="E23" s="13">
        <v>28</v>
      </c>
      <c r="F23" s="14">
        <f>IF(D23="B8",Y91,IF(D23="B8M",Z91,IF(D23="B7(다크로)",AA91)))</f>
        <v>2000</v>
      </c>
      <c r="G23" s="14">
        <f>F23*E23</f>
        <v>56000</v>
      </c>
      <c r="H23" s="14"/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f t="shared" si="2"/>
        <v>56000</v>
      </c>
      <c r="T23" s="90"/>
    </row>
    <row r="24" spans="1:22" s="19" customFormat="1" ht="33" customHeight="1">
      <c r="A24" s="439"/>
      <c r="B24" s="285">
        <v>8</v>
      </c>
      <c r="C24" s="175" t="s">
        <v>44</v>
      </c>
      <c r="D24" s="20" t="str">
        <f>COVER!B17</f>
        <v>A564T630</v>
      </c>
      <c r="E24" s="13">
        <v>142</v>
      </c>
      <c r="F24" s="14">
        <f>COVER!C17</f>
        <v>8500</v>
      </c>
      <c r="G24" s="14">
        <f>F24*E24</f>
        <v>1207000</v>
      </c>
      <c r="H24" s="14"/>
      <c r="I24" s="15">
        <f>I25*I26</f>
        <v>74008.600000000006</v>
      </c>
      <c r="J24" s="15">
        <f t="shared" ref="J24:Q24" si="8">J25*J26</f>
        <v>0</v>
      </c>
      <c r="K24" s="15">
        <f t="shared" si="8"/>
        <v>0</v>
      </c>
      <c r="L24" s="15">
        <f t="shared" si="8"/>
        <v>0</v>
      </c>
      <c r="M24" s="15">
        <f t="shared" si="8"/>
        <v>0</v>
      </c>
      <c r="N24" s="15">
        <f t="shared" si="8"/>
        <v>0</v>
      </c>
      <c r="O24" s="15">
        <f t="shared" si="8"/>
        <v>0</v>
      </c>
      <c r="P24" s="15">
        <f t="shared" si="8"/>
        <v>0</v>
      </c>
      <c r="Q24" s="15">
        <f t="shared" si="8"/>
        <v>1000</v>
      </c>
      <c r="R24" s="15">
        <f>R12*0.3</f>
        <v>124200</v>
      </c>
      <c r="S24" s="15">
        <f t="shared" si="2"/>
        <v>1331200</v>
      </c>
      <c r="T24" s="90"/>
      <c r="U24" s="162"/>
      <c r="V24" s="162"/>
    </row>
    <row r="25" spans="1:22" s="19" customFormat="1" ht="33" hidden="1" customHeight="1">
      <c r="A25" s="439"/>
      <c r="B25" s="285"/>
      <c r="C25" s="30"/>
      <c r="D25" s="20"/>
      <c r="E25" s="13"/>
      <c r="F25" s="14"/>
      <c r="G25" s="14"/>
      <c r="H25" s="17" t="s">
        <v>39</v>
      </c>
      <c r="I25" s="21">
        <v>2</v>
      </c>
      <c r="J25" s="21"/>
      <c r="K25" s="21"/>
      <c r="L25" s="21"/>
      <c r="M25" s="21"/>
      <c r="N25" s="21"/>
      <c r="O25" s="21"/>
      <c r="P25" s="21"/>
      <c r="Q25" s="21">
        <v>0.1</v>
      </c>
      <c r="R25" s="15"/>
      <c r="S25" s="15">
        <f t="shared" si="2"/>
        <v>0</v>
      </c>
      <c r="T25" s="90"/>
    </row>
    <row r="26" spans="1:22" s="19" customFormat="1" ht="33" hidden="1" customHeight="1">
      <c r="A26" s="439"/>
      <c r="B26" s="285"/>
      <c r="C26" s="30"/>
      <c r="D26" s="20"/>
      <c r="E26" s="13"/>
      <c r="F26" s="14"/>
      <c r="G26" s="14"/>
      <c r="H26" s="17" t="s">
        <v>39</v>
      </c>
      <c r="I26" s="15">
        <f>I27/10</f>
        <v>37004.300000000003</v>
      </c>
      <c r="J26" s="15"/>
      <c r="K26" s="15"/>
      <c r="L26" s="15"/>
      <c r="M26" s="15"/>
      <c r="N26" s="15"/>
      <c r="O26" s="15"/>
      <c r="P26" s="15"/>
      <c r="Q26" s="15">
        <f>Q27/10</f>
        <v>10000</v>
      </c>
      <c r="R26" s="15"/>
      <c r="S26" s="15">
        <f t="shared" si="2"/>
        <v>0</v>
      </c>
      <c r="T26" s="90"/>
    </row>
    <row r="27" spans="1:22" s="19" customFormat="1" ht="33" hidden="1" customHeight="1">
      <c r="A27" s="439"/>
      <c r="B27" s="285"/>
      <c r="C27" s="30"/>
      <c r="D27" s="20"/>
      <c r="E27" s="13"/>
      <c r="F27" s="14"/>
      <c r="G27" s="14"/>
      <c r="H27" s="17" t="s">
        <v>39</v>
      </c>
      <c r="I27" s="15">
        <v>370043</v>
      </c>
      <c r="J27" s="15"/>
      <c r="K27" s="15"/>
      <c r="L27" s="15"/>
      <c r="M27" s="15"/>
      <c r="N27" s="15"/>
      <c r="O27" s="15"/>
      <c r="P27" s="15"/>
      <c r="Q27" s="15">
        <v>100000</v>
      </c>
      <c r="R27" s="15"/>
      <c r="S27" s="15">
        <f t="shared" si="2"/>
        <v>0</v>
      </c>
      <c r="T27" s="90"/>
    </row>
    <row r="28" spans="1:22" s="19" customFormat="1" ht="33" customHeight="1">
      <c r="A28" s="439"/>
      <c r="B28" s="285">
        <v>9</v>
      </c>
      <c r="C28" s="175" t="s">
        <v>45</v>
      </c>
      <c r="D28" s="24" t="s">
        <v>1197</v>
      </c>
      <c r="E28" s="13">
        <v>1</v>
      </c>
      <c r="F28" s="14">
        <v>234500</v>
      </c>
      <c r="G28" s="14">
        <f t="shared" ref="G28" si="9">E28*F28</f>
        <v>234500</v>
      </c>
      <c r="H28" s="14"/>
      <c r="I28" s="15"/>
      <c r="J28" s="15"/>
      <c r="K28" s="15"/>
      <c r="L28" s="15"/>
      <c r="M28" s="15"/>
      <c r="N28" s="15"/>
      <c r="O28" s="15"/>
      <c r="P28" s="15"/>
      <c r="Q28" s="15"/>
      <c r="R28" s="15">
        <v>0</v>
      </c>
      <c r="S28" s="15">
        <f t="shared" si="2"/>
        <v>234500</v>
      </c>
      <c r="T28" s="90"/>
    </row>
    <row r="29" spans="1:22" s="19" customFormat="1" ht="33" customHeight="1">
      <c r="A29" s="439"/>
      <c r="B29" s="285">
        <v>10</v>
      </c>
      <c r="C29" s="175" t="s">
        <v>46</v>
      </c>
      <c r="D29" s="24" t="str">
        <f>COVER!B24</f>
        <v>A351 CF8M</v>
      </c>
      <c r="E29" s="13">
        <v>1</v>
      </c>
      <c r="F29" s="302">
        <f>IF(D29="A351 CF8M",Y101,IF(D29="B148 C95400",Z101))</f>
        <v>242000</v>
      </c>
      <c r="G29" s="14">
        <f>F29*E29</f>
        <v>242000</v>
      </c>
      <c r="H29" s="14"/>
      <c r="I29" s="15">
        <f>I30*I31</f>
        <v>3065.28</v>
      </c>
      <c r="J29" s="15">
        <f t="shared" ref="J29:Q29" si="10">J30*J31</f>
        <v>3260.86</v>
      </c>
      <c r="K29" s="15">
        <f t="shared" si="10"/>
        <v>0</v>
      </c>
      <c r="L29" s="15">
        <f t="shared" si="10"/>
        <v>0</v>
      </c>
      <c r="M29" s="15">
        <f t="shared" si="10"/>
        <v>0</v>
      </c>
      <c r="N29" s="15">
        <f t="shared" si="10"/>
        <v>0</v>
      </c>
      <c r="O29" s="15">
        <f t="shared" si="10"/>
        <v>0</v>
      </c>
      <c r="P29" s="15">
        <f t="shared" si="10"/>
        <v>0</v>
      </c>
      <c r="Q29" s="15">
        <f t="shared" si="10"/>
        <v>0</v>
      </c>
      <c r="R29" s="15">
        <v>0</v>
      </c>
      <c r="S29" s="15">
        <f t="shared" si="2"/>
        <v>242000</v>
      </c>
      <c r="T29" s="90"/>
    </row>
    <row r="30" spans="1:22" s="19" customFormat="1" ht="33" hidden="1" customHeight="1">
      <c r="A30" s="439"/>
      <c r="B30" s="285"/>
      <c r="C30" s="30"/>
      <c r="D30" s="24"/>
      <c r="E30" s="13"/>
      <c r="F30" s="14"/>
      <c r="G30" s="14"/>
      <c r="H30" s="17" t="s">
        <v>39</v>
      </c>
      <c r="I30" s="21">
        <v>0.2</v>
      </c>
      <c r="J30" s="21">
        <v>0.2</v>
      </c>
      <c r="K30" s="21"/>
      <c r="L30" s="21"/>
      <c r="M30" s="21"/>
      <c r="N30" s="21"/>
      <c r="O30" s="21"/>
      <c r="P30" s="21"/>
      <c r="Q30" s="21"/>
      <c r="R30" s="15"/>
      <c r="S30" s="15">
        <f t="shared" si="2"/>
        <v>0</v>
      </c>
      <c r="T30" s="90"/>
    </row>
    <row r="31" spans="1:22" s="19" customFormat="1" ht="33" hidden="1" customHeight="1">
      <c r="A31" s="439"/>
      <c r="B31" s="285"/>
      <c r="C31" s="30"/>
      <c r="D31" s="24"/>
      <c r="E31" s="13"/>
      <c r="F31" s="14"/>
      <c r="G31" s="14"/>
      <c r="H31" s="17" t="s">
        <v>39</v>
      </c>
      <c r="I31" s="15">
        <f>I32/10</f>
        <v>15326.4</v>
      </c>
      <c r="J31" s="15">
        <f>J32/10</f>
        <v>16304.3</v>
      </c>
      <c r="K31" s="15"/>
      <c r="L31" s="15"/>
      <c r="M31" s="15"/>
      <c r="N31" s="15"/>
      <c r="O31" s="15"/>
      <c r="P31" s="15"/>
      <c r="Q31" s="15"/>
      <c r="R31" s="15"/>
      <c r="S31" s="15">
        <f t="shared" si="2"/>
        <v>0</v>
      </c>
      <c r="T31" s="90"/>
    </row>
    <row r="32" spans="1:22" s="19" customFormat="1" ht="33" hidden="1" customHeight="1">
      <c r="A32" s="439"/>
      <c r="B32" s="285"/>
      <c r="C32" s="30"/>
      <c r="D32" s="24"/>
      <c r="E32" s="13"/>
      <c r="F32" s="14"/>
      <c r="G32" s="14"/>
      <c r="H32" s="17" t="s">
        <v>39</v>
      </c>
      <c r="I32" s="15">
        <v>153264</v>
      </c>
      <c r="J32" s="15">
        <v>163043</v>
      </c>
      <c r="K32" s="15"/>
      <c r="L32" s="15"/>
      <c r="M32" s="15"/>
      <c r="N32" s="15"/>
      <c r="O32" s="15"/>
      <c r="P32" s="15"/>
      <c r="Q32" s="15"/>
      <c r="R32" s="15"/>
      <c r="S32" s="15">
        <f t="shared" si="2"/>
        <v>0</v>
      </c>
      <c r="T32" s="90"/>
    </row>
    <row r="33" spans="1:21" s="19" customFormat="1" ht="33" customHeight="1">
      <c r="A33" s="439"/>
      <c r="B33" s="285">
        <v>11</v>
      </c>
      <c r="C33" s="175" t="s">
        <v>47</v>
      </c>
      <c r="D33" s="24" t="str">
        <f>COVER!B26</f>
        <v>316+NICKEL</v>
      </c>
      <c r="E33" s="13">
        <v>1</v>
      </c>
      <c r="F33" s="14">
        <f>IF(D33="316+NICKEL",Y103,IF(D33="B148 C95400",Z103))</f>
        <v>42600</v>
      </c>
      <c r="G33" s="14">
        <f>F33*E33</f>
        <v>42600</v>
      </c>
      <c r="H33" s="14"/>
      <c r="I33" s="15">
        <f>I34*I35</f>
        <v>4597.92</v>
      </c>
      <c r="J33" s="15">
        <f t="shared" ref="J33:Q33" si="11">J34*J35</f>
        <v>0</v>
      </c>
      <c r="K33" s="15">
        <f t="shared" si="11"/>
        <v>0</v>
      </c>
      <c r="L33" s="15">
        <f t="shared" si="11"/>
        <v>0</v>
      </c>
      <c r="M33" s="15">
        <f t="shared" si="11"/>
        <v>0</v>
      </c>
      <c r="N33" s="15">
        <f t="shared" si="11"/>
        <v>0</v>
      </c>
      <c r="O33" s="15">
        <f t="shared" si="11"/>
        <v>0</v>
      </c>
      <c r="P33" s="15">
        <f t="shared" si="11"/>
        <v>0</v>
      </c>
      <c r="Q33" s="15">
        <f t="shared" si="11"/>
        <v>0</v>
      </c>
      <c r="R33" s="15">
        <v>0</v>
      </c>
      <c r="S33" s="15">
        <f t="shared" si="2"/>
        <v>42600</v>
      </c>
      <c r="T33" s="90" t="s">
        <v>1200</v>
      </c>
    </row>
    <row r="34" spans="1:21" s="19" customFormat="1" ht="33" hidden="1" customHeight="1">
      <c r="A34" s="439"/>
      <c r="B34" s="285"/>
      <c r="C34" s="30"/>
      <c r="D34" s="24"/>
      <c r="E34" s="13"/>
      <c r="F34" s="14"/>
      <c r="G34" s="14"/>
      <c r="H34" s="17" t="s">
        <v>39</v>
      </c>
      <c r="I34" s="21">
        <v>0.3</v>
      </c>
      <c r="J34" s="21"/>
      <c r="K34" s="21"/>
      <c r="L34" s="21"/>
      <c r="M34" s="21"/>
      <c r="N34" s="21"/>
      <c r="O34" s="21"/>
      <c r="P34" s="21"/>
      <c r="Q34" s="21"/>
      <c r="R34" s="15"/>
      <c r="S34" s="15">
        <f t="shared" si="2"/>
        <v>0</v>
      </c>
      <c r="T34" s="90"/>
    </row>
    <row r="35" spans="1:21" s="19" customFormat="1" ht="33" hidden="1" customHeight="1">
      <c r="A35" s="439"/>
      <c r="B35" s="285"/>
      <c r="C35" s="30"/>
      <c r="D35" s="24"/>
      <c r="E35" s="13"/>
      <c r="F35" s="14"/>
      <c r="G35" s="14"/>
      <c r="H35" s="17" t="s">
        <v>39</v>
      </c>
      <c r="I35" s="15">
        <f>I36/10</f>
        <v>15326.4</v>
      </c>
      <c r="J35" s="15"/>
      <c r="K35" s="15"/>
      <c r="L35" s="15"/>
      <c r="M35" s="15"/>
      <c r="N35" s="15"/>
      <c r="O35" s="15"/>
      <c r="P35" s="15"/>
      <c r="Q35" s="15"/>
      <c r="R35" s="15"/>
      <c r="S35" s="15">
        <f t="shared" si="2"/>
        <v>0</v>
      </c>
      <c r="T35" s="90"/>
    </row>
    <row r="36" spans="1:21" s="19" customFormat="1" ht="33" hidden="1" customHeight="1">
      <c r="A36" s="439"/>
      <c r="B36" s="285"/>
      <c r="C36" s="30"/>
      <c r="D36" s="24"/>
      <c r="E36" s="13"/>
      <c r="F36" s="14"/>
      <c r="G36" s="14"/>
      <c r="H36" s="17" t="s">
        <v>48</v>
      </c>
      <c r="I36" s="15">
        <v>153264</v>
      </c>
      <c r="J36" s="15"/>
      <c r="K36" s="15"/>
      <c r="L36" s="15"/>
      <c r="M36" s="15"/>
      <c r="N36" s="15"/>
      <c r="O36" s="15"/>
      <c r="P36" s="15"/>
      <c r="Q36" s="15"/>
      <c r="R36" s="15"/>
      <c r="S36" s="15">
        <f t="shared" si="2"/>
        <v>0</v>
      </c>
      <c r="T36" s="90"/>
    </row>
    <row r="37" spans="1:21" s="19" customFormat="1" ht="33" customHeight="1">
      <c r="A37" s="439"/>
      <c r="B37" s="285">
        <v>12</v>
      </c>
      <c r="C37" s="186" t="s">
        <v>954</v>
      </c>
      <c r="D37" s="20" t="str">
        <f>COVER!B22</f>
        <v>B7(다크로)</v>
      </c>
      <c r="E37" s="13">
        <v>6</v>
      </c>
      <c r="F37" s="14">
        <f>IF(D37="B8",Y93,IF(D37="B8M",Z93,IF(D37="B7(다크로)",AA93)))</f>
        <v>3000</v>
      </c>
      <c r="G37" s="14">
        <f>E37*F37</f>
        <v>18000</v>
      </c>
      <c r="H37" s="14"/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f t="shared" si="2"/>
        <v>18000</v>
      </c>
      <c r="T37" s="90"/>
    </row>
    <row r="38" spans="1:21" s="19" customFormat="1" ht="33" customHeight="1">
      <c r="A38" s="439"/>
      <c r="B38" s="285">
        <v>13</v>
      </c>
      <c r="C38" s="29" t="s">
        <v>49</v>
      </c>
      <c r="D38" s="24"/>
      <c r="E38" s="13">
        <v>1</v>
      </c>
      <c r="F38" s="14">
        <v>10000</v>
      </c>
      <c r="G38" s="14">
        <f t="shared" ref="G38" si="12">E38*F38</f>
        <v>10000</v>
      </c>
      <c r="H38" s="14"/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f t="shared" si="2"/>
        <v>10000</v>
      </c>
      <c r="T38" s="22"/>
    </row>
    <row r="39" spans="1:21" s="19" customFormat="1" ht="33" customHeight="1">
      <c r="A39" s="439"/>
      <c r="B39" s="285">
        <v>14</v>
      </c>
      <c r="C39" s="175" t="s">
        <v>50</v>
      </c>
      <c r="D39" s="24" t="str">
        <f>COVER!B23</f>
        <v>316+NICKEL</v>
      </c>
      <c r="E39" s="13">
        <v>2</v>
      </c>
      <c r="F39" s="14">
        <f>IF(D39="316+NICKEL",Y97+Y98,IF(D39="B148 C95400",Z97+Z98))</f>
        <v>358500</v>
      </c>
      <c r="G39" s="14">
        <f>F39*1</f>
        <v>358500</v>
      </c>
      <c r="H39" s="14"/>
      <c r="I39" s="15">
        <f t="shared" ref="I39:Q39" si="13">I40*I41</f>
        <v>0</v>
      </c>
      <c r="J39" s="15">
        <f t="shared" si="13"/>
        <v>0</v>
      </c>
      <c r="K39" s="15">
        <f t="shared" si="13"/>
        <v>0</v>
      </c>
      <c r="L39" s="15">
        <f t="shared" si="13"/>
        <v>0</v>
      </c>
      <c r="M39" s="15">
        <f t="shared" si="13"/>
        <v>0</v>
      </c>
      <c r="N39" s="15">
        <f t="shared" si="13"/>
        <v>0</v>
      </c>
      <c r="O39" s="15">
        <f t="shared" si="13"/>
        <v>0</v>
      </c>
      <c r="P39" s="15">
        <f t="shared" si="13"/>
        <v>0</v>
      </c>
      <c r="Q39" s="15">
        <f t="shared" si="13"/>
        <v>0</v>
      </c>
      <c r="R39" s="15">
        <v>0</v>
      </c>
      <c r="S39" s="15">
        <f t="shared" si="2"/>
        <v>358500</v>
      </c>
      <c r="T39" s="90" t="s">
        <v>1200</v>
      </c>
    </row>
    <row r="40" spans="1:21" s="19" customFormat="1" ht="33" customHeight="1">
      <c r="A40" s="439"/>
      <c r="B40" s="285">
        <v>15</v>
      </c>
      <c r="C40" s="175" t="s">
        <v>51</v>
      </c>
      <c r="D40" s="24" t="str">
        <f>COVER!B23</f>
        <v>316+NICKEL</v>
      </c>
      <c r="E40" s="13">
        <v>2</v>
      </c>
      <c r="F40" s="14">
        <f>IF(D40="316+NICKEL",Y99+Y100,IF(D40="B148 C95400",Z99+Z100))</f>
        <v>343000</v>
      </c>
      <c r="G40" s="14">
        <f>F40*1</f>
        <v>343000</v>
      </c>
      <c r="H40" s="14"/>
      <c r="I40" s="15">
        <f t="shared" ref="I40:Q40" si="14">I41*I42</f>
        <v>0</v>
      </c>
      <c r="J40" s="15">
        <f t="shared" si="14"/>
        <v>0</v>
      </c>
      <c r="K40" s="15">
        <f t="shared" si="14"/>
        <v>0</v>
      </c>
      <c r="L40" s="15">
        <f t="shared" si="14"/>
        <v>0</v>
      </c>
      <c r="M40" s="15">
        <f t="shared" si="14"/>
        <v>0</v>
      </c>
      <c r="N40" s="15">
        <f t="shared" si="14"/>
        <v>0</v>
      </c>
      <c r="O40" s="15">
        <f t="shared" si="14"/>
        <v>0</v>
      </c>
      <c r="P40" s="15">
        <f t="shared" si="14"/>
        <v>0</v>
      </c>
      <c r="Q40" s="15">
        <f t="shared" si="14"/>
        <v>0</v>
      </c>
      <c r="R40" s="15">
        <v>0</v>
      </c>
      <c r="S40" s="15">
        <f t="shared" si="2"/>
        <v>343000</v>
      </c>
      <c r="T40" s="90" t="s">
        <v>1200</v>
      </c>
    </row>
    <row r="41" spans="1:21" s="19" customFormat="1" ht="33" hidden="1" customHeight="1">
      <c r="A41" s="439"/>
      <c r="B41" s="285"/>
      <c r="C41" s="30"/>
      <c r="D41" s="20"/>
      <c r="E41" s="13"/>
      <c r="F41" s="14"/>
      <c r="G41" s="14"/>
      <c r="H41" s="17" t="s">
        <v>39</v>
      </c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>
        <f t="shared" si="2"/>
        <v>0</v>
      </c>
      <c r="T41" s="90"/>
    </row>
    <row r="42" spans="1:21" s="19" customFormat="1" ht="33" hidden="1" customHeight="1">
      <c r="A42" s="439"/>
      <c r="B42" s="285"/>
      <c r="C42" s="30"/>
      <c r="D42" s="20"/>
      <c r="E42" s="13"/>
      <c r="F42" s="14"/>
      <c r="G42" s="14"/>
      <c r="H42" s="17" t="s">
        <v>39</v>
      </c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>
        <f t="shared" si="2"/>
        <v>0</v>
      </c>
      <c r="T42" s="90"/>
    </row>
    <row r="43" spans="1:21" s="19" customFormat="1" ht="33" hidden="1" customHeight="1">
      <c r="A43" s="439"/>
      <c r="B43" s="285"/>
      <c r="C43" s="30"/>
      <c r="D43" s="20"/>
      <c r="E43" s="13"/>
      <c r="F43" s="14"/>
      <c r="G43" s="14"/>
      <c r="H43" s="17" t="s">
        <v>39</v>
      </c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>
        <f t="shared" si="2"/>
        <v>0</v>
      </c>
      <c r="T43" s="90"/>
    </row>
    <row r="44" spans="1:21" s="19" customFormat="1" ht="33" customHeight="1">
      <c r="A44" s="439"/>
      <c r="B44" s="285">
        <v>16</v>
      </c>
      <c r="C44" s="175" t="s">
        <v>52</v>
      </c>
      <c r="D44" s="24" t="str">
        <f>COVER!B25</f>
        <v>316+NICKEL</v>
      </c>
      <c r="E44" s="13">
        <v>1</v>
      </c>
      <c r="F44" s="14">
        <f>IF(D44="316+NICKEL",Y102,IF(D44="B148 C95400",Z102))</f>
        <v>27100</v>
      </c>
      <c r="G44" s="14">
        <f>F44*E44</f>
        <v>27100</v>
      </c>
      <c r="H44" s="14"/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1000</v>
      </c>
      <c r="P44" s="15">
        <v>0</v>
      </c>
      <c r="Q44" s="15">
        <v>0</v>
      </c>
      <c r="R44" s="15">
        <v>0</v>
      </c>
      <c r="S44" s="15">
        <f t="shared" si="2"/>
        <v>27100</v>
      </c>
      <c r="T44" s="90" t="s">
        <v>1200</v>
      </c>
      <c r="U44" s="236"/>
    </row>
    <row r="45" spans="1:21" s="19" customFormat="1" ht="33" customHeight="1">
      <c r="A45" s="439"/>
      <c r="B45" s="285">
        <v>17</v>
      </c>
      <c r="C45" s="175" t="s">
        <v>53</v>
      </c>
      <c r="D45" s="20" t="s">
        <v>463</v>
      </c>
      <c r="E45" s="13">
        <v>1</v>
      </c>
      <c r="F45" s="14">
        <f>Y87</f>
        <v>6000</v>
      </c>
      <c r="G45" s="14">
        <f>F45*E45</f>
        <v>6000</v>
      </c>
      <c r="H45" s="14"/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f t="shared" si="2"/>
        <v>6000</v>
      </c>
      <c r="T45" s="90"/>
    </row>
    <row r="46" spans="1:21" s="19" customFormat="1" ht="33" customHeight="1">
      <c r="A46" s="439"/>
      <c r="B46" s="285">
        <v>18</v>
      </c>
      <c r="C46" s="175" t="s">
        <v>1206</v>
      </c>
      <c r="D46" s="24" t="str">
        <f>COVER!B29</f>
        <v>SS400</v>
      </c>
      <c r="E46" s="13">
        <v>1</v>
      </c>
      <c r="F46" s="14">
        <f>IF(D46="SS400",Y107,IF(D46="SS316",Z107,IF(D46="SS304",AA107)))</f>
        <v>30475</v>
      </c>
      <c r="G46" s="14">
        <f>F46*E46</f>
        <v>30475</v>
      </c>
      <c r="H46" s="14"/>
      <c r="I46" s="15">
        <f>I47*I48</f>
        <v>4597.92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10000</v>
      </c>
      <c r="S46" s="15">
        <f t="shared" si="2"/>
        <v>40475</v>
      </c>
      <c r="T46" s="90"/>
    </row>
    <row r="47" spans="1:21" s="19" customFormat="1" ht="33" hidden="1" customHeight="1">
      <c r="A47" s="439"/>
      <c r="B47" s="285"/>
      <c r="C47" s="30"/>
      <c r="D47" s="24"/>
      <c r="E47" s="13"/>
      <c r="F47" s="14"/>
      <c r="G47" s="14"/>
      <c r="H47" s="17" t="s">
        <v>39</v>
      </c>
      <c r="I47" s="21">
        <v>0.3</v>
      </c>
      <c r="J47" s="21"/>
      <c r="K47" s="21"/>
      <c r="L47" s="21"/>
      <c r="M47" s="21"/>
      <c r="N47" s="21"/>
      <c r="O47" s="21"/>
      <c r="P47" s="21"/>
      <c r="Q47" s="21"/>
      <c r="R47" s="15"/>
      <c r="S47" s="15">
        <f t="shared" si="2"/>
        <v>0</v>
      </c>
      <c r="T47" s="90"/>
    </row>
    <row r="48" spans="1:21" s="19" customFormat="1" ht="33" hidden="1" customHeight="1">
      <c r="A48" s="439"/>
      <c r="B48" s="285"/>
      <c r="C48" s="30"/>
      <c r="D48" s="24"/>
      <c r="E48" s="13"/>
      <c r="F48" s="14"/>
      <c r="G48" s="14"/>
      <c r="H48" s="17" t="s">
        <v>39</v>
      </c>
      <c r="I48" s="15">
        <f>I49/10</f>
        <v>15326.4</v>
      </c>
      <c r="J48" s="15"/>
      <c r="K48" s="15"/>
      <c r="L48" s="15"/>
      <c r="M48" s="15"/>
      <c r="N48" s="15"/>
      <c r="O48" s="15"/>
      <c r="P48" s="15"/>
      <c r="Q48" s="15"/>
      <c r="R48" s="15"/>
      <c r="S48" s="15">
        <f t="shared" si="2"/>
        <v>0</v>
      </c>
      <c r="T48" s="90"/>
    </row>
    <row r="49" spans="1:30" s="19" customFormat="1" ht="33" hidden="1" customHeight="1">
      <c r="A49" s="439"/>
      <c r="B49" s="285"/>
      <c r="C49" s="30"/>
      <c r="D49" s="24"/>
      <c r="E49" s="13"/>
      <c r="F49" s="14"/>
      <c r="G49" s="14"/>
      <c r="H49" s="17" t="s">
        <v>39</v>
      </c>
      <c r="I49" s="15">
        <v>153264</v>
      </c>
      <c r="J49" s="15"/>
      <c r="K49" s="15"/>
      <c r="L49" s="15"/>
      <c r="M49" s="15"/>
      <c r="N49" s="15"/>
      <c r="O49" s="15"/>
      <c r="P49" s="15"/>
      <c r="Q49" s="15"/>
      <c r="R49" s="15"/>
      <c r="S49" s="15">
        <f t="shared" si="2"/>
        <v>0</v>
      </c>
      <c r="T49" s="90"/>
    </row>
    <row r="50" spans="1:30" s="19" customFormat="1" ht="33" customHeight="1">
      <c r="A50" s="439"/>
      <c r="B50" s="285">
        <v>19</v>
      </c>
      <c r="C50" s="175" t="s">
        <v>55</v>
      </c>
      <c r="D50" s="20" t="str">
        <f>COVER!B22</f>
        <v>B7(다크로)</v>
      </c>
      <c r="E50" s="13">
        <v>8</v>
      </c>
      <c r="F50" s="14">
        <f>IF(D50="B8",Y94,IF(D50="B8M",Z94,IF(D50="B7(다크로)",AA94)))</f>
        <v>2500</v>
      </c>
      <c r="G50" s="14">
        <f>E50*F50</f>
        <v>20000</v>
      </c>
      <c r="H50" s="14"/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f t="shared" si="2"/>
        <v>20000</v>
      </c>
      <c r="T50" s="90"/>
    </row>
    <row r="51" spans="1:30" s="19" customFormat="1" ht="33" customHeight="1">
      <c r="A51" s="439"/>
      <c r="B51" s="285">
        <v>20</v>
      </c>
      <c r="C51" s="186" t="s">
        <v>56</v>
      </c>
      <c r="D51" s="303" t="str">
        <f>D24</f>
        <v>A564T630</v>
      </c>
      <c r="E51" s="13">
        <v>4</v>
      </c>
      <c r="F51" s="14">
        <f>IF(D51="A276T316L",Y80/E51,IF(D51="A276T304",Z80/E51,IF(D51="A564T630",AA80/E51,IF(D51="A479T410",AB80/E51,IF(D51="UNS S31803",AC80/E51,IF(D51="UNS S32750",AD80/E51,IF(D51="MONEL K-500",AE80/E51)))))))</f>
        <v>10552.5</v>
      </c>
      <c r="G51" s="14">
        <f>F51*E51</f>
        <v>42210</v>
      </c>
      <c r="H51" s="14"/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1000</v>
      </c>
      <c r="P51" s="15">
        <v>0</v>
      </c>
      <c r="Q51" s="15">
        <v>0</v>
      </c>
      <c r="R51" s="15">
        <f>E51*4000</f>
        <v>16000</v>
      </c>
      <c r="S51" s="15">
        <f t="shared" si="2"/>
        <v>58210</v>
      </c>
      <c r="T51" s="90"/>
      <c r="U51" s="162"/>
    </row>
    <row r="52" spans="1:30" s="19" customFormat="1" ht="33" customHeight="1">
      <c r="A52" s="439"/>
      <c r="B52" s="285">
        <v>21</v>
      </c>
      <c r="C52" s="186" t="s">
        <v>57</v>
      </c>
      <c r="D52" s="24" t="str">
        <f>COVER!B22</f>
        <v>B7(다크로)</v>
      </c>
      <c r="E52" s="13">
        <v>6</v>
      </c>
      <c r="F52" s="14">
        <f>IF(D52="B8",Y90,IF(D52="B8M",Z90,IF(D52="B7(다크로)",AA90)))</f>
        <v>6500</v>
      </c>
      <c r="G52" s="14">
        <f>F52*E52</f>
        <v>39000</v>
      </c>
      <c r="H52" s="14"/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1000</v>
      </c>
      <c r="O52" s="15">
        <v>1000</v>
      </c>
      <c r="P52" s="15">
        <v>1000</v>
      </c>
      <c r="Q52" s="15">
        <v>0</v>
      </c>
      <c r="R52" s="15">
        <v>0</v>
      </c>
      <c r="S52" s="15">
        <f t="shared" si="2"/>
        <v>39000</v>
      </c>
      <c r="T52" s="90"/>
      <c r="U52" s="162"/>
    </row>
    <row r="53" spans="1:30" s="19" customFormat="1" ht="33" customHeight="1">
      <c r="A53" s="439"/>
      <c r="B53" s="285">
        <v>22</v>
      </c>
      <c r="C53" s="186" t="s">
        <v>1199</v>
      </c>
      <c r="D53" s="24" t="str">
        <f>COVER!B26</f>
        <v>316+NICKEL</v>
      </c>
      <c r="E53" s="13">
        <v>1</v>
      </c>
      <c r="F53" s="14">
        <f>IF(D53="316+NICKEL",Y103,IF(D53="B148 C95400",Z103))</f>
        <v>42600</v>
      </c>
      <c r="G53" s="14">
        <f>F53*E53</f>
        <v>42600</v>
      </c>
      <c r="H53" s="14"/>
      <c r="I53" s="15"/>
      <c r="J53" s="15"/>
      <c r="K53" s="15"/>
      <c r="L53" s="15"/>
      <c r="M53" s="15"/>
      <c r="N53" s="15"/>
      <c r="O53" s="15"/>
      <c r="P53" s="15"/>
      <c r="Q53" s="15"/>
      <c r="R53" s="15">
        <v>0</v>
      </c>
      <c r="S53" s="15">
        <f t="shared" si="2"/>
        <v>42600</v>
      </c>
      <c r="T53" s="90"/>
    </row>
    <row r="54" spans="1:30" s="19" customFormat="1" ht="33" customHeight="1">
      <c r="A54" s="439"/>
      <c r="B54" s="285">
        <v>23</v>
      </c>
      <c r="C54" s="92" t="s">
        <v>58</v>
      </c>
      <c r="D54" s="24"/>
      <c r="E54" s="13">
        <v>1</v>
      </c>
      <c r="F54" s="14">
        <v>3000</v>
      </c>
      <c r="G54" s="14">
        <f t="shared" ref="G54:G61" si="15">E54*F54</f>
        <v>3000</v>
      </c>
      <c r="H54" s="14"/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1000</v>
      </c>
      <c r="Q54" s="15">
        <v>0</v>
      </c>
      <c r="R54" s="15">
        <v>0</v>
      </c>
      <c r="S54" s="15">
        <f t="shared" si="2"/>
        <v>3000</v>
      </c>
      <c r="T54" s="90"/>
    </row>
    <row r="55" spans="1:30" s="19" customFormat="1" ht="33" customHeight="1">
      <c r="A55" s="439"/>
      <c r="B55" s="285">
        <v>24</v>
      </c>
      <c r="C55" s="175" t="s">
        <v>59</v>
      </c>
      <c r="D55" s="24" t="str">
        <f>COVER!B35</f>
        <v>GEAR</v>
      </c>
      <c r="E55" s="13">
        <v>1</v>
      </c>
      <c r="F55" s="302">
        <f>IF(D55="GEAR",1089000,IF(D55="MOTOR",0,IF(D55="PNEUMATIC",0)))</f>
        <v>1089000</v>
      </c>
      <c r="G55" s="14">
        <f>F55</f>
        <v>1089000</v>
      </c>
      <c r="H55" s="14"/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f t="shared" si="2"/>
        <v>1089000</v>
      </c>
      <c r="T55" s="90"/>
      <c r="Z55" s="19" t="s">
        <v>469</v>
      </c>
    </row>
    <row r="56" spans="1:30" s="19" customFormat="1" ht="33" customHeight="1">
      <c r="A56" s="439"/>
      <c r="B56" s="285">
        <v>25</v>
      </c>
      <c r="C56" s="186" t="s">
        <v>859</v>
      </c>
      <c r="D56" s="24" t="str">
        <f>COVER!B30</f>
        <v>WCB</v>
      </c>
      <c r="E56" s="13">
        <v>67</v>
      </c>
      <c r="F56" s="14">
        <f>IF(D56="WCB",4000,IF(D56="CF8M",9000))</f>
        <v>4000</v>
      </c>
      <c r="G56" s="14">
        <f>E56*F56</f>
        <v>268000</v>
      </c>
      <c r="H56" s="14"/>
      <c r="I56" s="15"/>
      <c r="J56" s="15"/>
      <c r="K56" s="15"/>
      <c r="L56" s="15"/>
      <c r="M56" s="15"/>
      <c r="N56" s="15"/>
      <c r="O56" s="15"/>
      <c r="P56" s="15"/>
      <c r="Q56" s="15"/>
      <c r="R56" s="14">
        <f>IF(D56="WCB",AA109,IF(D56="CF8M",AB109))</f>
        <v>56000</v>
      </c>
      <c r="S56" s="15">
        <f t="shared" si="2"/>
        <v>324000</v>
      </c>
      <c r="T56" s="90"/>
    </row>
    <row r="57" spans="1:30" s="19" customFormat="1" ht="33" customHeight="1">
      <c r="A57" s="439"/>
      <c r="B57" s="285">
        <v>26</v>
      </c>
      <c r="C57" s="175" t="s">
        <v>467</v>
      </c>
      <c r="D57" s="24" t="str">
        <f>COVER!B27</f>
        <v>316+NICKEL</v>
      </c>
      <c r="E57" s="13">
        <v>2</v>
      </c>
      <c r="F57" s="14">
        <f>IF(D57="316+NICKEL",Y104,IF(D57="B148 C95400",Z104))</f>
        <v>55100</v>
      </c>
      <c r="G57" s="14">
        <f>F57</f>
        <v>55100</v>
      </c>
      <c r="H57" s="14"/>
      <c r="I57" s="15"/>
      <c r="J57" s="15"/>
      <c r="K57" s="15"/>
      <c r="L57" s="15"/>
      <c r="M57" s="15"/>
      <c r="N57" s="15"/>
      <c r="O57" s="15"/>
      <c r="P57" s="15"/>
      <c r="Q57" s="15"/>
      <c r="R57" s="15">
        <v>0</v>
      </c>
      <c r="S57" s="15">
        <f t="shared" si="2"/>
        <v>55100</v>
      </c>
      <c r="T57" s="90" t="s">
        <v>1200</v>
      </c>
      <c r="U57" s="96"/>
    </row>
    <row r="58" spans="1:30" s="19" customFormat="1" ht="33" customHeight="1">
      <c r="A58" s="439"/>
      <c r="B58" s="285">
        <v>27</v>
      </c>
      <c r="C58" s="175" t="s">
        <v>468</v>
      </c>
      <c r="D58" s="24" t="str">
        <f>COVER!B28</f>
        <v>316+NICKEL</v>
      </c>
      <c r="E58" s="13">
        <v>2</v>
      </c>
      <c r="F58" s="14">
        <f>IF(D58="316+NICKEL",Y105,IF(D58="B148 C95400",Z105))</f>
        <v>19500</v>
      </c>
      <c r="G58" s="14">
        <f>F58</f>
        <v>19500</v>
      </c>
      <c r="H58" s="14"/>
      <c r="I58" s="15"/>
      <c r="J58" s="15"/>
      <c r="K58" s="15"/>
      <c r="L58" s="15"/>
      <c r="M58" s="15"/>
      <c r="N58" s="15"/>
      <c r="O58" s="15"/>
      <c r="P58" s="15"/>
      <c r="Q58" s="15"/>
      <c r="R58" s="15">
        <v>0</v>
      </c>
      <c r="S58" s="15">
        <f t="shared" si="2"/>
        <v>19500</v>
      </c>
      <c r="T58" s="90" t="s">
        <v>1200</v>
      </c>
      <c r="U58" s="96"/>
    </row>
    <row r="59" spans="1:30" s="19" customFormat="1" ht="33" customHeight="1">
      <c r="A59" s="439"/>
      <c r="B59" s="285">
        <v>28</v>
      </c>
      <c r="C59" s="175" t="s">
        <v>60</v>
      </c>
      <c r="D59" s="24" t="str">
        <f>COVER!B22</f>
        <v>B7(다크로)</v>
      </c>
      <c r="E59" s="13">
        <v>8</v>
      </c>
      <c r="F59" s="14">
        <f>IF(D59="B8",Y89,IF(D59="B8M",Z89,IF(D59="B7(다크로)",AA89)))</f>
        <v>4500</v>
      </c>
      <c r="G59" s="14">
        <f t="shared" si="15"/>
        <v>36000</v>
      </c>
      <c r="H59" s="14"/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f t="shared" si="2"/>
        <v>36000</v>
      </c>
      <c r="T59" s="90"/>
      <c r="AD59" s="19" t="s">
        <v>465</v>
      </c>
    </row>
    <row r="60" spans="1:30" s="19" customFormat="1" ht="33" customHeight="1">
      <c r="A60" s="439"/>
      <c r="B60" s="285">
        <v>29</v>
      </c>
      <c r="C60" s="30" t="s">
        <v>61</v>
      </c>
      <c r="D60" s="303" t="str">
        <f>COVER!B32</f>
        <v>외주 2COATING</v>
      </c>
      <c r="E60" s="13">
        <v>1</v>
      </c>
      <c r="F60" s="14">
        <f>IF(COVER!B10="APPLICATION",0,IF(D60="기존 단가",Y116,IF(D60="외주 2COATING",Z116,IF(D60="외주 3COATING",AA116))))</f>
        <v>0</v>
      </c>
      <c r="G60" s="14">
        <f t="shared" si="15"/>
        <v>0</v>
      </c>
      <c r="H60" s="14"/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f t="shared" si="2"/>
        <v>0</v>
      </c>
      <c r="T60" s="22"/>
    </row>
    <row r="61" spans="1:30" s="19" customFormat="1" ht="33" customHeight="1">
      <c r="A61" s="439"/>
      <c r="B61" s="285">
        <v>30</v>
      </c>
      <c r="C61" s="30" t="s">
        <v>62</v>
      </c>
      <c r="D61" s="303" t="str">
        <f>COVER!B33</f>
        <v>신규</v>
      </c>
      <c r="E61" s="13">
        <v>1</v>
      </c>
      <c r="F61" s="14">
        <f>IF(COVER!B10="APPLICATION",0,IF(D61="기존 단가",Y118,IF(D61="신규",Z118)))</f>
        <v>0</v>
      </c>
      <c r="G61" s="14">
        <f t="shared" si="15"/>
        <v>0</v>
      </c>
      <c r="H61" s="14"/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f t="shared" si="2"/>
        <v>0</v>
      </c>
      <c r="T61" s="22"/>
    </row>
    <row r="62" spans="1:30" s="19" customFormat="1" ht="33" customHeight="1">
      <c r="A62" s="439" t="s">
        <v>63</v>
      </c>
      <c r="B62" s="439"/>
      <c r="C62" s="439"/>
      <c r="D62" s="439"/>
      <c r="E62" s="439"/>
      <c r="F62" s="439"/>
      <c r="G62" s="14">
        <f>IF(COVER!B10="APPLICATION",0,IF(D55="GEAR",Y120,IF(D55="MOTOR",Z120,IF(D55="PNEUMATIC",AA120))))</f>
        <v>0</v>
      </c>
      <c r="H62" s="14"/>
      <c r="I62" s="32" t="s">
        <v>38</v>
      </c>
      <c r="J62" s="32"/>
      <c r="K62" s="32"/>
      <c r="L62" s="32"/>
      <c r="M62" s="32"/>
      <c r="N62" s="32"/>
      <c r="O62" s="32"/>
      <c r="P62" s="32"/>
      <c r="Q62" s="32"/>
      <c r="R62" s="33"/>
      <c r="S62" s="33">
        <f t="shared" si="2"/>
        <v>0</v>
      </c>
      <c r="T62" s="253"/>
    </row>
    <row r="63" spans="1:30" s="19" customFormat="1" ht="33" customHeight="1">
      <c r="A63" s="440" t="s">
        <v>64</v>
      </c>
      <c r="B63" s="440"/>
      <c r="C63" s="440"/>
      <c r="D63" s="440"/>
      <c r="E63" s="440"/>
      <c r="F63" s="440"/>
      <c r="G63" s="14"/>
      <c r="H63" s="14"/>
      <c r="I63" s="32"/>
      <c r="J63" s="32"/>
      <c r="K63" s="32"/>
      <c r="L63" s="32"/>
      <c r="M63" s="32"/>
      <c r="N63" s="32"/>
      <c r="O63" s="32"/>
      <c r="P63" s="32"/>
      <c r="Q63" s="32"/>
      <c r="R63" s="33"/>
      <c r="S63" s="33"/>
      <c r="T63" s="253" t="s">
        <v>1526</v>
      </c>
    </row>
    <row r="64" spans="1:30" s="19" customFormat="1" ht="33" customHeight="1">
      <c r="A64" s="439" t="s">
        <v>65</v>
      </c>
      <c r="B64" s="439"/>
      <c r="C64" s="439"/>
      <c r="D64" s="439"/>
      <c r="E64" s="439"/>
      <c r="F64" s="439"/>
      <c r="G64" s="93" t="s">
        <v>38</v>
      </c>
      <c r="H64" s="93"/>
      <c r="I64" s="32"/>
      <c r="J64" s="94"/>
      <c r="K64" s="94"/>
      <c r="L64" s="94"/>
      <c r="M64" s="94"/>
      <c r="N64" s="94"/>
      <c r="O64" s="94"/>
      <c r="P64" s="94"/>
      <c r="Q64" s="94"/>
      <c r="R64" s="94"/>
      <c r="S64" s="34">
        <f>SUM(S8:S63)</f>
        <v>11117185</v>
      </c>
      <c r="T64" s="254" t="s">
        <v>145</v>
      </c>
    </row>
    <row r="65" spans="1:32" s="19" customFormat="1" ht="33" customHeight="1">
      <c r="A65" s="439" t="s">
        <v>66</v>
      </c>
      <c r="B65" s="439"/>
      <c r="C65" s="439"/>
      <c r="D65" s="439"/>
      <c r="E65" s="439"/>
      <c r="F65" s="439"/>
      <c r="G65" s="32">
        <v>0.1</v>
      </c>
      <c r="H65" s="32"/>
      <c r="I65" s="32" t="s">
        <v>38</v>
      </c>
      <c r="J65" s="32"/>
      <c r="K65" s="32"/>
      <c r="L65" s="32"/>
      <c r="M65" s="32"/>
      <c r="N65" s="32"/>
      <c r="O65" s="32"/>
      <c r="P65" s="32"/>
      <c r="Q65" s="32"/>
      <c r="R65" s="32"/>
      <c r="S65" s="35">
        <f>S64*G65</f>
        <v>1111718.5</v>
      </c>
      <c r="T65" s="253"/>
    </row>
    <row r="66" spans="1:32" s="19" customFormat="1" ht="33" customHeight="1">
      <c r="A66" s="440" t="s">
        <v>67</v>
      </c>
      <c r="B66" s="440"/>
      <c r="C66" s="440"/>
      <c r="D66" s="440"/>
      <c r="E66" s="440"/>
      <c r="F66" s="440"/>
      <c r="G66" s="95">
        <v>0.1</v>
      </c>
      <c r="H66" s="95"/>
      <c r="I66" s="32" t="s">
        <v>38</v>
      </c>
      <c r="J66" s="32"/>
      <c r="K66" s="32"/>
      <c r="L66" s="32"/>
      <c r="M66" s="32"/>
      <c r="N66" s="32"/>
      <c r="O66" s="32"/>
      <c r="P66" s="32"/>
      <c r="Q66" s="32"/>
      <c r="R66" s="32"/>
      <c r="S66" s="35">
        <f>(S64+S65)*G66</f>
        <v>1222890.3500000001</v>
      </c>
      <c r="T66" s="253" t="s">
        <v>38</v>
      </c>
    </row>
    <row r="67" spans="1:32" s="19" customFormat="1" ht="33" customHeight="1">
      <c r="A67" s="363" t="s">
        <v>68</v>
      </c>
      <c r="B67" s="364"/>
      <c r="C67" s="364"/>
      <c r="D67" s="364"/>
      <c r="E67" s="364"/>
      <c r="F67" s="365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294">
        <f>S64+S65+S66</f>
        <v>13451793.85</v>
      </c>
      <c r="T67" s="254" t="s">
        <v>69</v>
      </c>
    </row>
    <row r="68" spans="1:32" s="19" customFormat="1" ht="33" customHeight="1">
      <c r="A68" s="366" t="s">
        <v>70</v>
      </c>
      <c r="B68" s="367"/>
      <c r="C68" s="367"/>
      <c r="D68" s="367"/>
      <c r="E68" s="367"/>
      <c r="F68" s="368"/>
      <c r="G68" s="32">
        <f>COVER!B11</f>
        <v>1.5</v>
      </c>
      <c r="H68" s="32"/>
      <c r="I68" s="32" t="s">
        <v>38</v>
      </c>
      <c r="J68" s="32"/>
      <c r="K68" s="32"/>
      <c r="L68" s="32"/>
      <c r="M68" s="32"/>
      <c r="N68" s="32"/>
      <c r="O68" s="32"/>
      <c r="P68" s="32"/>
      <c r="Q68" s="32"/>
      <c r="R68" s="32"/>
      <c r="S68" s="36">
        <f>S67*G68</f>
        <v>20177690.774999999</v>
      </c>
      <c r="T68" s="253"/>
    </row>
    <row r="69" spans="1:32" s="19" customFormat="1" ht="33" customHeight="1">
      <c r="A69" s="369" t="s">
        <v>71</v>
      </c>
      <c r="B69" s="370"/>
      <c r="C69" s="370"/>
      <c r="D69" s="370"/>
      <c r="E69" s="370"/>
      <c r="F69" s="370"/>
      <c r="G69" s="371"/>
      <c r="H69" s="37"/>
      <c r="I69" s="38"/>
      <c r="J69" s="38"/>
      <c r="K69" s="38"/>
      <c r="L69" s="38"/>
      <c r="M69" s="38"/>
      <c r="N69" s="38"/>
      <c r="O69" s="38"/>
      <c r="P69" s="38"/>
      <c r="Q69" s="38"/>
      <c r="R69" s="39" t="s">
        <v>17</v>
      </c>
      <c r="S69" s="40">
        <f>S68</f>
        <v>20177690.774999999</v>
      </c>
      <c r="T69" s="246" t="s">
        <v>72</v>
      </c>
      <c r="V69" s="141" t="s">
        <v>862</v>
      </c>
      <c r="W69" s="140"/>
      <c r="X69" s="140"/>
      <c r="Y69" s="140"/>
      <c r="Z69" s="140"/>
      <c r="AA69" s="140"/>
      <c r="AB69" s="140"/>
      <c r="AC69" s="140"/>
      <c r="AD69" s="140"/>
      <c r="AE69" s="140"/>
      <c r="AF69" s="140"/>
    </row>
    <row r="70" spans="1:32" s="19" customFormat="1" ht="33" customHeight="1" thickBot="1">
      <c r="A70" s="372"/>
      <c r="B70" s="373"/>
      <c r="C70" s="373"/>
      <c r="D70" s="373"/>
      <c r="E70" s="373"/>
      <c r="F70" s="373"/>
      <c r="G70" s="374"/>
      <c r="H70" s="41"/>
      <c r="I70" s="42"/>
      <c r="J70" s="42"/>
      <c r="K70" s="42"/>
      <c r="L70" s="42"/>
      <c r="M70" s="42"/>
      <c r="N70" s="42"/>
      <c r="O70" s="42"/>
      <c r="P70" s="42"/>
      <c r="Q70" s="42"/>
      <c r="R70" s="43" t="s">
        <v>18</v>
      </c>
      <c r="S70" s="43">
        <f>S64*G68</f>
        <v>16675777.5</v>
      </c>
      <c r="T70" s="247" t="s">
        <v>73</v>
      </c>
      <c r="V70" s="141" t="s">
        <v>1402</v>
      </c>
      <c r="W70" s="140"/>
      <c r="X70" s="140"/>
      <c r="Y70" s="140"/>
      <c r="Z70" s="140"/>
      <c r="AA70" s="140"/>
      <c r="AB70" s="140"/>
      <c r="AC70" s="140"/>
      <c r="AD70" s="140"/>
      <c r="AE70" s="140"/>
      <c r="AF70" s="140"/>
    </row>
    <row r="71" spans="1:32" ht="15" thickBot="1">
      <c r="V71" s="140"/>
      <c r="W71" s="140"/>
      <c r="X71" s="140"/>
      <c r="Y71" s="140"/>
      <c r="Z71" s="140"/>
      <c r="AA71" s="140"/>
      <c r="AB71" s="140"/>
      <c r="AC71" s="140"/>
      <c r="AD71" s="140"/>
      <c r="AE71" s="140"/>
      <c r="AF71" s="140"/>
    </row>
    <row r="72" spans="1:32" ht="21" thickBot="1">
      <c r="C72" s="44" t="s">
        <v>74</v>
      </c>
      <c r="V72" s="193" t="s">
        <v>863</v>
      </c>
      <c r="W72" s="194" t="s">
        <v>864</v>
      </c>
      <c r="X72" s="194" t="s">
        <v>865</v>
      </c>
      <c r="Y72" s="358" t="s">
        <v>866</v>
      </c>
      <c r="Z72" s="358"/>
      <c r="AA72" s="358"/>
      <c r="AB72" s="358"/>
      <c r="AC72" s="358"/>
      <c r="AD72" s="358"/>
      <c r="AE72" s="358"/>
      <c r="AF72" s="218" t="s">
        <v>867</v>
      </c>
    </row>
    <row r="73" spans="1:32" ht="20.399999999999999">
      <c r="C73" s="44" t="s">
        <v>75</v>
      </c>
      <c r="V73" s="336" t="s">
        <v>868</v>
      </c>
      <c r="W73" s="111" t="s">
        <v>869</v>
      </c>
      <c r="X73" s="111" t="s">
        <v>1403</v>
      </c>
      <c r="Y73" s="345" t="s">
        <v>870</v>
      </c>
      <c r="Z73" s="345"/>
      <c r="AA73" s="345"/>
      <c r="AB73" s="345"/>
      <c r="AC73" s="345"/>
      <c r="AD73" s="345"/>
      <c r="AE73" s="345"/>
      <c r="AF73" s="161" t="s">
        <v>871</v>
      </c>
    </row>
    <row r="74" spans="1:32" ht="21" thickBot="1">
      <c r="C74" s="44" t="s">
        <v>76</v>
      </c>
      <c r="V74" s="342"/>
      <c r="W74" s="133" t="s">
        <v>872</v>
      </c>
      <c r="X74" s="219" t="s">
        <v>457</v>
      </c>
      <c r="Y74" s="346" t="s">
        <v>870</v>
      </c>
      <c r="Z74" s="346"/>
      <c r="AA74" s="346"/>
      <c r="AB74" s="346"/>
      <c r="AC74" s="346"/>
      <c r="AD74" s="346"/>
      <c r="AE74" s="346"/>
      <c r="AF74" s="195" t="s">
        <v>871</v>
      </c>
    </row>
    <row r="75" spans="1:32" ht="21" thickBot="1">
      <c r="C75" s="44" t="s">
        <v>77</v>
      </c>
      <c r="V75" s="196" t="s">
        <v>874</v>
      </c>
      <c r="W75" s="137" t="s">
        <v>875</v>
      </c>
      <c r="X75" s="137" t="s">
        <v>1376</v>
      </c>
      <c r="Y75" s="359" t="s">
        <v>870</v>
      </c>
      <c r="Z75" s="359"/>
      <c r="AA75" s="359"/>
      <c r="AB75" s="359"/>
      <c r="AC75" s="359"/>
      <c r="AD75" s="359"/>
      <c r="AE75" s="359"/>
      <c r="AF75" s="197" t="s">
        <v>871</v>
      </c>
    </row>
    <row r="76" spans="1:32" ht="20.399999999999999">
      <c r="C76" s="44" t="s">
        <v>78</v>
      </c>
      <c r="V76" s="336" t="s">
        <v>877</v>
      </c>
      <c r="W76" s="111" t="s">
        <v>846</v>
      </c>
      <c r="X76" s="354">
        <v>490600</v>
      </c>
      <c r="Y76" s="354"/>
      <c r="Z76" s="354"/>
      <c r="AA76" s="354"/>
      <c r="AB76" s="354"/>
      <c r="AC76" s="354"/>
      <c r="AD76" s="354"/>
      <c r="AE76" s="354"/>
      <c r="AF76" s="161"/>
    </row>
    <row r="77" spans="1:32" ht="21" thickBot="1">
      <c r="C77" s="44" t="s">
        <v>79</v>
      </c>
      <c r="V77" s="329"/>
      <c r="W77" s="125" t="s">
        <v>847</v>
      </c>
      <c r="X77" s="355">
        <v>686800</v>
      </c>
      <c r="Y77" s="355"/>
      <c r="Z77" s="355"/>
      <c r="AA77" s="355"/>
      <c r="AB77" s="355"/>
      <c r="AC77" s="355"/>
      <c r="AD77" s="355"/>
      <c r="AE77" s="355"/>
      <c r="AF77" s="208"/>
    </row>
    <row r="78" spans="1:32" ht="20.399999999999999">
      <c r="C78" s="44" t="s">
        <v>80</v>
      </c>
      <c r="V78" s="336" t="s">
        <v>878</v>
      </c>
      <c r="W78" s="343" t="s">
        <v>1404</v>
      </c>
      <c r="X78" s="345" t="s">
        <v>879</v>
      </c>
      <c r="Y78" s="111" t="s">
        <v>880</v>
      </c>
      <c r="Z78" s="111">
        <v>304</v>
      </c>
      <c r="AA78" s="111" t="s">
        <v>881</v>
      </c>
      <c r="AB78" s="111" t="s">
        <v>882</v>
      </c>
      <c r="AC78" s="111" t="s">
        <v>883</v>
      </c>
      <c r="AD78" s="111" t="s">
        <v>884</v>
      </c>
      <c r="AE78" s="111" t="s">
        <v>885</v>
      </c>
      <c r="AF78" s="161"/>
    </row>
    <row r="79" spans="1:32" ht="20.399999999999999">
      <c r="C79" s="45"/>
      <c r="V79" s="337"/>
      <c r="W79" s="356"/>
      <c r="X79" s="357"/>
      <c r="Y79" s="116">
        <v>802000</v>
      </c>
      <c r="Z79" s="116">
        <v>581810</v>
      </c>
      <c r="AA79" s="116">
        <v>1067980</v>
      </c>
      <c r="AB79" s="116">
        <v>460790</v>
      </c>
      <c r="AC79" s="116">
        <v>1055250</v>
      </c>
      <c r="AD79" s="116">
        <v>1600898</v>
      </c>
      <c r="AE79" s="293">
        <v>3699000</v>
      </c>
      <c r="AF79" s="214" t="s">
        <v>886</v>
      </c>
    </row>
    <row r="80" spans="1:32" ht="21" thickBot="1">
      <c r="C80" s="44" t="s">
        <v>81</v>
      </c>
      <c r="V80" s="132" t="s">
        <v>887</v>
      </c>
      <c r="W80" s="286" t="s">
        <v>1405</v>
      </c>
      <c r="X80" s="133" t="s">
        <v>909</v>
      </c>
      <c r="Y80" s="134">
        <v>27930</v>
      </c>
      <c r="Z80" s="134">
        <v>20235</v>
      </c>
      <c r="AA80" s="134">
        <v>42210</v>
      </c>
      <c r="AB80" s="134">
        <v>16520</v>
      </c>
      <c r="AC80" s="134">
        <v>46900</v>
      </c>
      <c r="AD80" s="134">
        <v>55744</v>
      </c>
      <c r="AE80" s="134">
        <v>338800</v>
      </c>
      <c r="AF80" s="195" t="s">
        <v>889</v>
      </c>
    </row>
    <row r="81" spans="3:32" ht="20.399999999999999">
      <c r="C81" s="46" t="s">
        <v>82</v>
      </c>
      <c r="V81" s="331" t="s">
        <v>890</v>
      </c>
      <c r="W81" s="352" t="s">
        <v>1406</v>
      </c>
      <c r="X81" s="328" t="s">
        <v>879</v>
      </c>
      <c r="Y81" s="198">
        <v>304</v>
      </c>
      <c r="Z81" s="198" t="s">
        <v>880</v>
      </c>
      <c r="AA81" s="198" t="s">
        <v>892</v>
      </c>
      <c r="AB81" s="199"/>
      <c r="AC81" s="199"/>
      <c r="AD81" s="199"/>
      <c r="AE81" s="199"/>
      <c r="AF81" s="206"/>
    </row>
    <row r="82" spans="3:32" ht="21" thickBot="1">
      <c r="C82" s="46" t="s">
        <v>83</v>
      </c>
      <c r="V82" s="329"/>
      <c r="W82" s="353"/>
      <c r="X82" s="327"/>
      <c r="Y82" s="126">
        <v>230000</v>
      </c>
      <c r="Z82" s="126">
        <v>290000</v>
      </c>
      <c r="AA82" s="126">
        <v>84000</v>
      </c>
      <c r="AB82" s="200"/>
      <c r="AC82" s="200"/>
      <c r="AD82" s="200"/>
      <c r="AE82" s="200"/>
      <c r="AF82" s="208"/>
    </row>
    <row r="83" spans="3:32" ht="20.399999999999999">
      <c r="C83" s="46" t="s">
        <v>84</v>
      </c>
      <c r="V83" s="336" t="s">
        <v>893</v>
      </c>
      <c r="W83" s="343" t="s">
        <v>1407</v>
      </c>
      <c r="X83" s="345" t="s">
        <v>879</v>
      </c>
      <c r="Y83" s="111" t="s">
        <v>895</v>
      </c>
      <c r="Z83" s="111" t="s">
        <v>896</v>
      </c>
      <c r="AA83" s="201"/>
      <c r="AB83" s="201"/>
      <c r="AC83" s="201"/>
      <c r="AD83" s="201"/>
      <c r="AE83" s="201"/>
      <c r="AF83" s="161"/>
    </row>
    <row r="84" spans="3:32" ht="21" thickBot="1">
      <c r="C84" s="46" t="s">
        <v>85</v>
      </c>
      <c r="V84" s="342"/>
      <c r="W84" s="344"/>
      <c r="X84" s="346"/>
      <c r="Y84" s="296">
        <v>153600</v>
      </c>
      <c r="Z84" s="296">
        <v>150000</v>
      </c>
      <c r="AA84" s="203"/>
      <c r="AB84" s="203"/>
      <c r="AC84" s="203"/>
      <c r="AD84" s="203"/>
      <c r="AE84" s="203"/>
      <c r="AF84" s="195" t="s">
        <v>958</v>
      </c>
    </row>
    <row r="85" spans="3:32" ht="20.399999999999999">
      <c r="C85" s="46" t="s">
        <v>86</v>
      </c>
      <c r="V85" s="331" t="s">
        <v>898</v>
      </c>
      <c r="W85" s="287" t="s">
        <v>1408</v>
      </c>
      <c r="X85" s="198" t="s">
        <v>900</v>
      </c>
      <c r="Y85" s="113">
        <v>30000</v>
      </c>
      <c r="Z85" s="205"/>
      <c r="AA85" s="205"/>
      <c r="AB85" s="205"/>
      <c r="AC85" s="205"/>
      <c r="AD85" s="205"/>
      <c r="AE85" s="205"/>
      <c r="AF85" s="350" t="s">
        <v>901</v>
      </c>
    </row>
    <row r="86" spans="3:32" ht="21" thickBot="1">
      <c r="C86" s="46" t="s">
        <v>87</v>
      </c>
      <c r="V86" s="329"/>
      <c r="W86" s="288" t="s">
        <v>1409</v>
      </c>
      <c r="X86" s="125" t="s">
        <v>463</v>
      </c>
      <c r="Y86" s="126">
        <v>22500</v>
      </c>
      <c r="Z86" s="200"/>
      <c r="AA86" s="200"/>
      <c r="AB86" s="200"/>
      <c r="AC86" s="200"/>
      <c r="AD86" s="200"/>
      <c r="AE86" s="200"/>
      <c r="AF86" s="351"/>
    </row>
    <row r="87" spans="3:32" ht="21" thickBot="1">
      <c r="C87" s="46" t="s">
        <v>88</v>
      </c>
      <c r="V87" s="193" t="s">
        <v>904</v>
      </c>
      <c r="W87" s="289" t="s">
        <v>1093</v>
      </c>
      <c r="X87" s="194" t="s">
        <v>463</v>
      </c>
      <c r="Y87" s="210">
        <v>6000</v>
      </c>
      <c r="Z87" s="211"/>
      <c r="AA87" s="211"/>
      <c r="AB87" s="211"/>
      <c r="AC87" s="211"/>
      <c r="AD87" s="211"/>
      <c r="AE87" s="211"/>
      <c r="AF87" s="218"/>
    </row>
    <row r="88" spans="3:32" ht="20.399999999999999">
      <c r="C88" s="47" t="s">
        <v>89</v>
      </c>
      <c r="V88" s="336" t="s">
        <v>906</v>
      </c>
      <c r="W88" s="345"/>
      <c r="X88" s="345"/>
      <c r="Y88" s="111" t="s">
        <v>853</v>
      </c>
      <c r="Z88" s="111" t="s">
        <v>462</v>
      </c>
      <c r="AA88" s="111" t="s">
        <v>855</v>
      </c>
      <c r="AB88" s="201"/>
      <c r="AC88" s="201"/>
      <c r="AD88" s="201"/>
      <c r="AE88" s="201"/>
      <c r="AF88" s="161"/>
    </row>
    <row r="89" spans="3:32" ht="20.399999999999999">
      <c r="C89" s="48"/>
      <c r="V89" s="119" t="s">
        <v>907</v>
      </c>
      <c r="W89" s="290" t="s">
        <v>1094</v>
      </c>
      <c r="X89" s="115" t="s">
        <v>1081</v>
      </c>
      <c r="Y89" s="116">
        <v>7500</v>
      </c>
      <c r="Z89" s="116">
        <v>8500</v>
      </c>
      <c r="AA89" s="116">
        <v>4500</v>
      </c>
      <c r="AB89" s="213"/>
      <c r="AC89" s="213"/>
      <c r="AD89" s="213"/>
      <c r="AE89" s="213"/>
      <c r="AF89" s="214" t="s">
        <v>910</v>
      </c>
    </row>
    <row r="90" spans="3:32" ht="20.399999999999999">
      <c r="C90" s="46" t="s">
        <v>38</v>
      </c>
      <c r="V90" s="119" t="s">
        <v>911</v>
      </c>
      <c r="W90" s="290" t="s">
        <v>1095</v>
      </c>
      <c r="X90" s="115" t="s">
        <v>915</v>
      </c>
      <c r="Y90" s="116">
        <v>11000</v>
      </c>
      <c r="Z90" s="116">
        <v>14000</v>
      </c>
      <c r="AA90" s="116">
        <v>6500</v>
      </c>
      <c r="AB90" s="213"/>
      <c r="AC90" s="213"/>
      <c r="AD90" s="213"/>
      <c r="AE90" s="213"/>
      <c r="AF90" s="214" t="s">
        <v>910</v>
      </c>
    </row>
    <row r="91" spans="3:32" ht="20.399999999999999">
      <c r="C91" s="44" t="s">
        <v>90</v>
      </c>
      <c r="V91" s="119" t="s">
        <v>913</v>
      </c>
      <c r="W91" s="290" t="s">
        <v>1096</v>
      </c>
      <c r="X91" s="115" t="s">
        <v>909</v>
      </c>
      <c r="Y91" s="116">
        <v>3000</v>
      </c>
      <c r="Z91" s="116">
        <v>4500</v>
      </c>
      <c r="AA91" s="116">
        <v>2000</v>
      </c>
      <c r="AB91" s="213"/>
      <c r="AC91" s="213"/>
      <c r="AD91" s="213"/>
      <c r="AE91" s="213"/>
      <c r="AF91" s="214" t="s">
        <v>910</v>
      </c>
    </row>
    <row r="92" spans="3:32" ht="20.399999999999999">
      <c r="C92" s="46" t="s">
        <v>91</v>
      </c>
      <c r="V92" s="119" t="s">
        <v>913</v>
      </c>
      <c r="W92" s="290" t="s">
        <v>1138</v>
      </c>
      <c r="X92" s="115" t="s">
        <v>1410</v>
      </c>
      <c r="Y92" s="116">
        <v>3000</v>
      </c>
      <c r="Z92" s="116">
        <v>4500</v>
      </c>
      <c r="AA92" s="116">
        <v>2000</v>
      </c>
      <c r="AB92" s="213"/>
      <c r="AC92" s="213"/>
      <c r="AD92" s="213"/>
      <c r="AE92" s="213"/>
      <c r="AF92" s="214" t="s">
        <v>910</v>
      </c>
    </row>
    <row r="93" spans="3:32" ht="20.399999999999999">
      <c r="C93" s="46" t="s">
        <v>92</v>
      </c>
      <c r="V93" s="119" t="s">
        <v>916</v>
      </c>
      <c r="W93" s="290" t="s">
        <v>1099</v>
      </c>
      <c r="X93" s="115" t="s">
        <v>915</v>
      </c>
      <c r="Y93" s="116">
        <v>4500</v>
      </c>
      <c r="Z93" s="116">
        <v>5000</v>
      </c>
      <c r="AA93" s="116">
        <v>3000</v>
      </c>
      <c r="AB93" s="213"/>
      <c r="AC93" s="213"/>
      <c r="AD93" s="213"/>
      <c r="AE93" s="213"/>
      <c r="AF93" s="214" t="s">
        <v>910</v>
      </c>
    </row>
    <row r="94" spans="3:32" ht="18" thickBot="1">
      <c r="V94" s="170" t="s">
        <v>918</v>
      </c>
      <c r="W94" s="288" t="s">
        <v>1090</v>
      </c>
      <c r="X94" s="125" t="s">
        <v>1081</v>
      </c>
      <c r="Y94" s="126">
        <v>5000</v>
      </c>
      <c r="Z94" s="126">
        <v>6000</v>
      </c>
      <c r="AA94" s="126">
        <v>2500</v>
      </c>
      <c r="AB94" s="200"/>
      <c r="AC94" s="200"/>
      <c r="AD94" s="200"/>
      <c r="AE94" s="200"/>
      <c r="AF94" s="208" t="s">
        <v>910</v>
      </c>
    </row>
    <row r="95" spans="3:32" ht="18" thickBot="1">
      <c r="V95" s="105" t="s">
        <v>920</v>
      </c>
      <c r="W95" s="291" t="s">
        <v>1100</v>
      </c>
      <c r="X95" s="103" t="s">
        <v>879</v>
      </c>
      <c r="Y95" s="216">
        <v>234500</v>
      </c>
      <c r="Z95" s="217"/>
      <c r="AA95" s="217"/>
      <c r="AB95" s="217"/>
      <c r="AC95" s="217"/>
      <c r="AD95" s="217"/>
      <c r="AE95" s="217"/>
      <c r="AF95" s="107"/>
    </row>
    <row r="96" spans="3:32" s="228" customFormat="1" ht="14.4">
      <c r="C96" s="227"/>
      <c r="V96" s="336" t="s">
        <v>922</v>
      </c>
      <c r="W96" s="345"/>
      <c r="X96" s="345"/>
      <c r="Y96" s="111" t="s">
        <v>923</v>
      </c>
      <c r="Z96" s="111" t="s">
        <v>924</v>
      </c>
      <c r="AA96" s="201"/>
      <c r="AB96" s="201"/>
      <c r="AC96" s="201"/>
      <c r="AD96" s="201"/>
      <c r="AE96" s="201"/>
      <c r="AF96" s="161"/>
    </row>
    <row r="97" spans="3:32" s="228" customFormat="1" ht="17.399999999999999">
      <c r="C97" s="227"/>
      <c r="V97" s="329" t="s">
        <v>925</v>
      </c>
      <c r="W97" s="290" t="s">
        <v>1411</v>
      </c>
      <c r="X97" s="115" t="s">
        <v>879</v>
      </c>
      <c r="Y97" s="116">
        <v>160000</v>
      </c>
      <c r="Z97" s="116">
        <v>94400</v>
      </c>
      <c r="AA97" s="213"/>
      <c r="AB97" s="213"/>
      <c r="AC97" s="213"/>
      <c r="AD97" s="213"/>
      <c r="AE97" s="213"/>
      <c r="AF97" s="214" t="s">
        <v>889</v>
      </c>
    </row>
    <row r="98" spans="3:32" ht="17.399999999999999">
      <c r="V98" s="331"/>
      <c r="W98" s="290" t="s">
        <v>1101</v>
      </c>
      <c r="X98" s="115" t="s">
        <v>879</v>
      </c>
      <c r="Y98" s="116">
        <v>198500</v>
      </c>
      <c r="Z98" s="116">
        <v>121000</v>
      </c>
      <c r="AA98" s="213"/>
      <c r="AB98" s="213"/>
      <c r="AC98" s="213"/>
      <c r="AD98" s="213"/>
      <c r="AE98" s="213"/>
      <c r="AF98" s="214" t="s">
        <v>889</v>
      </c>
    </row>
    <row r="99" spans="3:32" ht="17.399999999999999">
      <c r="V99" s="329" t="s">
        <v>926</v>
      </c>
      <c r="W99" s="290" t="s">
        <v>1411</v>
      </c>
      <c r="X99" s="115" t="s">
        <v>879</v>
      </c>
      <c r="Y99" s="116">
        <v>160000</v>
      </c>
      <c r="Z99" s="116">
        <v>94000</v>
      </c>
      <c r="AA99" s="213"/>
      <c r="AB99" s="213"/>
      <c r="AC99" s="213"/>
      <c r="AD99" s="213"/>
      <c r="AE99" s="213"/>
      <c r="AF99" s="214" t="s">
        <v>889</v>
      </c>
    </row>
    <row r="100" spans="3:32" ht="17.399999999999999">
      <c r="V100" s="331"/>
      <c r="W100" s="290" t="s">
        <v>1412</v>
      </c>
      <c r="X100" s="115" t="s">
        <v>879</v>
      </c>
      <c r="Y100" s="116">
        <v>183000</v>
      </c>
      <c r="Z100" s="116">
        <v>112000</v>
      </c>
      <c r="AA100" s="213"/>
      <c r="AB100" s="213"/>
      <c r="AC100" s="213"/>
      <c r="AD100" s="213"/>
      <c r="AE100" s="213"/>
      <c r="AF100" s="214" t="s">
        <v>889</v>
      </c>
    </row>
    <row r="101" spans="3:32" ht="17.399999999999999">
      <c r="V101" s="119" t="s">
        <v>927</v>
      </c>
      <c r="W101" s="290" t="s">
        <v>1102</v>
      </c>
      <c r="X101" s="115" t="s">
        <v>879</v>
      </c>
      <c r="Y101" s="116">
        <v>242000</v>
      </c>
      <c r="Z101" s="116">
        <v>282000</v>
      </c>
      <c r="AA101" s="213"/>
      <c r="AB101" s="213"/>
      <c r="AC101" s="213"/>
      <c r="AD101" s="213"/>
      <c r="AE101" s="213"/>
      <c r="AF101" s="214" t="s">
        <v>889</v>
      </c>
    </row>
    <row r="102" spans="3:32" ht="17.399999999999999">
      <c r="V102" s="119" t="s">
        <v>929</v>
      </c>
      <c r="W102" s="290" t="s">
        <v>1103</v>
      </c>
      <c r="X102" s="115" t="s">
        <v>879</v>
      </c>
      <c r="Y102" s="116">
        <v>27100</v>
      </c>
      <c r="Z102" s="116">
        <v>54200</v>
      </c>
      <c r="AA102" s="213"/>
      <c r="AB102" s="213"/>
      <c r="AC102" s="213"/>
      <c r="AD102" s="213"/>
      <c r="AE102" s="213"/>
      <c r="AF102" s="214" t="s">
        <v>889</v>
      </c>
    </row>
    <row r="103" spans="3:32" ht="17.399999999999999">
      <c r="V103" s="119" t="s">
        <v>931</v>
      </c>
      <c r="W103" s="290" t="s">
        <v>1104</v>
      </c>
      <c r="X103" s="115" t="s">
        <v>879</v>
      </c>
      <c r="Y103" s="116">
        <v>42600</v>
      </c>
      <c r="Z103" s="116">
        <v>48000</v>
      </c>
      <c r="AA103" s="213"/>
      <c r="AB103" s="213"/>
      <c r="AC103" s="213"/>
      <c r="AD103" s="213"/>
      <c r="AE103" s="213"/>
      <c r="AF103" s="214" t="s">
        <v>889</v>
      </c>
    </row>
    <row r="104" spans="3:32" ht="14.4" customHeight="1">
      <c r="V104" s="119" t="s">
        <v>933</v>
      </c>
      <c r="W104" s="290" t="s">
        <v>1105</v>
      </c>
      <c r="X104" s="115" t="s">
        <v>888</v>
      </c>
      <c r="Y104" s="116">
        <v>55100</v>
      </c>
      <c r="Z104" s="116">
        <v>66000</v>
      </c>
      <c r="AA104" s="213"/>
      <c r="AB104" s="213"/>
      <c r="AC104" s="213"/>
      <c r="AD104" s="213"/>
      <c r="AE104" s="213"/>
      <c r="AF104" s="214" t="s">
        <v>889</v>
      </c>
    </row>
    <row r="105" spans="3:32" ht="15" customHeight="1" thickBot="1">
      <c r="V105" s="132" t="s">
        <v>935</v>
      </c>
      <c r="W105" s="286" t="s">
        <v>1106</v>
      </c>
      <c r="X105" s="133" t="s">
        <v>888</v>
      </c>
      <c r="Y105" s="134">
        <v>19500</v>
      </c>
      <c r="Z105" s="134">
        <v>59200</v>
      </c>
      <c r="AA105" s="203"/>
      <c r="AB105" s="203"/>
      <c r="AC105" s="203"/>
      <c r="AD105" s="203"/>
      <c r="AE105" s="203"/>
      <c r="AF105" s="195" t="s">
        <v>889</v>
      </c>
    </row>
    <row r="106" spans="3:32" ht="14.4" customHeight="1">
      <c r="V106" s="331" t="s">
        <v>937</v>
      </c>
      <c r="W106" s="352" t="s">
        <v>1107</v>
      </c>
      <c r="X106" s="328" t="s">
        <v>879</v>
      </c>
      <c r="Y106" s="198" t="s">
        <v>741</v>
      </c>
      <c r="Z106" s="198">
        <v>316</v>
      </c>
      <c r="AA106" s="198">
        <v>304</v>
      </c>
      <c r="AB106" s="199"/>
      <c r="AC106" s="199"/>
      <c r="AD106" s="199"/>
      <c r="AE106" s="199"/>
      <c r="AF106" s="347" t="s">
        <v>940</v>
      </c>
    </row>
    <row r="107" spans="3:32" ht="15" customHeight="1" thickBot="1">
      <c r="V107" s="329"/>
      <c r="W107" s="353"/>
      <c r="X107" s="327"/>
      <c r="Y107" s="126">
        <v>30475</v>
      </c>
      <c r="Z107" s="126">
        <v>120450</v>
      </c>
      <c r="AA107" s="126">
        <v>90055</v>
      </c>
      <c r="AB107" s="200"/>
      <c r="AC107" s="200"/>
      <c r="AD107" s="200"/>
      <c r="AE107" s="200"/>
      <c r="AF107" s="348"/>
    </row>
    <row r="108" spans="3:32" ht="14.4">
      <c r="V108" s="336" t="s">
        <v>985</v>
      </c>
      <c r="W108" s="343" t="s">
        <v>1108</v>
      </c>
      <c r="X108" s="111" t="s">
        <v>986</v>
      </c>
      <c r="Y108" s="111" t="s">
        <v>466</v>
      </c>
      <c r="Z108" s="111" t="s">
        <v>988</v>
      </c>
      <c r="AA108" s="111" t="s">
        <v>989</v>
      </c>
      <c r="AB108" s="111" t="s">
        <v>990</v>
      </c>
      <c r="AC108" s="201"/>
      <c r="AD108" s="201"/>
      <c r="AE108" s="201"/>
      <c r="AF108" s="347" t="s">
        <v>991</v>
      </c>
    </row>
    <row r="109" spans="3:32" ht="15" thickBot="1">
      <c r="V109" s="342"/>
      <c r="W109" s="344"/>
      <c r="X109" s="221">
        <v>67</v>
      </c>
      <c r="Y109" s="433" t="s">
        <v>870</v>
      </c>
      <c r="Z109" s="434"/>
      <c r="AA109" s="134">
        <v>56000</v>
      </c>
      <c r="AB109" s="134">
        <v>72000</v>
      </c>
      <c r="AC109" s="203"/>
      <c r="AD109" s="203"/>
      <c r="AE109" s="203"/>
      <c r="AF109" s="348"/>
    </row>
    <row r="114" spans="22:32" ht="13.8" thickBot="1"/>
    <row r="115" spans="22:32" ht="30" customHeight="1">
      <c r="V115" s="336" t="s">
        <v>1516</v>
      </c>
      <c r="W115" s="338"/>
      <c r="X115" s="340"/>
      <c r="Y115" s="171" t="s">
        <v>1517</v>
      </c>
      <c r="Z115" s="171" t="s">
        <v>1518</v>
      </c>
      <c r="AA115" s="171" t="s">
        <v>1519</v>
      </c>
      <c r="AB115" s="171"/>
      <c r="AC115" s="171"/>
      <c r="AD115" s="171"/>
      <c r="AE115" s="171"/>
      <c r="AF115" s="172"/>
    </row>
    <row r="116" spans="22:32" ht="30" customHeight="1" thickBot="1">
      <c r="V116" s="337"/>
      <c r="W116" s="339"/>
      <c r="X116" s="341"/>
      <c r="Y116" s="173">
        <v>240000</v>
      </c>
      <c r="Z116" s="173">
        <f>IF(F8&gt;0,E8*520,IF(F9&gt;0,E9*520))</f>
        <v>379600</v>
      </c>
      <c r="AA116" s="173">
        <f>IF(F8&gt;0,E8*620,IF(F9&gt;0,E9*620))</f>
        <v>452600</v>
      </c>
      <c r="AB116" s="173"/>
      <c r="AC116" s="173"/>
      <c r="AD116" s="173"/>
      <c r="AE116" s="173"/>
      <c r="AF116" s="174"/>
    </row>
    <row r="117" spans="22:32" ht="30" customHeight="1">
      <c r="V117" s="336" t="s">
        <v>1520</v>
      </c>
      <c r="W117" s="338"/>
      <c r="X117" s="340"/>
      <c r="Y117" s="171" t="s">
        <v>1517</v>
      </c>
      <c r="Z117" s="171" t="s">
        <v>1521</v>
      </c>
      <c r="AA117" s="171"/>
      <c r="AB117" s="171"/>
      <c r="AC117" s="171"/>
      <c r="AD117" s="171"/>
      <c r="AE117" s="171"/>
      <c r="AF117" s="172"/>
    </row>
    <row r="118" spans="22:32" ht="30" customHeight="1" thickBot="1">
      <c r="V118" s="337"/>
      <c r="W118" s="339"/>
      <c r="X118" s="341"/>
      <c r="Y118" s="173">
        <v>300000</v>
      </c>
      <c r="Z118" s="173">
        <f>Y118</f>
        <v>300000</v>
      </c>
      <c r="AA118" s="173"/>
      <c r="AB118" s="173"/>
      <c r="AC118" s="173"/>
      <c r="AD118" s="173"/>
      <c r="AE118" s="173"/>
      <c r="AF118" s="174"/>
    </row>
    <row r="119" spans="22:32" ht="30" customHeight="1">
      <c r="V119" s="336" t="s">
        <v>1522</v>
      </c>
      <c r="W119" s="338"/>
      <c r="X119" s="340"/>
      <c r="Y119" s="171" t="s">
        <v>1523</v>
      </c>
      <c r="Z119" s="171" t="s">
        <v>1524</v>
      </c>
      <c r="AA119" s="171" t="s">
        <v>1525</v>
      </c>
      <c r="AB119" s="171"/>
      <c r="AC119" s="171"/>
      <c r="AD119" s="171"/>
      <c r="AE119" s="171"/>
      <c r="AF119" s="172"/>
    </row>
    <row r="120" spans="22:32" ht="30" customHeight="1">
      <c r="V120" s="337"/>
      <c r="W120" s="339"/>
      <c r="X120" s="341"/>
      <c r="Y120" s="306">
        <v>330000</v>
      </c>
      <c r="Z120" s="306">
        <v>400000</v>
      </c>
      <c r="AA120" s="173">
        <v>1000000</v>
      </c>
      <c r="AB120" s="173"/>
      <c r="AC120" s="173"/>
      <c r="AD120" s="173"/>
      <c r="AE120" s="173"/>
      <c r="AF120" s="174"/>
    </row>
  </sheetData>
  <mergeCells count="69">
    <mergeCell ref="A67:F67"/>
    <mergeCell ref="A68:F68"/>
    <mergeCell ref="A69:G70"/>
    <mergeCell ref="A8:A61"/>
    <mergeCell ref="A62:F62"/>
    <mergeCell ref="A63:F63"/>
    <mergeCell ref="A64:F64"/>
    <mergeCell ref="A65:F65"/>
    <mergeCell ref="A66:F66"/>
    <mergeCell ref="T3:T7"/>
    <mergeCell ref="A5:B7"/>
    <mergeCell ref="C5:C7"/>
    <mergeCell ref="D5:D7"/>
    <mergeCell ref="E5:G6"/>
    <mergeCell ref="H5:H6"/>
    <mergeCell ref="I5:Q5"/>
    <mergeCell ref="R5:R7"/>
    <mergeCell ref="S5:S7"/>
    <mergeCell ref="A1:S1"/>
    <mergeCell ref="A3:B4"/>
    <mergeCell ref="C3:C4"/>
    <mergeCell ref="D3:D4"/>
    <mergeCell ref="E3:E4"/>
    <mergeCell ref="F3:F4"/>
    <mergeCell ref="G3:G4"/>
    <mergeCell ref="H3:Q4"/>
    <mergeCell ref="R3:R4"/>
    <mergeCell ref="S3:S4"/>
    <mergeCell ref="X78:X79"/>
    <mergeCell ref="Y72:AE72"/>
    <mergeCell ref="V73:V74"/>
    <mergeCell ref="Y73:AE73"/>
    <mergeCell ref="Y74:AE74"/>
    <mergeCell ref="Y75:AE75"/>
    <mergeCell ref="V3:V7"/>
    <mergeCell ref="V85:V86"/>
    <mergeCell ref="AF85:AF86"/>
    <mergeCell ref="V88:X88"/>
    <mergeCell ref="V96:X96"/>
    <mergeCell ref="V81:V82"/>
    <mergeCell ref="W81:W82"/>
    <mergeCell ref="X81:X82"/>
    <mergeCell ref="V83:V84"/>
    <mergeCell ref="W83:W84"/>
    <mergeCell ref="X83:X84"/>
    <mergeCell ref="V76:V77"/>
    <mergeCell ref="X76:AE76"/>
    <mergeCell ref="X77:AE77"/>
    <mergeCell ref="V78:V79"/>
    <mergeCell ref="W78:W79"/>
    <mergeCell ref="AF108:AF109"/>
    <mergeCell ref="Y109:Z109"/>
    <mergeCell ref="V97:V98"/>
    <mergeCell ref="V99:V100"/>
    <mergeCell ref="X106:X107"/>
    <mergeCell ref="V108:V109"/>
    <mergeCell ref="W108:W109"/>
    <mergeCell ref="V106:V107"/>
    <mergeCell ref="W106:W107"/>
    <mergeCell ref="AF106:AF107"/>
    <mergeCell ref="V119:V120"/>
    <mergeCell ref="W119:W120"/>
    <mergeCell ref="X119:X120"/>
    <mergeCell ref="V115:V116"/>
    <mergeCell ref="W115:W116"/>
    <mergeCell ref="X115:X116"/>
    <mergeCell ref="V117:V118"/>
    <mergeCell ref="W117:W118"/>
    <mergeCell ref="X117:X118"/>
  </mergeCells>
  <phoneticPr fontId="13" type="noConversion"/>
  <printOptions horizontalCentered="1"/>
  <pageMargins left="0.39370078740157483" right="0.39370078740157483" top="0.39370078740157483" bottom="0.15748031496062992" header="0.51181102362204722" footer="0.51181102362204722"/>
  <pageSetup paperSize="9" scale="45" orientation="portrait" r:id="rId1"/>
  <headerFooter alignWithMargins="0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FF00"/>
  </sheetPr>
  <dimension ref="A1:AF120"/>
  <sheetViews>
    <sheetView showGridLines="0" view="pageBreakPreview" zoomScale="70" zoomScaleNormal="55" zoomScaleSheetLayoutView="70" workbookViewId="0">
      <pane xSplit="7" ySplit="7" topLeftCell="R101" activePane="bottomRight" state="frozen"/>
      <selection activeCell="Y116" sqref="Y116"/>
      <selection pane="topRight" activeCell="Y116" sqref="Y116"/>
      <selection pane="bottomLeft" activeCell="Y116" sqref="Y116"/>
      <selection pane="bottomRight" activeCell="Y116" sqref="Y116"/>
    </sheetView>
  </sheetViews>
  <sheetFormatPr defaultColWidth="8.8984375" defaultRowHeight="13.2"/>
  <cols>
    <col min="1" max="1" width="3.3984375" style="3" customWidth="1"/>
    <col min="2" max="2" width="9.5" style="3" customWidth="1"/>
    <col min="3" max="3" width="25.19921875" style="49" customWidth="1"/>
    <col min="4" max="5" width="13.09765625" style="3" customWidth="1"/>
    <col min="6" max="7" width="15.09765625" style="3" customWidth="1"/>
    <col min="8" max="8" width="15.09765625" style="3" hidden="1" customWidth="1"/>
    <col min="9" max="17" width="15.69921875" style="3" hidden="1" customWidth="1"/>
    <col min="18" max="18" width="15.69921875" style="3" customWidth="1"/>
    <col min="19" max="19" width="26.8984375" style="3" customWidth="1"/>
    <col min="20" max="20" width="30.09765625" style="3" customWidth="1"/>
    <col min="21" max="21" width="13.3984375" style="3" bestFit="1" customWidth="1"/>
    <col min="22" max="22" width="48.3984375" style="3" bestFit="1" customWidth="1"/>
    <col min="23" max="23" width="45.3984375" style="3" bestFit="1" customWidth="1"/>
    <col min="24" max="24" width="10.09765625" style="3" bestFit="1" customWidth="1"/>
    <col min="25" max="25" width="13.19921875" style="3" bestFit="1" customWidth="1"/>
    <col min="26" max="26" width="12.5" style="3" bestFit="1" customWidth="1"/>
    <col min="27" max="27" width="12.09765625" style="3" bestFit="1" customWidth="1"/>
    <col min="28" max="28" width="13.09765625" style="3" bestFit="1" customWidth="1"/>
    <col min="29" max="30" width="11.5" style="3" bestFit="1" customWidth="1"/>
    <col min="31" max="31" width="13.3984375" style="3" bestFit="1" customWidth="1"/>
    <col min="32" max="32" width="19" style="3" bestFit="1" customWidth="1"/>
    <col min="33" max="16384" width="8.8984375" style="3"/>
  </cols>
  <sheetData>
    <row r="1" spans="1:22" s="2" customFormat="1" ht="51" customHeight="1" thickBot="1">
      <c r="A1" s="411" t="s">
        <v>1312</v>
      </c>
      <c r="B1" s="412"/>
      <c r="C1" s="412"/>
      <c r="D1" s="412"/>
      <c r="E1" s="412"/>
      <c r="F1" s="412"/>
      <c r="G1" s="412"/>
      <c r="H1" s="412"/>
      <c r="I1" s="412"/>
      <c r="J1" s="412"/>
      <c r="K1" s="412"/>
      <c r="L1" s="412"/>
      <c r="M1" s="412"/>
      <c r="N1" s="412"/>
      <c r="O1" s="412"/>
      <c r="P1" s="412"/>
      <c r="Q1" s="412"/>
      <c r="R1" s="412"/>
      <c r="S1" s="412"/>
      <c r="T1" s="1"/>
    </row>
    <row r="2" spans="1:22" s="2" customFormat="1" ht="30" customHeight="1" thickBot="1">
      <c r="A2" s="3"/>
      <c r="B2" s="3"/>
      <c r="T2" s="4" t="s">
        <v>0</v>
      </c>
    </row>
    <row r="3" spans="1:22" s="5" customFormat="1" ht="24" customHeight="1">
      <c r="A3" s="413" t="s">
        <v>397</v>
      </c>
      <c r="B3" s="414"/>
      <c r="C3" s="417" t="s">
        <v>398</v>
      </c>
      <c r="D3" s="419" t="s">
        <v>99</v>
      </c>
      <c r="E3" s="421" t="s">
        <v>1313</v>
      </c>
      <c r="F3" s="423" t="s">
        <v>399</v>
      </c>
      <c r="G3" s="425" t="str">
        <f>COVER!B9</f>
        <v>FLANGE</v>
      </c>
      <c r="H3" s="421" t="s">
        <v>400</v>
      </c>
      <c r="I3" s="427"/>
      <c r="J3" s="427"/>
      <c r="K3" s="427"/>
      <c r="L3" s="427"/>
      <c r="M3" s="427"/>
      <c r="N3" s="427"/>
      <c r="O3" s="427"/>
      <c r="P3" s="427"/>
      <c r="Q3" s="428"/>
      <c r="R3" s="423" t="s">
        <v>6</v>
      </c>
      <c r="S3" s="431" t="s">
        <v>7</v>
      </c>
      <c r="T3" s="381" t="s">
        <v>401</v>
      </c>
      <c r="V3" s="432"/>
    </row>
    <row r="4" spans="1:22" s="5" customFormat="1" ht="24" customHeight="1">
      <c r="A4" s="415"/>
      <c r="B4" s="416"/>
      <c r="C4" s="418"/>
      <c r="D4" s="420"/>
      <c r="E4" s="422"/>
      <c r="F4" s="424"/>
      <c r="G4" s="426"/>
      <c r="H4" s="422"/>
      <c r="I4" s="429"/>
      <c r="J4" s="429"/>
      <c r="K4" s="429"/>
      <c r="L4" s="429"/>
      <c r="M4" s="429"/>
      <c r="N4" s="429"/>
      <c r="O4" s="429"/>
      <c r="P4" s="429"/>
      <c r="Q4" s="430"/>
      <c r="R4" s="424"/>
      <c r="S4" s="410"/>
      <c r="T4" s="382"/>
      <c r="V4" s="432"/>
    </row>
    <row r="5" spans="1:22" s="5" customFormat="1" ht="24" customHeight="1">
      <c r="A5" s="384" t="s">
        <v>9</v>
      </c>
      <c r="B5" s="385"/>
      <c r="C5" s="390" t="s">
        <v>10</v>
      </c>
      <c r="D5" s="393" t="s">
        <v>11</v>
      </c>
      <c r="E5" s="396" t="s">
        <v>12</v>
      </c>
      <c r="F5" s="397"/>
      <c r="G5" s="398"/>
      <c r="H5" s="402" t="s">
        <v>13</v>
      </c>
      <c r="I5" s="404" t="s">
        <v>14</v>
      </c>
      <c r="J5" s="405"/>
      <c r="K5" s="405"/>
      <c r="L5" s="405"/>
      <c r="M5" s="405"/>
      <c r="N5" s="405"/>
      <c r="O5" s="405"/>
      <c r="P5" s="405"/>
      <c r="Q5" s="405"/>
      <c r="R5" s="406" t="s">
        <v>402</v>
      </c>
      <c r="S5" s="408" t="s">
        <v>16</v>
      </c>
      <c r="T5" s="382"/>
      <c r="V5" s="432"/>
    </row>
    <row r="6" spans="1:22" s="5" customFormat="1" ht="24" customHeight="1">
      <c r="A6" s="386"/>
      <c r="B6" s="387"/>
      <c r="C6" s="391"/>
      <c r="D6" s="394"/>
      <c r="E6" s="399"/>
      <c r="F6" s="400"/>
      <c r="G6" s="401"/>
      <c r="H6" s="403"/>
      <c r="I6" s="8" t="s">
        <v>403</v>
      </c>
      <c r="J6" s="8" t="s">
        <v>18</v>
      </c>
      <c r="K6" s="8" t="s">
        <v>404</v>
      </c>
      <c r="L6" s="9" t="s">
        <v>139</v>
      </c>
      <c r="M6" s="9" t="s">
        <v>252</v>
      </c>
      <c r="N6" s="8" t="s">
        <v>405</v>
      </c>
      <c r="O6" s="8" t="s">
        <v>23</v>
      </c>
      <c r="P6" s="8" t="s">
        <v>24</v>
      </c>
      <c r="Q6" s="10" t="s">
        <v>25</v>
      </c>
      <c r="R6" s="407"/>
      <c r="S6" s="409"/>
      <c r="T6" s="382"/>
      <c r="V6" s="432"/>
    </row>
    <row r="7" spans="1:22" ht="24" customHeight="1">
      <c r="A7" s="388"/>
      <c r="B7" s="389"/>
      <c r="C7" s="392"/>
      <c r="D7" s="395"/>
      <c r="E7" s="8" t="s">
        <v>26</v>
      </c>
      <c r="F7" s="8" t="s">
        <v>27</v>
      </c>
      <c r="G7" s="8" t="s">
        <v>28</v>
      </c>
      <c r="H7" s="8"/>
      <c r="I7" s="8" t="s">
        <v>406</v>
      </c>
      <c r="J7" s="8" t="s">
        <v>30</v>
      </c>
      <c r="K7" s="8" t="s">
        <v>31</v>
      </c>
      <c r="L7" s="9" t="s">
        <v>29</v>
      </c>
      <c r="M7" s="9" t="s">
        <v>197</v>
      </c>
      <c r="N7" s="8" t="s">
        <v>407</v>
      </c>
      <c r="O7" s="8" t="s">
        <v>34</v>
      </c>
      <c r="P7" s="8" t="s">
        <v>35</v>
      </c>
      <c r="Q7" s="10" t="s">
        <v>408</v>
      </c>
      <c r="R7" s="403"/>
      <c r="S7" s="410"/>
      <c r="T7" s="383"/>
      <c r="V7" s="432"/>
    </row>
    <row r="8" spans="1:22" ht="33" customHeight="1">
      <c r="A8" s="375" t="s">
        <v>409</v>
      </c>
      <c r="B8" s="11">
        <v>1</v>
      </c>
      <c r="C8" s="142" t="str">
        <f>COVER!A14</f>
        <v>BODY(LUG)</v>
      </c>
      <c r="D8" s="20">
        <f>COVER!B14</f>
        <v>0</v>
      </c>
      <c r="E8" s="13">
        <f>860*1.2</f>
        <v>1032</v>
      </c>
      <c r="F8" s="14">
        <f>COVER!C14</f>
        <v>0</v>
      </c>
      <c r="G8" s="14">
        <f>F8*E8</f>
        <v>0</v>
      </c>
      <c r="H8" s="14"/>
      <c r="I8" s="15">
        <f>I10*I9</f>
        <v>506706621524695.19</v>
      </c>
      <c r="J8" s="15">
        <f t="shared" ref="J8:Q9" si="0">J10*J9</f>
        <v>43341753052405.07</v>
      </c>
      <c r="K8" s="15">
        <f t="shared" si="0"/>
        <v>270470072536680.25</v>
      </c>
      <c r="L8" s="15">
        <f t="shared" si="0"/>
        <v>506706621524695.19</v>
      </c>
      <c r="M8" s="15">
        <f t="shared" si="0"/>
        <v>632417344857819.5</v>
      </c>
      <c r="N8" s="15">
        <f t="shared" si="0"/>
        <v>46528628303586.25</v>
      </c>
      <c r="O8" s="15">
        <f t="shared" si="0"/>
        <v>0</v>
      </c>
      <c r="P8" s="15">
        <f t="shared" si="0"/>
        <v>0</v>
      </c>
      <c r="Q8" s="15">
        <f t="shared" si="0"/>
        <v>10000000000000</v>
      </c>
      <c r="R8" s="15">
        <f>IF(COVER!C14&gt;0,740000*1.2,0)</f>
        <v>0</v>
      </c>
      <c r="S8" s="15">
        <f>G8+R8</f>
        <v>0</v>
      </c>
      <c r="T8" s="309" t="s">
        <v>1171</v>
      </c>
      <c r="V8" s="7"/>
    </row>
    <row r="9" spans="1:22" ht="33" customHeight="1">
      <c r="A9" s="376"/>
      <c r="B9" s="146" t="s">
        <v>1167</v>
      </c>
      <c r="C9" s="142" t="str">
        <f>COVER!A15</f>
        <v>BODY(FLANGE)</v>
      </c>
      <c r="D9" s="20" t="str">
        <f>COVER!B15</f>
        <v>A216 WCB</v>
      </c>
      <c r="E9" s="13">
        <v>1195</v>
      </c>
      <c r="F9" s="14">
        <f>COVER!C15</f>
        <v>4300</v>
      </c>
      <c r="G9" s="14">
        <f>F9*E9</f>
        <v>5138500</v>
      </c>
      <c r="H9" s="14"/>
      <c r="I9" s="15">
        <f>I11*I10</f>
        <v>13693182184.900002</v>
      </c>
      <c r="J9" s="15">
        <f t="shared" si="0"/>
        <v>2658301984.9000001</v>
      </c>
      <c r="K9" s="15">
        <f t="shared" si="0"/>
        <v>9010443027.6000004</v>
      </c>
      <c r="L9" s="15">
        <f t="shared" si="0"/>
        <v>13693182184.900002</v>
      </c>
      <c r="M9" s="15">
        <f t="shared" si="0"/>
        <v>15873371539.6</v>
      </c>
      <c r="N9" s="15">
        <f t="shared" si="0"/>
        <v>2787063302.5</v>
      </c>
      <c r="O9" s="15">
        <f t="shared" si="0"/>
        <v>0</v>
      </c>
      <c r="P9" s="15">
        <f t="shared" si="0"/>
        <v>0</v>
      </c>
      <c r="Q9" s="15">
        <f t="shared" si="0"/>
        <v>1000000000</v>
      </c>
      <c r="R9" s="15">
        <f>IF(COVER!C15&gt;0,750000*1.2,0)</f>
        <v>900000</v>
      </c>
      <c r="S9" s="15">
        <f t="shared" ref="S9:S62" si="1">G9+R9</f>
        <v>6038500</v>
      </c>
      <c r="T9" s="309" t="s">
        <v>1169</v>
      </c>
      <c r="V9" s="152">
        <f>R9</f>
        <v>900000</v>
      </c>
    </row>
    <row r="10" spans="1:22" ht="33" hidden="1" customHeight="1">
      <c r="A10" s="376"/>
      <c r="B10" s="11">
        <v>3</v>
      </c>
      <c r="C10" s="142"/>
      <c r="D10" s="20"/>
      <c r="E10" s="13"/>
      <c r="F10" s="14"/>
      <c r="G10" s="14"/>
      <c r="H10" s="14" t="s">
        <v>40</v>
      </c>
      <c r="I10" s="15">
        <f t="shared" ref="I10:Q10" si="2">I11/10</f>
        <v>37004.300000000003</v>
      </c>
      <c r="J10" s="15">
        <f t="shared" si="2"/>
        <v>16304.3</v>
      </c>
      <c r="K10" s="15">
        <f t="shared" si="2"/>
        <v>30017.4</v>
      </c>
      <c r="L10" s="15">
        <f t="shared" si="2"/>
        <v>37004.300000000003</v>
      </c>
      <c r="M10" s="15">
        <f t="shared" si="2"/>
        <v>39841.4</v>
      </c>
      <c r="N10" s="15">
        <f t="shared" si="2"/>
        <v>16694.5</v>
      </c>
      <c r="O10" s="15">
        <f t="shared" si="2"/>
        <v>0</v>
      </c>
      <c r="P10" s="15">
        <f t="shared" si="2"/>
        <v>0</v>
      </c>
      <c r="Q10" s="15">
        <f t="shared" si="2"/>
        <v>10000</v>
      </c>
      <c r="R10" s="15"/>
      <c r="S10" s="15">
        <f t="shared" si="1"/>
        <v>0</v>
      </c>
      <c r="T10" s="16"/>
      <c r="V10" s="7"/>
    </row>
    <row r="11" spans="1:22" ht="33" hidden="1" customHeight="1">
      <c r="A11" s="376"/>
      <c r="B11" s="11">
        <v>4</v>
      </c>
      <c r="C11" s="142"/>
      <c r="D11" s="20"/>
      <c r="E11" s="13"/>
      <c r="F11" s="14"/>
      <c r="G11" s="14"/>
      <c r="H11" s="17" t="s">
        <v>411</v>
      </c>
      <c r="I11" s="15">
        <v>370043</v>
      </c>
      <c r="J11" s="15">
        <v>163043</v>
      </c>
      <c r="K11" s="15">
        <v>300174</v>
      </c>
      <c r="L11" s="15">
        <v>370043</v>
      </c>
      <c r="M11" s="15">
        <v>398414</v>
      </c>
      <c r="N11" s="15">
        <v>166945</v>
      </c>
      <c r="O11" s="15">
        <v>0</v>
      </c>
      <c r="P11" s="15">
        <v>0</v>
      </c>
      <c r="Q11" s="15">
        <v>100000</v>
      </c>
      <c r="R11" s="15"/>
      <c r="S11" s="15">
        <f t="shared" si="1"/>
        <v>0</v>
      </c>
      <c r="T11" s="16"/>
      <c r="V11" s="7"/>
    </row>
    <row r="12" spans="1:22" s="19" customFormat="1" ht="33" customHeight="1">
      <c r="A12" s="376"/>
      <c r="B12" s="11">
        <v>2</v>
      </c>
      <c r="C12" s="142" t="s">
        <v>42</v>
      </c>
      <c r="D12" s="20" t="str">
        <f>COVER!B16</f>
        <v>A216 WCB</v>
      </c>
      <c r="E12" s="13">
        <v>265</v>
      </c>
      <c r="F12" s="14">
        <f>COVER!C16</f>
        <v>4300</v>
      </c>
      <c r="G12" s="14">
        <f>F12*E12</f>
        <v>1139500</v>
      </c>
      <c r="H12" s="14"/>
      <c r="I12" s="15">
        <f>I13*I14</f>
        <v>111012.90000000001</v>
      </c>
      <c r="J12" s="15">
        <f t="shared" ref="J12:Q12" si="3">J13*J14</f>
        <v>0</v>
      </c>
      <c r="K12" s="15">
        <f t="shared" si="3"/>
        <v>60034.8</v>
      </c>
      <c r="L12" s="15">
        <f t="shared" si="3"/>
        <v>111012.90000000001</v>
      </c>
      <c r="M12" s="15">
        <f t="shared" si="3"/>
        <v>0</v>
      </c>
      <c r="N12" s="15">
        <f t="shared" si="3"/>
        <v>0</v>
      </c>
      <c r="O12" s="15">
        <f t="shared" si="3"/>
        <v>0</v>
      </c>
      <c r="P12" s="15">
        <f t="shared" si="3"/>
        <v>0</v>
      </c>
      <c r="Q12" s="15">
        <f t="shared" si="3"/>
        <v>4000</v>
      </c>
      <c r="R12" s="15">
        <v>517499.99999999988</v>
      </c>
      <c r="S12" s="15">
        <f t="shared" si="1"/>
        <v>1657000</v>
      </c>
      <c r="T12" s="18"/>
      <c r="V12" s="7"/>
    </row>
    <row r="13" spans="1:22" s="19" customFormat="1" ht="33" hidden="1" customHeight="1">
      <c r="A13" s="376"/>
      <c r="B13" s="11">
        <v>6</v>
      </c>
      <c r="C13" s="142"/>
      <c r="D13" s="20"/>
      <c r="E13" s="13"/>
      <c r="F13" s="14"/>
      <c r="G13" s="14"/>
      <c r="H13" s="17" t="s">
        <v>39</v>
      </c>
      <c r="I13" s="21">
        <v>3</v>
      </c>
      <c r="J13" s="21">
        <v>0</v>
      </c>
      <c r="K13" s="21">
        <v>2</v>
      </c>
      <c r="L13" s="21">
        <v>3</v>
      </c>
      <c r="M13" s="21">
        <v>0</v>
      </c>
      <c r="N13" s="21">
        <v>0</v>
      </c>
      <c r="O13" s="21"/>
      <c r="P13" s="21"/>
      <c r="Q13" s="21">
        <v>0.4</v>
      </c>
      <c r="R13" s="15"/>
      <c r="S13" s="15">
        <f t="shared" si="1"/>
        <v>0</v>
      </c>
      <c r="T13" s="22"/>
      <c r="V13" s="7"/>
    </row>
    <row r="14" spans="1:22" s="19" customFormat="1" ht="33" hidden="1" customHeight="1">
      <c r="A14" s="376"/>
      <c r="B14" s="11">
        <v>7</v>
      </c>
      <c r="C14" s="142"/>
      <c r="D14" s="20"/>
      <c r="E14" s="13"/>
      <c r="F14" s="14"/>
      <c r="G14" s="14"/>
      <c r="H14" s="14" t="s">
        <v>40</v>
      </c>
      <c r="I14" s="15">
        <f>I15/10</f>
        <v>37004.300000000003</v>
      </c>
      <c r="J14" s="15">
        <f t="shared" ref="J14:Q14" si="4">J15/10</f>
        <v>16304.3</v>
      </c>
      <c r="K14" s="15">
        <f t="shared" si="4"/>
        <v>30017.4</v>
      </c>
      <c r="L14" s="15">
        <f t="shared" si="4"/>
        <v>37004.300000000003</v>
      </c>
      <c r="M14" s="15">
        <f t="shared" si="4"/>
        <v>39841.4</v>
      </c>
      <c r="N14" s="15">
        <f t="shared" si="4"/>
        <v>16694.5</v>
      </c>
      <c r="O14" s="15">
        <f t="shared" si="4"/>
        <v>0</v>
      </c>
      <c r="P14" s="15">
        <f t="shared" si="4"/>
        <v>0</v>
      </c>
      <c r="Q14" s="15">
        <f t="shared" si="4"/>
        <v>10000</v>
      </c>
      <c r="R14" s="15"/>
      <c r="S14" s="15">
        <f t="shared" si="1"/>
        <v>0</v>
      </c>
      <c r="T14" s="22"/>
      <c r="V14" s="7"/>
    </row>
    <row r="15" spans="1:22" s="19" customFormat="1" ht="33" hidden="1" customHeight="1">
      <c r="A15" s="376"/>
      <c r="B15" s="11">
        <v>8</v>
      </c>
      <c r="C15" s="142"/>
      <c r="D15" s="20"/>
      <c r="E15" s="13"/>
      <c r="F15" s="14"/>
      <c r="G15" s="14"/>
      <c r="H15" s="14" t="s">
        <v>412</v>
      </c>
      <c r="I15" s="15">
        <v>370043</v>
      </c>
      <c r="J15" s="15">
        <v>163043</v>
      </c>
      <c r="K15" s="15">
        <v>300174</v>
      </c>
      <c r="L15" s="15">
        <v>370043</v>
      </c>
      <c r="M15" s="15">
        <v>398414</v>
      </c>
      <c r="N15" s="15">
        <v>166945</v>
      </c>
      <c r="O15" s="15">
        <v>0</v>
      </c>
      <c r="P15" s="15">
        <v>0</v>
      </c>
      <c r="Q15" s="15">
        <v>100000</v>
      </c>
      <c r="R15" s="15"/>
      <c r="S15" s="15">
        <f t="shared" si="1"/>
        <v>0</v>
      </c>
      <c r="T15" s="22"/>
      <c r="V15" s="7"/>
    </row>
    <row r="16" spans="1:22" s="19" customFormat="1" ht="33" customHeight="1">
      <c r="A16" s="376"/>
      <c r="B16" s="11">
        <v>3</v>
      </c>
      <c r="C16" s="142" t="s">
        <v>952</v>
      </c>
      <c r="D16" s="20" t="str">
        <f>COVER!B19</f>
        <v>WCB+309+#6</v>
      </c>
      <c r="E16" s="13">
        <v>1</v>
      </c>
      <c r="F16" s="14">
        <f>IF(D16="SUS+#6",X76,IF(D16="WCB+309+#6",X77))</f>
        <v>861700</v>
      </c>
      <c r="G16" s="14">
        <f>F16*E16</f>
        <v>861700</v>
      </c>
      <c r="H16" s="14"/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f t="shared" si="1"/>
        <v>861700</v>
      </c>
      <c r="T16" s="22"/>
      <c r="V16" s="7"/>
    </row>
    <row r="17" spans="1:22" s="19" customFormat="1" ht="33" customHeight="1">
      <c r="A17" s="376"/>
      <c r="B17" s="11">
        <v>4</v>
      </c>
      <c r="C17" s="142" t="s">
        <v>1185</v>
      </c>
      <c r="D17" s="20" t="str">
        <f>COVER!B18</f>
        <v>A240T316L+GARPHITE</v>
      </c>
      <c r="E17" s="13">
        <v>1</v>
      </c>
      <c r="F17" s="14">
        <f>IF(D17="A240T316L+GARPHITE",Y84+Z84)</f>
        <v>473100</v>
      </c>
      <c r="G17" s="14">
        <f>F17*E17</f>
        <v>473100</v>
      </c>
      <c r="H17" s="14"/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f>Z84*1.3</f>
        <v>286000</v>
      </c>
      <c r="S17" s="15">
        <f t="shared" si="1"/>
        <v>759100</v>
      </c>
      <c r="T17" s="22"/>
      <c r="V17" s="7"/>
    </row>
    <row r="18" spans="1:22" s="19" customFormat="1" ht="33" customHeight="1">
      <c r="A18" s="376"/>
      <c r="B18" s="11">
        <v>5</v>
      </c>
      <c r="C18" s="142" t="s">
        <v>852</v>
      </c>
      <c r="D18" s="24" t="str">
        <f>COVER!B20</f>
        <v>SS316L</v>
      </c>
      <c r="E18" s="13">
        <v>1</v>
      </c>
      <c r="F18" s="14">
        <f>IF(D18="SS304",Y82,IF(D18="SS316L",Z82))</f>
        <v>662000</v>
      </c>
      <c r="G18" s="14">
        <f>E18*F18</f>
        <v>662000</v>
      </c>
      <c r="H18" s="14"/>
      <c r="I18" s="15">
        <f>I19*I20</f>
        <v>74008.600000000006</v>
      </c>
      <c r="J18" s="15">
        <f t="shared" ref="J18:Q18" si="5">J19*J20</f>
        <v>32608.6</v>
      </c>
      <c r="K18" s="15">
        <f t="shared" si="5"/>
        <v>0</v>
      </c>
      <c r="L18" s="15">
        <f t="shared" si="5"/>
        <v>0</v>
      </c>
      <c r="M18" s="15">
        <f t="shared" si="5"/>
        <v>0</v>
      </c>
      <c r="N18" s="15">
        <f t="shared" si="5"/>
        <v>0</v>
      </c>
      <c r="O18" s="15">
        <f t="shared" si="5"/>
        <v>0</v>
      </c>
      <c r="P18" s="15">
        <f t="shared" si="5"/>
        <v>0</v>
      </c>
      <c r="Q18" s="15">
        <f t="shared" si="5"/>
        <v>2000</v>
      </c>
      <c r="R18" s="15">
        <f>AA82*1.5</f>
        <v>153000</v>
      </c>
      <c r="S18" s="15">
        <f t="shared" si="1"/>
        <v>815000</v>
      </c>
      <c r="T18" s="25"/>
      <c r="V18" s="7"/>
    </row>
    <row r="19" spans="1:22" s="19" customFormat="1" ht="33" hidden="1" customHeight="1">
      <c r="A19" s="376"/>
      <c r="B19" s="11">
        <v>12</v>
      </c>
      <c r="C19" s="12"/>
      <c r="D19" s="24"/>
      <c r="E19" s="13"/>
      <c r="F19" s="14"/>
      <c r="G19" s="14"/>
      <c r="H19" s="17" t="s">
        <v>39</v>
      </c>
      <c r="I19" s="21">
        <v>2</v>
      </c>
      <c r="J19" s="21">
        <v>2</v>
      </c>
      <c r="K19" s="21"/>
      <c r="L19" s="21"/>
      <c r="M19" s="21"/>
      <c r="N19" s="21"/>
      <c r="O19" s="21"/>
      <c r="P19" s="21"/>
      <c r="Q19" s="21">
        <v>0.2</v>
      </c>
      <c r="R19" s="15"/>
      <c r="S19" s="15">
        <f t="shared" si="1"/>
        <v>0</v>
      </c>
      <c r="T19" s="25"/>
      <c r="V19" s="7"/>
    </row>
    <row r="20" spans="1:22" s="19" customFormat="1" ht="33" hidden="1" customHeight="1">
      <c r="A20" s="376"/>
      <c r="B20" s="11">
        <v>13</v>
      </c>
      <c r="C20" s="12"/>
      <c r="D20" s="24"/>
      <c r="E20" s="13"/>
      <c r="F20" s="14"/>
      <c r="G20" s="14"/>
      <c r="H20" s="17" t="s">
        <v>413</v>
      </c>
      <c r="I20" s="15">
        <f>I21/10</f>
        <v>37004.300000000003</v>
      </c>
      <c r="J20" s="15">
        <f t="shared" ref="J20:Q20" si="6">J21/10</f>
        <v>16304.3</v>
      </c>
      <c r="K20" s="15">
        <f t="shared" si="6"/>
        <v>0</v>
      </c>
      <c r="L20" s="15">
        <f t="shared" si="6"/>
        <v>0</v>
      </c>
      <c r="M20" s="15">
        <f t="shared" si="6"/>
        <v>0</v>
      </c>
      <c r="N20" s="15">
        <f t="shared" si="6"/>
        <v>0</v>
      </c>
      <c r="O20" s="15">
        <f t="shared" si="6"/>
        <v>0</v>
      </c>
      <c r="P20" s="15">
        <f t="shared" si="6"/>
        <v>0</v>
      </c>
      <c r="Q20" s="15">
        <f t="shared" si="6"/>
        <v>10000</v>
      </c>
      <c r="R20" s="15"/>
      <c r="S20" s="15">
        <f t="shared" si="1"/>
        <v>0</v>
      </c>
      <c r="T20" s="25"/>
      <c r="V20" s="7"/>
    </row>
    <row r="21" spans="1:22" s="19" customFormat="1" ht="33" hidden="1" customHeight="1">
      <c r="A21" s="376"/>
      <c r="B21" s="11">
        <v>14</v>
      </c>
      <c r="C21" s="12"/>
      <c r="D21" s="24"/>
      <c r="E21" s="13"/>
      <c r="F21" s="14"/>
      <c r="G21" s="14"/>
      <c r="H21" s="17" t="s">
        <v>413</v>
      </c>
      <c r="I21" s="15">
        <v>370043</v>
      </c>
      <c r="J21" s="15">
        <v>163043</v>
      </c>
      <c r="K21" s="15"/>
      <c r="L21" s="15"/>
      <c r="M21" s="15"/>
      <c r="N21" s="15"/>
      <c r="O21" s="15"/>
      <c r="P21" s="15"/>
      <c r="Q21" s="15">
        <v>100000</v>
      </c>
      <c r="R21" s="15"/>
      <c r="S21" s="15">
        <f t="shared" si="1"/>
        <v>0</v>
      </c>
      <c r="T21" s="25"/>
      <c r="V21" s="7"/>
    </row>
    <row r="22" spans="1:22" s="19" customFormat="1" ht="33" customHeight="1">
      <c r="A22" s="376"/>
      <c r="B22" s="11">
        <v>6</v>
      </c>
      <c r="C22" s="142" t="s">
        <v>1192</v>
      </c>
      <c r="D22" s="24" t="s">
        <v>1189</v>
      </c>
      <c r="E22" s="13">
        <v>1</v>
      </c>
      <c r="F22" s="14">
        <f>Y85</f>
        <v>34700</v>
      </c>
      <c r="G22" s="14">
        <f>F22*E22</f>
        <v>34700</v>
      </c>
      <c r="H22" s="14"/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f t="shared" si="1"/>
        <v>34700</v>
      </c>
      <c r="T22" s="25"/>
      <c r="V22" s="7"/>
    </row>
    <row r="23" spans="1:22" s="19" customFormat="1" ht="33" customHeight="1">
      <c r="A23" s="376"/>
      <c r="B23" s="11">
        <v>7</v>
      </c>
      <c r="C23" s="142" t="s">
        <v>948</v>
      </c>
      <c r="D23" s="20" t="str">
        <f>COVER!B21</f>
        <v>B7(다크로)</v>
      </c>
      <c r="E23" s="13">
        <v>32</v>
      </c>
      <c r="F23" s="14">
        <f>IF(D23="B8",Y90,IF(D23="B8M",Z90,IF(D23="B7(다크로)",AA90)))</f>
        <v>2000</v>
      </c>
      <c r="G23" s="14">
        <f>F23*E23</f>
        <v>64000</v>
      </c>
      <c r="H23" s="14"/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f t="shared" si="1"/>
        <v>64000</v>
      </c>
      <c r="T23" s="18"/>
      <c r="V23" s="7"/>
    </row>
    <row r="24" spans="1:22" s="19" customFormat="1" ht="33" customHeight="1">
      <c r="A24" s="376"/>
      <c r="B24" s="11">
        <v>8</v>
      </c>
      <c r="C24" s="142" t="s">
        <v>44</v>
      </c>
      <c r="D24" s="20" t="str">
        <f>COVER!B17</f>
        <v>A564T630</v>
      </c>
      <c r="E24" s="13">
        <v>164</v>
      </c>
      <c r="F24" s="14">
        <f>COVER!C17</f>
        <v>8500</v>
      </c>
      <c r="G24" s="14">
        <f>F24*E24</f>
        <v>1394000</v>
      </c>
      <c r="H24" s="14"/>
      <c r="I24" s="15">
        <f>I25*I26</f>
        <v>74008.600000000006</v>
      </c>
      <c r="J24" s="15">
        <f t="shared" ref="J24:Q24" si="7">J25*J26</f>
        <v>0</v>
      </c>
      <c r="K24" s="15">
        <f t="shared" si="7"/>
        <v>0</v>
      </c>
      <c r="L24" s="15">
        <f t="shared" si="7"/>
        <v>0</v>
      </c>
      <c r="M24" s="15">
        <f t="shared" si="7"/>
        <v>0</v>
      </c>
      <c r="N24" s="15">
        <f t="shared" si="7"/>
        <v>0</v>
      </c>
      <c r="O24" s="15">
        <f t="shared" si="7"/>
        <v>0</v>
      </c>
      <c r="P24" s="15">
        <f t="shared" si="7"/>
        <v>0</v>
      </c>
      <c r="Q24" s="15">
        <f t="shared" si="7"/>
        <v>1000</v>
      </c>
      <c r="R24" s="15">
        <f>R12*0.3</f>
        <v>155249.99999999997</v>
      </c>
      <c r="S24" s="15">
        <f t="shared" si="1"/>
        <v>1549250</v>
      </c>
      <c r="T24" s="27"/>
      <c r="U24" s="162"/>
      <c r="V24" s="6"/>
    </row>
    <row r="25" spans="1:22" s="19" customFormat="1" ht="33" hidden="1" customHeight="1">
      <c r="A25" s="376"/>
      <c r="B25" s="11">
        <v>18</v>
      </c>
      <c r="C25" s="12"/>
      <c r="D25" s="20"/>
      <c r="E25" s="13"/>
      <c r="F25" s="14"/>
      <c r="G25" s="14"/>
      <c r="H25" s="17" t="s">
        <v>414</v>
      </c>
      <c r="I25" s="21">
        <v>2</v>
      </c>
      <c r="J25" s="21"/>
      <c r="K25" s="21"/>
      <c r="L25" s="21"/>
      <c r="M25" s="21"/>
      <c r="N25" s="21"/>
      <c r="O25" s="21"/>
      <c r="P25" s="21"/>
      <c r="Q25" s="21">
        <v>0.1</v>
      </c>
      <c r="R25" s="15"/>
      <c r="S25" s="15">
        <f t="shared" si="1"/>
        <v>0</v>
      </c>
      <c r="T25" s="27"/>
      <c r="V25" s="28"/>
    </row>
    <row r="26" spans="1:22" s="19" customFormat="1" ht="33" hidden="1" customHeight="1">
      <c r="A26" s="376"/>
      <c r="B26" s="11">
        <v>19</v>
      </c>
      <c r="C26" s="12"/>
      <c r="D26" s="20"/>
      <c r="E26" s="13"/>
      <c r="F26" s="14"/>
      <c r="G26" s="14"/>
      <c r="H26" s="17" t="s">
        <v>39</v>
      </c>
      <c r="I26" s="15">
        <f>I27/10</f>
        <v>37004.300000000003</v>
      </c>
      <c r="J26" s="15"/>
      <c r="K26" s="15"/>
      <c r="L26" s="15"/>
      <c r="M26" s="15"/>
      <c r="N26" s="15"/>
      <c r="O26" s="15"/>
      <c r="P26" s="15"/>
      <c r="Q26" s="15">
        <f>Q27/10</f>
        <v>10000</v>
      </c>
      <c r="R26" s="15"/>
      <c r="S26" s="15">
        <f t="shared" si="1"/>
        <v>0</v>
      </c>
      <c r="T26" s="27"/>
      <c r="V26" s="28"/>
    </row>
    <row r="27" spans="1:22" s="19" customFormat="1" ht="33" hidden="1" customHeight="1">
      <c r="A27" s="376"/>
      <c r="B27" s="11">
        <v>20</v>
      </c>
      <c r="C27" s="12"/>
      <c r="D27" s="20"/>
      <c r="E27" s="13"/>
      <c r="F27" s="14"/>
      <c r="G27" s="14"/>
      <c r="H27" s="17" t="s">
        <v>415</v>
      </c>
      <c r="I27" s="15">
        <v>370043</v>
      </c>
      <c r="J27" s="15"/>
      <c r="K27" s="15"/>
      <c r="L27" s="15"/>
      <c r="M27" s="15"/>
      <c r="N27" s="15"/>
      <c r="O27" s="15"/>
      <c r="P27" s="15"/>
      <c r="Q27" s="15">
        <v>100000</v>
      </c>
      <c r="R27" s="15"/>
      <c r="S27" s="15">
        <f t="shared" si="1"/>
        <v>0</v>
      </c>
      <c r="T27" s="27"/>
      <c r="V27" s="28"/>
    </row>
    <row r="28" spans="1:22" s="19" customFormat="1" ht="33" customHeight="1">
      <c r="A28" s="376"/>
      <c r="B28" s="11">
        <v>9</v>
      </c>
      <c r="C28" s="142" t="s">
        <v>206</v>
      </c>
      <c r="D28" s="24" t="s">
        <v>1197</v>
      </c>
      <c r="E28" s="13">
        <v>1</v>
      </c>
      <c r="F28" s="14">
        <v>234500</v>
      </c>
      <c r="G28" s="14">
        <f t="shared" ref="G28" si="8">E28*F28</f>
        <v>234500</v>
      </c>
      <c r="H28" s="14"/>
      <c r="I28" s="15"/>
      <c r="J28" s="15"/>
      <c r="K28" s="15"/>
      <c r="L28" s="15"/>
      <c r="M28" s="15"/>
      <c r="N28" s="15"/>
      <c r="O28" s="15"/>
      <c r="P28" s="15"/>
      <c r="Q28" s="15"/>
      <c r="R28" s="15">
        <v>0</v>
      </c>
      <c r="S28" s="15">
        <f t="shared" si="1"/>
        <v>234500</v>
      </c>
      <c r="T28" s="18"/>
      <c r="V28" s="6"/>
    </row>
    <row r="29" spans="1:22" s="19" customFormat="1" ht="33" customHeight="1">
      <c r="A29" s="376"/>
      <c r="B29" s="11">
        <v>10</v>
      </c>
      <c r="C29" s="142" t="s">
        <v>46</v>
      </c>
      <c r="D29" s="24" t="str">
        <f>COVER!B24</f>
        <v>A351 CF8M</v>
      </c>
      <c r="E29" s="13">
        <v>1</v>
      </c>
      <c r="F29" s="302">
        <f>IF(D29="A351 CF8M",Y98,IF(D29="B148 C95400",Z98))</f>
        <v>241900</v>
      </c>
      <c r="G29" s="14">
        <f>F29*E29</f>
        <v>241900</v>
      </c>
      <c r="H29" s="14"/>
      <c r="I29" s="15">
        <f>I30*I31</f>
        <v>3065.28</v>
      </c>
      <c r="J29" s="15">
        <f t="shared" ref="J29:Q29" si="9">J30*J31</f>
        <v>3260.86</v>
      </c>
      <c r="K29" s="15">
        <f t="shared" si="9"/>
        <v>0</v>
      </c>
      <c r="L29" s="15">
        <f t="shared" si="9"/>
        <v>0</v>
      </c>
      <c r="M29" s="15">
        <f t="shared" si="9"/>
        <v>0</v>
      </c>
      <c r="N29" s="15">
        <f t="shared" si="9"/>
        <v>0</v>
      </c>
      <c r="O29" s="15">
        <f t="shared" si="9"/>
        <v>0</v>
      </c>
      <c r="P29" s="15">
        <f t="shared" si="9"/>
        <v>0</v>
      </c>
      <c r="Q29" s="15">
        <f t="shared" si="9"/>
        <v>0</v>
      </c>
      <c r="R29" s="15">
        <v>0</v>
      </c>
      <c r="S29" s="15">
        <f t="shared" si="1"/>
        <v>241900</v>
      </c>
      <c r="T29" s="18"/>
      <c r="V29" s="7"/>
    </row>
    <row r="30" spans="1:22" s="19" customFormat="1" ht="33" hidden="1" customHeight="1">
      <c r="A30" s="376"/>
      <c r="B30" s="11">
        <v>23</v>
      </c>
      <c r="C30" s="12"/>
      <c r="D30" s="24"/>
      <c r="E30" s="13"/>
      <c r="F30" s="14"/>
      <c r="G30" s="14"/>
      <c r="H30" s="17" t="s">
        <v>415</v>
      </c>
      <c r="I30" s="21">
        <v>0.2</v>
      </c>
      <c r="J30" s="21">
        <v>0.2</v>
      </c>
      <c r="K30" s="21"/>
      <c r="L30" s="21"/>
      <c r="M30" s="21"/>
      <c r="N30" s="21"/>
      <c r="O30" s="21"/>
      <c r="P30" s="21"/>
      <c r="Q30" s="21"/>
      <c r="R30" s="15"/>
      <c r="S30" s="15">
        <f t="shared" si="1"/>
        <v>0</v>
      </c>
      <c r="T30" s="22"/>
      <c r="V30" s="7"/>
    </row>
    <row r="31" spans="1:22" s="19" customFormat="1" ht="33" hidden="1" customHeight="1">
      <c r="A31" s="376"/>
      <c r="B31" s="11">
        <v>24</v>
      </c>
      <c r="C31" s="12"/>
      <c r="D31" s="24"/>
      <c r="E31" s="13"/>
      <c r="F31" s="14"/>
      <c r="G31" s="14"/>
      <c r="H31" s="17" t="s">
        <v>39</v>
      </c>
      <c r="I31" s="15">
        <f>I32/10</f>
        <v>15326.4</v>
      </c>
      <c r="J31" s="15">
        <f>J32/10</f>
        <v>16304.3</v>
      </c>
      <c r="K31" s="15"/>
      <c r="L31" s="15"/>
      <c r="M31" s="15"/>
      <c r="N31" s="15"/>
      <c r="O31" s="15"/>
      <c r="P31" s="15"/>
      <c r="Q31" s="15"/>
      <c r="R31" s="15"/>
      <c r="S31" s="15">
        <f t="shared" si="1"/>
        <v>0</v>
      </c>
      <c r="T31" s="22"/>
      <c r="V31" s="7"/>
    </row>
    <row r="32" spans="1:22" s="19" customFormat="1" ht="33" hidden="1" customHeight="1">
      <c r="A32" s="376"/>
      <c r="B32" s="11">
        <v>25</v>
      </c>
      <c r="C32" s="12"/>
      <c r="D32" s="24"/>
      <c r="E32" s="13"/>
      <c r="F32" s="14"/>
      <c r="G32" s="14"/>
      <c r="H32" s="17" t="s">
        <v>410</v>
      </c>
      <c r="I32" s="15">
        <v>153264</v>
      </c>
      <c r="J32" s="15">
        <v>163043</v>
      </c>
      <c r="K32" s="15"/>
      <c r="L32" s="15"/>
      <c r="M32" s="15"/>
      <c r="N32" s="15"/>
      <c r="O32" s="15"/>
      <c r="P32" s="15"/>
      <c r="Q32" s="15"/>
      <c r="R32" s="15"/>
      <c r="S32" s="15">
        <f t="shared" si="1"/>
        <v>0</v>
      </c>
      <c r="T32" s="22"/>
      <c r="V32" s="7"/>
    </row>
    <row r="33" spans="1:22" s="19" customFormat="1" ht="33" customHeight="1">
      <c r="A33" s="376"/>
      <c r="B33" s="11">
        <v>11</v>
      </c>
      <c r="C33" s="142" t="s">
        <v>416</v>
      </c>
      <c r="D33" s="24" t="str">
        <f>COVER!B26</f>
        <v>316+NICKEL</v>
      </c>
      <c r="E33" s="13">
        <v>1</v>
      </c>
      <c r="F33" s="14">
        <f>IF(D33="316+NICKEL",Y100,IF(D33="B148 C95400",Z100))</f>
        <v>42600</v>
      </c>
      <c r="G33" s="14">
        <f>F33*E33</f>
        <v>42600</v>
      </c>
      <c r="H33" s="14"/>
      <c r="I33" s="15">
        <f>I34*I35</f>
        <v>4597.92</v>
      </c>
      <c r="J33" s="15">
        <f t="shared" ref="J33:Q33" si="10">J34*J35</f>
        <v>0</v>
      </c>
      <c r="K33" s="15">
        <f t="shared" si="10"/>
        <v>0</v>
      </c>
      <c r="L33" s="15">
        <f t="shared" si="10"/>
        <v>0</v>
      </c>
      <c r="M33" s="15">
        <f t="shared" si="10"/>
        <v>0</v>
      </c>
      <c r="N33" s="15">
        <f t="shared" si="10"/>
        <v>0</v>
      </c>
      <c r="O33" s="15">
        <f t="shared" si="10"/>
        <v>0</v>
      </c>
      <c r="P33" s="15">
        <f t="shared" si="10"/>
        <v>0</v>
      </c>
      <c r="Q33" s="15">
        <f t="shared" si="10"/>
        <v>0</v>
      </c>
      <c r="R33" s="15">
        <v>0</v>
      </c>
      <c r="S33" s="15">
        <f t="shared" si="1"/>
        <v>42600</v>
      </c>
      <c r="T33" s="25" t="s">
        <v>1200</v>
      </c>
      <c r="V33" s="7"/>
    </row>
    <row r="34" spans="1:22" s="19" customFormat="1" ht="33" hidden="1" customHeight="1">
      <c r="A34" s="376"/>
      <c r="B34" s="11">
        <v>27</v>
      </c>
      <c r="C34" s="12"/>
      <c r="D34" s="24"/>
      <c r="E34" s="13"/>
      <c r="F34" s="14"/>
      <c r="G34" s="14"/>
      <c r="H34" s="17" t="s">
        <v>413</v>
      </c>
      <c r="I34" s="21">
        <v>0.3</v>
      </c>
      <c r="J34" s="21"/>
      <c r="K34" s="21"/>
      <c r="L34" s="21"/>
      <c r="M34" s="21"/>
      <c r="N34" s="21"/>
      <c r="O34" s="21"/>
      <c r="P34" s="21"/>
      <c r="Q34" s="21"/>
      <c r="R34" s="15"/>
      <c r="S34" s="15"/>
      <c r="T34" s="22"/>
      <c r="V34" s="7"/>
    </row>
    <row r="35" spans="1:22" s="19" customFormat="1" ht="33" hidden="1" customHeight="1">
      <c r="A35" s="376"/>
      <c r="B35" s="11">
        <v>28</v>
      </c>
      <c r="C35" s="12"/>
      <c r="D35" s="24"/>
      <c r="E35" s="13"/>
      <c r="F35" s="14"/>
      <c r="G35" s="14"/>
      <c r="H35" s="17" t="s">
        <v>413</v>
      </c>
      <c r="I35" s="15">
        <f>I36/10</f>
        <v>15326.4</v>
      </c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22"/>
      <c r="V35" s="7"/>
    </row>
    <row r="36" spans="1:22" s="19" customFormat="1" ht="33" hidden="1" customHeight="1">
      <c r="A36" s="376"/>
      <c r="B36" s="11">
        <v>29</v>
      </c>
      <c r="C36" s="12"/>
      <c r="D36" s="24"/>
      <c r="E36" s="13"/>
      <c r="F36" s="14"/>
      <c r="G36" s="14"/>
      <c r="H36" s="17" t="s">
        <v>410</v>
      </c>
      <c r="I36" s="15">
        <v>153264</v>
      </c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22"/>
      <c r="V36" s="7"/>
    </row>
    <row r="37" spans="1:22" s="19" customFormat="1" ht="33" customHeight="1">
      <c r="A37" s="376"/>
      <c r="B37" s="11">
        <v>12</v>
      </c>
      <c r="C37" s="169" t="s">
        <v>954</v>
      </c>
      <c r="D37" s="24" t="str">
        <f>COVER!B22</f>
        <v>B7(다크로)</v>
      </c>
      <c r="E37" s="13">
        <v>6</v>
      </c>
      <c r="F37" s="14">
        <f>IF(D37="B8",Y91,IF(D37="B8M",Z91,IF(D37="B7(다크로)",AA91)))</f>
        <v>2000</v>
      </c>
      <c r="G37" s="14">
        <f>F37*E37</f>
        <v>12000</v>
      </c>
      <c r="H37" s="14"/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f t="shared" si="1"/>
        <v>12000</v>
      </c>
      <c r="T37" s="22"/>
      <c r="V37" s="7"/>
    </row>
    <row r="38" spans="1:22" s="19" customFormat="1" ht="33" customHeight="1">
      <c r="A38" s="376"/>
      <c r="B38" s="11">
        <v>13</v>
      </c>
      <c r="C38" s="29" t="s">
        <v>49</v>
      </c>
      <c r="D38" s="24"/>
      <c r="E38" s="13">
        <v>1</v>
      </c>
      <c r="F38" s="14">
        <v>10000</v>
      </c>
      <c r="G38" s="14">
        <f t="shared" ref="G38" si="11">E38*F38</f>
        <v>10000</v>
      </c>
      <c r="H38" s="14"/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f t="shared" si="1"/>
        <v>10000</v>
      </c>
      <c r="T38" s="22"/>
      <c r="V38" s="7"/>
    </row>
    <row r="39" spans="1:22" s="19" customFormat="1" ht="33" customHeight="1">
      <c r="A39" s="376"/>
      <c r="B39" s="11">
        <v>14</v>
      </c>
      <c r="C39" s="233" t="s">
        <v>417</v>
      </c>
      <c r="D39" s="24" t="str">
        <f>COVER!B23</f>
        <v>316+NICKEL</v>
      </c>
      <c r="E39" s="13">
        <v>1</v>
      </c>
      <c r="F39" s="14">
        <f>IF(D39="316+NICKEL",Y96,IF(D39="B148 C95400",Z96))</f>
        <v>236500</v>
      </c>
      <c r="G39" s="14">
        <f>F39*1</f>
        <v>236500</v>
      </c>
      <c r="H39" s="14"/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f t="shared" si="1"/>
        <v>236500</v>
      </c>
      <c r="T39" s="25" t="s">
        <v>1200</v>
      </c>
      <c r="V39" s="7"/>
    </row>
    <row r="40" spans="1:22" s="19" customFormat="1" ht="33" customHeight="1">
      <c r="A40" s="376"/>
      <c r="B40" s="11">
        <v>15</v>
      </c>
      <c r="C40" s="142" t="s">
        <v>418</v>
      </c>
      <c r="D40" s="24" t="str">
        <f>COVER!B23</f>
        <v>316+NICKEL</v>
      </c>
      <c r="E40" s="13">
        <v>1</v>
      </c>
      <c r="F40" s="14">
        <f>IF(D40="316+NICKEL",Y97,IF(D40="B148 C95400",Z97))</f>
        <v>215400</v>
      </c>
      <c r="G40" s="14">
        <f>F40*1</f>
        <v>215400</v>
      </c>
      <c r="H40" s="14"/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f t="shared" si="1"/>
        <v>215400</v>
      </c>
      <c r="T40" s="25" t="s">
        <v>1200</v>
      </c>
      <c r="V40" s="7"/>
    </row>
    <row r="41" spans="1:22" s="19" customFormat="1" ht="33" hidden="1" customHeight="1">
      <c r="A41" s="376"/>
      <c r="B41" s="11">
        <v>34</v>
      </c>
      <c r="C41" s="12"/>
      <c r="D41" s="20"/>
      <c r="E41" s="13"/>
      <c r="F41" s="14"/>
      <c r="G41" s="14"/>
      <c r="H41" s="17" t="s">
        <v>413</v>
      </c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>
        <f t="shared" si="1"/>
        <v>0</v>
      </c>
      <c r="T41" s="22"/>
      <c r="V41" s="7"/>
    </row>
    <row r="42" spans="1:22" s="19" customFormat="1" ht="33" hidden="1" customHeight="1">
      <c r="A42" s="376"/>
      <c r="B42" s="11">
        <v>35</v>
      </c>
      <c r="C42" s="12"/>
      <c r="D42" s="20"/>
      <c r="E42" s="13"/>
      <c r="F42" s="14"/>
      <c r="G42" s="14"/>
      <c r="H42" s="17" t="s">
        <v>410</v>
      </c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>
        <f t="shared" si="1"/>
        <v>0</v>
      </c>
      <c r="T42" s="22"/>
      <c r="V42" s="7"/>
    </row>
    <row r="43" spans="1:22" s="19" customFormat="1" ht="33" hidden="1" customHeight="1">
      <c r="A43" s="376"/>
      <c r="B43" s="11">
        <v>36</v>
      </c>
      <c r="C43" s="12"/>
      <c r="D43" s="20"/>
      <c r="E43" s="13"/>
      <c r="F43" s="14"/>
      <c r="G43" s="14">
        <f>F43*E43</f>
        <v>0</v>
      </c>
      <c r="H43" s="17" t="s">
        <v>410</v>
      </c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>
        <f t="shared" si="1"/>
        <v>0</v>
      </c>
      <c r="T43" s="22"/>
      <c r="V43" s="7"/>
    </row>
    <row r="44" spans="1:22" s="19" customFormat="1" ht="33" customHeight="1">
      <c r="A44" s="376"/>
      <c r="B44" s="11">
        <v>16</v>
      </c>
      <c r="C44" s="142" t="s">
        <v>419</v>
      </c>
      <c r="D44" s="24" t="str">
        <f>COVER!B25</f>
        <v>316+NICKEL</v>
      </c>
      <c r="E44" s="13">
        <v>1</v>
      </c>
      <c r="F44" s="14">
        <f>IF(D44="316+NICKEL",Y99,IF(D44="B148 C95400",Z99))</f>
        <v>27600</v>
      </c>
      <c r="G44" s="14">
        <f>F44*E44</f>
        <v>27600</v>
      </c>
      <c r="H44" s="14"/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1000</v>
      </c>
      <c r="P44" s="15">
        <v>0</v>
      </c>
      <c r="Q44" s="15">
        <v>0</v>
      </c>
      <c r="R44" s="15">
        <v>0</v>
      </c>
      <c r="S44" s="15">
        <f t="shared" si="1"/>
        <v>27600</v>
      </c>
      <c r="T44" s="25" t="s">
        <v>1200</v>
      </c>
      <c r="U44" s="236"/>
      <c r="V44" s="7"/>
    </row>
    <row r="45" spans="1:22" s="19" customFormat="1" ht="33" customHeight="1">
      <c r="A45" s="376"/>
      <c r="B45" s="11">
        <v>17</v>
      </c>
      <c r="C45" s="175" t="s">
        <v>420</v>
      </c>
      <c r="D45" s="24" t="s">
        <v>463</v>
      </c>
      <c r="E45" s="13">
        <v>1</v>
      </c>
      <c r="F45" s="14">
        <f>Y86</f>
        <v>5800</v>
      </c>
      <c r="G45" s="14">
        <f>F45*E45</f>
        <v>5800</v>
      </c>
      <c r="H45" s="14"/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f t="shared" si="1"/>
        <v>5800</v>
      </c>
      <c r="T45" s="22"/>
      <c r="V45" s="7"/>
    </row>
    <row r="46" spans="1:22" s="19" customFormat="1" ht="33" customHeight="1">
      <c r="A46" s="376"/>
      <c r="B46" s="11">
        <v>18</v>
      </c>
      <c r="C46" s="175" t="s">
        <v>1205</v>
      </c>
      <c r="D46" s="24" t="str">
        <f>COVER!B29</f>
        <v>SS400</v>
      </c>
      <c r="E46" s="13">
        <v>1</v>
      </c>
      <c r="F46" s="14">
        <f>IF(D46="SS400",Y104,IF(D46="SS316",Z104,IF(D46="SS304",AA104)))</f>
        <v>30475</v>
      </c>
      <c r="G46" s="14">
        <f>E46*F46</f>
        <v>30475</v>
      </c>
      <c r="H46" s="14"/>
      <c r="I46" s="15">
        <f>I47*I48</f>
        <v>4597.92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15000</v>
      </c>
      <c r="S46" s="15">
        <f t="shared" si="1"/>
        <v>45475</v>
      </c>
      <c r="T46" s="22"/>
      <c r="V46" s="7"/>
    </row>
    <row r="47" spans="1:22" s="19" customFormat="1" ht="33" hidden="1" customHeight="1">
      <c r="A47" s="376"/>
      <c r="B47" s="11">
        <v>40</v>
      </c>
      <c r="C47" s="31"/>
      <c r="D47" s="24"/>
      <c r="E47" s="13"/>
      <c r="F47" s="14"/>
      <c r="G47" s="14"/>
      <c r="H47" s="17" t="s">
        <v>414</v>
      </c>
      <c r="I47" s="21">
        <v>0.3</v>
      </c>
      <c r="J47" s="21"/>
      <c r="K47" s="21"/>
      <c r="L47" s="21"/>
      <c r="M47" s="21"/>
      <c r="N47" s="21"/>
      <c r="O47" s="21"/>
      <c r="P47" s="21"/>
      <c r="Q47" s="21"/>
      <c r="R47" s="15"/>
      <c r="S47" s="15">
        <f t="shared" si="1"/>
        <v>0</v>
      </c>
      <c r="T47" s="22"/>
      <c r="V47" s="7"/>
    </row>
    <row r="48" spans="1:22" s="19" customFormat="1" ht="33" hidden="1" customHeight="1">
      <c r="A48" s="376"/>
      <c r="B48" s="11">
        <v>41</v>
      </c>
      <c r="C48" s="31"/>
      <c r="D48" s="24"/>
      <c r="E48" s="13"/>
      <c r="F48" s="14"/>
      <c r="G48" s="14"/>
      <c r="H48" s="17" t="s">
        <v>414</v>
      </c>
      <c r="I48" s="15">
        <f>I49/10</f>
        <v>15326.4</v>
      </c>
      <c r="J48" s="15"/>
      <c r="K48" s="15"/>
      <c r="L48" s="15"/>
      <c r="M48" s="15"/>
      <c r="N48" s="15"/>
      <c r="O48" s="15"/>
      <c r="P48" s="15"/>
      <c r="Q48" s="15"/>
      <c r="R48" s="15"/>
      <c r="S48" s="15">
        <f t="shared" si="1"/>
        <v>0</v>
      </c>
      <c r="T48" s="22"/>
      <c r="V48" s="7"/>
    </row>
    <row r="49" spans="1:27" s="19" customFormat="1" ht="33" hidden="1" customHeight="1">
      <c r="A49" s="376"/>
      <c r="B49" s="11">
        <v>42</v>
      </c>
      <c r="C49" s="31"/>
      <c r="D49" s="24"/>
      <c r="E49" s="13"/>
      <c r="F49" s="14"/>
      <c r="G49" s="14"/>
      <c r="H49" s="17" t="s">
        <v>421</v>
      </c>
      <c r="I49" s="15">
        <v>153264</v>
      </c>
      <c r="J49" s="15"/>
      <c r="K49" s="15"/>
      <c r="L49" s="15"/>
      <c r="M49" s="15"/>
      <c r="N49" s="15"/>
      <c r="O49" s="15"/>
      <c r="P49" s="15"/>
      <c r="Q49" s="15"/>
      <c r="R49" s="15"/>
      <c r="S49" s="15">
        <f t="shared" si="1"/>
        <v>0</v>
      </c>
      <c r="T49" s="22"/>
      <c r="V49" s="7"/>
    </row>
    <row r="50" spans="1:27" s="19" customFormat="1" ht="33" customHeight="1">
      <c r="A50" s="376"/>
      <c r="B50" s="11">
        <v>19</v>
      </c>
      <c r="C50" s="226" t="s">
        <v>422</v>
      </c>
      <c r="D50" s="24" t="str">
        <f>COVER!B22</f>
        <v>B7(다크로)</v>
      </c>
      <c r="E50" s="13">
        <v>8</v>
      </c>
      <c r="F50" s="14">
        <f>IF(D50="B8",Y93,IF(D50="B8M",Z93,IF(D50="B7(다크로)",AA93)))</f>
        <v>2500</v>
      </c>
      <c r="G50" s="14">
        <f>E50*F50</f>
        <v>20000</v>
      </c>
      <c r="H50" s="14"/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f t="shared" si="1"/>
        <v>20000</v>
      </c>
      <c r="T50" s="18"/>
      <c r="V50" s="7"/>
    </row>
    <row r="51" spans="1:27" s="19" customFormat="1" ht="33" customHeight="1">
      <c r="A51" s="376"/>
      <c r="B51" s="11">
        <v>20</v>
      </c>
      <c r="C51" s="169" t="s">
        <v>423</v>
      </c>
      <c r="D51" s="303" t="str">
        <f>D24</f>
        <v>A564T630</v>
      </c>
      <c r="E51" s="13">
        <v>4</v>
      </c>
      <c r="F51" s="14">
        <f>IF(D51="A276T316L",Y80/E51,IF(D51="A276T304",Z80/E51,IF(D51="A564T630",AA80/E51,IF(D51="A479T410",AB80/E51,IF(D51="UNS S31803",AC80/E51,IF(D51="UNS S32750",AD80/E51,IF(D51="MONEL K-500",AE80/E51)))))))</f>
        <v>10385</v>
      </c>
      <c r="G51" s="14">
        <f>E51*F51</f>
        <v>41540</v>
      </c>
      <c r="H51" s="14"/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1000</v>
      </c>
      <c r="P51" s="15">
        <v>0</v>
      </c>
      <c r="Q51" s="15">
        <v>0</v>
      </c>
      <c r="R51" s="15">
        <f>4500*E51</f>
        <v>18000</v>
      </c>
      <c r="S51" s="15">
        <f t="shared" si="1"/>
        <v>59540</v>
      </c>
      <c r="T51" s="22"/>
      <c r="U51" s="162"/>
    </row>
    <row r="52" spans="1:27" s="19" customFormat="1" ht="33" customHeight="1">
      <c r="A52" s="376"/>
      <c r="B52" s="11">
        <v>21</v>
      </c>
      <c r="C52" s="169" t="s">
        <v>424</v>
      </c>
      <c r="D52" s="24" t="str">
        <f>COVER!B22</f>
        <v>B7(다크로)</v>
      </c>
      <c r="E52" s="13">
        <v>6</v>
      </c>
      <c r="F52" s="14">
        <f>IF(D52="B8",Y89,IF(D52="B8M",Z89,IF(D52="B7(다크로)",AA89)))</f>
        <v>20000</v>
      </c>
      <c r="G52" s="14">
        <f>F52*E52</f>
        <v>120000</v>
      </c>
      <c r="H52" s="14"/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1000</v>
      </c>
      <c r="O52" s="15">
        <v>1000</v>
      </c>
      <c r="P52" s="15">
        <v>1000</v>
      </c>
      <c r="Q52" s="15">
        <v>0</v>
      </c>
      <c r="R52" s="15">
        <v>0</v>
      </c>
      <c r="S52" s="15">
        <f t="shared" si="1"/>
        <v>120000</v>
      </c>
      <c r="T52" s="22"/>
      <c r="U52" s="162"/>
    </row>
    <row r="53" spans="1:27" s="19" customFormat="1" ht="33" customHeight="1">
      <c r="A53" s="376"/>
      <c r="B53" s="11">
        <v>22</v>
      </c>
      <c r="C53" s="169" t="s">
        <v>1199</v>
      </c>
      <c r="D53" s="24" t="str">
        <f>COVER!B26</f>
        <v>316+NICKEL</v>
      </c>
      <c r="E53" s="13">
        <v>1</v>
      </c>
      <c r="F53" s="14">
        <f>IF(D53="316+NICKEL",Y100,IF(D53="B148 C95400",Z100))</f>
        <v>42600</v>
      </c>
      <c r="G53" s="14">
        <f>F53*E53</f>
        <v>42600</v>
      </c>
      <c r="H53" s="14"/>
      <c r="I53" s="15"/>
      <c r="J53" s="15"/>
      <c r="K53" s="15"/>
      <c r="L53" s="15"/>
      <c r="M53" s="15"/>
      <c r="N53" s="15"/>
      <c r="O53" s="15"/>
      <c r="P53" s="15"/>
      <c r="Q53" s="15"/>
      <c r="R53" s="15">
        <v>0</v>
      </c>
      <c r="S53" s="15">
        <f t="shared" si="1"/>
        <v>42600</v>
      </c>
      <c r="T53" s="22"/>
    </row>
    <row r="54" spans="1:27" s="19" customFormat="1" ht="33" customHeight="1">
      <c r="A54" s="376"/>
      <c r="B54" s="11">
        <v>23</v>
      </c>
      <c r="C54" s="29" t="s">
        <v>425</v>
      </c>
      <c r="D54" s="24"/>
      <c r="E54" s="13">
        <v>1</v>
      </c>
      <c r="F54" s="14">
        <v>3000</v>
      </c>
      <c r="G54" s="14">
        <f t="shared" ref="G54" si="12">E54*F54</f>
        <v>3000</v>
      </c>
      <c r="H54" s="14"/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1000</v>
      </c>
      <c r="Q54" s="15">
        <v>0</v>
      </c>
      <c r="R54" s="15">
        <v>0</v>
      </c>
      <c r="S54" s="15">
        <f t="shared" si="1"/>
        <v>3000</v>
      </c>
      <c r="T54" s="22"/>
    </row>
    <row r="55" spans="1:27" s="19" customFormat="1" ht="33" customHeight="1">
      <c r="A55" s="376"/>
      <c r="B55" s="11">
        <v>24</v>
      </c>
      <c r="C55" s="169" t="s">
        <v>59</v>
      </c>
      <c r="D55" s="24" t="str">
        <f>COVER!B35</f>
        <v>GEAR</v>
      </c>
      <c r="E55" s="13">
        <v>1</v>
      </c>
      <c r="F55" s="302">
        <f>IF(D55="GEAR",1528200,IF(D55="MOTOR",0,IF(D55="PNEUMATIC",0)))</f>
        <v>1528200</v>
      </c>
      <c r="G55" s="14">
        <f>F55</f>
        <v>1528200</v>
      </c>
      <c r="H55" s="14"/>
      <c r="I55" s="15"/>
      <c r="J55" s="15"/>
      <c r="K55" s="15"/>
      <c r="L55" s="15"/>
      <c r="M55" s="15"/>
      <c r="N55" s="15"/>
      <c r="O55" s="15"/>
      <c r="P55" s="15"/>
      <c r="Q55" s="15"/>
      <c r="R55" s="15">
        <v>0</v>
      </c>
      <c r="S55" s="15">
        <f t="shared" si="1"/>
        <v>1528200</v>
      </c>
      <c r="T55" s="22"/>
    </row>
    <row r="56" spans="1:27" s="19" customFormat="1" ht="33" customHeight="1">
      <c r="A56" s="376"/>
      <c r="B56" s="11">
        <v>25</v>
      </c>
      <c r="C56" s="186" t="s">
        <v>859</v>
      </c>
      <c r="D56" s="24" t="str">
        <f>COVER!B30</f>
        <v>WCB</v>
      </c>
      <c r="E56" s="13">
        <v>140</v>
      </c>
      <c r="F56" s="14">
        <f>IF(D56="WCB",4000,IF(D56="CF8M",9000))</f>
        <v>4000</v>
      </c>
      <c r="G56" s="14">
        <f>E56*F56</f>
        <v>560000</v>
      </c>
      <c r="H56" s="14"/>
      <c r="I56" s="15"/>
      <c r="J56" s="15"/>
      <c r="K56" s="15"/>
      <c r="L56" s="15"/>
      <c r="M56" s="15"/>
      <c r="N56" s="15"/>
      <c r="O56" s="15"/>
      <c r="P56" s="15"/>
      <c r="Q56" s="15"/>
      <c r="R56" s="14">
        <f>IF(D56="WCB",AA106,IF(D56="CF8M",AB106))</f>
        <v>90000</v>
      </c>
      <c r="S56" s="15">
        <f t="shared" si="1"/>
        <v>650000</v>
      </c>
      <c r="T56" s="22"/>
    </row>
    <row r="57" spans="1:27" s="19" customFormat="1" ht="33" customHeight="1">
      <c r="A57" s="376"/>
      <c r="B57" s="11">
        <v>26</v>
      </c>
      <c r="C57" s="175" t="s">
        <v>467</v>
      </c>
      <c r="D57" s="24" t="str">
        <f>COVER!B27</f>
        <v>316+NICKEL</v>
      </c>
      <c r="E57" s="13">
        <v>2</v>
      </c>
      <c r="F57" s="14">
        <f>IF(D57="316+NICKEL",Y101,IF(D57="B148 C95400",Z101))</f>
        <v>55100</v>
      </c>
      <c r="G57" s="14">
        <f>F57</f>
        <v>55100</v>
      </c>
      <c r="H57" s="14"/>
      <c r="I57" s="15"/>
      <c r="J57" s="15"/>
      <c r="K57" s="15"/>
      <c r="L57" s="15"/>
      <c r="M57" s="15"/>
      <c r="N57" s="15"/>
      <c r="O57" s="15"/>
      <c r="P57" s="15"/>
      <c r="Q57" s="15"/>
      <c r="R57" s="15">
        <v>0</v>
      </c>
      <c r="S57" s="15">
        <f t="shared" si="1"/>
        <v>55100</v>
      </c>
      <c r="T57" s="25" t="s">
        <v>1200</v>
      </c>
      <c r="U57" s="96"/>
    </row>
    <row r="58" spans="1:27" s="19" customFormat="1" ht="33" customHeight="1">
      <c r="A58" s="376"/>
      <c r="B58" s="11">
        <v>27</v>
      </c>
      <c r="C58" s="175" t="s">
        <v>468</v>
      </c>
      <c r="D58" s="24" t="str">
        <f>COVER!B28</f>
        <v>316+NICKEL</v>
      </c>
      <c r="E58" s="13">
        <v>2</v>
      </c>
      <c r="F58" s="14">
        <f>IF(D58="316+NICKEL",Y102,IF(D58="B148 C95400",Z102))</f>
        <v>19500</v>
      </c>
      <c r="G58" s="14">
        <f>F58</f>
        <v>19500</v>
      </c>
      <c r="H58" s="14"/>
      <c r="I58" s="15"/>
      <c r="J58" s="15"/>
      <c r="K58" s="15"/>
      <c r="L58" s="15"/>
      <c r="M58" s="15"/>
      <c r="N58" s="15"/>
      <c r="O58" s="15"/>
      <c r="P58" s="15"/>
      <c r="Q58" s="15"/>
      <c r="R58" s="15">
        <v>0</v>
      </c>
      <c r="S58" s="15">
        <f t="shared" si="1"/>
        <v>19500</v>
      </c>
      <c r="T58" s="25" t="s">
        <v>1200</v>
      </c>
      <c r="U58" s="96"/>
    </row>
    <row r="59" spans="1:27" s="19" customFormat="1" ht="33" customHeight="1">
      <c r="A59" s="376"/>
      <c r="B59" s="11">
        <v>28</v>
      </c>
      <c r="C59" s="142" t="s">
        <v>426</v>
      </c>
      <c r="D59" s="20" t="str">
        <f>COVER!B22</f>
        <v>B7(다크로)</v>
      </c>
      <c r="E59" s="13">
        <v>8</v>
      </c>
      <c r="F59" s="14">
        <f>IF(D59="B8",Y88,IF(D59="B8M",Z88,IF(D59="B7(다크로)",AA88)))</f>
        <v>11000</v>
      </c>
      <c r="G59" s="14">
        <f>E59*F59</f>
        <v>88000</v>
      </c>
      <c r="H59" s="14"/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f t="shared" si="1"/>
        <v>88000</v>
      </c>
      <c r="T59" s="25"/>
    </row>
    <row r="60" spans="1:27" s="19" customFormat="1" ht="33" customHeight="1">
      <c r="A60" s="376"/>
      <c r="B60" s="11">
        <v>29</v>
      </c>
      <c r="C60" s="12" t="s">
        <v>427</v>
      </c>
      <c r="D60" s="303" t="str">
        <f>COVER!B32</f>
        <v>외주 2COATING</v>
      </c>
      <c r="E60" s="13">
        <v>1</v>
      </c>
      <c r="F60" s="14">
        <f>IF(COVER!B10="APPLICATION",0,IF(D60="기존 단가",Y116,IF(D60="외주 2COATING",Z116,IF(D60="외주 3COATING",AA116))))</f>
        <v>0</v>
      </c>
      <c r="G60" s="14">
        <f t="shared" ref="G60:G61" si="13">E60*F60</f>
        <v>0</v>
      </c>
      <c r="H60" s="14"/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f t="shared" si="1"/>
        <v>0</v>
      </c>
      <c r="T60" s="22"/>
      <c r="AA60" s="19" t="s">
        <v>470</v>
      </c>
    </row>
    <row r="61" spans="1:27" s="19" customFormat="1" ht="33" customHeight="1">
      <c r="A61" s="377"/>
      <c r="B61" s="11">
        <v>30</v>
      </c>
      <c r="C61" s="12" t="s">
        <v>428</v>
      </c>
      <c r="D61" s="303" t="str">
        <f>COVER!B33</f>
        <v>신규</v>
      </c>
      <c r="E61" s="13">
        <v>1</v>
      </c>
      <c r="F61" s="14">
        <f>IF(COVER!B10="APPLICATION",0,IF(D61="기존 단가",Y118,IF(D61="신규",Z118)))</f>
        <v>0</v>
      </c>
      <c r="G61" s="14">
        <f t="shared" si="13"/>
        <v>0</v>
      </c>
      <c r="H61" s="14"/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f t="shared" si="1"/>
        <v>0</v>
      </c>
      <c r="T61" s="22"/>
    </row>
    <row r="62" spans="1:27" s="19" customFormat="1" ht="33" customHeight="1">
      <c r="A62" s="378" t="s">
        <v>430</v>
      </c>
      <c r="B62" s="379"/>
      <c r="C62" s="379"/>
      <c r="D62" s="379"/>
      <c r="E62" s="379"/>
      <c r="F62" s="380"/>
      <c r="G62" s="14">
        <f>IF(COVER!B10="APPLICATION",0,IF(D55="GEAR",Y120,IF(D55="MOTOR",Z120,IF(D55="PNEUMATIC",AA120))))</f>
        <v>0</v>
      </c>
      <c r="H62" s="14"/>
      <c r="I62" s="32" t="s">
        <v>38</v>
      </c>
      <c r="J62" s="32"/>
      <c r="K62" s="32"/>
      <c r="L62" s="32"/>
      <c r="M62" s="32"/>
      <c r="N62" s="32"/>
      <c r="O62" s="32"/>
      <c r="P62" s="32"/>
      <c r="Q62" s="32"/>
      <c r="R62" s="33"/>
      <c r="S62" s="33">
        <f t="shared" si="1"/>
        <v>0</v>
      </c>
      <c r="T62" s="253"/>
    </row>
    <row r="63" spans="1:27" s="19" customFormat="1" ht="33" customHeight="1">
      <c r="A63" s="360" t="s">
        <v>431</v>
      </c>
      <c r="B63" s="361"/>
      <c r="C63" s="361"/>
      <c r="D63" s="361"/>
      <c r="E63" s="361"/>
      <c r="F63" s="362"/>
      <c r="G63" s="14"/>
      <c r="H63" s="14"/>
      <c r="I63" s="32"/>
      <c r="J63" s="32"/>
      <c r="K63" s="32"/>
      <c r="L63" s="32"/>
      <c r="M63" s="32"/>
      <c r="N63" s="32"/>
      <c r="O63" s="32"/>
      <c r="P63" s="32"/>
      <c r="Q63" s="32"/>
      <c r="R63" s="33"/>
      <c r="S63" s="33"/>
      <c r="T63" s="253" t="s">
        <v>1526</v>
      </c>
    </row>
    <row r="64" spans="1:27" s="19" customFormat="1" ht="33" customHeight="1">
      <c r="A64" s="378" t="s">
        <v>432</v>
      </c>
      <c r="B64" s="379"/>
      <c r="C64" s="379"/>
      <c r="D64" s="379"/>
      <c r="E64" s="379"/>
      <c r="F64" s="380"/>
      <c r="G64" s="93" t="s">
        <v>38</v>
      </c>
      <c r="H64" s="93"/>
      <c r="I64" s="32"/>
      <c r="J64" s="94"/>
      <c r="K64" s="94"/>
      <c r="L64" s="94"/>
      <c r="M64" s="94"/>
      <c r="N64" s="94"/>
      <c r="O64" s="94"/>
      <c r="P64" s="94"/>
      <c r="Q64" s="94"/>
      <c r="R64" s="94"/>
      <c r="S64" s="34">
        <f>SUM(S8:S63)</f>
        <v>15436965</v>
      </c>
      <c r="T64" s="254" t="s">
        <v>145</v>
      </c>
    </row>
    <row r="65" spans="1:32" s="19" customFormat="1" ht="33" customHeight="1">
      <c r="A65" s="378" t="s">
        <v>433</v>
      </c>
      <c r="B65" s="379"/>
      <c r="C65" s="379"/>
      <c r="D65" s="379"/>
      <c r="E65" s="379"/>
      <c r="F65" s="380"/>
      <c r="G65" s="32">
        <v>0.1</v>
      </c>
      <c r="H65" s="32"/>
      <c r="I65" s="32" t="s">
        <v>429</v>
      </c>
      <c r="J65" s="32"/>
      <c r="K65" s="32"/>
      <c r="L65" s="32"/>
      <c r="M65" s="32"/>
      <c r="N65" s="32"/>
      <c r="O65" s="32"/>
      <c r="P65" s="32"/>
      <c r="Q65" s="32"/>
      <c r="R65" s="32"/>
      <c r="S65" s="35">
        <f>S64*G65</f>
        <v>1543696.5</v>
      </c>
      <c r="T65" s="253"/>
    </row>
    <row r="66" spans="1:32" s="19" customFormat="1" ht="33" customHeight="1">
      <c r="A66" s="360" t="s">
        <v>434</v>
      </c>
      <c r="B66" s="361"/>
      <c r="C66" s="361"/>
      <c r="D66" s="361"/>
      <c r="E66" s="361"/>
      <c r="F66" s="362"/>
      <c r="G66" s="95">
        <v>0.1</v>
      </c>
      <c r="H66" s="95"/>
      <c r="I66" s="32" t="s">
        <v>429</v>
      </c>
      <c r="J66" s="32"/>
      <c r="K66" s="32"/>
      <c r="L66" s="32"/>
      <c r="M66" s="32"/>
      <c r="N66" s="32"/>
      <c r="O66" s="32"/>
      <c r="P66" s="32"/>
      <c r="Q66" s="32"/>
      <c r="R66" s="32"/>
      <c r="S66" s="35">
        <f>(S64+S65)*G66</f>
        <v>1698066.1500000001</v>
      </c>
      <c r="T66" s="253" t="s">
        <v>435</v>
      </c>
    </row>
    <row r="67" spans="1:32" s="19" customFormat="1" ht="33" customHeight="1">
      <c r="A67" s="363" t="s">
        <v>436</v>
      </c>
      <c r="B67" s="364"/>
      <c r="C67" s="364"/>
      <c r="D67" s="364"/>
      <c r="E67" s="364"/>
      <c r="F67" s="365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294">
        <f>S64+S65+S66</f>
        <v>18678727.649999999</v>
      </c>
      <c r="T67" s="254" t="s">
        <v>437</v>
      </c>
    </row>
    <row r="68" spans="1:32" s="19" customFormat="1" ht="33" customHeight="1">
      <c r="A68" s="366" t="s">
        <v>438</v>
      </c>
      <c r="B68" s="367"/>
      <c r="C68" s="367"/>
      <c r="D68" s="367"/>
      <c r="E68" s="367"/>
      <c r="F68" s="368"/>
      <c r="G68" s="32">
        <f>COVER!B11</f>
        <v>1.5</v>
      </c>
      <c r="H68" s="32"/>
      <c r="I68" s="32" t="s">
        <v>429</v>
      </c>
      <c r="J68" s="32"/>
      <c r="K68" s="32"/>
      <c r="L68" s="32"/>
      <c r="M68" s="32"/>
      <c r="N68" s="32"/>
      <c r="O68" s="32"/>
      <c r="P68" s="32"/>
      <c r="Q68" s="32"/>
      <c r="R68" s="32"/>
      <c r="S68" s="36">
        <f>S67*G68</f>
        <v>28018091.474999998</v>
      </c>
      <c r="T68" s="253"/>
    </row>
    <row r="69" spans="1:32" s="19" customFormat="1" ht="33" customHeight="1">
      <c r="A69" s="369" t="s">
        <v>71</v>
      </c>
      <c r="B69" s="370"/>
      <c r="C69" s="370"/>
      <c r="D69" s="370"/>
      <c r="E69" s="370"/>
      <c r="F69" s="370"/>
      <c r="G69" s="371"/>
      <c r="H69" s="37"/>
      <c r="I69" s="38"/>
      <c r="J69" s="38"/>
      <c r="K69" s="38"/>
      <c r="L69" s="38"/>
      <c r="M69" s="38"/>
      <c r="N69" s="38"/>
      <c r="O69" s="38"/>
      <c r="P69" s="38"/>
      <c r="Q69" s="38"/>
      <c r="R69" s="39" t="s">
        <v>439</v>
      </c>
      <c r="S69" s="40">
        <f>S68</f>
        <v>28018091.474999998</v>
      </c>
      <c r="T69" s="246" t="s">
        <v>440</v>
      </c>
      <c r="V69" s="141" t="s">
        <v>862</v>
      </c>
      <c r="W69" s="140"/>
      <c r="X69" s="140"/>
      <c r="Y69" s="140"/>
      <c r="Z69" s="140"/>
      <c r="AA69" s="140"/>
      <c r="AB69" s="140"/>
      <c r="AC69" s="140"/>
      <c r="AD69" s="140"/>
      <c r="AE69" s="140"/>
      <c r="AF69" s="140"/>
    </row>
    <row r="70" spans="1:32" s="19" customFormat="1" ht="33" customHeight="1" thickBot="1">
      <c r="A70" s="372"/>
      <c r="B70" s="373"/>
      <c r="C70" s="373"/>
      <c r="D70" s="373"/>
      <c r="E70" s="373"/>
      <c r="F70" s="373"/>
      <c r="G70" s="374"/>
      <c r="H70" s="41"/>
      <c r="I70" s="42"/>
      <c r="J70" s="42"/>
      <c r="K70" s="42"/>
      <c r="L70" s="42"/>
      <c r="M70" s="42"/>
      <c r="N70" s="42"/>
      <c r="O70" s="42"/>
      <c r="P70" s="42"/>
      <c r="Q70" s="42"/>
      <c r="R70" s="43" t="s">
        <v>441</v>
      </c>
      <c r="S70" s="43">
        <f>S64*G68</f>
        <v>23155447.5</v>
      </c>
      <c r="T70" s="247" t="s">
        <v>442</v>
      </c>
      <c r="V70" s="141" t="s">
        <v>1413</v>
      </c>
      <c r="W70" s="140"/>
      <c r="X70" s="140"/>
      <c r="Y70" s="140"/>
      <c r="Z70" s="140"/>
      <c r="AA70" s="140"/>
      <c r="AB70" s="140"/>
      <c r="AC70" s="140"/>
      <c r="AD70" s="140"/>
      <c r="AE70" s="140"/>
      <c r="AF70" s="140"/>
    </row>
    <row r="71" spans="1:32" ht="15" thickBot="1">
      <c r="V71" s="140"/>
      <c r="W71" s="140"/>
      <c r="X71" s="140"/>
      <c r="Y71" s="140"/>
      <c r="Z71" s="140"/>
      <c r="AA71" s="140"/>
      <c r="AB71" s="140"/>
      <c r="AC71" s="140"/>
      <c r="AD71" s="140"/>
      <c r="AE71" s="140"/>
      <c r="AF71" s="140"/>
    </row>
    <row r="72" spans="1:32" ht="21" thickBot="1">
      <c r="C72" s="44" t="s">
        <v>443</v>
      </c>
      <c r="V72" s="193" t="s">
        <v>863</v>
      </c>
      <c r="W72" s="194" t="s">
        <v>864</v>
      </c>
      <c r="X72" s="194" t="s">
        <v>865</v>
      </c>
      <c r="Y72" s="358" t="s">
        <v>866</v>
      </c>
      <c r="Z72" s="358"/>
      <c r="AA72" s="358"/>
      <c r="AB72" s="358"/>
      <c r="AC72" s="358"/>
      <c r="AD72" s="358"/>
      <c r="AE72" s="358"/>
      <c r="AF72" s="218" t="s">
        <v>867</v>
      </c>
    </row>
    <row r="73" spans="1:32" ht="20.399999999999999">
      <c r="C73" s="44" t="s">
        <v>444</v>
      </c>
      <c r="V73" s="336" t="s">
        <v>868</v>
      </c>
      <c r="W73" s="111" t="s">
        <v>869</v>
      </c>
      <c r="X73" s="111" t="s">
        <v>1414</v>
      </c>
      <c r="Y73" s="345" t="s">
        <v>870</v>
      </c>
      <c r="Z73" s="345"/>
      <c r="AA73" s="345"/>
      <c r="AB73" s="345"/>
      <c r="AC73" s="345"/>
      <c r="AD73" s="345"/>
      <c r="AE73" s="345"/>
      <c r="AF73" s="161" t="s">
        <v>871</v>
      </c>
    </row>
    <row r="74" spans="1:32" ht="21" thickBot="1">
      <c r="C74" s="44" t="s">
        <v>445</v>
      </c>
      <c r="V74" s="342"/>
      <c r="W74" s="133" t="s">
        <v>872</v>
      </c>
      <c r="X74" s="219" t="s">
        <v>457</v>
      </c>
      <c r="Y74" s="346" t="s">
        <v>870</v>
      </c>
      <c r="Z74" s="346"/>
      <c r="AA74" s="346"/>
      <c r="AB74" s="346"/>
      <c r="AC74" s="346"/>
      <c r="AD74" s="346"/>
      <c r="AE74" s="346"/>
      <c r="AF74" s="195" t="s">
        <v>871</v>
      </c>
    </row>
    <row r="75" spans="1:32" ht="21" thickBot="1">
      <c r="C75" s="44" t="s">
        <v>77</v>
      </c>
      <c r="V75" s="196" t="s">
        <v>874</v>
      </c>
      <c r="W75" s="137" t="s">
        <v>875</v>
      </c>
      <c r="X75" s="137" t="s">
        <v>1415</v>
      </c>
      <c r="Y75" s="359" t="s">
        <v>870</v>
      </c>
      <c r="Z75" s="359"/>
      <c r="AA75" s="359"/>
      <c r="AB75" s="359"/>
      <c r="AC75" s="359"/>
      <c r="AD75" s="359"/>
      <c r="AE75" s="359"/>
      <c r="AF75" s="197" t="s">
        <v>871</v>
      </c>
    </row>
    <row r="76" spans="1:32" ht="20.399999999999999">
      <c r="C76" s="44" t="s">
        <v>446</v>
      </c>
      <c r="V76" s="336" t="s">
        <v>877</v>
      </c>
      <c r="W76" s="111" t="s">
        <v>846</v>
      </c>
      <c r="X76" s="354">
        <v>615500</v>
      </c>
      <c r="Y76" s="354"/>
      <c r="Z76" s="354"/>
      <c r="AA76" s="354"/>
      <c r="AB76" s="354"/>
      <c r="AC76" s="354"/>
      <c r="AD76" s="354"/>
      <c r="AE76" s="354"/>
      <c r="AF76" s="161"/>
    </row>
    <row r="77" spans="1:32" ht="21" thickBot="1">
      <c r="C77" s="44" t="s">
        <v>447</v>
      </c>
      <c r="V77" s="329"/>
      <c r="W77" s="125" t="s">
        <v>847</v>
      </c>
      <c r="X77" s="355">
        <v>861700</v>
      </c>
      <c r="Y77" s="355"/>
      <c r="Z77" s="355"/>
      <c r="AA77" s="355"/>
      <c r="AB77" s="355"/>
      <c r="AC77" s="355"/>
      <c r="AD77" s="355"/>
      <c r="AE77" s="355"/>
      <c r="AF77" s="208"/>
    </row>
    <row r="78" spans="1:32" ht="20.399999999999999">
      <c r="C78" s="44" t="s">
        <v>448</v>
      </c>
      <c r="V78" s="336" t="s">
        <v>878</v>
      </c>
      <c r="W78" s="343" t="s">
        <v>1416</v>
      </c>
      <c r="X78" s="345" t="s">
        <v>879</v>
      </c>
      <c r="Y78" s="111" t="s">
        <v>880</v>
      </c>
      <c r="Z78" s="111">
        <v>304</v>
      </c>
      <c r="AA78" s="111" t="s">
        <v>881</v>
      </c>
      <c r="AB78" s="111" t="s">
        <v>882</v>
      </c>
      <c r="AC78" s="111" t="s">
        <v>883</v>
      </c>
      <c r="AD78" s="111" t="s">
        <v>884</v>
      </c>
      <c r="AE78" s="111" t="s">
        <v>885</v>
      </c>
      <c r="AF78" s="161"/>
    </row>
    <row r="79" spans="1:32" ht="20.399999999999999">
      <c r="C79" s="45"/>
      <c r="V79" s="337"/>
      <c r="W79" s="356"/>
      <c r="X79" s="357"/>
      <c r="Y79" s="116">
        <v>928000</v>
      </c>
      <c r="Z79" s="116">
        <v>673060</v>
      </c>
      <c r="AA79" s="116">
        <v>1235480</v>
      </c>
      <c r="AB79" s="116">
        <v>533065</v>
      </c>
      <c r="AC79" s="116">
        <v>1220740</v>
      </c>
      <c r="AD79" s="116">
        <v>1851746</v>
      </c>
      <c r="AE79" s="293">
        <v>4276000</v>
      </c>
      <c r="AF79" s="214" t="s">
        <v>886</v>
      </c>
    </row>
    <row r="80" spans="1:32" ht="21" thickBot="1">
      <c r="C80" s="44" t="s">
        <v>81</v>
      </c>
      <c r="V80" s="132" t="s">
        <v>887</v>
      </c>
      <c r="W80" s="286" t="s">
        <v>1417</v>
      </c>
      <c r="X80" s="133" t="s">
        <v>909</v>
      </c>
      <c r="Y80" s="134">
        <v>25970</v>
      </c>
      <c r="Z80" s="134">
        <v>18815</v>
      </c>
      <c r="AA80" s="134">
        <v>41540</v>
      </c>
      <c r="AB80" s="134">
        <v>15340</v>
      </c>
      <c r="AC80" s="134">
        <v>35510</v>
      </c>
      <c r="AD80" s="134">
        <v>46163</v>
      </c>
      <c r="AE80" s="134">
        <v>255200</v>
      </c>
      <c r="AF80" s="195" t="s">
        <v>889</v>
      </c>
    </row>
    <row r="81" spans="3:32" ht="20.399999999999999">
      <c r="C81" s="46" t="s">
        <v>449</v>
      </c>
      <c r="V81" s="331" t="s">
        <v>890</v>
      </c>
      <c r="W81" s="352" t="s">
        <v>1418</v>
      </c>
      <c r="X81" s="328" t="s">
        <v>879</v>
      </c>
      <c r="Y81" s="198">
        <v>304</v>
      </c>
      <c r="Z81" s="198" t="s">
        <v>880</v>
      </c>
      <c r="AA81" s="198" t="s">
        <v>892</v>
      </c>
      <c r="AB81" s="199"/>
      <c r="AC81" s="199"/>
      <c r="AD81" s="199"/>
      <c r="AE81" s="199"/>
      <c r="AF81" s="206"/>
    </row>
    <row r="82" spans="3:32" ht="21" thickBot="1">
      <c r="C82" s="46" t="s">
        <v>450</v>
      </c>
      <c r="V82" s="329"/>
      <c r="W82" s="353"/>
      <c r="X82" s="327"/>
      <c r="Y82" s="126">
        <v>532000</v>
      </c>
      <c r="Z82" s="126">
        <v>662000</v>
      </c>
      <c r="AA82" s="126">
        <v>102000</v>
      </c>
      <c r="AB82" s="200"/>
      <c r="AC82" s="200"/>
      <c r="AD82" s="200"/>
      <c r="AE82" s="200"/>
      <c r="AF82" s="208"/>
    </row>
    <row r="83" spans="3:32" ht="20.399999999999999">
      <c r="C83" s="46" t="s">
        <v>451</v>
      </c>
      <c r="V83" s="336" t="s">
        <v>893</v>
      </c>
      <c r="W83" s="343" t="s">
        <v>1419</v>
      </c>
      <c r="X83" s="345" t="s">
        <v>879</v>
      </c>
      <c r="Y83" s="111" t="s">
        <v>895</v>
      </c>
      <c r="Z83" s="111" t="s">
        <v>896</v>
      </c>
      <c r="AA83" s="201"/>
      <c r="AB83" s="201"/>
      <c r="AC83" s="201"/>
      <c r="AD83" s="201"/>
      <c r="AE83" s="201"/>
      <c r="AF83" s="161"/>
    </row>
    <row r="84" spans="3:32" ht="21" thickBot="1">
      <c r="C84" s="46" t="s">
        <v>452</v>
      </c>
      <c r="V84" s="342"/>
      <c r="W84" s="344"/>
      <c r="X84" s="346"/>
      <c r="Y84" s="296">
        <v>253100</v>
      </c>
      <c r="Z84" s="296">
        <v>220000</v>
      </c>
      <c r="AA84" s="203"/>
      <c r="AB84" s="203"/>
      <c r="AC84" s="203"/>
      <c r="AD84" s="203"/>
      <c r="AE84" s="203"/>
      <c r="AF84" s="195" t="s">
        <v>958</v>
      </c>
    </row>
    <row r="85" spans="3:32" ht="21" thickBot="1">
      <c r="C85" s="46" t="s">
        <v>167</v>
      </c>
      <c r="V85" s="170" t="s">
        <v>898</v>
      </c>
      <c r="W85" s="288" t="s">
        <v>1420</v>
      </c>
      <c r="X85" s="125" t="s">
        <v>463</v>
      </c>
      <c r="Y85" s="126">
        <v>34700</v>
      </c>
      <c r="Z85" s="200"/>
      <c r="AA85" s="200"/>
      <c r="AB85" s="200"/>
      <c r="AC85" s="200"/>
      <c r="AD85" s="200"/>
      <c r="AE85" s="200"/>
      <c r="AF85" s="208"/>
    </row>
    <row r="86" spans="3:32" ht="21" thickBot="1">
      <c r="C86" s="46" t="s">
        <v>453</v>
      </c>
      <c r="V86" s="193" t="s">
        <v>904</v>
      </c>
      <c r="W86" s="289" t="s">
        <v>1118</v>
      </c>
      <c r="X86" s="194" t="s">
        <v>463</v>
      </c>
      <c r="Y86" s="210">
        <v>5800</v>
      </c>
      <c r="Z86" s="211"/>
      <c r="AA86" s="211"/>
      <c r="AB86" s="211"/>
      <c r="AC86" s="211"/>
      <c r="AD86" s="211"/>
      <c r="AE86" s="211"/>
      <c r="AF86" s="218"/>
    </row>
    <row r="87" spans="3:32" ht="20.399999999999999">
      <c r="C87" s="46" t="s">
        <v>454</v>
      </c>
      <c r="V87" s="336" t="s">
        <v>906</v>
      </c>
      <c r="W87" s="345"/>
      <c r="X87" s="345"/>
      <c r="Y87" s="111" t="s">
        <v>853</v>
      </c>
      <c r="Z87" s="111" t="s">
        <v>462</v>
      </c>
      <c r="AA87" s="111" t="s">
        <v>855</v>
      </c>
      <c r="AB87" s="201"/>
      <c r="AC87" s="201"/>
      <c r="AD87" s="201"/>
      <c r="AE87" s="201"/>
      <c r="AF87" s="161"/>
    </row>
    <row r="88" spans="3:32" ht="20.399999999999999">
      <c r="C88" s="47" t="s">
        <v>455</v>
      </c>
      <c r="V88" s="119" t="s">
        <v>907</v>
      </c>
      <c r="W88" s="290" t="s">
        <v>1119</v>
      </c>
      <c r="X88" s="115" t="s">
        <v>1081</v>
      </c>
      <c r="Y88" s="116">
        <v>13000</v>
      </c>
      <c r="Z88" s="116">
        <v>16000</v>
      </c>
      <c r="AA88" s="116">
        <v>11000</v>
      </c>
      <c r="AB88" s="213"/>
      <c r="AC88" s="213"/>
      <c r="AD88" s="213"/>
      <c r="AE88" s="213"/>
      <c r="AF88" s="214" t="s">
        <v>910</v>
      </c>
    </row>
    <row r="89" spans="3:32" ht="20.399999999999999">
      <c r="C89" s="48"/>
      <c r="V89" s="119" t="s">
        <v>911</v>
      </c>
      <c r="W89" s="290" t="s">
        <v>1120</v>
      </c>
      <c r="X89" s="115" t="s">
        <v>915</v>
      </c>
      <c r="Y89" s="116">
        <v>31000</v>
      </c>
      <c r="Z89" s="116">
        <v>40000</v>
      </c>
      <c r="AA89" s="116">
        <v>20000</v>
      </c>
      <c r="AB89" s="213"/>
      <c r="AC89" s="213"/>
      <c r="AD89" s="213"/>
      <c r="AE89" s="213"/>
      <c r="AF89" s="214" t="s">
        <v>910</v>
      </c>
    </row>
    <row r="90" spans="3:32" ht="20.399999999999999">
      <c r="C90" s="46" t="s">
        <v>429</v>
      </c>
      <c r="V90" s="119" t="s">
        <v>913</v>
      </c>
      <c r="W90" s="290" t="s">
        <v>1421</v>
      </c>
      <c r="X90" s="115" t="s">
        <v>909</v>
      </c>
      <c r="Y90" s="116">
        <v>3000</v>
      </c>
      <c r="Z90" s="116">
        <v>4500</v>
      </c>
      <c r="AA90" s="116">
        <v>2000</v>
      </c>
      <c r="AB90" s="213"/>
      <c r="AC90" s="213"/>
      <c r="AD90" s="213"/>
      <c r="AE90" s="213"/>
      <c r="AF90" s="214" t="s">
        <v>910</v>
      </c>
    </row>
    <row r="91" spans="3:32" ht="20.399999999999999">
      <c r="C91" s="44" t="s">
        <v>90</v>
      </c>
      <c r="V91" s="119" t="s">
        <v>913</v>
      </c>
      <c r="W91" s="290" t="s">
        <v>1096</v>
      </c>
      <c r="X91" s="115" t="s">
        <v>1098</v>
      </c>
      <c r="Y91" s="116">
        <v>3000</v>
      </c>
      <c r="Z91" s="116">
        <v>4500</v>
      </c>
      <c r="AA91" s="116">
        <v>2000</v>
      </c>
      <c r="AB91" s="213"/>
      <c r="AC91" s="213"/>
      <c r="AD91" s="213"/>
      <c r="AE91" s="213"/>
      <c r="AF91" s="214" t="s">
        <v>910</v>
      </c>
    </row>
    <row r="92" spans="3:32" ht="20.399999999999999">
      <c r="C92" s="46" t="s">
        <v>456</v>
      </c>
      <c r="V92" s="119" t="s">
        <v>916</v>
      </c>
      <c r="W92" s="290" t="s">
        <v>1099</v>
      </c>
      <c r="X92" s="115" t="s">
        <v>915</v>
      </c>
      <c r="Y92" s="116">
        <v>4500</v>
      </c>
      <c r="Z92" s="116">
        <v>5000</v>
      </c>
      <c r="AA92" s="116">
        <v>3000</v>
      </c>
      <c r="AB92" s="213"/>
      <c r="AC92" s="213"/>
      <c r="AD92" s="213"/>
      <c r="AE92" s="213"/>
      <c r="AF92" s="214" t="s">
        <v>910</v>
      </c>
    </row>
    <row r="93" spans="3:32" ht="21" thickBot="1">
      <c r="C93" s="46" t="s">
        <v>173</v>
      </c>
      <c r="V93" s="170" t="s">
        <v>918</v>
      </c>
      <c r="W93" s="288" t="s">
        <v>1090</v>
      </c>
      <c r="X93" s="125" t="s">
        <v>1081</v>
      </c>
      <c r="Y93" s="126">
        <v>5000</v>
      </c>
      <c r="Z93" s="126">
        <v>6000</v>
      </c>
      <c r="AA93" s="126">
        <v>2500</v>
      </c>
      <c r="AB93" s="200"/>
      <c r="AC93" s="200"/>
      <c r="AD93" s="200"/>
      <c r="AE93" s="200"/>
      <c r="AF93" s="208" t="s">
        <v>910</v>
      </c>
    </row>
    <row r="94" spans="3:32" ht="18" thickBot="1">
      <c r="V94" s="105" t="s">
        <v>920</v>
      </c>
      <c r="W94" s="291" t="s">
        <v>1100</v>
      </c>
      <c r="X94" s="103" t="s">
        <v>879</v>
      </c>
      <c r="Y94" s="216">
        <v>234500</v>
      </c>
      <c r="Z94" s="217"/>
      <c r="AA94" s="217"/>
      <c r="AB94" s="217"/>
      <c r="AC94" s="217"/>
      <c r="AD94" s="217"/>
      <c r="AE94" s="217"/>
      <c r="AF94" s="107"/>
    </row>
    <row r="95" spans="3:32" ht="14.4">
      <c r="V95" s="336" t="s">
        <v>922</v>
      </c>
      <c r="W95" s="345"/>
      <c r="X95" s="345"/>
      <c r="Y95" s="111" t="s">
        <v>923</v>
      </c>
      <c r="Z95" s="111" t="s">
        <v>924</v>
      </c>
      <c r="AA95" s="201"/>
      <c r="AB95" s="201"/>
      <c r="AC95" s="201"/>
      <c r="AD95" s="201"/>
      <c r="AE95" s="201"/>
      <c r="AF95" s="161"/>
    </row>
    <row r="96" spans="3:32" s="228" customFormat="1" ht="17.399999999999999">
      <c r="C96" s="227"/>
      <c r="V96" s="170" t="s">
        <v>925</v>
      </c>
      <c r="W96" s="290" t="s">
        <v>1422</v>
      </c>
      <c r="X96" s="115" t="s">
        <v>879</v>
      </c>
      <c r="Y96" s="116">
        <v>236500</v>
      </c>
      <c r="Z96" s="116">
        <v>149000</v>
      </c>
      <c r="AA96" s="213"/>
      <c r="AB96" s="213"/>
      <c r="AC96" s="213"/>
      <c r="AD96" s="213"/>
      <c r="AE96" s="213"/>
      <c r="AF96" s="214" t="s">
        <v>889</v>
      </c>
    </row>
    <row r="97" spans="3:32" s="228" customFormat="1" ht="17.399999999999999">
      <c r="C97" s="227"/>
      <c r="V97" s="170" t="s">
        <v>926</v>
      </c>
      <c r="W97" s="290" t="s">
        <v>1423</v>
      </c>
      <c r="X97" s="115" t="s">
        <v>879</v>
      </c>
      <c r="Y97" s="116">
        <v>215400</v>
      </c>
      <c r="Z97" s="116">
        <v>136200</v>
      </c>
      <c r="AA97" s="213"/>
      <c r="AB97" s="213"/>
      <c r="AC97" s="213"/>
      <c r="AD97" s="213"/>
      <c r="AE97" s="213"/>
      <c r="AF97" s="214" t="s">
        <v>889</v>
      </c>
    </row>
    <row r="98" spans="3:32" ht="17.399999999999999">
      <c r="V98" s="119" t="s">
        <v>927</v>
      </c>
      <c r="W98" s="290" t="s">
        <v>1102</v>
      </c>
      <c r="X98" s="115" t="s">
        <v>879</v>
      </c>
      <c r="Y98" s="116">
        <v>241900</v>
      </c>
      <c r="Z98" s="116">
        <v>282000</v>
      </c>
      <c r="AA98" s="213"/>
      <c r="AB98" s="213"/>
      <c r="AC98" s="213"/>
      <c r="AD98" s="213"/>
      <c r="AE98" s="213"/>
      <c r="AF98" s="214" t="s">
        <v>889</v>
      </c>
    </row>
    <row r="99" spans="3:32" ht="17.399999999999999">
      <c r="V99" s="119" t="s">
        <v>929</v>
      </c>
      <c r="W99" s="290" t="s">
        <v>1103</v>
      </c>
      <c r="X99" s="115" t="s">
        <v>879</v>
      </c>
      <c r="Y99" s="116">
        <v>27600</v>
      </c>
      <c r="Z99" s="116">
        <v>52400</v>
      </c>
      <c r="AA99" s="213"/>
      <c r="AB99" s="213"/>
      <c r="AC99" s="213"/>
      <c r="AD99" s="213"/>
      <c r="AE99" s="213"/>
      <c r="AF99" s="214" t="s">
        <v>889</v>
      </c>
    </row>
    <row r="100" spans="3:32" ht="17.399999999999999">
      <c r="V100" s="119" t="s">
        <v>931</v>
      </c>
      <c r="W100" s="290" t="s">
        <v>1104</v>
      </c>
      <c r="X100" s="115" t="s">
        <v>879</v>
      </c>
      <c r="Y100" s="116">
        <v>42600</v>
      </c>
      <c r="Z100" s="116">
        <v>48000</v>
      </c>
      <c r="AA100" s="213"/>
      <c r="AB100" s="213"/>
      <c r="AC100" s="213"/>
      <c r="AD100" s="213"/>
      <c r="AE100" s="213"/>
      <c r="AF100" s="214" t="s">
        <v>889</v>
      </c>
    </row>
    <row r="101" spans="3:32" ht="17.399999999999999">
      <c r="V101" s="119" t="s">
        <v>933</v>
      </c>
      <c r="W101" s="290" t="s">
        <v>1105</v>
      </c>
      <c r="X101" s="115" t="s">
        <v>888</v>
      </c>
      <c r="Y101" s="116">
        <v>55100</v>
      </c>
      <c r="Z101" s="116">
        <v>66000</v>
      </c>
      <c r="AA101" s="213"/>
      <c r="AB101" s="213"/>
      <c r="AC101" s="213"/>
      <c r="AD101" s="213"/>
      <c r="AE101" s="213"/>
      <c r="AF101" s="214" t="s">
        <v>889</v>
      </c>
    </row>
    <row r="102" spans="3:32" ht="14.4" customHeight="1" thickBot="1">
      <c r="V102" s="132" t="s">
        <v>935</v>
      </c>
      <c r="W102" s="286" t="s">
        <v>1106</v>
      </c>
      <c r="X102" s="133" t="s">
        <v>888</v>
      </c>
      <c r="Y102" s="134">
        <v>19500</v>
      </c>
      <c r="Z102" s="134">
        <v>59200</v>
      </c>
      <c r="AA102" s="203"/>
      <c r="AB102" s="203"/>
      <c r="AC102" s="203"/>
      <c r="AD102" s="203"/>
      <c r="AE102" s="203"/>
      <c r="AF102" s="195" t="s">
        <v>889</v>
      </c>
    </row>
    <row r="103" spans="3:32" ht="15" customHeight="1">
      <c r="V103" s="331" t="s">
        <v>937</v>
      </c>
      <c r="W103" s="352" t="s">
        <v>1107</v>
      </c>
      <c r="X103" s="328" t="s">
        <v>879</v>
      </c>
      <c r="Y103" s="198" t="s">
        <v>741</v>
      </c>
      <c r="Z103" s="198">
        <v>316</v>
      </c>
      <c r="AA103" s="198">
        <v>304</v>
      </c>
      <c r="AB103" s="199"/>
      <c r="AC103" s="199"/>
      <c r="AD103" s="199"/>
      <c r="AE103" s="199"/>
      <c r="AF103" s="347" t="s">
        <v>940</v>
      </c>
    </row>
    <row r="104" spans="3:32" ht="14.4" customHeight="1" thickBot="1">
      <c r="V104" s="329"/>
      <c r="W104" s="353"/>
      <c r="X104" s="327"/>
      <c r="Y104" s="126">
        <v>30475</v>
      </c>
      <c r="Z104" s="126">
        <v>120450</v>
      </c>
      <c r="AA104" s="126">
        <v>90055</v>
      </c>
      <c r="AB104" s="200"/>
      <c r="AC104" s="200"/>
      <c r="AD104" s="200"/>
      <c r="AE104" s="200"/>
      <c r="AF104" s="348"/>
    </row>
    <row r="105" spans="3:32" ht="15" customHeight="1">
      <c r="V105" s="336" t="s">
        <v>985</v>
      </c>
      <c r="W105" s="343" t="s">
        <v>1127</v>
      </c>
      <c r="X105" s="111" t="s">
        <v>986</v>
      </c>
      <c r="Y105" s="111" t="s">
        <v>466</v>
      </c>
      <c r="Z105" s="111" t="s">
        <v>988</v>
      </c>
      <c r="AA105" s="111" t="s">
        <v>989</v>
      </c>
      <c r="AB105" s="111" t="s">
        <v>990</v>
      </c>
      <c r="AC105" s="201"/>
      <c r="AD105" s="201"/>
      <c r="AE105" s="201"/>
      <c r="AF105" s="347" t="s">
        <v>991</v>
      </c>
    </row>
    <row r="106" spans="3:32" ht="15" thickBot="1">
      <c r="V106" s="342"/>
      <c r="W106" s="344"/>
      <c r="X106" s="221">
        <v>140</v>
      </c>
      <c r="Y106" s="433" t="s">
        <v>870</v>
      </c>
      <c r="Z106" s="434"/>
      <c r="AA106" s="134">
        <v>90000</v>
      </c>
      <c r="AB106" s="134">
        <v>120000</v>
      </c>
      <c r="AC106" s="203"/>
      <c r="AD106" s="203"/>
      <c r="AE106" s="203"/>
      <c r="AF106" s="348"/>
    </row>
    <row r="114" spans="22:32" ht="13.8" thickBot="1"/>
    <row r="115" spans="22:32" ht="30" customHeight="1">
      <c r="V115" s="336" t="s">
        <v>1516</v>
      </c>
      <c r="W115" s="338"/>
      <c r="X115" s="340"/>
      <c r="Y115" s="171" t="s">
        <v>1517</v>
      </c>
      <c r="Z115" s="171" t="s">
        <v>1518</v>
      </c>
      <c r="AA115" s="171" t="s">
        <v>1519</v>
      </c>
      <c r="AB115" s="171"/>
      <c r="AC115" s="171"/>
      <c r="AD115" s="171"/>
      <c r="AE115" s="171"/>
      <c r="AF115" s="172"/>
    </row>
    <row r="116" spans="22:32" ht="30" customHeight="1" thickBot="1">
      <c r="V116" s="337"/>
      <c r="W116" s="339"/>
      <c r="X116" s="341"/>
      <c r="Y116" s="173">
        <v>300000</v>
      </c>
      <c r="Z116" s="173">
        <f>IF(F8&gt;0,E8*520,IF(F9&gt;0,E9*520))</f>
        <v>621400</v>
      </c>
      <c r="AA116" s="173">
        <f>IF(F8&gt;0,E8*620,IF(F9&gt;0,E9*620))</f>
        <v>740900</v>
      </c>
      <c r="AB116" s="173"/>
      <c r="AC116" s="173"/>
      <c r="AD116" s="173"/>
      <c r="AE116" s="173"/>
      <c r="AF116" s="174"/>
    </row>
    <row r="117" spans="22:32" ht="30" customHeight="1">
      <c r="V117" s="336" t="s">
        <v>1520</v>
      </c>
      <c r="W117" s="338"/>
      <c r="X117" s="340"/>
      <c r="Y117" s="171" t="s">
        <v>1517</v>
      </c>
      <c r="Z117" s="171" t="s">
        <v>1521</v>
      </c>
      <c r="AA117" s="171"/>
      <c r="AB117" s="171"/>
      <c r="AC117" s="171"/>
      <c r="AD117" s="171"/>
      <c r="AE117" s="171"/>
      <c r="AF117" s="172"/>
    </row>
    <row r="118" spans="22:32" ht="30" customHeight="1" thickBot="1">
      <c r="V118" s="337"/>
      <c r="W118" s="339"/>
      <c r="X118" s="341"/>
      <c r="Y118" s="173">
        <v>375000</v>
      </c>
      <c r="Z118" s="173">
        <f>Y118</f>
        <v>375000</v>
      </c>
      <c r="AA118" s="173"/>
      <c r="AB118" s="173"/>
      <c r="AC118" s="173"/>
      <c r="AD118" s="173"/>
      <c r="AE118" s="173"/>
      <c r="AF118" s="174"/>
    </row>
    <row r="119" spans="22:32" ht="30" customHeight="1">
      <c r="V119" s="336" t="s">
        <v>1522</v>
      </c>
      <c r="W119" s="338"/>
      <c r="X119" s="340"/>
      <c r="Y119" s="171" t="s">
        <v>1523</v>
      </c>
      <c r="Z119" s="171" t="s">
        <v>1524</v>
      </c>
      <c r="AA119" s="171" t="s">
        <v>1525</v>
      </c>
      <c r="AB119" s="171"/>
      <c r="AC119" s="171"/>
      <c r="AD119" s="171"/>
      <c r="AE119" s="171"/>
      <c r="AF119" s="172"/>
    </row>
    <row r="120" spans="22:32" ht="30" customHeight="1">
      <c r="V120" s="337"/>
      <c r="W120" s="339"/>
      <c r="X120" s="341"/>
      <c r="Y120" s="306">
        <v>350000</v>
      </c>
      <c r="Z120" s="306">
        <v>450000</v>
      </c>
      <c r="AA120" s="173">
        <v>1550000</v>
      </c>
      <c r="AB120" s="173"/>
      <c r="AC120" s="173"/>
      <c r="AD120" s="173"/>
      <c r="AE120" s="173"/>
      <c r="AF120" s="174"/>
    </row>
  </sheetData>
  <mergeCells count="65">
    <mergeCell ref="A1:S1"/>
    <mergeCell ref="A3:B4"/>
    <mergeCell ref="C3:C4"/>
    <mergeCell ref="D3:D4"/>
    <mergeCell ref="E3:E4"/>
    <mergeCell ref="F3:F4"/>
    <mergeCell ref="G3:G4"/>
    <mergeCell ref="H3:Q4"/>
    <mergeCell ref="R3:R4"/>
    <mergeCell ref="S3:S4"/>
    <mergeCell ref="T3:T7"/>
    <mergeCell ref="A5:B7"/>
    <mergeCell ref="C5:C7"/>
    <mergeCell ref="D5:D7"/>
    <mergeCell ref="E5:G6"/>
    <mergeCell ref="H5:H6"/>
    <mergeCell ref="I5:Q5"/>
    <mergeCell ref="R5:R7"/>
    <mergeCell ref="S5:S7"/>
    <mergeCell ref="A66:F66"/>
    <mergeCell ref="A67:F67"/>
    <mergeCell ref="A68:F68"/>
    <mergeCell ref="A69:G70"/>
    <mergeCell ref="A8:A61"/>
    <mergeCell ref="A62:F62"/>
    <mergeCell ref="A63:F63"/>
    <mergeCell ref="A64:F64"/>
    <mergeCell ref="A65:F65"/>
    <mergeCell ref="V95:X95"/>
    <mergeCell ref="V103:V104"/>
    <mergeCell ref="W103:W104"/>
    <mergeCell ref="X103:X104"/>
    <mergeCell ref="Y72:AE72"/>
    <mergeCell ref="Y73:AE73"/>
    <mergeCell ref="Y74:AE74"/>
    <mergeCell ref="Y75:AE75"/>
    <mergeCell ref="V76:V77"/>
    <mergeCell ref="X76:AE76"/>
    <mergeCell ref="X77:AE77"/>
    <mergeCell ref="V3:V7"/>
    <mergeCell ref="V78:V79"/>
    <mergeCell ref="V81:V82"/>
    <mergeCell ref="V83:V84"/>
    <mergeCell ref="V87:X87"/>
    <mergeCell ref="V73:V74"/>
    <mergeCell ref="W81:W82"/>
    <mergeCell ref="X81:X82"/>
    <mergeCell ref="W83:W84"/>
    <mergeCell ref="X83:X84"/>
    <mergeCell ref="W78:W79"/>
    <mergeCell ref="X78:X79"/>
    <mergeCell ref="AF103:AF104"/>
    <mergeCell ref="V105:V106"/>
    <mergeCell ref="W105:W106"/>
    <mergeCell ref="AF105:AF106"/>
    <mergeCell ref="Y106:Z106"/>
    <mergeCell ref="V119:V120"/>
    <mergeCell ref="W119:W120"/>
    <mergeCell ref="X119:X120"/>
    <mergeCell ref="V115:V116"/>
    <mergeCell ref="W115:W116"/>
    <mergeCell ref="X115:X116"/>
    <mergeCell ref="V117:V118"/>
    <mergeCell ref="W117:W118"/>
    <mergeCell ref="X117:X118"/>
  </mergeCells>
  <phoneticPr fontId="3" type="noConversion"/>
  <printOptions horizontalCentered="1"/>
  <pageMargins left="0.39370078740157483" right="0.39370078740157483" top="0.39370078740157483" bottom="0.15748031496062992" header="0.51181102362204722" footer="0.51181102362204722"/>
  <pageSetup paperSize="9" scale="45" orientation="portrait" r:id="rId1"/>
  <headerFooter alignWithMargins="0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FF00"/>
  </sheetPr>
  <dimension ref="A1:AF120"/>
  <sheetViews>
    <sheetView showGridLines="0" view="pageBreakPreview" zoomScale="70" zoomScaleNormal="55" zoomScaleSheetLayoutView="70" workbookViewId="0">
      <pane xSplit="7" ySplit="7" topLeftCell="R92" activePane="bottomRight" state="frozen"/>
      <selection activeCell="Y116" sqref="Y116"/>
      <selection pane="topRight" activeCell="Y116" sqref="Y116"/>
      <selection pane="bottomLeft" activeCell="Y116" sqref="Y116"/>
      <selection pane="bottomRight" activeCell="Y116" sqref="Y116"/>
    </sheetView>
  </sheetViews>
  <sheetFormatPr defaultColWidth="8.8984375" defaultRowHeight="13.2"/>
  <cols>
    <col min="1" max="1" width="3.3984375" style="3" customWidth="1"/>
    <col min="2" max="2" width="9.5" style="3" customWidth="1"/>
    <col min="3" max="3" width="25.19921875" style="49" customWidth="1"/>
    <col min="4" max="5" width="13.09765625" style="3" customWidth="1"/>
    <col min="6" max="7" width="15.09765625" style="3" customWidth="1"/>
    <col min="8" max="8" width="15.09765625" style="3" hidden="1" customWidth="1"/>
    <col min="9" max="17" width="15.69921875" style="3" hidden="1" customWidth="1"/>
    <col min="18" max="18" width="15.69921875" style="3" customWidth="1"/>
    <col min="19" max="19" width="26.8984375" style="3" customWidth="1"/>
    <col min="20" max="20" width="30.09765625" style="3" customWidth="1"/>
    <col min="21" max="21" width="13.3984375" style="3" bestFit="1" customWidth="1"/>
    <col min="22" max="22" width="48.3984375" style="3" bestFit="1" customWidth="1"/>
    <col min="23" max="23" width="45.3984375" style="3" bestFit="1" customWidth="1"/>
    <col min="24" max="24" width="10.09765625" style="3" bestFit="1" customWidth="1"/>
    <col min="25" max="25" width="13.19921875" style="3" bestFit="1" customWidth="1"/>
    <col min="26" max="26" width="12.5" style="3" bestFit="1" customWidth="1"/>
    <col min="27" max="27" width="12.09765625" style="3" bestFit="1" customWidth="1"/>
    <col min="28" max="28" width="13.09765625" style="3" bestFit="1" customWidth="1"/>
    <col min="29" max="30" width="11.5" style="3" bestFit="1" customWidth="1"/>
    <col min="31" max="31" width="13.3984375" style="3" bestFit="1" customWidth="1"/>
    <col min="32" max="32" width="19" style="3" bestFit="1" customWidth="1"/>
    <col min="33" max="16384" width="8.8984375" style="3"/>
  </cols>
  <sheetData>
    <row r="1" spans="1:22" s="2" customFormat="1" ht="51" customHeight="1" thickBot="1">
      <c r="A1" s="411" t="s">
        <v>1312</v>
      </c>
      <c r="B1" s="412"/>
      <c r="C1" s="412"/>
      <c r="D1" s="412"/>
      <c r="E1" s="412"/>
      <c r="F1" s="412"/>
      <c r="G1" s="412"/>
      <c r="H1" s="412"/>
      <c r="I1" s="412"/>
      <c r="J1" s="412"/>
      <c r="K1" s="412"/>
      <c r="L1" s="412"/>
      <c r="M1" s="412"/>
      <c r="N1" s="412"/>
      <c r="O1" s="412"/>
      <c r="P1" s="412"/>
      <c r="Q1" s="412"/>
      <c r="R1" s="412"/>
      <c r="S1" s="412"/>
      <c r="T1" s="1"/>
    </row>
    <row r="2" spans="1:22" s="2" customFormat="1" ht="30" customHeight="1" thickBot="1">
      <c r="A2" s="3"/>
      <c r="B2" s="3"/>
      <c r="T2" s="4" t="s">
        <v>0</v>
      </c>
    </row>
    <row r="3" spans="1:22" s="5" customFormat="1" ht="24" customHeight="1">
      <c r="A3" s="413" t="s">
        <v>1</v>
      </c>
      <c r="B3" s="414"/>
      <c r="C3" s="417" t="s">
        <v>398</v>
      </c>
      <c r="D3" s="419" t="s">
        <v>3</v>
      </c>
      <c r="E3" s="421" t="s">
        <v>1313</v>
      </c>
      <c r="F3" s="423" t="s">
        <v>4</v>
      </c>
      <c r="G3" s="425" t="str">
        <f>COVER!B9</f>
        <v>FLANGE</v>
      </c>
      <c r="H3" s="421" t="s">
        <v>5</v>
      </c>
      <c r="I3" s="427"/>
      <c r="J3" s="427"/>
      <c r="K3" s="427"/>
      <c r="L3" s="427"/>
      <c r="M3" s="427"/>
      <c r="N3" s="427"/>
      <c r="O3" s="427"/>
      <c r="P3" s="427"/>
      <c r="Q3" s="428"/>
      <c r="R3" s="423" t="s">
        <v>6</v>
      </c>
      <c r="S3" s="431" t="s">
        <v>7</v>
      </c>
      <c r="T3" s="381" t="s">
        <v>8</v>
      </c>
      <c r="V3" s="432"/>
    </row>
    <row r="4" spans="1:22" s="5" customFormat="1" ht="24" customHeight="1">
      <c r="A4" s="415"/>
      <c r="B4" s="416"/>
      <c r="C4" s="418"/>
      <c r="D4" s="420"/>
      <c r="E4" s="422"/>
      <c r="F4" s="424"/>
      <c r="G4" s="426"/>
      <c r="H4" s="422"/>
      <c r="I4" s="429"/>
      <c r="J4" s="429"/>
      <c r="K4" s="429"/>
      <c r="L4" s="429"/>
      <c r="M4" s="429"/>
      <c r="N4" s="429"/>
      <c r="O4" s="429"/>
      <c r="P4" s="429"/>
      <c r="Q4" s="430"/>
      <c r="R4" s="424"/>
      <c r="S4" s="410"/>
      <c r="T4" s="382"/>
      <c r="V4" s="432"/>
    </row>
    <row r="5" spans="1:22" s="5" customFormat="1" ht="24" customHeight="1">
      <c r="A5" s="384" t="s">
        <v>9</v>
      </c>
      <c r="B5" s="385"/>
      <c r="C5" s="390" t="s">
        <v>10</v>
      </c>
      <c r="D5" s="393" t="s">
        <v>11</v>
      </c>
      <c r="E5" s="396" t="s">
        <v>12</v>
      </c>
      <c r="F5" s="397"/>
      <c r="G5" s="398"/>
      <c r="H5" s="402" t="s">
        <v>13</v>
      </c>
      <c r="I5" s="404" t="s">
        <v>14</v>
      </c>
      <c r="J5" s="405"/>
      <c r="K5" s="405"/>
      <c r="L5" s="405"/>
      <c r="M5" s="405"/>
      <c r="N5" s="405"/>
      <c r="O5" s="405"/>
      <c r="P5" s="405"/>
      <c r="Q5" s="405"/>
      <c r="R5" s="406" t="s">
        <v>15</v>
      </c>
      <c r="S5" s="408" t="s">
        <v>16</v>
      </c>
      <c r="T5" s="382"/>
      <c r="V5" s="432"/>
    </row>
    <row r="6" spans="1:22" s="5" customFormat="1" ht="24" customHeight="1">
      <c r="A6" s="386"/>
      <c r="B6" s="387"/>
      <c r="C6" s="391"/>
      <c r="D6" s="394"/>
      <c r="E6" s="399"/>
      <c r="F6" s="400"/>
      <c r="G6" s="401"/>
      <c r="H6" s="403"/>
      <c r="I6" s="8" t="s">
        <v>17</v>
      </c>
      <c r="J6" s="8" t="s">
        <v>18</v>
      </c>
      <c r="K6" s="8" t="s">
        <v>19</v>
      </c>
      <c r="L6" s="9" t="s">
        <v>20</v>
      </c>
      <c r="M6" s="9" t="s">
        <v>21</v>
      </c>
      <c r="N6" s="8" t="s">
        <v>22</v>
      </c>
      <c r="O6" s="8" t="s">
        <v>23</v>
      </c>
      <c r="P6" s="8" t="s">
        <v>24</v>
      </c>
      <c r="Q6" s="10" t="s">
        <v>25</v>
      </c>
      <c r="R6" s="407"/>
      <c r="S6" s="409"/>
      <c r="T6" s="382"/>
      <c r="V6" s="432"/>
    </row>
    <row r="7" spans="1:22" ht="24" customHeight="1">
      <c r="A7" s="388"/>
      <c r="B7" s="389"/>
      <c r="C7" s="392"/>
      <c r="D7" s="395"/>
      <c r="E7" s="8" t="s">
        <v>26</v>
      </c>
      <c r="F7" s="8" t="s">
        <v>27</v>
      </c>
      <c r="G7" s="8" t="s">
        <v>28</v>
      </c>
      <c r="H7" s="8"/>
      <c r="I7" s="8" t="s">
        <v>29</v>
      </c>
      <c r="J7" s="8" t="s">
        <v>30</v>
      </c>
      <c r="K7" s="8" t="s">
        <v>31</v>
      </c>
      <c r="L7" s="9" t="s">
        <v>29</v>
      </c>
      <c r="M7" s="9" t="s">
        <v>32</v>
      </c>
      <c r="N7" s="8" t="s">
        <v>33</v>
      </c>
      <c r="O7" s="8" t="s">
        <v>34</v>
      </c>
      <c r="P7" s="8" t="s">
        <v>35</v>
      </c>
      <c r="Q7" s="10" t="s">
        <v>36</v>
      </c>
      <c r="R7" s="403"/>
      <c r="S7" s="410"/>
      <c r="T7" s="383"/>
      <c r="V7" s="432"/>
    </row>
    <row r="8" spans="1:22" ht="33" customHeight="1">
      <c r="A8" s="375" t="s">
        <v>37</v>
      </c>
      <c r="B8" s="11">
        <v>1</v>
      </c>
      <c r="C8" s="142" t="str">
        <f>COVER!A14</f>
        <v>BODY(LUG)</v>
      </c>
      <c r="D8" s="260">
        <f>COVER!B14</f>
        <v>0</v>
      </c>
      <c r="E8" s="307" t="s">
        <v>1173</v>
      </c>
      <c r="F8" s="308">
        <f>COVER!C14</f>
        <v>0</v>
      </c>
      <c r="G8" s="308">
        <v>0</v>
      </c>
      <c r="H8" s="308"/>
      <c r="I8" s="245">
        <f>I10*I9</f>
        <v>506706621524695.19</v>
      </c>
      <c r="J8" s="245">
        <f t="shared" ref="J8:Q8" si="0">J10*J9</f>
        <v>43341753052405.07</v>
      </c>
      <c r="K8" s="245">
        <f t="shared" si="0"/>
        <v>270470072536680.25</v>
      </c>
      <c r="L8" s="245">
        <f t="shared" si="0"/>
        <v>506706621524695.19</v>
      </c>
      <c r="M8" s="245">
        <f t="shared" si="0"/>
        <v>632417344857819.5</v>
      </c>
      <c r="N8" s="245">
        <f t="shared" si="0"/>
        <v>46528628303586.25</v>
      </c>
      <c r="O8" s="245">
        <f t="shared" si="0"/>
        <v>0</v>
      </c>
      <c r="P8" s="245">
        <f t="shared" si="0"/>
        <v>0</v>
      </c>
      <c r="Q8" s="245">
        <f t="shared" si="0"/>
        <v>10000000000000</v>
      </c>
      <c r="R8" s="245">
        <v>0</v>
      </c>
      <c r="S8" s="245">
        <f>G8+R8</f>
        <v>0</v>
      </c>
      <c r="T8" s="309" t="s">
        <v>1170</v>
      </c>
      <c r="V8" s="7"/>
    </row>
    <row r="9" spans="1:22" ht="33" customHeight="1">
      <c r="A9" s="376"/>
      <c r="B9" s="146" t="s">
        <v>1166</v>
      </c>
      <c r="C9" s="142" t="str">
        <f>COVER!A15</f>
        <v>BODY(FLANGE)</v>
      </c>
      <c r="D9" s="20" t="str">
        <f>COVER!B15</f>
        <v>A216 WCB</v>
      </c>
      <c r="E9" s="13">
        <v>910</v>
      </c>
      <c r="F9" s="14">
        <f>COVER!C15</f>
        <v>4300</v>
      </c>
      <c r="G9" s="14">
        <f>F9*E9</f>
        <v>3913000</v>
      </c>
      <c r="H9" s="14"/>
      <c r="I9" s="15">
        <f>I11*I10</f>
        <v>13693182184.900002</v>
      </c>
      <c r="J9" s="15">
        <f t="shared" ref="J9:Q9" si="1">J11*J10</f>
        <v>2658301984.9000001</v>
      </c>
      <c r="K9" s="15">
        <f t="shared" si="1"/>
        <v>9010443027.6000004</v>
      </c>
      <c r="L9" s="15">
        <f t="shared" si="1"/>
        <v>13693182184.900002</v>
      </c>
      <c r="M9" s="15">
        <f t="shared" si="1"/>
        <v>15873371539.6</v>
      </c>
      <c r="N9" s="15">
        <f t="shared" si="1"/>
        <v>2787063302.5</v>
      </c>
      <c r="O9" s="15">
        <f t="shared" si="1"/>
        <v>0</v>
      </c>
      <c r="P9" s="15">
        <f t="shared" si="1"/>
        <v>0</v>
      </c>
      <c r="Q9" s="15">
        <f t="shared" si="1"/>
        <v>1000000000</v>
      </c>
      <c r="R9" s="15">
        <f>IF(COVER!C15&gt;0,800000*1.15,0)</f>
        <v>919999.99999999988</v>
      </c>
      <c r="S9" s="15">
        <f t="shared" ref="S9:S62" si="2">G9+R9</f>
        <v>4833000</v>
      </c>
      <c r="T9" s="309" t="s">
        <v>1168</v>
      </c>
      <c r="V9" s="152"/>
    </row>
    <row r="10" spans="1:22" ht="33" hidden="1" customHeight="1">
      <c r="A10" s="376"/>
      <c r="B10" s="11">
        <v>3</v>
      </c>
      <c r="C10" s="142"/>
      <c r="D10" s="20"/>
      <c r="E10" s="13"/>
      <c r="F10" s="14"/>
      <c r="G10" s="14"/>
      <c r="H10" s="14" t="s">
        <v>40</v>
      </c>
      <c r="I10" s="15">
        <f t="shared" ref="I10:Q10" si="3">I11/10</f>
        <v>37004.300000000003</v>
      </c>
      <c r="J10" s="15">
        <f t="shared" si="3"/>
        <v>16304.3</v>
      </c>
      <c r="K10" s="15">
        <f t="shared" si="3"/>
        <v>30017.4</v>
      </c>
      <c r="L10" s="15">
        <f t="shared" si="3"/>
        <v>37004.300000000003</v>
      </c>
      <c r="M10" s="15">
        <f t="shared" si="3"/>
        <v>39841.4</v>
      </c>
      <c r="N10" s="15">
        <f t="shared" si="3"/>
        <v>16694.5</v>
      </c>
      <c r="O10" s="15">
        <f t="shared" si="3"/>
        <v>0</v>
      </c>
      <c r="P10" s="15">
        <f t="shared" si="3"/>
        <v>0</v>
      </c>
      <c r="Q10" s="15">
        <f t="shared" si="3"/>
        <v>10000</v>
      </c>
      <c r="R10" s="15"/>
      <c r="S10" s="15">
        <f t="shared" si="2"/>
        <v>0</v>
      </c>
      <c r="T10" s="16"/>
      <c r="V10" s="7"/>
    </row>
    <row r="11" spans="1:22" ht="33" hidden="1" customHeight="1">
      <c r="A11" s="376"/>
      <c r="B11" s="11">
        <v>4</v>
      </c>
      <c r="C11" s="142"/>
      <c r="D11" s="20"/>
      <c r="E11" s="13"/>
      <c r="F11" s="14"/>
      <c r="G11" s="14"/>
      <c r="H11" s="17" t="s">
        <v>41</v>
      </c>
      <c r="I11" s="15">
        <v>370043</v>
      </c>
      <c r="J11" s="15">
        <v>163043</v>
      </c>
      <c r="K11" s="15">
        <v>300174</v>
      </c>
      <c r="L11" s="15">
        <v>370043</v>
      </c>
      <c r="M11" s="15">
        <v>398414</v>
      </c>
      <c r="N11" s="15">
        <v>166945</v>
      </c>
      <c r="O11" s="15">
        <v>0</v>
      </c>
      <c r="P11" s="15">
        <v>0</v>
      </c>
      <c r="Q11" s="15">
        <v>100000</v>
      </c>
      <c r="R11" s="15"/>
      <c r="S11" s="15">
        <f t="shared" si="2"/>
        <v>0</v>
      </c>
      <c r="T11" s="16"/>
      <c r="V11" s="7"/>
    </row>
    <row r="12" spans="1:22" s="19" customFormat="1" ht="33" customHeight="1">
      <c r="A12" s="376"/>
      <c r="B12" s="11">
        <v>2</v>
      </c>
      <c r="C12" s="142" t="s">
        <v>42</v>
      </c>
      <c r="D12" s="20" t="str">
        <f>COVER!B16</f>
        <v>A216 WCB</v>
      </c>
      <c r="E12" s="13">
        <v>322</v>
      </c>
      <c r="F12" s="14">
        <f>COVER!C16</f>
        <v>4300</v>
      </c>
      <c r="G12" s="14">
        <f>F12*E12</f>
        <v>1384600</v>
      </c>
      <c r="H12" s="14"/>
      <c r="I12" s="15">
        <f>I13*I14</f>
        <v>111012.90000000001</v>
      </c>
      <c r="J12" s="15">
        <f t="shared" ref="J12:Q12" si="4">J13*J14</f>
        <v>0</v>
      </c>
      <c r="K12" s="15">
        <f t="shared" si="4"/>
        <v>60034.8</v>
      </c>
      <c r="L12" s="15">
        <f t="shared" si="4"/>
        <v>111012.90000000001</v>
      </c>
      <c r="M12" s="15">
        <f t="shared" si="4"/>
        <v>0</v>
      </c>
      <c r="N12" s="15">
        <f t="shared" si="4"/>
        <v>0</v>
      </c>
      <c r="O12" s="15">
        <f t="shared" si="4"/>
        <v>0</v>
      </c>
      <c r="P12" s="15">
        <f t="shared" si="4"/>
        <v>0</v>
      </c>
      <c r="Q12" s="15">
        <f t="shared" si="4"/>
        <v>4000</v>
      </c>
      <c r="R12" s="15">
        <v>551999.99999999988</v>
      </c>
      <c r="S12" s="15">
        <f t="shared" si="2"/>
        <v>1936600</v>
      </c>
      <c r="T12" s="18"/>
      <c r="V12" s="7"/>
    </row>
    <row r="13" spans="1:22" s="19" customFormat="1" ht="33" hidden="1" customHeight="1">
      <c r="A13" s="376"/>
      <c r="B13" s="11">
        <v>6</v>
      </c>
      <c r="C13" s="142"/>
      <c r="D13" s="20"/>
      <c r="E13" s="13"/>
      <c r="F13" s="14"/>
      <c r="G13" s="14"/>
      <c r="H13" s="17" t="s">
        <v>39</v>
      </c>
      <c r="I13" s="21">
        <v>3</v>
      </c>
      <c r="J13" s="21">
        <v>0</v>
      </c>
      <c r="K13" s="21">
        <v>2</v>
      </c>
      <c r="L13" s="21">
        <v>3</v>
      </c>
      <c r="M13" s="21">
        <v>0</v>
      </c>
      <c r="N13" s="21">
        <v>0</v>
      </c>
      <c r="O13" s="21"/>
      <c r="P13" s="21"/>
      <c r="Q13" s="21">
        <v>0.4</v>
      </c>
      <c r="R13" s="15"/>
      <c r="S13" s="15">
        <f t="shared" si="2"/>
        <v>0</v>
      </c>
      <c r="T13" s="22"/>
      <c r="V13" s="7"/>
    </row>
    <row r="14" spans="1:22" s="19" customFormat="1" ht="33" hidden="1" customHeight="1">
      <c r="A14" s="376"/>
      <c r="B14" s="11">
        <v>7</v>
      </c>
      <c r="C14" s="142"/>
      <c r="D14" s="20"/>
      <c r="E14" s="13"/>
      <c r="F14" s="14"/>
      <c r="G14" s="14"/>
      <c r="H14" s="14" t="s">
        <v>40</v>
      </c>
      <c r="I14" s="15">
        <f>I15/10</f>
        <v>37004.300000000003</v>
      </c>
      <c r="J14" s="15">
        <f t="shared" ref="J14:Q14" si="5">J15/10</f>
        <v>16304.3</v>
      </c>
      <c r="K14" s="15">
        <f t="shared" si="5"/>
        <v>30017.4</v>
      </c>
      <c r="L14" s="15">
        <f t="shared" si="5"/>
        <v>37004.300000000003</v>
      </c>
      <c r="M14" s="15">
        <f t="shared" si="5"/>
        <v>39841.4</v>
      </c>
      <c r="N14" s="15">
        <f t="shared" si="5"/>
        <v>16694.5</v>
      </c>
      <c r="O14" s="15">
        <f t="shared" si="5"/>
        <v>0</v>
      </c>
      <c r="P14" s="15">
        <f t="shared" si="5"/>
        <v>0</v>
      </c>
      <c r="Q14" s="15">
        <f t="shared" si="5"/>
        <v>10000</v>
      </c>
      <c r="R14" s="15"/>
      <c r="S14" s="15">
        <f t="shared" si="2"/>
        <v>0</v>
      </c>
      <c r="T14" s="22"/>
      <c r="V14" s="7"/>
    </row>
    <row r="15" spans="1:22" s="19" customFormat="1" ht="33" hidden="1" customHeight="1">
      <c r="A15" s="376"/>
      <c r="B15" s="11">
        <v>8</v>
      </c>
      <c r="C15" s="142"/>
      <c r="D15" s="20"/>
      <c r="E15" s="13"/>
      <c r="F15" s="14"/>
      <c r="G15" s="14"/>
      <c r="H15" s="14" t="s">
        <v>43</v>
      </c>
      <c r="I15" s="15">
        <v>370043</v>
      </c>
      <c r="J15" s="15">
        <v>163043</v>
      </c>
      <c r="K15" s="15">
        <v>300174</v>
      </c>
      <c r="L15" s="15">
        <v>370043</v>
      </c>
      <c r="M15" s="15">
        <v>398414</v>
      </c>
      <c r="N15" s="15">
        <v>166945</v>
      </c>
      <c r="O15" s="15">
        <v>0</v>
      </c>
      <c r="P15" s="15">
        <v>0</v>
      </c>
      <c r="Q15" s="15">
        <v>100000</v>
      </c>
      <c r="R15" s="15"/>
      <c r="S15" s="15">
        <f t="shared" si="2"/>
        <v>0</v>
      </c>
      <c r="T15" s="22"/>
      <c r="V15" s="7"/>
    </row>
    <row r="16" spans="1:22" s="19" customFormat="1" ht="33" customHeight="1">
      <c r="A16" s="376"/>
      <c r="B16" s="11">
        <v>3</v>
      </c>
      <c r="C16" s="142" t="s">
        <v>951</v>
      </c>
      <c r="D16" s="20" t="str">
        <f>COVER!B19</f>
        <v>WCB+309+#6</v>
      </c>
      <c r="E16" s="13">
        <v>1</v>
      </c>
      <c r="F16" s="14">
        <f>IF(D16="SUS+#6",X76,IF(D16="WCB+309+#6",X77))</f>
        <v>914400</v>
      </c>
      <c r="G16" s="14">
        <f>F16*E16</f>
        <v>914400</v>
      </c>
      <c r="H16" s="14"/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f t="shared" si="2"/>
        <v>914400</v>
      </c>
      <c r="T16" s="22"/>
      <c r="V16" s="7"/>
    </row>
    <row r="17" spans="1:22" s="19" customFormat="1" ht="33" customHeight="1">
      <c r="A17" s="376"/>
      <c r="B17" s="11">
        <v>4</v>
      </c>
      <c r="C17" s="142" t="s">
        <v>1179</v>
      </c>
      <c r="D17" s="20" t="str">
        <f>COVER!B18</f>
        <v>A240T316L+GARPHITE</v>
      </c>
      <c r="E17" s="13">
        <v>1</v>
      </c>
      <c r="F17" s="14">
        <f>IF(D17="A240T316L+GARPHITE",Y84+Z84)</f>
        <v>542000</v>
      </c>
      <c r="G17" s="14">
        <f>F17*E17</f>
        <v>542000</v>
      </c>
      <c r="H17" s="14"/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f>Z84*1.3</f>
        <v>325000</v>
      </c>
      <c r="S17" s="15">
        <f t="shared" si="2"/>
        <v>867000</v>
      </c>
      <c r="T17" s="22"/>
      <c r="V17" s="7"/>
    </row>
    <row r="18" spans="1:22" s="19" customFormat="1" ht="33" customHeight="1">
      <c r="A18" s="376"/>
      <c r="B18" s="11">
        <v>5</v>
      </c>
      <c r="C18" s="142" t="s">
        <v>745</v>
      </c>
      <c r="D18" s="24" t="str">
        <f>COVER!B20</f>
        <v>SS316L</v>
      </c>
      <c r="E18" s="13">
        <v>1</v>
      </c>
      <c r="F18" s="14">
        <f>IF(D18="SS304",Y82,IF(D18="SS316L",Z82))</f>
        <v>698000</v>
      </c>
      <c r="G18" s="14">
        <f>E18*F18</f>
        <v>698000</v>
      </c>
      <c r="H18" s="14"/>
      <c r="I18" s="15">
        <f>I19*I20</f>
        <v>74008.600000000006</v>
      </c>
      <c r="J18" s="15">
        <f t="shared" ref="J18:Q18" si="6">J19*J20</f>
        <v>32608.6</v>
      </c>
      <c r="K18" s="15">
        <f t="shared" si="6"/>
        <v>0</v>
      </c>
      <c r="L18" s="15">
        <f t="shared" si="6"/>
        <v>0</v>
      </c>
      <c r="M18" s="15">
        <f t="shared" si="6"/>
        <v>0</v>
      </c>
      <c r="N18" s="15">
        <f t="shared" si="6"/>
        <v>0</v>
      </c>
      <c r="O18" s="15">
        <f t="shared" si="6"/>
        <v>0</v>
      </c>
      <c r="P18" s="15">
        <f t="shared" si="6"/>
        <v>0</v>
      </c>
      <c r="Q18" s="15">
        <f t="shared" si="6"/>
        <v>2000</v>
      </c>
      <c r="R18" s="15">
        <f>AA82*1.5</f>
        <v>162000</v>
      </c>
      <c r="S18" s="15">
        <f t="shared" si="2"/>
        <v>860000</v>
      </c>
      <c r="T18" s="25"/>
      <c r="V18" s="7"/>
    </row>
    <row r="19" spans="1:22" s="19" customFormat="1" ht="33" hidden="1" customHeight="1">
      <c r="A19" s="376"/>
      <c r="B19" s="11">
        <v>12</v>
      </c>
      <c r="C19" s="12"/>
      <c r="D19" s="24"/>
      <c r="E19" s="13"/>
      <c r="F19" s="14"/>
      <c r="G19" s="14"/>
      <c r="H19" s="17" t="s">
        <v>39</v>
      </c>
      <c r="I19" s="21">
        <v>2</v>
      </c>
      <c r="J19" s="21">
        <v>2</v>
      </c>
      <c r="K19" s="21"/>
      <c r="L19" s="21"/>
      <c r="M19" s="21"/>
      <c r="N19" s="21"/>
      <c r="O19" s="21"/>
      <c r="P19" s="21"/>
      <c r="Q19" s="21">
        <v>0.2</v>
      </c>
      <c r="R19" s="15"/>
      <c r="S19" s="15">
        <f t="shared" si="2"/>
        <v>0</v>
      </c>
      <c r="T19" s="25"/>
      <c r="V19" s="7"/>
    </row>
    <row r="20" spans="1:22" s="19" customFormat="1" ht="33" hidden="1" customHeight="1">
      <c r="A20" s="376"/>
      <c r="B20" s="11">
        <v>13</v>
      </c>
      <c r="C20" s="12"/>
      <c r="D20" s="24"/>
      <c r="E20" s="13"/>
      <c r="F20" s="14"/>
      <c r="G20" s="14"/>
      <c r="H20" s="17" t="s">
        <v>39</v>
      </c>
      <c r="I20" s="15">
        <f>I21/10</f>
        <v>37004.300000000003</v>
      </c>
      <c r="J20" s="15">
        <f t="shared" ref="J20:Q20" si="7">J21/10</f>
        <v>16304.3</v>
      </c>
      <c r="K20" s="15">
        <f t="shared" si="7"/>
        <v>0</v>
      </c>
      <c r="L20" s="15">
        <f t="shared" si="7"/>
        <v>0</v>
      </c>
      <c r="M20" s="15">
        <f t="shared" si="7"/>
        <v>0</v>
      </c>
      <c r="N20" s="15">
        <f t="shared" si="7"/>
        <v>0</v>
      </c>
      <c r="O20" s="15">
        <f t="shared" si="7"/>
        <v>0</v>
      </c>
      <c r="P20" s="15">
        <f t="shared" si="7"/>
        <v>0</v>
      </c>
      <c r="Q20" s="15">
        <f t="shared" si="7"/>
        <v>10000</v>
      </c>
      <c r="R20" s="15"/>
      <c r="S20" s="15">
        <f t="shared" si="2"/>
        <v>0</v>
      </c>
      <c r="T20" s="25"/>
      <c r="V20" s="7"/>
    </row>
    <row r="21" spans="1:22" s="19" customFormat="1" ht="33" hidden="1" customHeight="1">
      <c r="A21" s="376"/>
      <c r="B21" s="11">
        <v>14</v>
      </c>
      <c r="C21" s="12"/>
      <c r="D21" s="24"/>
      <c r="E21" s="13"/>
      <c r="F21" s="14"/>
      <c r="G21" s="14"/>
      <c r="H21" s="17" t="s">
        <v>39</v>
      </c>
      <c r="I21" s="15">
        <v>370043</v>
      </c>
      <c r="J21" s="15">
        <v>163043</v>
      </c>
      <c r="K21" s="15"/>
      <c r="L21" s="15"/>
      <c r="M21" s="15"/>
      <c r="N21" s="15"/>
      <c r="O21" s="15"/>
      <c r="P21" s="15"/>
      <c r="Q21" s="15">
        <v>100000</v>
      </c>
      <c r="R21" s="15"/>
      <c r="S21" s="15">
        <f t="shared" si="2"/>
        <v>0</v>
      </c>
      <c r="T21" s="25"/>
      <c r="V21" s="7"/>
    </row>
    <row r="22" spans="1:22" s="19" customFormat="1" ht="33" customHeight="1">
      <c r="A22" s="376"/>
      <c r="B22" s="11">
        <v>6</v>
      </c>
      <c r="C22" s="142" t="s">
        <v>458</v>
      </c>
      <c r="D22" s="24" t="s">
        <v>463</v>
      </c>
      <c r="E22" s="13">
        <v>1</v>
      </c>
      <c r="F22" s="14">
        <f>Y85</f>
        <v>40500</v>
      </c>
      <c r="G22" s="14">
        <f>F22*E22</f>
        <v>40500</v>
      </c>
      <c r="H22" s="14"/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f t="shared" si="2"/>
        <v>40500</v>
      </c>
      <c r="T22" s="25"/>
      <c r="V22" s="7"/>
    </row>
    <row r="23" spans="1:22" s="19" customFormat="1" ht="33" customHeight="1">
      <c r="A23" s="376"/>
      <c r="B23" s="11">
        <v>7</v>
      </c>
      <c r="C23" s="142" t="s">
        <v>850</v>
      </c>
      <c r="D23" s="20" t="str">
        <f>COVER!B21</f>
        <v>B7(다크로)</v>
      </c>
      <c r="E23" s="13">
        <v>32</v>
      </c>
      <c r="F23" s="14">
        <f>IF(D23="B8",Y91,IF(D23="B8M",Z91,IF(D23="B7(다크로)",AA91)))</f>
        <v>3000</v>
      </c>
      <c r="G23" s="14">
        <f>F23*E23</f>
        <v>96000</v>
      </c>
      <c r="H23" s="14"/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f t="shared" si="2"/>
        <v>96000</v>
      </c>
      <c r="T23" s="18"/>
      <c r="V23" s="7"/>
    </row>
    <row r="24" spans="1:22" s="19" customFormat="1" ht="33" customHeight="1">
      <c r="A24" s="376"/>
      <c r="B24" s="11">
        <v>8</v>
      </c>
      <c r="C24" s="142" t="s">
        <v>44</v>
      </c>
      <c r="D24" s="20" t="str">
        <f>COVER!B17</f>
        <v>A564T630</v>
      </c>
      <c r="E24" s="13">
        <v>190</v>
      </c>
      <c r="F24" s="14">
        <f>COVER!C17</f>
        <v>8500</v>
      </c>
      <c r="G24" s="14">
        <f>F24*E24</f>
        <v>1615000</v>
      </c>
      <c r="H24" s="14"/>
      <c r="I24" s="15">
        <f>I25*I26</f>
        <v>74008.600000000006</v>
      </c>
      <c r="J24" s="15">
        <f t="shared" ref="J24:Q24" si="8">J25*J26</f>
        <v>0</v>
      </c>
      <c r="K24" s="15">
        <f t="shared" si="8"/>
        <v>0</v>
      </c>
      <c r="L24" s="15">
        <f t="shared" si="8"/>
        <v>0</v>
      </c>
      <c r="M24" s="15">
        <f t="shared" si="8"/>
        <v>0</v>
      </c>
      <c r="N24" s="15">
        <f t="shared" si="8"/>
        <v>0</v>
      </c>
      <c r="O24" s="15">
        <f t="shared" si="8"/>
        <v>0</v>
      </c>
      <c r="P24" s="15">
        <f t="shared" si="8"/>
        <v>0</v>
      </c>
      <c r="Q24" s="15">
        <f t="shared" si="8"/>
        <v>1000</v>
      </c>
      <c r="R24" s="15">
        <f>R12*0.3</f>
        <v>165599.99999999997</v>
      </c>
      <c r="S24" s="15">
        <f t="shared" si="2"/>
        <v>1780600</v>
      </c>
      <c r="T24" s="27"/>
      <c r="U24" s="162"/>
      <c r="V24" s="6"/>
    </row>
    <row r="25" spans="1:22" s="19" customFormat="1" ht="33" hidden="1" customHeight="1">
      <c r="A25" s="376"/>
      <c r="B25" s="11">
        <v>18</v>
      </c>
      <c r="C25" s="12"/>
      <c r="D25" s="20"/>
      <c r="E25" s="13"/>
      <c r="F25" s="14"/>
      <c r="G25" s="14"/>
      <c r="H25" s="17" t="s">
        <v>39</v>
      </c>
      <c r="I25" s="21">
        <v>2</v>
      </c>
      <c r="J25" s="21"/>
      <c r="K25" s="21"/>
      <c r="L25" s="21"/>
      <c r="M25" s="21"/>
      <c r="N25" s="21"/>
      <c r="O25" s="21"/>
      <c r="P25" s="21"/>
      <c r="Q25" s="21">
        <v>0.1</v>
      </c>
      <c r="R25" s="15"/>
      <c r="S25" s="15">
        <f t="shared" si="2"/>
        <v>0</v>
      </c>
      <c r="T25" s="27"/>
      <c r="V25" s="28"/>
    </row>
    <row r="26" spans="1:22" s="19" customFormat="1" ht="33" hidden="1" customHeight="1">
      <c r="A26" s="376"/>
      <c r="B26" s="11">
        <v>19</v>
      </c>
      <c r="C26" s="12"/>
      <c r="D26" s="20"/>
      <c r="E26" s="13"/>
      <c r="F26" s="14"/>
      <c r="G26" s="14"/>
      <c r="H26" s="17" t="s">
        <v>39</v>
      </c>
      <c r="I26" s="15">
        <f>I27/10</f>
        <v>37004.300000000003</v>
      </c>
      <c r="J26" s="15"/>
      <c r="K26" s="15"/>
      <c r="L26" s="15"/>
      <c r="M26" s="15"/>
      <c r="N26" s="15"/>
      <c r="O26" s="15"/>
      <c r="P26" s="15"/>
      <c r="Q26" s="15">
        <f>Q27/10</f>
        <v>10000</v>
      </c>
      <c r="R26" s="15"/>
      <c r="S26" s="15">
        <f t="shared" si="2"/>
        <v>0</v>
      </c>
      <c r="T26" s="27"/>
      <c r="V26" s="28"/>
    </row>
    <row r="27" spans="1:22" s="19" customFormat="1" ht="33" hidden="1" customHeight="1">
      <c r="A27" s="376"/>
      <c r="B27" s="11">
        <v>20</v>
      </c>
      <c r="C27" s="12"/>
      <c r="D27" s="20"/>
      <c r="E27" s="13"/>
      <c r="F27" s="14"/>
      <c r="G27" s="14"/>
      <c r="H27" s="17" t="s">
        <v>39</v>
      </c>
      <c r="I27" s="15">
        <v>370043</v>
      </c>
      <c r="J27" s="15"/>
      <c r="K27" s="15"/>
      <c r="L27" s="15"/>
      <c r="M27" s="15"/>
      <c r="N27" s="15"/>
      <c r="O27" s="15"/>
      <c r="P27" s="15"/>
      <c r="Q27" s="15">
        <v>100000</v>
      </c>
      <c r="R27" s="15"/>
      <c r="S27" s="15">
        <f t="shared" si="2"/>
        <v>0</v>
      </c>
      <c r="T27" s="27"/>
      <c r="V27" s="28"/>
    </row>
    <row r="28" spans="1:22" s="19" customFormat="1" ht="33" customHeight="1">
      <c r="A28" s="376"/>
      <c r="B28" s="11">
        <v>9</v>
      </c>
      <c r="C28" s="142" t="s">
        <v>45</v>
      </c>
      <c r="D28" s="24" t="s">
        <v>1196</v>
      </c>
      <c r="E28" s="13">
        <v>1</v>
      </c>
      <c r="F28" s="14">
        <v>276100</v>
      </c>
      <c r="G28" s="14">
        <f t="shared" ref="G28" si="9">E28*F28</f>
        <v>276100</v>
      </c>
      <c r="H28" s="14"/>
      <c r="I28" s="15"/>
      <c r="J28" s="15"/>
      <c r="K28" s="15"/>
      <c r="L28" s="15"/>
      <c r="M28" s="15"/>
      <c r="N28" s="15"/>
      <c r="O28" s="15"/>
      <c r="P28" s="15"/>
      <c r="Q28" s="15"/>
      <c r="R28" s="15">
        <v>0</v>
      </c>
      <c r="S28" s="15">
        <f t="shared" si="2"/>
        <v>276100</v>
      </c>
      <c r="T28" s="18"/>
      <c r="V28" s="6"/>
    </row>
    <row r="29" spans="1:22" s="19" customFormat="1" ht="33" customHeight="1">
      <c r="A29" s="376"/>
      <c r="B29" s="11">
        <v>10</v>
      </c>
      <c r="C29" s="142" t="s">
        <v>46</v>
      </c>
      <c r="D29" s="24" t="str">
        <f>COVER!B24</f>
        <v>A351 CF8M</v>
      </c>
      <c r="E29" s="13">
        <v>1</v>
      </c>
      <c r="F29" s="302">
        <f>IF(D29="A351 CF8M",Y98,IF(D29="B148 C95400",Z98))</f>
        <v>189200</v>
      </c>
      <c r="G29" s="14">
        <f>F29*E29</f>
        <v>189200</v>
      </c>
      <c r="H29" s="14"/>
      <c r="I29" s="15">
        <f>I30*I31</f>
        <v>3065.28</v>
      </c>
      <c r="J29" s="15">
        <f t="shared" ref="J29:Q29" si="10">J30*J31</f>
        <v>3260.86</v>
      </c>
      <c r="K29" s="15">
        <f t="shared" si="10"/>
        <v>0</v>
      </c>
      <c r="L29" s="15">
        <f t="shared" si="10"/>
        <v>0</v>
      </c>
      <c r="M29" s="15">
        <f t="shared" si="10"/>
        <v>0</v>
      </c>
      <c r="N29" s="15">
        <f t="shared" si="10"/>
        <v>0</v>
      </c>
      <c r="O29" s="15">
        <f t="shared" si="10"/>
        <v>0</v>
      </c>
      <c r="P29" s="15">
        <f t="shared" si="10"/>
        <v>0</v>
      </c>
      <c r="Q29" s="15">
        <f t="shared" si="10"/>
        <v>0</v>
      </c>
      <c r="R29" s="15">
        <v>0</v>
      </c>
      <c r="S29" s="15">
        <f t="shared" si="2"/>
        <v>189200</v>
      </c>
      <c r="T29" s="18"/>
      <c r="V29" s="7"/>
    </row>
    <row r="30" spans="1:22" s="19" customFormat="1" ht="33" hidden="1" customHeight="1">
      <c r="A30" s="376"/>
      <c r="B30" s="11">
        <v>23</v>
      </c>
      <c r="C30" s="12"/>
      <c r="D30" s="24"/>
      <c r="E30" s="13"/>
      <c r="F30" s="14"/>
      <c r="G30" s="14"/>
      <c r="H30" s="17" t="s">
        <v>39</v>
      </c>
      <c r="I30" s="21">
        <v>0.2</v>
      </c>
      <c r="J30" s="21">
        <v>0.2</v>
      </c>
      <c r="K30" s="21"/>
      <c r="L30" s="21"/>
      <c r="M30" s="21"/>
      <c r="N30" s="21"/>
      <c r="O30" s="21"/>
      <c r="P30" s="21"/>
      <c r="Q30" s="21"/>
      <c r="R30" s="15"/>
      <c r="S30" s="15">
        <f t="shared" si="2"/>
        <v>0</v>
      </c>
      <c r="T30" s="22"/>
      <c r="V30" s="7"/>
    </row>
    <row r="31" spans="1:22" s="19" customFormat="1" ht="33" hidden="1" customHeight="1">
      <c r="A31" s="376"/>
      <c r="B31" s="11">
        <v>24</v>
      </c>
      <c r="C31" s="12"/>
      <c r="D31" s="24"/>
      <c r="E31" s="13"/>
      <c r="F31" s="14"/>
      <c r="G31" s="14"/>
      <c r="H31" s="17" t="s">
        <v>39</v>
      </c>
      <c r="I31" s="15">
        <f>I32/10</f>
        <v>15326.4</v>
      </c>
      <c r="J31" s="15">
        <f>J32/10</f>
        <v>16304.3</v>
      </c>
      <c r="K31" s="15"/>
      <c r="L31" s="15"/>
      <c r="M31" s="15"/>
      <c r="N31" s="15"/>
      <c r="O31" s="15"/>
      <c r="P31" s="15"/>
      <c r="Q31" s="15"/>
      <c r="R31" s="15"/>
      <c r="S31" s="15">
        <f t="shared" si="2"/>
        <v>0</v>
      </c>
      <c r="T31" s="22"/>
      <c r="V31" s="7"/>
    </row>
    <row r="32" spans="1:22" s="19" customFormat="1" ht="33" hidden="1" customHeight="1">
      <c r="A32" s="376"/>
      <c r="B32" s="11">
        <v>25</v>
      </c>
      <c r="C32" s="12"/>
      <c r="D32" s="24"/>
      <c r="E32" s="13"/>
      <c r="F32" s="14"/>
      <c r="G32" s="14"/>
      <c r="H32" s="17" t="s">
        <v>39</v>
      </c>
      <c r="I32" s="15">
        <v>153264</v>
      </c>
      <c r="J32" s="15">
        <v>163043</v>
      </c>
      <c r="K32" s="15"/>
      <c r="L32" s="15"/>
      <c r="M32" s="15"/>
      <c r="N32" s="15"/>
      <c r="O32" s="15"/>
      <c r="P32" s="15"/>
      <c r="Q32" s="15"/>
      <c r="R32" s="15"/>
      <c r="S32" s="15">
        <f t="shared" si="2"/>
        <v>0</v>
      </c>
      <c r="T32" s="22"/>
      <c r="V32" s="7"/>
    </row>
    <row r="33" spans="1:22" s="19" customFormat="1" ht="33" customHeight="1">
      <c r="A33" s="376"/>
      <c r="B33" s="11">
        <v>11</v>
      </c>
      <c r="C33" s="142" t="s">
        <v>47</v>
      </c>
      <c r="D33" s="24" t="str">
        <f>COVER!B26</f>
        <v>316+NICKEL</v>
      </c>
      <c r="E33" s="13">
        <v>1</v>
      </c>
      <c r="F33" s="14">
        <f>IF(D33="316+NICKEL",Y100,IF(D33="B148 C95400",Z100))</f>
        <v>46800</v>
      </c>
      <c r="G33" s="14">
        <f>F33*E33</f>
        <v>46800</v>
      </c>
      <c r="H33" s="14"/>
      <c r="I33" s="15">
        <f>I34*I35</f>
        <v>4597.92</v>
      </c>
      <c r="J33" s="15">
        <f t="shared" ref="J33:Q33" si="11">J34*J35</f>
        <v>0</v>
      </c>
      <c r="K33" s="15">
        <f t="shared" si="11"/>
        <v>0</v>
      </c>
      <c r="L33" s="15">
        <f t="shared" si="11"/>
        <v>0</v>
      </c>
      <c r="M33" s="15">
        <f t="shared" si="11"/>
        <v>0</v>
      </c>
      <c r="N33" s="15">
        <f t="shared" si="11"/>
        <v>0</v>
      </c>
      <c r="O33" s="15">
        <f t="shared" si="11"/>
        <v>0</v>
      </c>
      <c r="P33" s="15">
        <f t="shared" si="11"/>
        <v>0</v>
      </c>
      <c r="Q33" s="15">
        <f t="shared" si="11"/>
        <v>0</v>
      </c>
      <c r="R33" s="15">
        <v>0</v>
      </c>
      <c r="S33" s="15">
        <f t="shared" si="2"/>
        <v>46800</v>
      </c>
      <c r="T33" s="25" t="s">
        <v>889</v>
      </c>
      <c r="V33" s="7"/>
    </row>
    <row r="34" spans="1:22" s="19" customFormat="1" ht="33" hidden="1" customHeight="1">
      <c r="A34" s="376"/>
      <c r="B34" s="11">
        <v>27</v>
      </c>
      <c r="C34" s="12"/>
      <c r="D34" s="24"/>
      <c r="E34" s="13"/>
      <c r="F34" s="14"/>
      <c r="G34" s="14"/>
      <c r="H34" s="17" t="s">
        <v>39</v>
      </c>
      <c r="I34" s="21">
        <v>0.3</v>
      </c>
      <c r="J34" s="21"/>
      <c r="K34" s="21"/>
      <c r="L34" s="21"/>
      <c r="M34" s="21"/>
      <c r="N34" s="21"/>
      <c r="O34" s="21"/>
      <c r="P34" s="21"/>
      <c r="Q34" s="21"/>
      <c r="R34" s="15" t="s">
        <v>457</v>
      </c>
      <c r="S34" s="15"/>
      <c r="T34" s="22"/>
      <c r="V34" s="7"/>
    </row>
    <row r="35" spans="1:22" s="19" customFormat="1" ht="33" hidden="1" customHeight="1">
      <c r="A35" s="376"/>
      <c r="B35" s="11">
        <v>28</v>
      </c>
      <c r="C35" s="12"/>
      <c r="D35" s="24"/>
      <c r="E35" s="13"/>
      <c r="F35" s="14"/>
      <c r="G35" s="14"/>
      <c r="H35" s="17" t="s">
        <v>39</v>
      </c>
      <c r="I35" s="15">
        <f>I36/10</f>
        <v>15326.4</v>
      </c>
      <c r="J35" s="15"/>
      <c r="K35" s="15"/>
      <c r="L35" s="15"/>
      <c r="M35" s="15"/>
      <c r="N35" s="15"/>
      <c r="O35" s="15"/>
      <c r="P35" s="15"/>
      <c r="Q35" s="15"/>
      <c r="R35" s="15" t="s">
        <v>457</v>
      </c>
      <c r="S35" s="15"/>
      <c r="T35" s="22"/>
      <c r="V35" s="7"/>
    </row>
    <row r="36" spans="1:22" s="19" customFormat="1" ht="33" hidden="1" customHeight="1">
      <c r="A36" s="376"/>
      <c r="B36" s="11">
        <v>29</v>
      </c>
      <c r="C36" s="12"/>
      <c r="D36" s="24"/>
      <c r="E36" s="13"/>
      <c r="F36" s="14"/>
      <c r="G36" s="14"/>
      <c r="H36" s="17" t="s">
        <v>39</v>
      </c>
      <c r="I36" s="15">
        <v>153264</v>
      </c>
      <c r="J36" s="15"/>
      <c r="K36" s="15"/>
      <c r="L36" s="15"/>
      <c r="M36" s="15"/>
      <c r="N36" s="15"/>
      <c r="O36" s="15"/>
      <c r="P36" s="15"/>
      <c r="Q36" s="15"/>
      <c r="R36" s="15" t="s">
        <v>457</v>
      </c>
      <c r="S36" s="15"/>
      <c r="T36" s="22"/>
      <c r="V36" s="7"/>
    </row>
    <row r="37" spans="1:22" s="19" customFormat="1" ht="33" customHeight="1">
      <c r="A37" s="376"/>
      <c r="B37" s="11">
        <v>12</v>
      </c>
      <c r="C37" s="169" t="s">
        <v>954</v>
      </c>
      <c r="D37" s="24" t="str">
        <f>COVER!B22</f>
        <v>B7(다크로)</v>
      </c>
      <c r="E37" s="13">
        <v>6</v>
      </c>
      <c r="F37" s="14">
        <f>IF(D37="B8",Y92,IF(D37="B8M",Z92,IF(D37="B7(다크로)",AA92)))</f>
        <v>2000</v>
      </c>
      <c r="G37" s="14">
        <f>F37*E37</f>
        <v>12000</v>
      </c>
      <c r="H37" s="14"/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f t="shared" si="2"/>
        <v>12000</v>
      </c>
      <c r="T37" s="22"/>
      <c r="V37" s="7"/>
    </row>
    <row r="38" spans="1:22" s="19" customFormat="1" ht="33" customHeight="1">
      <c r="A38" s="376"/>
      <c r="B38" s="11">
        <v>13</v>
      </c>
      <c r="C38" s="29" t="s">
        <v>49</v>
      </c>
      <c r="D38" s="24"/>
      <c r="E38" s="13">
        <v>1</v>
      </c>
      <c r="F38" s="14">
        <v>10000</v>
      </c>
      <c r="G38" s="14">
        <f t="shared" ref="G38" si="12">E38*F38</f>
        <v>10000</v>
      </c>
      <c r="H38" s="14"/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f t="shared" si="2"/>
        <v>10000</v>
      </c>
      <c r="T38" s="22"/>
      <c r="V38" s="7"/>
    </row>
    <row r="39" spans="1:22" s="19" customFormat="1" ht="33" customHeight="1">
      <c r="A39" s="376"/>
      <c r="B39" s="11">
        <v>14</v>
      </c>
      <c r="C39" s="233" t="s">
        <v>50</v>
      </c>
      <c r="D39" s="24" t="str">
        <f>COVER!B23</f>
        <v>316+NICKEL</v>
      </c>
      <c r="E39" s="13">
        <v>1</v>
      </c>
      <c r="F39" s="14">
        <f>IF(D39="316+NICKEL",Y96,IF(D39="B148 C95400",Z96))</f>
        <v>228600</v>
      </c>
      <c r="G39" s="14">
        <f>F39*1</f>
        <v>228600</v>
      </c>
      <c r="H39" s="14"/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f t="shared" si="2"/>
        <v>228600</v>
      </c>
      <c r="T39" s="25" t="s">
        <v>889</v>
      </c>
      <c r="V39" s="7"/>
    </row>
    <row r="40" spans="1:22" s="19" customFormat="1" ht="33" customHeight="1">
      <c r="A40" s="376"/>
      <c r="B40" s="11">
        <v>15</v>
      </c>
      <c r="C40" s="142" t="s">
        <v>51</v>
      </c>
      <c r="D40" s="24" t="str">
        <f>COVER!B23</f>
        <v>316+NICKEL</v>
      </c>
      <c r="E40" s="13">
        <v>1</v>
      </c>
      <c r="F40" s="14">
        <f>IF(D40="316+NICKEL",Y97,IF(D40="B148 C95400",Z97))</f>
        <v>188800</v>
      </c>
      <c r="G40" s="14">
        <f>F40*1</f>
        <v>188800</v>
      </c>
      <c r="H40" s="14"/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f t="shared" si="2"/>
        <v>188800</v>
      </c>
      <c r="T40" s="25" t="s">
        <v>889</v>
      </c>
      <c r="V40" s="7"/>
    </row>
    <row r="41" spans="1:22" s="19" customFormat="1" ht="33" hidden="1" customHeight="1">
      <c r="A41" s="376"/>
      <c r="B41" s="11">
        <v>34</v>
      </c>
      <c r="C41" s="12"/>
      <c r="D41" s="20"/>
      <c r="E41" s="13"/>
      <c r="F41" s="14"/>
      <c r="G41" s="14"/>
      <c r="H41" s="17" t="s">
        <v>39</v>
      </c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>
        <f t="shared" si="2"/>
        <v>0</v>
      </c>
      <c r="T41" s="22"/>
      <c r="V41" s="7"/>
    </row>
    <row r="42" spans="1:22" s="19" customFormat="1" ht="33" hidden="1" customHeight="1">
      <c r="A42" s="376"/>
      <c r="B42" s="11">
        <v>35</v>
      </c>
      <c r="C42" s="12"/>
      <c r="D42" s="20"/>
      <c r="E42" s="13"/>
      <c r="F42" s="14"/>
      <c r="G42" s="14"/>
      <c r="H42" s="17" t="s">
        <v>39</v>
      </c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>
        <f t="shared" si="2"/>
        <v>0</v>
      </c>
      <c r="T42" s="22"/>
      <c r="V42" s="7"/>
    </row>
    <row r="43" spans="1:22" s="19" customFormat="1" ht="33" hidden="1" customHeight="1">
      <c r="A43" s="376"/>
      <c r="B43" s="11">
        <v>36</v>
      </c>
      <c r="C43" s="12"/>
      <c r="D43" s="20"/>
      <c r="E43" s="13"/>
      <c r="F43" s="14"/>
      <c r="G43" s="14">
        <f>F43*E43</f>
        <v>0</v>
      </c>
      <c r="H43" s="17" t="s">
        <v>39</v>
      </c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>
        <f t="shared" si="2"/>
        <v>0</v>
      </c>
      <c r="T43" s="22"/>
      <c r="V43" s="7"/>
    </row>
    <row r="44" spans="1:22" s="19" customFormat="1" ht="33" customHeight="1">
      <c r="A44" s="376"/>
      <c r="B44" s="11">
        <v>16</v>
      </c>
      <c r="C44" s="142" t="s">
        <v>52</v>
      </c>
      <c r="D44" s="24" t="str">
        <f>COVER!B25</f>
        <v>316+NICKEL</v>
      </c>
      <c r="E44" s="13">
        <v>1</v>
      </c>
      <c r="F44" s="14">
        <f>IF(D44="316+NICKEL",Y100,IF(D44="B148 C95400",Z100))</f>
        <v>46800</v>
      </c>
      <c r="G44" s="14">
        <f>F44*E44</f>
        <v>46800</v>
      </c>
      <c r="H44" s="14"/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1000</v>
      </c>
      <c r="P44" s="15">
        <v>0</v>
      </c>
      <c r="Q44" s="15">
        <v>0</v>
      </c>
      <c r="R44" s="15">
        <v>0</v>
      </c>
      <c r="S44" s="15">
        <f t="shared" si="2"/>
        <v>46800</v>
      </c>
      <c r="T44" s="25" t="s">
        <v>889</v>
      </c>
      <c r="U44" s="236"/>
      <c r="V44" s="7"/>
    </row>
    <row r="45" spans="1:22" s="19" customFormat="1" ht="33" customHeight="1">
      <c r="A45" s="376"/>
      <c r="B45" s="11">
        <v>17</v>
      </c>
      <c r="C45" s="175" t="s">
        <v>53</v>
      </c>
      <c r="D45" s="24" t="s">
        <v>463</v>
      </c>
      <c r="E45" s="13">
        <v>1</v>
      </c>
      <c r="F45" s="14">
        <f>Y86</f>
        <v>6900</v>
      </c>
      <c r="G45" s="14">
        <f>F45*E45</f>
        <v>6900</v>
      </c>
      <c r="H45" s="14"/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f t="shared" si="2"/>
        <v>6900</v>
      </c>
      <c r="T45" s="22"/>
      <c r="V45" s="7"/>
    </row>
    <row r="46" spans="1:22" s="19" customFormat="1" ht="33" customHeight="1">
      <c r="A46" s="376"/>
      <c r="B46" s="11">
        <v>18</v>
      </c>
      <c r="C46" s="175" t="s">
        <v>54</v>
      </c>
      <c r="D46" s="24" t="str">
        <f>COVER!B29</f>
        <v>SS400</v>
      </c>
      <c r="E46" s="13">
        <v>1</v>
      </c>
      <c r="F46" s="14">
        <f>IF(D46="SS400",Y105,IF(D46="SS316",Z103,IF(D46="SS304",AA105)))</f>
        <v>35420</v>
      </c>
      <c r="G46" s="14">
        <f>E46*F46</f>
        <v>35420</v>
      </c>
      <c r="H46" s="14"/>
      <c r="I46" s="15">
        <f>I47*I48</f>
        <v>4597.92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15000</v>
      </c>
      <c r="S46" s="15">
        <f t="shared" si="2"/>
        <v>50420</v>
      </c>
      <c r="T46" s="22"/>
      <c r="V46" s="7"/>
    </row>
    <row r="47" spans="1:22" s="19" customFormat="1" ht="33" hidden="1" customHeight="1">
      <c r="A47" s="376"/>
      <c r="B47" s="11">
        <v>40</v>
      </c>
      <c r="C47" s="31"/>
      <c r="D47" s="24"/>
      <c r="E47" s="13"/>
      <c r="F47" s="14"/>
      <c r="G47" s="14"/>
      <c r="H47" s="17" t="s">
        <v>39</v>
      </c>
      <c r="I47" s="21">
        <v>0.3</v>
      </c>
      <c r="J47" s="21"/>
      <c r="K47" s="21"/>
      <c r="L47" s="21"/>
      <c r="M47" s="21"/>
      <c r="N47" s="21"/>
      <c r="O47" s="21"/>
      <c r="P47" s="21"/>
      <c r="Q47" s="21"/>
      <c r="R47" s="15"/>
      <c r="S47" s="15">
        <f t="shared" si="2"/>
        <v>0</v>
      </c>
      <c r="T47" s="22"/>
      <c r="V47" s="7"/>
    </row>
    <row r="48" spans="1:22" s="19" customFormat="1" ht="33" hidden="1" customHeight="1">
      <c r="A48" s="376"/>
      <c r="B48" s="11">
        <v>41</v>
      </c>
      <c r="C48" s="31"/>
      <c r="D48" s="24"/>
      <c r="E48" s="13"/>
      <c r="F48" s="14"/>
      <c r="G48" s="14"/>
      <c r="H48" s="17" t="s">
        <v>39</v>
      </c>
      <c r="I48" s="15">
        <f>I49/10</f>
        <v>15326.4</v>
      </c>
      <c r="J48" s="15"/>
      <c r="K48" s="15"/>
      <c r="L48" s="15"/>
      <c r="M48" s="15"/>
      <c r="N48" s="15"/>
      <c r="O48" s="15"/>
      <c r="P48" s="15"/>
      <c r="Q48" s="15"/>
      <c r="R48" s="15"/>
      <c r="S48" s="15">
        <f t="shared" si="2"/>
        <v>0</v>
      </c>
      <c r="T48" s="22"/>
      <c r="V48" s="7"/>
    </row>
    <row r="49" spans="1:27" s="19" customFormat="1" ht="33" hidden="1" customHeight="1">
      <c r="A49" s="376"/>
      <c r="B49" s="11">
        <v>42</v>
      </c>
      <c r="C49" s="31"/>
      <c r="D49" s="24"/>
      <c r="E49" s="13"/>
      <c r="F49" s="14"/>
      <c r="G49" s="14"/>
      <c r="H49" s="17" t="s">
        <v>39</v>
      </c>
      <c r="I49" s="15">
        <v>153264</v>
      </c>
      <c r="J49" s="15"/>
      <c r="K49" s="15"/>
      <c r="L49" s="15"/>
      <c r="M49" s="15"/>
      <c r="N49" s="15"/>
      <c r="O49" s="15"/>
      <c r="P49" s="15"/>
      <c r="Q49" s="15"/>
      <c r="R49" s="15"/>
      <c r="S49" s="15">
        <f t="shared" si="2"/>
        <v>0</v>
      </c>
      <c r="T49" s="22"/>
      <c r="V49" s="7"/>
    </row>
    <row r="50" spans="1:27" s="19" customFormat="1" ht="33" customHeight="1">
      <c r="A50" s="376"/>
      <c r="B50" s="11">
        <v>19</v>
      </c>
      <c r="C50" s="226" t="s">
        <v>55</v>
      </c>
      <c r="D50" s="24" t="str">
        <f>COVER!B22</f>
        <v>B7(다크로)</v>
      </c>
      <c r="E50" s="13">
        <v>8</v>
      </c>
      <c r="F50" s="14">
        <f>IF(D50="B8",Y93,IF(D50="B8M",Z93,IF(D50="B7(다크로)",AA93)))</f>
        <v>5000</v>
      </c>
      <c r="G50" s="14">
        <f>E50*F50</f>
        <v>40000</v>
      </c>
      <c r="H50" s="14"/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f t="shared" si="2"/>
        <v>40000</v>
      </c>
      <c r="T50" s="18"/>
      <c r="V50" s="7"/>
    </row>
    <row r="51" spans="1:27" s="19" customFormat="1" ht="33" customHeight="1">
      <c r="A51" s="376"/>
      <c r="B51" s="11">
        <v>20</v>
      </c>
      <c r="C51" s="169" t="s">
        <v>56</v>
      </c>
      <c r="D51" s="303" t="str">
        <f>D24</f>
        <v>A564T630</v>
      </c>
      <c r="E51" s="13">
        <v>4</v>
      </c>
      <c r="F51" s="14">
        <f>IF(D51="A276T316L",Y80/E51,IF(D51="A276T304",Z80/E51,IF(D51="A564T630",AA80/E51,IF(D51="A479T410",AB80/E51,IF(D51="UNS S31803",AC80/E51,IF(D51="UNS S32750",AD80/E51,IF(D51="MONEL K-500",AE80/E51)))))))</f>
        <v>11557.5</v>
      </c>
      <c r="G51" s="14">
        <f>E51*F51</f>
        <v>46230</v>
      </c>
      <c r="H51" s="14"/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1000</v>
      </c>
      <c r="P51" s="15">
        <v>0</v>
      </c>
      <c r="Q51" s="15">
        <v>0</v>
      </c>
      <c r="R51" s="15">
        <f>4500*E51</f>
        <v>18000</v>
      </c>
      <c r="S51" s="15">
        <f t="shared" si="2"/>
        <v>64230</v>
      </c>
      <c r="T51" s="22"/>
      <c r="U51" s="162"/>
    </row>
    <row r="52" spans="1:27" s="19" customFormat="1" ht="33" customHeight="1">
      <c r="A52" s="376"/>
      <c r="B52" s="11">
        <v>21</v>
      </c>
      <c r="C52" s="169" t="s">
        <v>57</v>
      </c>
      <c r="D52" s="24" t="str">
        <f>COVER!B22</f>
        <v>B7(다크로)</v>
      </c>
      <c r="E52" s="13">
        <v>6</v>
      </c>
      <c r="F52" s="14">
        <f>IF(D52="B8",Y89,IF(D52="B8M",Z89,IF(D52="B7(다크로)",AA89)))</f>
        <v>22000</v>
      </c>
      <c r="G52" s="14">
        <f>F52*E52</f>
        <v>132000</v>
      </c>
      <c r="H52" s="14"/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1000</v>
      </c>
      <c r="O52" s="15">
        <v>1000</v>
      </c>
      <c r="P52" s="15">
        <v>1000</v>
      </c>
      <c r="Q52" s="15">
        <v>0</v>
      </c>
      <c r="R52" s="15">
        <v>0</v>
      </c>
      <c r="S52" s="15">
        <f t="shared" si="2"/>
        <v>132000</v>
      </c>
      <c r="T52" s="22"/>
      <c r="U52" s="162"/>
    </row>
    <row r="53" spans="1:27" s="19" customFormat="1" ht="33" customHeight="1">
      <c r="A53" s="376"/>
      <c r="B53" s="11">
        <v>22</v>
      </c>
      <c r="C53" s="169" t="s">
        <v>1199</v>
      </c>
      <c r="D53" s="24" t="str">
        <f>COVER!B26</f>
        <v>316+NICKEL</v>
      </c>
      <c r="E53" s="13">
        <v>1</v>
      </c>
      <c r="F53" s="14">
        <f>IF(D53="316+NICKEL",Y100,IF(D53="B148 C95400",Z100))</f>
        <v>46800</v>
      </c>
      <c r="G53" s="14">
        <f>F53*E53</f>
        <v>46800</v>
      </c>
      <c r="H53" s="14"/>
      <c r="I53" s="15"/>
      <c r="J53" s="15"/>
      <c r="K53" s="15"/>
      <c r="L53" s="15"/>
      <c r="M53" s="15"/>
      <c r="N53" s="15"/>
      <c r="O53" s="15"/>
      <c r="P53" s="15"/>
      <c r="Q53" s="15"/>
      <c r="R53" s="15">
        <v>0</v>
      </c>
      <c r="S53" s="15">
        <f t="shared" si="2"/>
        <v>46800</v>
      </c>
      <c r="T53" s="22"/>
    </row>
    <row r="54" spans="1:27" s="19" customFormat="1" ht="33" customHeight="1">
      <c r="A54" s="376"/>
      <c r="B54" s="11">
        <v>23</v>
      </c>
      <c r="C54" s="29" t="s">
        <v>58</v>
      </c>
      <c r="D54" s="24"/>
      <c r="E54" s="13">
        <v>1</v>
      </c>
      <c r="F54" s="14">
        <v>3000</v>
      </c>
      <c r="G54" s="14">
        <f t="shared" ref="G54" si="13">E54*F54</f>
        <v>3000</v>
      </c>
      <c r="H54" s="14"/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1000</v>
      </c>
      <c r="Q54" s="15">
        <v>0</v>
      </c>
      <c r="R54" s="15">
        <v>0</v>
      </c>
      <c r="S54" s="15">
        <f t="shared" si="2"/>
        <v>3000</v>
      </c>
      <c r="T54" s="22"/>
    </row>
    <row r="55" spans="1:27" s="19" customFormat="1" ht="33" customHeight="1">
      <c r="A55" s="376"/>
      <c r="B55" s="11">
        <v>24</v>
      </c>
      <c r="C55" s="169" t="s">
        <v>59</v>
      </c>
      <c r="D55" s="24" t="str">
        <f>COVER!B35</f>
        <v>GEAR</v>
      </c>
      <c r="E55" s="13">
        <v>1</v>
      </c>
      <c r="F55" s="302">
        <f>IF(D55="GEAR",1528200,IF(D55="MOTOR",0,IF(D55="PNEUMATIC",0)))</f>
        <v>1528200</v>
      </c>
      <c r="G55" s="14">
        <f>F55</f>
        <v>1528200</v>
      </c>
      <c r="H55" s="14"/>
      <c r="I55" s="15"/>
      <c r="J55" s="15"/>
      <c r="K55" s="15"/>
      <c r="L55" s="15"/>
      <c r="M55" s="15"/>
      <c r="N55" s="15"/>
      <c r="O55" s="15"/>
      <c r="P55" s="15"/>
      <c r="Q55" s="15"/>
      <c r="R55" s="15">
        <v>0</v>
      </c>
      <c r="S55" s="15">
        <f t="shared" si="2"/>
        <v>1528200</v>
      </c>
      <c r="T55" s="22"/>
    </row>
    <row r="56" spans="1:27" s="19" customFormat="1" ht="33" customHeight="1">
      <c r="A56" s="376"/>
      <c r="B56" s="11">
        <v>25</v>
      </c>
      <c r="C56" s="186" t="s">
        <v>851</v>
      </c>
      <c r="D56" s="24" t="str">
        <f>COVER!B30</f>
        <v>WCB</v>
      </c>
      <c r="E56" s="13">
        <v>140</v>
      </c>
      <c r="F56" s="14">
        <f>IF(D56="WCB",4000,IF(D56="CF8M",9000))</f>
        <v>4000</v>
      </c>
      <c r="G56" s="14">
        <f>E56*F56</f>
        <v>560000</v>
      </c>
      <c r="H56" s="14"/>
      <c r="I56" s="15"/>
      <c r="J56" s="15"/>
      <c r="K56" s="15"/>
      <c r="L56" s="15"/>
      <c r="M56" s="15"/>
      <c r="N56" s="15"/>
      <c r="O56" s="15"/>
      <c r="P56" s="15"/>
      <c r="Q56" s="15"/>
      <c r="R56" s="14">
        <f>IF(D56="WCB",AA107,IF(D56="CF8M",AB107))</f>
        <v>90000</v>
      </c>
      <c r="S56" s="15">
        <f t="shared" si="2"/>
        <v>650000</v>
      </c>
      <c r="T56" s="22"/>
    </row>
    <row r="57" spans="1:27" s="19" customFormat="1" ht="33" customHeight="1">
      <c r="A57" s="376"/>
      <c r="B57" s="11">
        <v>26</v>
      </c>
      <c r="C57" s="175" t="s">
        <v>467</v>
      </c>
      <c r="D57" s="24" t="str">
        <f>COVER!B27</f>
        <v>316+NICKEL</v>
      </c>
      <c r="E57" s="13">
        <v>2</v>
      </c>
      <c r="F57" s="14">
        <f>IF(D57="316+NICKEL",Y101,IF(D57="B148 C95400",Z101))</f>
        <v>28700</v>
      </c>
      <c r="G57" s="14">
        <f>F57</f>
        <v>28700</v>
      </c>
      <c r="H57" s="14"/>
      <c r="I57" s="15"/>
      <c r="J57" s="15"/>
      <c r="K57" s="15"/>
      <c r="L57" s="15"/>
      <c r="M57" s="15"/>
      <c r="N57" s="15"/>
      <c r="O57" s="15"/>
      <c r="P57" s="15"/>
      <c r="Q57" s="15"/>
      <c r="R57" s="15">
        <v>0</v>
      </c>
      <c r="S57" s="15">
        <f t="shared" si="2"/>
        <v>28700</v>
      </c>
      <c r="T57" s="25" t="s">
        <v>889</v>
      </c>
      <c r="U57" s="96"/>
    </row>
    <row r="58" spans="1:27" s="19" customFormat="1" ht="33" customHeight="1">
      <c r="A58" s="376"/>
      <c r="B58" s="11">
        <v>27</v>
      </c>
      <c r="C58" s="175" t="s">
        <v>468</v>
      </c>
      <c r="D58" s="24" t="str">
        <f>COVER!B28</f>
        <v>316+NICKEL</v>
      </c>
      <c r="E58" s="13">
        <v>2</v>
      </c>
      <c r="F58" s="14">
        <f>IF(D58="316+NICKEL",Y102,IF(D58="B148 C95400",Z102))</f>
        <v>29900</v>
      </c>
      <c r="G58" s="14">
        <f>F58</f>
        <v>29900</v>
      </c>
      <c r="H58" s="14"/>
      <c r="I58" s="15"/>
      <c r="J58" s="15"/>
      <c r="K58" s="15"/>
      <c r="L58" s="15"/>
      <c r="M58" s="15"/>
      <c r="N58" s="15"/>
      <c r="O58" s="15"/>
      <c r="P58" s="15"/>
      <c r="Q58" s="15"/>
      <c r="R58" s="15">
        <v>0</v>
      </c>
      <c r="S58" s="15">
        <f t="shared" si="2"/>
        <v>29900</v>
      </c>
      <c r="T58" s="25" t="s">
        <v>889</v>
      </c>
      <c r="U58" s="96"/>
    </row>
    <row r="59" spans="1:27" s="19" customFormat="1" ht="33" customHeight="1">
      <c r="A59" s="376"/>
      <c r="B59" s="11">
        <v>28</v>
      </c>
      <c r="C59" s="142" t="s">
        <v>60</v>
      </c>
      <c r="D59" s="20" t="str">
        <f>COVER!B22</f>
        <v>B7(다크로)</v>
      </c>
      <c r="E59" s="13">
        <v>8</v>
      </c>
      <c r="F59" s="14">
        <f>IF(D59="B8",Y88,IF(D59="B8M",Z88,IF(D59="B7(다크로)",AA88)))</f>
        <v>4300</v>
      </c>
      <c r="G59" s="14">
        <f>E59*F59</f>
        <v>34400</v>
      </c>
      <c r="H59" s="14"/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f t="shared" si="2"/>
        <v>34400</v>
      </c>
      <c r="T59" s="25"/>
    </row>
    <row r="60" spans="1:27" s="19" customFormat="1" ht="33" customHeight="1">
      <c r="A60" s="376"/>
      <c r="B60" s="11">
        <v>29</v>
      </c>
      <c r="C60" s="12" t="s">
        <v>61</v>
      </c>
      <c r="D60" s="303" t="str">
        <f>COVER!B32</f>
        <v>외주 2COATING</v>
      </c>
      <c r="E60" s="13">
        <v>1</v>
      </c>
      <c r="F60" s="14">
        <f>IF(COVER!B10="APPLICATION",0,IF(D60="기존 단가",Y116,IF(D60="외주 2COATING",Z116,IF(D60="외주 3COATING",AA116))))</f>
        <v>0</v>
      </c>
      <c r="G60" s="14">
        <f t="shared" ref="G60:G61" si="14">E60*F60</f>
        <v>0</v>
      </c>
      <c r="H60" s="14"/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f t="shared" si="2"/>
        <v>0</v>
      </c>
      <c r="T60" s="22"/>
      <c r="AA60" s="19" t="s">
        <v>38</v>
      </c>
    </row>
    <row r="61" spans="1:27" s="19" customFormat="1" ht="33" customHeight="1">
      <c r="A61" s="377"/>
      <c r="B61" s="11">
        <v>30</v>
      </c>
      <c r="C61" s="12" t="s">
        <v>62</v>
      </c>
      <c r="D61" s="303" t="str">
        <f>COVER!B33</f>
        <v>신규</v>
      </c>
      <c r="E61" s="13">
        <v>1</v>
      </c>
      <c r="F61" s="14">
        <f>IF(COVER!B10="APPLICATION",0,IF(D61="기존 단가",Y118,IF(D61="신규",Z118)))</f>
        <v>0</v>
      </c>
      <c r="G61" s="14">
        <f t="shared" si="14"/>
        <v>0</v>
      </c>
      <c r="H61" s="14"/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f t="shared" si="2"/>
        <v>0</v>
      </c>
      <c r="T61" s="22"/>
    </row>
    <row r="62" spans="1:27" s="19" customFormat="1" ht="33" customHeight="1">
      <c r="A62" s="378" t="s">
        <v>63</v>
      </c>
      <c r="B62" s="379"/>
      <c r="C62" s="379"/>
      <c r="D62" s="379"/>
      <c r="E62" s="379"/>
      <c r="F62" s="380"/>
      <c r="G62" s="14">
        <f>IF(COVER!B10="APPLICATION",0,IF(D55="GEAR",Y120,IF(D55="MOTOR",Z120,IF(D55="PNEUMATIC",AA120))))</f>
        <v>0</v>
      </c>
      <c r="H62" s="14"/>
      <c r="I62" s="32" t="s">
        <v>38</v>
      </c>
      <c r="J62" s="32"/>
      <c r="K62" s="32"/>
      <c r="L62" s="32"/>
      <c r="M62" s="32"/>
      <c r="N62" s="32"/>
      <c r="O62" s="32"/>
      <c r="P62" s="32"/>
      <c r="Q62" s="32"/>
      <c r="R62" s="33"/>
      <c r="S62" s="33">
        <f t="shared" si="2"/>
        <v>0</v>
      </c>
      <c r="T62" s="253"/>
    </row>
    <row r="63" spans="1:27" s="19" customFormat="1" ht="33" customHeight="1">
      <c r="A63" s="360" t="s">
        <v>64</v>
      </c>
      <c r="B63" s="361"/>
      <c r="C63" s="361"/>
      <c r="D63" s="361"/>
      <c r="E63" s="361"/>
      <c r="F63" s="362"/>
      <c r="G63" s="14"/>
      <c r="H63" s="14"/>
      <c r="I63" s="32"/>
      <c r="J63" s="32"/>
      <c r="K63" s="32"/>
      <c r="L63" s="32"/>
      <c r="M63" s="32"/>
      <c r="N63" s="32"/>
      <c r="O63" s="32"/>
      <c r="P63" s="32"/>
      <c r="Q63" s="32"/>
      <c r="R63" s="33"/>
      <c r="S63" s="33"/>
      <c r="T63" s="253" t="s">
        <v>1526</v>
      </c>
    </row>
    <row r="64" spans="1:27" s="19" customFormat="1" ht="33" customHeight="1">
      <c r="A64" s="378" t="s">
        <v>65</v>
      </c>
      <c r="B64" s="379"/>
      <c r="C64" s="379"/>
      <c r="D64" s="379"/>
      <c r="E64" s="379"/>
      <c r="F64" s="380"/>
      <c r="G64" s="93" t="s">
        <v>38</v>
      </c>
      <c r="H64" s="93"/>
      <c r="I64" s="32"/>
      <c r="J64" s="94"/>
      <c r="K64" s="94"/>
      <c r="L64" s="94"/>
      <c r="M64" s="94"/>
      <c r="N64" s="94"/>
      <c r="O64" s="94"/>
      <c r="P64" s="94"/>
      <c r="Q64" s="94"/>
      <c r="R64" s="94"/>
      <c r="S64" s="34">
        <f>SUM(S8:S63)</f>
        <v>14940950</v>
      </c>
      <c r="T64" s="254" t="s">
        <v>145</v>
      </c>
    </row>
    <row r="65" spans="1:32" s="19" customFormat="1" ht="33" customHeight="1">
      <c r="A65" s="378" t="s">
        <v>66</v>
      </c>
      <c r="B65" s="379"/>
      <c r="C65" s="379"/>
      <c r="D65" s="379"/>
      <c r="E65" s="379"/>
      <c r="F65" s="380"/>
      <c r="G65" s="32">
        <v>0.1</v>
      </c>
      <c r="H65" s="32"/>
      <c r="I65" s="32" t="s">
        <v>38</v>
      </c>
      <c r="J65" s="32"/>
      <c r="K65" s="32"/>
      <c r="L65" s="32"/>
      <c r="M65" s="32"/>
      <c r="N65" s="32"/>
      <c r="O65" s="32"/>
      <c r="P65" s="32"/>
      <c r="Q65" s="32"/>
      <c r="R65" s="32"/>
      <c r="S65" s="35">
        <f>S64*G65</f>
        <v>1494095</v>
      </c>
      <c r="T65" s="253"/>
    </row>
    <row r="66" spans="1:32" s="19" customFormat="1" ht="33" customHeight="1">
      <c r="A66" s="360" t="s">
        <v>67</v>
      </c>
      <c r="B66" s="361"/>
      <c r="C66" s="361"/>
      <c r="D66" s="361"/>
      <c r="E66" s="361"/>
      <c r="F66" s="362"/>
      <c r="G66" s="95">
        <v>0.1</v>
      </c>
      <c r="H66" s="95"/>
      <c r="I66" s="32" t="s">
        <v>38</v>
      </c>
      <c r="J66" s="32"/>
      <c r="K66" s="32"/>
      <c r="L66" s="32"/>
      <c r="M66" s="32"/>
      <c r="N66" s="32"/>
      <c r="O66" s="32"/>
      <c r="P66" s="32"/>
      <c r="Q66" s="32"/>
      <c r="R66" s="32"/>
      <c r="S66" s="35">
        <f>(S64+S65)*G66</f>
        <v>1643504.5</v>
      </c>
      <c r="T66" s="253" t="s">
        <v>38</v>
      </c>
    </row>
    <row r="67" spans="1:32" s="19" customFormat="1" ht="33" customHeight="1">
      <c r="A67" s="363" t="s">
        <v>68</v>
      </c>
      <c r="B67" s="364"/>
      <c r="C67" s="364"/>
      <c r="D67" s="364"/>
      <c r="E67" s="364"/>
      <c r="F67" s="365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294">
        <f>S64+S65+S66</f>
        <v>18078549.5</v>
      </c>
      <c r="T67" s="254" t="s">
        <v>69</v>
      </c>
    </row>
    <row r="68" spans="1:32" s="19" customFormat="1" ht="33" customHeight="1">
      <c r="A68" s="366" t="s">
        <v>70</v>
      </c>
      <c r="B68" s="367"/>
      <c r="C68" s="367"/>
      <c r="D68" s="367"/>
      <c r="E68" s="367"/>
      <c r="F68" s="368"/>
      <c r="G68" s="32">
        <f>COVER!B11</f>
        <v>1.5</v>
      </c>
      <c r="H68" s="32"/>
      <c r="I68" s="32" t="s">
        <v>38</v>
      </c>
      <c r="J68" s="32"/>
      <c r="K68" s="32"/>
      <c r="L68" s="32"/>
      <c r="M68" s="32"/>
      <c r="N68" s="32"/>
      <c r="O68" s="32"/>
      <c r="P68" s="32"/>
      <c r="Q68" s="32"/>
      <c r="R68" s="32"/>
      <c r="S68" s="36">
        <f>S67*G68</f>
        <v>27117824.25</v>
      </c>
      <c r="T68" s="253"/>
    </row>
    <row r="69" spans="1:32" s="19" customFormat="1" ht="33" customHeight="1">
      <c r="A69" s="369" t="s">
        <v>71</v>
      </c>
      <c r="B69" s="370"/>
      <c r="C69" s="370"/>
      <c r="D69" s="370"/>
      <c r="E69" s="370"/>
      <c r="F69" s="370"/>
      <c r="G69" s="371"/>
      <c r="H69" s="37"/>
      <c r="I69" s="38"/>
      <c r="J69" s="38"/>
      <c r="K69" s="38"/>
      <c r="L69" s="38"/>
      <c r="M69" s="38"/>
      <c r="N69" s="38"/>
      <c r="O69" s="38"/>
      <c r="P69" s="38"/>
      <c r="Q69" s="38"/>
      <c r="R69" s="39" t="s">
        <v>17</v>
      </c>
      <c r="S69" s="40">
        <f>S68</f>
        <v>27117824.25</v>
      </c>
      <c r="T69" s="246" t="s">
        <v>72</v>
      </c>
      <c r="V69" s="141" t="s">
        <v>862</v>
      </c>
      <c r="W69" s="140"/>
      <c r="X69" s="140"/>
      <c r="Y69" s="140"/>
      <c r="Z69" s="140"/>
      <c r="AA69" s="140"/>
      <c r="AB69" s="140"/>
      <c r="AC69" s="140"/>
      <c r="AD69" s="140"/>
      <c r="AE69" s="140"/>
      <c r="AF69" s="140"/>
    </row>
    <row r="70" spans="1:32" s="19" customFormat="1" ht="33" customHeight="1" thickBot="1">
      <c r="A70" s="372"/>
      <c r="B70" s="373"/>
      <c r="C70" s="373"/>
      <c r="D70" s="373"/>
      <c r="E70" s="373"/>
      <c r="F70" s="373"/>
      <c r="G70" s="374"/>
      <c r="H70" s="41"/>
      <c r="I70" s="42"/>
      <c r="J70" s="42"/>
      <c r="K70" s="42"/>
      <c r="L70" s="42"/>
      <c r="M70" s="42"/>
      <c r="N70" s="42"/>
      <c r="O70" s="42"/>
      <c r="P70" s="42"/>
      <c r="Q70" s="42"/>
      <c r="R70" s="43" t="s">
        <v>18</v>
      </c>
      <c r="S70" s="43">
        <f>S64*G68</f>
        <v>22411425</v>
      </c>
      <c r="T70" s="247" t="s">
        <v>73</v>
      </c>
      <c r="V70" s="141" t="s">
        <v>1424</v>
      </c>
      <c r="W70" s="140"/>
      <c r="X70" s="140"/>
      <c r="Y70" s="140"/>
      <c r="Z70" s="140"/>
      <c r="AA70" s="140"/>
      <c r="AB70" s="140"/>
      <c r="AC70" s="140"/>
      <c r="AD70" s="140"/>
      <c r="AE70" s="140"/>
      <c r="AF70" s="140"/>
    </row>
    <row r="71" spans="1:32" ht="15" thickBot="1">
      <c r="V71" s="140"/>
      <c r="W71" s="140"/>
      <c r="X71" s="140"/>
      <c r="Y71" s="140"/>
      <c r="Z71" s="140"/>
      <c r="AA71" s="140"/>
      <c r="AB71" s="140"/>
      <c r="AC71" s="140"/>
      <c r="AD71" s="140"/>
      <c r="AE71" s="140"/>
      <c r="AF71" s="140"/>
    </row>
    <row r="72" spans="1:32" ht="21" thickBot="1">
      <c r="C72" s="44" t="s">
        <v>74</v>
      </c>
      <c r="V72" s="193" t="s">
        <v>863</v>
      </c>
      <c r="W72" s="194" t="s">
        <v>864</v>
      </c>
      <c r="X72" s="194" t="s">
        <v>865</v>
      </c>
      <c r="Y72" s="358" t="s">
        <v>866</v>
      </c>
      <c r="Z72" s="358"/>
      <c r="AA72" s="358"/>
      <c r="AB72" s="358"/>
      <c r="AC72" s="358"/>
      <c r="AD72" s="358"/>
      <c r="AE72" s="358"/>
      <c r="AF72" s="218" t="s">
        <v>867</v>
      </c>
    </row>
    <row r="73" spans="1:32" ht="20.399999999999999">
      <c r="C73" s="44" t="s">
        <v>75</v>
      </c>
      <c r="V73" s="336" t="s">
        <v>868</v>
      </c>
      <c r="W73" s="111" t="s">
        <v>869</v>
      </c>
      <c r="X73" s="111" t="s">
        <v>1425</v>
      </c>
      <c r="Y73" s="345" t="s">
        <v>870</v>
      </c>
      <c r="Z73" s="345"/>
      <c r="AA73" s="345"/>
      <c r="AB73" s="345"/>
      <c r="AC73" s="345"/>
      <c r="AD73" s="345"/>
      <c r="AE73" s="345"/>
      <c r="AF73" s="161" t="s">
        <v>871</v>
      </c>
    </row>
    <row r="74" spans="1:32" ht="21" thickBot="1">
      <c r="C74" s="44" t="s">
        <v>76</v>
      </c>
      <c r="V74" s="342"/>
      <c r="W74" s="133" t="s">
        <v>872</v>
      </c>
      <c r="X74" s="219" t="s">
        <v>457</v>
      </c>
      <c r="Y74" s="346" t="s">
        <v>870</v>
      </c>
      <c r="Z74" s="346"/>
      <c r="AA74" s="346"/>
      <c r="AB74" s="346"/>
      <c r="AC74" s="346"/>
      <c r="AD74" s="346"/>
      <c r="AE74" s="346"/>
      <c r="AF74" s="195" t="s">
        <v>871</v>
      </c>
    </row>
    <row r="75" spans="1:32" ht="21" thickBot="1">
      <c r="C75" s="44" t="s">
        <v>77</v>
      </c>
      <c r="V75" s="196" t="s">
        <v>874</v>
      </c>
      <c r="W75" s="137" t="s">
        <v>875</v>
      </c>
      <c r="X75" s="137" t="s">
        <v>1426</v>
      </c>
      <c r="Y75" s="359" t="s">
        <v>870</v>
      </c>
      <c r="Z75" s="359"/>
      <c r="AA75" s="359"/>
      <c r="AB75" s="359"/>
      <c r="AC75" s="359"/>
      <c r="AD75" s="359"/>
      <c r="AE75" s="359"/>
      <c r="AF75" s="197" t="s">
        <v>871</v>
      </c>
    </row>
    <row r="76" spans="1:32" ht="20.399999999999999">
      <c r="C76" s="44" t="s">
        <v>78</v>
      </c>
      <c r="V76" s="336" t="s">
        <v>877</v>
      </c>
      <c r="W76" s="111" t="s">
        <v>846</v>
      </c>
      <c r="X76" s="354">
        <v>653100</v>
      </c>
      <c r="Y76" s="354"/>
      <c r="Z76" s="354"/>
      <c r="AA76" s="354"/>
      <c r="AB76" s="354"/>
      <c r="AC76" s="354"/>
      <c r="AD76" s="354"/>
      <c r="AE76" s="354"/>
      <c r="AF76" s="161"/>
    </row>
    <row r="77" spans="1:32" ht="21" thickBot="1">
      <c r="C77" s="44" t="s">
        <v>79</v>
      </c>
      <c r="V77" s="329"/>
      <c r="W77" s="125" t="s">
        <v>847</v>
      </c>
      <c r="X77" s="355">
        <v>914400</v>
      </c>
      <c r="Y77" s="355"/>
      <c r="Z77" s="355"/>
      <c r="AA77" s="355"/>
      <c r="AB77" s="355"/>
      <c r="AC77" s="355"/>
      <c r="AD77" s="355"/>
      <c r="AE77" s="355"/>
      <c r="AF77" s="208"/>
    </row>
    <row r="78" spans="1:32" ht="20.399999999999999">
      <c r="C78" s="44" t="s">
        <v>80</v>
      </c>
      <c r="V78" s="336" t="s">
        <v>878</v>
      </c>
      <c r="W78" s="343" t="s">
        <v>1427</v>
      </c>
      <c r="X78" s="345" t="s">
        <v>879</v>
      </c>
      <c r="Y78" s="111" t="s">
        <v>880</v>
      </c>
      <c r="Z78" s="111">
        <v>304</v>
      </c>
      <c r="AA78" s="111" t="s">
        <v>881</v>
      </c>
      <c r="AB78" s="111" t="s">
        <v>882</v>
      </c>
      <c r="AC78" s="111" t="s">
        <v>883</v>
      </c>
      <c r="AD78" s="111" t="s">
        <v>884</v>
      </c>
      <c r="AE78" s="111" t="s">
        <v>885</v>
      </c>
      <c r="AF78" s="161"/>
    </row>
    <row r="79" spans="1:32" ht="20.399999999999999">
      <c r="C79" s="45"/>
      <c r="V79" s="337"/>
      <c r="W79" s="356"/>
      <c r="X79" s="357"/>
      <c r="Y79" s="116">
        <v>1060500</v>
      </c>
      <c r="Z79" s="116">
        <v>769420</v>
      </c>
      <c r="AA79" s="116">
        <v>1412360</v>
      </c>
      <c r="AB79" s="116">
        <v>609470</v>
      </c>
      <c r="AC79" s="116">
        <v>1395610</v>
      </c>
      <c r="AD79" s="116">
        <v>1825616</v>
      </c>
      <c r="AE79" s="293">
        <v>4860000</v>
      </c>
      <c r="AF79" s="214" t="s">
        <v>886</v>
      </c>
    </row>
    <row r="80" spans="1:32" ht="21" thickBot="1">
      <c r="C80" s="44" t="s">
        <v>81</v>
      </c>
      <c r="V80" s="132" t="s">
        <v>887</v>
      </c>
      <c r="W80" s="286" t="s">
        <v>1428</v>
      </c>
      <c r="X80" s="133" t="s">
        <v>909</v>
      </c>
      <c r="Y80" s="134">
        <v>30380</v>
      </c>
      <c r="Z80" s="134">
        <v>22010</v>
      </c>
      <c r="AA80" s="134">
        <v>46230</v>
      </c>
      <c r="AB80" s="134">
        <v>17700</v>
      </c>
      <c r="AC80" s="134">
        <v>50920</v>
      </c>
      <c r="AD80" s="134">
        <v>60099</v>
      </c>
      <c r="AE80" s="134">
        <v>369600</v>
      </c>
      <c r="AF80" s="195" t="s">
        <v>889</v>
      </c>
    </row>
    <row r="81" spans="3:32" ht="20.399999999999999">
      <c r="C81" s="46" t="s">
        <v>82</v>
      </c>
      <c r="V81" s="331" t="s">
        <v>890</v>
      </c>
      <c r="W81" s="352" t="s">
        <v>1429</v>
      </c>
      <c r="X81" s="328" t="s">
        <v>879</v>
      </c>
      <c r="Y81" s="198">
        <v>304</v>
      </c>
      <c r="Z81" s="198" t="s">
        <v>880</v>
      </c>
      <c r="AA81" s="198" t="s">
        <v>892</v>
      </c>
      <c r="AB81" s="199"/>
      <c r="AC81" s="199"/>
      <c r="AD81" s="199"/>
      <c r="AE81" s="199"/>
      <c r="AF81" s="206"/>
    </row>
    <row r="82" spans="3:32" ht="21" thickBot="1">
      <c r="C82" s="46" t="s">
        <v>83</v>
      </c>
      <c r="V82" s="329"/>
      <c r="W82" s="353"/>
      <c r="X82" s="327"/>
      <c r="Y82" s="126">
        <v>560000</v>
      </c>
      <c r="Z82" s="126">
        <v>698000</v>
      </c>
      <c r="AA82" s="126">
        <v>108000</v>
      </c>
      <c r="AB82" s="200"/>
      <c r="AC82" s="200"/>
      <c r="AD82" s="200"/>
      <c r="AE82" s="200"/>
      <c r="AF82" s="208"/>
    </row>
    <row r="83" spans="3:32" ht="20.399999999999999">
      <c r="C83" s="46" t="s">
        <v>84</v>
      </c>
      <c r="V83" s="336" t="s">
        <v>893</v>
      </c>
      <c r="W83" s="343" t="s">
        <v>1430</v>
      </c>
      <c r="X83" s="345" t="s">
        <v>879</v>
      </c>
      <c r="Y83" s="111" t="s">
        <v>895</v>
      </c>
      <c r="Z83" s="111" t="s">
        <v>896</v>
      </c>
      <c r="AA83" s="201"/>
      <c r="AB83" s="201"/>
      <c r="AC83" s="201"/>
      <c r="AD83" s="201"/>
      <c r="AE83" s="201"/>
      <c r="AF83" s="161"/>
    </row>
    <row r="84" spans="3:32" ht="21" thickBot="1">
      <c r="C84" s="46" t="s">
        <v>85</v>
      </c>
      <c r="V84" s="342"/>
      <c r="W84" s="344"/>
      <c r="X84" s="346"/>
      <c r="Y84" s="296">
        <v>292000</v>
      </c>
      <c r="Z84" s="296">
        <v>250000</v>
      </c>
      <c r="AA84" s="203"/>
      <c r="AB84" s="203"/>
      <c r="AC84" s="203"/>
      <c r="AD84" s="203"/>
      <c r="AE84" s="203"/>
      <c r="AF84" s="195" t="s">
        <v>958</v>
      </c>
    </row>
    <row r="85" spans="3:32" ht="21" thickBot="1">
      <c r="C85" s="46" t="s">
        <v>86</v>
      </c>
      <c r="V85" s="170" t="s">
        <v>898</v>
      </c>
      <c r="W85" s="288" t="s">
        <v>1431</v>
      </c>
      <c r="X85" s="125" t="s">
        <v>463</v>
      </c>
      <c r="Y85" s="126">
        <v>40500</v>
      </c>
      <c r="Z85" s="200"/>
      <c r="AA85" s="200"/>
      <c r="AB85" s="200"/>
      <c r="AC85" s="200"/>
      <c r="AD85" s="200"/>
      <c r="AE85" s="200"/>
      <c r="AF85" s="208"/>
    </row>
    <row r="86" spans="3:32" ht="21" thickBot="1">
      <c r="C86" s="46" t="s">
        <v>87</v>
      </c>
      <c r="V86" s="193" t="s">
        <v>904</v>
      </c>
      <c r="W86" s="289" t="s">
        <v>1432</v>
      </c>
      <c r="X86" s="194" t="s">
        <v>463</v>
      </c>
      <c r="Y86" s="210">
        <v>6900</v>
      </c>
      <c r="Z86" s="211"/>
      <c r="AA86" s="211"/>
      <c r="AB86" s="211"/>
      <c r="AC86" s="211"/>
      <c r="AD86" s="211"/>
      <c r="AE86" s="211"/>
      <c r="AF86" s="218"/>
    </row>
    <row r="87" spans="3:32" ht="20.399999999999999">
      <c r="C87" s="46" t="s">
        <v>88</v>
      </c>
      <c r="V87" s="336" t="s">
        <v>906</v>
      </c>
      <c r="W87" s="345"/>
      <c r="X87" s="345"/>
      <c r="Y87" s="111" t="s">
        <v>853</v>
      </c>
      <c r="Z87" s="111" t="s">
        <v>462</v>
      </c>
      <c r="AA87" s="111" t="s">
        <v>855</v>
      </c>
      <c r="AB87" s="201"/>
      <c r="AC87" s="201"/>
      <c r="AD87" s="201"/>
      <c r="AE87" s="201"/>
      <c r="AF87" s="161"/>
    </row>
    <row r="88" spans="3:32" ht="20.399999999999999">
      <c r="C88" s="47" t="s">
        <v>89</v>
      </c>
      <c r="V88" s="119" t="s">
        <v>907</v>
      </c>
      <c r="W88" s="290" t="s">
        <v>1433</v>
      </c>
      <c r="X88" s="115" t="s">
        <v>1081</v>
      </c>
      <c r="Y88" s="116">
        <v>7200</v>
      </c>
      <c r="Z88" s="116">
        <v>8000</v>
      </c>
      <c r="AA88" s="116">
        <v>4300</v>
      </c>
      <c r="AB88" s="213"/>
      <c r="AC88" s="213"/>
      <c r="AD88" s="213"/>
      <c r="AE88" s="213"/>
      <c r="AF88" s="214" t="s">
        <v>910</v>
      </c>
    </row>
    <row r="89" spans="3:32" ht="20.399999999999999">
      <c r="C89" s="48"/>
      <c r="V89" s="119" t="s">
        <v>911</v>
      </c>
      <c r="W89" s="290" t="s">
        <v>1150</v>
      </c>
      <c r="X89" s="115" t="s">
        <v>915</v>
      </c>
      <c r="Y89" s="116">
        <v>32000</v>
      </c>
      <c r="Z89" s="116">
        <v>42000</v>
      </c>
      <c r="AA89" s="116">
        <v>22000</v>
      </c>
      <c r="AB89" s="213"/>
      <c r="AC89" s="213"/>
      <c r="AD89" s="213"/>
      <c r="AE89" s="213"/>
      <c r="AF89" s="214" t="s">
        <v>910</v>
      </c>
    </row>
    <row r="90" spans="3:32" ht="20.399999999999999">
      <c r="C90" s="46" t="s">
        <v>38</v>
      </c>
      <c r="V90" s="119" t="s">
        <v>913</v>
      </c>
      <c r="W90" s="290" t="s">
        <v>1129</v>
      </c>
      <c r="X90" s="115" t="s">
        <v>909</v>
      </c>
      <c r="Y90" s="116">
        <v>6000</v>
      </c>
      <c r="Z90" s="116">
        <v>6000</v>
      </c>
      <c r="AA90" s="116">
        <v>3000</v>
      </c>
      <c r="AB90" s="213"/>
      <c r="AC90" s="213"/>
      <c r="AD90" s="213"/>
      <c r="AE90" s="213"/>
      <c r="AF90" s="214" t="s">
        <v>910</v>
      </c>
    </row>
    <row r="91" spans="3:32" ht="20.399999999999999">
      <c r="C91" s="44" t="s">
        <v>90</v>
      </c>
      <c r="V91" s="119" t="s">
        <v>913</v>
      </c>
      <c r="W91" s="290" t="s">
        <v>1130</v>
      </c>
      <c r="X91" s="115" t="s">
        <v>1098</v>
      </c>
      <c r="Y91" s="116">
        <v>6000</v>
      </c>
      <c r="Z91" s="116">
        <v>6500</v>
      </c>
      <c r="AA91" s="116">
        <v>3000</v>
      </c>
      <c r="AB91" s="213"/>
      <c r="AC91" s="213"/>
      <c r="AD91" s="213"/>
      <c r="AE91" s="213"/>
      <c r="AF91" s="214" t="s">
        <v>910</v>
      </c>
    </row>
    <row r="92" spans="3:32" ht="20.399999999999999">
      <c r="C92" s="46" t="s">
        <v>91</v>
      </c>
      <c r="V92" s="119" t="s">
        <v>916</v>
      </c>
      <c r="W92" s="290" t="s">
        <v>1122</v>
      </c>
      <c r="X92" s="115" t="s">
        <v>915</v>
      </c>
      <c r="Y92" s="116">
        <v>3000</v>
      </c>
      <c r="Z92" s="116">
        <v>5500</v>
      </c>
      <c r="AA92" s="116">
        <v>2000</v>
      </c>
      <c r="AB92" s="213"/>
      <c r="AC92" s="213"/>
      <c r="AD92" s="213"/>
      <c r="AE92" s="213"/>
      <c r="AF92" s="214" t="s">
        <v>910</v>
      </c>
    </row>
    <row r="93" spans="3:32" ht="21" thickBot="1">
      <c r="C93" s="46" t="s">
        <v>92</v>
      </c>
      <c r="V93" s="170" t="s">
        <v>918</v>
      </c>
      <c r="W93" s="288" t="s">
        <v>1140</v>
      </c>
      <c r="X93" s="125" t="s">
        <v>1081</v>
      </c>
      <c r="Y93" s="126">
        <v>7000</v>
      </c>
      <c r="Z93" s="126">
        <v>7800</v>
      </c>
      <c r="AA93" s="126">
        <v>5000</v>
      </c>
      <c r="AB93" s="200"/>
      <c r="AC93" s="200"/>
      <c r="AD93" s="200"/>
      <c r="AE93" s="200"/>
      <c r="AF93" s="208" t="s">
        <v>910</v>
      </c>
    </row>
    <row r="94" spans="3:32" ht="18" thickBot="1">
      <c r="V94" s="105" t="s">
        <v>920</v>
      </c>
      <c r="W94" s="291" t="s">
        <v>1434</v>
      </c>
      <c r="X94" s="103" t="s">
        <v>879</v>
      </c>
      <c r="Y94" s="216">
        <v>276100</v>
      </c>
      <c r="Z94" s="217"/>
      <c r="AA94" s="217"/>
      <c r="AB94" s="217"/>
      <c r="AC94" s="217"/>
      <c r="AD94" s="217"/>
      <c r="AE94" s="217"/>
      <c r="AF94" s="107"/>
    </row>
    <row r="95" spans="3:32" ht="14.4">
      <c r="V95" s="336" t="s">
        <v>922</v>
      </c>
      <c r="W95" s="345"/>
      <c r="X95" s="345"/>
      <c r="Y95" s="111" t="s">
        <v>923</v>
      </c>
      <c r="Z95" s="111" t="s">
        <v>924</v>
      </c>
      <c r="AA95" s="201"/>
      <c r="AB95" s="201"/>
      <c r="AC95" s="201"/>
      <c r="AD95" s="201"/>
      <c r="AE95" s="201"/>
      <c r="AF95" s="161"/>
    </row>
    <row r="96" spans="3:32" s="228" customFormat="1" ht="17.399999999999999">
      <c r="C96" s="227"/>
      <c r="V96" s="170" t="s">
        <v>925</v>
      </c>
      <c r="W96" s="290" t="s">
        <v>1435</v>
      </c>
      <c r="X96" s="115" t="s">
        <v>879</v>
      </c>
      <c r="Y96" s="116">
        <v>228600</v>
      </c>
      <c r="Z96" s="116">
        <v>142000</v>
      </c>
      <c r="AA96" s="213"/>
      <c r="AB96" s="213"/>
      <c r="AC96" s="213"/>
      <c r="AD96" s="213"/>
      <c r="AE96" s="213"/>
      <c r="AF96" s="214" t="s">
        <v>889</v>
      </c>
    </row>
    <row r="97" spans="3:32" s="228" customFormat="1" ht="17.399999999999999">
      <c r="C97" s="227"/>
      <c r="V97" s="170" t="s">
        <v>926</v>
      </c>
      <c r="W97" s="290" t="s">
        <v>1436</v>
      </c>
      <c r="X97" s="115" t="s">
        <v>879</v>
      </c>
      <c r="Y97" s="116">
        <v>188800</v>
      </c>
      <c r="Z97" s="116">
        <v>119000</v>
      </c>
      <c r="AA97" s="213"/>
      <c r="AB97" s="213"/>
      <c r="AC97" s="213"/>
      <c r="AD97" s="213"/>
      <c r="AE97" s="213"/>
      <c r="AF97" s="214" t="s">
        <v>889</v>
      </c>
    </row>
    <row r="98" spans="3:32" ht="17.399999999999999">
      <c r="V98" s="119" t="s">
        <v>927</v>
      </c>
      <c r="W98" s="290" t="s">
        <v>1437</v>
      </c>
      <c r="X98" s="115" t="s">
        <v>879</v>
      </c>
      <c r="Y98" s="116">
        <v>189200</v>
      </c>
      <c r="Z98" s="116">
        <v>221000</v>
      </c>
      <c r="AA98" s="213"/>
      <c r="AB98" s="213"/>
      <c r="AC98" s="213"/>
      <c r="AD98" s="213"/>
      <c r="AE98" s="213"/>
      <c r="AF98" s="214" t="s">
        <v>889</v>
      </c>
    </row>
    <row r="99" spans="3:32" ht="17.399999999999999">
      <c r="V99" s="119" t="s">
        <v>929</v>
      </c>
      <c r="W99" s="290" t="s">
        <v>1438</v>
      </c>
      <c r="X99" s="115" t="s">
        <v>879</v>
      </c>
      <c r="Y99" s="116">
        <v>30200</v>
      </c>
      <c r="Z99" s="116">
        <v>46400</v>
      </c>
      <c r="AA99" s="213"/>
      <c r="AB99" s="213"/>
      <c r="AC99" s="213"/>
      <c r="AD99" s="213"/>
      <c r="AE99" s="213"/>
      <c r="AF99" s="214" t="s">
        <v>889</v>
      </c>
    </row>
    <row r="100" spans="3:32" ht="17.399999999999999">
      <c r="V100" s="119" t="s">
        <v>931</v>
      </c>
      <c r="W100" s="290" t="s">
        <v>1439</v>
      </c>
      <c r="X100" s="115" t="s">
        <v>879</v>
      </c>
      <c r="Y100" s="116">
        <v>46800</v>
      </c>
      <c r="Z100" s="116">
        <v>52000</v>
      </c>
      <c r="AA100" s="213"/>
      <c r="AB100" s="213"/>
      <c r="AC100" s="213"/>
      <c r="AD100" s="213"/>
      <c r="AE100" s="213"/>
      <c r="AF100" s="214" t="s">
        <v>889</v>
      </c>
    </row>
    <row r="101" spans="3:32" ht="17.399999999999999">
      <c r="V101" s="119" t="s">
        <v>933</v>
      </c>
      <c r="W101" s="290" t="s">
        <v>1440</v>
      </c>
      <c r="X101" s="115" t="s">
        <v>879</v>
      </c>
      <c r="Y101" s="116">
        <v>28700</v>
      </c>
      <c r="Z101" s="116">
        <v>27800</v>
      </c>
      <c r="AA101" s="213"/>
      <c r="AB101" s="213"/>
      <c r="AC101" s="213"/>
      <c r="AD101" s="213"/>
      <c r="AE101" s="213"/>
      <c r="AF101" s="214" t="s">
        <v>889</v>
      </c>
    </row>
    <row r="102" spans="3:32" ht="14.4" customHeight="1">
      <c r="V102" s="119" t="s">
        <v>933</v>
      </c>
      <c r="W102" s="290" t="s">
        <v>1441</v>
      </c>
      <c r="X102" s="115" t="s">
        <v>879</v>
      </c>
      <c r="Y102" s="116">
        <v>29900</v>
      </c>
      <c r="Z102" s="116">
        <v>35200</v>
      </c>
      <c r="AA102" s="213"/>
      <c r="AB102" s="213"/>
      <c r="AC102" s="213"/>
      <c r="AD102" s="213"/>
      <c r="AE102" s="213"/>
      <c r="AF102" s="214" t="s">
        <v>889</v>
      </c>
    </row>
    <row r="103" spans="3:32" ht="15" customHeight="1" thickBot="1">
      <c r="V103" s="132" t="s">
        <v>935</v>
      </c>
      <c r="W103" s="286" t="s">
        <v>1442</v>
      </c>
      <c r="X103" s="133" t="s">
        <v>888</v>
      </c>
      <c r="Y103" s="134">
        <v>22500</v>
      </c>
      <c r="Z103" s="134">
        <v>76800</v>
      </c>
      <c r="AA103" s="203"/>
      <c r="AB103" s="203"/>
      <c r="AC103" s="203"/>
      <c r="AD103" s="203"/>
      <c r="AE103" s="203"/>
      <c r="AF103" s="195" t="s">
        <v>889</v>
      </c>
    </row>
    <row r="104" spans="3:32" ht="14.4" customHeight="1">
      <c r="V104" s="331" t="s">
        <v>937</v>
      </c>
      <c r="W104" s="352" t="s">
        <v>1443</v>
      </c>
      <c r="X104" s="328" t="s">
        <v>879</v>
      </c>
      <c r="Y104" s="198" t="s">
        <v>741</v>
      </c>
      <c r="Z104" s="198">
        <v>316</v>
      </c>
      <c r="AA104" s="198">
        <v>304</v>
      </c>
      <c r="AB104" s="199"/>
      <c r="AC104" s="199"/>
      <c r="AD104" s="199"/>
      <c r="AE104" s="199"/>
      <c r="AF104" s="347" t="s">
        <v>940</v>
      </c>
    </row>
    <row r="105" spans="3:32" ht="15" customHeight="1" thickBot="1">
      <c r="V105" s="329"/>
      <c r="W105" s="353"/>
      <c r="X105" s="327"/>
      <c r="Y105" s="126">
        <v>35420</v>
      </c>
      <c r="Z105" s="126">
        <v>139700</v>
      </c>
      <c r="AA105" s="126">
        <v>94205</v>
      </c>
      <c r="AB105" s="200"/>
      <c r="AC105" s="200"/>
      <c r="AD105" s="200"/>
      <c r="AE105" s="200"/>
      <c r="AF105" s="348"/>
    </row>
    <row r="106" spans="3:32" ht="14.4">
      <c r="V106" s="336" t="s">
        <v>985</v>
      </c>
      <c r="W106" s="343" t="s">
        <v>1127</v>
      </c>
      <c r="X106" s="111" t="s">
        <v>986</v>
      </c>
      <c r="Y106" s="111" t="s">
        <v>466</v>
      </c>
      <c r="Z106" s="111" t="s">
        <v>988</v>
      </c>
      <c r="AA106" s="111" t="s">
        <v>989</v>
      </c>
      <c r="AB106" s="111" t="s">
        <v>990</v>
      </c>
      <c r="AC106" s="201"/>
      <c r="AD106" s="201"/>
      <c r="AE106" s="201"/>
      <c r="AF106" s="347" t="s">
        <v>991</v>
      </c>
    </row>
    <row r="107" spans="3:32" ht="15" thickBot="1">
      <c r="V107" s="342"/>
      <c r="W107" s="344"/>
      <c r="X107" s="221">
        <v>140</v>
      </c>
      <c r="Y107" s="433" t="s">
        <v>870</v>
      </c>
      <c r="Z107" s="434"/>
      <c r="AA107" s="134">
        <v>90000</v>
      </c>
      <c r="AB107" s="134">
        <v>120000</v>
      </c>
      <c r="AC107" s="203"/>
      <c r="AD107" s="203"/>
      <c r="AE107" s="203"/>
      <c r="AF107" s="348"/>
    </row>
    <row r="114" spans="22:32" ht="13.8" thickBot="1"/>
    <row r="115" spans="22:32" ht="30" customHeight="1">
      <c r="V115" s="336" t="s">
        <v>1516</v>
      </c>
      <c r="W115" s="338"/>
      <c r="X115" s="340"/>
      <c r="Y115" s="171" t="s">
        <v>1517</v>
      </c>
      <c r="Z115" s="171" t="s">
        <v>1518</v>
      </c>
      <c r="AA115" s="171" t="s">
        <v>1519</v>
      </c>
      <c r="AB115" s="171"/>
      <c r="AC115" s="171"/>
      <c r="AD115" s="171"/>
      <c r="AE115" s="171"/>
      <c r="AF115" s="172"/>
    </row>
    <row r="116" spans="22:32" ht="30" customHeight="1" thickBot="1">
      <c r="V116" s="337"/>
      <c r="W116" s="339"/>
      <c r="X116" s="341"/>
      <c r="Y116" s="173">
        <v>320000</v>
      </c>
      <c r="Z116" s="173">
        <f>IF(F8&gt;0,E8*520,IF(F9&gt;0,E9*520))</f>
        <v>473200</v>
      </c>
      <c r="AA116" s="173">
        <f>IF(F8&gt;0,E8*620,IF(F9&gt;0,E9*620))</f>
        <v>564200</v>
      </c>
      <c r="AB116" s="173"/>
      <c r="AC116" s="173"/>
      <c r="AD116" s="173"/>
      <c r="AE116" s="173"/>
      <c r="AF116" s="174"/>
    </row>
    <row r="117" spans="22:32" ht="30" customHeight="1">
      <c r="V117" s="336" t="s">
        <v>1520</v>
      </c>
      <c r="W117" s="338"/>
      <c r="X117" s="340"/>
      <c r="Y117" s="171" t="s">
        <v>1517</v>
      </c>
      <c r="Z117" s="171" t="s">
        <v>1521</v>
      </c>
      <c r="AA117" s="171"/>
      <c r="AB117" s="171"/>
      <c r="AC117" s="171"/>
      <c r="AD117" s="171"/>
      <c r="AE117" s="171"/>
      <c r="AF117" s="172"/>
    </row>
    <row r="118" spans="22:32" ht="30" customHeight="1" thickBot="1">
      <c r="V118" s="337"/>
      <c r="W118" s="339"/>
      <c r="X118" s="341"/>
      <c r="Y118" s="173">
        <v>400000</v>
      </c>
      <c r="Z118" s="173">
        <f>Y118</f>
        <v>400000</v>
      </c>
      <c r="AA118" s="173"/>
      <c r="AB118" s="173"/>
      <c r="AC118" s="173"/>
      <c r="AD118" s="173"/>
      <c r="AE118" s="173"/>
      <c r="AF118" s="174"/>
    </row>
    <row r="119" spans="22:32" ht="30" customHeight="1">
      <c r="V119" s="336" t="s">
        <v>1522</v>
      </c>
      <c r="W119" s="338"/>
      <c r="X119" s="340"/>
      <c r="Y119" s="171" t="s">
        <v>1523</v>
      </c>
      <c r="Z119" s="171" t="s">
        <v>1524</v>
      </c>
      <c r="AA119" s="171" t="s">
        <v>1525</v>
      </c>
      <c r="AB119" s="171"/>
      <c r="AC119" s="171"/>
      <c r="AD119" s="171"/>
      <c r="AE119" s="171"/>
      <c r="AF119" s="172"/>
    </row>
    <row r="120" spans="22:32" ht="30" customHeight="1">
      <c r="V120" s="337"/>
      <c r="W120" s="339"/>
      <c r="X120" s="341"/>
      <c r="Y120" s="306">
        <v>530000</v>
      </c>
      <c r="Z120" s="306">
        <v>650000</v>
      </c>
      <c r="AA120" s="306">
        <v>1650000</v>
      </c>
      <c r="AB120" s="173"/>
      <c r="AC120" s="173"/>
      <c r="AD120" s="173"/>
      <c r="AE120" s="173"/>
      <c r="AF120" s="174"/>
    </row>
  </sheetData>
  <mergeCells count="65">
    <mergeCell ref="A1:S1"/>
    <mergeCell ref="A3:B4"/>
    <mergeCell ref="C3:C4"/>
    <mergeCell ref="D3:D4"/>
    <mergeCell ref="E3:E4"/>
    <mergeCell ref="F3:F4"/>
    <mergeCell ref="G3:G4"/>
    <mergeCell ref="H3:Q4"/>
    <mergeCell ref="R3:R4"/>
    <mergeCell ref="S3:S4"/>
    <mergeCell ref="A66:F66"/>
    <mergeCell ref="T3:T7"/>
    <mergeCell ref="V3:V7"/>
    <mergeCell ref="A5:B7"/>
    <mergeCell ref="C5:C7"/>
    <mergeCell ref="D5:D7"/>
    <mergeCell ref="E5:G6"/>
    <mergeCell ref="H5:H6"/>
    <mergeCell ref="I5:Q5"/>
    <mergeCell ref="R5:R7"/>
    <mergeCell ref="S5:S7"/>
    <mergeCell ref="A8:A61"/>
    <mergeCell ref="A62:F62"/>
    <mergeCell ref="A63:F63"/>
    <mergeCell ref="A64:F64"/>
    <mergeCell ref="A65:F65"/>
    <mergeCell ref="A67:F67"/>
    <mergeCell ref="A68:F68"/>
    <mergeCell ref="A69:G70"/>
    <mergeCell ref="Y72:AE72"/>
    <mergeCell ref="V73:V74"/>
    <mergeCell ref="Y73:AE73"/>
    <mergeCell ref="Y74:AE74"/>
    <mergeCell ref="Y75:AE75"/>
    <mergeCell ref="V76:V77"/>
    <mergeCell ref="X76:AE76"/>
    <mergeCell ref="X77:AE77"/>
    <mergeCell ref="V78:V79"/>
    <mergeCell ref="W78:W79"/>
    <mergeCell ref="X78:X79"/>
    <mergeCell ref="V95:X95"/>
    <mergeCell ref="X104:X105"/>
    <mergeCell ref="V87:X87"/>
    <mergeCell ref="V81:V82"/>
    <mergeCell ref="W81:W82"/>
    <mergeCell ref="X81:X82"/>
    <mergeCell ref="V83:V84"/>
    <mergeCell ref="W83:W84"/>
    <mergeCell ref="X83:X84"/>
    <mergeCell ref="V106:V107"/>
    <mergeCell ref="W106:W107"/>
    <mergeCell ref="AF106:AF107"/>
    <mergeCell ref="Y107:Z107"/>
    <mergeCell ref="V104:V105"/>
    <mergeCell ref="W104:W105"/>
    <mergeCell ref="AF104:AF105"/>
    <mergeCell ref="V119:V120"/>
    <mergeCell ref="W119:W120"/>
    <mergeCell ref="X119:X120"/>
    <mergeCell ref="V115:V116"/>
    <mergeCell ref="W115:W116"/>
    <mergeCell ref="X115:X116"/>
    <mergeCell ref="V117:V118"/>
    <mergeCell ref="W117:W118"/>
    <mergeCell ref="X117:X118"/>
  </mergeCells>
  <phoneticPr fontId="3" type="noConversion"/>
  <printOptions horizontalCentered="1"/>
  <pageMargins left="0.39370078740157483" right="0.39370078740157483" top="0.39370078740157483" bottom="0.15748031496062992" header="0.51181102362204722" footer="0.51181102362204722"/>
  <pageSetup paperSize="9" scale="45" orientation="portrait" r:id="rId1"/>
  <headerFooter alignWithMargins="0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FF00"/>
  </sheetPr>
  <dimension ref="A1:AF120"/>
  <sheetViews>
    <sheetView showGridLines="0" view="pageBreakPreview" topLeftCell="A83" zoomScale="70" zoomScaleNormal="55" zoomScaleSheetLayoutView="70" workbookViewId="0">
      <selection activeCell="Y116" sqref="Y116"/>
    </sheetView>
  </sheetViews>
  <sheetFormatPr defaultColWidth="8.8984375" defaultRowHeight="13.2"/>
  <cols>
    <col min="1" max="1" width="3.3984375" style="3" customWidth="1"/>
    <col min="2" max="2" width="9.5" style="3" customWidth="1"/>
    <col min="3" max="3" width="25.19921875" style="49" customWidth="1"/>
    <col min="4" max="5" width="13.09765625" style="3" customWidth="1"/>
    <col min="6" max="7" width="15.09765625" style="3" customWidth="1"/>
    <col min="8" max="8" width="15.09765625" style="3" hidden="1" customWidth="1"/>
    <col min="9" max="17" width="15.69921875" style="3" hidden="1" customWidth="1"/>
    <col min="18" max="18" width="15.69921875" style="3" customWidth="1"/>
    <col min="19" max="19" width="26.8984375" style="3" customWidth="1"/>
    <col min="20" max="20" width="30.09765625" style="3" customWidth="1"/>
    <col min="21" max="21" width="15.3984375" style="3" bestFit="1" customWidth="1"/>
    <col min="22" max="22" width="48.3984375" style="3" bestFit="1" customWidth="1"/>
    <col min="23" max="23" width="45.3984375" style="3" bestFit="1" customWidth="1"/>
    <col min="24" max="24" width="10.09765625" style="3" bestFit="1" customWidth="1"/>
    <col min="25" max="25" width="11.5" style="3" bestFit="1" customWidth="1"/>
    <col min="26" max="26" width="12.5" style="3" bestFit="1" customWidth="1"/>
    <col min="27" max="27" width="12.09765625" style="3" bestFit="1" customWidth="1"/>
    <col min="28" max="28" width="13.09765625" style="3" bestFit="1" customWidth="1"/>
    <col min="29" max="30" width="11.5" style="3" bestFit="1" customWidth="1"/>
    <col min="31" max="31" width="13.3984375" style="3" bestFit="1" customWidth="1"/>
    <col min="32" max="32" width="19" style="3" bestFit="1" customWidth="1"/>
    <col min="33" max="16384" width="8.8984375" style="3"/>
  </cols>
  <sheetData>
    <row r="1" spans="1:22" s="2" customFormat="1" ht="51" customHeight="1" thickBot="1">
      <c r="A1" s="411" t="s">
        <v>1312</v>
      </c>
      <c r="B1" s="412"/>
      <c r="C1" s="412"/>
      <c r="D1" s="412"/>
      <c r="E1" s="412"/>
      <c r="F1" s="412"/>
      <c r="G1" s="412"/>
      <c r="H1" s="412"/>
      <c r="I1" s="412"/>
      <c r="J1" s="412"/>
      <c r="K1" s="412"/>
      <c r="L1" s="412"/>
      <c r="M1" s="412"/>
      <c r="N1" s="412"/>
      <c r="O1" s="412"/>
      <c r="P1" s="412"/>
      <c r="Q1" s="412"/>
      <c r="R1" s="412"/>
      <c r="S1" s="412"/>
      <c r="T1" s="1"/>
    </row>
    <row r="2" spans="1:22" s="2" customFormat="1" ht="30" customHeight="1" thickBot="1">
      <c r="A2" s="3"/>
      <c r="B2" s="3"/>
      <c r="T2" s="4" t="s">
        <v>0</v>
      </c>
    </row>
    <row r="3" spans="1:22" s="5" customFormat="1" ht="24" customHeight="1">
      <c r="A3" s="413" t="s">
        <v>93</v>
      </c>
      <c r="B3" s="414"/>
      <c r="C3" s="417" t="s">
        <v>98</v>
      </c>
      <c r="D3" s="419" t="s">
        <v>99</v>
      </c>
      <c r="E3" s="421" t="s">
        <v>1313</v>
      </c>
      <c r="F3" s="423" t="s">
        <v>94</v>
      </c>
      <c r="G3" s="425" t="str">
        <f>COVER!B9</f>
        <v>FLANGE</v>
      </c>
      <c r="H3" s="421" t="s">
        <v>5</v>
      </c>
      <c r="I3" s="427"/>
      <c r="J3" s="427"/>
      <c r="K3" s="427"/>
      <c r="L3" s="427"/>
      <c r="M3" s="427"/>
      <c r="N3" s="427"/>
      <c r="O3" s="427"/>
      <c r="P3" s="427"/>
      <c r="Q3" s="428"/>
      <c r="R3" s="423" t="s">
        <v>95</v>
      </c>
      <c r="S3" s="431" t="s">
        <v>100</v>
      </c>
      <c r="T3" s="381" t="s">
        <v>96</v>
      </c>
      <c r="V3" s="432"/>
    </row>
    <row r="4" spans="1:22" s="5" customFormat="1" ht="24" customHeight="1">
      <c r="A4" s="415"/>
      <c r="B4" s="416"/>
      <c r="C4" s="418"/>
      <c r="D4" s="420"/>
      <c r="E4" s="422"/>
      <c r="F4" s="424"/>
      <c r="G4" s="426"/>
      <c r="H4" s="422"/>
      <c r="I4" s="429"/>
      <c r="J4" s="429"/>
      <c r="K4" s="429"/>
      <c r="L4" s="429"/>
      <c r="M4" s="429"/>
      <c r="N4" s="429"/>
      <c r="O4" s="429"/>
      <c r="P4" s="429"/>
      <c r="Q4" s="430"/>
      <c r="R4" s="424"/>
      <c r="S4" s="410"/>
      <c r="T4" s="382"/>
      <c r="V4" s="432"/>
    </row>
    <row r="5" spans="1:22" s="5" customFormat="1" ht="24" customHeight="1">
      <c r="A5" s="384" t="s">
        <v>9</v>
      </c>
      <c r="B5" s="385"/>
      <c r="C5" s="390" t="s">
        <v>10</v>
      </c>
      <c r="D5" s="393" t="s">
        <v>11</v>
      </c>
      <c r="E5" s="396" t="s">
        <v>101</v>
      </c>
      <c r="F5" s="397"/>
      <c r="G5" s="398"/>
      <c r="H5" s="402" t="s">
        <v>102</v>
      </c>
      <c r="I5" s="404" t="s">
        <v>14</v>
      </c>
      <c r="J5" s="405"/>
      <c r="K5" s="405"/>
      <c r="L5" s="405"/>
      <c r="M5" s="405"/>
      <c r="N5" s="405"/>
      <c r="O5" s="405"/>
      <c r="P5" s="405"/>
      <c r="Q5" s="405"/>
      <c r="R5" s="406" t="s">
        <v>15</v>
      </c>
      <c r="S5" s="408" t="s">
        <v>16</v>
      </c>
      <c r="T5" s="382"/>
      <c r="V5" s="432"/>
    </row>
    <row r="6" spans="1:22" s="5" customFormat="1" ht="24" customHeight="1">
      <c r="A6" s="386"/>
      <c r="B6" s="387"/>
      <c r="C6" s="391"/>
      <c r="D6" s="394"/>
      <c r="E6" s="399"/>
      <c r="F6" s="400"/>
      <c r="G6" s="401"/>
      <c r="H6" s="403"/>
      <c r="I6" s="8" t="s">
        <v>17</v>
      </c>
      <c r="J6" s="8" t="s">
        <v>103</v>
      </c>
      <c r="K6" s="8" t="s">
        <v>104</v>
      </c>
      <c r="L6" s="9" t="s">
        <v>20</v>
      </c>
      <c r="M6" s="9" t="s">
        <v>21</v>
      </c>
      <c r="N6" s="8" t="s">
        <v>105</v>
      </c>
      <c r="O6" s="8" t="s">
        <v>106</v>
      </c>
      <c r="P6" s="8" t="s">
        <v>24</v>
      </c>
      <c r="Q6" s="10" t="s">
        <v>25</v>
      </c>
      <c r="R6" s="407"/>
      <c r="S6" s="409"/>
      <c r="T6" s="382"/>
      <c r="V6" s="432"/>
    </row>
    <row r="7" spans="1:22" ht="24" customHeight="1">
      <c r="A7" s="388"/>
      <c r="B7" s="389"/>
      <c r="C7" s="392"/>
      <c r="D7" s="395"/>
      <c r="E7" s="8" t="s">
        <v>26</v>
      </c>
      <c r="F7" s="8" t="s">
        <v>107</v>
      </c>
      <c r="G7" s="8" t="s">
        <v>108</v>
      </c>
      <c r="H7" s="8"/>
      <c r="I7" s="8" t="s">
        <v>109</v>
      </c>
      <c r="J7" s="8" t="s">
        <v>110</v>
      </c>
      <c r="K7" s="8" t="s">
        <v>31</v>
      </c>
      <c r="L7" s="9" t="s">
        <v>109</v>
      </c>
      <c r="M7" s="9" t="s">
        <v>32</v>
      </c>
      <c r="N7" s="8" t="s">
        <v>111</v>
      </c>
      <c r="O7" s="8" t="s">
        <v>34</v>
      </c>
      <c r="P7" s="8" t="s">
        <v>112</v>
      </c>
      <c r="Q7" s="10" t="s">
        <v>36</v>
      </c>
      <c r="R7" s="403"/>
      <c r="S7" s="410"/>
      <c r="T7" s="383"/>
      <c r="V7" s="432"/>
    </row>
    <row r="8" spans="1:22" ht="33" customHeight="1">
      <c r="A8" s="375" t="s">
        <v>37</v>
      </c>
      <c r="B8" s="11">
        <v>1</v>
      </c>
      <c r="C8" s="142" t="str">
        <f>COVER!A14</f>
        <v>BODY(LUG)</v>
      </c>
      <c r="D8" s="260">
        <f>COVER!B14</f>
        <v>0</v>
      </c>
      <c r="E8" s="307" t="s">
        <v>1173</v>
      </c>
      <c r="F8" s="308">
        <f>COVER!C14</f>
        <v>0</v>
      </c>
      <c r="G8" s="308">
        <v>0</v>
      </c>
      <c r="H8" s="308"/>
      <c r="I8" s="245">
        <f>I10*I9</f>
        <v>506706621524695.19</v>
      </c>
      <c r="J8" s="245">
        <f t="shared" ref="J8:Q8" si="0">J10*J9</f>
        <v>43341753052405.07</v>
      </c>
      <c r="K8" s="245">
        <f t="shared" si="0"/>
        <v>270470072536680.25</v>
      </c>
      <c r="L8" s="245">
        <f t="shared" si="0"/>
        <v>506706621524695.19</v>
      </c>
      <c r="M8" s="245">
        <f t="shared" si="0"/>
        <v>632417344857819.5</v>
      </c>
      <c r="N8" s="245">
        <f t="shared" si="0"/>
        <v>46528628303586.25</v>
      </c>
      <c r="O8" s="245">
        <f t="shared" si="0"/>
        <v>0</v>
      </c>
      <c r="P8" s="245">
        <f t="shared" si="0"/>
        <v>0</v>
      </c>
      <c r="Q8" s="245">
        <f t="shared" si="0"/>
        <v>10000000000000</v>
      </c>
      <c r="R8" s="245">
        <v>0</v>
      </c>
      <c r="S8" s="245">
        <f>G8+R8</f>
        <v>0</v>
      </c>
      <c r="T8" s="309" t="s">
        <v>1171</v>
      </c>
      <c r="V8" s="7"/>
    </row>
    <row r="9" spans="1:22" ht="33" customHeight="1">
      <c r="A9" s="376"/>
      <c r="B9" s="146" t="s">
        <v>1167</v>
      </c>
      <c r="C9" s="142" t="str">
        <f>COVER!A15</f>
        <v>BODY(FLANGE)</v>
      </c>
      <c r="D9" s="20" t="str">
        <f>COVER!B15</f>
        <v>A216 WCB</v>
      </c>
      <c r="E9" s="13">
        <v>1775</v>
      </c>
      <c r="F9" s="14">
        <f>COVER!C15</f>
        <v>4300</v>
      </c>
      <c r="G9" s="14">
        <f>F9*E9</f>
        <v>7632500</v>
      </c>
      <c r="H9" s="14"/>
      <c r="I9" s="15">
        <f>I11*I10</f>
        <v>13693182184.900002</v>
      </c>
      <c r="J9" s="15">
        <f t="shared" ref="J9:Q9" si="1">J11*J10</f>
        <v>2658301984.9000001</v>
      </c>
      <c r="K9" s="15">
        <f t="shared" si="1"/>
        <v>9010443027.6000004</v>
      </c>
      <c r="L9" s="15">
        <f t="shared" si="1"/>
        <v>13693182184.900002</v>
      </c>
      <c r="M9" s="15">
        <f t="shared" si="1"/>
        <v>15873371539.6</v>
      </c>
      <c r="N9" s="15">
        <f t="shared" si="1"/>
        <v>2787063302.5</v>
      </c>
      <c r="O9" s="15">
        <f t="shared" si="1"/>
        <v>0</v>
      </c>
      <c r="P9" s="15">
        <f t="shared" si="1"/>
        <v>0</v>
      </c>
      <c r="Q9" s="15">
        <f t="shared" si="1"/>
        <v>1000000000</v>
      </c>
      <c r="R9" s="15">
        <f>IF(COVER!C15&gt;0,900000*1.15,0)</f>
        <v>1034999.9999999999</v>
      </c>
      <c r="S9" s="15">
        <f t="shared" ref="S9:S62" si="2">G9+R9</f>
        <v>8667500</v>
      </c>
      <c r="T9" s="309" t="s">
        <v>1169</v>
      </c>
      <c r="V9" s="152">
        <f>R9</f>
        <v>1034999.9999999999</v>
      </c>
    </row>
    <row r="10" spans="1:22" ht="33" hidden="1" customHeight="1">
      <c r="A10" s="376"/>
      <c r="B10" s="11"/>
      <c r="C10" s="142"/>
      <c r="D10" s="20"/>
      <c r="E10" s="13"/>
      <c r="F10" s="14"/>
      <c r="G10" s="14"/>
      <c r="H10" s="14" t="s">
        <v>113</v>
      </c>
      <c r="I10" s="15">
        <f t="shared" ref="I10:Q10" si="3">I11/10</f>
        <v>37004.300000000003</v>
      </c>
      <c r="J10" s="15">
        <f t="shared" si="3"/>
        <v>16304.3</v>
      </c>
      <c r="K10" s="15">
        <f t="shared" si="3"/>
        <v>30017.4</v>
      </c>
      <c r="L10" s="15">
        <f t="shared" si="3"/>
        <v>37004.300000000003</v>
      </c>
      <c r="M10" s="15">
        <f t="shared" si="3"/>
        <v>39841.4</v>
      </c>
      <c r="N10" s="15">
        <f t="shared" si="3"/>
        <v>16694.5</v>
      </c>
      <c r="O10" s="15">
        <f t="shared" si="3"/>
        <v>0</v>
      </c>
      <c r="P10" s="15">
        <f t="shared" si="3"/>
        <v>0</v>
      </c>
      <c r="Q10" s="15">
        <f t="shared" si="3"/>
        <v>10000</v>
      </c>
      <c r="R10" s="15"/>
      <c r="S10" s="15">
        <f t="shared" si="2"/>
        <v>0</v>
      </c>
      <c r="T10" s="16"/>
      <c r="V10" s="7"/>
    </row>
    <row r="11" spans="1:22" ht="33" hidden="1" customHeight="1">
      <c r="A11" s="376"/>
      <c r="B11" s="11"/>
      <c r="C11" s="142"/>
      <c r="D11" s="20"/>
      <c r="E11" s="13"/>
      <c r="F11" s="14"/>
      <c r="G11" s="14"/>
      <c r="H11" s="17" t="s">
        <v>114</v>
      </c>
      <c r="I11" s="15">
        <v>370043</v>
      </c>
      <c r="J11" s="15">
        <v>163043</v>
      </c>
      <c r="K11" s="15">
        <v>300174</v>
      </c>
      <c r="L11" s="15">
        <v>370043</v>
      </c>
      <c r="M11" s="15">
        <v>398414</v>
      </c>
      <c r="N11" s="15">
        <v>166945</v>
      </c>
      <c r="O11" s="15">
        <v>0</v>
      </c>
      <c r="P11" s="15">
        <v>0</v>
      </c>
      <c r="Q11" s="15">
        <v>100000</v>
      </c>
      <c r="R11" s="15"/>
      <c r="S11" s="15">
        <f t="shared" si="2"/>
        <v>0</v>
      </c>
      <c r="T11" s="16"/>
      <c r="V11" s="7"/>
    </row>
    <row r="12" spans="1:22" s="19" customFormat="1" ht="33" customHeight="1">
      <c r="A12" s="376"/>
      <c r="B12" s="11">
        <v>2</v>
      </c>
      <c r="C12" s="142" t="s">
        <v>42</v>
      </c>
      <c r="D12" s="20" t="str">
        <f>COVER!B16</f>
        <v>A216 WCB</v>
      </c>
      <c r="E12" s="13">
        <v>490</v>
      </c>
      <c r="F12" s="14">
        <f>COVER!C16</f>
        <v>4300</v>
      </c>
      <c r="G12" s="14">
        <f>F12*E12</f>
        <v>2107000</v>
      </c>
      <c r="H12" s="14"/>
      <c r="I12" s="15">
        <f>I13*I14</f>
        <v>111012.90000000001</v>
      </c>
      <c r="J12" s="15">
        <f t="shared" ref="J12:Q12" si="4">J13*J14</f>
        <v>0</v>
      </c>
      <c r="K12" s="15">
        <f t="shared" si="4"/>
        <v>60034.8</v>
      </c>
      <c r="L12" s="15">
        <f t="shared" si="4"/>
        <v>111012.90000000001</v>
      </c>
      <c r="M12" s="15">
        <f t="shared" si="4"/>
        <v>0</v>
      </c>
      <c r="N12" s="15">
        <f t="shared" si="4"/>
        <v>0</v>
      </c>
      <c r="O12" s="15">
        <f t="shared" si="4"/>
        <v>0</v>
      </c>
      <c r="P12" s="15">
        <f t="shared" si="4"/>
        <v>0</v>
      </c>
      <c r="Q12" s="15">
        <f t="shared" si="4"/>
        <v>4000</v>
      </c>
      <c r="R12" s="15">
        <v>620999.99999999988</v>
      </c>
      <c r="S12" s="15">
        <f t="shared" si="2"/>
        <v>2728000</v>
      </c>
      <c r="T12" s="18"/>
      <c r="V12" s="7"/>
    </row>
    <row r="13" spans="1:22" s="19" customFormat="1" ht="33" hidden="1" customHeight="1">
      <c r="A13" s="376"/>
      <c r="B13" s="11"/>
      <c r="C13" s="142"/>
      <c r="D13" s="20"/>
      <c r="E13" s="13"/>
      <c r="F13" s="14"/>
      <c r="G13" s="14"/>
      <c r="H13" s="17" t="s">
        <v>115</v>
      </c>
      <c r="I13" s="21">
        <v>3</v>
      </c>
      <c r="J13" s="21">
        <v>0</v>
      </c>
      <c r="K13" s="21">
        <v>2</v>
      </c>
      <c r="L13" s="21">
        <v>3</v>
      </c>
      <c r="M13" s="21">
        <v>0</v>
      </c>
      <c r="N13" s="21">
        <v>0</v>
      </c>
      <c r="O13" s="21"/>
      <c r="P13" s="21"/>
      <c r="Q13" s="21">
        <v>0.4</v>
      </c>
      <c r="R13" s="15"/>
      <c r="S13" s="15">
        <f t="shared" si="2"/>
        <v>0</v>
      </c>
      <c r="T13" s="22"/>
      <c r="V13" s="7"/>
    </row>
    <row r="14" spans="1:22" s="19" customFormat="1" ht="33" hidden="1" customHeight="1">
      <c r="A14" s="376"/>
      <c r="B14" s="11"/>
      <c r="C14" s="142"/>
      <c r="D14" s="20"/>
      <c r="E14" s="13"/>
      <c r="F14" s="14"/>
      <c r="G14" s="14"/>
      <c r="H14" s="14" t="s">
        <v>116</v>
      </c>
      <c r="I14" s="15">
        <f>I15/10</f>
        <v>37004.300000000003</v>
      </c>
      <c r="J14" s="15">
        <f t="shared" ref="J14:Q14" si="5">J15/10</f>
        <v>16304.3</v>
      </c>
      <c r="K14" s="15">
        <f t="shared" si="5"/>
        <v>30017.4</v>
      </c>
      <c r="L14" s="15">
        <f t="shared" si="5"/>
        <v>37004.300000000003</v>
      </c>
      <c r="M14" s="15">
        <f t="shared" si="5"/>
        <v>39841.4</v>
      </c>
      <c r="N14" s="15">
        <f t="shared" si="5"/>
        <v>16694.5</v>
      </c>
      <c r="O14" s="15">
        <f t="shared" si="5"/>
        <v>0</v>
      </c>
      <c r="P14" s="15">
        <f t="shared" si="5"/>
        <v>0</v>
      </c>
      <c r="Q14" s="15">
        <f t="shared" si="5"/>
        <v>10000</v>
      </c>
      <c r="R14" s="15"/>
      <c r="S14" s="15">
        <f t="shared" si="2"/>
        <v>0</v>
      </c>
      <c r="T14" s="22"/>
      <c r="V14" s="7"/>
    </row>
    <row r="15" spans="1:22" s="19" customFormat="1" ht="33" hidden="1" customHeight="1">
      <c r="A15" s="376"/>
      <c r="B15" s="11"/>
      <c r="C15" s="142"/>
      <c r="D15" s="20"/>
      <c r="E15" s="13"/>
      <c r="F15" s="14"/>
      <c r="G15" s="14"/>
      <c r="H15" s="14" t="s">
        <v>117</v>
      </c>
      <c r="I15" s="15">
        <v>370043</v>
      </c>
      <c r="J15" s="15">
        <v>163043</v>
      </c>
      <c r="K15" s="15">
        <v>300174</v>
      </c>
      <c r="L15" s="15">
        <v>370043</v>
      </c>
      <c r="M15" s="15">
        <v>398414</v>
      </c>
      <c r="N15" s="15">
        <v>166945</v>
      </c>
      <c r="O15" s="15">
        <v>0</v>
      </c>
      <c r="P15" s="15">
        <v>0</v>
      </c>
      <c r="Q15" s="15">
        <v>100000</v>
      </c>
      <c r="R15" s="15"/>
      <c r="S15" s="15">
        <f t="shared" si="2"/>
        <v>0</v>
      </c>
      <c r="T15" s="22"/>
      <c r="V15" s="7"/>
    </row>
    <row r="16" spans="1:22" s="19" customFormat="1" ht="33" customHeight="1">
      <c r="A16" s="376"/>
      <c r="B16" s="11">
        <v>3</v>
      </c>
      <c r="C16" s="142" t="s">
        <v>952</v>
      </c>
      <c r="D16" s="20" t="str">
        <f>COVER!B19</f>
        <v>WCB+309+#6</v>
      </c>
      <c r="E16" s="13">
        <v>1</v>
      </c>
      <c r="F16" s="14">
        <f>IF(D16="SUS+#6",X76,IF(D16="WCB+309+#6",X77))</f>
        <v>1485800</v>
      </c>
      <c r="G16" s="14">
        <f>F16</f>
        <v>1485800</v>
      </c>
      <c r="H16" s="14"/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f t="shared" si="2"/>
        <v>1485800</v>
      </c>
      <c r="T16" s="22"/>
      <c r="V16" s="7"/>
    </row>
    <row r="17" spans="1:22" s="19" customFormat="1" ht="33" customHeight="1">
      <c r="A17" s="376"/>
      <c r="B17" s="11">
        <v>4</v>
      </c>
      <c r="C17" s="142" t="s">
        <v>1184</v>
      </c>
      <c r="D17" s="20" t="str">
        <f>COVER!B18</f>
        <v>A240T316L+GARPHITE</v>
      </c>
      <c r="E17" s="13">
        <v>1</v>
      </c>
      <c r="F17" s="14">
        <f>IF(D17="A240T316L+GARPHITE",Y84+Z84)</f>
        <v>638400</v>
      </c>
      <c r="G17" s="14">
        <f>F17*E17</f>
        <v>638400</v>
      </c>
      <c r="H17" s="14"/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f>Z84*1.3</f>
        <v>390000</v>
      </c>
      <c r="S17" s="15">
        <f t="shared" si="2"/>
        <v>1028400</v>
      </c>
      <c r="T17" s="22"/>
      <c r="V17" s="7"/>
    </row>
    <row r="18" spans="1:22" s="19" customFormat="1" ht="33" customHeight="1">
      <c r="A18" s="376"/>
      <c r="B18" s="11">
        <v>5</v>
      </c>
      <c r="C18" s="142" t="s">
        <v>852</v>
      </c>
      <c r="D18" s="24" t="str">
        <f>COVER!B20</f>
        <v>SS316L</v>
      </c>
      <c r="E18" s="13">
        <v>1</v>
      </c>
      <c r="F18" s="14">
        <f>IF(D18="SS304",Y82,IF(D18="SS316L",Z82))</f>
        <v>820000</v>
      </c>
      <c r="G18" s="14">
        <f>E18*F18</f>
        <v>820000</v>
      </c>
      <c r="H18" s="14"/>
      <c r="I18" s="15">
        <f>I19*I20</f>
        <v>74008.600000000006</v>
      </c>
      <c r="J18" s="15">
        <f t="shared" ref="J18:Q18" si="6">J19*J20</f>
        <v>32608.6</v>
      </c>
      <c r="K18" s="15">
        <f t="shared" si="6"/>
        <v>0</v>
      </c>
      <c r="L18" s="15">
        <f t="shared" si="6"/>
        <v>0</v>
      </c>
      <c r="M18" s="15">
        <f t="shared" si="6"/>
        <v>0</v>
      </c>
      <c r="N18" s="15">
        <f t="shared" si="6"/>
        <v>0</v>
      </c>
      <c r="O18" s="15">
        <f t="shared" si="6"/>
        <v>0</v>
      </c>
      <c r="P18" s="15">
        <f t="shared" si="6"/>
        <v>0</v>
      </c>
      <c r="Q18" s="15">
        <f t="shared" si="6"/>
        <v>2000</v>
      </c>
      <c r="R18" s="15">
        <f>AA82*1.5</f>
        <v>180000</v>
      </c>
      <c r="S18" s="15">
        <f t="shared" si="2"/>
        <v>1000000</v>
      </c>
      <c r="T18" s="25"/>
      <c r="V18" s="7"/>
    </row>
    <row r="19" spans="1:22" s="19" customFormat="1" ht="33" hidden="1" customHeight="1">
      <c r="A19" s="376"/>
      <c r="B19" s="11"/>
      <c r="C19" s="12"/>
      <c r="D19" s="24"/>
      <c r="E19" s="13"/>
      <c r="F19" s="14"/>
      <c r="G19" s="14"/>
      <c r="H19" s="17" t="s">
        <v>118</v>
      </c>
      <c r="I19" s="21">
        <v>2</v>
      </c>
      <c r="J19" s="21">
        <v>2</v>
      </c>
      <c r="K19" s="21"/>
      <c r="L19" s="21"/>
      <c r="M19" s="21"/>
      <c r="N19" s="21"/>
      <c r="O19" s="21"/>
      <c r="P19" s="21"/>
      <c r="Q19" s="21">
        <v>0.2</v>
      </c>
      <c r="R19" s="15"/>
      <c r="S19" s="15">
        <f t="shared" si="2"/>
        <v>0</v>
      </c>
      <c r="T19" s="25"/>
      <c r="V19" s="7"/>
    </row>
    <row r="20" spans="1:22" s="19" customFormat="1" ht="33" hidden="1" customHeight="1">
      <c r="A20" s="376"/>
      <c r="B20" s="11"/>
      <c r="C20" s="12"/>
      <c r="D20" s="24"/>
      <c r="E20" s="13"/>
      <c r="F20" s="14"/>
      <c r="G20" s="14"/>
      <c r="H20" s="17" t="s">
        <v>39</v>
      </c>
      <c r="I20" s="15">
        <f>I21/10</f>
        <v>37004.300000000003</v>
      </c>
      <c r="J20" s="15">
        <f t="shared" ref="J20:Q20" si="7">J21/10</f>
        <v>16304.3</v>
      </c>
      <c r="K20" s="15">
        <f t="shared" si="7"/>
        <v>0</v>
      </c>
      <c r="L20" s="15">
        <f t="shared" si="7"/>
        <v>0</v>
      </c>
      <c r="M20" s="15">
        <f t="shared" si="7"/>
        <v>0</v>
      </c>
      <c r="N20" s="15">
        <f t="shared" si="7"/>
        <v>0</v>
      </c>
      <c r="O20" s="15">
        <f t="shared" si="7"/>
        <v>0</v>
      </c>
      <c r="P20" s="15">
        <f t="shared" si="7"/>
        <v>0</v>
      </c>
      <c r="Q20" s="15">
        <f t="shared" si="7"/>
        <v>10000</v>
      </c>
      <c r="R20" s="15"/>
      <c r="S20" s="15">
        <f t="shared" si="2"/>
        <v>0</v>
      </c>
      <c r="T20" s="25"/>
      <c r="V20" s="7"/>
    </row>
    <row r="21" spans="1:22" s="19" customFormat="1" ht="33" hidden="1" customHeight="1">
      <c r="A21" s="376"/>
      <c r="B21" s="11"/>
      <c r="C21" s="12"/>
      <c r="D21" s="24"/>
      <c r="E21" s="13"/>
      <c r="F21" s="14"/>
      <c r="G21" s="14"/>
      <c r="H21" s="17" t="s">
        <v>39</v>
      </c>
      <c r="I21" s="15">
        <v>370043</v>
      </c>
      <c r="J21" s="15">
        <v>163043</v>
      </c>
      <c r="K21" s="15"/>
      <c r="L21" s="15"/>
      <c r="M21" s="15"/>
      <c r="N21" s="15"/>
      <c r="O21" s="15"/>
      <c r="P21" s="15"/>
      <c r="Q21" s="15">
        <v>100000</v>
      </c>
      <c r="R21" s="15"/>
      <c r="S21" s="15">
        <f t="shared" si="2"/>
        <v>0</v>
      </c>
      <c r="T21" s="25"/>
      <c r="V21" s="7"/>
    </row>
    <row r="22" spans="1:22" s="19" customFormat="1" ht="33" customHeight="1">
      <c r="A22" s="376"/>
      <c r="B22" s="11">
        <v>6</v>
      </c>
      <c r="C22" s="142" t="s">
        <v>1178</v>
      </c>
      <c r="D22" s="24" t="s">
        <v>1189</v>
      </c>
      <c r="E22" s="13">
        <v>1</v>
      </c>
      <c r="F22" s="14">
        <f>Y85</f>
        <v>47800</v>
      </c>
      <c r="G22" s="14">
        <f>E22*F22</f>
        <v>47800</v>
      </c>
      <c r="H22" s="14"/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f t="shared" si="2"/>
        <v>47800</v>
      </c>
      <c r="T22" s="25"/>
      <c r="V22" s="7"/>
    </row>
    <row r="23" spans="1:22" s="19" customFormat="1" ht="33" customHeight="1">
      <c r="A23" s="376"/>
      <c r="B23" s="11">
        <v>7</v>
      </c>
      <c r="C23" s="142" t="s">
        <v>948</v>
      </c>
      <c r="D23" s="20" t="str">
        <f>COVER!B21</f>
        <v>B7(다크로)</v>
      </c>
      <c r="E23" s="13">
        <v>32</v>
      </c>
      <c r="F23" s="14">
        <f>IF(D23="B8",Y90,IF(D23="B8M",Z90,IF(D23="B7(다크로)",AA90)))</f>
        <v>2000</v>
      </c>
      <c r="G23" s="14">
        <f>E23*F23</f>
        <v>64000</v>
      </c>
      <c r="H23" s="14"/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f t="shared" si="2"/>
        <v>64000</v>
      </c>
      <c r="T23" s="18"/>
      <c r="V23" s="7"/>
    </row>
    <row r="24" spans="1:22" s="19" customFormat="1" ht="33" customHeight="1">
      <c r="A24" s="376"/>
      <c r="B24" s="11">
        <v>8</v>
      </c>
      <c r="C24" s="142" t="s">
        <v>44</v>
      </c>
      <c r="D24" s="20" t="str">
        <f>COVER!B17</f>
        <v>A564T630</v>
      </c>
      <c r="E24" s="13">
        <v>262</v>
      </c>
      <c r="F24" s="14">
        <f>COVER!C17</f>
        <v>8500</v>
      </c>
      <c r="G24" s="14">
        <f>E24*F24</f>
        <v>2227000</v>
      </c>
      <c r="H24" s="14"/>
      <c r="I24" s="15">
        <f>I25*I26</f>
        <v>74008.600000000006</v>
      </c>
      <c r="J24" s="15">
        <f t="shared" ref="J24:Q24" si="8">J25*J26</f>
        <v>0</v>
      </c>
      <c r="K24" s="15">
        <f t="shared" si="8"/>
        <v>0</v>
      </c>
      <c r="L24" s="15">
        <f t="shared" si="8"/>
        <v>0</v>
      </c>
      <c r="M24" s="15">
        <f t="shared" si="8"/>
        <v>0</v>
      </c>
      <c r="N24" s="15">
        <f t="shared" si="8"/>
        <v>0</v>
      </c>
      <c r="O24" s="15">
        <f t="shared" si="8"/>
        <v>0</v>
      </c>
      <c r="P24" s="15">
        <f t="shared" si="8"/>
        <v>0</v>
      </c>
      <c r="Q24" s="15">
        <f t="shared" si="8"/>
        <v>1000</v>
      </c>
      <c r="R24" s="15">
        <f>R12*0.3</f>
        <v>186299.99999999997</v>
      </c>
      <c r="S24" s="15">
        <f t="shared" si="2"/>
        <v>2413300</v>
      </c>
      <c r="T24" s="27"/>
      <c r="U24" s="162"/>
      <c r="V24" s="6"/>
    </row>
    <row r="25" spans="1:22" s="19" customFormat="1" ht="33" hidden="1" customHeight="1">
      <c r="A25" s="376"/>
      <c r="B25" s="11"/>
      <c r="C25" s="12"/>
      <c r="D25" s="20"/>
      <c r="E25" s="13"/>
      <c r="F25" s="14"/>
      <c r="G25" s="14">
        <f t="shared" ref="G25:G28" si="9">E25*F25</f>
        <v>0</v>
      </c>
      <c r="H25" s="17" t="s">
        <v>118</v>
      </c>
      <c r="I25" s="21">
        <v>2</v>
      </c>
      <c r="J25" s="21"/>
      <c r="K25" s="21"/>
      <c r="L25" s="21"/>
      <c r="M25" s="21"/>
      <c r="N25" s="21"/>
      <c r="O25" s="21"/>
      <c r="P25" s="21"/>
      <c r="Q25" s="21">
        <v>0.1</v>
      </c>
      <c r="R25" s="15"/>
      <c r="S25" s="15">
        <f t="shared" si="2"/>
        <v>0</v>
      </c>
      <c r="T25" s="27"/>
      <c r="V25" s="28"/>
    </row>
    <row r="26" spans="1:22" s="19" customFormat="1" ht="33" hidden="1" customHeight="1">
      <c r="A26" s="376"/>
      <c r="B26" s="11"/>
      <c r="C26" s="12"/>
      <c r="D26" s="20"/>
      <c r="E26" s="13"/>
      <c r="F26" s="14"/>
      <c r="G26" s="14">
        <f t="shared" si="9"/>
        <v>0</v>
      </c>
      <c r="H26" s="17" t="s">
        <v>39</v>
      </c>
      <c r="I26" s="15">
        <f>I27/10</f>
        <v>37004.300000000003</v>
      </c>
      <c r="J26" s="15"/>
      <c r="K26" s="15"/>
      <c r="L26" s="15"/>
      <c r="M26" s="15"/>
      <c r="N26" s="15"/>
      <c r="O26" s="15"/>
      <c r="P26" s="15"/>
      <c r="Q26" s="15">
        <f>Q27/10</f>
        <v>10000</v>
      </c>
      <c r="R26" s="15"/>
      <c r="S26" s="15">
        <f t="shared" si="2"/>
        <v>0</v>
      </c>
      <c r="T26" s="27"/>
      <c r="V26" s="28"/>
    </row>
    <row r="27" spans="1:22" s="19" customFormat="1" ht="33" hidden="1" customHeight="1">
      <c r="A27" s="376"/>
      <c r="B27" s="11"/>
      <c r="C27" s="12"/>
      <c r="D27" s="20"/>
      <c r="E27" s="13"/>
      <c r="F27" s="14"/>
      <c r="G27" s="14">
        <f t="shared" si="9"/>
        <v>0</v>
      </c>
      <c r="H27" s="17" t="s">
        <v>39</v>
      </c>
      <c r="I27" s="15">
        <v>370043</v>
      </c>
      <c r="J27" s="15"/>
      <c r="K27" s="15"/>
      <c r="L27" s="15"/>
      <c r="M27" s="15"/>
      <c r="N27" s="15"/>
      <c r="O27" s="15"/>
      <c r="P27" s="15"/>
      <c r="Q27" s="15">
        <v>100000</v>
      </c>
      <c r="R27" s="15"/>
      <c r="S27" s="15">
        <f t="shared" si="2"/>
        <v>0</v>
      </c>
      <c r="T27" s="27"/>
      <c r="V27" s="28"/>
    </row>
    <row r="28" spans="1:22" s="19" customFormat="1" ht="33" customHeight="1">
      <c r="A28" s="376"/>
      <c r="B28" s="11">
        <v>9</v>
      </c>
      <c r="C28" s="142" t="s">
        <v>45</v>
      </c>
      <c r="D28" s="24" t="s">
        <v>1197</v>
      </c>
      <c r="E28" s="13">
        <v>1</v>
      </c>
      <c r="F28" s="14">
        <v>370500</v>
      </c>
      <c r="G28" s="14">
        <f t="shared" si="9"/>
        <v>370500</v>
      </c>
      <c r="H28" s="14"/>
      <c r="I28" s="15"/>
      <c r="J28" s="15"/>
      <c r="K28" s="15"/>
      <c r="L28" s="15"/>
      <c r="M28" s="15"/>
      <c r="N28" s="15"/>
      <c r="O28" s="15"/>
      <c r="P28" s="15"/>
      <c r="Q28" s="15"/>
      <c r="R28" s="15">
        <v>0</v>
      </c>
      <c r="S28" s="15">
        <f t="shared" si="2"/>
        <v>370500</v>
      </c>
      <c r="T28" s="18"/>
      <c r="V28" s="6"/>
    </row>
    <row r="29" spans="1:22" s="19" customFormat="1" ht="33" customHeight="1">
      <c r="A29" s="376"/>
      <c r="B29" s="11">
        <v>10</v>
      </c>
      <c r="C29" s="142" t="s">
        <v>46</v>
      </c>
      <c r="D29" s="24" t="str">
        <f>COVER!B24</f>
        <v>A351 CF8M</v>
      </c>
      <c r="E29" s="13">
        <v>1</v>
      </c>
      <c r="F29" s="302">
        <f>IF(D29="A351 CF8M",Y100,IF(D29="B148 C95400",Z100))</f>
        <v>320000</v>
      </c>
      <c r="G29" s="14">
        <f>F29*E29</f>
        <v>320000</v>
      </c>
      <c r="H29" s="14"/>
      <c r="I29" s="15">
        <f>I30*I31</f>
        <v>3065.28</v>
      </c>
      <c r="J29" s="15">
        <f t="shared" ref="J29:Q29" si="10">J30*J31</f>
        <v>3260.86</v>
      </c>
      <c r="K29" s="15">
        <f t="shared" si="10"/>
        <v>0</v>
      </c>
      <c r="L29" s="15">
        <f t="shared" si="10"/>
        <v>0</v>
      </c>
      <c r="M29" s="15">
        <f t="shared" si="10"/>
        <v>0</v>
      </c>
      <c r="N29" s="15">
        <f t="shared" si="10"/>
        <v>0</v>
      </c>
      <c r="O29" s="15">
        <f t="shared" si="10"/>
        <v>0</v>
      </c>
      <c r="P29" s="15">
        <f t="shared" si="10"/>
        <v>0</v>
      </c>
      <c r="Q29" s="15">
        <f t="shared" si="10"/>
        <v>0</v>
      </c>
      <c r="R29" s="15">
        <v>0</v>
      </c>
      <c r="S29" s="15">
        <f t="shared" si="2"/>
        <v>320000</v>
      </c>
      <c r="T29" s="18"/>
      <c r="V29" s="7"/>
    </row>
    <row r="30" spans="1:22" s="19" customFormat="1" ht="33" hidden="1" customHeight="1">
      <c r="A30" s="376"/>
      <c r="B30" s="11"/>
      <c r="C30" s="12"/>
      <c r="D30" s="24"/>
      <c r="E30" s="13"/>
      <c r="F30" s="14"/>
      <c r="G30" s="14"/>
      <c r="H30" s="17" t="s">
        <v>39</v>
      </c>
      <c r="I30" s="21">
        <v>0.2</v>
      </c>
      <c r="J30" s="21">
        <v>0.2</v>
      </c>
      <c r="K30" s="21"/>
      <c r="L30" s="21"/>
      <c r="M30" s="21"/>
      <c r="N30" s="21"/>
      <c r="O30" s="21"/>
      <c r="P30" s="21"/>
      <c r="Q30" s="21"/>
      <c r="R30" s="15"/>
      <c r="S30" s="15">
        <f t="shared" si="2"/>
        <v>0</v>
      </c>
      <c r="T30" s="22"/>
      <c r="V30" s="7"/>
    </row>
    <row r="31" spans="1:22" s="19" customFormat="1" ht="33" hidden="1" customHeight="1">
      <c r="A31" s="376"/>
      <c r="B31" s="11"/>
      <c r="C31" s="12"/>
      <c r="D31" s="24"/>
      <c r="E31" s="13"/>
      <c r="F31" s="14"/>
      <c r="G31" s="14"/>
      <c r="H31" s="17" t="s">
        <v>39</v>
      </c>
      <c r="I31" s="15">
        <f>I32/10</f>
        <v>15326.4</v>
      </c>
      <c r="J31" s="15">
        <f>J32/10</f>
        <v>16304.3</v>
      </c>
      <c r="K31" s="15"/>
      <c r="L31" s="15"/>
      <c r="M31" s="15"/>
      <c r="N31" s="15"/>
      <c r="O31" s="15"/>
      <c r="P31" s="15"/>
      <c r="Q31" s="15"/>
      <c r="R31" s="15"/>
      <c r="S31" s="15">
        <f t="shared" si="2"/>
        <v>0</v>
      </c>
      <c r="T31" s="22"/>
      <c r="V31" s="7"/>
    </row>
    <row r="32" spans="1:22" s="19" customFormat="1" ht="33" hidden="1" customHeight="1">
      <c r="A32" s="376"/>
      <c r="B32" s="11"/>
      <c r="C32" s="12"/>
      <c r="D32" s="24"/>
      <c r="E32" s="13"/>
      <c r="F32" s="14"/>
      <c r="G32" s="14"/>
      <c r="H32" s="17" t="s">
        <v>39</v>
      </c>
      <c r="I32" s="15">
        <v>153264</v>
      </c>
      <c r="J32" s="15">
        <v>163043</v>
      </c>
      <c r="K32" s="15"/>
      <c r="L32" s="15"/>
      <c r="M32" s="15"/>
      <c r="N32" s="15"/>
      <c r="O32" s="15"/>
      <c r="P32" s="15"/>
      <c r="Q32" s="15"/>
      <c r="R32" s="15"/>
      <c r="S32" s="15">
        <f t="shared" si="2"/>
        <v>0</v>
      </c>
      <c r="T32" s="22"/>
      <c r="V32" s="7"/>
    </row>
    <row r="33" spans="1:22" s="19" customFormat="1" ht="33" customHeight="1">
      <c r="A33" s="376"/>
      <c r="B33" s="11">
        <v>11</v>
      </c>
      <c r="C33" s="142" t="s">
        <v>47</v>
      </c>
      <c r="D33" s="24" t="str">
        <f>COVER!B26</f>
        <v>316+NICKEL</v>
      </c>
      <c r="E33" s="13">
        <v>1</v>
      </c>
      <c r="F33" s="14">
        <f>IF(D33="316+NICKEL",Y102,IF(D33="B148 C95400",Z102))</f>
        <v>58000</v>
      </c>
      <c r="G33" s="14">
        <f t="shared" ref="G33:G61" si="11">E33*F33</f>
        <v>58000</v>
      </c>
      <c r="H33" s="14"/>
      <c r="I33" s="15">
        <f>I34*I35</f>
        <v>4597.92</v>
      </c>
      <c r="J33" s="15">
        <f t="shared" ref="J33:Q33" si="12">J34*J35</f>
        <v>0</v>
      </c>
      <c r="K33" s="15">
        <f t="shared" si="12"/>
        <v>0</v>
      </c>
      <c r="L33" s="15">
        <f t="shared" si="12"/>
        <v>0</v>
      </c>
      <c r="M33" s="15">
        <f t="shared" si="12"/>
        <v>0</v>
      </c>
      <c r="N33" s="15">
        <f t="shared" si="12"/>
        <v>0</v>
      </c>
      <c r="O33" s="15">
        <f t="shared" si="12"/>
        <v>0</v>
      </c>
      <c r="P33" s="15">
        <f t="shared" si="12"/>
        <v>0</v>
      </c>
      <c r="Q33" s="15">
        <f t="shared" si="12"/>
        <v>0</v>
      </c>
      <c r="R33" s="15">
        <v>0</v>
      </c>
      <c r="S33" s="15">
        <f t="shared" si="2"/>
        <v>58000</v>
      </c>
      <c r="T33" s="25" t="s">
        <v>1200</v>
      </c>
      <c r="V33" s="7"/>
    </row>
    <row r="34" spans="1:22" s="19" customFormat="1" ht="33" hidden="1" customHeight="1">
      <c r="A34" s="376"/>
      <c r="B34" s="11"/>
      <c r="C34" s="12"/>
      <c r="D34" s="24"/>
      <c r="E34" s="13"/>
      <c r="F34" s="14"/>
      <c r="G34" s="14"/>
      <c r="H34" s="17" t="s">
        <v>39</v>
      </c>
      <c r="I34" s="21">
        <v>0.3</v>
      </c>
      <c r="J34" s="21"/>
      <c r="K34" s="21"/>
      <c r="L34" s="21"/>
      <c r="M34" s="21"/>
      <c r="N34" s="21"/>
      <c r="O34" s="21"/>
      <c r="P34" s="21"/>
      <c r="Q34" s="21"/>
      <c r="R34" s="15"/>
      <c r="S34" s="15">
        <f t="shared" si="2"/>
        <v>0</v>
      </c>
      <c r="T34" s="22"/>
      <c r="V34" s="7"/>
    </row>
    <row r="35" spans="1:22" s="19" customFormat="1" ht="33" hidden="1" customHeight="1">
      <c r="A35" s="376"/>
      <c r="B35" s="11"/>
      <c r="C35" s="12"/>
      <c r="D35" s="24"/>
      <c r="E35" s="13"/>
      <c r="F35" s="14"/>
      <c r="G35" s="14"/>
      <c r="H35" s="17" t="s">
        <v>39</v>
      </c>
      <c r="I35" s="15">
        <f>I36/10</f>
        <v>15326.4</v>
      </c>
      <c r="J35" s="15"/>
      <c r="K35" s="15"/>
      <c r="L35" s="15"/>
      <c r="M35" s="15"/>
      <c r="N35" s="15"/>
      <c r="O35" s="15"/>
      <c r="P35" s="15"/>
      <c r="Q35" s="15"/>
      <c r="R35" s="15"/>
      <c r="S35" s="15">
        <f t="shared" si="2"/>
        <v>0</v>
      </c>
      <c r="T35" s="22"/>
      <c r="V35" s="7"/>
    </row>
    <row r="36" spans="1:22" s="19" customFormat="1" ht="33" hidden="1" customHeight="1">
      <c r="A36" s="376"/>
      <c r="B36" s="11"/>
      <c r="C36" s="12"/>
      <c r="D36" s="24"/>
      <c r="E36" s="13"/>
      <c r="F36" s="14"/>
      <c r="G36" s="14"/>
      <c r="H36" s="17" t="s">
        <v>119</v>
      </c>
      <c r="I36" s="15">
        <v>153264</v>
      </c>
      <c r="J36" s="15"/>
      <c r="K36" s="15"/>
      <c r="L36" s="15"/>
      <c r="M36" s="15"/>
      <c r="N36" s="15"/>
      <c r="O36" s="15"/>
      <c r="P36" s="15"/>
      <c r="Q36" s="15"/>
      <c r="R36" s="15"/>
      <c r="S36" s="15">
        <f t="shared" si="2"/>
        <v>0</v>
      </c>
      <c r="T36" s="22"/>
      <c r="V36" s="7"/>
    </row>
    <row r="37" spans="1:22" s="19" customFormat="1" ht="33" customHeight="1">
      <c r="A37" s="376"/>
      <c r="B37" s="11">
        <v>12</v>
      </c>
      <c r="C37" s="169" t="s">
        <v>954</v>
      </c>
      <c r="D37" s="24" t="str">
        <f>COVER!B22</f>
        <v>B7(다크로)</v>
      </c>
      <c r="E37" s="13">
        <v>6</v>
      </c>
      <c r="F37" s="14">
        <f>IF(D37="B8",Y92,IF(D37="B8M",Z92,IF(D37="B7(다크로)",AA92)))</f>
        <v>3000</v>
      </c>
      <c r="G37" s="14">
        <f t="shared" si="11"/>
        <v>18000</v>
      </c>
      <c r="H37" s="14"/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f t="shared" si="2"/>
        <v>18000</v>
      </c>
      <c r="T37" s="22"/>
      <c r="V37" s="7"/>
    </row>
    <row r="38" spans="1:22" s="19" customFormat="1" ht="33" customHeight="1">
      <c r="A38" s="376"/>
      <c r="B38" s="11">
        <v>13</v>
      </c>
      <c r="C38" s="29" t="s">
        <v>120</v>
      </c>
      <c r="D38" s="24"/>
      <c r="E38" s="13">
        <v>1</v>
      </c>
      <c r="F38" s="14">
        <v>10000</v>
      </c>
      <c r="G38" s="14">
        <f t="shared" si="11"/>
        <v>10000</v>
      </c>
      <c r="H38" s="14"/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f t="shared" si="2"/>
        <v>10000</v>
      </c>
      <c r="T38" s="22"/>
      <c r="V38" s="7"/>
    </row>
    <row r="39" spans="1:22" s="19" customFormat="1" ht="33" customHeight="1">
      <c r="A39" s="376"/>
      <c r="B39" s="11">
        <v>14</v>
      </c>
      <c r="C39" s="233" t="s">
        <v>121</v>
      </c>
      <c r="D39" s="24" t="str">
        <f>COVER!B23</f>
        <v>316+NICKEL</v>
      </c>
      <c r="E39" s="13">
        <v>2</v>
      </c>
      <c r="F39" s="14">
        <f>IF(D39="316+NICKEL",Y96+Y97,IF(D39="B148 C95400",Z96+Z97))</f>
        <v>663600</v>
      </c>
      <c r="G39" s="14">
        <f>F39*1</f>
        <v>663600</v>
      </c>
      <c r="H39" s="14"/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f t="shared" si="2"/>
        <v>663600</v>
      </c>
      <c r="T39" s="25" t="s">
        <v>1200</v>
      </c>
      <c r="V39" s="7"/>
    </row>
    <row r="40" spans="1:22" s="19" customFormat="1" ht="33" customHeight="1">
      <c r="A40" s="376"/>
      <c r="B40" s="11">
        <v>15</v>
      </c>
      <c r="C40" s="142" t="s">
        <v>122</v>
      </c>
      <c r="D40" s="24" t="str">
        <f>COVER!B23</f>
        <v>316+NICKEL</v>
      </c>
      <c r="E40" s="13">
        <v>2</v>
      </c>
      <c r="F40" s="14">
        <f>IF(D40="316+NICKEL",Y98+Y99,IF(D40="B148 C95400",Z98+Z99))</f>
        <v>704700</v>
      </c>
      <c r="G40" s="14">
        <f>F40*1</f>
        <v>704700</v>
      </c>
      <c r="H40" s="14"/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f t="shared" si="2"/>
        <v>704700</v>
      </c>
      <c r="T40" s="25" t="s">
        <v>1200</v>
      </c>
      <c r="V40" s="7"/>
    </row>
    <row r="41" spans="1:22" s="19" customFormat="1" ht="33" hidden="1" customHeight="1">
      <c r="A41" s="376"/>
      <c r="B41" s="11"/>
      <c r="C41" s="12"/>
      <c r="D41" s="20"/>
      <c r="E41" s="13"/>
      <c r="F41" s="14"/>
      <c r="G41" s="14"/>
      <c r="H41" s="17" t="s">
        <v>119</v>
      </c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>
        <f t="shared" si="2"/>
        <v>0</v>
      </c>
      <c r="T41" s="22"/>
      <c r="V41" s="7"/>
    </row>
    <row r="42" spans="1:22" s="19" customFormat="1" ht="33" hidden="1" customHeight="1">
      <c r="A42" s="376"/>
      <c r="B42" s="11"/>
      <c r="C42" s="12"/>
      <c r="D42" s="20"/>
      <c r="E42" s="13"/>
      <c r="F42" s="14"/>
      <c r="G42" s="14"/>
      <c r="H42" s="17" t="s">
        <v>123</v>
      </c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>
        <f t="shared" si="2"/>
        <v>0</v>
      </c>
      <c r="T42" s="22"/>
      <c r="V42" s="7"/>
    </row>
    <row r="43" spans="1:22" s="19" customFormat="1" ht="33" hidden="1" customHeight="1">
      <c r="A43" s="376"/>
      <c r="B43" s="11"/>
      <c r="C43" s="12"/>
      <c r="D43" s="20"/>
      <c r="E43" s="13"/>
      <c r="F43" s="14"/>
      <c r="G43" s="14"/>
      <c r="H43" s="17" t="s">
        <v>123</v>
      </c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>
        <f t="shared" si="2"/>
        <v>0</v>
      </c>
      <c r="T43" s="22"/>
      <c r="V43" s="7"/>
    </row>
    <row r="44" spans="1:22" s="19" customFormat="1" ht="33" customHeight="1">
      <c r="A44" s="376"/>
      <c r="B44" s="11">
        <v>16</v>
      </c>
      <c r="C44" s="142" t="s">
        <v>124</v>
      </c>
      <c r="D44" s="24" t="str">
        <f>COVER!B25</f>
        <v>316+NICKEL</v>
      </c>
      <c r="E44" s="13">
        <v>1</v>
      </c>
      <c r="F44" s="14">
        <f>IF(D44="316+NICKEL",Y101,IF(D44="B148 C95400",Z101))</f>
        <v>30500</v>
      </c>
      <c r="G44" s="14">
        <f>F44*E44</f>
        <v>30500</v>
      </c>
      <c r="H44" s="14"/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1000</v>
      </c>
      <c r="P44" s="15">
        <v>0</v>
      </c>
      <c r="Q44" s="15">
        <v>0</v>
      </c>
      <c r="R44" s="15">
        <v>0</v>
      </c>
      <c r="S44" s="15">
        <f t="shared" si="2"/>
        <v>30500</v>
      </c>
      <c r="T44" s="25" t="s">
        <v>1200</v>
      </c>
      <c r="U44" s="236"/>
      <c r="V44" s="7"/>
    </row>
    <row r="45" spans="1:22" s="19" customFormat="1" ht="33" customHeight="1">
      <c r="A45" s="376"/>
      <c r="B45" s="11">
        <v>17</v>
      </c>
      <c r="C45" s="175" t="s">
        <v>125</v>
      </c>
      <c r="D45" s="24" t="s">
        <v>463</v>
      </c>
      <c r="E45" s="13">
        <v>1</v>
      </c>
      <c r="F45" s="14">
        <f>Y86</f>
        <v>7000</v>
      </c>
      <c r="G45" s="14">
        <f>F45*E45</f>
        <v>7000</v>
      </c>
      <c r="H45" s="14"/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f t="shared" si="2"/>
        <v>7000</v>
      </c>
      <c r="T45" s="22"/>
      <c r="V45" s="7"/>
    </row>
    <row r="46" spans="1:22" s="19" customFormat="1" ht="33" customHeight="1">
      <c r="A46" s="376"/>
      <c r="B46" s="11">
        <v>18</v>
      </c>
      <c r="C46" s="175" t="s">
        <v>1205</v>
      </c>
      <c r="D46" s="24" t="str">
        <f>COVER!B29</f>
        <v>SS400</v>
      </c>
      <c r="E46" s="13">
        <v>1</v>
      </c>
      <c r="F46" s="14">
        <f>IF(D46="SS400",Y107,IF(D46="SS316",Z107,IF(D46="SS304",AA107)))</f>
        <v>59455</v>
      </c>
      <c r="G46" s="14">
        <f>E46*F46</f>
        <v>59455</v>
      </c>
      <c r="H46" s="14"/>
      <c r="I46" s="15">
        <f>I47*I48</f>
        <v>4597.92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20000</v>
      </c>
      <c r="S46" s="15">
        <f t="shared" si="2"/>
        <v>79455</v>
      </c>
      <c r="T46" s="22"/>
      <c r="V46" s="7"/>
    </row>
    <row r="47" spans="1:22" s="19" customFormat="1" ht="33" hidden="1" customHeight="1">
      <c r="A47" s="376"/>
      <c r="B47" s="11"/>
      <c r="C47" s="31"/>
      <c r="D47" s="24"/>
      <c r="E47" s="13"/>
      <c r="F47" s="14"/>
      <c r="G47" s="14"/>
      <c r="H47" s="17" t="s">
        <v>126</v>
      </c>
      <c r="I47" s="21">
        <v>0.3</v>
      </c>
      <c r="J47" s="21"/>
      <c r="K47" s="21"/>
      <c r="L47" s="21"/>
      <c r="M47" s="21"/>
      <c r="N47" s="21"/>
      <c r="O47" s="21"/>
      <c r="P47" s="21"/>
      <c r="Q47" s="21"/>
      <c r="R47" s="15"/>
      <c r="S47" s="15">
        <f t="shared" si="2"/>
        <v>0</v>
      </c>
      <c r="T47" s="22"/>
      <c r="V47" s="7"/>
    </row>
    <row r="48" spans="1:22" s="19" customFormat="1" ht="33" hidden="1" customHeight="1">
      <c r="A48" s="376"/>
      <c r="B48" s="11"/>
      <c r="C48" s="31"/>
      <c r="D48" s="24"/>
      <c r="E48" s="13"/>
      <c r="F48" s="14"/>
      <c r="G48" s="14"/>
      <c r="H48" s="17" t="s">
        <v>126</v>
      </c>
      <c r="I48" s="15">
        <f>I49/10</f>
        <v>15326.4</v>
      </c>
      <c r="J48" s="15"/>
      <c r="K48" s="15"/>
      <c r="L48" s="15"/>
      <c r="M48" s="15"/>
      <c r="N48" s="15"/>
      <c r="O48" s="15"/>
      <c r="P48" s="15"/>
      <c r="Q48" s="15"/>
      <c r="R48" s="15"/>
      <c r="S48" s="15">
        <f t="shared" si="2"/>
        <v>0</v>
      </c>
      <c r="T48" s="22"/>
      <c r="V48" s="7"/>
    </row>
    <row r="49" spans="1:22" s="19" customFormat="1" ht="33" hidden="1" customHeight="1">
      <c r="A49" s="376"/>
      <c r="B49" s="11"/>
      <c r="C49" s="31"/>
      <c r="D49" s="24"/>
      <c r="E49" s="13"/>
      <c r="F49" s="14"/>
      <c r="G49" s="14"/>
      <c r="H49" s="17" t="s">
        <v>127</v>
      </c>
      <c r="I49" s="15">
        <v>153264</v>
      </c>
      <c r="J49" s="15"/>
      <c r="K49" s="15"/>
      <c r="L49" s="15"/>
      <c r="M49" s="15"/>
      <c r="N49" s="15"/>
      <c r="O49" s="15"/>
      <c r="P49" s="15"/>
      <c r="Q49" s="15"/>
      <c r="R49" s="15"/>
      <c r="S49" s="15">
        <f t="shared" si="2"/>
        <v>0</v>
      </c>
      <c r="T49" s="22"/>
      <c r="V49" s="7"/>
    </row>
    <row r="50" spans="1:22" s="19" customFormat="1" ht="33" customHeight="1">
      <c r="A50" s="376"/>
      <c r="B50" s="11">
        <v>19</v>
      </c>
      <c r="C50" s="226" t="s">
        <v>128</v>
      </c>
      <c r="D50" s="24" t="str">
        <f>COVER!B22</f>
        <v>B7(다크로)</v>
      </c>
      <c r="E50" s="13">
        <v>8</v>
      </c>
      <c r="F50" s="14">
        <f>IF(D50="B8",Y93,IF(D50="B8M",Z93,IF(D50="B7(다크로)",AA93)))</f>
        <v>5000</v>
      </c>
      <c r="G50" s="14">
        <f>E50*F50</f>
        <v>40000</v>
      </c>
      <c r="H50" s="14"/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f t="shared" si="2"/>
        <v>40000</v>
      </c>
      <c r="T50" s="18"/>
      <c r="V50" s="7"/>
    </row>
    <row r="51" spans="1:22" s="19" customFormat="1" ht="33" customHeight="1">
      <c r="A51" s="376"/>
      <c r="B51" s="11">
        <v>20</v>
      </c>
      <c r="C51" s="169" t="s">
        <v>129</v>
      </c>
      <c r="D51" s="303" t="str">
        <f>D24</f>
        <v>A564T630</v>
      </c>
      <c r="E51" s="13">
        <v>4</v>
      </c>
      <c r="F51" s="14">
        <f>IF(D51="A276T316L",Y80/E51,IF(D51="A276T304",Z80/E51,IF(D51="A564T630",AA80/E51,IF(D51="A479T410",AB80/E51,IF(D51="UNS S31803",AC80/E51,IF(D51="UNS S32750",AD80/E51,IF(D51="MONEL K-500",AE80/E51)))))))</f>
        <v>24790</v>
      </c>
      <c r="G51" s="14">
        <f>E51*F51</f>
        <v>99160</v>
      </c>
      <c r="H51" s="14"/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1000</v>
      </c>
      <c r="P51" s="15">
        <v>0</v>
      </c>
      <c r="Q51" s="15">
        <v>0</v>
      </c>
      <c r="R51" s="15">
        <f>5000*E51</f>
        <v>20000</v>
      </c>
      <c r="S51" s="15">
        <f t="shared" si="2"/>
        <v>119160</v>
      </c>
      <c r="T51" s="22"/>
      <c r="U51" s="162"/>
    </row>
    <row r="52" spans="1:22" s="19" customFormat="1" ht="33" customHeight="1">
      <c r="A52" s="376"/>
      <c r="B52" s="11">
        <v>21</v>
      </c>
      <c r="C52" s="169" t="s">
        <v>130</v>
      </c>
      <c r="D52" s="24" t="str">
        <f>COVER!B22</f>
        <v>B7(다크로)</v>
      </c>
      <c r="E52" s="13">
        <v>8</v>
      </c>
      <c r="F52" s="14">
        <f>IF(D52="B8",Y89,IF(D52="B8M",Z89,IF(D52="B7(다크로)",AA89)))</f>
        <v>5000</v>
      </c>
      <c r="G52" s="14">
        <f>E52*F52</f>
        <v>40000</v>
      </c>
      <c r="H52" s="14"/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1000</v>
      </c>
      <c r="O52" s="15">
        <v>1000</v>
      </c>
      <c r="P52" s="15">
        <v>1000</v>
      </c>
      <c r="Q52" s="15">
        <v>0</v>
      </c>
      <c r="R52" s="15">
        <v>0</v>
      </c>
      <c r="S52" s="15">
        <f t="shared" si="2"/>
        <v>40000</v>
      </c>
      <c r="T52" s="22"/>
      <c r="U52" s="162"/>
    </row>
    <row r="53" spans="1:22" s="19" customFormat="1" ht="33" customHeight="1">
      <c r="A53" s="376"/>
      <c r="B53" s="11">
        <v>22</v>
      </c>
      <c r="C53" s="169" t="s">
        <v>1199</v>
      </c>
      <c r="D53" s="24" t="str">
        <f>COVER!B26</f>
        <v>316+NICKEL</v>
      </c>
      <c r="E53" s="13">
        <v>1</v>
      </c>
      <c r="F53" s="14">
        <f>IF(D53="316+NICKEL",Y102,IF(D53="B148 C95400",Z102))</f>
        <v>58000</v>
      </c>
      <c r="G53" s="14">
        <f>F53*E53</f>
        <v>58000</v>
      </c>
      <c r="H53" s="14"/>
      <c r="I53" s="15"/>
      <c r="J53" s="15"/>
      <c r="K53" s="15"/>
      <c r="L53" s="15"/>
      <c r="M53" s="15"/>
      <c r="N53" s="15"/>
      <c r="O53" s="15"/>
      <c r="P53" s="15"/>
      <c r="Q53" s="15"/>
      <c r="R53" s="15">
        <v>0</v>
      </c>
      <c r="S53" s="15">
        <f t="shared" si="2"/>
        <v>58000</v>
      </c>
      <c r="T53" s="22"/>
    </row>
    <row r="54" spans="1:22" s="19" customFormat="1" ht="33" customHeight="1">
      <c r="A54" s="376"/>
      <c r="B54" s="11">
        <v>23</v>
      </c>
      <c r="C54" s="29" t="s">
        <v>131</v>
      </c>
      <c r="D54" s="24"/>
      <c r="E54" s="13">
        <v>1</v>
      </c>
      <c r="F54" s="14">
        <v>3000</v>
      </c>
      <c r="G54" s="14">
        <f t="shared" si="11"/>
        <v>3000</v>
      </c>
      <c r="H54" s="14"/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1000</v>
      </c>
      <c r="Q54" s="15">
        <v>0</v>
      </c>
      <c r="R54" s="15">
        <v>0</v>
      </c>
      <c r="S54" s="15">
        <f t="shared" si="2"/>
        <v>3000</v>
      </c>
      <c r="T54" s="22"/>
    </row>
    <row r="55" spans="1:22" s="19" customFormat="1" ht="33" customHeight="1">
      <c r="A55" s="376"/>
      <c r="B55" s="11">
        <v>24</v>
      </c>
      <c r="C55" s="142" t="s">
        <v>132</v>
      </c>
      <c r="D55" s="24" t="str">
        <f>COVER!B35</f>
        <v>GEAR</v>
      </c>
      <c r="E55" s="13">
        <v>1</v>
      </c>
      <c r="F55" s="302">
        <f>IF(D55="GEAR",1528200,IF(D55="MOTOR",0,IF(D55="PNEUMATIC",0)))</f>
        <v>1528200</v>
      </c>
      <c r="G55" s="14">
        <f>F55</f>
        <v>1528200</v>
      </c>
      <c r="H55" s="14"/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f t="shared" si="2"/>
        <v>1528200</v>
      </c>
      <c r="T55" s="22"/>
    </row>
    <row r="56" spans="1:22" s="19" customFormat="1" ht="33" customHeight="1">
      <c r="A56" s="376"/>
      <c r="B56" s="11">
        <v>25</v>
      </c>
      <c r="C56" s="186" t="s">
        <v>859</v>
      </c>
      <c r="D56" s="24" t="str">
        <f>COVER!B30</f>
        <v>WCB</v>
      </c>
      <c r="E56" s="13">
        <v>140</v>
      </c>
      <c r="F56" s="14">
        <f>IF(D56="WCB",4000,IF(D56="CF8M",9000))</f>
        <v>4000</v>
      </c>
      <c r="G56" s="14">
        <f>E56*F56</f>
        <v>560000</v>
      </c>
      <c r="H56" s="14"/>
      <c r="I56" s="15"/>
      <c r="J56" s="15"/>
      <c r="K56" s="15"/>
      <c r="L56" s="15"/>
      <c r="M56" s="15"/>
      <c r="N56" s="15"/>
      <c r="O56" s="15"/>
      <c r="P56" s="15"/>
      <c r="Q56" s="15"/>
      <c r="R56" s="15">
        <f>IF(D56="WCB",AA109,IF(D56="CF8M",AB109))</f>
        <v>90000</v>
      </c>
      <c r="S56" s="15">
        <f t="shared" si="2"/>
        <v>650000</v>
      </c>
      <c r="T56" s="22"/>
    </row>
    <row r="57" spans="1:22" s="19" customFormat="1" ht="33" customHeight="1">
      <c r="A57" s="376"/>
      <c r="B57" s="11">
        <v>26</v>
      </c>
      <c r="C57" s="175" t="s">
        <v>467</v>
      </c>
      <c r="D57" s="24" t="str">
        <f>COVER!B27</f>
        <v>316+NICKEL</v>
      </c>
      <c r="E57" s="13">
        <v>2</v>
      </c>
      <c r="F57" s="14">
        <f>IF(D57="316+NICKEL",Y103+Y104,IF(D57="B148 C95400",Z103+Z104))</f>
        <v>65900</v>
      </c>
      <c r="G57" s="14">
        <f>F57</f>
        <v>65900</v>
      </c>
      <c r="H57" s="14"/>
      <c r="I57" s="15"/>
      <c r="J57" s="15"/>
      <c r="K57" s="15"/>
      <c r="L57" s="15"/>
      <c r="M57" s="15"/>
      <c r="N57" s="15"/>
      <c r="O57" s="15"/>
      <c r="P57" s="15"/>
      <c r="Q57" s="15"/>
      <c r="R57" s="15">
        <v>0</v>
      </c>
      <c r="S57" s="15">
        <f t="shared" si="2"/>
        <v>65900</v>
      </c>
      <c r="T57" s="25" t="s">
        <v>1200</v>
      </c>
    </row>
    <row r="58" spans="1:22" s="19" customFormat="1" ht="33" customHeight="1">
      <c r="A58" s="376"/>
      <c r="B58" s="11">
        <v>27</v>
      </c>
      <c r="C58" s="175" t="s">
        <v>468</v>
      </c>
      <c r="D58" s="24" t="str">
        <f>COVER!B28</f>
        <v>316+NICKEL</v>
      </c>
      <c r="E58" s="13">
        <v>2</v>
      </c>
      <c r="F58" s="14">
        <f>IF(D58="316+NICKEL",Y105,IF(D58="B148 C95400",Z105))</f>
        <v>26010</v>
      </c>
      <c r="G58" s="14">
        <f>F58</f>
        <v>26010</v>
      </c>
      <c r="H58" s="14"/>
      <c r="I58" s="15"/>
      <c r="J58" s="15"/>
      <c r="K58" s="15"/>
      <c r="L58" s="15"/>
      <c r="M58" s="15"/>
      <c r="N58" s="15"/>
      <c r="O58" s="15"/>
      <c r="P58" s="15"/>
      <c r="Q58" s="15"/>
      <c r="R58" s="15">
        <v>0</v>
      </c>
      <c r="S58" s="15">
        <f t="shared" si="2"/>
        <v>26010</v>
      </c>
      <c r="T58" s="25" t="s">
        <v>1200</v>
      </c>
    </row>
    <row r="59" spans="1:22" s="19" customFormat="1" ht="33" customHeight="1">
      <c r="A59" s="376"/>
      <c r="B59" s="11">
        <v>28</v>
      </c>
      <c r="C59" s="142" t="s">
        <v>134</v>
      </c>
      <c r="D59" s="24" t="str">
        <f>COVER!B22</f>
        <v>B7(다크로)</v>
      </c>
      <c r="E59" s="13">
        <v>8</v>
      </c>
      <c r="F59" s="14">
        <f>IF(D59="B8",Y88,IF(D59="B8M",Z88,IF(D59="B7(다크로)",AA88)))</f>
        <v>10000</v>
      </c>
      <c r="G59" s="14">
        <f t="shared" si="11"/>
        <v>80000</v>
      </c>
      <c r="H59" s="14"/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f t="shared" si="2"/>
        <v>80000</v>
      </c>
      <c r="T59" s="25"/>
    </row>
    <row r="60" spans="1:22" s="19" customFormat="1" ht="33" customHeight="1">
      <c r="A60" s="376"/>
      <c r="B60" s="11">
        <v>29</v>
      </c>
      <c r="C60" s="12" t="s">
        <v>135</v>
      </c>
      <c r="D60" s="303" t="str">
        <f>COVER!B32</f>
        <v>외주 2COATING</v>
      </c>
      <c r="E60" s="13">
        <v>1</v>
      </c>
      <c r="F60" s="14">
        <f>IF(COVER!B10="APPLICATION",0,IF(D60="기존 단가",Y116,IF(D60="외주 2COATING",Z116,IF(D60="외주 3COATING",AA116))))</f>
        <v>0</v>
      </c>
      <c r="G60" s="14">
        <f t="shared" si="11"/>
        <v>0</v>
      </c>
      <c r="H60" s="14"/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f t="shared" si="2"/>
        <v>0</v>
      </c>
      <c r="T60" s="22"/>
    </row>
    <row r="61" spans="1:22" s="19" customFormat="1" ht="33" customHeight="1">
      <c r="A61" s="377"/>
      <c r="B61" s="11">
        <v>30</v>
      </c>
      <c r="C61" s="12" t="s">
        <v>136</v>
      </c>
      <c r="D61" s="303" t="str">
        <f>COVER!B33</f>
        <v>신규</v>
      </c>
      <c r="E61" s="13">
        <v>1</v>
      </c>
      <c r="F61" s="14">
        <f>IF(COVER!B10="APPLICATION",0,IF(D61="기존 단가",Y118,IF(D61="신규",Z118)))</f>
        <v>0</v>
      </c>
      <c r="G61" s="14">
        <f t="shared" si="11"/>
        <v>0</v>
      </c>
      <c r="H61" s="14"/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f t="shared" si="2"/>
        <v>0</v>
      </c>
      <c r="T61" s="22"/>
    </row>
    <row r="62" spans="1:22" s="19" customFormat="1" ht="33" customHeight="1">
      <c r="A62" s="378" t="s">
        <v>140</v>
      </c>
      <c r="B62" s="379"/>
      <c r="C62" s="379"/>
      <c r="D62" s="379"/>
      <c r="E62" s="379"/>
      <c r="F62" s="380"/>
      <c r="G62" s="14">
        <f>IF(COVER!B10="APPLICATION",0,IF(D55="GEAR",Y120,IF(D55="MOTOR",Z120,IF(D55="PNEUMATIC",AA120))))</f>
        <v>0</v>
      </c>
      <c r="H62" s="14"/>
      <c r="I62" s="32" t="s">
        <v>38</v>
      </c>
      <c r="J62" s="32"/>
      <c r="K62" s="32"/>
      <c r="L62" s="32"/>
      <c r="M62" s="32"/>
      <c r="N62" s="32"/>
      <c r="O62" s="32"/>
      <c r="P62" s="32"/>
      <c r="Q62" s="32"/>
      <c r="R62" s="33"/>
      <c r="S62" s="33">
        <f t="shared" si="2"/>
        <v>0</v>
      </c>
      <c r="T62" s="253"/>
    </row>
    <row r="63" spans="1:22" s="19" customFormat="1" ht="33" customHeight="1">
      <c r="A63" s="360" t="s">
        <v>141</v>
      </c>
      <c r="B63" s="361"/>
      <c r="C63" s="361"/>
      <c r="D63" s="361"/>
      <c r="E63" s="361"/>
      <c r="F63" s="362"/>
      <c r="G63" s="14"/>
      <c r="H63" s="14"/>
      <c r="I63" s="32"/>
      <c r="J63" s="32"/>
      <c r="K63" s="32"/>
      <c r="L63" s="32"/>
      <c r="M63" s="32"/>
      <c r="N63" s="32"/>
      <c r="O63" s="32"/>
      <c r="P63" s="32"/>
      <c r="Q63" s="32"/>
      <c r="R63" s="33"/>
      <c r="S63" s="33"/>
      <c r="T63" s="253" t="s">
        <v>1526</v>
      </c>
    </row>
    <row r="64" spans="1:22" s="19" customFormat="1" ht="33" customHeight="1">
      <c r="A64" s="378" t="s">
        <v>144</v>
      </c>
      <c r="B64" s="379"/>
      <c r="C64" s="379"/>
      <c r="D64" s="379"/>
      <c r="E64" s="379"/>
      <c r="F64" s="380"/>
      <c r="G64" s="93" t="s">
        <v>137</v>
      </c>
      <c r="H64" s="93"/>
      <c r="I64" s="32"/>
      <c r="J64" s="94"/>
      <c r="K64" s="94"/>
      <c r="L64" s="94"/>
      <c r="M64" s="94"/>
      <c r="N64" s="94"/>
      <c r="O64" s="94"/>
      <c r="P64" s="94"/>
      <c r="Q64" s="94"/>
      <c r="R64" s="94"/>
      <c r="S64" s="34">
        <f>SUM(S8:S63)</f>
        <v>22306825</v>
      </c>
      <c r="T64" s="254" t="s">
        <v>145</v>
      </c>
    </row>
    <row r="65" spans="1:32" s="19" customFormat="1" ht="33" customHeight="1">
      <c r="A65" s="378" t="s">
        <v>146</v>
      </c>
      <c r="B65" s="379"/>
      <c r="C65" s="379"/>
      <c r="D65" s="379"/>
      <c r="E65" s="379"/>
      <c r="F65" s="380"/>
      <c r="G65" s="32">
        <v>0.1</v>
      </c>
      <c r="H65" s="32"/>
      <c r="I65" s="32" t="s">
        <v>143</v>
      </c>
      <c r="J65" s="32"/>
      <c r="K65" s="32"/>
      <c r="L65" s="32"/>
      <c r="M65" s="32"/>
      <c r="N65" s="32"/>
      <c r="O65" s="32"/>
      <c r="P65" s="32"/>
      <c r="Q65" s="32"/>
      <c r="R65" s="32"/>
      <c r="S65" s="35">
        <f>S64*G65</f>
        <v>2230682.5</v>
      </c>
      <c r="T65" s="253"/>
    </row>
    <row r="66" spans="1:32" s="19" customFormat="1" ht="33" customHeight="1">
      <c r="A66" s="360" t="s">
        <v>147</v>
      </c>
      <c r="B66" s="361"/>
      <c r="C66" s="361"/>
      <c r="D66" s="361"/>
      <c r="E66" s="361"/>
      <c r="F66" s="362"/>
      <c r="G66" s="95">
        <v>0.1</v>
      </c>
      <c r="H66" s="95"/>
      <c r="I66" s="32" t="s">
        <v>142</v>
      </c>
      <c r="J66" s="32"/>
      <c r="K66" s="32"/>
      <c r="L66" s="32"/>
      <c r="M66" s="32"/>
      <c r="N66" s="32"/>
      <c r="O66" s="32"/>
      <c r="P66" s="32"/>
      <c r="Q66" s="32"/>
      <c r="R66" s="32"/>
      <c r="S66" s="35">
        <f>(S64+S65)*G66</f>
        <v>2453750.75</v>
      </c>
      <c r="T66" s="253" t="s">
        <v>142</v>
      </c>
    </row>
    <row r="67" spans="1:32" s="19" customFormat="1" ht="33" customHeight="1">
      <c r="A67" s="363" t="s">
        <v>148</v>
      </c>
      <c r="B67" s="364"/>
      <c r="C67" s="364"/>
      <c r="D67" s="364"/>
      <c r="E67" s="364"/>
      <c r="F67" s="365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294">
        <f>S64+S65+S66</f>
        <v>26991258.25</v>
      </c>
      <c r="T67" s="254" t="s">
        <v>149</v>
      </c>
    </row>
    <row r="68" spans="1:32" s="19" customFormat="1" ht="33" customHeight="1">
      <c r="A68" s="366" t="s">
        <v>150</v>
      </c>
      <c r="B68" s="367"/>
      <c r="C68" s="367"/>
      <c r="D68" s="367"/>
      <c r="E68" s="367"/>
      <c r="F68" s="368"/>
      <c r="G68" s="32">
        <f>COVER!B11</f>
        <v>1.5</v>
      </c>
      <c r="H68" s="32"/>
      <c r="I68" s="32" t="s">
        <v>143</v>
      </c>
      <c r="J68" s="32"/>
      <c r="K68" s="32"/>
      <c r="L68" s="32"/>
      <c r="M68" s="32"/>
      <c r="N68" s="32"/>
      <c r="O68" s="32"/>
      <c r="P68" s="32"/>
      <c r="Q68" s="32"/>
      <c r="R68" s="32"/>
      <c r="S68" s="36">
        <f>S67*G68</f>
        <v>40486887.375</v>
      </c>
      <c r="T68" s="253"/>
    </row>
    <row r="69" spans="1:32" s="19" customFormat="1" ht="33" customHeight="1">
      <c r="A69" s="369" t="s">
        <v>151</v>
      </c>
      <c r="B69" s="370"/>
      <c r="C69" s="370"/>
      <c r="D69" s="370"/>
      <c r="E69" s="370"/>
      <c r="F69" s="370"/>
      <c r="G69" s="371"/>
      <c r="H69" s="37"/>
      <c r="I69" s="38"/>
      <c r="J69" s="38"/>
      <c r="K69" s="38"/>
      <c r="L69" s="38"/>
      <c r="M69" s="38"/>
      <c r="N69" s="38"/>
      <c r="O69" s="38"/>
      <c r="P69" s="38"/>
      <c r="Q69" s="38"/>
      <c r="R69" s="39" t="s">
        <v>152</v>
      </c>
      <c r="S69" s="40">
        <f>S68</f>
        <v>40486887.375</v>
      </c>
      <c r="T69" s="246" t="s">
        <v>153</v>
      </c>
      <c r="V69" s="141" t="s">
        <v>862</v>
      </c>
      <c r="W69" s="140"/>
      <c r="X69" s="140"/>
      <c r="Y69" s="140"/>
      <c r="Z69" s="140"/>
      <c r="AA69" s="140"/>
      <c r="AB69" s="140"/>
      <c r="AC69" s="140"/>
      <c r="AD69" s="140"/>
      <c r="AE69" s="140"/>
      <c r="AF69" s="140"/>
    </row>
    <row r="70" spans="1:32" s="19" customFormat="1" ht="33" customHeight="1" thickBot="1">
      <c r="A70" s="372"/>
      <c r="B70" s="373"/>
      <c r="C70" s="373"/>
      <c r="D70" s="373"/>
      <c r="E70" s="373"/>
      <c r="F70" s="373"/>
      <c r="G70" s="374"/>
      <c r="H70" s="41"/>
      <c r="I70" s="42"/>
      <c r="J70" s="42"/>
      <c r="K70" s="42"/>
      <c r="L70" s="42"/>
      <c r="M70" s="42"/>
      <c r="N70" s="42"/>
      <c r="O70" s="42"/>
      <c r="P70" s="42"/>
      <c r="Q70" s="42"/>
      <c r="R70" s="43" t="s">
        <v>138</v>
      </c>
      <c r="S70" s="43">
        <f>S64*G68</f>
        <v>33460237.5</v>
      </c>
      <c r="T70" s="247" t="s">
        <v>154</v>
      </c>
      <c r="V70" s="141" t="s">
        <v>1444</v>
      </c>
      <c r="W70" s="140"/>
      <c r="X70" s="140"/>
      <c r="Y70" s="140"/>
      <c r="Z70" s="140"/>
      <c r="AA70" s="140"/>
      <c r="AB70" s="140"/>
      <c r="AC70" s="140"/>
      <c r="AD70" s="140"/>
      <c r="AE70" s="140"/>
      <c r="AF70" s="140"/>
    </row>
    <row r="71" spans="1:32" ht="15" thickBot="1">
      <c r="V71" s="140"/>
      <c r="W71" s="140"/>
      <c r="X71" s="140"/>
      <c r="Y71" s="140"/>
      <c r="Z71" s="140"/>
      <c r="AA71" s="140"/>
      <c r="AB71" s="140"/>
      <c r="AC71" s="140"/>
      <c r="AD71" s="140"/>
      <c r="AE71" s="140"/>
      <c r="AF71" s="140"/>
    </row>
    <row r="72" spans="1:32" ht="21" thickBot="1">
      <c r="C72" s="44" t="s">
        <v>155</v>
      </c>
      <c r="V72" s="193" t="s">
        <v>863</v>
      </c>
      <c r="W72" s="194" t="s">
        <v>864</v>
      </c>
      <c r="X72" s="194" t="s">
        <v>865</v>
      </c>
      <c r="Y72" s="358" t="s">
        <v>866</v>
      </c>
      <c r="Z72" s="358"/>
      <c r="AA72" s="358"/>
      <c r="AB72" s="358"/>
      <c r="AC72" s="358"/>
      <c r="AD72" s="358"/>
      <c r="AE72" s="358"/>
      <c r="AF72" s="218" t="s">
        <v>867</v>
      </c>
    </row>
    <row r="73" spans="1:32" ht="20.399999999999999">
      <c r="C73" s="44" t="s">
        <v>156</v>
      </c>
      <c r="V73" s="336" t="s">
        <v>868</v>
      </c>
      <c r="W73" s="111" t="s">
        <v>869</v>
      </c>
      <c r="X73" s="111" t="s">
        <v>1445</v>
      </c>
      <c r="Y73" s="345" t="s">
        <v>870</v>
      </c>
      <c r="Z73" s="345"/>
      <c r="AA73" s="345"/>
      <c r="AB73" s="345"/>
      <c r="AC73" s="345"/>
      <c r="AD73" s="345"/>
      <c r="AE73" s="345"/>
      <c r="AF73" s="161" t="s">
        <v>871</v>
      </c>
    </row>
    <row r="74" spans="1:32" ht="21" thickBot="1">
      <c r="C74" s="44" t="s">
        <v>157</v>
      </c>
      <c r="V74" s="342"/>
      <c r="W74" s="133" t="s">
        <v>872</v>
      </c>
      <c r="X74" s="219" t="s">
        <v>457</v>
      </c>
      <c r="Y74" s="346" t="s">
        <v>870</v>
      </c>
      <c r="Z74" s="346"/>
      <c r="AA74" s="346"/>
      <c r="AB74" s="346"/>
      <c r="AC74" s="346"/>
      <c r="AD74" s="346"/>
      <c r="AE74" s="346"/>
      <c r="AF74" s="195" t="s">
        <v>871</v>
      </c>
    </row>
    <row r="75" spans="1:32" ht="21" thickBot="1">
      <c r="C75" s="44" t="s">
        <v>158</v>
      </c>
      <c r="V75" s="196" t="s">
        <v>874</v>
      </c>
      <c r="W75" s="137" t="s">
        <v>875</v>
      </c>
      <c r="X75" s="137" t="s">
        <v>1446</v>
      </c>
      <c r="Y75" s="359" t="s">
        <v>870</v>
      </c>
      <c r="Z75" s="359"/>
      <c r="AA75" s="359"/>
      <c r="AB75" s="359"/>
      <c r="AC75" s="359"/>
      <c r="AD75" s="359"/>
      <c r="AE75" s="359"/>
      <c r="AF75" s="197" t="s">
        <v>871</v>
      </c>
    </row>
    <row r="76" spans="1:32" ht="20.399999999999999">
      <c r="C76" s="44" t="s">
        <v>159</v>
      </c>
      <c r="V76" s="336" t="s">
        <v>877</v>
      </c>
      <c r="W76" s="111" t="s">
        <v>846</v>
      </c>
      <c r="X76" s="354">
        <v>1061300</v>
      </c>
      <c r="Y76" s="354"/>
      <c r="Z76" s="354"/>
      <c r="AA76" s="354"/>
      <c r="AB76" s="354"/>
      <c r="AC76" s="354"/>
      <c r="AD76" s="354"/>
      <c r="AE76" s="354"/>
      <c r="AF76" s="161"/>
    </row>
    <row r="77" spans="1:32" ht="21" thickBot="1">
      <c r="C77" s="44" t="s">
        <v>160</v>
      </c>
      <c r="V77" s="329"/>
      <c r="W77" s="125" t="s">
        <v>847</v>
      </c>
      <c r="X77" s="355">
        <v>1485800</v>
      </c>
      <c r="Y77" s="355"/>
      <c r="Z77" s="355"/>
      <c r="AA77" s="355"/>
      <c r="AB77" s="355"/>
      <c r="AC77" s="355"/>
      <c r="AD77" s="355"/>
      <c r="AE77" s="355"/>
      <c r="AF77" s="208"/>
    </row>
    <row r="78" spans="1:32" ht="20.399999999999999">
      <c r="C78" s="44" t="s">
        <v>161</v>
      </c>
      <c r="V78" s="336" t="s">
        <v>878</v>
      </c>
      <c r="W78" s="343" t="s">
        <v>1447</v>
      </c>
      <c r="X78" s="345" t="s">
        <v>879</v>
      </c>
      <c r="Y78" s="111" t="s">
        <v>880</v>
      </c>
      <c r="Z78" s="111">
        <v>304</v>
      </c>
      <c r="AA78" s="111" t="s">
        <v>881</v>
      </c>
      <c r="AB78" s="111" t="s">
        <v>882</v>
      </c>
      <c r="AC78" s="111" t="s">
        <v>883</v>
      </c>
      <c r="AD78" s="111" t="s">
        <v>884</v>
      </c>
      <c r="AE78" s="111" t="s">
        <v>885</v>
      </c>
      <c r="AF78" s="161"/>
    </row>
    <row r="79" spans="1:32" ht="20.399999999999999">
      <c r="C79" s="45"/>
      <c r="V79" s="337"/>
      <c r="W79" s="356"/>
      <c r="X79" s="357"/>
      <c r="Y79" s="116">
        <v>1445500</v>
      </c>
      <c r="Z79" s="116">
        <v>1048645</v>
      </c>
      <c r="AA79" s="116">
        <v>1924910</v>
      </c>
      <c r="AB79" s="116">
        <v>830720</v>
      </c>
      <c r="AC79" s="116">
        <v>1902130</v>
      </c>
      <c r="AD79" s="116">
        <v>2488447</v>
      </c>
      <c r="AE79" s="293">
        <v>6587000</v>
      </c>
      <c r="AF79" s="214" t="s">
        <v>886</v>
      </c>
    </row>
    <row r="80" spans="1:32" ht="21" thickBot="1">
      <c r="C80" s="44" t="s">
        <v>162</v>
      </c>
      <c r="V80" s="132" t="s">
        <v>887</v>
      </c>
      <c r="W80" s="286" t="s">
        <v>1448</v>
      </c>
      <c r="X80" s="133" t="s">
        <v>909</v>
      </c>
      <c r="Y80" s="134">
        <v>55370</v>
      </c>
      <c r="Z80" s="134">
        <v>40115</v>
      </c>
      <c r="AA80" s="134">
        <v>99160</v>
      </c>
      <c r="AB80" s="134">
        <v>32450</v>
      </c>
      <c r="AC80" s="134">
        <v>81740</v>
      </c>
      <c r="AD80" s="134">
        <v>98423</v>
      </c>
      <c r="AE80" s="134">
        <v>589600</v>
      </c>
      <c r="AF80" s="195" t="s">
        <v>889</v>
      </c>
    </row>
    <row r="81" spans="3:32" ht="20.399999999999999">
      <c r="C81" s="46" t="s">
        <v>163</v>
      </c>
      <c r="V81" s="331" t="s">
        <v>890</v>
      </c>
      <c r="W81" s="352" t="s">
        <v>1449</v>
      </c>
      <c r="X81" s="328" t="s">
        <v>879</v>
      </c>
      <c r="Y81" s="198">
        <v>304</v>
      </c>
      <c r="Z81" s="198" t="s">
        <v>880</v>
      </c>
      <c r="AA81" s="198" t="s">
        <v>892</v>
      </c>
      <c r="AB81" s="199"/>
      <c r="AC81" s="199"/>
      <c r="AD81" s="199"/>
      <c r="AE81" s="199"/>
      <c r="AF81" s="206"/>
    </row>
    <row r="82" spans="3:32" ht="21" thickBot="1">
      <c r="C82" s="46" t="s">
        <v>164</v>
      </c>
      <c r="V82" s="329"/>
      <c r="W82" s="353"/>
      <c r="X82" s="327"/>
      <c r="Y82" s="126">
        <v>656000</v>
      </c>
      <c r="Z82" s="126">
        <v>820000</v>
      </c>
      <c r="AA82" s="126">
        <v>120000</v>
      </c>
      <c r="AB82" s="200"/>
      <c r="AC82" s="200"/>
      <c r="AD82" s="200"/>
      <c r="AE82" s="200"/>
      <c r="AF82" s="208"/>
    </row>
    <row r="83" spans="3:32" ht="20.399999999999999">
      <c r="C83" s="46" t="s">
        <v>165</v>
      </c>
      <c r="V83" s="336" t="s">
        <v>893</v>
      </c>
      <c r="W83" s="343" t="s">
        <v>1450</v>
      </c>
      <c r="X83" s="345" t="s">
        <v>879</v>
      </c>
      <c r="Y83" s="111" t="s">
        <v>895</v>
      </c>
      <c r="Z83" s="111" t="s">
        <v>896</v>
      </c>
      <c r="AA83" s="201"/>
      <c r="AB83" s="201"/>
      <c r="AC83" s="201"/>
      <c r="AD83" s="201"/>
      <c r="AE83" s="201"/>
      <c r="AF83" s="161"/>
    </row>
    <row r="84" spans="3:32" ht="21" thickBot="1">
      <c r="C84" s="46" t="s">
        <v>166</v>
      </c>
      <c r="V84" s="342"/>
      <c r="W84" s="344"/>
      <c r="X84" s="346"/>
      <c r="Y84" s="296">
        <v>338400</v>
      </c>
      <c r="Z84" s="296">
        <v>300000</v>
      </c>
      <c r="AA84" s="203"/>
      <c r="AB84" s="203"/>
      <c r="AC84" s="203"/>
      <c r="AD84" s="203"/>
      <c r="AE84" s="203"/>
      <c r="AF84" s="195" t="s">
        <v>958</v>
      </c>
    </row>
    <row r="85" spans="3:32" ht="21" thickBot="1">
      <c r="C85" s="46" t="s">
        <v>167</v>
      </c>
      <c r="V85" s="170" t="s">
        <v>898</v>
      </c>
      <c r="W85" s="288" t="s">
        <v>1092</v>
      </c>
      <c r="X85" s="125" t="s">
        <v>463</v>
      </c>
      <c r="Y85" s="126">
        <v>47800</v>
      </c>
      <c r="Z85" s="200"/>
      <c r="AA85" s="200"/>
      <c r="AB85" s="200"/>
      <c r="AC85" s="200"/>
      <c r="AD85" s="200"/>
      <c r="AE85" s="200"/>
      <c r="AF85" s="208"/>
    </row>
    <row r="86" spans="3:32" ht="21" thickBot="1">
      <c r="C86" s="46" t="s">
        <v>168</v>
      </c>
      <c r="V86" s="193" t="s">
        <v>904</v>
      </c>
      <c r="W86" s="289" t="s">
        <v>1128</v>
      </c>
      <c r="X86" s="194" t="s">
        <v>463</v>
      </c>
      <c r="Y86" s="210">
        <v>7000</v>
      </c>
      <c r="Z86" s="211"/>
      <c r="AA86" s="211"/>
      <c r="AB86" s="211"/>
      <c r="AC86" s="211"/>
      <c r="AD86" s="211"/>
      <c r="AE86" s="211"/>
      <c r="AF86" s="218"/>
    </row>
    <row r="87" spans="3:32" ht="20.399999999999999">
      <c r="C87" s="46" t="s">
        <v>169</v>
      </c>
      <c r="V87" s="336" t="s">
        <v>906</v>
      </c>
      <c r="W87" s="345"/>
      <c r="X87" s="345"/>
      <c r="Y87" s="111" t="s">
        <v>853</v>
      </c>
      <c r="Z87" s="111" t="s">
        <v>462</v>
      </c>
      <c r="AA87" s="111" t="s">
        <v>855</v>
      </c>
      <c r="AB87" s="201"/>
      <c r="AC87" s="201"/>
      <c r="AD87" s="201"/>
      <c r="AE87" s="201"/>
      <c r="AF87" s="161"/>
    </row>
    <row r="88" spans="3:32" ht="20.399999999999999">
      <c r="C88" s="47" t="s">
        <v>170</v>
      </c>
      <c r="V88" s="119" t="s">
        <v>907</v>
      </c>
      <c r="W88" s="290" t="s">
        <v>1451</v>
      </c>
      <c r="X88" s="115" t="s">
        <v>1081</v>
      </c>
      <c r="Y88" s="116">
        <v>12000</v>
      </c>
      <c r="Z88" s="116">
        <v>15000</v>
      </c>
      <c r="AA88" s="116">
        <v>10000</v>
      </c>
      <c r="AB88" s="213"/>
      <c r="AC88" s="213"/>
      <c r="AD88" s="213"/>
      <c r="AE88" s="213"/>
      <c r="AF88" s="214" t="s">
        <v>910</v>
      </c>
    </row>
    <row r="89" spans="3:32" ht="20.399999999999999">
      <c r="C89" s="48"/>
      <c r="V89" s="119" t="s">
        <v>911</v>
      </c>
      <c r="W89" s="290" t="s">
        <v>1452</v>
      </c>
      <c r="X89" s="115" t="s">
        <v>1081</v>
      </c>
      <c r="Y89" s="116">
        <v>8000</v>
      </c>
      <c r="Z89" s="116">
        <v>10000</v>
      </c>
      <c r="AA89" s="116">
        <v>5000</v>
      </c>
      <c r="AB89" s="213"/>
      <c r="AC89" s="213"/>
      <c r="AD89" s="213"/>
      <c r="AE89" s="213"/>
      <c r="AF89" s="214" t="s">
        <v>910</v>
      </c>
    </row>
    <row r="90" spans="3:32" ht="20.399999999999999">
      <c r="C90" s="46" t="s">
        <v>133</v>
      </c>
      <c r="V90" s="119" t="s">
        <v>913</v>
      </c>
      <c r="W90" s="290" t="s">
        <v>1096</v>
      </c>
      <c r="X90" s="115" t="s">
        <v>909</v>
      </c>
      <c r="Y90" s="116">
        <v>3000</v>
      </c>
      <c r="Z90" s="116">
        <v>4500</v>
      </c>
      <c r="AA90" s="116">
        <v>2000</v>
      </c>
      <c r="AB90" s="213"/>
      <c r="AC90" s="213"/>
      <c r="AD90" s="213"/>
      <c r="AE90" s="213"/>
      <c r="AF90" s="214" t="s">
        <v>910</v>
      </c>
    </row>
    <row r="91" spans="3:32" ht="20.399999999999999">
      <c r="C91" s="44" t="s">
        <v>171</v>
      </c>
      <c r="V91" s="119" t="s">
        <v>913</v>
      </c>
      <c r="W91" s="290" t="s">
        <v>1097</v>
      </c>
      <c r="X91" s="115" t="s">
        <v>1098</v>
      </c>
      <c r="Y91" s="116">
        <v>3000</v>
      </c>
      <c r="Z91" s="116">
        <v>4500</v>
      </c>
      <c r="AA91" s="116">
        <v>2000</v>
      </c>
      <c r="AB91" s="213"/>
      <c r="AC91" s="213"/>
      <c r="AD91" s="213"/>
      <c r="AE91" s="213"/>
      <c r="AF91" s="214" t="s">
        <v>910</v>
      </c>
    </row>
    <row r="92" spans="3:32" ht="20.399999999999999">
      <c r="C92" s="46" t="s">
        <v>172</v>
      </c>
      <c r="V92" s="119" t="s">
        <v>916</v>
      </c>
      <c r="W92" s="290" t="s">
        <v>1099</v>
      </c>
      <c r="X92" s="115" t="s">
        <v>915</v>
      </c>
      <c r="Y92" s="116">
        <v>4500</v>
      </c>
      <c r="Z92" s="116">
        <v>5000</v>
      </c>
      <c r="AA92" s="116">
        <v>3000</v>
      </c>
      <c r="AB92" s="213"/>
      <c r="AC92" s="213"/>
      <c r="AD92" s="213"/>
      <c r="AE92" s="213"/>
      <c r="AF92" s="214" t="s">
        <v>910</v>
      </c>
    </row>
    <row r="93" spans="3:32" ht="21" thickBot="1">
      <c r="C93" s="46" t="s">
        <v>173</v>
      </c>
      <c r="V93" s="170" t="s">
        <v>918</v>
      </c>
      <c r="W93" s="288" t="s">
        <v>1453</v>
      </c>
      <c r="X93" s="125" t="s">
        <v>1081</v>
      </c>
      <c r="Y93" s="126">
        <v>7500</v>
      </c>
      <c r="Z93" s="126">
        <v>8000</v>
      </c>
      <c r="AA93" s="126">
        <v>5000</v>
      </c>
      <c r="AB93" s="200"/>
      <c r="AC93" s="200"/>
      <c r="AD93" s="200"/>
      <c r="AE93" s="200"/>
      <c r="AF93" s="208" t="s">
        <v>910</v>
      </c>
    </row>
    <row r="94" spans="3:32" ht="18" thickBot="1">
      <c r="V94" s="105" t="s">
        <v>920</v>
      </c>
      <c r="W94" s="291" t="s">
        <v>1131</v>
      </c>
      <c r="X94" s="103" t="s">
        <v>879</v>
      </c>
      <c r="Y94" s="216">
        <v>370500</v>
      </c>
      <c r="Z94" s="217"/>
      <c r="AA94" s="217"/>
      <c r="AB94" s="217"/>
      <c r="AC94" s="217"/>
      <c r="AD94" s="217"/>
      <c r="AE94" s="217"/>
      <c r="AF94" s="107"/>
    </row>
    <row r="95" spans="3:32" ht="14.4">
      <c r="V95" s="336" t="s">
        <v>922</v>
      </c>
      <c r="W95" s="345"/>
      <c r="X95" s="345"/>
      <c r="Y95" s="111" t="s">
        <v>923</v>
      </c>
      <c r="Z95" s="111" t="s">
        <v>924</v>
      </c>
      <c r="AA95" s="201"/>
      <c r="AB95" s="201"/>
      <c r="AC95" s="201"/>
      <c r="AD95" s="201"/>
      <c r="AE95" s="201"/>
      <c r="AF95" s="161"/>
    </row>
    <row r="96" spans="3:32" s="228" customFormat="1" ht="17.399999999999999">
      <c r="C96" s="227"/>
      <c r="V96" s="329" t="s">
        <v>925</v>
      </c>
      <c r="W96" s="290" t="s">
        <v>1454</v>
      </c>
      <c r="X96" s="115" t="s">
        <v>888</v>
      </c>
      <c r="Y96" s="116">
        <v>503900</v>
      </c>
      <c r="Z96" s="116">
        <v>248000</v>
      </c>
      <c r="AA96" s="213"/>
      <c r="AB96" s="213"/>
      <c r="AC96" s="213"/>
      <c r="AD96" s="213"/>
      <c r="AE96" s="213"/>
      <c r="AF96" s="214" t="s">
        <v>889</v>
      </c>
    </row>
    <row r="97" spans="3:32" s="228" customFormat="1" ht="17.399999999999999">
      <c r="C97" s="227"/>
      <c r="V97" s="331"/>
      <c r="W97" s="290" t="s">
        <v>1455</v>
      </c>
      <c r="X97" s="115" t="s">
        <v>879</v>
      </c>
      <c r="Y97" s="116">
        <v>159700</v>
      </c>
      <c r="Z97" s="116">
        <v>59000</v>
      </c>
      <c r="AA97" s="213"/>
      <c r="AB97" s="213"/>
      <c r="AC97" s="213"/>
      <c r="AD97" s="213"/>
      <c r="AE97" s="213"/>
      <c r="AF97" s="214" t="s">
        <v>889</v>
      </c>
    </row>
    <row r="98" spans="3:32" ht="17.399999999999999">
      <c r="V98" s="329" t="s">
        <v>926</v>
      </c>
      <c r="W98" s="290" t="s">
        <v>1454</v>
      </c>
      <c r="X98" s="115" t="s">
        <v>888</v>
      </c>
      <c r="Y98" s="116">
        <v>503900</v>
      </c>
      <c r="Z98" s="116">
        <v>248000</v>
      </c>
      <c r="AA98" s="213"/>
      <c r="AB98" s="213"/>
      <c r="AC98" s="213"/>
      <c r="AD98" s="213"/>
      <c r="AE98" s="213"/>
      <c r="AF98" s="214" t="s">
        <v>889</v>
      </c>
    </row>
    <row r="99" spans="3:32" ht="17.399999999999999">
      <c r="V99" s="331"/>
      <c r="W99" s="290" t="s">
        <v>1456</v>
      </c>
      <c r="X99" s="115" t="s">
        <v>879</v>
      </c>
      <c r="Y99" s="116">
        <v>200800</v>
      </c>
      <c r="Z99" s="116">
        <v>95800</v>
      </c>
      <c r="AA99" s="213"/>
      <c r="AB99" s="213"/>
      <c r="AC99" s="213"/>
      <c r="AD99" s="213"/>
      <c r="AE99" s="213"/>
      <c r="AF99" s="214" t="s">
        <v>889</v>
      </c>
    </row>
    <row r="100" spans="3:32" ht="17.399999999999999">
      <c r="V100" s="119" t="s">
        <v>927</v>
      </c>
      <c r="W100" s="290" t="s">
        <v>1132</v>
      </c>
      <c r="X100" s="115" t="s">
        <v>879</v>
      </c>
      <c r="Y100" s="116">
        <v>320000</v>
      </c>
      <c r="Z100" s="116">
        <v>352000</v>
      </c>
      <c r="AA100" s="213"/>
      <c r="AB100" s="213"/>
      <c r="AC100" s="213"/>
      <c r="AD100" s="213"/>
      <c r="AE100" s="213"/>
      <c r="AF100" s="214" t="s">
        <v>889</v>
      </c>
    </row>
    <row r="101" spans="3:32" ht="17.399999999999999">
      <c r="V101" s="119" t="s">
        <v>929</v>
      </c>
      <c r="W101" s="290" t="s">
        <v>1457</v>
      </c>
      <c r="X101" s="115" t="s">
        <v>879</v>
      </c>
      <c r="Y101" s="116">
        <v>30500</v>
      </c>
      <c r="Z101" s="116">
        <v>59600</v>
      </c>
      <c r="AA101" s="213"/>
      <c r="AB101" s="213"/>
      <c r="AC101" s="213"/>
      <c r="AD101" s="213"/>
      <c r="AE101" s="213"/>
      <c r="AF101" s="214" t="s">
        <v>889</v>
      </c>
    </row>
    <row r="102" spans="3:32" ht="17.399999999999999">
      <c r="V102" s="119" t="s">
        <v>931</v>
      </c>
      <c r="W102" s="290" t="s">
        <v>1133</v>
      </c>
      <c r="X102" s="115" t="s">
        <v>879</v>
      </c>
      <c r="Y102" s="116">
        <v>58000</v>
      </c>
      <c r="Z102" s="116">
        <v>64200</v>
      </c>
      <c r="AA102" s="213"/>
      <c r="AB102" s="213"/>
      <c r="AC102" s="213"/>
      <c r="AD102" s="213"/>
      <c r="AE102" s="213"/>
      <c r="AF102" s="214" t="s">
        <v>889</v>
      </c>
    </row>
    <row r="103" spans="3:32" ht="17.399999999999999">
      <c r="V103" s="119" t="s">
        <v>933</v>
      </c>
      <c r="W103" s="290" t="s">
        <v>1135</v>
      </c>
      <c r="X103" s="115" t="s">
        <v>879</v>
      </c>
      <c r="Y103" s="116">
        <v>33500</v>
      </c>
      <c r="Z103" s="116">
        <v>39500</v>
      </c>
      <c r="AA103" s="213"/>
      <c r="AB103" s="213"/>
      <c r="AC103" s="213"/>
      <c r="AD103" s="213"/>
      <c r="AE103" s="213"/>
      <c r="AF103" s="214" t="s">
        <v>889</v>
      </c>
    </row>
    <row r="104" spans="3:32" ht="17.399999999999999">
      <c r="V104" s="119" t="s">
        <v>933</v>
      </c>
      <c r="W104" s="290" t="s">
        <v>1134</v>
      </c>
      <c r="X104" s="115" t="s">
        <v>879</v>
      </c>
      <c r="Y104" s="116">
        <v>32400</v>
      </c>
      <c r="Z104" s="116">
        <v>40400</v>
      </c>
      <c r="AA104" s="213"/>
      <c r="AB104" s="213"/>
      <c r="AC104" s="213"/>
      <c r="AD104" s="213"/>
      <c r="AE104" s="213"/>
      <c r="AF104" s="214" t="s">
        <v>889</v>
      </c>
    </row>
    <row r="105" spans="3:32" ht="14.4" customHeight="1" thickBot="1">
      <c r="V105" s="132" t="s">
        <v>935</v>
      </c>
      <c r="W105" s="286" t="s">
        <v>1458</v>
      </c>
      <c r="X105" s="133" t="s">
        <v>888</v>
      </c>
      <c r="Y105" s="134">
        <v>26010</v>
      </c>
      <c r="Z105" s="134">
        <v>84600</v>
      </c>
      <c r="AA105" s="203"/>
      <c r="AB105" s="203"/>
      <c r="AC105" s="203"/>
      <c r="AD105" s="203"/>
      <c r="AE105" s="203"/>
      <c r="AF105" s="195" t="s">
        <v>889</v>
      </c>
    </row>
    <row r="106" spans="3:32" ht="15" customHeight="1">
      <c r="V106" s="331" t="s">
        <v>937</v>
      </c>
      <c r="W106" s="352" t="s">
        <v>1136</v>
      </c>
      <c r="X106" s="328" t="s">
        <v>879</v>
      </c>
      <c r="Y106" s="198" t="s">
        <v>741</v>
      </c>
      <c r="Z106" s="198">
        <v>316</v>
      </c>
      <c r="AA106" s="198">
        <v>304</v>
      </c>
      <c r="AB106" s="199"/>
      <c r="AC106" s="199"/>
      <c r="AD106" s="199"/>
      <c r="AE106" s="199"/>
      <c r="AF106" s="347" t="s">
        <v>940</v>
      </c>
    </row>
    <row r="107" spans="3:32" ht="14.4" customHeight="1" thickBot="1">
      <c r="V107" s="329"/>
      <c r="W107" s="353"/>
      <c r="X107" s="327"/>
      <c r="Y107" s="126">
        <v>59455</v>
      </c>
      <c r="Z107" s="126">
        <v>254100</v>
      </c>
      <c r="AA107" s="126">
        <v>190485</v>
      </c>
      <c r="AB107" s="200"/>
      <c r="AC107" s="200"/>
      <c r="AD107" s="200"/>
      <c r="AE107" s="200"/>
      <c r="AF107" s="348"/>
    </row>
    <row r="108" spans="3:32" ht="15" customHeight="1">
      <c r="V108" s="336" t="s">
        <v>985</v>
      </c>
      <c r="W108" s="343" t="s">
        <v>1127</v>
      </c>
      <c r="X108" s="111" t="s">
        <v>986</v>
      </c>
      <c r="Y108" s="111" t="s">
        <v>466</v>
      </c>
      <c r="Z108" s="111" t="s">
        <v>988</v>
      </c>
      <c r="AA108" s="111" t="s">
        <v>989</v>
      </c>
      <c r="AB108" s="111" t="s">
        <v>990</v>
      </c>
      <c r="AC108" s="201"/>
      <c r="AD108" s="201"/>
      <c r="AE108" s="201"/>
      <c r="AF108" s="347" t="s">
        <v>991</v>
      </c>
    </row>
    <row r="109" spans="3:32" ht="15" thickBot="1">
      <c r="V109" s="342"/>
      <c r="W109" s="344"/>
      <c r="X109" s="221">
        <v>140</v>
      </c>
      <c r="Y109" s="433" t="s">
        <v>870</v>
      </c>
      <c r="Z109" s="434"/>
      <c r="AA109" s="134">
        <v>90000</v>
      </c>
      <c r="AB109" s="134">
        <v>120000</v>
      </c>
      <c r="AC109" s="203"/>
      <c r="AD109" s="203"/>
      <c r="AE109" s="203"/>
      <c r="AF109" s="348"/>
    </row>
    <row r="114" spans="22:32" ht="13.8" thickBot="1"/>
    <row r="115" spans="22:32" ht="30" customHeight="1">
      <c r="V115" s="336" t="s">
        <v>1516</v>
      </c>
      <c r="W115" s="338"/>
      <c r="X115" s="340"/>
      <c r="Y115" s="171" t="s">
        <v>1517</v>
      </c>
      <c r="Z115" s="171" t="s">
        <v>1518</v>
      </c>
      <c r="AA115" s="171" t="s">
        <v>1519</v>
      </c>
      <c r="AB115" s="171"/>
      <c r="AC115" s="171"/>
      <c r="AD115" s="171"/>
      <c r="AE115" s="171"/>
      <c r="AF115" s="172"/>
    </row>
    <row r="116" spans="22:32" ht="30" customHeight="1" thickBot="1">
      <c r="V116" s="337"/>
      <c r="W116" s="339"/>
      <c r="X116" s="341"/>
      <c r="Y116" s="173">
        <v>360000</v>
      </c>
      <c r="Z116" s="173">
        <f>IF(F8&gt;0,E8*520,IF(F9&gt;0,E9*520))</f>
        <v>923000</v>
      </c>
      <c r="AA116" s="173">
        <f>IF(F8&gt;0,E8*620,IF(F9&gt;0,E9*620))</f>
        <v>1100500</v>
      </c>
      <c r="AB116" s="173"/>
      <c r="AC116" s="173"/>
      <c r="AD116" s="173"/>
      <c r="AE116" s="173"/>
      <c r="AF116" s="174"/>
    </row>
    <row r="117" spans="22:32" ht="30" customHeight="1">
      <c r="V117" s="336" t="s">
        <v>1520</v>
      </c>
      <c r="W117" s="338"/>
      <c r="X117" s="340"/>
      <c r="Y117" s="171" t="s">
        <v>1517</v>
      </c>
      <c r="Z117" s="171" t="s">
        <v>1521</v>
      </c>
      <c r="AA117" s="171"/>
      <c r="AB117" s="171"/>
      <c r="AC117" s="171"/>
      <c r="AD117" s="171"/>
      <c r="AE117" s="171"/>
      <c r="AF117" s="172"/>
    </row>
    <row r="118" spans="22:32" ht="30" customHeight="1" thickBot="1">
      <c r="V118" s="337"/>
      <c r="W118" s="339"/>
      <c r="X118" s="341"/>
      <c r="Y118" s="173">
        <v>450000</v>
      </c>
      <c r="Z118" s="173">
        <f>Y118</f>
        <v>450000</v>
      </c>
      <c r="AA118" s="173"/>
      <c r="AB118" s="173"/>
      <c r="AC118" s="173"/>
      <c r="AD118" s="173"/>
      <c r="AE118" s="173"/>
      <c r="AF118" s="174"/>
    </row>
    <row r="119" spans="22:32" ht="30" customHeight="1">
      <c r="V119" s="336" t="s">
        <v>1522</v>
      </c>
      <c r="W119" s="338"/>
      <c r="X119" s="340"/>
      <c r="Y119" s="171" t="s">
        <v>1523</v>
      </c>
      <c r="Z119" s="171" t="s">
        <v>1524</v>
      </c>
      <c r="AA119" s="171" t="s">
        <v>1525</v>
      </c>
      <c r="AB119" s="171"/>
      <c r="AC119" s="171"/>
      <c r="AD119" s="171"/>
      <c r="AE119" s="171"/>
      <c r="AF119" s="172"/>
    </row>
    <row r="120" spans="22:32" ht="30" customHeight="1">
      <c r="V120" s="337"/>
      <c r="W120" s="339"/>
      <c r="X120" s="341"/>
      <c r="Y120" s="306">
        <v>600000</v>
      </c>
      <c r="Z120" s="306">
        <v>700000</v>
      </c>
      <c r="AA120" s="306">
        <v>1850000</v>
      </c>
      <c r="AB120" s="173"/>
      <c r="AC120" s="173"/>
      <c r="AD120" s="173"/>
      <c r="AE120" s="173"/>
      <c r="AF120" s="174"/>
    </row>
  </sheetData>
  <mergeCells count="67">
    <mergeCell ref="A69:G70"/>
    <mergeCell ref="A8:A61"/>
    <mergeCell ref="A62:F62"/>
    <mergeCell ref="A63:F63"/>
    <mergeCell ref="A64:F64"/>
    <mergeCell ref="A65:F65"/>
    <mergeCell ref="R5:R7"/>
    <mergeCell ref="S5:S7"/>
    <mergeCell ref="A66:F66"/>
    <mergeCell ref="A67:F67"/>
    <mergeCell ref="A68:F68"/>
    <mergeCell ref="C5:C7"/>
    <mergeCell ref="D5:D7"/>
    <mergeCell ref="E5:G6"/>
    <mergeCell ref="H5:H6"/>
    <mergeCell ref="I5:Q5"/>
    <mergeCell ref="V73:V74"/>
    <mergeCell ref="Y73:AE73"/>
    <mergeCell ref="Y74:AE74"/>
    <mergeCell ref="Y75:AE75"/>
    <mergeCell ref="A1:S1"/>
    <mergeCell ref="A3:B4"/>
    <mergeCell ref="C3:C4"/>
    <mergeCell ref="D3:D4"/>
    <mergeCell ref="E3:E4"/>
    <mergeCell ref="F3:F4"/>
    <mergeCell ref="G3:G4"/>
    <mergeCell ref="H3:Q4"/>
    <mergeCell ref="R3:R4"/>
    <mergeCell ref="S3:S4"/>
    <mergeCell ref="T3:T7"/>
    <mergeCell ref="A5:B7"/>
    <mergeCell ref="V3:V7"/>
    <mergeCell ref="V87:X87"/>
    <mergeCell ref="V95:X95"/>
    <mergeCell ref="V81:V82"/>
    <mergeCell ref="W81:W82"/>
    <mergeCell ref="X81:X82"/>
    <mergeCell ref="V83:V84"/>
    <mergeCell ref="W83:W84"/>
    <mergeCell ref="X83:X84"/>
    <mergeCell ref="V76:V77"/>
    <mergeCell ref="X76:AE76"/>
    <mergeCell ref="X77:AE77"/>
    <mergeCell ref="V78:V79"/>
    <mergeCell ref="W78:W79"/>
    <mergeCell ref="X78:X79"/>
    <mergeCell ref="Y72:AE72"/>
    <mergeCell ref="V96:V97"/>
    <mergeCell ref="V98:V99"/>
    <mergeCell ref="V106:V107"/>
    <mergeCell ref="W106:W107"/>
    <mergeCell ref="X106:X107"/>
    <mergeCell ref="AF106:AF107"/>
    <mergeCell ref="V108:V109"/>
    <mergeCell ref="W108:W109"/>
    <mergeCell ref="AF108:AF109"/>
    <mergeCell ref="Y109:Z109"/>
    <mergeCell ref="V119:V120"/>
    <mergeCell ref="W119:W120"/>
    <mergeCell ref="X119:X120"/>
    <mergeCell ref="V115:V116"/>
    <mergeCell ref="W115:W116"/>
    <mergeCell ref="X115:X116"/>
    <mergeCell ref="V117:V118"/>
    <mergeCell ref="W117:W118"/>
    <mergeCell ref="X117:X118"/>
  </mergeCells>
  <phoneticPr fontId="3" type="noConversion"/>
  <printOptions horizontalCentered="1"/>
  <pageMargins left="0.39370078740157483" right="0.39370078740157483" top="0.39370078740157483" bottom="0.15748031496062992" header="0.51181102362204722" footer="0.51181102362204722"/>
  <pageSetup paperSize="9" scale="45" orientation="portrait" r:id="rId1"/>
  <headerFooter alignWithMargins="0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F120"/>
  <sheetViews>
    <sheetView showGridLines="0" view="pageBreakPreview" zoomScale="70" zoomScaleNormal="55" zoomScaleSheetLayoutView="70" workbookViewId="0">
      <selection activeCell="T8" activeCellId="1" sqref="T9 T8"/>
    </sheetView>
  </sheetViews>
  <sheetFormatPr defaultColWidth="8.8984375" defaultRowHeight="13.2"/>
  <cols>
    <col min="1" max="1" width="3.3984375" style="3" customWidth="1"/>
    <col min="2" max="2" width="9.5" style="3" customWidth="1"/>
    <col min="3" max="3" width="25.19921875" style="49" customWidth="1"/>
    <col min="4" max="5" width="13.09765625" style="3" customWidth="1"/>
    <col min="6" max="7" width="15.09765625" style="3" customWidth="1"/>
    <col min="8" max="8" width="15.09765625" style="3" hidden="1" customWidth="1"/>
    <col min="9" max="17" width="15.69921875" style="3" hidden="1" customWidth="1"/>
    <col min="18" max="18" width="15.69921875" style="3" customWidth="1"/>
    <col min="19" max="19" width="26.8984375" style="3" customWidth="1"/>
    <col min="20" max="20" width="30.09765625" style="3" customWidth="1"/>
    <col min="21" max="21" width="14.5" style="3" bestFit="1" customWidth="1"/>
    <col min="22" max="22" width="48.3984375" style="3" bestFit="1" customWidth="1"/>
    <col min="23" max="23" width="45.3984375" style="3" bestFit="1" customWidth="1"/>
    <col min="24" max="24" width="10.09765625" style="3" bestFit="1" customWidth="1"/>
    <col min="25" max="25" width="11.5" style="3" bestFit="1" customWidth="1"/>
    <col min="26" max="26" width="12.5" style="3" bestFit="1" customWidth="1"/>
    <col min="27" max="27" width="12.09765625" style="3" bestFit="1" customWidth="1"/>
    <col min="28" max="28" width="13.09765625" style="3" bestFit="1" customWidth="1"/>
    <col min="29" max="30" width="11.69921875" style="3" bestFit="1" customWidth="1"/>
    <col min="31" max="31" width="13.3984375" style="3" bestFit="1" customWidth="1"/>
    <col min="32" max="32" width="19" style="3" bestFit="1" customWidth="1"/>
    <col min="33" max="16384" width="8.8984375" style="3"/>
  </cols>
  <sheetData>
    <row r="1" spans="1:31" s="2" customFormat="1" ht="51" customHeight="1" thickBot="1">
      <c r="A1" s="411" t="s">
        <v>1312</v>
      </c>
      <c r="B1" s="412"/>
      <c r="C1" s="412"/>
      <c r="D1" s="412"/>
      <c r="E1" s="412"/>
      <c r="F1" s="412"/>
      <c r="G1" s="412"/>
      <c r="H1" s="412"/>
      <c r="I1" s="412"/>
      <c r="J1" s="412"/>
      <c r="K1" s="412"/>
      <c r="L1" s="412"/>
      <c r="M1" s="412"/>
      <c r="N1" s="412"/>
      <c r="O1" s="412"/>
      <c r="P1" s="412"/>
      <c r="Q1" s="412"/>
      <c r="R1" s="412"/>
      <c r="S1" s="412"/>
      <c r="T1" s="1"/>
    </row>
    <row r="2" spans="1:31" s="2" customFormat="1" ht="30" customHeight="1" thickBot="1">
      <c r="A2" s="3"/>
      <c r="B2" s="3"/>
      <c r="T2" s="4" t="s">
        <v>174</v>
      </c>
    </row>
    <row r="3" spans="1:31" s="5" customFormat="1" ht="24" customHeight="1">
      <c r="A3" s="413" t="s">
        <v>175</v>
      </c>
      <c r="B3" s="414"/>
      <c r="C3" s="417" t="s">
        <v>176</v>
      </c>
      <c r="D3" s="419" t="s">
        <v>177</v>
      </c>
      <c r="E3" s="421" t="s">
        <v>1313</v>
      </c>
      <c r="F3" s="423" t="s">
        <v>94</v>
      </c>
      <c r="G3" s="425" t="str">
        <f>COVER!B9</f>
        <v>FLANGE</v>
      </c>
      <c r="H3" s="421" t="s">
        <v>5</v>
      </c>
      <c r="I3" s="427"/>
      <c r="J3" s="427"/>
      <c r="K3" s="427"/>
      <c r="L3" s="427"/>
      <c r="M3" s="427"/>
      <c r="N3" s="427"/>
      <c r="O3" s="427"/>
      <c r="P3" s="427"/>
      <c r="Q3" s="428"/>
      <c r="R3" s="423" t="s">
        <v>178</v>
      </c>
      <c r="S3" s="431" t="s">
        <v>179</v>
      </c>
      <c r="T3" s="381" t="s">
        <v>180</v>
      </c>
      <c r="V3" s="432"/>
    </row>
    <row r="4" spans="1:31" s="5" customFormat="1" ht="24" customHeight="1">
      <c r="A4" s="415"/>
      <c r="B4" s="416"/>
      <c r="C4" s="418"/>
      <c r="D4" s="420"/>
      <c r="E4" s="422"/>
      <c r="F4" s="424"/>
      <c r="G4" s="426"/>
      <c r="H4" s="422"/>
      <c r="I4" s="429"/>
      <c r="J4" s="429"/>
      <c r="K4" s="429"/>
      <c r="L4" s="429"/>
      <c r="M4" s="429"/>
      <c r="N4" s="429"/>
      <c r="O4" s="429"/>
      <c r="P4" s="429"/>
      <c r="Q4" s="430"/>
      <c r="R4" s="424"/>
      <c r="S4" s="410"/>
      <c r="T4" s="382"/>
      <c r="V4" s="432"/>
      <c r="W4" s="6"/>
      <c r="X4" s="6"/>
      <c r="Y4" s="7"/>
      <c r="Z4" s="7"/>
      <c r="AA4" s="7"/>
      <c r="AB4" s="7"/>
      <c r="AC4" s="7"/>
      <c r="AD4" s="7"/>
      <c r="AE4" s="7"/>
    </row>
    <row r="5" spans="1:31" s="5" customFormat="1" ht="24" customHeight="1">
      <c r="A5" s="384" t="s">
        <v>181</v>
      </c>
      <c r="B5" s="385"/>
      <c r="C5" s="390" t="s">
        <v>182</v>
      </c>
      <c r="D5" s="393" t="s">
        <v>183</v>
      </c>
      <c r="E5" s="396" t="s">
        <v>184</v>
      </c>
      <c r="F5" s="397"/>
      <c r="G5" s="398"/>
      <c r="H5" s="402" t="s">
        <v>185</v>
      </c>
      <c r="I5" s="404" t="s">
        <v>186</v>
      </c>
      <c r="J5" s="405"/>
      <c r="K5" s="405"/>
      <c r="L5" s="405"/>
      <c r="M5" s="405"/>
      <c r="N5" s="405"/>
      <c r="O5" s="405"/>
      <c r="P5" s="405"/>
      <c r="Q5" s="405"/>
      <c r="R5" s="406" t="s">
        <v>187</v>
      </c>
      <c r="S5" s="408" t="s">
        <v>188</v>
      </c>
      <c r="T5" s="382"/>
      <c r="V5" s="432"/>
      <c r="W5" s="7"/>
      <c r="X5" s="7"/>
      <c r="Y5" s="7"/>
      <c r="Z5" s="7"/>
      <c r="AA5" s="7"/>
      <c r="AB5" s="7"/>
      <c r="AC5" s="7"/>
      <c r="AD5" s="7"/>
      <c r="AE5" s="7"/>
    </row>
    <row r="6" spans="1:31" s="5" customFormat="1" ht="24" customHeight="1">
      <c r="A6" s="386"/>
      <c r="B6" s="387"/>
      <c r="C6" s="391"/>
      <c r="D6" s="394"/>
      <c r="E6" s="399"/>
      <c r="F6" s="400"/>
      <c r="G6" s="401"/>
      <c r="H6" s="403"/>
      <c r="I6" s="8" t="s">
        <v>17</v>
      </c>
      <c r="J6" s="8" t="s">
        <v>18</v>
      </c>
      <c r="K6" s="8" t="s">
        <v>189</v>
      </c>
      <c r="L6" s="9" t="s">
        <v>139</v>
      </c>
      <c r="M6" s="9" t="s">
        <v>21</v>
      </c>
      <c r="N6" s="8" t="s">
        <v>190</v>
      </c>
      <c r="O6" s="8" t="s">
        <v>191</v>
      </c>
      <c r="P6" s="8" t="s">
        <v>192</v>
      </c>
      <c r="Q6" s="10" t="s">
        <v>193</v>
      </c>
      <c r="R6" s="407"/>
      <c r="S6" s="409"/>
      <c r="T6" s="382"/>
      <c r="V6" s="432"/>
      <c r="W6" s="6"/>
      <c r="X6" s="6"/>
      <c r="Y6" s="7"/>
      <c r="Z6" s="7"/>
      <c r="AA6" s="7"/>
      <c r="AB6" s="7"/>
      <c r="AC6" s="7"/>
      <c r="AD6" s="7"/>
      <c r="AE6" s="7"/>
    </row>
    <row r="7" spans="1:31" ht="24" customHeight="1">
      <c r="A7" s="388"/>
      <c r="B7" s="389"/>
      <c r="C7" s="392"/>
      <c r="D7" s="395"/>
      <c r="E7" s="8" t="s">
        <v>194</v>
      </c>
      <c r="F7" s="8" t="s">
        <v>27</v>
      </c>
      <c r="G7" s="8" t="s">
        <v>28</v>
      </c>
      <c r="H7" s="8"/>
      <c r="I7" s="8" t="s">
        <v>195</v>
      </c>
      <c r="J7" s="8" t="s">
        <v>30</v>
      </c>
      <c r="K7" s="8" t="s">
        <v>196</v>
      </c>
      <c r="L7" s="9" t="s">
        <v>195</v>
      </c>
      <c r="M7" s="9" t="s">
        <v>197</v>
      </c>
      <c r="N7" s="8" t="s">
        <v>198</v>
      </c>
      <c r="O7" s="8" t="s">
        <v>199</v>
      </c>
      <c r="P7" s="8" t="s">
        <v>200</v>
      </c>
      <c r="Q7" s="10" t="s">
        <v>36</v>
      </c>
      <c r="R7" s="403"/>
      <c r="S7" s="410"/>
      <c r="T7" s="383"/>
      <c r="V7" s="432"/>
      <c r="W7" s="6"/>
      <c r="X7" s="6"/>
      <c r="Y7" s="7"/>
      <c r="Z7" s="7"/>
      <c r="AA7" s="7"/>
      <c r="AB7" s="7"/>
      <c r="AC7" s="7"/>
      <c r="AD7" s="7"/>
      <c r="AE7" s="7"/>
    </row>
    <row r="8" spans="1:31" ht="33" customHeight="1">
      <c r="A8" s="375" t="s">
        <v>201</v>
      </c>
      <c r="B8" s="11">
        <v>1</v>
      </c>
      <c r="C8" s="154" t="str">
        <f>COVER!A14</f>
        <v>BODY(LUG)</v>
      </c>
      <c r="D8" s="158">
        <f>COVER!B14</f>
        <v>0</v>
      </c>
      <c r="E8" s="148">
        <v>935</v>
      </c>
      <c r="F8" s="159">
        <f>COVER!C14</f>
        <v>0</v>
      </c>
      <c r="G8" s="159">
        <f>F8*E8</f>
        <v>0</v>
      </c>
      <c r="H8" s="159"/>
      <c r="I8" s="160">
        <f>I10*I9</f>
        <v>506706621524695.19</v>
      </c>
      <c r="J8" s="160">
        <f t="shared" ref="J8:Q9" si="0">J10*J9</f>
        <v>43341753052405.07</v>
      </c>
      <c r="K8" s="160">
        <f t="shared" si="0"/>
        <v>270470072536680.25</v>
      </c>
      <c r="L8" s="160">
        <f t="shared" si="0"/>
        <v>506706621524695.19</v>
      </c>
      <c r="M8" s="160">
        <f t="shared" si="0"/>
        <v>632417344857819.5</v>
      </c>
      <c r="N8" s="160">
        <f t="shared" si="0"/>
        <v>46528628303586.25</v>
      </c>
      <c r="O8" s="160">
        <f t="shared" si="0"/>
        <v>0</v>
      </c>
      <c r="P8" s="160">
        <f t="shared" si="0"/>
        <v>0</v>
      </c>
      <c r="Q8" s="160">
        <f t="shared" si="0"/>
        <v>10000000000000</v>
      </c>
      <c r="R8" s="318">
        <f>IF(COVER!C14&gt;0,990000*1.2,0)</f>
        <v>0</v>
      </c>
      <c r="S8" s="160">
        <f>G8+R8</f>
        <v>0</v>
      </c>
      <c r="T8" s="309" t="s" ph="1">
        <v>1171</v>
      </c>
      <c r="V8" s="6"/>
      <c r="W8" s="6"/>
      <c r="X8" s="6"/>
      <c r="Y8" s="7"/>
      <c r="Z8" s="7"/>
      <c r="AA8" s="7"/>
      <c r="AB8" s="7"/>
      <c r="AC8" s="7"/>
      <c r="AD8" s="7"/>
      <c r="AE8" s="7"/>
    </row>
    <row r="9" spans="1:31" ht="33" customHeight="1">
      <c r="A9" s="376"/>
      <c r="B9" s="146" t="s">
        <v>1167</v>
      </c>
      <c r="C9" s="154" t="str">
        <f>COVER!A15</f>
        <v>BODY(FLANGE)</v>
      </c>
      <c r="D9" s="158" t="str">
        <f>COVER!B15</f>
        <v>A216 WCB</v>
      </c>
      <c r="E9" s="148">
        <f>1290*1.1</f>
        <v>1419.0000000000002</v>
      </c>
      <c r="F9" s="159">
        <f>COVER!C15</f>
        <v>4300</v>
      </c>
      <c r="G9" s="159">
        <f>F9*E9</f>
        <v>6101700.0000000009</v>
      </c>
      <c r="H9" s="159"/>
      <c r="I9" s="160">
        <f>I11*I10</f>
        <v>13693182184.900002</v>
      </c>
      <c r="J9" s="160">
        <f t="shared" si="0"/>
        <v>2658301984.9000001</v>
      </c>
      <c r="K9" s="160">
        <f t="shared" si="0"/>
        <v>9010443027.6000004</v>
      </c>
      <c r="L9" s="160">
        <f t="shared" si="0"/>
        <v>13693182184.900002</v>
      </c>
      <c r="M9" s="160">
        <f t="shared" si="0"/>
        <v>15873371539.6</v>
      </c>
      <c r="N9" s="160">
        <f t="shared" si="0"/>
        <v>2787063302.5</v>
      </c>
      <c r="O9" s="160">
        <f t="shared" si="0"/>
        <v>0</v>
      </c>
      <c r="P9" s="160">
        <f t="shared" si="0"/>
        <v>0</v>
      </c>
      <c r="Q9" s="160">
        <f t="shared" si="0"/>
        <v>1000000000</v>
      </c>
      <c r="R9" s="318">
        <f>IF(COVER!C15&gt;0,1000000*1.2,0)</f>
        <v>1200000</v>
      </c>
      <c r="S9" s="160">
        <f t="shared" ref="S9:S62" si="1">G9+R9</f>
        <v>7301700.0000000009</v>
      </c>
      <c r="T9" s="309" t="s">
        <v>1169</v>
      </c>
      <c r="V9" s="150">
        <f>R9</f>
        <v>1200000</v>
      </c>
      <c r="W9" s="6"/>
      <c r="X9" s="6"/>
      <c r="Y9" s="7"/>
      <c r="Z9" s="7"/>
      <c r="AA9" s="7"/>
      <c r="AB9" s="7"/>
      <c r="AC9" s="7"/>
      <c r="AD9" s="7"/>
      <c r="AE9" s="7"/>
    </row>
    <row r="10" spans="1:31" ht="33" hidden="1" customHeight="1">
      <c r="A10" s="376"/>
      <c r="B10" s="11"/>
      <c r="C10" s="142"/>
      <c r="D10" s="158"/>
      <c r="E10" s="148"/>
      <c r="F10" s="159"/>
      <c r="G10" s="159"/>
      <c r="H10" s="159" t="s">
        <v>40</v>
      </c>
      <c r="I10" s="160">
        <f t="shared" ref="I10:Q10" si="2">I11/10</f>
        <v>37004.300000000003</v>
      </c>
      <c r="J10" s="160">
        <f t="shared" si="2"/>
        <v>16304.3</v>
      </c>
      <c r="K10" s="160">
        <f t="shared" si="2"/>
        <v>30017.4</v>
      </c>
      <c r="L10" s="160">
        <f t="shared" si="2"/>
        <v>37004.300000000003</v>
      </c>
      <c r="M10" s="160">
        <f t="shared" si="2"/>
        <v>39841.4</v>
      </c>
      <c r="N10" s="160">
        <f t="shared" si="2"/>
        <v>16694.5</v>
      </c>
      <c r="O10" s="160">
        <f t="shared" si="2"/>
        <v>0</v>
      </c>
      <c r="P10" s="160">
        <f t="shared" si="2"/>
        <v>0</v>
      </c>
      <c r="Q10" s="160">
        <f t="shared" si="2"/>
        <v>10000</v>
      </c>
      <c r="R10" s="160"/>
      <c r="S10" s="160">
        <f t="shared" si="1"/>
        <v>0</v>
      </c>
      <c r="T10" s="16"/>
      <c r="V10" s="6"/>
      <c r="W10" s="6"/>
      <c r="X10" s="6"/>
      <c r="Y10" s="7"/>
      <c r="Z10" s="7"/>
      <c r="AA10" s="7"/>
      <c r="AB10" s="7"/>
      <c r="AC10" s="7"/>
      <c r="AD10" s="7"/>
      <c r="AE10" s="7"/>
    </row>
    <row r="11" spans="1:31" ht="33" hidden="1" customHeight="1">
      <c r="A11" s="376"/>
      <c r="B11" s="11"/>
      <c r="C11" s="142"/>
      <c r="D11" s="158"/>
      <c r="E11" s="148"/>
      <c r="F11" s="159"/>
      <c r="G11" s="159"/>
      <c r="H11" s="187" t="s">
        <v>202</v>
      </c>
      <c r="I11" s="160">
        <v>370043</v>
      </c>
      <c r="J11" s="160">
        <v>163043</v>
      </c>
      <c r="K11" s="160">
        <v>300174</v>
      </c>
      <c r="L11" s="160">
        <v>370043</v>
      </c>
      <c r="M11" s="160">
        <v>398414</v>
      </c>
      <c r="N11" s="160">
        <v>166945</v>
      </c>
      <c r="O11" s="160">
        <v>0</v>
      </c>
      <c r="P11" s="160">
        <v>0</v>
      </c>
      <c r="Q11" s="160">
        <v>100000</v>
      </c>
      <c r="R11" s="160"/>
      <c r="S11" s="160">
        <f t="shared" si="1"/>
        <v>0</v>
      </c>
      <c r="T11" s="16"/>
      <c r="V11" s="6"/>
      <c r="W11" s="6"/>
      <c r="X11" s="6"/>
      <c r="Y11" s="7"/>
      <c r="Z11" s="7"/>
      <c r="AA11" s="7"/>
      <c r="AB11" s="7"/>
      <c r="AC11" s="7"/>
      <c r="AD11" s="7"/>
      <c r="AE11" s="7"/>
    </row>
    <row r="12" spans="1:31" s="19" customFormat="1" ht="33" customHeight="1">
      <c r="A12" s="376"/>
      <c r="B12" s="11">
        <v>2</v>
      </c>
      <c r="C12" s="142" t="s">
        <v>203</v>
      </c>
      <c r="D12" s="158" t="str">
        <f>COVER!B16</f>
        <v>A216 WCB</v>
      </c>
      <c r="E12" s="148">
        <v>560</v>
      </c>
      <c r="F12" s="159">
        <f>COVER!C16</f>
        <v>4300</v>
      </c>
      <c r="G12" s="159">
        <f>F12*E12</f>
        <v>2408000</v>
      </c>
      <c r="H12" s="159"/>
      <c r="I12" s="160">
        <f>I13*I14</f>
        <v>111012.90000000001</v>
      </c>
      <c r="J12" s="160">
        <f t="shared" ref="J12:Q12" si="3">J13*J14</f>
        <v>0</v>
      </c>
      <c r="K12" s="160">
        <f t="shared" si="3"/>
        <v>60034.8</v>
      </c>
      <c r="L12" s="160">
        <f t="shared" si="3"/>
        <v>111012.90000000001</v>
      </c>
      <c r="M12" s="160">
        <f t="shared" si="3"/>
        <v>0</v>
      </c>
      <c r="N12" s="160">
        <f t="shared" si="3"/>
        <v>0</v>
      </c>
      <c r="O12" s="160">
        <f t="shared" si="3"/>
        <v>0</v>
      </c>
      <c r="P12" s="160">
        <f t="shared" si="3"/>
        <v>0</v>
      </c>
      <c r="Q12" s="160">
        <f t="shared" si="3"/>
        <v>4000</v>
      </c>
      <c r="R12" s="160">
        <v>600000</v>
      </c>
      <c r="S12" s="160">
        <f t="shared" si="1"/>
        <v>3008000</v>
      </c>
      <c r="T12" s="18"/>
      <c r="V12" s="6"/>
      <c r="W12" s="6"/>
      <c r="X12" s="6"/>
      <c r="Y12" s="7"/>
      <c r="Z12" s="7"/>
      <c r="AA12" s="7"/>
      <c r="AB12" s="7"/>
      <c r="AC12" s="7"/>
      <c r="AD12" s="7"/>
      <c r="AE12" s="7"/>
    </row>
    <row r="13" spans="1:31" s="19" customFormat="1" ht="33" hidden="1" customHeight="1">
      <c r="A13" s="376"/>
      <c r="B13" s="11"/>
      <c r="C13" s="142"/>
      <c r="D13" s="158"/>
      <c r="E13" s="148"/>
      <c r="F13" s="159"/>
      <c r="G13" s="159"/>
      <c r="H13" s="187" t="s">
        <v>39</v>
      </c>
      <c r="I13" s="188">
        <v>3</v>
      </c>
      <c r="J13" s="188">
        <v>0</v>
      </c>
      <c r="K13" s="188">
        <v>2</v>
      </c>
      <c r="L13" s="188">
        <v>3</v>
      </c>
      <c r="M13" s="188">
        <v>0</v>
      </c>
      <c r="N13" s="188">
        <v>0</v>
      </c>
      <c r="O13" s="188"/>
      <c r="P13" s="188"/>
      <c r="Q13" s="188">
        <v>0.4</v>
      </c>
      <c r="R13" s="160"/>
      <c r="S13" s="160">
        <f t="shared" si="1"/>
        <v>0</v>
      </c>
      <c r="T13" s="22"/>
      <c r="V13" s="6"/>
      <c r="W13" s="6"/>
      <c r="X13" s="6"/>
      <c r="Y13" s="7"/>
      <c r="Z13" s="7"/>
      <c r="AA13" s="7"/>
      <c r="AB13" s="7"/>
      <c r="AC13" s="7"/>
      <c r="AD13" s="7"/>
      <c r="AE13" s="7"/>
    </row>
    <row r="14" spans="1:31" s="19" customFormat="1" ht="33" hidden="1" customHeight="1">
      <c r="A14" s="376"/>
      <c r="B14" s="11"/>
      <c r="C14" s="142"/>
      <c r="D14" s="158"/>
      <c r="E14" s="148"/>
      <c r="F14" s="159"/>
      <c r="G14" s="159"/>
      <c r="H14" s="159" t="s">
        <v>204</v>
      </c>
      <c r="I14" s="160">
        <f>I15/10</f>
        <v>37004.300000000003</v>
      </c>
      <c r="J14" s="160">
        <f t="shared" ref="J14:Q14" si="4">J15/10</f>
        <v>16304.3</v>
      </c>
      <c r="K14" s="160">
        <f t="shared" si="4"/>
        <v>30017.4</v>
      </c>
      <c r="L14" s="160">
        <f t="shared" si="4"/>
        <v>37004.300000000003</v>
      </c>
      <c r="M14" s="160">
        <f t="shared" si="4"/>
        <v>39841.4</v>
      </c>
      <c r="N14" s="160">
        <f t="shared" si="4"/>
        <v>16694.5</v>
      </c>
      <c r="O14" s="160">
        <f t="shared" si="4"/>
        <v>0</v>
      </c>
      <c r="P14" s="160">
        <f t="shared" si="4"/>
        <v>0</v>
      </c>
      <c r="Q14" s="160">
        <f t="shared" si="4"/>
        <v>10000</v>
      </c>
      <c r="R14" s="160"/>
      <c r="S14" s="160">
        <f t="shared" si="1"/>
        <v>0</v>
      </c>
      <c r="T14" s="22"/>
      <c r="V14" s="6"/>
      <c r="W14" s="6"/>
      <c r="X14" s="6"/>
      <c r="Y14" s="7"/>
      <c r="Z14" s="7"/>
      <c r="AA14" s="7"/>
      <c r="AB14" s="7"/>
      <c r="AC14" s="7"/>
      <c r="AD14" s="7"/>
      <c r="AE14" s="7"/>
    </row>
    <row r="15" spans="1:31" s="19" customFormat="1" ht="33" hidden="1" customHeight="1">
      <c r="A15" s="376"/>
      <c r="B15" s="11"/>
      <c r="C15" s="142"/>
      <c r="D15" s="158"/>
      <c r="E15" s="148"/>
      <c r="F15" s="159"/>
      <c r="G15" s="159"/>
      <c r="H15" s="159" t="s">
        <v>43</v>
      </c>
      <c r="I15" s="160">
        <v>370043</v>
      </c>
      <c r="J15" s="160">
        <v>163043</v>
      </c>
      <c r="K15" s="160">
        <v>300174</v>
      </c>
      <c r="L15" s="160">
        <v>370043</v>
      </c>
      <c r="M15" s="160">
        <v>398414</v>
      </c>
      <c r="N15" s="160">
        <v>166945</v>
      </c>
      <c r="O15" s="160">
        <v>0</v>
      </c>
      <c r="P15" s="160">
        <v>0</v>
      </c>
      <c r="Q15" s="160">
        <v>100000</v>
      </c>
      <c r="R15" s="160"/>
      <c r="S15" s="160">
        <f t="shared" si="1"/>
        <v>0</v>
      </c>
      <c r="T15" s="22"/>
      <c r="V15" s="6"/>
      <c r="W15" s="6"/>
      <c r="X15" s="6"/>
      <c r="Y15" s="7"/>
      <c r="Z15" s="7"/>
      <c r="AA15" s="7"/>
      <c r="AB15" s="7"/>
      <c r="AC15" s="7"/>
      <c r="AD15" s="7"/>
      <c r="AE15" s="7"/>
    </row>
    <row r="16" spans="1:31" s="19" customFormat="1" ht="33" customHeight="1">
      <c r="A16" s="376"/>
      <c r="B16" s="11">
        <v>3</v>
      </c>
      <c r="C16" s="142" t="s">
        <v>952</v>
      </c>
      <c r="D16" s="158" t="str">
        <f>COVER!B19</f>
        <v>WCB+309+#6</v>
      </c>
      <c r="E16" s="148">
        <v>1</v>
      </c>
      <c r="F16" s="159">
        <f>IF(D16="SUS+#6",X76,IF(D16="WCB+309+#6",X77))</f>
        <v>951600</v>
      </c>
      <c r="G16" s="159">
        <f>F16*E16</f>
        <v>951600</v>
      </c>
      <c r="H16" s="159"/>
      <c r="I16" s="160">
        <v>0</v>
      </c>
      <c r="J16" s="160">
        <v>0</v>
      </c>
      <c r="K16" s="160">
        <v>0</v>
      </c>
      <c r="L16" s="160">
        <v>0</v>
      </c>
      <c r="M16" s="160">
        <v>0</v>
      </c>
      <c r="N16" s="160">
        <v>0</v>
      </c>
      <c r="O16" s="160">
        <v>0</v>
      </c>
      <c r="P16" s="160">
        <v>0</v>
      </c>
      <c r="Q16" s="160">
        <v>0</v>
      </c>
      <c r="R16" s="160">
        <v>0</v>
      </c>
      <c r="S16" s="160">
        <f t="shared" si="1"/>
        <v>951600</v>
      </c>
      <c r="T16" s="22"/>
      <c r="V16" s="6"/>
      <c r="W16" s="6"/>
      <c r="X16" s="6"/>
      <c r="Y16" s="7"/>
      <c r="Z16" s="7"/>
      <c r="AA16" s="7"/>
      <c r="AB16" s="7"/>
      <c r="AC16" s="7"/>
      <c r="AD16" s="7"/>
      <c r="AE16" s="7"/>
    </row>
    <row r="17" spans="1:31" s="19" customFormat="1" ht="33" customHeight="1">
      <c r="A17" s="376"/>
      <c r="B17" s="11">
        <v>4</v>
      </c>
      <c r="C17" s="142" t="s">
        <v>1184</v>
      </c>
      <c r="D17" s="158" t="str">
        <f>COVER!B18</f>
        <v>A240T316L+GARPHITE</v>
      </c>
      <c r="E17" s="148">
        <v>1</v>
      </c>
      <c r="F17" s="159">
        <f>IF(D17="A240T316L+GARPHITE",Y84+Z84)</f>
        <v>640200</v>
      </c>
      <c r="G17" s="159">
        <f>F17</f>
        <v>640200</v>
      </c>
      <c r="H17" s="159"/>
      <c r="I17" s="160">
        <v>0</v>
      </c>
      <c r="J17" s="160">
        <v>0</v>
      </c>
      <c r="K17" s="160">
        <v>0</v>
      </c>
      <c r="L17" s="160">
        <v>0</v>
      </c>
      <c r="M17" s="160">
        <v>0</v>
      </c>
      <c r="N17" s="160">
        <v>0</v>
      </c>
      <c r="O17" s="160">
        <v>0</v>
      </c>
      <c r="P17" s="160">
        <v>0</v>
      </c>
      <c r="Q17" s="160">
        <v>0</v>
      </c>
      <c r="R17" s="160">
        <f>Z84*1.3</f>
        <v>390000</v>
      </c>
      <c r="S17" s="160">
        <f t="shared" si="1"/>
        <v>1030200</v>
      </c>
      <c r="T17" s="22"/>
      <c r="V17" s="23"/>
      <c r="W17" s="23"/>
      <c r="X17" s="23"/>
      <c r="Y17" s="7"/>
      <c r="Z17" s="7"/>
      <c r="AA17" s="7"/>
      <c r="AB17" s="7"/>
      <c r="AC17" s="7"/>
      <c r="AD17" s="7"/>
      <c r="AE17" s="7"/>
    </row>
    <row r="18" spans="1:31" s="19" customFormat="1" ht="33" customHeight="1">
      <c r="A18" s="376"/>
      <c r="B18" s="11">
        <v>5</v>
      </c>
      <c r="C18" s="142" t="s">
        <v>852</v>
      </c>
      <c r="D18" s="178" t="str">
        <f>COVER!B20</f>
        <v>SS316L</v>
      </c>
      <c r="E18" s="148">
        <v>1</v>
      </c>
      <c r="F18" s="159">
        <f>IF(D18="SS304",Y82,IF(D18="SS316L",Z82))</f>
        <v>535514</v>
      </c>
      <c r="G18" s="159">
        <f>F18</f>
        <v>535514</v>
      </c>
      <c r="H18" s="159"/>
      <c r="I18" s="160">
        <f>I19*I20</f>
        <v>74008.600000000006</v>
      </c>
      <c r="J18" s="160">
        <f t="shared" ref="J18:Q18" si="5">J19*J20</f>
        <v>32608.6</v>
      </c>
      <c r="K18" s="160">
        <f t="shared" si="5"/>
        <v>0</v>
      </c>
      <c r="L18" s="160">
        <f t="shared" si="5"/>
        <v>0</v>
      </c>
      <c r="M18" s="160">
        <f t="shared" si="5"/>
        <v>0</v>
      </c>
      <c r="N18" s="160">
        <f t="shared" si="5"/>
        <v>0</v>
      </c>
      <c r="O18" s="160">
        <f t="shared" si="5"/>
        <v>0</v>
      </c>
      <c r="P18" s="160">
        <f t="shared" si="5"/>
        <v>0</v>
      </c>
      <c r="Q18" s="160">
        <f t="shared" si="5"/>
        <v>2000</v>
      </c>
      <c r="R18" s="160">
        <f>AA82*1.5</f>
        <v>198000</v>
      </c>
      <c r="S18" s="160">
        <f t="shared" si="1"/>
        <v>733514</v>
      </c>
      <c r="T18" s="25"/>
      <c r="V18" s="26"/>
      <c r="W18" s="26"/>
      <c r="X18" s="26"/>
      <c r="Y18" s="7"/>
      <c r="Z18" s="7"/>
      <c r="AA18" s="7"/>
      <c r="AB18" s="7"/>
      <c r="AC18" s="7"/>
      <c r="AD18" s="7"/>
      <c r="AE18" s="7"/>
    </row>
    <row r="19" spans="1:31" s="19" customFormat="1" ht="33" hidden="1" customHeight="1">
      <c r="A19" s="376"/>
      <c r="B19" s="11"/>
      <c r="C19" s="12"/>
      <c r="D19" s="24"/>
      <c r="E19" s="13"/>
      <c r="F19" s="14"/>
      <c r="G19" s="14"/>
      <c r="H19" s="17" t="s">
        <v>39</v>
      </c>
      <c r="I19" s="21">
        <v>2</v>
      </c>
      <c r="J19" s="21">
        <v>2</v>
      </c>
      <c r="K19" s="21"/>
      <c r="L19" s="21"/>
      <c r="M19" s="21"/>
      <c r="N19" s="21"/>
      <c r="O19" s="21"/>
      <c r="P19" s="21"/>
      <c r="Q19" s="21">
        <v>0.2</v>
      </c>
      <c r="R19" s="15"/>
      <c r="S19" s="160">
        <f t="shared" si="1"/>
        <v>0</v>
      </c>
      <c r="T19" s="25"/>
      <c r="V19" s="26"/>
      <c r="W19" s="26"/>
      <c r="X19" s="26"/>
      <c r="Y19" s="7"/>
      <c r="Z19" s="7"/>
      <c r="AA19" s="7"/>
      <c r="AB19" s="7"/>
      <c r="AC19" s="7"/>
      <c r="AD19" s="7"/>
      <c r="AE19" s="7"/>
    </row>
    <row r="20" spans="1:31" s="19" customFormat="1" ht="33" hidden="1" customHeight="1">
      <c r="A20" s="376"/>
      <c r="B20" s="11"/>
      <c r="C20" s="12"/>
      <c r="D20" s="24"/>
      <c r="E20" s="13"/>
      <c r="F20" s="14"/>
      <c r="G20" s="14"/>
      <c r="H20" s="17" t="s">
        <v>39</v>
      </c>
      <c r="I20" s="15">
        <f>I21/10</f>
        <v>37004.300000000003</v>
      </c>
      <c r="J20" s="15">
        <f t="shared" ref="J20:Q20" si="6">J21/10</f>
        <v>16304.3</v>
      </c>
      <c r="K20" s="15">
        <f t="shared" si="6"/>
        <v>0</v>
      </c>
      <c r="L20" s="15">
        <f t="shared" si="6"/>
        <v>0</v>
      </c>
      <c r="M20" s="15">
        <f t="shared" si="6"/>
        <v>0</v>
      </c>
      <c r="N20" s="15">
        <f t="shared" si="6"/>
        <v>0</v>
      </c>
      <c r="O20" s="15">
        <f t="shared" si="6"/>
        <v>0</v>
      </c>
      <c r="P20" s="15">
        <f t="shared" si="6"/>
        <v>0</v>
      </c>
      <c r="Q20" s="15">
        <f t="shared" si="6"/>
        <v>10000</v>
      </c>
      <c r="R20" s="15"/>
      <c r="S20" s="160">
        <f t="shared" si="1"/>
        <v>0</v>
      </c>
      <c r="T20" s="25"/>
      <c r="V20" s="26"/>
      <c r="W20" s="26"/>
      <c r="X20" s="26"/>
      <c r="Y20" s="7"/>
      <c r="Z20" s="7"/>
      <c r="AA20" s="7"/>
      <c r="AB20" s="7"/>
      <c r="AC20" s="7"/>
      <c r="AD20" s="7"/>
      <c r="AE20" s="7"/>
    </row>
    <row r="21" spans="1:31" s="19" customFormat="1" ht="33" hidden="1" customHeight="1">
      <c r="A21" s="376"/>
      <c r="B21" s="11"/>
      <c r="C21" s="12"/>
      <c r="D21" s="24"/>
      <c r="E21" s="13"/>
      <c r="F21" s="14"/>
      <c r="G21" s="14"/>
      <c r="H21" s="17" t="s">
        <v>123</v>
      </c>
      <c r="I21" s="15">
        <v>370043</v>
      </c>
      <c r="J21" s="15">
        <v>163043</v>
      </c>
      <c r="K21" s="15"/>
      <c r="L21" s="15"/>
      <c r="M21" s="15"/>
      <c r="N21" s="15"/>
      <c r="O21" s="15"/>
      <c r="P21" s="15"/>
      <c r="Q21" s="15">
        <v>100000</v>
      </c>
      <c r="R21" s="15"/>
      <c r="S21" s="160">
        <f t="shared" si="1"/>
        <v>0</v>
      </c>
      <c r="T21" s="25"/>
      <c r="V21" s="26"/>
      <c r="W21" s="26"/>
      <c r="X21" s="26"/>
      <c r="Y21" s="7"/>
      <c r="Z21" s="7"/>
      <c r="AA21" s="7"/>
      <c r="AB21" s="7"/>
      <c r="AC21" s="7"/>
      <c r="AD21" s="7"/>
      <c r="AE21" s="7"/>
    </row>
    <row r="22" spans="1:31" s="19" customFormat="1" ht="33" customHeight="1">
      <c r="A22" s="376"/>
      <c r="B22" s="11">
        <v>6</v>
      </c>
      <c r="C22" s="142" t="s">
        <v>458</v>
      </c>
      <c r="D22" s="178" t="s">
        <v>1189</v>
      </c>
      <c r="E22" s="148">
        <v>1</v>
      </c>
      <c r="F22" s="159">
        <f>Y85</f>
        <v>60000</v>
      </c>
      <c r="G22" s="159">
        <f>F22</f>
        <v>60000</v>
      </c>
      <c r="H22" s="159"/>
      <c r="I22" s="160">
        <v>0</v>
      </c>
      <c r="J22" s="160">
        <v>0</v>
      </c>
      <c r="K22" s="160">
        <v>0</v>
      </c>
      <c r="L22" s="160">
        <v>0</v>
      </c>
      <c r="M22" s="160">
        <v>0</v>
      </c>
      <c r="N22" s="160">
        <v>0</v>
      </c>
      <c r="O22" s="160">
        <v>0</v>
      </c>
      <c r="P22" s="160">
        <v>0</v>
      </c>
      <c r="Q22" s="160">
        <v>0</v>
      </c>
      <c r="R22" s="160">
        <v>0</v>
      </c>
      <c r="S22" s="160">
        <f t="shared" si="1"/>
        <v>60000</v>
      </c>
      <c r="T22" s="25"/>
      <c r="V22" s="26"/>
      <c r="W22" s="26"/>
      <c r="X22" s="26"/>
      <c r="Y22" s="7"/>
      <c r="Z22" s="7"/>
      <c r="AA22" s="7"/>
      <c r="AB22" s="7"/>
      <c r="AC22" s="7"/>
      <c r="AD22" s="7"/>
      <c r="AE22" s="7"/>
    </row>
    <row r="23" spans="1:31" s="19" customFormat="1" ht="33" customHeight="1">
      <c r="A23" s="376"/>
      <c r="B23" s="11">
        <v>7</v>
      </c>
      <c r="C23" s="142" t="s">
        <v>948</v>
      </c>
      <c r="D23" s="158" t="str">
        <f>COVER!B21</f>
        <v>B7(다크로)</v>
      </c>
      <c r="E23" s="148">
        <v>40</v>
      </c>
      <c r="F23" s="159">
        <f>IF(D23="B8",Y90,IF(D23="B8M",Z90,IF(D23="B7(다크로)",AA90)))</f>
        <v>1000</v>
      </c>
      <c r="G23" s="159">
        <f>F23*E23</f>
        <v>40000</v>
      </c>
      <c r="H23" s="159"/>
      <c r="I23" s="160">
        <v>0</v>
      </c>
      <c r="J23" s="160">
        <v>0</v>
      </c>
      <c r="K23" s="160">
        <v>0</v>
      </c>
      <c r="L23" s="160">
        <v>0</v>
      </c>
      <c r="M23" s="160">
        <v>0</v>
      </c>
      <c r="N23" s="160">
        <v>0</v>
      </c>
      <c r="O23" s="160">
        <v>0</v>
      </c>
      <c r="P23" s="160">
        <v>0</v>
      </c>
      <c r="Q23" s="160">
        <v>0</v>
      </c>
      <c r="R23" s="160">
        <v>0</v>
      </c>
      <c r="S23" s="160">
        <f t="shared" si="1"/>
        <v>40000</v>
      </c>
      <c r="T23" s="18"/>
      <c r="V23" s="7"/>
      <c r="W23" s="7"/>
      <c r="X23" s="7"/>
      <c r="Y23" s="7"/>
      <c r="Z23" s="7"/>
      <c r="AA23" s="7"/>
      <c r="AB23" s="7"/>
      <c r="AC23" s="7"/>
      <c r="AD23" s="7"/>
      <c r="AE23" s="7"/>
    </row>
    <row r="24" spans="1:31" s="19" customFormat="1" ht="33" customHeight="1">
      <c r="A24" s="376"/>
      <c r="B24" s="11">
        <v>8</v>
      </c>
      <c r="C24" s="142" t="s">
        <v>205</v>
      </c>
      <c r="D24" s="158" t="str">
        <f>COVER!B17</f>
        <v>A564T630</v>
      </c>
      <c r="E24" s="148">
        <f>V24*1.1</f>
        <v>190.70700000000002</v>
      </c>
      <c r="F24" s="159">
        <f>COVER!C17</f>
        <v>8500</v>
      </c>
      <c r="G24" s="159">
        <f>F24*E24</f>
        <v>1621009.5000000002</v>
      </c>
      <c r="H24" s="159"/>
      <c r="I24" s="160">
        <f>I25*I26</f>
        <v>74008.600000000006</v>
      </c>
      <c r="J24" s="160">
        <f t="shared" ref="J24:Q24" si="7">J25*J26</f>
        <v>0</v>
      </c>
      <c r="K24" s="160">
        <f t="shared" si="7"/>
        <v>0</v>
      </c>
      <c r="L24" s="160">
        <f t="shared" si="7"/>
        <v>0</v>
      </c>
      <c r="M24" s="160">
        <f t="shared" si="7"/>
        <v>0</v>
      </c>
      <c r="N24" s="160">
        <f t="shared" si="7"/>
        <v>0</v>
      </c>
      <c r="O24" s="160">
        <f t="shared" si="7"/>
        <v>0</v>
      </c>
      <c r="P24" s="160">
        <f t="shared" si="7"/>
        <v>0</v>
      </c>
      <c r="Q24" s="160">
        <f t="shared" si="7"/>
        <v>1000</v>
      </c>
      <c r="R24" s="160">
        <f>R12*0.3</f>
        <v>180000</v>
      </c>
      <c r="S24" s="160">
        <f t="shared" si="1"/>
        <v>1801009.5000000002</v>
      </c>
      <c r="T24" s="27"/>
      <c r="U24" s="162"/>
      <c r="V24" s="162">
        <v>173.37</v>
      </c>
      <c r="W24" s="7"/>
      <c r="X24" s="7"/>
      <c r="Y24" s="28"/>
      <c r="Z24" s="28"/>
      <c r="AA24" s="28"/>
      <c r="AB24" s="28"/>
      <c r="AC24" s="28"/>
      <c r="AD24" s="28"/>
      <c r="AE24" s="28"/>
    </row>
    <row r="25" spans="1:31" s="19" customFormat="1" ht="33" hidden="1" customHeight="1">
      <c r="A25" s="376"/>
      <c r="B25" s="11"/>
      <c r="C25" s="12"/>
      <c r="D25" s="20"/>
      <c r="E25" s="13"/>
      <c r="F25" s="14"/>
      <c r="G25" s="14"/>
      <c r="H25" s="17" t="s">
        <v>123</v>
      </c>
      <c r="I25" s="21">
        <v>2</v>
      </c>
      <c r="J25" s="21"/>
      <c r="K25" s="21"/>
      <c r="L25" s="21"/>
      <c r="M25" s="21"/>
      <c r="N25" s="21"/>
      <c r="O25" s="21"/>
      <c r="P25" s="21"/>
      <c r="Q25" s="21">
        <v>0.1</v>
      </c>
      <c r="R25" s="15"/>
      <c r="S25" s="160">
        <f t="shared" si="1"/>
        <v>0</v>
      </c>
      <c r="T25" s="27"/>
      <c r="V25" s="7"/>
      <c r="W25" s="7"/>
      <c r="X25" s="7"/>
      <c r="Y25" s="28"/>
      <c r="Z25" s="28"/>
      <c r="AA25" s="28"/>
      <c r="AB25" s="28"/>
      <c r="AC25" s="28"/>
      <c r="AD25" s="28"/>
      <c r="AE25" s="28"/>
    </row>
    <row r="26" spans="1:31" s="19" customFormat="1" ht="33" hidden="1" customHeight="1">
      <c r="A26" s="376"/>
      <c r="B26" s="11"/>
      <c r="C26" s="12"/>
      <c r="D26" s="20"/>
      <c r="E26" s="13"/>
      <c r="F26" s="14"/>
      <c r="G26" s="14"/>
      <c r="H26" s="17" t="s">
        <v>123</v>
      </c>
      <c r="I26" s="15">
        <f>I27/10</f>
        <v>37004.300000000003</v>
      </c>
      <c r="J26" s="15"/>
      <c r="K26" s="15"/>
      <c r="L26" s="15"/>
      <c r="M26" s="15"/>
      <c r="N26" s="15"/>
      <c r="O26" s="15"/>
      <c r="P26" s="15"/>
      <c r="Q26" s="15">
        <f>Q27/10</f>
        <v>10000</v>
      </c>
      <c r="R26" s="15"/>
      <c r="S26" s="160">
        <f t="shared" si="1"/>
        <v>0</v>
      </c>
      <c r="T26" s="27"/>
      <c r="V26" s="7"/>
      <c r="W26" s="7"/>
      <c r="X26" s="7"/>
      <c r="Y26" s="28"/>
      <c r="Z26" s="28"/>
      <c r="AA26" s="28"/>
      <c r="AB26" s="28"/>
      <c r="AC26" s="28"/>
      <c r="AD26" s="28"/>
      <c r="AE26" s="28"/>
    </row>
    <row r="27" spans="1:31" s="19" customFormat="1" ht="33" hidden="1" customHeight="1">
      <c r="A27" s="376"/>
      <c r="B27" s="11"/>
      <c r="C27" s="12"/>
      <c r="D27" s="20"/>
      <c r="E27" s="13"/>
      <c r="F27" s="14"/>
      <c r="G27" s="14"/>
      <c r="H27" s="17" t="s">
        <v>123</v>
      </c>
      <c r="I27" s="15">
        <v>370043</v>
      </c>
      <c r="J27" s="15"/>
      <c r="K27" s="15"/>
      <c r="L27" s="15"/>
      <c r="M27" s="15"/>
      <c r="N27" s="15"/>
      <c r="O27" s="15"/>
      <c r="P27" s="15"/>
      <c r="Q27" s="15">
        <v>100000</v>
      </c>
      <c r="R27" s="15"/>
      <c r="S27" s="160">
        <f t="shared" si="1"/>
        <v>0</v>
      </c>
      <c r="T27" s="27"/>
      <c r="V27" s="7"/>
      <c r="W27" s="7"/>
      <c r="X27" s="7"/>
      <c r="Y27" s="28"/>
      <c r="Z27" s="28"/>
      <c r="AA27" s="28"/>
      <c r="AB27" s="28"/>
      <c r="AC27" s="28"/>
      <c r="AD27" s="28"/>
      <c r="AE27" s="28"/>
    </row>
    <row r="28" spans="1:31" s="19" customFormat="1" ht="33" customHeight="1">
      <c r="A28" s="376"/>
      <c r="B28" s="11">
        <v>9</v>
      </c>
      <c r="C28" s="142" t="s">
        <v>206</v>
      </c>
      <c r="D28" s="178" t="s">
        <v>1197</v>
      </c>
      <c r="E28" s="148">
        <v>1</v>
      </c>
      <c r="F28" s="159">
        <v>234500</v>
      </c>
      <c r="G28" s="159">
        <f t="shared" ref="G28" si="8">E28*F28</f>
        <v>234500</v>
      </c>
      <c r="H28" s="159"/>
      <c r="I28" s="160"/>
      <c r="J28" s="160"/>
      <c r="K28" s="160"/>
      <c r="L28" s="160"/>
      <c r="M28" s="160"/>
      <c r="N28" s="160"/>
      <c r="O28" s="160"/>
      <c r="P28" s="160"/>
      <c r="Q28" s="160"/>
      <c r="R28" s="160">
        <v>0</v>
      </c>
      <c r="S28" s="160">
        <f t="shared" si="1"/>
        <v>234500</v>
      </c>
      <c r="T28" s="231"/>
      <c r="V28" s="7"/>
      <c r="W28" s="7"/>
      <c r="X28" s="7"/>
      <c r="Y28" s="6"/>
      <c r="Z28" s="6"/>
      <c r="AA28" s="6"/>
      <c r="AB28" s="6"/>
      <c r="AC28" s="6"/>
      <c r="AD28" s="6"/>
      <c r="AE28" s="6"/>
    </row>
    <row r="29" spans="1:31" s="19" customFormat="1" ht="33" customHeight="1">
      <c r="A29" s="376"/>
      <c r="B29" s="11">
        <v>10</v>
      </c>
      <c r="C29" s="142" t="s">
        <v>207</v>
      </c>
      <c r="D29" s="178" t="str">
        <f>COVER!B24</f>
        <v>A351 CF8M</v>
      </c>
      <c r="E29" s="148">
        <v>1</v>
      </c>
      <c r="F29" s="235">
        <f>IF(D29="A351 CF8M",Y98,IF(D29="B148 C95400",Z98))</f>
        <v>190000</v>
      </c>
      <c r="G29" s="159">
        <f>F29*E29</f>
        <v>190000</v>
      </c>
      <c r="H29" s="159"/>
      <c r="I29" s="160">
        <f>I30*I31</f>
        <v>3065.28</v>
      </c>
      <c r="J29" s="160">
        <f t="shared" ref="J29:Q29" si="9">J30*J31</f>
        <v>3260.86</v>
      </c>
      <c r="K29" s="160">
        <f t="shared" si="9"/>
        <v>0</v>
      </c>
      <c r="L29" s="160">
        <f t="shared" si="9"/>
        <v>0</v>
      </c>
      <c r="M29" s="160">
        <f t="shared" si="9"/>
        <v>0</v>
      </c>
      <c r="N29" s="160">
        <f t="shared" si="9"/>
        <v>0</v>
      </c>
      <c r="O29" s="160">
        <f t="shared" si="9"/>
        <v>0</v>
      </c>
      <c r="P29" s="160">
        <f t="shared" si="9"/>
        <v>0</v>
      </c>
      <c r="Q29" s="160">
        <f t="shared" si="9"/>
        <v>0</v>
      </c>
      <c r="R29" s="160">
        <v>0</v>
      </c>
      <c r="S29" s="160">
        <f t="shared" si="1"/>
        <v>190000</v>
      </c>
      <c r="T29" s="231"/>
      <c r="V29" s="7"/>
      <c r="W29" s="7"/>
      <c r="X29" s="7"/>
      <c r="Y29" s="7"/>
      <c r="Z29" s="7"/>
      <c r="AA29" s="7"/>
      <c r="AB29" s="7"/>
      <c r="AC29" s="7"/>
      <c r="AD29" s="7"/>
      <c r="AE29" s="7"/>
    </row>
    <row r="30" spans="1:31" s="19" customFormat="1" ht="33" hidden="1" customHeight="1">
      <c r="A30" s="376"/>
      <c r="B30" s="11"/>
      <c r="C30" s="12"/>
      <c r="D30" s="24"/>
      <c r="E30" s="13">
        <v>1</v>
      </c>
      <c r="F30" s="14"/>
      <c r="G30" s="14"/>
      <c r="H30" s="17" t="s">
        <v>123</v>
      </c>
      <c r="I30" s="21">
        <v>0.2</v>
      </c>
      <c r="J30" s="21">
        <v>0.2</v>
      </c>
      <c r="K30" s="21"/>
      <c r="L30" s="21"/>
      <c r="M30" s="21"/>
      <c r="N30" s="21"/>
      <c r="O30" s="21"/>
      <c r="P30" s="21"/>
      <c r="Q30" s="21"/>
      <c r="R30" s="15"/>
      <c r="S30" s="160">
        <f t="shared" si="1"/>
        <v>0</v>
      </c>
      <c r="T30" s="22"/>
      <c r="V30" s="7"/>
      <c r="W30" s="7"/>
      <c r="X30" s="7"/>
      <c r="Y30" s="7"/>
      <c r="Z30" s="7"/>
      <c r="AA30" s="7"/>
      <c r="AB30" s="7"/>
      <c r="AC30" s="7"/>
      <c r="AD30" s="7"/>
      <c r="AE30" s="7"/>
    </row>
    <row r="31" spans="1:31" s="19" customFormat="1" ht="33" hidden="1" customHeight="1">
      <c r="A31" s="376"/>
      <c r="B31" s="11"/>
      <c r="C31" s="12"/>
      <c r="D31" s="24"/>
      <c r="E31" s="13">
        <v>1</v>
      </c>
      <c r="F31" s="14"/>
      <c r="G31" s="14"/>
      <c r="H31" s="17" t="s">
        <v>123</v>
      </c>
      <c r="I31" s="15">
        <f>I32/10</f>
        <v>15326.4</v>
      </c>
      <c r="J31" s="15">
        <f>J32/10</f>
        <v>16304.3</v>
      </c>
      <c r="K31" s="15"/>
      <c r="L31" s="15"/>
      <c r="M31" s="15"/>
      <c r="N31" s="15"/>
      <c r="O31" s="15"/>
      <c r="P31" s="15"/>
      <c r="Q31" s="15"/>
      <c r="R31" s="15"/>
      <c r="S31" s="160">
        <f t="shared" si="1"/>
        <v>0</v>
      </c>
      <c r="T31" s="22"/>
      <c r="V31" s="7"/>
      <c r="W31" s="7"/>
      <c r="X31" s="7"/>
      <c r="Y31" s="7"/>
      <c r="Z31" s="7"/>
      <c r="AA31" s="7"/>
      <c r="AB31" s="7"/>
      <c r="AC31" s="7"/>
      <c r="AD31" s="7"/>
      <c r="AE31" s="7"/>
    </row>
    <row r="32" spans="1:31" s="19" customFormat="1" ht="33" hidden="1" customHeight="1">
      <c r="A32" s="376"/>
      <c r="B32" s="11"/>
      <c r="C32" s="12"/>
      <c r="D32" s="24"/>
      <c r="E32" s="13">
        <v>1</v>
      </c>
      <c r="F32" s="14"/>
      <c r="G32" s="14"/>
      <c r="H32" s="17" t="s">
        <v>123</v>
      </c>
      <c r="I32" s="15">
        <v>153264</v>
      </c>
      <c r="J32" s="15">
        <v>163043</v>
      </c>
      <c r="K32" s="15"/>
      <c r="L32" s="15"/>
      <c r="M32" s="15"/>
      <c r="N32" s="15"/>
      <c r="O32" s="15"/>
      <c r="P32" s="15"/>
      <c r="Q32" s="15"/>
      <c r="R32" s="15"/>
      <c r="S32" s="160">
        <f t="shared" si="1"/>
        <v>0</v>
      </c>
      <c r="T32" s="22"/>
      <c r="V32" s="7"/>
      <c r="W32" s="7"/>
      <c r="X32" s="7"/>
      <c r="Y32" s="7"/>
      <c r="Z32" s="7"/>
      <c r="AA32" s="7"/>
      <c r="AB32" s="7"/>
      <c r="AC32" s="7"/>
      <c r="AD32" s="7"/>
      <c r="AE32" s="7"/>
    </row>
    <row r="33" spans="1:31" s="19" customFormat="1" ht="33" customHeight="1">
      <c r="A33" s="376"/>
      <c r="B33" s="11">
        <v>11</v>
      </c>
      <c r="C33" s="142" t="s">
        <v>208</v>
      </c>
      <c r="D33" s="178" t="str">
        <f>COVER!B26</f>
        <v>316+NICKEL</v>
      </c>
      <c r="E33" s="148">
        <v>1</v>
      </c>
      <c r="F33" s="159">
        <f>IF(D33="316+NICKEL",Y100,IF(D33="B148 C95400",Z100))</f>
        <v>59000</v>
      </c>
      <c r="G33" s="159">
        <f t="shared" ref="G33:G61" si="10">E33*F33</f>
        <v>59000</v>
      </c>
      <c r="H33" s="159"/>
      <c r="I33" s="160">
        <f>I34*I35</f>
        <v>4597.92</v>
      </c>
      <c r="J33" s="160">
        <f t="shared" ref="J33:Q33" si="11">J34*J35</f>
        <v>0</v>
      </c>
      <c r="K33" s="160">
        <f t="shared" si="11"/>
        <v>0</v>
      </c>
      <c r="L33" s="160">
        <f t="shared" si="11"/>
        <v>0</v>
      </c>
      <c r="M33" s="160">
        <f t="shared" si="11"/>
        <v>0</v>
      </c>
      <c r="N33" s="160">
        <f t="shared" si="11"/>
        <v>0</v>
      </c>
      <c r="O33" s="160">
        <f t="shared" si="11"/>
        <v>0</v>
      </c>
      <c r="P33" s="160">
        <f t="shared" si="11"/>
        <v>0</v>
      </c>
      <c r="Q33" s="160">
        <f t="shared" si="11"/>
        <v>0</v>
      </c>
      <c r="R33" s="160">
        <v>0</v>
      </c>
      <c r="S33" s="160">
        <f t="shared" si="1"/>
        <v>59000</v>
      </c>
      <c r="T33" s="177" t="s">
        <v>1200</v>
      </c>
      <c r="V33" s="7"/>
      <c r="W33" s="7"/>
      <c r="X33" s="7"/>
      <c r="Y33" s="7"/>
      <c r="Z33" s="7"/>
      <c r="AA33" s="7"/>
      <c r="AB33" s="7"/>
      <c r="AC33" s="7"/>
      <c r="AD33" s="7"/>
      <c r="AE33" s="7"/>
    </row>
    <row r="34" spans="1:31" s="19" customFormat="1" ht="33" hidden="1" customHeight="1">
      <c r="A34" s="376"/>
      <c r="B34" s="11"/>
      <c r="C34" s="12"/>
      <c r="D34" s="24"/>
      <c r="E34" s="13"/>
      <c r="F34" s="14"/>
      <c r="G34" s="14"/>
      <c r="H34" s="17" t="s">
        <v>123</v>
      </c>
      <c r="I34" s="21">
        <v>0.3</v>
      </c>
      <c r="J34" s="21"/>
      <c r="K34" s="21"/>
      <c r="L34" s="21"/>
      <c r="M34" s="21"/>
      <c r="N34" s="21"/>
      <c r="O34" s="21"/>
      <c r="P34" s="21"/>
      <c r="Q34" s="21"/>
      <c r="R34" s="15"/>
      <c r="S34" s="160">
        <f t="shared" si="1"/>
        <v>0</v>
      </c>
      <c r="T34" s="22"/>
      <c r="V34" s="7"/>
      <c r="W34" s="7"/>
      <c r="X34" s="7"/>
      <c r="Y34" s="7"/>
      <c r="Z34" s="7"/>
      <c r="AA34" s="7"/>
      <c r="AB34" s="7"/>
      <c r="AC34" s="7"/>
      <c r="AD34" s="7"/>
      <c r="AE34" s="7"/>
    </row>
    <row r="35" spans="1:31" s="19" customFormat="1" ht="33" hidden="1" customHeight="1">
      <c r="A35" s="376"/>
      <c r="B35" s="11"/>
      <c r="C35" s="12"/>
      <c r="D35" s="24"/>
      <c r="E35" s="13"/>
      <c r="F35" s="14"/>
      <c r="G35" s="14"/>
      <c r="H35" s="17" t="s">
        <v>123</v>
      </c>
      <c r="I35" s="15">
        <f>I36/10</f>
        <v>15326.4</v>
      </c>
      <c r="J35" s="15"/>
      <c r="K35" s="15"/>
      <c r="L35" s="15"/>
      <c r="M35" s="15"/>
      <c r="N35" s="15"/>
      <c r="O35" s="15"/>
      <c r="P35" s="15"/>
      <c r="Q35" s="15"/>
      <c r="R35" s="15"/>
      <c r="S35" s="160">
        <f t="shared" si="1"/>
        <v>0</v>
      </c>
      <c r="T35" s="22"/>
      <c r="V35" s="7"/>
      <c r="W35" s="7"/>
      <c r="X35" s="7"/>
      <c r="Y35" s="7"/>
      <c r="Z35" s="7"/>
      <c r="AA35" s="7"/>
      <c r="AB35" s="7"/>
      <c r="AC35" s="7"/>
      <c r="AD35" s="7"/>
      <c r="AE35" s="7"/>
    </row>
    <row r="36" spans="1:31" s="19" customFormat="1" ht="33" hidden="1" customHeight="1">
      <c r="A36" s="376"/>
      <c r="B36" s="11"/>
      <c r="C36" s="12"/>
      <c r="D36" s="24"/>
      <c r="E36" s="13"/>
      <c r="F36" s="14"/>
      <c r="G36" s="14"/>
      <c r="H36" s="17" t="s">
        <v>123</v>
      </c>
      <c r="I36" s="15">
        <v>153264</v>
      </c>
      <c r="J36" s="15"/>
      <c r="K36" s="15"/>
      <c r="L36" s="15"/>
      <c r="M36" s="15"/>
      <c r="N36" s="15"/>
      <c r="O36" s="15"/>
      <c r="P36" s="15"/>
      <c r="Q36" s="15"/>
      <c r="R36" s="15"/>
      <c r="S36" s="160">
        <f t="shared" si="1"/>
        <v>0</v>
      </c>
      <c r="T36" s="22"/>
      <c r="V36" s="7"/>
      <c r="W36" s="7"/>
      <c r="X36" s="7"/>
      <c r="Y36" s="7"/>
      <c r="Z36" s="7"/>
      <c r="AA36" s="7"/>
      <c r="AB36" s="7"/>
      <c r="AC36" s="7"/>
      <c r="AD36" s="7"/>
      <c r="AE36" s="7"/>
    </row>
    <row r="37" spans="1:31" s="19" customFormat="1" ht="33" customHeight="1">
      <c r="A37" s="376"/>
      <c r="B37" s="11">
        <v>12</v>
      </c>
      <c r="C37" s="169" t="s">
        <v>954</v>
      </c>
      <c r="D37" s="178" t="str">
        <f>COVER!B22</f>
        <v>B7(다크로)</v>
      </c>
      <c r="E37" s="148">
        <v>6</v>
      </c>
      <c r="F37" s="159">
        <f>IF(D37="B8",Y92,IF(D37="B8M",Z92,IF(D37="B7(다크로)",AA92)))</f>
        <v>2000</v>
      </c>
      <c r="G37" s="159">
        <f>F37*E37</f>
        <v>12000</v>
      </c>
      <c r="H37" s="159"/>
      <c r="I37" s="160">
        <v>0</v>
      </c>
      <c r="J37" s="160">
        <v>0</v>
      </c>
      <c r="K37" s="160">
        <v>0</v>
      </c>
      <c r="L37" s="160">
        <v>0</v>
      </c>
      <c r="M37" s="160">
        <v>0</v>
      </c>
      <c r="N37" s="160">
        <v>0</v>
      </c>
      <c r="O37" s="160">
        <v>0</v>
      </c>
      <c r="P37" s="160">
        <v>0</v>
      </c>
      <c r="Q37" s="160">
        <v>0</v>
      </c>
      <c r="R37" s="160">
        <v>0</v>
      </c>
      <c r="S37" s="160">
        <f t="shared" si="1"/>
        <v>12000</v>
      </c>
      <c r="T37" s="224"/>
      <c r="V37" s="7"/>
      <c r="W37" s="7"/>
      <c r="X37" s="7"/>
      <c r="Y37" s="7"/>
      <c r="Z37" s="7"/>
      <c r="AA37" s="7"/>
      <c r="AB37" s="7"/>
      <c r="AC37" s="7"/>
      <c r="AD37" s="7"/>
      <c r="AE37" s="7"/>
    </row>
    <row r="38" spans="1:31" s="19" customFormat="1" ht="33" customHeight="1">
      <c r="A38" s="376"/>
      <c r="B38" s="11">
        <v>13</v>
      </c>
      <c r="C38" s="29" t="s">
        <v>209</v>
      </c>
      <c r="D38" s="24"/>
      <c r="E38" s="13">
        <v>1</v>
      </c>
      <c r="F38" s="14">
        <v>10000</v>
      </c>
      <c r="G38" s="14">
        <f t="shared" si="10"/>
        <v>10000</v>
      </c>
      <c r="H38" s="14"/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60">
        <f t="shared" si="1"/>
        <v>10000</v>
      </c>
      <c r="T38" s="22"/>
      <c r="V38" s="7"/>
      <c r="W38" s="7"/>
      <c r="X38" s="7"/>
      <c r="Y38" s="7"/>
      <c r="Z38" s="7"/>
      <c r="AA38" s="7"/>
      <c r="AB38" s="7"/>
      <c r="AC38" s="7"/>
      <c r="AD38" s="7"/>
      <c r="AE38" s="7"/>
    </row>
    <row r="39" spans="1:31" s="19" customFormat="1" ht="33" customHeight="1">
      <c r="A39" s="376"/>
      <c r="B39" s="11">
        <v>14</v>
      </c>
      <c r="C39" s="233" t="s">
        <v>210</v>
      </c>
      <c r="D39" s="178" t="str">
        <f>COVER!B23</f>
        <v>316+NICKEL</v>
      </c>
      <c r="E39" s="148">
        <v>1</v>
      </c>
      <c r="F39" s="159">
        <f>IF(D39="316+NICKEL",Y96,IF(D39="B148 C95400",Z96))</f>
        <v>729960.00000000012</v>
      </c>
      <c r="G39" s="159">
        <f>F39*1</f>
        <v>729960.00000000012</v>
      </c>
      <c r="H39" s="159"/>
      <c r="I39" s="160">
        <v>0</v>
      </c>
      <c r="J39" s="160">
        <v>0</v>
      </c>
      <c r="K39" s="160">
        <v>0</v>
      </c>
      <c r="L39" s="160">
        <v>0</v>
      </c>
      <c r="M39" s="160">
        <v>0</v>
      </c>
      <c r="N39" s="160">
        <v>0</v>
      </c>
      <c r="O39" s="160">
        <v>0</v>
      </c>
      <c r="P39" s="160">
        <v>0</v>
      </c>
      <c r="Q39" s="160">
        <v>0</v>
      </c>
      <c r="R39" s="160">
        <v>0</v>
      </c>
      <c r="S39" s="160">
        <f t="shared" si="1"/>
        <v>729960.00000000012</v>
      </c>
      <c r="T39" s="177" t="s">
        <v>1200</v>
      </c>
      <c r="V39" s="7"/>
      <c r="W39" s="7"/>
      <c r="X39" s="7"/>
      <c r="Y39" s="7"/>
      <c r="Z39" s="7"/>
      <c r="AA39" s="7"/>
      <c r="AB39" s="7"/>
      <c r="AC39" s="7"/>
      <c r="AD39" s="7"/>
      <c r="AE39" s="7"/>
    </row>
    <row r="40" spans="1:31" s="19" customFormat="1" ht="33" customHeight="1">
      <c r="A40" s="376"/>
      <c r="B40" s="11">
        <v>15</v>
      </c>
      <c r="C40" s="142" t="s">
        <v>211</v>
      </c>
      <c r="D40" s="178" t="str">
        <f>COVER!B23</f>
        <v>316+NICKEL</v>
      </c>
      <c r="E40" s="148">
        <v>1</v>
      </c>
      <c r="F40" s="159">
        <f>IF(D40="316+NICKEL",Y97,IF(D40="B148 C95400",Z97))</f>
        <v>775170.00000000012</v>
      </c>
      <c r="G40" s="159">
        <f>F40*1</f>
        <v>775170.00000000012</v>
      </c>
      <c r="H40" s="159"/>
      <c r="I40" s="160">
        <v>0</v>
      </c>
      <c r="J40" s="160">
        <v>0</v>
      </c>
      <c r="K40" s="160">
        <v>0</v>
      </c>
      <c r="L40" s="160">
        <v>0</v>
      </c>
      <c r="M40" s="160">
        <v>0</v>
      </c>
      <c r="N40" s="160">
        <v>0</v>
      </c>
      <c r="O40" s="160">
        <v>0</v>
      </c>
      <c r="P40" s="160">
        <v>0</v>
      </c>
      <c r="Q40" s="160">
        <v>0</v>
      </c>
      <c r="R40" s="160">
        <v>0</v>
      </c>
      <c r="S40" s="160">
        <f t="shared" si="1"/>
        <v>775170.00000000012</v>
      </c>
      <c r="T40" s="177" t="s">
        <v>1200</v>
      </c>
      <c r="V40" s="28"/>
      <c r="W40" s="28"/>
      <c r="X40" s="28"/>
      <c r="Y40" s="7"/>
      <c r="Z40" s="7"/>
      <c r="AA40" s="7"/>
      <c r="AB40" s="7"/>
      <c r="AC40" s="7"/>
      <c r="AD40" s="7"/>
      <c r="AE40" s="7"/>
    </row>
    <row r="41" spans="1:31" s="19" customFormat="1" ht="33" hidden="1" customHeight="1">
      <c r="A41" s="376"/>
      <c r="B41" s="11"/>
      <c r="C41" s="12"/>
      <c r="D41" s="20"/>
      <c r="E41" s="13"/>
      <c r="F41" s="14"/>
      <c r="G41" s="14"/>
      <c r="H41" s="17" t="s">
        <v>123</v>
      </c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60">
        <f t="shared" si="1"/>
        <v>0</v>
      </c>
      <c r="T41" s="22"/>
      <c r="V41" s="28"/>
      <c r="W41" s="28"/>
      <c r="X41" s="28"/>
      <c r="Y41" s="7"/>
      <c r="Z41" s="7"/>
      <c r="AA41" s="7"/>
      <c r="AB41" s="7"/>
      <c r="AC41" s="7"/>
      <c r="AD41" s="7"/>
      <c r="AE41" s="7"/>
    </row>
    <row r="42" spans="1:31" s="19" customFormat="1" ht="33" hidden="1" customHeight="1">
      <c r="A42" s="376"/>
      <c r="B42" s="11"/>
      <c r="C42" s="12"/>
      <c r="D42" s="20"/>
      <c r="E42" s="13"/>
      <c r="F42" s="14"/>
      <c r="G42" s="14"/>
      <c r="H42" s="17" t="s">
        <v>123</v>
      </c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60">
        <f t="shared" si="1"/>
        <v>0</v>
      </c>
      <c r="T42" s="22"/>
      <c r="V42" s="28"/>
      <c r="W42" s="28"/>
      <c r="X42" s="28"/>
      <c r="Y42" s="7"/>
      <c r="Z42" s="7"/>
      <c r="AA42" s="7"/>
      <c r="AB42" s="7"/>
      <c r="AC42" s="7"/>
      <c r="AD42" s="7"/>
      <c r="AE42" s="7"/>
    </row>
    <row r="43" spans="1:31" s="19" customFormat="1" ht="33" hidden="1" customHeight="1">
      <c r="A43" s="376"/>
      <c r="B43" s="11"/>
      <c r="C43" s="12"/>
      <c r="D43" s="20"/>
      <c r="E43" s="13"/>
      <c r="F43" s="14"/>
      <c r="G43" s="14"/>
      <c r="H43" s="17" t="s">
        <v>123</v>
      </c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60">
        <f t="shared" si="1"/>
        <v>0</v>
      </c>
      <c r="T43" s="22"/>
      <c r="V43" s="28"/>
      <c r="W43" s="28"/>
      <c r="X43" s="28"/>
      <c r="Y43" s="7"/>
      <c r="Z43" s="7"/>
      <c r="AA43" s="7"/>
      <c r="AB43" s="7"/>
      <c r="AC43" s="7"/>
      <c r="AD43" s="7"/>
      <c r="AE43" s="7"/>
    </row>
    <row r="44" spans="1:31" s="19" customFormat="1" ht="33" customHeight="1">
      <c r="A44" s="376"/>
      <c r="B44" s="11">
        <v>16</v>
      </c>
      <c r="C44" s="142" t="s">
        <v>212</v>
      </c>
      <c r="D44" s="178" t="str">
        <f>COVER!B25</f>
        <v>316+NICKEL</v>
      </c>
      <c r="E44" s="148">
        <v>1</v>
      </c>
      <c r="F44" s="159">
        <f>IF(D44="316+NICKEL",Y99,IF(D44="B148 C95400",Z99))</f>
        <v>44500</v>
      </c>
      <c r="G44" s="159">
        <f>F44</f>
        <v>44500</v>
      </c>
      <c r="H44" s="159"/>
      <c r="I44" s="160">
        <v>0</v>
      </c>
      <c r="J44" s="160">
        <v>0</v>
      </c>
      <c r="K44" s="160">
        <v>0</v>
      </c>
      <c r="L44" s="160">
        <v>0</v>
      </c>
      <c r="M44" s="160">
        <v>0</v>
      </c>
      <c r="N44" s="160">
        <v>0</v>
      </c>
      <c r="O44" s="160">
        <v>1000</v>
      </c>
      <c r="P44" s="160">
        <v>0</v>
      </c>
      <c r="Q44" s="160">
        <v>0</v>
      </c>
      <c r="R44" s="160">
        <v>0</v>
      </c>
      <c r="S44" s="160">
        <f t="shared" si="1"/>
        <v>44500</v>
      </c>
      <c r="T44" s="177" t="s">
        <v>1200</v>
      </c>
      <c r="U44" s="236"/>
      <c r="V44" s="28"/>
      <c r="W44" s="28"/>
      <c r="X44" s="28"/>
      <c r="Y44" s="7"/>
      <c r="Z44" s="7"/>
      <c r="AA44" s="7"/>
      <c r="AB44" s="7"/>
      <c r="AC44" s="7"/>
      <c r="AD44" s="7"/>
      <c r="AE44" s="7"/>
    </row>
    <row r="45" spans="1:31" s="19" customFormat="1" ht="33" customHeight="1">
      <c r="A45" s="376"/>
      <c r="B45" s="11">
        <v>17</v>
      </c>
      <c r="C45" s="175" t="s">
        <v>213</v>
      </c>
      <c r="D45" s="178" t="s">
        <v>463</v>
      </c>
      <c r="E45" s="148">
        <v>1</v>
      </c>
      <c r="F45" s="159">
        <f>Y86</f>
        <v>5800</v>
      </c>
      <c r="G45" s="159">
        <f>F45*E45</f>
        <v>5800</v>
      </c>
      <c r="H45" s="159"/>
      <c r="I45" s="160">
        <v>0</v>
      </c>
      <c r="J45" s="160">
        <v>0</v>
      </c>
      <c r="K45" s="160">
        <v>0</v>
      </c>
      <c r="L45" s="160">
        <v>0</v>
      </c>
      <c r="M45" s="160">
        <v>0</v>
      </c>
      <c r="N45" s="160">
        <v>0</v>
      </c>
      <c r="O45" s="160">
        <v>0</v>
      </c>
      <c r="P45" s="160">
        <v>0</v>
      </c>
      <c r="Q45" s="160">
        <v>0</v>
      </c>
      <c r="R45" s="160">
        <v>0</v>
      </c>
      <c r="S45" s="160">
        <f t="shared" si="1"/>
        <v>5800</v>
      </c>
      <c r="T45" s="22"/>
      <c r="V45" s="97" t="s">
        <v>38</v>
      </c>
      <c r="W45" s="7"/>
      <c r="X45" s="7"/>
      <c r="Y45" s="7"/>
      <c r="Z45" s="7"/>
      <c r="AA45" s="7"/>
      <c r="AB45" s="7"/>
      <c r="AC45" s="7"/>
      <c r="AD45" s="7"/>
      <c r="AE45" s="7"/>
    </row>
    <row r="46" spans="1:31" s="19" customFormat="1" ht="33" customHeight="1">
      <c r="A46" s="376"/>
      <c r="B46" s="11">
        <v>18</v>
      </c>
      <c r="C46" s="175" t="s">
        <v>1205</v>
      </c>
      <c r="D46" s="178" t="str">
        <f>COVER!B29</f>
        <v>SS400</v>
      </c>
      <c r="E46" s="148">
        <v>1</v>
      </c>
      <c r="F46" s="159">
        <f>IF(D46="SS400",Y104,IF(D46="SS316",Z104,IF(D46="SS304",AA104)))</f>
        <v>30475</v>
      </c>
      <c r="G46" s="159">
        <f>F46*E46</f>
        <v>30475</v>
      </c>
      <c r="H46" s="159"/>
      <c r="I46" s="160">
        <v>0</v>
      </c>
      <c r="J46" s="160">
        <v>0</v>
      </c>
      <c r="K46" s="160">
        <v>0</v>
      </c>
      <c r="L46" s="160">
        <v>0</v>
      </c>
      <c r="M46" s="160">
        <v>0</v>
      </c>
      <c r="N46" s="160">
        <v>0</v>
      </c>
      <c r="O46" s="160">
        <v>0</v>
      </c>
      <c r="P46" s="160">
        <v>0</v>
      </c>
      <c r="Q46" s="160">
        <v>0</v>
      </c>
      <c r="R46" s="160">
        <v>30000</v>
      </c>
      <c r="S46" s="160">
        <f t="shared" si="1"/>
        <v>60475</v>
      </c>
      <c r="T46" s="224"/>
      <c r="V46" s="7"/>
      <c r="W46" s="7"/>
      <c r="X46" s="7"/>
      <c r="Y46" s="7"/>
      <c r="Z46" s="7"/>
      <c r="AA46" s="7"/>
      <c r="AB46" s="7"/>
      <c r="AC46" s="7"/>
      <c r="AD46" s="7"/>
      <c r="AE46" s="7"/>
    </row>
    <row r="47" spans="1:31" s="19" customFormat="1" ht="33" hidden="1" customHeight="1">
      <c r="A47" s="376"/>
      <c r="B47" s="11"/>
      <c r="C47" s="31"/>
      <c r="D47" s="24"/>
      <c r="E47" s="13"/>
      <c r="F47" s="14"/>
      <c r="G47" s="14"/>
      <c r="H47" s="17" t="s">
        <v>123</v>
      </c>
      <c r="I47" s="21">
        <v>0.3</v>
      </c>
      <c r="J47" s="21"/>
      <c r="K47" s="21"/>
      <c r="L47" s="21"/>
      <c r="M47" s="21"/>
      <c r="N47" s="21"/>
      <c r="O47" s="21"/>
      <c r="P47" s="21"/>
      <c r="Q47" s="21"/>
      <c r="R47" s="15"/>
      <c r="S47" s="160">
        <f t="shared" si="1"/>
        <v>0</v>
      </c>
      <c r="T47" s="22"/>
      <c r="V47" s="7"/>
      <c r="W47" s="7"/>
      <c r="X47" s="7"/>
      <c r="Y47" s="7"/>
      <c r="Z47" s="7"/>
      <c r="AA47" s="7"/>
      <c r="AB47" s="7"/>
      <c r="AC47" s="7"/>
      <c r="AD47" s="7"/>
      <c r="AE47" s="7"/>
    </row>
    <row r="48" spans="1:31" s="19" customFormat="1" ht="33" hidden="1" customHeight="1">
      <c r="A48" s="376"/>
      <c r="B48" s="11"/>
      <c r="C48" s="31"/>
      <c r="D48" s="24"/>
      <c r="E48" s="13"/>
      <c r="F48" s="14"/>
      <c r="G48" s="14"/>
      <c r="H48" s="17" t="s">
        <v>123</v>
      </c>
      <c r="I48" s="15">
        <f>I49/10</f>
        <v>15326.4</v>
      </c>
      <c r="J48" s="15"/>
      <c r="K48" s="15"/>
      <c r="L48" s="15"/>
      <c r="M48" s="15"/>
      <c r="N48" s="15"/>
      <c r="O48" s="15"/>
      <c r="P48" s="15"/>
      <c r="Q48" s="15"/>
      <c r="R48" s="15"/>
      <c r="S48" s="160">
        <f t="shared" si="1"/>
        <v>0</v>
      </c>
      <c r="T48" s="22"/>
      <c r="V48" s="7"/>
      <c r="W48" s="7"/>
      <c r="X48" s="7"/>
      <c r="Y48" s="7"/>
      <c r="Z48" s="7"/>
      <c r="AA48" s="7"/>
      <c r="AB48" s="7"/>
      <c r="AC48" s="7"/>
      <c r="AD48" s="7"/>
      <c r="AE48" s="7"/>
    </row>
    <row r="49" spans="1:31" s="19" customFormat="1" ht="33" hidden="1" customHeight="1">
      <c r="A49" s="376"/>
      <c r="B49" s="11"/>
      <c r="C49" s="31"/>
      <c r="D49" s="24"/>
      <c r="E49" s="13"/>
      <c r="F49" s="14"/>
      <c r="G49" s="14"/>
      <c r="H49" s="17" t="s">
        <v>123</v>
      </c>
      <c r="I49" s="15">
        <v>153264</v>
      </c>
      <c r="J49" s="15"/>
      <c r="K49" s="15"/>
      <c r="L49" s="15"/>
      <c r="M49" s="15"/>
      <c r="N49" s="15"/>
      <c r="O49" s="15"/>
      <c r="P49" s="15"/>
      <c r="Q49" s="15"/>
      <c r="R49" s="15"/>
      <c r="S49" s="160">
        <f t="shared" si="1"/>
        <v>0</v>
      </c>
      <c r="T49" s="22"/>
      <c r="V49" s="7"/>
      <c r="W49" s="7"/>
      <c r="X49" s="7"/>
      <c r="Y49" s="7"/>
      <c r="Z49" s="7"/>
      <c r="AA49" s="7"/>
      <c r="AB49" s="7"/>
      <c r="AC49" s="7"/>
      <c r="AD49" s="7"/>
      <c r="AE49" s="7"/>
    </row>
    <row r="50" spans="1:31" s="19" customFormat="1" ht="33" customHeight="1">
      <c r="A50" s="376"/>
      <c r="B50" s="11">
        <v>19</v>
      </c>
      <c r="C50" s="226" t="s">
        <v>128</v>
      </c>
      <c r="D50" s="178" t="str">
        <f>COVER!B22</f>
        <v>B7(다크로)</v>
      </c>
      <c r="E50" s="148">
        <v>8</v>
      </c>
      <c r="F50" s="159">
        <f>IF(D50="B8",Y93,IF(D50="B8M",Z93,IF(D50="B7(다크로)",AA93)))</f>
        <v>2500</v>
      </c>
      <c r="G50" s="159">
        <f>E50*F50</f>
        <v>20000</v>
      </c>
      <c r="H50" s="159"/>
      <c r="I50" s="160">
        <v>0</v>
      </c>
      <c r="J50" s="160">
        <v>0</v>
      </c>
      <c r="K50" s="160">
        <v>0</v>
      </c>
      <c r="L50" s="160">
        <v>0</v>
      </c>
      <c r="M50" s="160">
        <v>0</v>
      </c>
      <c r="N50" s="160">
        <v>0</v>
      </c>
      <c r="O50" s="160">
        <v>0</v>
      </c>
      <c r="P50" s="160">
        <v>0</v>
      </c>
      <c r="Q50" s="160">
        <v>0</v>
      </c>
      <c r="R50" s="160">
        <v>0</v>
      </c>
      <c r="S50" s="160">
        <f t="shared" si="1"/>
        <v>20000</v>
      </c>
      <c r="T50" s="231"/>
      <c r="V50" s="26"/>
      <c r="W50" s="26"/>
      <c r="X50" s="26"/>
      <c r="Y50" s="7"/>
      <c r="Z50" s="7"/>
      <c r="AA50" s="7"/>
      <c r="AB50" s="7"/>
      <c r="AC50" s="7"/>
      <c r="AD50" s="7"/>
      <c r="AE50" s="7"/>
    </row>
    <row r="51" spans="1:31" s="19" customFormat="1" ht="33" customHeight="1">
      <c r="A51" s="376"/>
      <c r="B51" s="11">
        <v>20</v>
      </c>
      <c r="C51" s="169" t="s">
        <v>214</v>
      </c>
      <c r="D51" s="305" t="str">
        <f>D24</f>
        <v>A564T630</v>
      </c>
      <c r="E51" s="148">
        <v>4</v>
      </c>
      <c r="F51" s="159">
        <f>IF(D51="A276T316L",Y80/E51,IF(D51="A276T304",Z80/E51,IF(D51="A564T630",AA80/E51,IF(D51="A479T410",AB80/E51,IF(D51="UNS S31803",AC80/E51,IF(D51="UNS S32750",AD80/E51,IF(D51="MONEL K-500",AE80/E51)))))))</f>
        <v>10385</v>
      </c>
      <c r="G51" s="159">
        <f>E51*F51</f>
        <v>41540</v>
      </c>
      <c r="H51" s="159"/>
      <c r="I51" s="160">
        <v>0</v>
      </c>
      <c r="J51" s="160">
        <v>0</v>
      </c>
      <c r="K51" s="160">
        <v>0</v>
      </c>
      <c r="L51" s="160">
        <v>0</v>
      </c>
      <c r="M51" s="160">
        <v>0</v>
      </c>
      <c r="N51" s="160">
        <v>0</v>
      </c>
      <c r="O51" s="160">
        <v>1000</v>
      </c>
      <c r="P51" s="160">
        <v>0</v>
      </c>
      <c r="Q51" s="160">
        <v>0</v>
      </c>
      <c r="R51" s="160">
        <f>6000*E51</f>
        <v>24000</v>
      </c>
      <c r="S51" s="160">
        <f t="shared" si="1"/>
        <v>65540</v>
      </c>
      <c r="T51" s="22"/>
      <c r="U51" s="162"/>
    </row>
    <row r="52" spans="1:31" s="19" customFormat="1" ht="33" customHeight="1">
      <c r="A52" s="376"/>
      <c r="B52" s="11">
        <v>21</v>
      </c>
      <c r="C52" s="169" t="s">
        <v>215</v>
      </c>
      <c r="D52" s="178" t="str">
        <f>COVER!B22</f>
        <v>B7(다크로)</v>
      </c>
      <c r="E52" s="148">
        <v>6</v>
      </c>
      <c r="F52" s="159">
        <f>IF(D52="B8",Y89,IF(D52="B8M",Z89,IF(D52="B7(다크로)",AA89)))</f>
        <v>20000</v>
      </c>
      <c r="G52" s="159">
        <f>E52*F52</f>
        <v>120000</v>
      </c>
      <c r="H52" s="159"/>
      <c r="I52" s="160">
        <v>0</v>
      </c>
      <c r="J52" s="160">
        <v>0</v>
      </c>
      <c r="K52" s="160">
        <v>0</v>
      </c>
      <c r="L52" s="160">
        <v>0</v>
      </c>
      <c r="M52" s="160">
        <v>0</v>
      </c>
      <c r="N52" s="160">
        <v>1000</v>
      </c>
      <c r="O52" s="160">
        <v>1000</v>
      </c>
      <c r="P52" s="160">
        <v>1000</v>
      </c>
      <c r="Q52" s="160">
        <v>0</v>
      </c>
      <c r="R52" s="160">
        <v>0</v>
      </c>
      <c r="S52" s="160">
        <f t="shared" si="1"/>
        <v>120000</v>
      </c>
      <c r="T52" s="22"/>
      <c r="U52" s="162"/>
    </row>
    <row r="53" spans="1:31" s="19" customFormat="1" ht="33" customHeight="1">
      <c r="A53" s="376"/>
      <c r="B53" s="11">
        <v>22</v>
      </c>
      <c r="C53" s="169" t="s">
        <v>1199</v>
      </c>
      <c r="D53" s="178" t="str">
        <f>COVER!B26</f>
        <v>316+NICKEL</v>
      </c>
      <c r="E53" s="148">
        <v>1</v>
      </c>
      <c r="F53" s="159">
        <f>IF(D53="316+NICKEL",Y100,IF(D53="B148 C95400",Z100))</f>
        <v>59000</v>
      </c>
      <c r="G53" s="159">
        <f>F53*E53</f>
        <v>59000</v>
      </c>
      <c r="H53" s="159"/>
      <c r="I53" s="160"/>
      <c r="J53" s="160"/>
      <c r="K53" s="160"/>
      <c r="L53" s="160"/>
      <c r="M53" s="160"/>
      <c r="N53" s="160"/>
      <c r="O53" s="160"/>
      <c r="P53" s="160"/>
      <c r="Q53" s="160"/>
      <c r="R53" s="160">
        <v>0</v>
      </c>
      <c r="S53" s="160">
        <f t="shared" si="1"/>
        <v>59000</v>
      </c>
      <c r="T53" s="224"/>
    </row>
    <row r="54" spans="1:31" s="19" customFormat="1" ht="33" customHeight="1">
      <c r="A54" s="376"/>
      <c r="B54" s="11">
        <v>23</v>
      </c>
      <c r="C54" s="29" t="s">
        <v>131</v>
      </c>
      <c r="D54" s="24"/>
      <c r="E54" s="13">
        <v>1</v>
      </c>
      <c r="F54" s="14">
        <v>3000</v>
      </c>
      <c r="G54" s="14">
        <f t="shared" si="10"/>
        <v>3000</v>
      </c>
      <c r="H54" s="14"/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1000</v>
      </c>
      <c r="Q54" s="15">
        <v>0</v>
      </c>
      <c r="R54" s="15">
        <v>0</v>
      </c>
      <c r="S54" s="160">
        <f t="shared" si="1"/>
        <v>3000</v>
      </c>
      <c r="T54" s="22"/>
    </row>
    <row r="55" spans="1:31" s="19" customFormat="1" ht="33" customHeight="1">
      <c r="A55" s="376"/>
      <c r="B55" s="11">
        <v>24</v>
      </c>
      <c r="C55" s="142" t="s">
        <v>216</v>
      </c>
      <c r="D55" s="178" t="str">
        <f>COVER!B35</f>
        <v>GEAR</v>
      </c>
      <c r="E55" s="148">
        <v>1</v>
      </c>
      <c r="F55" s="235">
        <f>IF(D55="GEAR",1528200,IF(D55="MOTOR",0,IF(D55="PNEUMATIC",0)))</f>
        <v>1528200</v>
      </c>
      <c r="G55" s="159">
        <f>F55</f>
        <v>1528200</v>
      </c>
      <c r="H55" s="159"/>
      <c r="I55" s="160">
        <v>0</v>
      </c>
      <c r="J55" s="160">
        <v>0</v>
      </c>
      <c r="K55" s="160">
        <v>0</v>
      </c>
      <c r="L55" s="160">
        <v>0</v>
      </c>
      <c r="M55" s="160">
        <v>0</v>
      </c>
      <c r="N55" s="160">
        <v>0</v>
      </c>
      <c r="O55" s="160">
        <v>0</v>
      </c>
      <c r="P55" s="160">
        <v>0</v>
      </c>
      <c r="Q55" s="160">
        <v>0</v>
      </c>
      <c r="R55" s="160">
        <v>0</v>
      </c>
      <c r="S55" s="160">
        <f t="shared" si="1"/>
        <v>1528200</v>
      </c>
      <c r="T55" s="224"/>
    </row>
    <row r="56" spans="1:31" s="19" customFormat="1" ht="33" customHeight="1">
      <c r="A56" s="376"/>
      <c r="B56" s="11">
        <v>25</v>
      </c>
      <c r="C56" s="186" t="s">
        <v>859</v>
      </c>
      <c r="D56" s="178" t="str">
        <f>COVER!B30</f>
        <v>WCB</v>
      </c>
      <c r="E56" s="148">
        <v>140</v>
      </c>
      <c r="F56" s="159">
        <f>IF(D56="WCB",4000,IF(D56="CF8M",9000))</f>
        <v>4000</v>
      </c>
      <c r="G56" s="159">
        <f>E56*F56</f>
        <v>560000</v>
      </c>
      <c r="H56" s="159"/>
      <c r="I56" s="160"/>
      <c r="J56" s="160"/>
      <c r="K56" s="160"/>
      <c r="L56" s="160"/>
      <c r="M56" s="160"/>
      <c r="N56" s="160"/>
      <c r="O56" s="160"/>
      <c r="P56" s="160"/>
      <c r="Q56" s="160"/>
      <c r="R56" s="160">
        <f>IF(D56="WCB",AA106,IF(D56="CF8M",AB106))</f>
        <v>90000</v>
      </c>
      <c r="S56" s="160">
        <f t="shared" si="1"/>
        <v>650000</v>
      </c>
      <c r="T56" s="224"/>
    </row>
    <row r="57" spans="1:31" s="19" customFormat="1" ht="33" customHeight="1">
      <c r="A57" s="376"/>
      <c r="B57" s="11">
        <v>26</v>
      </c>
      <c r="C57" s="175" t="s">
        <v>467</v>
      </c>
      <c r="D57" s="178" t="str">
        <f>COVER!B27</f>
        <v>316+NICKEL</v>
      </c>
      <c r="E57" s="148">
        <v>2</v>
      </c>
      <c r="F57" s="159">
        <f>IF(D57="316+NICKEL",Y101,IF(D57="B148 C95400",Z101))</f>
        <v>76000</v>
      </c>
      <c r="G57" s="159">
        <f>F57</f>
        <v>76000</v>
      </c>
      <c r="H57" s="159"/>
      <c r="I57" s="160"/>
      <c r="J57" s="160"/>
      <c r="K57" s="160"/>
      <c r="L57" s="160"/>
      <c r="M57" s="160"/>
      <c r="N57" s="160"/>
      <c r="O57" s="160"/>
      <c r="P57" s="160"/>
      <c r="Q57" s="160"/>
      <c r="R57" s="160">
        <v>0</v>
      </c>
      <c r="S57" s="160">
        <f t="shared" si="1"/>
        <v>76000</v>
      </c>
      <c r="T57" s="177" t="s">
        <v>1200</v>
      </c>
    </row>
    <row r="58" spans="1:31" s="19" customFormat="1" ht="33" customHeight="1">
      <c r="A58" s="376"/>
      <c r="B58" s="11">
        <v>27</v>
      </c>
      <c r="C58" s="175" t="s">
        <v>468</v>
      </c>
      <c r="D58" s="178" t="str">
        <f>COVER!B28</f>
        <v>316+NICKEL</v>
      </c>
      <c r="E58" s="148">
        <v>2</v>
      </c>
      <c r="F58" s="159">
        <f>IF(D58="316+NICKEL",Y102,IF(D58="B148 C95400",Z102))</f>
        <v>8200</v>
      </c>
      <c r="G58" s="159">
        <f>F58</f>
        <v>8200</v>
      </c>
      <c r="H58" s="159"/>
      <c r="I58" s="160"/>
      <c r="J58" s="160"/>
      <c r="K58" s="160"/>
      <c r="L58" s="160"/>
      <c r="M58" s="160"/>
      <c r="N58" s="160"/>
      <c r="O58" s="160"/>
      <c r="P58" s="160"/>
      <c r="Q58" s="160"/>
      <c r="R58" s="160">
        <v>0</v>
      </c>
      <c r="S58" s="160">
        <f t="shared" si="1"/>
        <v>8200</v>
      </c>
      <c r="T58" s="177" t="s">
        <v>1200</v>
      </c>
    </row>
    <row r="59" spans="1:31" s="19" customFormat="1" ht="33" customHeight="1">
      <c r="A59" s="376"/>
      <c r="B59" s="11">
        <v>28</v>
      </c>
      <c r="C59" s="142" t="s">
        <v>60</v>
      </c>
      <c r="D59" s="178" t="str">
        <f>COVER!B22</f>
        <v>B7(다크로)</v>
      </c>
      <c r="E59" s="148">
        <v>8</v>
      </c>
      <c r="F59" s="159">
        <f>IF(D59="B8",Y88,IF(D59="B8M",Z88,IF(D59="B7(다크로)",AA88)))</f>
        <v>12000</v>
      </c>
      <c r="G59" s="159">
        <f t="shared" si="10"/>
        <v>96000</v>
      </c>
      <c r="H59" s="159"/>
      <c r="I59" s="160">
        <v>0</v>
      </c>
      <c r="J59" s="160">
        <v>0</v>
      </c>
      <c r="K59" s="160">
        <v>0</v>
      </c>
      <c r="L59" s="160">
        <v>0</v>
      </c>
      <c r="M59" s="160">
        <v>0</v>
      </c>
      <c r="N59" s="160">
        <v>0</v>
      </c>
      <c r="O59" s="160">
        <v>0</v>
      </c>
      <c r="P59" s="160">
        <v>0</v>
      </c>
      <c r="Q59" s="160">
        <v>0</v>
      </c>
      <c r="R59" s="160">
        <v>0</v>
      </c>
      <c r="S59" s="160">
        <f t="shared" si="1"/>
        <v>96000</v>
      </c>
      <c r="T59" s="177"/>
    </row>
    <row r="60" spans="1:31" s="19" customFormat="1" ht="33" customHeight="1" thickBot="1">
      <c r="A60" s="376"/>
      <c r="B60" s="11">
        <v>29</v>
      </c>
      <c r="C60" s="12" t="s">
        <v>61</v>
      </c>
      <c r="D60" s="303" t="str">
        <f>COVER!B32</f>
        <v>외주 2COATING</v>
      </c>
      <c r="E60" s="13">
        <v>1</v>
      </c>
      <c r="F60" s="14">
        <f>IF(COVER!B10="APPLICATION",0,IF(D60="기존 단가",Y116,IF(D60="외주 2COATING",Z116,IF(D60="외주 3COATING",AA116))))</f>
        <v>0</v>
      </c>
      <c r="G60" s="14">
        <f t="shared" si="10"/>
        <v>0</v>
      </c>
      <c r="H60" s="14"/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f t="shared" si="1"/>
        <v>0</v>
      </c>
      <c r="T60" s="22"/>
    </row>
    <row r="61" spans="1:31" s="19" customFormat="1" ht="33" customHeight="1" thickTop="1" thickBot="1">
      <c r="A61" s="377"/>
      <c r="B61" s="11">
        <v>30</v>
      </c>
      <c r="C61" s="12" t="s">
        <v>62</v>
      </c>
      <c r="D61" s="303" t="str">
        <f>COVER!B33</f>
        <v>신규</v>
      </c>
      <c r="E61" s="13">
        <v>1</v>
      </c>
      <c r="F61" s="14">
        <f>IF(COVER!B10="APPLICATION",0,IF(D61="기존 단가",Y118,IF(D61="신규",Z118)))</f>
        <v>0</v>
      </c>
      <c r="G61" s="14">
        <f t="shared" si="10"/>
        <v>0</v>
      </c>
      <c r="H61" s="14"/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f t="shared" si="1"/>
        <v>0</v>
      </c>
      <c r="T61" s="22"/>
      <c r="U61" s="441" t="s">
        <v>220</v>
      </c>
      <c r="V61" s="441"/>
      <c r="W61" s="441"/>
    </row>
    <row r="62" spans="1:31" s="19" customFormat="1" ht="33" customHeight="1" thickTop="1" thickBot="1">
      <c r="A62" s="378" t="s">
        <v>221</v>
      </c>
      <c r="B62" s="379"/>
      <c r="C62" s="379"/>
      <c r="D62" s="379"/>
      <c r="E62" s="379"/>
      <c r="F62" s="380"/>
      <c r="G62" s="14">
        <f>IF(COVER!B10="APPLICATION",0,IF(D55="GEAR",Y120,IF(D55="MOTOR",Z120,IF(D55="PNEUMATIC",AA120))))</f>
        <v>0</v>
      </c>
      <c r="H62" s="14"/>
      <c r="I62" s="32" t="s">
        <v>38</v>
      </c>
      <c r="J62" s="32"/>
      <c r="K62" s="32"/>
      <c r="L62" s="32"/>
      <c r="M62" s="32"/>
      <c r="N62" s="32"/>
      <c r="O62" s="32"/>
      <c r="P62" s="32"/>
      <c r="Q62" s="32"/>
      <c r="R62" s="33"/>
      <c r="S62" s="33">
        <f t="shared" si="1"/>
        <v>0</v>
      </c>
      <c r="T62" s="253"/>
      <c r="U62" s="252" t="s">
        <v>222</v>
      </c>
      <c r="V62" s="51">
        <f>2200*1700*1600/10^9</f>
        <v>5.984</v>
      </c>
      <c r="W62" s="50">
        <f>V62*70000</f>
        <v>418880</v>
      </c>
      <c r="X62" s="19" t="s">
        <v>142</v>
      </c>
    </row>
    <row r="63" spans="1:31" s="19" customFormat="1" ht="33" customHeight="1" thickTop="1">
      <c r="A63" s="360" t="s">
        <v>223</v>
      </c>
      <c r="B63" s="361"/>
      <c r="C63" s="361"/>
      <c r="D63" s="361"/>
      <c r="E63" s="361"/>
      <c r="F63" s="362"/>
      <c r="G63" s="14"/>
      <c r="H63" s="14"/>
      <c r="I63" s="32"/>
      <c r="J63" s="32"/>
      <c r="K63" s="32"/>
      <c r="L63" s="32"/>
      <c r="M63" s="32"/>
      <c r="N63" s="32"/>
      <c r="O63" s="32"/>
      <c r="P63" s="32"/>
      <c r="Q63" s="32"/>
      <c r="R63" s="33"/>
      <c r="S63" s="33"/>
      <c r="T63" s="253" t="s">
        <v>1526</v>
      </c>
    </row>
    <row r="64" spans="1:31" s="19" customFormat="1" ht="33" customHeight="1">
      <c r="A64" s="378" t="s">
        <v>144</v>
      </c>
      <c r="B64" s="379"/>
      <c r="C64" s="379"/>
      <c r="D64" s="379"/>
      <c r="E64" s="379"/>
      <c r="F64" s="380"/>
      <c r="G64" s="93" t="s">
        <v>142</v>
      </c>
      <c r="H64" s="93"/>
      <c r="I64" s="32"/>
      <c r="J64" s="94"/>
      <c r="K64" s="94"/>
      <c r="L64" s="94"/>
      <c r="M64" s="94"/>
      <c r="N64" s="94"/>
      <c r="O64" s="94"/>
      <c r="P64" s="94"/>
      <c r="Q64" s="94"/>
      <c r="R64" s="94"/>
      <c r="S64" s="34">
        <f>SUM(S8:S63)</f>
        <v>19673368.5</v>
      </c>
      <c r="T64" s="254" t="s">
        <v>145</v>
      </c>
    </row>
    <row r="65" spans="1:32" s="19" customFormat="1" ht="33" customHeight="1">
      <c r="A65" s="378" t="s">
        <v>146</v>
      </c>
      <c r="B65" s="379"/>
      <c r="C65" s="379"/>
      <c r="D65" s="379"/>
      <c r="E65" s="379"/>
      <c r="F65" s="380"/>
      <c r="G65" s="32">
        <v>0.1</v>
      </c>
      <c r="H65" s="32"/>
      <c r="I65" s="32" t="s">
        <v>142</v>
      </c>
      <c r="J65" s="32"/>
      <c r="K65" s="32"/>
      <c r="L65" s="32"/>
      <c r="M65" s="32"/>
      <c r="N65" s="32"/>
      <c r="O65" s="32"/>
      <c r="P65" s="32"/>
      <c r="Q65" s="32"/>
      <c r="R65" s="32"/>
      <c r="S65" s="35">
        <f>S64*G65</f>
        <v>1967336.85</v>
      </c>
      <c r="T65" s="253"/>
    </row>
    <row r="66" spans="1:32" s="19" customFormat="1" ht="33" customHeight="1">
      <c r="A66" s="360" t="s">
        <v>224</v>
      </c>
      <c r="B66" s="361"/>
      <c r="C66" s="361"/>
      <c r="D66" s="361"/>
      <c r="E66" s="361"/>
      <c r="F66" s="362"/>
      <c r="G66" s="95">
        <v>0.1</v>
      </c>
      <c r="H66" s="95"/>
      <c r="I66" s="32" t="s">
        <v>142</v>
      </c>
      <c r="J66" s="32"/>
      <c r="K66" s="32"/>
      <c r="L66" s="32"/>
      <c r="M66" s="32"/>
      <c r="N66" s="32"/>
      <c r="O66" s="32"/>
      <c r="P66" s="32"/>
      <c r="Q66" s="32"/>
      <c r="R66" s="32"/>
      <c r="S66" s="35">
        <f>(S64+S65)*G66</f>
        <v>2164070.5350000001</v>
      </c>
      <c r="T66" s="253" t="s">
        <v>142</v>
      </c>
    </row>
    <row r="67" spans="1:32" s="19" customFormat="1" ht="33" customHeight="1">
      <c r="A67" s="363" t="s">
        <v>148</v>
      </c>
      <c r="B67" s="364"/>
      <c r="C67" s="364"/>
      <c r="D67" s="364"/>
      <c r="E67" s="364"/>
      <c r="F67" s="365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275">
        <f>S64+S65+S66</f>
        <v>23804775.885000002</v>
      </c>
      <c r="T67" s="254" t="s">
        <v>225</v>
      </c>
    </row>
    <row r="68" spans="1:32" s="19" customFormat="1" ht="33" customHeight="1">
      <c r="A68" s="366" t="s">
        <v>150</v>
      </c>
      <c r="B68" s="367"/>
      <c r="C68" s="367"/>
      <c r="D68" s="367"/>
      <c r="E68" s="367"/>
      <c r="F68" s="368"/>
      <c r="G68" s="32">
        <f>COVER!B11</f>
        <v>1.5</v>
      </c>
      <c r="H68" s="32"/>
      <c r="I68" s="32" t="s">
        <v>142</v>
      </c>
      <c r="J68" s="32"/>
      <c r="K68" s="32"/>
      <c r="L68" s="32"/>
      <c r="M68" s="32"/>
      <c r="N68" s="32"/>
      <c r="O68" s="32"/>
      <c r="P68" s="32"/>
      <c r="Q68" s="32"/>
      <c r="R68" s="32"/>
      <c r="S68" s="36">
        <f>S67*G68</f>
        <v>35707163.827500001</v>
      </c>
      <c r="T68" s="253"/>
    </row>
    <row r="69" spans="1:32" s="19" customFormat="1" ht="33" customHeight="1">
      <c r="A69" s="369" t="s">
        <v>151</v>
      </c>
      <c r="B69" s="370"/>
      <c r="C69" s="370"/>
      <c r="D69" s="370"/>
      <c r="E69" s="370"/>
      <c r="F69" s="370"/>
      <c r="G69" s="371"/>
      <c r="H69" s="37"/>
      <c r="I69" s="38"/>
      <c r="J69" s="38"/>
      <c r="K69" s="38"/>
      <c r="L69" s="38"/>
      <c r="M69" s="38"/>
      <c r="N69" s="38"/>
      <c r="O69" s="38"/>
      <c r="P69" s="38"/>
      <c r="Q69" s="38"/>
      <c r="R69" s="39" t="s">
        <v>152</v>
      </c>
      <c r="S69" s="40">
        <f>S68</f>
        <v>35707163.827500001</v>
      </c>
      <c r="T69" s="246" t="s">
        <v>226</v>
      </c>
      <c r="V69" s="141" t="s">
        <v>972</v>
      </c>
      <c r="W69" s="140"/>
      <c r="X69" s="140"/>
      <c r="Y69" s="140"/>
      <c r="Z69" s="140"/>
      <c r="AA69" s="140"/>
      <c r="AB69" s="140"/>
      <c r="AC69" s="140"/>
      <c r="AD69" s="140"/>
      <c r="AE69" s="140"/>
      <c r="AF69" s="140"/>
    </row>
    <row r="70" spans="1:32" s="19" customFormat="1" ht="33" customHeight="1" thickBot="1">
      <c r="A70" s="372"/>
      <c r="B70" s="373"/>
      <c r="C70" s="373"/>
      <c r="D70" s="373"/>
      <c r="E70" s="373"/>
      <c r="F70" s="373"/>
      <c r="G70" s="374"/>
      <c r="H70" s="41"/>
      <c r="I70" s="42"/>
      <c r="J70" s="42"/>
      <c r="K70" s="42"/>
      <c r="L70" s="42"/>
      <c r="M70" s="42"/>
      <c r="N70" s="42"/>
      <c r="O70" s="42"/>
      <c r="P70" s="42"/>
      <c r="Q70" s="42"/>
      <c r="R70" s="43" t="s">
        <v>227</v>
      </c>
      <c r="S70" s="43">
        <f>S64*G68</f>
        <v>29510052.75</v>
      </c>
      <c r="T70" s="247" t="s">
        <v>228</v>
      </c>
      <c r="V70" s="141" t="s">
        <v>1109</v>
      </c>
      <c r="W70" s="140"/>
      <c r="X70" s="140"/>
      <c r="Y70" s="140"/>
      <c r="Z70" s="140"/>
      <c r="AA70" s="140"/>
      <c r="AB70" s="140"/>
      <c r="AC70" s="140"/>
      <c r="AD70" s="140"/>
      <c r="AE70" s="140"/>
      <c r="AF70" s="140"/>
    </row>
    <row r="71" spans="1:32" ht="15" thickBot="1">
      <c r="V71" s="140"/>
      <c r="W71" s="140"/>
      <c r="X71" s="140"/>
      <c r="Y71" s="140"/>
      <c r="Z71" s="140"/>
      <c r="AA71" s="140"/>
      <c r="AB71" s="140"/>
      <c r="AC71" s="140"/>
      <c r="AD71" s="140"/>
      <c r="AE71" s="140"/>
      <c r="AF71" s="140"/>
    </row>
    <row r="72" spans="1:32" ht="21" thickBot="1">
      <c r="C72" s="44" t="s">
        <v>229</v>
      </c>
      <c r="V72" s="193" t="s">
        <v>863</v>
      </c>
      <c r="W72" s="194" t="s">
        <v>864</v>
      </c>
      <c r="X72" s="194" t="s">
        <v>865</v>
      </c>
      <c r="Y72" s="358" t="s">
        <v>866</v>
      </c>
      <c r="Z72" s="358"/>
      <c r="AA72" s="358"/>
      <c r="AB72" s="358"/>
      <c r="AC72" s="358"/>
      <c r="AD72" s="358"/>
      <c r="AE72" s="358"/>
      <c r="AF72" s="218" t="s">
        <v>867</v>
      </c>
    </row>
    <row r="73" spans="1:32" ht="20.399999999999999">
      <c r="C73" s="44" t="s">
        <v>156</v>
      </c>
      <c r="V73" s="336" t="s">
        <v>868</v>
      </c>
      <c r="W73" s="111" t="s">
        <v>869</v>
      </c>
      <c r="X73" s="220" t="s">
        <v>1110</v>
      </c>
      <c r="Y73" s="345" t="s">
        <v>870</v>
      </c>
      <c r="Z73" s="345"/>
      <c r="AA73" s="345"/>
      <c r="AB73" s="345"/>
      <c r="AC73" s="345"/>
      <c r="AD73" s="345"/>
      <c r="AE73" s="345"/>
      <c r="AF73" s="161" t="s">
        <v>871</v>
      </c>
    </row>
    <row r="74" spans="1:32" ht="21" thickBot="1">
      <c r="C74" s="44" t="s">
        <v>230</v>
      </c>
      <c r="V74" s="342"/>
      <c r="W74" s="133" t="s">
        <v>872</v>
      </c>
      <c r="X74" s="219" t="s">
        <v>1111</v>
      </c>
      <c r="Y74" s="346" t="s">
        <v>870</v>
      </c>
      <c r="Z74" s="346"/>
      <c r="AA74" s="346"/>
      <c r="AB74" s="346"/>
      <c r="AC74" s="346"/>
      <c r="AD74" s="346"/>
      <c r="AE74" s="346"/>
      <c r="AF74" s="195" t="s">
        <v>871</v>
      </c>
    </row>
    <row r="75" spans="1:32" ht="21" thickBot="1">
      <c r="C75" s="44" t="s">
        <v>158</v>
      </c>
      <c r="V75" s="196" t="s">
        <v>874</v>
      </c>
      <c r="W75" s="137" t="s">
        <v>875</v>
      </c>
      <c r="X75" s="137" t="s">
        <v>1112</v>
      </c>
      <c r="Y75" s="359" t="s">
        <v>870</v>
      </c>
      <c r="Z75" s="359"/>
      <c r="AA75" s="359"/>
      <c r="AB75" s="359"/>
      <c r="AC75" s="359"/>
      <c r="AD75" s="359"/>
      <c r="AE75" s="359"/>
      <c r="AF75" s="197" t="s">
        <v>871</v>
      </c>
    </row>
    <row r="76" spans="1:32" ht="20.399999999999999">
      <c r="C76" s="44" t="s">
        <v>231</v>
      </c>
      <c r="V76" s="336" t="s">
        <v>877</v>
      </c>
      <c r="W76" s="111" t="s">
        <v>846</v>
      </c>
      <c r="X76" s="354">
        <v>679700</v>
      </c>
      <c r="Y76" s="354"/>
      <c r="Z76" s="354"/>
      <c r="AA76" s="354"/>
      <c r="AB76" s="354"/>
      <c r="AC76" s="354"/>
      <c r="AD76" s="354"/>
      <c r="AE76" s="354"/>
      <c r="AF76" s="161"/>
    </row>
    <row r="77" spans="1:32" ht="21" thickBot="1">
      <c r="C77" s="44" t="s">
        <v>232</v>
      </c>
      <c r="V77" s="329"/>
      <c r="W77" s="125" t="s">
        <v>847</v>
      </c>
      <c r="X77" s="355">
        <v>951600</v>
      </c>
      <c r="Y77" s="355"/>
      <c r="Z77" s="355"/>
      <c r="AA77" s="355"/>
      <c r="AB77" s="355"/>
      <c r="AC77" s="355"/>
      <c r="AD77" s="355"/>
      <c r="AE77" s="355"/>
      <c r="AF77" s="208"/>
    </row>
    <row r="78" spans="1:32" ht="20.399999999999999">
      <c r="C78" s="44" t="s">
        <v>233</v>
      </c>
      <c r="V78" s="336" t="s">
        <v>878</v>
      </c>
      <c r="W78" s="338" t="s">
        <v>1113</v>
      </c>
      <c r="X78" s="340" t="s">
        <v>879</v>
      </c>
      <c r="Y78" s="171" t="s">
        <v>880</v>
      </c>
      <c r="Z78" s="171">
        <v>304</v>
      </c>
      <c r="AA78" s="171" t="s">
        <v>881</v>
      </c>
      <c r="AB78" s="171" t="s">
        <v>882</v>
      </c>
      <c r="AC78" s="171" t="s">
        <v>883</v>
      </c>
      <c r="AD78" s="171" t="s">
        <v>884</v>
      </c>
      <c r="AE78" s="171" t="s">
        <v>885</v>
      </c>
      <c r="AF78" s="172"/>
    </row>
    <row r="79" spans="1:32" ht="20.399999999999999">
      <c r="C79" s="45"/>
      <c r="V79" s="337"/>
      <c r="W79" s="339"/>
      <c r="X79" s="341"/>
      <c r="Y79" s="173">
        <v>1032500</v>
      </c>
      <c r="Z79" s="173">
        <v>748980</v>
      </c>
      <c r="AA79" s="173">
        <v>1374840</v>
      </c>
      <c r="AB79" s="173">
        <v>593245</v>
      </c>
      <c r="AC79" s="173">
        <v>1358090</v>
      </c>
      <c r="AD79" s="173">
        <v>1642706</v>
      </c>
      <c r="AE79" s="173">
        <v>4822000</v>
      </c>
      <c r="AF79" s="174" t="s">
        <v>886</v>
      </c>
    </row>
    <row r="80" spans="1:32" ht="21" thickBot="1">
      <c r="C80" s="44" t="s">
        <v>234</v>
      </c>
      <c r="V80" s="132" t="s">
        <v>887</v>
      </c>
      <c r="W80" s="202" t="s">
        <v>1114</v>
      </c>
      <c r="X80" s="133" t="s">
        <v>909</v>
      </c>
      <c r="Y80" s="134">
        <v>27440</v>
      </c>
      <c r="Z80" s="134">
        <v>19880</v>
      </c>
      <c r="AA80" s="134">
        <v>41540</v>
      </c>
      <c r="AB80" s="134">
        <v>17995</v>
      </c>
      <c r="AC80" s="134">
        <v>46230</v>
      </c>
      <c r="AD80" s="134">
        <v>54873</v>
      </c>
      <c r="AE80" s="134">
        <v>335110</v>
      </c>
      <c r="AF80" s="195" t="s">
        <v>889</v>
      </c>
    </row>
    <row r="81" spans="3:32" ht="20.399999999999999">
      <c r="C81" s="46" t="s">
        <v>235</v>
      </c>
      <c r="V81" s="331" t="s">
        <v>890</v>
      </c>
      <c r="W81" s="437" t="s">
        <v>1115</v>
      </c>
      <c r="X81" s="328" t="s">
        <v>879</v>
      </c>
      <c r="Y81" s="198">
        <v>304</v>
      </c>
      <c r="Z81" s="198" t="s">
        <v>880</v>
      </c>
      <c r="AA81" s="198" t="s">
        <v>892</v>
      </c>
      <c r="AB81" s="199"/>
      <c r="AC81" s="199"/>
      <c r="AD81" s="199"/>
      <c r="AE81" s="199"/>
      <c r="AF81" s="206"/>
    </row>
    <row r="82" spans="3:32" ht="21" thickBot="1">
      <c r="C82" s="46" t="s">
        <v>164</v>
      </c>
      <c r="V82" s="329"/>
      <c r="W82" s="438"/>
      <c r="X82" s="327"/>
      <c r="Y82" s="126">
        <v>444889</v>
      </c>
      <c r="Z82" s="126">
        <v>535514</v>
      </c>
      <c r="AA82" s="126">
        <v>132000</v>
      </c>
      <c r="AB82" s="200"/>
      <c r="AC82" s="200"/>
      <c r="AD82" s="200"/>
      <c r="AE82" s="200"/>
      <c r="AF82" s="208"/>
    </row>
    <row r="83" spans="3:32" ht="20.399999999999999">
      <c r="C83" s="46" t="s">
        <v>165</v>
      </c>
      <c r="V83" s="336" t="s">
        <v>893</v>
      </c>
      <c r="W83" s="435" t="s">
        <v>1116</v>
      </c>
      <c r="X83" s="345" t="s">
        <v>879</v>
      </c>
      <c r="Y83" s="111" t="s">
        <v>895</v>
      </c>
      <c r="Z83" s="111" t="s">
        <v>896</v>
      </c>
      <c r="AA83" s="201"/>
      <c r="AB83" s="201"/>
      <c r="AC83" s="201"/>
      <c r="AD83" s="201"/>
      <c r="AE83" s="201"/>
      <c r="AF83" s="161"/>
    </row>
    <row r="84" spans="3:32" ht="21" thickBot="1">
      <c r="C84" s="46" t="s">
        <v>236</v>
      </c>
      <c r="V84" s="342"/>
      <c r="W84" s="436"/>
      <c r="X84" s="346"/>
      <c r="Y84" s="296">
        <v>340200</v>
      </c>
      <c r="Z84" s="296">
        <v>300000</v>
      </c>
      <c r="AA84" s="203"/>
      <c r="AB84" s="203"/>
      <c r="AC84" s="203"/>
      <c r="AD84" s="203"/>
      <c r="AE84" s="203"/>
      <c r="AF84" s="195" t="s">
        <v>958</v>
      </c>
    </row>
    <row r="85" spans="3:32" ht="21" thickBot="1">
      <c r="C85" s="46" t="s">
        <v>237</v>
      </c>
      <c r="V85" s="170" t="s">
        <v>898</v>
      </c>
      <c r="W85" s="207" t="s">
        <v>1117</v>
      </c>
      <c r="X85" s="125" t="s">
        <v>903</v>
      </c>
      <c r="Y85" s="126">
        <v>60000</v>
      </c>
      <c r="Z85" s="200"/>
      <c r="AA85" s="200"/>
      <c r="AB85" s="200"/>
      <c r="AC85" s="200"/>
      <c r="AD85" s="200"/>
      <c r="AE85" s="200"/>
      <c r="AF85" s="208"/>
    </row>
    <row r="86" spans="3:32" ht="21" thickBot="1">
      <c r="C86" s="46" t="s">
        <v>238</v>
      </c>
      <c r="V86" s="193" t="s">
        <v>904</v>
      </c>
      <c r="W86" s="209" t="s">
        <v>1118</v>
      </c>
      <c r="X86" s="194" t="s">
        <v>903</v>
      </c>
      <c r="Y86" s="210">
        <v>5800</v>
      </c>
      <c r="Z86" s="211"/>
      <c r="AA86" s="211"/>
      <c r="AB86" s="211"/>
      <c r="AC86" s="211"/>
      <c r="AD86" s="211"/>
      <c r="AE86" s="211"/>
      <c r="AF86" s="218"/>
    </row>
    <row r="87" spans="3:32" ht="20.399999999999999">
      <c r="C87" s="46" t="s">
        <v>169</v>
      </c>
      <c r="V87" s="336" t="s">
        <v>906</v>
      </c>
      <c r="W87" s="345"/>
      <c r="X87" s="345"/>
      <c r="Y87" s="111" t="s">
        <v>853</v>
      </c>
      <c r="Z87" s="111" t="s">
        <v>854</v>
      </c>
      <c r="AA87" s="111" t="s">
        <v>855</v>
      </c>
      <c r="AB87" s="201"/>
      <c r="AC87" s="201"/>
      <c r="AD87" s="201"/>
      <c r="AE87" s="201"/>
      <c r="AF87" s="161"/>
    </row>
    <row r="88" spans="3:32" ht="20.399999999999999">
      <c r="C88" s="47" t="s">
        <v>170</v>
      </c>
      <c r="V88" s="119" t="s">
        <v>907</v>
      </c>
      <c r="W88" s="212" t="s">
        <v>1119</v>
      </c>
      <c r="X88" s="115" t="s">
        <v>1081</v>
      </c>
      <c r="Y88" s="116">
        <v>15000</v>
      </c>
      <c r="Z88" s="116">
        <v>21000</v>
      </c>
      <c r="AA88" s="116">
        <v>12000</v>
      </c>
      <c r="AB88" s="213"/>
      <c r="AC88" s="213"/>
      <c r="AD88" s="213"/>
      <c r="AE88" s="213"/>
      <c r="AF88" s="214" t="s">
        <v>910</v>
      </c>
    </row>
    <row r="89" spans="3:32" ht="20.399999999999999">
      <c r="C89" s="48"/>
      <c r="V89" s="119" t="s">
        <v>911</v>
      </c>
      <c r="W89" s="212" t="s">
        <v>1120</v>
      </c>
      <c r="X89" s="115" t="s">
        <v>915</v>
      </c>
      <c r="Y89" s="116">
        <v>31000</v>
      </c>
      <c r="Z89" s="116">
        <v>40000</v>
      </c>
      <c r="AA89" s="116">
        <v>20000</v>
      </c>
      <c r="AB89" s="213"/>
      <c r="AC89" s="213"/>
      <c r="AD89" s="213"/>
      <c r="AE89" s="213"/>
      <c r="AF89" s="214" t="s">
        <v>910</v>
      </c>
    </row>
    <row r="90" spans="3:32" ht="20.399999999999999">
      <c r="C90" s="46" t="s">
        <v>142</v>
      </c>
      <c r="V90" s="119" t="s">
        <v>913</v>
      </c>
      <c r="W90" s="212" t="s">
        <v>1067</v>
      </c>
      <c r="X90" s="115" t="s">
        <v>909</v>
      </c>
      <c r="Y90" s="116">
        <v>1200</v>
      </c>
      <c r="Z90" s="116">
        <v>2500</v>
      </c>
      <c r="AA90" s="116">
        <v>1000</v>
      </c>
      <c r="AB90" s="213"/>
      <c r="AC90" s="213"/>
      <c r="AD90" s="213"/>
      <c r="AE90" s="213"/>
      <c r="AF90" s="214" t="s">
        <v>910</v>
      </c>
    </row>
    <row r="91" spans="3:32" ht="20.399999999999999">
      <c r="C91" s="44" t="s">
        <v>171</v>
      </c>
      <c r="V91" s="119" t="s">
        <v>913</v>
      </c>
      <c r="W91" s="212" t="s">
        <v>1089</v>
      </c>
      <c r="X91" s="115" t="s">
        <v>1121</v>
      </c>
      <c r="Y91" s="116">
        <v>1200</v>
      </c>
      <c r="Z91" s="116">
        <v>2500</v>
      </c>
      <c r="AA91" s="116">
        <v>1000</v>
      </c>
      <c r="AB91" s="213"/>
      <c r="AC91" s="213"/>
      <c r="AD91" s="213"/>
      <c r="AE91" s="213"/>
      <c r="AF91" s="214" t="s">
        <v>910</v>
      </c>
    </row>
    <row r="92" spans="3:32" ht="20.399999999999999">
      <c r="C92" s="46" t="s">
        <v>239</v>
      </c>
      <c r="V92" s="119" t="s">
        <v>916</v>
      </c>
      <c r="W92" s="212" t="s">
        <v>1122</v>
      </c>
      <c r="X92" s="115" t="s">
        <v>915</v>
      </c>
      <c r="Y92" s="116">
        <v>3000</v>
      </c>
      <c r="Z92" s="116">
        <v>5500</v>
      </c>
      <c r="AA92" s="116">
        <v>2000</v>
      </c>
      <c r="AB92" s="213"/>
      <c r="AC92" s="213"/>
      <c r="AD92" s="213"/>
      <c r="AE92" s="213"/>
      <c r="AF92" s="214" t="s">
        <v>910</v>
      </c>
    </row>
    <row r="93" spans="3:32" ht="21" thickBot="1">
      <c r="C93" s="46" t="s">
        <v>240</v>
      </c>
      <c r="V93" s="170" t="s">
        <v>918</v>
      </c>
      <c r="W93" s="207" t="s">
        <v>1090</v>
      </c>
      <c r="X93" s="125" t="s">
        <v>1081</v>
      </c>
      <c r="Y93" s="126">
        <v>5000</v>
      </c>
      <c r="Z93" s="126">
        <v>6000</v>
      </c>
      <c r="AA93" s="126">
        <v>2500</v>
      </c>
      <c r="AB93" s="200"/>
      <c r="AC93" s="200"/>
      <c r="AD93" s="200"/>
      <c r="AE93" s="200"/>
      <c r="AF93" s="208" t="s">
        <v>910</v>
      </c>
    </row>
    <row r="94" spans="3:32" ht="18" thickBot="1">
      <c r="V94" s="105" t="s">
        <v>920</v>
      </c>
      <c r="W94" s="215" t="s">
        <v>1100</v>
      </c>
      <c r="X94" s="103" t="s">
        <v>879</v>
      </c>
      <c r="Y94" s="216">
        <v>234500</v>
      </c>
      <c r="Z94" s="217"/>
      <c r="AA94" s="217"/>
      <c r="AB94" s="217"/>
      <c r="AC94" s="217"/>
      <c r="AD94" s="217"/>
      <c r="AE94" s="217"/>
      <c r="AF94" s="107"/>
    </row>
    <row r="95" spans="3:32" ht="14.4">
      <c r="V95" s="336" t="s">
        <v>922</v>
      </c>
      <c r="W95" s="345"/>
      <c r="X95" s="345"/>
      <c r="Y95" s="111" t="s">
        <v>923</v>
      </c>
      <c r="Z95" s="111" t="s">
        <v>924</v>
      </c>
      <c r="AA95" s="201"/>
      <c r="AB95" s="201"/>
      <c r="AC95" s="201"/>
      <c r="AD95" s="201"/>
      <c r="AE95" s="201"/>
      <c r="AF95" s="161"/>
    </row>
    <row r="96" spans="3:32" s="228" customFormat="1" ht="17.399999999999999">
      <c r="C96" s="227"/>
      <c r="V96" s="170" t="s">
        <v>925</v>
      </c>
      <c r="W96" s="212" t="s">
        <v>1123</v>
      </c>
      <c r="X96" s="115" t="s">
        <v>879</v>
      </c>
      <c r="Y96" s="116">
        <f>('900-300LB'!Y96+'900-300LB'!Y97)*1.1</f>
        <v>729960.00000000012</v>
      </c>
      <c r="Z96" s="116">
        <f>('900-300LB'!Z96+'900-300LB'!Z97)*1.1</f>
        <v>337700</v>
      </c>
      <c r="AA96" s="213"/>
      <c r="AB96" s="213"/>
      <c r="AC96" s="213"/>
      <c r="AD96" s="213"/>
      <c r="AE96" s="213"/>
      <c r="AF96" s="214" t="s">
        <v>889</v>
      </c>
    </row>
    <row r="97" spans="3:32" s="228" customFormat="1" ht="17.399999999999999">
      <c r="C97" s="227"/>
      <c r="V97" s="170" t="s">
        <v>926</v>
      </c>
      <c r="W97" s="212" t="s">
        <v>1124</v>
      </c>
      <c r="X97" s="115" t="s">
        <v>879</v>
      </c>
      <c r="Y97" s="116">
        <f>('900-300LB'!Y98+'900-300LB'!Y99)*1.1</f>
        <v>775170.00000000012</v>
      </c>
      <c r="Z97" s="116">
        <f>('900-300LB'!Z98+'900-300LB'!Z99)*1.1</f>
        <v>378180.00000000006</v>
      </c>
      <c r="AA97" s="213"/>
      <c r="AB97" s="213"/>
      <c r="AC97" s="213"/>
      <c r="AD97" s="213"/>
      <c r="AE97" s="213"/>
      <c r="AF97" s="214" t="s">
        <v>889</v>
      </c>
    </row>
    <row r="98" spans="3:32" ht="17.399999999999999">
      <c r="V98" s="119" t="s">
        <v>927</v>
      </c>
      <c r="W98" s="212" t="s">
        <v>1125</v>
      </c>
      <c r="X98" s="115" t="s">
        <v>879</v>
      </c>
      <c r="Y98" s="116">
        <v>190000</v>
      </c>
      <c r="Z98" s="116">
        <v>238000</v>
      </c>
      <c r="AA98" s="213"/>
      <c r="AB98" s="213"/>
      <c r="AC98" s="213"/>
      <c r="AD98" s="213"/>
      <c r="AE98" s="213"/>
      <c r="AF98" s="214" t="s">
        <v>889</v>
      </c>
    </row>
    <row r="99" spans="3:32" ht="17.399999999999999">
      <c r="V99" s="119" t="s">
        <v>929</v>
      </c>
      <c r="W99" s="212" t="s">
        <v>1103</v>
      </c>
      <c r="X99" s="115" t="s">
        <v>879</v>
      </c>
      <c r="Y99" s="116">
        <v>44500</v>
      </c>
      <c r="Z99" s="116">
        <v>52400</v>
      </c>
      <c r="AA99" s="213"/>
      <c r="AB99" s="213"/>
      <c r="AC99" s="213"/>
      <c r="AD99" s="213"/>
      <c r="AE99" s="213"/>
      <c r="AF99" s="214" t="s">
        <v>889</v>
      </c>
    </row>
    <row r="100" spans="3:32" ht="17.399999999999999">
      <c r="V100" s="119" t="s">
        <v>931</v>
      </c>
      <c r="W100" s="212" t="s">
        <v>1126</v>
      </c>
      <c r="X100" s="115" t="s">
        <v>879</v>
      </c>
      <c r="Y100" s="116">
        <v>59000</v>
      </c>
      <c r="Z100" s="116">
        <v>48000</v>
      </c>
      <c r="AA100" s="213"/>
      <c r="AB100" s="213"/>
      <c r="AC100" s="213"/>
      <c r="AD100" s="213"/>
      <c r="AE100" s="213"/>
      <c r="AF100" s="214" t="s">
        <v>889</v>
      </c>
    </row>
    <row r="101" spans="3:32" ht="17.399999999999999">
      <c r="V101" s="119" t="s">
        <v>933</v>
      </c>
      <c r="W101" s="212" t="s">
        <v>1105</v>
      </c>
      <c r="X101" s="115" t="s">
        <v>888</v>
      </c>
      <c r="Y101" s="116">
        <v>76000</v>
      </c>
      <c r="Z101" s="116">
        <v>66000</v>
      </c>
      <c r="AA101" s="213"/>
      <c r="AB101" s="213"/>
      <c r="AC101" s="213"/>
      <c r="AD101" s="213"/>
      <c r="AE101" s="213"/>
      <c r="AF101" s="214" t="s">
        <v>889</v>
      </c>
    </row>
    <row r="102" spans="3:32" ht="18" thickBot="1">
      <c r="V102" s="132" t="s">
        <v>935</v>
      </c>
      <c r="W102" s="202" t="s">
        <v>1106</v>
      </c>
      <c r="X102" s="133" t="s">
        <v>888</v>
      </c>
      <c r="Y102" s="134">
        <v>8200</v>
      </c>
      <c r="Z102" s="134">
        <v>59200</v>
      </c>
      <c r="AA102" s="203"/>
      <c r="AB102" s="203"/>
      <c r="AC102" s="203"/>
      <c r="AD102" s="203"/>
      <c r="AE102" s="203"/>
      <c r="AF102" s="195" t="s">
        <v>889</v>
      </c>
    </row>
    <row r="103" spans="3:32" ht="14.4">
      <c r="V103" s="331" t="s">
        <v>937</v>
      </c>
      <c r="W103" s="437" t="s">
        <v>1107</v>
      </c>
      <c r="X103" s="328" t="s">
        <v>879</v>
      </c>
      <c r="Y103" s="198" t="s">
        <v>939</v>
      </c>
      <c r="Z103" s="198">
        <v>316</v>
      </c>
      <c r="AA103" s="198">
        <v>304</v>
      </c>
      <c r="AB103" s="199"/>
      <c r="AC103" s="199"/>
      <c r="AD103" s="199"/>
      <c r="AE103" s="199"/>
      <c r="AF103" s="347" t="s">
        <v>940</v>
      </c>
    </row>
    <row r="104" spans="3:32" ht="15" thickBot="1">
      <c r="V104" s="329"/>
      <c r="W104" s="438"/>
      <c r="X104" s="327"/>
      <c r="Y104" s="126">
        <v>30475</v>
      </c>
      <c r="Z104" s="126">
        <v>120450</v>
      </c>
      <c r="AA104" s="126">
        <v>90055</v>
      </c>
      <c r="AB104" s="200"/>
      <c r="AC104" s="200"/>
      <c r="AD104" s="200"/>
      <c r="AE104" s="200"/>
      <c r="AF104" s="348"/>
    </row>
    <row r="105" spans="3:32" ht="14.4">
      <c r="V105" s="336" t="s">
        <v>985</v>
      </c>
      <c r="W105" s="435" t="s">
        <v>1127</v>
      </c>
      <c r="X105" s="111" t="s">
        <v>986</v>
      </c>
      <c r="Y105" s="111" t="s">
        <v>987</v>
      </c>
      <c r="Z105" s="111" t="s">
        <v>988</v>
      </c>
      <c r="AA105" s="111" t="s">
        <v>989</v>
      </c>
      <c r="AB105" s="111" t="s">
        <v>990</v>
      </c>
      <c r="AC105" s="201"/>
      <c r="AD105" s="201"/>
      <c r="AE105" s="201"/>
      <c r="AF105" s="347" t="s">
        <v>991</v>
      </c>
    </row>
    <row r="106" spans="3:32" ht="15" thickBot="1">
      <c r="V106" s="342"/>
      <c r="W106" s="436"/>
      <c r="X106" s="221">
        <v>140</v>
      </c>
      <c r="Y106" s="433" t="s">
        <v>870</v>
      </c>
      <c r="Z106" s="434"/>
      <c r="AA106" s="134">
        <v>90000</v>
      </c>
      <c r="AB106" s="134">
        <v>120000</v>
      </c>
      <c r="AC106" s="203"/>
      <c r="AD106" s="203"/>
      <c r="AE106" s="203"/>
      <c r="AF106" s="348"/>
    </row>
    <row r="114" spans="22:32" ht="13.8" thickBot="1"/>
    <row r="115" spans="22:32" ht="30" customHeight="1">
      <c r="V115" s="336" t="s">
        <v>1516</v>
      </c>
      <c r="W115" s="338"/>
      <c r="X115" s="340"/>
      <c r="Y115" s="171" t="s">
        <v>1517</v>
      </c>
      <c r="Z115" s="171" t="s">
        <v>1518</v>
      </c>
      <c r="AA115" s="171" t="s">
        <v>1519</v>
      </c>
      <c r="AB115" s="171"/>
      <c r="AC115" s="171"/>
      <c r="AD115" s="171"/>
      <c r="AE115" s="171"/>
      <c r="AF115" s="172"/>
    </row>
    <row r="116" spans="22:32" ht="30" customHeight="1" thickBot="1">
      <c r="V116" s="337"/>
      <c r="W116" s="339"/>
      <c r="X116" s="341"/>
      <c r="Y116" s="173">
        <v>24000</v>
      </c>
      <c r="Z116" s="173">
        <f>IF(F8&gt;0,E8*520,IF(F9&gt;0,E9*520))</f>
        <v>737880.00000000012</v>
      </c>
      <c r="AA116" s="173">
        <f>IF(F8&gt;0,E8*620,IF(F9&gt;0,E9*620))</f>
        <v>879780.00000000012</v>
      </c>
      <c r="AB116" s="173"/>
      <c r="AC116" s="173"/>
      <c r="AD116" s="173"/>
      <c r="AE116" s="173"/>
      <c r="AF116" s="174"/>
    </row>
    <row r="117" spans="22:32" ht="30" customHeight="1">
      <c r="V117" s="336" t="s">
        <v>1520</v>
      </c>
      <c r="W117" s="338"/>
      <c r="X117" s="340"/>
      <c r="Y117" s="171" t="s">
        <v>1517</v>
      </c>
      <c r="Z117" s="171" t="s">
        <v>1521</v>
      </c>
      <c r="AA117" s="171"/>
      <c r="AB117" s="171"/>
      <c r="AC117" s="171"/>
      <c r="AD117" s="171"/>
      <c r="AE117" s="171"/>
      <c r="AF117" s="172"/>
    </row>
    <row r="118" spans="22:32" ht="30" customHeight="1" thickBot="1">
      <c r="V118" s="337"/>
      <c r="W118" s="339"/>
      <c r="X118" s="341"/>
      <c r="Y118" s="173"/>
      <c r="Z118" s="173">
        <f>Y118</f>
        <v>0</v>
      </c>
      <c r="AA118" s="173"/>
      <c r="AB118" s="173"/>
      <c r="AC118" s="173"/>
      <c r="AD118" s="173"/>
      <c r="AE118" s="173"/>
      <c r="AF118" s="174"/>
    </row>
    <row r="119" spans="22:32" ht="30" customHeight="1">
      <c r="V119" s="336" t="s">
        <v>1522</v>
      </c>
      <c r="W119" s="338"/>
      <c r="X119" s="340"/>
      <c r="Y119" s="171" t="s">
        <v>1523</v>
      </c>
      <c r="Z119" s="171" t="s">
        <v>1524</v>
      </c>
      <c r="AA119" s="171" t="s">
        <v>1525</v>
      </c>
      <c r="AB119" s="171"/>
      <c r="AC119" s="171"/>
      <c r="AD119" s="171"/>
      <c r="AE119" s="171"/>
      <c r="AF119" s="172"/>
    </row>
    <row r="120" spans="22:32" ht="30" customHeight="1">
      <c r="V120" s="337"/>
      <c r="W120" s="339"/>
      <c r="X120" s="341"/>
      <c r="Y120" s="306"/>
      <c r="Z120" s="306"/>
      <c r="AA120" s="173"/>
      <c r="AB120" s="173"/>
      <c r="AC120" s="173"/>
      <c r="AD120" s="173"/>
      <c r="AE120" s="173"/>
      <c r="AF120" s="174"/>
    </row>
  </sheetData>
  <mergeCells count="66">
    <mergeCell ref="A66:F66"/>
    <mergeCell ref="A67:F67"/>
    <mergeCell ref="A68:F68"/>
    <mergeCell ref="A69:G70"/>
    <mergeCell ref="A8:A61"/>
    <mergeCell ref="U61:W61"/>
    <mergeCell ref="A62:F62"/>
    <mergeCell ref="A63:F63"/>
    <mergeCell ref="A64:F64"/>
    <mergeCell ref="A65:F65"/>
    <mergeCell ref="T3:T7"/>
    <mergeCell ref="A5:B7"/>
    <mergeCell ref="C5:C7"/>
    <mergeCell ref="D5:D7"/>
    <mergeCell ref="E5:G6"/>
    <mergeCell ref="H5:H6"/>
    <mergeCell ref="I5:Q5"/>
    <mergeCell ref="R5:R7"/>
    <mergeCell ref="S5:S7"/>
    <mergeCell ref="A1:S1"/>
    <mergeCell ref="A3:B4"/>
    <mergeCell ref="C3:C4"/>
    <mergeCell ref="D3:D4"/>
    <mergeCell ref="E3:E4"/>
    <mergeCell ref="F3:F4"/>
    <mergeCell ref="G3:G4"/>
    <mergeCell ref="H3:Q4"/>
    <mergeCell ref="R3:R4"/>
    <mergeCell ref="S3:S4"/>
    <mergeCell ref="Y72:AE72"/>
    <mergeCell ref="V73:V74"/>
    <mergeCell ref="Y73:AE73"/>
    <mergeCell ref="Y74:AE74"/>
    <mergeCell ref="Y75:AE75"/>
    <mergeCell ref="X83:X84"/>
    <mergeCell ref="V76:V77"/>
    <mergeCell ref="X76:AE76"/>
    <mergeCell ref="X77:AE77"/>
    <mergeCell ref="V78:V79"/>
    <mergeCell ref="W78:W79"/>
    <mergeCell ref="X78:X79"/>
    <mergeCell ref="V3:V7"/>
    <mergeCell ref="AF103:AF104"/>
    <mergeCell ref="V105:V106"/>
    <mergeCell ref="W105:W106"/>
    <mergeCell ref="AF105:AF106"/>
    <mergeCell ref="Y106:Z106"/>
    <mergeCell ref="V87:X87"/>
    <mergeCell ref="V95:X95"/>
    <mergeCell ref="V103:V104"/>
    <mergeCell ref="W103:W104"/>
    <mergeCell ref="X103:X104"/>
    <mergeCell ref="V81:V82"/>
    <mergeCell ref="W81:W82"/>
    <mergeCell ref="X81:X82"/>
    <mergeCell ref="V83:V84"/>
    <mergeCell ref="W83:W84"/>
    <mergeCell ref="V119:V120"/>
    <mergeCell ref="W119:W120"/>
    <mergeCell ref="X119:X120"/>
    <mergeCell ref="V115:V116"/>
    <mergeCell ref="W115:W116"/>
    <mergeCell ref="X115:X116"/>
    <mergeCell ref="V117:V118"/>
    <mergeCell ref="W117:W118"/>
    <mergeCell ref="X117:X118"/>
  </mergeCells>
  <phoneticPr fontId="3" type="noConversion"/>
  <printOptions horizontalCentered="1"/>
  <pageMargins left="0.39370078740157483" right="0.39370078740157483" top="0.39370078740157483" bottom="0.15748031496062992" header="0.51181102362204722" footer="0.51181102362204722"/>
  <pageSetup paperSize="9" scale="45" orientation="portrait" r:id="rId1"/>
  <headerFooter alignWithMargins="0"/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FF00"/>
  </sheetPr>
  <dimension ref="A1:AF120"/>
  <sheetViews>
    <sheetView showGridLines="0" view="pageBreakPreview" topLeftCell="A86" zoomScale="70" zoomScaleNormal="55" zoomScaleSheetLayoutView="70" workbookViewId="0">
      <selection activeCell="Y116" sqref="Y116"/>
    </sheetView>
  </sheetViews>
  <sheetFormatPr defaultColWidth="8.8984375" defaultRowHeight="13.2"/>
  <cols>
    <col min="1" max="1" width="3.3984375" style="3" customWidth="1"/>
    <col min="2" max="2" width="9.5" style="3" customWidth="1"/>
    <col min="3" max="3" width="25.19921875" style="49" customWidth="1"/>
    <col min="4" max="5" width="13.09765625" style="3" customWidth="1"/>
    <col min="6" max="7" width="15.09765625" style="3" customWidth="1"/>
    <col min="8" max="8" width="15.09765625" style="3" hidden="1" customWidth="1"/>
    <col min="9" max="17" width="15.69921875" style="3" hidden="1" customWidth="1"/>
    <col min="18" max="18" width="15.69921875" style="3" customWidth="1"/>
    <col min="19" max="19" width="26.8984375" style="3" customWidth="1"/>
    <col min="20" max="20" width="30.09765625" style="3" customWidth="1"/>
    <col min="21" max="21" width="14.5" style="3" bestFit="1" customWidth="1"/>
    <col min="22" max="22" width="48.69921875" style="3" bestFit="1" customWidth="1"/>
    <col min="23" max="23" width="45.8984375" style="3" bestFit="1" customWidth="1"/>
    <col min="24" max="24" width="10.5" style="3" bestFit="1" customWidth="1"/>
    <col min="25" max="25" width="12.69921875" style="3" bestFit="1" customWidth="1"/>
    <col min="26" max="26" width="14" style="3" bestFit="1" customWidth="1"/>
    <col min="27" max="27" width="12.5" style="3" bestFit="1" customWidth="1"/>
    <col min="28" max="28" width="13" style="3" bestFit="1" customWidth="1"/>
    <col min="29" max="30" width="11.5" style="3" bestFit="1" customWidth="1"/>
    <col min="31" max="31" width="14.59765625" style="3" bestFit="1" customWidth="1"/>
    <col min="32" max="32" width="18.3984375" style="3" bestFit="1" customWidth="1"/>
    <col min="33" max="16384" width="8.8984375" style="3"/>
  </cols>
  <sheetData>
    <row r="1" spans="1:20" s="2" customFormat="1" ht="51" customHeight="1" thickBot="1">
      <c r="A1" s="411" t="s">
        <v>1312</v>
      </c>
      <c r="B1" s="412"/>
      <c r="C1" s="412"/>
      <c r="D1" s="412"/>
      <c r="E1" s="412"/>
      <c r="F1" s="412"/>
      <c r="G1" s="412"/>
      <c r="H1" s="412"/>
      <c r="I1" s="412"/>
      <c r="J1" s="412"/>
      <c r="K1" s="412"/>
      <c r="L1" s="412"/>
      <c r="M1" s="412"/>
      <c r="N1" s="412"/>
      <c r="O1" s="412"/>
      <c r="P1" s="412"/>
      <c r="Q1" s="412"/>
      <c r="R1" s="412"/>
      <c r="S1" s="412"/>
      <c r="T1" s="1"/>
    </row>
    <row r="2" spans="1:20" s="2" customFormat="1" ht="30" customHeight="1" thickBot="1">
      <c r="A2" s="3"/>
      <c r="B2" s="3"/>
      <c r="T2" s="4" t="s">
        <v>174</v>
      </c>
    </row>
    <row r="3" spans="1:20" s="5" customFormat="1" ht="24" customHeight="1">
      <c r="A3" s="413" t="s">
        <v>175</v>
      </c>
      <c r="B3" s="414"/>
      <c r="C3" s="417" t="s">
        <v>241</v>
      </c>
      <c r="D3" s="419" t="s">
        <v>242</v>
      </c>
      <c r="E3" s="421" t="s">
        <v>1313</v>
      </c>
      <c r="F3" s="423" t="s">
        <v>243</v>
      </c>
      <c r="G3" s="425" t="str">
        <f>COVER!B9</f>
        <v>FLANGE</v>
      </c>
      <c r="H3" s="421" t="s">
        <v>244</v>
      </c>
      <c r="I3" s="427"/>
      <c r="J3" s="427"/>
      <c r="K3" s="427"/>
      <c r="L3" s="427"/>
      <c r="M3" s="427"/>
      <c r="N3" s="427"/>
      <c r="O3" s="427"/>
      <c r="P3" s="427"/>
      <c r="Q3" s="428"/>
      <c r="R3" s="423" t="s">
        <v>178</v>
      </c>
      <c r="S3" s="431" t="s">
        <v>179</v>
      </c>
      <c r="T3" s="381" t="s">
        <v>180</v>
      </c>
    </row>
    <row r="4" spans="1:20" s="5" customFormat="1" ht="24" customHeight="1">
      <c r="A4" s="415"/>
      <c r="B4" s="416"/>
      <c r="C4" s="418"/>
      <c r="D4" s="420"/>
      <c r="E4" s="422"/>
      <c r="F4" s="424"/>
      <c r="G4" s="426"/>
      <c r="H4" s="422"/>
      <c r="I4" s="429"/>
      <c r="J4" s="429"/>
      <c r="K4" s="429"/>
      <c r="L4" s="429"/>
      <c r="M4" s="429"/>
      <c r="N4" s="429"/>
      <c r="O4" s="429"/>
      <c r="P4" s="429"/>
      <c r="Q4" s="430"/>
      <c r="R4" s="424"/>
      <c r="S4" s="410"/>
      <c r="T4" s="382"/>
    </row>
    <row r="5" spans="1:20" s="5" customFormat="1" ht="24" customHeight="1">
      <c r="A5" s="384" t="s">
        <v>245</v>
      </c>
      <c r="B5" s="385"/>
      <c r="C5" s="390" t="s">
        <v>182</v>
      </c>
      <c r="D5" s="393" t="s">
        <v>183</v>
      </c>
      <c r="E5" s="396" t="s">
        <v>184</v>
      </c>
      <c r="F5" s="397"/>
      <c r="G5" s="398"/>
      <c r="H5" s="402" t="s">
        <v>246</v>
      </c>
      <c r="I5" s="404" t="s">
        <v>247</v>
      </c>
      <c r="J5" s="405"/>
      <c r="K5" s="405"/>
      <c r="L5" s="405"/>
      <c r="M5" s="405"/>
      <c r="N5" s="405"/>
      <c r="O5" s="405"/>
      <c r="P5" s="405"/>
      <c r="Q5" s="405"/>
      <c r="R5" s="406" t="s">
        <v>248</v>
      </c>
      <c r="S5" s="408" t="s">
        <v>249</v>
      </c>
      <c r="T5" s="382"/>
    </row>
    <row r="6" spans="1:20" s="5" customFormat="1" ht="24" customHeight="1">
      <c r="A6" s="386"/>
      <c r="B6" s="387"/>
      <c r="C6" s="391"/>
      <c r="D6" s="394"/>
      <c r="E6" s="399"/>
      <c r="F6" s="400"/>
      <c r="G6" s="401"/>
      <c r="H6" s="403"/>
      <c r="I6" s="8" t="s">
        <v>152</v>
      </c>
      <c r="J6" s="8" t="s">
        <v>250</v>
      </c>
      <c r="K6" s="8" t="s">
        <v>189</v>
      </c>
      <c r="L6" s="9" t="s">
        <v>251</v>
      </c>
      <c r="M6" s="9" t="s">
        <v>252</v>
      </c>
      <c r="N6" s="8" t="s">
        <v>253</v>
      </c>
      <c r="O6" s="8" t="s">
        <v>191</v>
      </c>
      <c r="P6" s="8" t="s">
        <v>192</v>
      </c>
      <c r="Q6" s="10" t="s">
        <v>254</v>
      </c>
      <c r="R6" s="407"/>
      <c r="S6" s="409"/>
      <c r="T6" s="382"/>
    </row>
    <row r="7" spans="1:20" ht="24" customHeight="1">
      <c r="A7" s="388"/>
      <c r="B7" s="389"/>
      <c r="C7" s="392"/>
      <c r="D7" s="395"/>
      <c r="E7" s="8" t="s">
        <v>255</v>
      </c>
      <c r="F7" s="8" t="s">
        <v>256</v>
      </c>
      <c r="G7" s="8" t="s">
        <v>257</v>
      </c>
      <c r="H7" s="8"/>
      <c r="I7" s="8" t="s">
        <v>258</v>
      </c>
      <c r="J7" s="8" t="s">
        <v>259</v>
      </c>
      <c r="K7" s="8" t="s">
        <v>260</v>
      </c>
      <c r="L7" s="9" t="s">
        <v>261</v>
      </c>
      <c r="M7" s="9" t="s">
        <v>262</v>
      </c>
      <c r="N7" s="8" t="s">
        <v>198</v>
      </c>
      <c r="O7" s="8" t="s">
        <v>199</v>
      </c>
      <c r="P7" s="8" t="s">
        <v>263</v>
      </c>
      <c r="Q7" s="10" t="s">
        <v>264</v>
      </c>
      <c r="R7" s="403"/>
      <c r="S7" s="410"/>
      <c r="T7" s="383"/>
    </row>
    <row r="8" spans="1:20" ht="33" customHeight="1">
      <c r="A8" s="375" t="s">
        <v>201</v>
      </c>
      <c r="B8" s="11">
        <v>1</v>
      </c>
      <c r="C8" s="142" t="str">
        <f>COVER!A14</f>
        <v>BODY(LUG)</v>
      </c>
      <c r="D8" s="260">
        <f>COVER!B14</f>
        <v>0</v>
      </c>
      <c r="E8" s="307" t="s">
        <v>1173</v>
      </c>
      <c r="F8" s="308">
        <f>COVER!C14</f>
        <v>0</v>
      </c>
      <c r="G8" s="308">
        <v>0</v>
      </c>
      <c r="H8" s="308"/>
      <c r="I8" s="245">
        <f>I10*I9</f>
        <v>506706621524695.19</v>
      </c>
      <c r="J8" s="245">
        <f t="shared" ref="J8:Q9" si="0">J10*J9</f>
        <v>43341753052405.07</v>
      </c>
      <c r="K8" s="245">
        <f t="shared" si="0"/>
        <v>270470072536680.25</v>
      </c>
      <c r="L8" s="245">
        <f t="shared" si="0"/>
        <v>506706621524695.19</v>
      </c>
      <c r="M8" s="245">
        <f t="shared" si="0"/>
        <v>632417344857819.5</v>
      </c>
      <c r="N8" s="245">
        <f t="shared" si="0"/>
        <v>46528628303586.25</v>
      </c>
      <c r="O8" s="245">
        <f t="shared" si="0"/>
        <v>0</v>
      </c>
      <c r="P8" s="245">
        <f t="shared" si="0"/>
        <v>0</v>
      </c>
      <c r="Q8" s="245">
        <f t="shared" si="0"/>
        <v>10000000000000</v>
      </c>
      <c r="R8" s="245">
        <v>0</v>
      </c>
      <c r="S8" s="245">
        <f>G8+R8</f>
        <v>0</v>
      </c>
      <c r="T8" s="309" t="s">
        <v>1171</v>
      </c>
    </row>
    <row r="9" spans="1:20" ht="33" customHeight="1">
      <c r="A9" s="376"/>
      <c r="B9" s="146" t="s">
        <v>1167</v>
      </c>
      <c r="C9" s="142" t="str">
        <f>COVER!A15</f>
        <v>BODY(FLANGE)</v>
      </c>
      <c r="D9" s="20" t="str">
        <f>COVER!B15</f>
        <v>A216 WCB</v>
      </c>
      <c r="E9" s="13">
        <v>1566</v>
      </c>
      <c r="F9" s="14">
        <f>COVER!C15</f>
        <v>4300</v>
      </c>
      <c r="G9" s="14">
        <f>F9*E9</f>
        <v>6733800</v>
      </c>
      <c r="H9" s="14"/>
      <c r="I9" s="15">
        <f>I11*I10</f>
        <v>13693182184.900002</v>
      </c>
      <c r="J9" s="15">
        <f t="shared" si="0"/>
        <v>2658301984.9000001</v>
      </c>
      <c r="K9" s="15">
        <f t="shared" si="0"/>
        <v>9010443027.6000004</v>
      </c>
      <c r="L9" s="15">
        <f t="shared" si="0"/>
        <v>13693182184.900002</v>
      </c>
      <c r="M9" s="15">
        <f t="shared" si="0"/>
        <v>15873371539.6</v>
      </c>
      <c r="N9" s="15">
        <f t="shared" si="0"/>
        <v>2787063302.5</v>
      </c>
      <c r="O9" s="15">
        <f t="shared" si="0"/>
        <v>0</v>
      </c>
      <c r="P9" s="15">
        <f t="shared" si="0"/>
        <v>0</v>
      </c>
      <c r="Q9" s="15">
        <f t="shared" si="0"/>
        <v>1000000000</v>
      </c>
      <c r="R9" s="15">
        <f>IF(COVER!C15&gt;0,1050000*1.2)</f>
        <v>1260000</v>
      </c>
      <c r="S9" s="15">
        <f t="shared" ref="S9:S62" si="1">G9+R9</f>
        <v>7993800</v>
      </c>
      <c r="T9" s="309" t="s">
        <v>1169</v>
      </c>
    </row>
    <row r="10" spans="1:20" ht="33" hidden="1" customHeight="1">
      <c r="A10" s="376"/>
      <c r="B10" s="11"/>
      <c r="C10" s="142"/>
      <c r="D10" s="20"/>
      <c r="E10" s="13"/>
      <c r="F10" s="14"/>
      <c r="G10" s="14"/>
      <c r="H10" s="14" t="s">
        <v>265</v>
      </c>
      <c r="I10" s="15">
        <f t="shared" ref="I10:Q10" si="2">I11/10</f>
        <v>37004.300000000003</v>
      </c>
      <c r="J10" s="15">
        <f t="shared" si="2"/>
        <v>16304.3</v>
      </c>
      <c r="K10" s="15">
        <f t="shared" si="2"/>
        <v>30017.4</v>
      </c>
      <c r="L10" s="15">
        <f t="shared" si="2"/>
        <v>37004.300000000003</v>
      </c>
      <c r="M10" s="15">
        <f t="shared" si="2"/>
        <v>39841.4</v>
      </c>
      <c r="N10" s="15">
        <f t="shared" si="2"/>
        <v>16694.5</v>
      </c>
      <c r="O10" s="15">
        <f t="shared" si="2"/>
        <v>0</v>
      </c>
      <c r="P10" s="15">
        <f t="shared" si="2"/>
        <v>0</v>
      </c>
      <c r="Q10" s="15">
        <f t="shared" si="2"/>
        <v>10000</v>
      </c>
      <c r="R10" s="15"/>
      <c r="S10" s="15">
        <f t="shared" si="1"/>
        <v>0</v>
      </c>
      <c r="T10" s="16"/>
    </row>
    <row r="11" spans="1:20" ht="33" hidden="1" customHeight="1">
      <c r="A11" s="376"/>
      <c r="B11" s="11"/>
      <c r="C11" s="142"/>
      <c r="D11" s="20"/>
      <c r="E11" s="13"/>
      <c r="F11" s="14"/>
      <c r="G11" s="14"/>
      <c r="H11" s="17" t="s">
        <v>266</v>
      </c>
      <c r="I11" s="15">
        <v>370043</v>
      </c>
      <c r="J11" s="15">
        <v>163043</v>
      </c>
      <c r="K11" s="15">
        <v>300174</v>
      </c>
      <c r="L11" s="15">
        <v>370043</v>
      </c>
      <c r="M11" s="15">
        <v>398414</v>
      </c>
      <c r="N11" s="15">
        <v>166945</v>
      </c>
      <c r="O11" s="15">
        <v>0</v>
      </c>
      <c r="P11" s="15">
        <v>0</v>
      </c>
      <c r="Q11" s="15">
        <v>100000</v>
      </c>
      <c r="R11" s="15"/>
      <c r="S11" s="15">
        <f t="shared" si="1"/>
        <v>0</v>
      </c>
      <c r="T11" s="16"/>
    </row>
    <row r="12" spans="1:20" s="19" customFormat="1" ht="33" customHeight="1">
      <c r="A12" s="376"/>
      <c r="B12" s="11">
        <v>2</v>
      </c>
      <c r="C12" s="142" t="s">
        <v>267</v>
      </c>
      <c r="D12" s="20" t="str">
        <f>COVER!B16</f>
        <v>A216 WCB</v>
      </c>
      <c r="E12" s="13">
        <v>868</v>
      </c>
      <c r="F12" s="14">
        <f>COVER!C16</f>
        <v>4300</v>
      </c>
      <c r="G12" s="14">
        <f>F12*E12</f>
        <v>3732400</v>
      </c>
      <c r="H12" s="14"/>
      <c r="I12" s="15">
        <f>I13*I14</f>
        <v>111012.90000000001</v>
      </c>
      <c r="J12" s="15">
        <f t="shared" ref="J12:Q12" si="3">J13*J14</f>
        <v>0</v>
      </c>
      <c r="K12" s="15">
        <f t="shared" si="3"/>
        <v>60034.8</v>
      </c>
      <c r="L12" s="15">
        <f t="shared" si="3"/>
        <v>111012.90000000001</v>
      </c>
      <c r="M12" s="15">
        <f t="shared" si="3"/>
        <v>0</v>
      </c>
      <c r="N12" s="15">
        <f t="shared" si="3"/>
        <v>0</v>
      </c>
      <c r="O12" s="15">
        <f t="shared" si="3"/>
        <v>0</v>
      </c>
      <c r="P12" s="15">
        <f t="shared" si="3"/>
        <v>0</v>
      </c>
      <c r="Q12" s="15">
        <f t="shared" si="3"/>
        <v>4000</v>
      </c>
      <c r="R12" s="15">
        <v>724500</v>
      </c>
      <c r="S12" s="15">
        <f t="shared" si="1"/>
        <v>4456900</v>
      </c>
      <c r="T12" s="18"/>
    </row>
    <row r="13" spans="1:20" s="19" customFormat="1" ht="33" hidden="1" customHeight="1">
      <c r="A13" s="376"/>
      <c r="B13" s="11"/>
      <c r="C13" s="142"/>
      <c r="D13" s="20"/>
      <c r="E13" s="13"/>
      <c r="F13" s="14"/>
      <c r="G13" s="14"/>
      <c r="H13" s="17" t="s">
        <v>123</v>
      </c>
      <c r="I13" s="21">
        <v>3</v>
      </c>
      <c r="J13" s="21">
        <v>0</v>
      </c>
      <c r="K13" s="21">
        <v>2</v>
      </c>
      <c r="L13" s="21">
        <v>3</v>
      </c>
      <c r="M13" s="21">
        <v>0</v>
      </c>
      <c r="N13" s="21">
        <v>0</v>
      </c>
      <c r="O13" s="21"/>
      <c r="P13" s="21"/>
      <c r="Q13" s="21">
        <v>0.4</v>
      </c>
      <c r="R13" s="15"/>
      <c r="S13" s="15">
        <f t="shared" si="1"/>
        <v>0</v>
      </c>
      <c r="T13" s="22"/>
    </row>
    <row r="14" spans="1:20" s="19" customFormat="1" ht="33" hidden="1" customHeight="1">
      <c r="A14" s="376"/>
      <c r="B14" s="11"/>
      <c r="C14" s="142"/>
      <c r="D14" s="20"/>
      <c r="E14" s="13"/>
      <c r="F14" s="14"/>
      <c r="G14" s="14"/>
      <c r="H14" s="14" t="s">
        <v>265</v>
      </c>
      <c r="I14" s="15">
        <f>I15/10</f>
        <v>37004.300000000003</v>
      </c>
      <c r="J14" s="15">
        <f t="shared" ref="J14:Q14" si="4">J15/10</f>
        <v>16304.3</v>
      </c>
      <c r="K14" s="15">
        <f t="shared" si="4"/>
        <v>30017.4</v>
      </c>
      <c r="L14" s="15">
        <f t="shared" si="4"/>
        <v>37004.300000000003</v>
      </c>
      <c r="M14" s="15">
        <f t="shared" si="4"/>
        <v>39841.4</v>
      </c>
      <c r="N14" s="15">
        <f t="shared" si="4"/>
        <v>16694.5</v>
      </c>
      <c r="O14" s="15">
        <f t="shared" si="4"/>
        <v>0</v>
      </c>
      <c r="P14" s="15">
        <f t="shared" si="4"/>
        <v>0</v>
      </c>
      <c r="Q14" s="15">
        <f t="shared" si="4"/>
        <v>10000</v>
      </c>
      <c r="R14" s="15"/>
      <c r="S14" s="15">
        <f t="shared" si="1"/>
        <v>0</v>
      </c>
      <c r="T14" s="22"/>
    </row>
    <row r="15" spans="1:20" s="19" customFormat="1" ht="33" hidden="1" customHeight="1">
      <c r="A15" s="376"/>
      <c r="B15" s="11"/>
      <c r="C15" s="142"/>
      <c r="D15" s="20"/>
      <c r="E15" s="13"/>
      <c r="F15" s="14"/>
      <c r="G15" s="14"/>
      <c r="H15" s="14" t="s">
        <v>268</v>
      </c>
      <c r="I15" s="15">
        <v>370043</v>
      </c>
      <c r="J15" s="15">
        <v>163043</v>
      </c>
      <c r="K15" s="15">
        <v>300174</v>
      </c>
      <c r="L15" s="15">
        <v>370043</v>
      </c>
      <c r="M15" s="15">
        <v>398414</v>
      </c>
      <c r="N15" s="15">
        <v>166945</v>
      </c>
      <c r="O15" s="15">
        <v>0</v>
      </c>
      <c r="P15" s="15">
        <v>0</v>
      </c>
      <c r="Q15" s="15">
        <v>100000</v>
      </c>
      <c r="R15" s="15"/>
      <c r="S15" s="15">
        <f t="shared" si="1"/>
        <v>0</v>
      </c>
      <c r="T15" s="22"/>
    </row>
    <row r="16" spans="1:20" s="19" customFormat="1" ht="33" customHeight="1">
      <c r="A16" s="376"/>
      <c r="B16" s="11">
        <v>3</v>
      </c>
      <c r="C16" s="142" t="s">
        <v>952</v>
      </c>
      <c r="D16" s="20" t="str">
        <f>COVER!B19</f>
        <v>WCB+309+#6</v>
      </c>
      <c r="E16" s="13">
        <v>1</v>
      </c>
      <c r="F16" s="14">
        <f>IF(D16="SUS+#6",X76,IF(D16="WCB+309+#6",X77))</f>
        <v>1837100</v>
      </c>
      <c r="G16" s="14">
        <f t="shared" ref="G16:G61" si="5">E16*F16</f>
        <v>1837100</v>
      </c>
      <c r="H16" s="14"/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f t="shared" si="1"/>
        <v>1837100</v>
      </c>
      <c r="T16" s="22"/>
    </row>
    <row r="17" spans="1:21" s="19" customFormat="1" ht="33" customHeight="1">
      <c r="A17" s="376"/>
      <c r="B17" s="11">
        <v>4</v>
      </c>
      <c r="C17" s="142" t="s">
        <v>1183</v>
      </c>
      <c r="D17" s="20" t="str">
        <f>COVER!B18</f>
        <v>A240T316L+GARPHITE</v>
      </c>
      <c r="E17" s="13">
        <v>1</v>
      </c>
      <c r="F17" s="14">
        <f>IF(D17="A240T316L+GARPHITE",Y84+Z84)</f>
        <v>981500</v>
      </c>
      <c r="G17" s="14">
        <f>F17*E17</f>
        <v>981500</v>
      </c>
      <c r="H17" s="14"/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f>Z84*1.3</f>
        <v>520000</v>
      </c>
      <c r="S17" s="15">
        <f t="shared" si="1"/>
        <v>1501500</v>
      </c>
      <c r="T17" s="22"/>
    </row>
    <row r="18" spans="1:21" s="19" customFormat="1" ht="33" customHeight="1">
      <c r="A18" s="376"/>
      <c r="B18" s="11">
        <v>5</v>
      </c>
      <c r="C18" s="142" t="s">
        <v>852</v>
      </c>
      <c r="D18" s="24" t="str">
        <f>COVER!B20</f>
        <v>SS316L</v>
      </c>
      <c r="E18" s="13">
        <v>1</v>
      </c>
      <c r="F18" s="14">
        <f>IF(D18="SS304",Y82,IF(D18="SS316L",Z82))</f>
        <v>1262000</v>
      </c>
      <c r="G18" s="14">
        <f>E18*F18</f>
        <v>1262000</v>
      </c>
      <c r="H18" s="14"/>
      <c r="I18" s="15">
        <f>I19*I20</f>
        <v>74008.600000000006</v>
      </c>
      <c r="J18" s="15">
        <f t="shared" ref="J18:Q18" si="6">J19*J20</f>
        <v>32608.6</v>
      </c>
      <c r="K18" s="15">
        <f t="shared" si="6"/>
        <v>0</v>
      </c>
      <c r="L18" s="15">
        <f t="shared" si="6"/>
        <v>0</v>
      </c>
      <c r="M18" s="15">
        <f t="shared" si="6"/>
        <v>0</v>
      </c>
      <c r="N18" s="15">
        <f t="shared" si="6"/>
        <v>0</v>
      </c>
      <c r="O18" s="15">
        <f t="shared" si="6"/>
        <v>0</v>
      </c>
      <c r="P18" s="15">
        <f t="shared" si="6"/>
        <v>0</v>
      </c>
      <c r="Q18" s="15">
        <f t="shared" si="6"/>
        <v>2000</v>
      </c>
      <c r="R18" s="15">
        <f>AA82*1.5</f>
        <v>255000</v>
      </c>
      <c r="S18" s="15">
        <f t="shared" si="1"/>
        <v>1517000</v>
      </c>
      <c r="T18" s="25"/>
    </row>
    <row r="19" spans="1:21" s="19" customFormat="1" ht="33" hidden="1" customHeight="1">
      <c r="A19" s="376"/>
      <c r="B19" s="11"/>
      <c r="C19" s="12"/>
      <c r="D19" s="24"/>
      <c r="E19" s="13"/>
      <c r="F19" s="14"/>
      <c r="G19" s="14"/>
      <c r="H19" s="17" t="s">
        <v>39</v>
      </c>
      <c r="I19" s="21">
        <v>2</v>
      </c>
      <c r="J19" s="21">
        <v>2</v>
      </c>
      <c r="K19" s="21"/>
      <c r="L19" s="21"/>
      <c r="M19" s="21"/>
      <c r="N19" s="21"/>
      <c r="O19" s="21"/>
      <c r="P19" s="21"/>
      <c r="Q19" s="21">
        <v>0.2</v>
      </c>
      <c r="R19" s="15"/>
      <c r="S19" s="15">
        <f t="shared" si="1"/>
        <v>0</v>
      </c>
      <c r="T19" s="25"/>
    </row>
    <row r="20" spans="1:21" s="19" customFormat="1" ht="33" hidden="1" customHeight="1">
      <c r="A20" s="376"/>
      <c r="B20" s="11"/>
      <c r="C20" s="12"/>
      <c r="D20" s="24"/>
      <c r="E20" s="13"/>
      <c r="F20" s="14"/>
      <c r="G20" s="14"/>
      <c r="H20" s="17" t="s">
        <v>39</v>
      </c>
      <c r="I20" s="15">
        <f>I21/10</f>
        <v>37004.300000000003</v>
      </c>
      <c r="J20" s="15">
        <f t="shared" ref="J20:Q20" si="7">J21/10</f>
        <v>16304.3</v>
      </c>
      <c r="K20" s="15">
        <f t="shared" si="7"/>
        <v>0</v>
      </c>
      <c r="L20" s="15">
        <f t="shared" si="7"/>
        <v>0</v>
      </c>
      <c r="M20" s="15">
        <f t="shared" si="7"/>
        <v>0</v>
      </c>
      <c r="N20" s="15">
        <f t="shared" si="7"/>
        <v>0</v>
      </c>
      <c r="O20" s="15">
        <f t="shared" si="7"/>
        <v>0</v>
      </c>
      <c r="P20" s="15">
        <f t="shared" si="7"/>
        <v>0</v>
      </c>
      <c r="Q20" s="15">
        <f t="shared" si="7"/>
        <v>10000</v>
      </c>
      <c r="R20" s="15"/>
      <c r="S20" s="15">
        <f t="shared" si="1"/>
        <v>0</v>
      </c>
      <c r="T20" s="25"/>
    </row>
    <row r="21" spans="1:21" s="19" customFormat="1" ht="33" hidden="1" customHeight="1">
      <c r="A21" s="376"/>
      <c r="B21" s="11"/>
      <c r="C21" s="12"/>
      <c r="D21" s="24"/>
      <c r="E21" s="13"/>
      <c r="F21" s="14"/>
      <c r="G21" s="14"/>
      <c r="H21" s="17" t="s">
        <v>39</v>
      </c>
      <c r="I21" s="15">
        <v>370043</v>
      </c>
      <c r="J21" s="15">
        <v>163043</v>
      </c>
      <c r="K21" s="15"/>
      <c r="L21" s="15"/>
      <c r="M21" s="15"/>
      <c r="N21" s="15"/>
      <c r="O21" s="15"/>
      <c r="P21" s="15"/>
      <c r="Q21" s="15">
        <v>100000</v>
      </c>
      <c r="R21" s="15"/>
      <c r="S21" s="15">
        <f t="shared" si="1"/>
        <v>0</v>
      </c>
      <c r="T21" s="25"/>
    </row>
    <row r="22" spans="1:21" s="19" customFormat="1" ht="33" customHeight="1">
      <c r="A22" s="376"/>
      <c r="B22" s="11">
        <v>6</v>
      </c>
      <c r="C22" s="142" t="s">
        <v>1191</v>
      </c>
      <c r="D22" s="24" t="s">
        <v>1189</v>
      </c>
      <c r="E22" s="13">
        <v>1</v>
      </c>
      <c r="F22" s="14">
        <f>Y85</f>
        <v>60800</v>
      </c>
      <c r="G22" s="14">
        <f>E22*F22</f>
        <v>60800</v>
      </c>
      <c r="H22" s="14"/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f t="shared" si="1"/>
        <v>60800</v>
      </c>
      <c r="T22" s="25"/>
    </row>
    <row r="23" spans="1:21" s="19" customFormat="1" ht="33" customHeight="1">
      <c r="A23" s="376"/>
      <c r="B23" s="11">
        <v>7</v>
      </c>
      <c r="C23" s="142" t="s">
        <v>948</v>
      </c>
      <c r="D23" s="20" t="str">
        <f>COVER!B21</f>
        <v>B7(다크로)</v>
      </c>
      <c r="E23" s="13">
        <v>50</v>
      </c>
      <c r="F23" s="14">
        <f>IF(D23="B8",Y90,IF(D23="B8M",Z90,IF(D23="B7(다크로)",AA90)))</f>
        <v>2500</v>
      </c>
      <c r="G23" s="14">
        <f>E23*F23</f>
        <v>125000</v>
      </c>
      <c r="H23" s="14"/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f t="shared" si="1"/>
        <v>125000</v>
      </c>
      <c r="T23" s="18"/>
    </row>
    <row r="24" spans="1:21" s="19" customFormat="1" ht="33" customHeight="1">
      <c r="A24" s="376"/>
      <c r="B24" s="11">
        <v>8</v>
      </c>
      <c r="C24" s="142" t="s">
        <v>271</v>
      </c>
      <c r="D24" s="20" t="str">
        <f>COVER!B17</f>
        <v>A564T630</v>
      </c>
      <c r="E24" s="13">
        <v>431</v>
      </c>
      <c r="F24" s="14">
        <f>COVER!C17</f>
        <v>8500</v>
      </c>
      <c r="G24" s="14">
        <f>E24*F24</f>
        <v>3663500</v>
      </c>
      <c r="H24" s="14"/>
      <c r="I24" s="15">
        <f>I25*I26</f>
        <v>74008.600000000006</v>
      </c>
      <c r="J24" s="15">
        <f t="shared" ref="J24:Q24" si="8">J25*J26</f>
        <v>0</v>
      </c>
      <c r="K24" s="15">
        <f t="shared" si="8"/>
        <v>0</v>
      </c>
      <c r="L24" s="15">
        <f t="shared" si="8"/>
        <v>0</v>
      </c>
      <c r="M24" s="15">
        <f t="shared" si="8"/>
        <v>0</v>
      </c>
      <c r="N24" s="15">
        <f t="shared" si="8"/>
        <v>0</v>
      </c>
      <c r="O24" s="15">
        <f t="shared" si="8"/>
        <v>0</v>
      </c>
      <c r="P24" s="15">
        <f t="shared" si="8"/>
        <v>0</v>
      </c>
      <c r="Q24" s="15">
        <f t="shared" si="8"/>
        <v>1000</v>
      </c>
      <c r="R24" s="15">
        <f>R12*0.3</f>
        <v>217350</v>
      </c>
      <c r="S24" s="15">
        <f t="shared" si="1"/>
        <v>3880850</v>
      </c>
      <c r="T24" s="27"/>
      <c r="U24" s="162"/>
    </row>
    <row r="25" spans="1:21" s="19" customFormat="1" ht="33" hidden="1" customHeight="1">
      <c r="A25" s="376"/>
      <c r="B25" s="11"/>
      <c r="C25" s="12"/>
      <c r="D25" s="20"/>
      <c r="E25" s="13"/>
      <c r="F25" s="14"/>
      <c r="G25" s="14"/>
      <c r="H25" s="17" t="s">
        <v>39</v>
      </c>
      <c r="I25" s="21">
        <v>2</v>
      </c>
      <c r="J25" s="21"/>
      <c r="K25" s="21"/>
      <c r="L25" s="21"/>
      <c r="M25" s="21"/>
      <c r="N25" s="21"/>
      <c r="O25" s="21"/>
      <c r="P25" s="21"/>
      <c r="Q25" s="21">
        <v>0.1</v>
      </c>
      <c r="R25" s="15"/>
      <c r="S25" s="15">
        <f t="shared" si="1"/>
        <v>0</v>
      </c>
      <c r="T25" s="27"/>
    </row>
    <row r="26" spans="1:21" s="19" customFormat="1" ht="33" hidden="1" customHeight="1">
      <c r="A26" s="376"/>
      <c r="B26" s="11"/>
      <c r="C26" s="12"/>
      <c r="D26" s="20"/>
      <c r="E26" s="13"/>
      <c r="F26" s="14"/>
      <c r="G26" s="14"/>
      <c r="H26" s="17" t="s">
        <v>270</v>
      </c>
      <c r="I26" s="15">
        <f>I27/10</f>
        <v>37004.300000000003</v>
      </c>
      <c r="J26" s="15"/>
      <c r="K26" s="15"/>
      <c r="L26" s="15"/>
      <c r="M26" s="15"/>
      <c r="N26" s="15"/>
      <c r="O26" s="15"/>
      <c r="P26" s="15"/>
      <c r="Q26" s="15">
        <f>Q27/10</f>
        <v>10000</v>
      </c>
      <c r="R26" s="15"/>
      <c r="S26" s="15">
        <f t="shared" si="1"/>
        <v>0</v>
      </c>
      <c r="T26" s="27"/>
    </row>
    <row r="27" spans="1:21" s="19" customFormat="1" ht="33" hidden="1" customHeight="1">
      <c r="A27" s="376"/>
      <c r="B27" s="11"/>
      <c r="C27" s="12"/>
      <c r="D27" s="20"/>
      <c r="E27" s="13"/>
      <c r="F27" s="14"/>
      <c r="G27" s="14"/>
      <c r="H27" s="17" t="s">
        <v>269</v>
      </c>
      <c r="I27" s="15">
        <v>370043</v>
      </c>
      <c r="J27" s="15"/>
      <c r="K27" s="15"/>
      <c r="L27" s="15"/>
      <c r="M27" s="15"/>
      <c r="N27" s="15"/>
      <c r="O27" s="15"/>
      <c r="P27" s="15"/>
      <c r="Q27" s="15">
        <v>100000</v>
      </c>
      <c r="R27" s="15"/>
      <c r="S27" s="15">
        <f t="shared" si="1"/>
        <v>0</v>
      </c>
      <c r="T27" s="27"/>
    </row>
    <row r="28" spans="1:21" s="19" customFormat="1" ht="33" customHeight="1">
      <c r="A28" s="376"/>
      <c r="B28" s="11">
        <v>9</v>
      </c>
      <c r="C28" s="142" t="s">
        <v>206</v>
      </c>
      <c r="D28" s="24" t="s">
        <v>1197</v>
      </c>
      <c r="E28" s="13">
        <v>1</v>
      </c>
      <c r="F28" s="14">
        <v>130000</v>
      </c>
      <c r="G28" s="14">
        <f t="shared" ref="G28" si="9">E28*F28</f>
        <v>130000</v>
      </c>
      <c r="H28" s="14"/>
      <c r="I28" s="15"/>
      <c r="J28" s="15"/>
      <c r="K28" s="15"/>
      <c r="L28" s="15"/>
      <c r="M28" s="15"/>
      <c r="N28" s="15"/>
      <c r="O28" s="15"/>
      <c r="P28" s="15"/>
      <c r="Q28" s="15"/>
      <c r="R28" s="15">
        <v>0</v>
      </c>
      <c r="S28" s="15">
        <f t="shared" si="1"/>
        <v>130000</v>
      </c>
      <c r="T28" s="18" t="s">
        <v>1504</v>
      </c>
    </row>
    <row r="29" spans="1:21" s="19" customFormat="1" ht="33" customHeight="1">
      <c r="A29" s="376"/>
      <c r="B29" s="11">
        <v>10</v>
      </c>
      <c r="C29" s="142" t="s">
        <v>207</v>
      </c>
      <c r="D29" s="24" t="str">
        <f>COVER!B24</f>
        <v>A351 CF8M</v>
      </c>
      <c r="E29" s="13">
        <v>1</v>
      </c>
      <c r="F29" s="302">
        <f>IF(D29="A351 CF8M",Y100,IF(D29="B148 C95400",Z100))</f>
        <v>385500</v>
      </c>
      <c r="G29" s="14">
        <f>F29*E29</f>
        <v>385500</v>
      </c>
      <c r="H29" s="14"/>
      <c r="I29" s="15">
        <f>I30*I31</f>
        <v>3065.28</v>
      </c>
      <c r="J29" s="15">
        <f t="shared" ref="J29:Q29" si="10">J30*J31</f>
        <v>3260.86</v>
      </c>
      <c r="K29" s="15">
        <f t="shared" si="10"/>
        <v>0</v>
      </c>
      <c r="L29" s="15">
        <f t="shared" si="10"/>
        <v>0</v>
      </c>
      <c r="M29" s="15">
        <f t="shared" si="10"/>
        <v>0</v>
      </c>
      <c r="N29" s="15">
        <f t="shared" si="10"/>
        <v>0</v>
      </c>
      <c r="O29" s="15">
        <f t="shared" si="10"/>
        <v>0</v>
      </c>
      <c r="P29" s="15">
        <f t="shared" si="10"/>
        <v>0</v>
      </c>
      <c r="Q29" s="15">
        <f t="shared" si="10"/>
        <v>0</v>
      </c>
      <c r="R29" s="15">
        <v>0</v>
      </c>
      <c r="S29" s="15">
        <f t="shared" si="1"/>
        <v>385500</v>
      </c>
      <c r="T29" s="18"/>
    </row>
    <row r="30" spans="1:21" s="19" customFormat="1" ht="33" hidden="1" customHeight="1">
      <c r="A30" s="376"/>
      <c r="B30" s="11"/>
      <c r="C30" s="12"/>
      <c r="D30" s="24"/>
      <c r="E30" s="13"/>
      <c r="F30" s="14"/>
      <c r="G30" s="14"/>
      <c r="H30" s="17" t="s">
        <v>39</v>
      </c>
      <c r="I30" s="21">
        <v>0.2</v>
      </c>
      <c r="J30" s="21">
        <v>0.2</v>
      </c>
      <c r="K30" s="21"/>
      <c r="L30" s="21"/>
      <c r="M30" s="21"/>
      <c r="N30" s="21"/>
      <c r="O30" s="21"/>
      <c r="P30" s="21"/>
      <c r="Q30" s="21"/>
      <c r="R30" s="15"/>
      <c r="S30" s="15">
        <f t="shared" si="1"/>
        <v>0</v>
      </c>
      <c r="T30" s="22"/>
    </row>
    <row r="31" spans="1:21" s="19" customFormat="1" ht="33" hidden="1" customHeight="1">
      <c r="A31" s="376"/>
      <c r="B31" s="11"/>
      <c r="C31" s="12"/>
      <c r="D31" s="24"/>
      <c r="E31" s="13"/>
      <c r="F31" s="14"/>
      <c r="G31" s="14"/>
      <c r="H31" s="17" t="s">
        <v>269</v>
      </c>
      <c r="I31" s="15">
        <f>I32/10</f>
        <v>15326.4</v>
      </c>
      <c r="J31" s="15">
        <f>J32/10</f>
        <v>16304.3</v>
      </c>
      <c r="K31" s="15"/>
      <c r="L31" s="15"/>
      <c r="M31" s="15"/>
      <c r="N31" s="15"/>
      <c r="O31" s="15"/>
      <c r="P31" s="15"/>
      <c r="Q31" s="15"/>
      <c r="R31" s="15"/>
      <c r="S31" s="15">
        <f t="shared" si="1"/>
        <v>0</v>
      </c>
      <c r="T31" s="22"/>
    </row>
    <row r="32" spans="1:21" s="19" customFormat="1" ht="33" hidden="1" customHeight="1">
      <c r="A32" s="376"/>
      <c r="B32" s="11"/>
      <c r="C32" s="12"/>
      <c r="D32" s="24"/>
      <c r="E32" s="13"/>
      <c r="F32" s="14"/>
      <c r="G32" s="14"/>
      <c r="H32" s="17" t="s">
        <v>39</v>
      </c>
      <c r="I32" s="15">
        <v>153264</v>
      </c>
      <c r="J32" s="15">
        <v>163043</v>
      </c>
      <c r="K32" s="15"/>
      <c r="L32" s="15"/>
      <c r="M32" s="15"/>
      <c r="N32" s="15"/>
      <c r="O32" s="15"/>
      <c r="P32" s="15"/>
      <c r="Q32" s="15"/>
      <c r="R32" s="15"/>
      <c r="S32" s="15">
        <f t="shared" si="1"/>
        <v>0</v>
      </c>
      <c r="T32" s="22"/>
    </row>
    <row r="33" spans="1:21" s="19" customFormat="1" ht="33" customHeight="1">
      <c r="A33" s="376"/>
      <c r="B33" s="11">
        <v>11</v>
      </c>
      <c r="C33" s="142" t="s">
        <v>47</v>
      </c>
      <c r="D33" s="24" t="str">
        <f>COVER!B26</f>
        <v>316+NICKEL</v>
      </c>
      <c r="E33" s="13">
        <v>1</v>
      </c>
      <c r="F33" s="14">
        <f>IF(D33="316+NICKEL",Y102,IF(D33="B148 C95400",Z102))</f>
        <v>104000</v>
      </c>
      <c r="G33" s="14">
        <f t="shared" ref="G33" si="11">E33*F33</f>
        <v>104000</v>
      </c>
      <c r="H33" s="14"/>
      <c r="I33" s="15">
        <f>I34*I35</f>
        <v>4597.92</v>
      </c>
      <c r="J33" s="15">
        <f t="shared" ref="J33:Q33" si="12">J34*J35</f>
        <v>0</v>
      </c>
      <c r="K33" s="15">
        <f t="shared" si="12"/>
        <v>0</v>
      </c>
      <c r="L33" s="15">
        <f t="shared" si="12"/>
        <v>0</v>
      </c>
      <c r="M33" s="15">
        <f t="shared" si="12"/>
        <v>0</v>
      </c>
      <c r="N33" s="15">
        <f t="shared" si="12"/>
        <v>0</v>
      </c>
      <c r="O33" s="15">
        <f t="shared" si="12"/>
        <v>0</v>
      </c>
      <c r="P33" s="15">
        <f t="shared" si="12"/>
        <v>0</v>
      </c>
      <c r="Q33" s="15">
        <f t="shared" si="12"/>
        <v>0</v>
      </c>
      <c r="R33" s="15">
        <v>0</v>
      </c>
      <c r="S33" s="15">
        <f t="shared" si="1"/>
        <v>104000</v>
      </c>
      <c r="T33" s="25" t="s">
        <v>1200</v>
      </c>
    </row>
    <row r="34" spans="1:21" s="19" customFormat="1" ht="33" hidden="1" customHeight="1">
      <c r="A34" s="376"/>
      <c r="B34" s="11"/>
      <c r="C34" s="12"/>
      <c r="D34" s="24"/>
      <c r="E34" s="13"/>
      <c r="F34" s="14"/>
      <c r="G34" s="14"/>
      <c r="H34" s="17" t="s">
        <v>39</v>
      </c>
      <c r="I34" s="21">
        <v>0.3</v>
      </c>
      <c r="J34" s="21"/>
      <c r="K34" s="21"/>
      <c r="L34" s="21"/>
      <c r="M34" s="21"/>
      <c r="N34" s="21"/>
      <c r="O34" s="21"/>
      <c r="P34" s="21"/>
      <c r="Q34" s="21"/>
      <c r="R34" s="15"/>
      <c r="S34" s="15">
        <f t="shared" si="1"/>
        <v>0</v>
      </c>
      <c r="T34" s="22"/>
    </row>
    <row r="35" spans="1:21" s="19" customFormat="1" ht="33" hidden="1" customHeight="1">
      <c r="A35" s="376"/>
      <c r="B35" s="11"/>
      <c r="C35" s="12"/>
      <c r="D35" s="24"/>
      <c r="E35" s="13"/>
      <c r="F35" s="14"/>
      <c r="G35" s="14"/>
      <c r="H35" s="17" t="s">
        <v>39</v>
      </c>
      <c r="I35" s="15">
        <f>I36/10</f>
        <v>15326.4</v>
      </c>
      <c r="J35" s="15"/>
      <c r="K35" s="15"/>
      <c r="L35" s="15"/>
      <c r="M35" s="15"/>
      <c r="N35" s="15"/>
      <c r="O35" s="15"/>
      <c r="P35" s="15"/>
      <c r="Q35" s="15"/>
      <c r="R35" s="15"/>
      <c r="S35" s="15">
        <f t="shared" si="1"/>
        <v>0</v>
      </c>
      <c r="T35" s="22"/>
    </row>
    <row r="36" spans="1:21" s="19" customFormat="1" ht="33" hidden="1" customHeight="1">
      <c r="A36" s="376"/>
      <c r="B36" s="11"/>
      <c r="C36" s="12"/>
      <c r="D36" s="24"/>
      <c r="E36" s="13"/>
      <c r="F36" s="14"/>
      <c r="G36" s="14"/>
      <c r="H36" s="17" t="s">
        <v>123</v>
      </c>
      <c r="I36" s="15">
        <v>153264</v>
      </c>
      <c r="J36" s="15"/>
      <c r="K36" s="15"/>
      <c r="L36" s="15"/>
      <c r="M36" s="15"/>
      <c r="N36" s="15"/>
      <c r="O36" s="15"/>
      <c r="P36" s="15"/>
      <c r="Q36" s="15"/>
      <c r="R36" s="15"/>
      <c r="S36" s="15">
        <f t="shared" si="1"/>
        <v>0</v>
      </c>
      <c r="T36" s="22"/>
    </row>
    <row r="37" spans="1:21" s="19" customFormat="1" ht="33" customHeight="1">
      <c r="A37" s="376"/>
      <c r="B37" s="11">
        <v>12</v>
      </c>
      <c r="C37" s="169" t="s">
        <v>954</v>
      </c>
      <c r="D37" s="24" t="str">
        <f>COVER!B22</f>
        <v>B7(다크로)</v>
      </c>
      <c r="E37" s="13">
        <v>6</v>
      </c>
      <c r="F37" s="14">
        <f>IF(D37="B8",Y92,IF(D37="B8M",Z92,IF(D37="B7(다크로)",AA92)))</f>
        <v>4000</v>
      </c>
      <c r="G37" s="14">
        <f>F37*E37</f>
        <v>24000</v>
      </c>
      <c r="H37" s="14"/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f t="shared" si="1"/>
        <v>24000</v>
      </c>
      <c r="T37" s="22"/>
    </row>
    <row r="38" spans="1:21" s="19" customFormat="1" ht="33" customHeight="1">
      <c r="A38" s="376"/>
      <c r="B38" s="11">
        <v>13</v>
      </c>
      <c r="C38" s="29" t="s">
        <v>209</v>
      </c>
      <c r="D38" s="24"/>
      <c r="E38" s="13">
        <v>1</v>
      </c>
      <c r="F38" s="14">
        <v>10000</v>
      </c>
      <c r="G38" s="14">
        <f t="shared" si="5"/>
        <v>10000</v>
      </c>
      <c r="H38" s="14"/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f t="shared" si="1"/>
        <v>10000</v>
      </c>
      <c r="T38" s="22"/>
    </row>
    <row r="39" spans="1:21" s="19" customFormat="1" ht="33" customHeight="1">
      <c r="A39" s="376"/>
      <c r="B39" s="11">
        <v>14</v>
      </c>
      <c r="C39" s="233" t="s">
        <v>210</v>
      </c>
      <c r="D39" s="24" t="str">
        <f>COVER!B23</f>
        <v>316+NICKEL</v>
      </c>
      <c r="E39" s="13">
        <v>2</v>
      </c>
      <c r="F39" s="14">
        <f>IF(D39="316+NICKEL",Y96+Y97,IF(D39="B148 C95400",Z96+Z97))</f>
        <v>806800</v>
      </c>
      <c r="G39" s="14">
        <f>F39*1</f>
        <v>806800</v>
      </c>
      <c r="H39" s="14"/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f t="shared" si="1"/>
        <v>806800</v>
      </c>
      <c r="T39" s="25" t="s">
        <v>1200</v>
      </c>
    </row>
    <row r="40" spans="1:21" s="19" customFormat="1" ht="33" customHeight="1">
      <c r="A40" s="376"/>
      <c r="B40" s="11">
        <v>15</v>
      </c>
      <c r="C40" s="142" t="s">
        <v>211</v>
      </c>
      <c r="D40" s="24" t="str">
        <f>COVER!B23</f>
        <v>316+NICKEL</v>
      </c>
      <c r="E40" s="13">
        <v>2</v>
      </c>
      <c r="F40" s="14">
        <f>IF(D40="316+NICKEL",Y98+Y99,IF(D40="B148 C95400",Z98+Z99))</f>
        <v>575600</v>
      </c>
      <c r="G40" s="14">
        <f>F40*1</f>
        <v>575600</v>
      </c>
      <c r="H40" s="14"/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f t="shared" si="1"/>
        <v>575600</v>
      </c>
      <c r="T40" s="25" t="s">
        <v>1200</v>
      </c>
    </row>
    <row r="41" spans="1:21" s="19" customFormat="1" ht="33" hidden="1" customHeight="1">
      <c r="A41" s="376"/>
      <c r="B41" s="11"/>
      <c r="C41" s="12"/>
      <c r="D41" s="20"/>
      <c r="E41" s="13"/>
      <c r="F41" s="14"/>
      <c r="G41" s="14"/>
      <c r="H41" s="17" t="s">
        <v>123</v>
      </c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>
        <f t="shared" si="1"/>
        <v>0</v>
      </c>
      <c r="T41" s="22"/>
    </row>
    <row r="42" spans="1:21" s="19" customFormat="1" ht="33" hidden="1" customHeight="1">
      <c r="A42" s="376"/>
      <c r="B42" s="11"/>
      <c r="C42" s="12"/>
      <c r="D42" s="20"/>
      <c r="E42" s="13"/>
      <c r="F42" s="14"/>
      <c r="G42" s="14"/>
      <c r="H42" s="17" t="s">
        <v>123</v>
      </c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>
        <f t="shared" si="1"/>
        <v>0</v>
      </c>
      <c r="T42" s="22"/>
    </row>
    <row r="43" spans="1:21" s="19" customFormat="1" ht="33" hidden="1" customHeight="1">
      <c r="A43" s="376"/>
      <c r="B43" s="11"/>
      <c r="C43" s="12"/>
      <c r="D43" s="20"/>
      <c r="E43" s="13"/>
      <c r="F43" s="14"/>
      <c r="G43" s="14"/>
      <c r="H43" s="17" t="s">
        <v>123</v>
      </c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>
        <f t="shared" si="1"/>
        <v>0</v>
      </c>
      <c r="T43" s="22"/>
    </row>
    <row r="44" spans="1:21" s="19" customFormat="1" ht="33" customHeight="1">
      <c r="A44" s="376"/>
      <c r="B44" s="11">
        <v>16</v>
      </c>
      <c r="C44" s="142" t="s">
        <v>212</v>
      </c>
      <c r="D44" s="24" t="str">
        <f>COVER!B25</f>
        <v>316+NICKEL</v>
      </c>
      <c r="E44" s="13">
        <v>1</v>
      </c>
      <c r="F44" s="14">
        <f>IF(D44="316+NICKEL",Y101,IF(D44="B148 C95400",Z101))</f>
        <v>61300</v>
      </c>
      <c r="G44" s="14">
        <f>F44</f>
        <v>61300</v>
      </c>
      <c r="H44" s="14"/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1000</v>
      </c>
      <c r="P44" s="15">
        <v>0</v>
      </c>
      <c r="Q44" s="15">
        <v>0</v>
      </c>
      <c r="R44" s="15">
        <v>0</v>
      </c>
      <c r="S44" s="15">
        <f t="shared" si="1"/>
        <v>61300</v>
      </c>
      <c r="T44" s="25" t="s">
        <v>1200</v>
      </c>
      <c r="U44" s="236"/>
    </row>
    <row r="45" spans="1:21" s="19" customFormat="1" ht="33" customHeight="1">
      <c r="A45" s="376"/>
      <c r="B45" s="11">
        <v>17</v>
      </c>
      <c r="C45" s="175" t="s">
        <v>213</v>
      </c>
      <c r="D45" s="24" t="s">
        <v>463</v>
      </c>
      <c r="E45" s="13">
        <v>1</v>
      </c>
      <c r="F45" s="14">
        <f>Y86</f>
        <v>9500</v>
      </c>
      <c r="G45" s="14">
        <f>F45*E45</f>
        <v>9500</v>
      </c>
      <c r="H45" s="14"/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f t="shared" si="1"/>
        <v>9500</v>
      </c>
      <c r="T45" s="22"/>
    </row>
    <row r="46" spans="1:21" s="19" customFormat="1" ht="33" customHeight="1">
      <c r="A46" s="376"/>
      <c r="B46" s="11">
        <v>18</v>
      </c>
      <c r="C46" s="175" t="s">
        <v>1205</v>
      </c>
      <c r="D46" s="24" t="str">
        <f>COVER!B29</f>
        <v>SS400</v>
      </c>
      <c r="E46" s="13">
        <v>1</v>
      </c>
      <c r="F46" s="14">
        <f>IF(D46="SS400",Y106,IF(D46="SS316",Z106,IF(D46="SS304",AA106)))</f>
        <v>67320</v>
      </c>
      <c r="G46" s="14">
        <f>F46*E46</f>
        <v>67320</v>
      </c>
      <c r="H46" s="14"/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40000</v>
      </c>
      <c r="S46" s="15">
        <f t="shared" si="1"/>
        <v>107320</v>
      </c>
      <c r="T46" s="22"/>
    </row>
    <row r="47" spans="1:21" s="19" customFormat="1" ht="33" hidden="1" customHeight="1">
      <c r="A47" s="376"/>
      <c r="B47" s="11"/>
      <c r="C47" s="31"/>
      <c r="D47" s="24"/>
      <c r="E47" s="13"/>
      <c r="F47" s="14"/>
      <c r="G47" s="14"/>
      <c r="H47" s="17" t="s">
        <v>123</v>
      </c>
      <c r="I47" s="21">
        <v>0.3</v>
      </c>
      <c r="J47" s="21"/>
      <c r="K47" s="21"/>
      <c r="L47" s="21"/>
      <c r="M47" s="21"/>
      <c r="N47" s="21"/>
      <c r="O47" s="21"/>
      <c r="P47" s="21"/>
      <c r="Q47" s="21"/>
      <c r="R47" s="15"/>
      <c r="S47" s="15">
        <f t="shared" si="1"/>
        <v>0</v>
      </c>
      <c r="T47" s="22"/>
    </row>
    <row r="48" spans="1:21" s="19" customFormat="1" ht="33" hidden="1" customHeight="1">
      <c r="A48" s="376"/>
      <c r="B48" s="11"/>
      <c r="C48" s="31"/>
      <c r="D48" s="24"/>
      <c r="E48" s="13"/>
      <c r="F48" s="14"/>
      <c r="G48" s="14"/>
      <c r="H48" s="17" t="s">
        <v>123</v>
      </c>
      <c r="I48" s="15">
        <f>I49/10</f>
        <v>15326.4</v>
      </c>
      <c r="J48" s="15"/>
      <c r="K48" s="15"/>
      <c r="L48" s="15"/>
      <c r="M48" s="15"/>
      <c r="N48" s="15"/>
      <c r="O48" s="15"/>
      <c r="P48" s="15"/>
      <c r="Q48" s="15"/>
      <c r="R48" s="15"/>
      <c r="S48" s="15">
        <f t="shared" si="1"/>
        <v>0</v>
      </c>
      <c r="T48" s="22"/>
    </row>
    <row r="49" spans="1:21" s="19" customFormat="1" ht="33" hidden="1" customHeight="1">
      <c r="A49" s="376"/>
      <c r="B49" s="11"/>
      <c r="C49" s="31"/>
      <c r="D49" s="24"/>
      <c r="E49" s="13"/>
      <c r="F49" s="14"/>
      <c r="G49" s="14"/>
      <c r="H49" s="17" t="s">
        <v>123</v>
      </c>
      <c r="I49" s="15">
        <v>153264</v>
      </c>
      <c r="J49" s="15"/>
      <c r="K49" s="15"/>
      <c r="L49" s="15"/>
      <c r="M49" s="15"/>
      <c r="N49" s="15"/>
      <c r="O49" s="15"/>
      <c r="P49" s="15"/>
      <c r="Q49" s="15"/>
      <c r="R49" s="15"/>
      <c r="S49" s="15">
        <f t="shared" si="1"/>
        <v>0</v>
      </c>
      <c r="T49" s="22"/>
    </row>
    <row r="50" spans="1:21" s="19" customFormat="1" ht="33" customHeight="1">
      <c r="A50" s="376"/>
      <c r="B50" s="11">
        <v>19</v>
      </c>
      <c r="C50" s="226" t="s">
        <v>128</v>
      </c>
      <c r="D50" s="24" t="str">
        <f>COVER!B22</f>
        <v>B7(다크로)</v>
      </c>
      <c r="E50" s="13">
        <v>10</v>
      </c>
      <c r="F50" s="14">
        <f>IF(D50="B8",Y93,IF(D50="B8M",Z93,IF(D50="B7(다크로)",AA93)))</f>
        <v>5000</v>
      </c>
      <c r="G50" s="14">
        <f>E50*F50</f>
        <v>50000</v>
      </c>
      <c r="H50" s="14"/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f t="shared" si="1"/>
        <v>50000</v>
      </c>
      <c r="T50" s="18"/>
    </row>
    <row r="51" spans="1:21" s="19" customFormat="1" ht="33" customHeight="1">
      <c r="A51" s="376"/>
      <c r="B51" s="11">
        <v>20</v>
      </c>
      <c r="C51" s="169" t="s">
        <v>214</v>
      </c>
      <c r="D51" s="303" t="str">
        <f>D24</f>
        <v>A564T630</v>
      </c>
      <c r="E51" s="13">
        <v>4</v>
      </c>
      <c r="F51" s="14">
        <f>IF(D51="A276T316L",Y80/E51,IF(D51="A276T304",Z80/E51,IF(D51="A564T630",AA80/E51,IF(D51="A479T410",AB80/E51,IF(D51="UNS S31803",AC80/E51,IF(D51="UNS S32750",AD80/E51,IF(D51="MONEL K-500",AE80/E51)))))))</f>
        <v>19430</v>
      </c>
      <c r="G51" s="14">
        <f>E51*F51</f>
        <v>77720</v>
      </c>
      <c r="H51" s="14"/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1000</v>
      </c>
      <c r="P51" s="15">
        <v>0</v>
      </c>
      <c r="Q51" s="15">
        <v>0</v>
      </c>
      <c r="R51" s="15">
        <f>6500*E51</f>
        <v>26000</v>
      </c>
      <c r="S51" s="15">
        <f t="shared" si="1"/>
        <v>103720</v>
      </c>
      <c r="T51" s="22"/>
      <c r="U51" s="162"/>
    </row>
    <row r="52" spans="1:21" s="19" customFormat="1" ht="33" customHeight="1">
      <c r="A52" s="376"/>
      <c r="B52" s="11">
        <v>21</v>
      </c>
      <c r="C52" s="169" t="s">
        <v>215</v>
      </c>
      <c r="D52" s="24" t="str">
        <f>COVER!B22</f>
        <v>B7(다크로)</v>
      </c>
      <c r="E52" s="13">
        <v>6</v>
      </c>
      <c r="F52" s="14">
        <f>IF(D52="B8",Y89,IF(D52="B8M",Z89,IF(D52="B7(다크로)",AA89)))</f>
        <v>28000</v>
      </c>
      <c r="G52" s="14">
        <f>E52*F52</f>
        <v>168000</v>
      </c>
      <c r="H52" s="14"/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1000</v>
      </c>
      <c r="O52" s="15">
        <v>1000</v>
      </c>
      <c r="P52" s="15">
        <v>1000</v>
      </c>
      <c r="Q52" s="15">
        <v>0</v>
      </c>
      <c r="R52" s="15">
        <v>0</v>
      </c>
      <c r="S52" s="15">
        <f t="shared" si="1"/>
        <v>168000</v>
      </c>
      <c r="T52" s="22"/>
      <c r="U52" s="162"/>
    </row>
    <row r="53" spans="1:21" s="19" customFormat="1" ht="33" customHeight="1">
      <c r="A53" s="376"/>
      <c r="B53" s="11">
        <v>22</v>
      </c>
      <c r="C53" s="169" t="s">
        <v>1199</v>
      </c>
      <c r="D53" s="24" t="str">
        <f>COVER!B26</f>
        <v>316+NICKEL</v>
      </c>
      <c r="E53" s="13">
        <v>1</v>
      </c>
      <c r="F53" s="14">
        <f>IF(D53="316+NICKEL",Y102,IF(D53="B148 C95400",Z102))</f>
        <v>104000</v>
      </c>
      <c r="G53" s="14">
        <f>F53*E53</f>
        <v>104000</v>
      </c>
      <c r="H53" s="14"/>
      <c r="I53" s="15"/>
      <c r="J53" s="15"/>
      <c r="K53" s="15"/>
      <c r="L53" s="15"/>
      <c r="M53" s="15"/>
      <c r="N53" s="15"/>
      <c r="O53" s="15"/>
      <c r="P53" s="15"/>
      <c r="Q53" s="15"/>
      <c r="R53" s="15">
        <v>0</v>
      </c>
      <c r="S53" s="15">
        <f t="shared" si="1"/>
        <v>104000</v>
      </c>
      <c r="T53" s="22"/>
    </row>
    <row r="54" spans="1:21" s="19" customFormat="1" ht="33" customHeight="1">
      <c r="A54" s="376"/>
      <c r="B54" s="11">
        <v>23</v>
      </c>
      <c r="C54" s="29" t="s">
        <v>131</v>
      </c>
      <c r="D54" s="24"/>
      <c r="E54" s="13">
        <v>1</v>
      </c>
      <c r="F54" s="14">
        <v>3000</v>
      </c>
      <c r="G54" s="14">
        <f t="shared" si="5"/>
        <v>3000</v>
      </c>
      <c r="H54" s="14"/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1000</v>
      </c>
      <c r="Q54" s="15">
        <v>0</v>
      </c>
      <c r="R54" s="15">
        <v>0</v>
      </c>
      <c r="S54" s="15">
        <f t="shared" si="1"/>
        <v>3000</v>
      </c>
      <c r="T54" s="22"/>
    </row>
    <row r="55" spans="1:21" s="19" customFormat="1" ht="33" customHeight="1">
      <c r="A55" s="376"/>
      <c r="B55" s="11">
        <v>24</v>
      </c>
      <c r="C55" s="142" t="s">
        <v>216</v>
      </c>
      <c r="D55" s="24" t="str">
        <f>COVER!B35</f>
        <v>GEAR</v>
      </c>
      <c r="E55" s="13">
        <v>1</v>
      </c>
      <c r="F55" s="302">
        <f>IF(D55="GEAR",2760800,IF(D55="MOTOR",0,IF(D55="PNEUMATIC",0)))</f>
        <v>2760800</v>
      </c>
      <c r="G55" s="14">
        <f>F55</f>
        <v>2760800</v>
      </c>
      <c r="H55" s="14"/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f t="shared" si="1"/>
        <v>2760800</v>
      </c>
      <c r="T55" s="22"/>
    </row>
    <row r="56" spans="1:21" s="19" customFormat="1" ht="33" customHeight="1">
      <c r="A56" s="376"/>
      <c r="B56" s="11">
        <v>25</v>
      </c>
      <c r="C56" s="186" t="s">
        <v>859</v>
      </c>
      <c r="D56" s="24" t="str">
        <f>COVER!B30</f>
        <v>WCB</v>
      </c>
      <c r="E56" s="13">
        <v>250</v>
      </c>
      <c r="F56" s="14">
        <f>IF(D56="WCB",4000,IF(D56="CF8M",9000))</f>
        <v>4000</v>
      </c>
      <c r="G56" s="14">
        <f>E56*F56</f>
        <v>1000000</v>
      </c>
      <c r="H56" s="14"/>
      <c r="I56" s="15"/>
      <c r="J56" s="15"/>
      <c r="K56" s="15"/>
      <c r="L56" s="15"/>
      <c r="M56" s="15"/>
      <c r="N56" s="15"/>
      <c r="O56" s="15"/>
      <c r="P56" s="15"/>
      <c r="Q56" s="15"/>
      <c r="R56" s="15">
        <f>IF(D56="WCB",AA108,IF(D56="CF8M",AB108))</f>
        <v>300000</v>
      </c>
      <c r="S56" s="15">
        <f t="shared" si="1"/>
        <v>1300000</v>
      </c>
      <c r="T56" s="22"/>
    </row>
    <row r="57" spans="1:21" s="19" customFormat="1" ht="33" customHeight="1">
      <c r="A57" s="376"/>
      <c r="B57" s="11">
        <v>26</v>
      </c>
      <c r="C57" s="175" t="s">
        <v>467</v>
      </c>
      <c r="D57" s="24" t="str">
        <f>COVER!B27</f>
        <v>316+NICKEL</v>
      </c>
      <c r="E57" s="13">
        <v>2</v>
      </c>
      <c r="F57" s="14">
        <f>IF(D57="316+NICKEL",Y103,IF(D57="B148 C95400",Z103))</f>
        <v>94500</v>
      </c>
      <c r="G57" s="14">
        <f>F57</f>
        <v>94500</v>
      </c>
      <c r="H57" s="14"/>
      <c r="I57" s="15"/>
      <c r="J57" s="15"/>
      <c r="K57" s="15"/>
      <c r="L57" s="15"/>
      <c r="M57" s="15"/>
      <c r="N57" s="15"/>
      <c r="O57" s="15"/>
      <c r="P57" s="15"/>
      <c r="Q57" s="15"/>
      <c r="R57" s="15">
        <v>0</v>
      </c>
      <c r="S57" s="15">
        <f t="shared" si="1"/>
        <v>94500</v>
      </c>
      <c r="T57" s="25" t="s">
        <v>1200</v>
      </c>
    </row>
    <row r="58" spans="1:21" s="19" customFormat="1" ht="33" customHeight="1">
      <c r="A58" s="376"/>
      <c r="B58" s="11">
        <v>27</v>
      </c>
      <c r="C58" s="175" t="s">
        <v>468</v>
      </c>
      <c r="D58" s="24" t="str">
        <f>COVER!B28</f>
        <v>316+NICKEL</v>
      </c>
      <c r="E58" s="13">
        <v>2</v>
      </c>
      <c r="F58" s="14">
        <f>IF(D58="316+NICKEL",Y104,IF(D58="B148 C95400",Z104))</f>
        <v>28000</v>
      </c>
      <c r="G58" s="14">
        <f>F58</f>
        <v>28000</v>
      </c>
      <c r="H58" s="14"/>
      <c r="I58" s="15"/>
      <c r="J58" s="15"/>
      <c r="K58" s="15"/>
      <c r="L58" s="15"/>
      <c r="M58" s="15"/>
      <c r="N58" s="15"/>
      <c r="O58" s="15"/>
      <c r="P58" s="15"/>
      <c r="Q58" s="15"/>
      <c r="R58" s="15">
        <v>0</v>
      </c>
      <c r="S58" s="15">
        <f t="shared" si="1"/>
        <v>28000</v>
      </c>
      <c r="T58" s="25" t="s">
        <v>1200</v>
      </c>
    </row>
    <row r="59" spans="1:21" s="19" customFormat="1" ht="33" customHeight="1">
      <c r="A59" s="376"/>
      <c r="B59" s="11">
        <v>28</v>
      </c>
      <c r="C59" s="142" t="s">
        <v>217</v>
      </c>
      <c r="D59" s="24" t="str">
        <f>COVER!B22</f>
        <v>B7(다크로)</v>
      </c>
      <c r="E59" s="13">
        <v>8</v>
      </c>
      <c r="F59" s="14">
        <f>IF(D59="B8",Y88,IF(D59="B8M",Z88,IF(D59="B7(다크로)",AA88)))</f>
        <v>12500</v>
      </c>
      <c r="G59" s="14">
        <f t="shared" si="5"/>
        <v>100000</v>
      </c>
      <c r="H59" s="14"/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f t="shared" si="1"/>
        <v>100000</v>
      </c>
      <c r="T59" s="25"/>
    </row>
    <row r="60" spans="1:21" s="19" customFormat="1" ht="33" customHeight="1">
      <c r="A60" s="376"/>
      <c r="B60" s="11">
        <v>29</v>
      </c>
      <c r="C60" s="12" t="s">
        <v>218</v>
      </c>
      <c r="D60" s="303" t="str">
        <f>COVER!B32</f>
        <v>외주 2COATING</v>
      </c>
      <c r="E60" s="13">
        <v>1</v>
      </c>
      <c r="F60" s="14">
        <f>IF(COVER!B10="APPLICATION",0,IF(D60="기존 단가",Y116,IF(D60="외주 2COATING",Z116,IF(D60="외주 3COATING",AA116))))</f>
        <v>0</v>
      </c>
      <c r="G60" s="14">
        <f t="shared" si="5"/>
        <v>0</v>
      </c>
      <c r="H60" s="14"/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f t="shared" si="1"/>
        <v>0</v>
      </c>
      <c r="T60" s="22"/>
    </row>
    <row r="61" spans="1:21" s="19" customFormat="1" ht="33" customHeight="1">
      <c r="A61" s="377"/>
      <c r="B61" s="11">
        <v>30</v>
      </c>
      <c r="C61" s="12" t="s">
        <v>219</v>
      </c>
      <c r="D61" s="303" t="str">
        <f>COVER!B33</f>
        <v>신규</v>
      </c>
      <c r="E61" s="13">
        <v>1</v>
      </c>
      <c r="F61" s="14">
        <f>IF(COVER!B10="APPLICATION",0,IF(D61="기존 단가",Y118,IF(D61="신규",Z118)))</f>
        <v>0</v>
      </c>
      <c r="G61" s="14">
        <f t="shared" si="5"/>
        <v>0</v>
      </c>
      <c r="H61" s="14"/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f t="shared" si="1"/>
        <v>0</v>
      </c>
      <c r="T61" s="22"/>
    </row>
    <row r="62" spans="1:21" s="19" customFormat="1" ht="33" customHeight="1">
      <c r="A62" s="378" t="s">
        <v>221</v>
      </c>
      <c r="B62" s="379"/>
      <c r="C62" s="379"/>
      <c r="D62" s="379"/>
      <c r="E62" s="379"/>
      <c r="F62" s="380"/>
      <c r="G62" s="14">
        <f>IF(COVER!B10="APPLICATION",0,IF(D55="GEAR",Y120,IF(D55="MOTOR",Z120,IF(D55="PNEUMATIC",AA120))))</f>
        <v>0</v>
      </c>
      <c r="H62" s="14"/>
      <c r="I62" s="32" t="s">
        <v>38</v>
      </c>
      <c r="J62" s="32"/>
      <c r="K62" s="32"/>
      <c r="L62" s="32"/>
      <c r="M62" s="32"/>
      <c r="N62" s="32"/>
      <c r="O62" s="32"/>
      <c r="P62" s="32"/>
      <c r="Q62" s="32"/>
      <c r="R62" s="33"/>
      <c r="S62" s="33">
        <f t="shared" si="1"/>
        <v>0</v>
      </c>
      <c r="T62" s="253"/>
    </row>
    <row r="63" spans="1:21" s="19" customFormat="1" ht="33" customHeight="1">
      <c r="A63" s="360" t="s">
        <v>223</v>
      </c>
      <c r="B63" s="361"/>
      <c r="C63" s="361"/>
      <c r="D63" s="361"/>
      <c r="E63" s="361"/>
      <c r="F63" s="362"/>
      <c r="G63" s="14"/>
      <c r="H63" s="14"/>
      <c r="I63" s="32"/>
      <c r="J63" s="32"/>
      <c r="K63" s="32"/>
      <c r="L63" s="32"/>
      <c r="M63" s="32"/>
      <c r="N63" s="32"/>
      <c r="O63" s="32"/>
      <c r="P63" s="32"/>
      <c r="Q63" s="32"/>
      <c r="R63" s="33"/>
      <c r="S63" s="33"/>
      <c r="T63" s="253" t="s">
        <v>1526</v>
      </c>
    </row>
    <row r="64" spans="1:21" s="19" customFormat="1" ht="33" customHeight="1">
      <c r="A64" s="378" t="s">
        <v>144</v>
      </c>
      <c r="B64" s="379"/>
      <c r="C64" s="379"/>
      <c r="D64" s="379"/>
      <c r="E64" s="379"/>
      <c r="F64" s="380"/>
      <c r="G64" s="93" t="s">
        <v>142</v>
      </c>
      <c r="H64" s="93"/>
      <c r="I64" s="32"/>
      <c r="J64" s="94"/>
      <c r="K64" s="94"/>
      <c r="L64" s="94"/>
      <c r="M64" s="94"/>
      <c r="N64" s="94"/>
      <c r="O64" s="94"/>
      <c r="P64" s="94"/>
      <c r="Q64" s="94"/>
      <c r="R64" s="94"/>
      <c r="S64" s="34">
        <f>SUM(S8:S63)</f>
        <v>28298990</v>
      </c>
      <c r="T64" s="254" t="s">
        <v>145</v>
      </c>
    </row>
    <row r="65" spans="1:32" s="19" customFormat="1" ht="33" customHeight="1">
      <c r="A65" s="378" t="s">
        <v>146</v>
      </c>
      <c r="B65" s="379"/>
      <c r="C65" s="379"/>
      <c r="D65" s="379"/>
      <c r="E65" s="379"/>
      <c r="F65" s="380"/>
      <c r="G65" s="32">
        <v>0.1</v>
      </c>
      <c r="H65" s="32"/>
      <c r="I65" s="32" t="s">
        <v>142</v>
      </c>
      <c r="J65" s="32"/>
      <c r="K65" s="32"/>
      <c r="L65" s="32"/>
      <c r="M65" s="32"/>
      <c r="N65" s="32"/>
      <c r="O65" s="32"/>
      <c r="P65" s="32"/>
      <c r="Q65" s="32"/>
      <c r="R65" s="32"/>
      <c r="S65" s="35">
        <f>S64*G65</f>
        <v>2829899</v>
      </c>
      <c r="T65" s="253"/>
    </row>
    <row r="66" spans="1:32" s="19" customFormat="1" ht="33" customHeight="1">
      <c r="A66" s="360" t="s">
        <v>224</v>
      </c>
      <c r="B66" s="361"/>
      <c r="C66" s="361"/>
      <c r="D66" s="361"/>
      <c r="E66" s="361"/>
      <c r="F66" s="362"/>
      <c r="G66" s="95">
        <v>0.1</v>
      </c>
      <c r="H66" s="95"/>
      <c r="I66" s="32" t="s">
        <v>142</v>
      </c>
      <c r="J66" s="32"/>
      <c r="K66" s="32"/>
      <c r="L66" s="32"/>
      <c r="M66" s="32"/>
      <c r="N66" s="32"/>
      <c r="O66" s="32"/>
      <c r="P66" s="32"/>
      <c r="Q66" s="32"/>
      <c r="R66" s="32"/>
      <c r="S66" s="35">
        <f>(S64+S65)*G66</f>
        <v>3112888.9000000004</v>
      </c>
      <c r="T66" s="253" t="s">
        <v>142</v>
      </c>
    </row>
    <row r="67" spans="1:32" s="19" customFormat="1" ht="33" customHeight="1">
      <c r="A67" s="363" t="s">
        <v>148</v>
      </c>
      <c r="B67" s="364"/>
      <c r="C67" s="364"/>
      <c r="D67" s="364"/>
      <c r="E67" s="364"/>
      <c r="F67" s="365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294">
        <f>S64+S65+S66</f>
        <v>34241777.899999999</v>
      </c>
      <c r="T67" s="254" t="s">
        <v>225</v>
      </c>
    </row>
    <row r="68" spans="1:32" s="19" customFormat="1" ht="33" customHeight="1">
      <c r="A68" s="366" t="s">
        <v>150</v>
      </c>
      <c r="B68" s="367"/>
      <c r="C68" s="367"/>
      <c r="D68" s="367"/>
      <c r="E68" s="367"/>
      <c r="F68" s="368"/>
      <c r="G68" s="32">
        <f>COVER!B11</f>
        <v>1.5</v>
      </c>
      <c r="H68" s="32"/>
      <c r="I68" s="32" t="s">
        <v>142</v>
      </c>
      <c r="J68" s="32"/>
      <c r="K68" s="32"/>
      <c r="L68" s="32"/>
      <c r="M68" s="32"/>
      <c r="N68" s="32"/>
      <c r="O68" s="32"/>
      <c r="P68" s="32"/>
      <c r="Q68" s="32"/>
      <c r="R68" s="32"/>
      <c r="S68" s="36">
        <f>S67*G68</f>
        <v>51362666.849999994</v>
      </c>
      <c r="T68" s="253"/>
    </row>
    <row r="69" spans="1:32" s="19" customFormat="1" ht="33" customHeight="1">
      <c r="A69" s="369" t="s">
        <v>151</v>
      </c>
      <c r="B69" s="370"/>
      <c r="C69" s="370"/>
      <c r="D69" s="370"/>
      <c r="E69" s="370"/>
      <c r="F69" s="370"/>
      <c r="G69" s="371"/>
      <c r="H69" s="37"/>
      <c r="I69" s="38"/>
      <c r="J69" s="38"/>
      <c r="K69" s="38"/>
      <c r="L69" s="38"/>
      <c r="M69" s="38"/>
      <c r="N69" s="38"/>
      <c r="O69" s="38"/>
      <c r="P69" s="38"/>
      <c r="Q69" s="38"/>
      <c r="R69" s="39" t="s">
        <v>152</v>
      </c>
      <c r="S69" s="40">
        <f>S68</f>
        <v>51362666.849999994</v>
      </c>
      <c r="T69" s="246" t="s">
        <v>226</v>
      </c>
      <c r="V69" s="141" t="s">
        <v>862</v>
      </c>
      <c r="W69" s="140"/>
      <c r="X69" s="140"/>
      <c r="Y69" s="140"/>
      <c r="Z69" s="140"/>
      <c r="AA69" s="140"/>
      <c r="AB69" s="140"/>
      <c r="AC69" s="140"/>
      <c r="AD69" s="140"/>
      <c r="AE69" s="140"/>
      <c r="AF69" s="140"/>
    </row>
    <row r="70" spans="1:32" s="19" customFormat="1" ht="33" customHeight="1" thickBot="1">
      <c r="A70" s="372"/>
      <c r="B70" s="373"/>
      <c r="C70" s="373"/>
      <c r="D70" s="373"/>
      <c r="E70" s="373"/>
      <c r="F70" s="373"/>
      <c r="G70" s="374"/>
      <c r="H70" s="41"/>
      <c r="I70" s="42"/>
      <c r="J70" s="42"/>
      <c r="K70" s="42"/>
      <c r="L70" s="42"/>
      <c r="M70" s="42"/>
      <c r="N70" s="42"/>
      <c r="O70" s="42"/>
      <c r="P70" s="42"/>
      <c r="Q70" s="42"/>
      <c r="R70" s="43" t="s">
        <v>227</v>
      </c>
      <c r="S70" s="43">
        <f>S64*G68</f>
        <v>42448485</v>
      </c>
      <c r="T70" s="247" t="s">
        <v>228</v>
      </c>
      <c r="V70" s="141" t="s">
        <v>1459</v>
      </c>
      <c r="W70" s="140"/>
      <c r="X70" s="140"/>
      <c r="Y70" s="140"/>
      <c r="Z70" s="140"/>
      <c r="AA70" s="140"/>
      <c r="AB70" s="140"/>
      <c r="AC70" s="140"/>
      <c r="AD70" s="140"/>
      <c r="AE70" s="140"/>
      <c r="AF70" s="140"/>
    </row>
    <row r="71" spans="1:32" ht="15" thickBot="1">
      <c r="V71" s="140"/>
      <c r="W71" s="140"/>
      <c r="X71" s="140"/>
      <c r="Y71" s="140"/>
      <c r="Z71" s="140"/>
      <c r="AA71" s="140"/>
      <c r="AB71" s="140"/>
      <c r="AC71" s="140"/>
      <c r="AD71" s="140"/>
      <c r="AE71" s="140"/>
      <c r="AF71" s="140"/>
    </row>
    <row r="72" spans="1:32" ht="21" thickBot="1">
      <c r="C72" s="44" t="s">
        <v>229</v>
      </c>
      <c r="V72" s="193" t="s">
        <v>863</v>
      </c>
      <c r="W72" s="194" t="s">
        <v>864</v>
      </c>
      <c r="X72" s="194" t="s">
        <v>865</v>
      </c>
      <c r="Y72" s="358" t="s">
        <v>866</v>
      </c>
      <c r="Z72" s="358"/>
      <c r="AA72" s="358"/>
      <c r="AB72" s="358"/>
      <c r="AC72" s="358"/>
      <c r="AD72" s="358"/>
      <c r="AE72" s="358"/>
      <c r="AF72" s="218" t="s">
        <v>867</v>
      </c>
    </row>
    <row r="73" spans="1:32" ht="20.399999999999999">
      <c r="C73" s="44" t="s">
        <v>156</v>
      </c>
      <c r="V73" s="336" t="s">
        <v>868</v>
      </c>
      <c r="W73" s="111" t="s">
        <v>869</v>
      </c>
      <c r="X73" s="111" t="s">
        <v>1460</v>
      </c>
      <c r="Y73" s="345" t="s">
        <v>870</v>
      </c>
      <c r="Z73" s="345"/>
      <c r="AA73" s="345"/>
      <c r="AB73" s="345"/>
      <c r="AC73" s="345"/>
      <c r="AD73" s="345"/>
      <c r="AE73" s="345"/>
      <c r="AF73" s="161" t="s">
        <v>871</v>
      </c>
    </row>
    <row r="74" spans="1:32" ht="21" thickBot="1">
      <c r="C74" s="44" t="s">
        <v>230</v>
      </c>
      <c r="V74" s="342"/>
      <c r="W74" s="133" t="s">
        <v>872</v>
      </c>
      <c r="X74" s="219" t="s">
        <v>457</v>
      </c>
      <c r="Y74" s="346" t="s">
        <v>870</v>
      </c>
      <c r="Z74" s="346"/>
      <c r="AA74" s="346"/>
      <c r="AB74" s="346"/>
      <c r="AC74" s="346"/>
      <c r="AD74" s="346"/>
      <c r="AE74" s="346"/>
      <c r="AF74" s="195" t="s">
        <v>871</v>
      </c>
    </row>
    <row r="75" spans="1:32" ht="21" thickBot="1">
      <c r="C75" s="44" t="s">
        <v>158</v>
      </c>
      <c r="V75" s="196" t="s">
        <v>874</v>
      </c>
      <c r="W75" s="137" t="s">
        <v>875</v>
      </c>
      <c r="X75" s="137" t="s">
        <v>1461</v>
      </c>
      <c r="Y75" s="359" t="s">
        <v>870</v>
      </c>
      <c r="Z75" s="359"/>
      <c r="AA75" s="359"/>
      <c r="AB75" s="359"/>
      <c r="AC75" s="359"/>
      <c r="AD75" s="359"/>
      <c r="AE75" s="359"/>
      <c r="AF75" s="197" t="s">
        <v>871</v>
      </c>
    </row>
    <row r="76" spans="1:32" ht="20.399999999999999">
      <c r="C76" s="44" t="s">
        <v>231</v>
      </c>
      <c r="V76" s="336" t="s">
        <v>877</v>
      </c>
      <c r="W76" s="111" t="s">
        <v>846</v>
      </c>
      <c r="X76" s="354">
        <v>1312200</v>
      </c>
      <c r="Y76" s="354"/>
      <c r="Z76" s="354"/>
      <c r="AA76" s="354"/>
      <c r="AB76" s="354"/>
      <c r="AC76" s="354"/>
      <c r="AD76" s="354"/>
      <c r="AE76" s="354"/>
      <c r="AF76" s="161"/>
    </row>
    <row r="77" spans="1:32" ht="21" thickBot="1">
      <c r="C77" s="44" t="s">
        <v>232</v>
      </c>
      <c r="V77" s="329"/>
      <c r="W77" s="125" t="s">
        <v>847</v>
      </c>
      <c r="X77" s="355">
        <v>1837100</v>
      </c>
      <c r="Y77" s="355"/>
      <c r="Z77" s="355"/>
      <c r="AA77" s="355"/>
      <c r="AB77" s="355"/>
      <c r="AC77" s="355"/>
      <c r="AD77" s="355"/>
      <c r="AE77" s="355"/>
      <c r="AF77" s="208"/>
    </row>
    <row r="78" spans="1:32" ht="20.399999999999999">
      <c r="C78" s="44" t="s">
        <v>233</v>
      </c>
      <c r="V78" s="336" t="s">
        <v>878</v>
      </c>
      <c r="W78" s="343" t="s">
        <v>1462</v>
      </c>
      <c r="X78" s="345" t="s">
        <v>879</v>
      </c>
      <c r="Y78" s="111" t="s">
        <v>880</v>
      </c>
      <c r="Z78" s="111">
        <v>304</v>
      </c>
      <c r="AA78" s="111" t="s">
        <v>881</v>
      </c>
      <c r="AB78" s="111" t="s">
        <v>882</v>
      </c>
      <c r="AC78" s="111" t="s">
        <v>883</v>
      </c>
      <c r="AD78" s="111" t="s">
        <v>884</v>
      </c>
      <c r="AE78" s="111" t="s">
        <v>885</v>
      </c>
      <c r="AF78" s="161"/>
    </row>
    <row r="79" spans="1:32" ht="20.399999999999999">
      <c r="C79" s="45"/>
      <c r="V79" s="337"/>
      <c r="W79" s="356"/>
      <c r="X79" s="357"/>
      <c r="Y79" s="116">
        <v>2406560</v>
      </c>
      <c r="Z79" s="116">
        <v>1770615</v>
      </c>
      <c r="AA79" s="116">
        <v>3219300</v>
      </c>
      <c r="AB79" s="116">
        <v>1411004</v>
      </c>
      <c r="AC79" s="116">
        <v>3180800</v>
      </c>
      <c r="AD79" s="116">
        <v>4133992</v>
      </c>
      <c r="AE79" s="293">
        <v>10805000</v>
      </c>
      <c r="AF79" s="214" t="s">
        <v>886</v>
      </c>
    </row>
    <row r="80" spans="1:32" ht="21" thickBot="1">
      <c r="C80" s="44" t="s">
        <v>234</v>
      </c>
      <c r="V80" s="132" t="s">
        <v>887</v>
      </c>
      <c r="W80" s="286" t="s">
        <v>1463</v>
      </c>
      <c r="X80" s="133" t="s">
        <v>909</v>
      </c>
      <c r="Y80" s="134">
        <v>57330</v>
      </c>
      <c r="Z80" s="134">
        <v>41180</v>
      </c>
      <c r="AA80" s="134">
        <v>77720</v>
      </c>
      <c r="AB80" s="134">
        <v>33335</v>
      </c>
      <c r="AC80" s="134">
        <v>77720</v>
      </c>
      <c r="AD80" s="134">
        <v>101907</v>
      </c>
      <c r="AE80" s="134">
        <v>642400</v>
      </c>
      <c r="AF80" s="195" t="s">
        <v>889</v>
      </c>
    </row>
    <row r="81" spans="3:32" ht="20.399999999999999">
      <c r="C81" s="46" t="s">
        <v>235</v>
      </c>
      <c r="V81" s="331" t="s">
        <v>890</v>
      </c>
      <c r="W81" s="352" t="s">
        <v>1464</v>
      </c>
      <c r="X81" s="328" t="s">
        <v>879</v>
      </c>
      <c r="Y81" s="198">
        <v>304</v>
      </c>
      <c r="Z81" s="198" t="s">
        <v>880</v>
      </c>
      <c r="AA81" s="198" t="s">
        <v>892</v>
      </c>
      <c r="AB81" s="199"/>
      <c r="AC81" s="199"/>
      <c r="AD81" s="199"/>
      <c r="AE81" s="199"/>
      <c r="AF81" s="206"/>
    </row>
    <row r="82" spans="3:32" ht="21" thickBot="1">
      <c r="C82" s="46" t="s">
        <v>164</v>
      </c>
      <c r="V82" s="329"/>
      <c r="W82" s="353"/>
      <c r="X82" s="327"/>
      <c r="Y82" s="126">
        <v>1017000</v>
      </c>
      <c r="Z82" s="126">
        <v>1262000</v>
      </c>
      <c r="AA82" s="126">
        <v>170000</v>
      </c>
      <c r="AB82" s="200"/>
      <c r="AC82" s="200"/>
      <c r="AD82" s="200"/>
      <c r="AE82" s="200"/>
      <c r="AF82" s="208"/>
    </row>
    <row r="83" spans="3:32" ht="20.399999999999999">
      <c r="C83" s="46" t="s">
        <v>165</v>
      </c>
      <c r="V83" s="336" t="s">
        <v>893</v>
      </c>
      <c r="W83" s="343" t="s">
        <v>1465</v>
      </c>
      <c r="X83" s="345" t="s">
        <v>879</v>
      </c>
      <c r="Y83" s="111" t="s">
        <v>895</v>
      </c>
      <c r="Z83" s="111" t="s">
        <v>896</v>
      </c>
      <c r="AA83" s="201"/>
      <c r="AB83" s="201"/>
      <c r="AC83" s="201"/>
      <c r="AD83" s="201"/>
      <c r="AE83" s="201"/>
      <c r="AF83" s="161"/>
    </row>
    <row r="84" spans="3:32" ht="21" thickBot="1">
      <c r="C84" s="46" t="s">
        <v>236</v>
      </c>
      <c r="V84" s="342"/>
      <c r="W84" s="344"/>
      <c r="X84" s="346"/>
      <c r="Y84" s="296">
        <v>581500</v>
      </c>
      <c r="Z84" s="296">
        <v>400000</v>
      </c>
      <c r="AA84" s="203"/>
      <c r="AB84" s="203"/>
      <c r="AC84" s="203"/>
      <c r="AD84" s="203"/>
      <c r="AE84" s="203"/>
      <c r="AF84" s="195" t="s">
        <v>958</v>
      </c>
    </row>
    <row r="85" spans="3:32" ht="21" thickBot="1">
      <c r="C85" s="46" t="s">
        <v>237</v>
      </c>
      <c r="V85" s="170" t="s">
        <v>898</v>
      </c>
      <c r="W85" s="288" t="s">
        <v>1466</v>
      </c>
      <c r="X85" s="125" t="s">
        <v>463</v>
      </c>
      <c r="Y85" s="126">
        <v>60800</v>
      </c>
      <c r="Z85" s="200"/>
      <c r="AA85" s="200"/>
      <c r="AB85" s="200"/>
      <c r="AC85" s="200"/>
      <c r="AD85" s="200"/>
      <c r="AE85" s="200"/>
      <c r="AF85" s="208"/>
    </row>
    <row r="86" spans="3:32" ht="21" thickBot="1">
      <c r="C86" s="46" t="s">
        <v>238</v>
      </c>
      <c r="V86" s="193" t="s">
        <v>904</v>
      </c>
      <c r="W86" s="289" t="s">
        <v>1467</v>
      </c>
      <c r="X86" s="194" t="s">
        <v>463</v>
      </c>
      <c r="Y86" s="210">
        <v>9500</v>
      </c>
      <c r="Z86" s="211"/>
      <c r="AA86" s="211"/>
      <c r="AB86" s="211"/>
      <c r="AC86" s="211"/>
      <c r="AD86" s="211"/>
      <c r="AE86" s="211"/>
      <c r="AF86" s="218"/>
    </row>
    <row r="87" spans="3:32" ht="20.399999999999999">
      <c r="C87" s="46" t="s">
        <v>169</v>
      </c>
      <c r="V87" s="336" t="s">
        <v>906</v>
      </c>
      <c r="W87" s="345"/>
      <c r="X87" s="345"/>
      <c r="Y87" s="111" t="s">
        <v>853</v>
      </c>
      <c r="Z87" s="111" t="s">
        <v>462</v>
      </c>
      <c r="AA87" s="111" t="s">
        <v>855</v>
      </c>
      <c r="AB87" s="201"/>
      <c r="AC87" s="201"/>
      <c r="AD87" s="201"/>
      <c r="AE87" s="201"/>
      <c r="AF87" s="161"/>
    </row>
    <row r="88" spans="3:32" ht="20.399999999999999">
      <c r="C88" s="47" t="s">
        <v>170</v>
      </c>
      <c r="V88" s="119" t="s">
        <v>907</v>
      </c>
      <c r="W88" s="290" t="s">
        <v>1468</v>
      </c>
      <c r="X88" s="115" t="s">
        <v>978</v>
      </c>
      <c r="Y88" s="116">
        <v>14000</v>
      </c>
      <c r="Z88" s="116">
        <v>17000</v>
      </c>
      <c r="AA88" s="116">
        <v>12500</v>
      </c>
      <c r="AB88" s="213"/>
      <c r="AC88" s="213"/>
      <c r="AD88" s="213"/>
      <c r="AE88" s="213"/>
      <c r="AF88" s="214" t="s">
        <v>910</v>
      </c>
    </row>
    <row r="89" spans="3:32" ht="20.399999999999999">
      <c r="C89" s="48"/>
      <c r="V89" s="119" t="s">
        <v>911</v>
      </c>
      <c r="W89" s="290" t="s">
        <v>1469</v>
      </c>
      <c r="X89" s="115" t="s">
        <v>915</v>
      </c>
      <c r="Y89" s="116">
        <v>46000</v>
      </c>
      <c r="Z89" s="116">
        <v>50000</v>
      </c>
      <c r="AA89" s="116">
        <v>28000</v>
      </c>
      <c r="AB89" s="213"/>
      <c r="AC89" s="213"/>
      <c r="AD89" s="213"/>
      <c r="AE89" s="213"/>
      <c r="AF89" s="214" t="s">
        <v>910</v>
      </c>
    </row>
    <row r="90" spans="3:32" ht="20.399999999999999">
      <c r="C90" s="46" t="s">
        <v>142</v>
      </c>
      <c r="V90" s="119" t="s">
        <v>913</v>
      </c>
      <c r="W90" s="290" t="s">
        <v>1151</v>
      </c>
      <c r="X90" s="115" t="s">
        <v>909</v>
      </c>
      <c r="Y90" s="116">
        <v>5000</v>
      </c>
      <c r="Z90" s="116">
        <v>7000</v>
      </c>
      <c r="AA90" s="116">
        <v>2500</v>
      </c>
      <c r="AB90" s="213"/>
      <c r="AC90" s="213"/>
      <c r="AD90" s="213"/>
      <c r="AE90" s="213"/>
      <c r="AF90" s="214" t="s">
        <v>910</v>
      </c>
    </row>
    <row r="91" spans="3:32" ht="20.399999999999999">
      <c r="C91" s="44" t="s">
        <v>171</v>
      </c>
      <c r="V91" s="119" t="s">
        <v>913</v>
      </c>
      <c r="W91" s="290" t="s">
        <v>1470</v>
      </c>
      <c r="X91" s="115" t="s">
        <v>1471</v>
      </c>
      <c r="Y91" s="116">
        <v>5000</v>
      </c>
      <c r="Z91" s="116">
        <v>7000</v>
      </c>
      <c r="AA91" s="116">
        <v>2500</v>
      </c>
      <c r="AB91" s="213"/>
      <c r="AC91" s="213"/>
      <c r="AD91" s="213"/>
      <c r="AE91" s="213"/>
      <c r="AF91" s="214" t="s">
        <v>910</v>
      </c>
    </row>
    <row r="92" spans="3:32" ht="20.399999999999999">
      <c r="C92" s="46" t="s">
        <v>239</v>
      </c>
      <c r="V92" s="119" t="s">
        <v>916</v>
      </c>
      <c r="W92" s="290" t="s">
        <v>1472</v>
      </c>
      <c r="X92" s="115" t="s">
        <v>915</v>
      </c>
      <c r="Y92" s="116">
        <v>6000</v>
      </c>
      <c r="Z92" s="116">
        <v>9000</v>
      </c>
      <c r="AA92" s="116">
        <v>4000</v>
      </c>
      <c r="AB92" s="213"/>
      <c r="AC92" s="213"/>
      <c r="AD92" s="213"/>
      <c r="AE92" s="213"/>
      <c r="AF92" s="214" t="s">
        <v>910</v>
      </c>
    </row>
    <row r="93" spans="3:32" ht="21" thickBot="1">
      <c r="C93" s="46" t="s">
        <v>240</v>
      </c>
      <c r="V93" s="170" t="s">
        <v>918</v>
      </c>
      <c r="W93" s="288" t="s">
        <v>1453</v>
      </c>
      <c r="X93" s="125" t="s">
        <v>982</v>
      </c>
      <c r="Y93" s="126">
        <v>7500</v>
      </c>
      <c r="Z93" s="126">
        <v>8000</v>
      </c>
      <c r="AA93" s="126">
        <v>5000</v>
      </c>
      <c r="AB93" s="200"/>
      <c r="AC93" s="200"/>
      <c r="AD93" s="200"/>
      <c r="AE93" s="200"/>
      <c r="AF93" s="208" t="s">
        <v>910</v>
      </c>
    </row>
    <row r="94" spans="3:32" ht="18" thickBot="1">
      <c r="V94" s="105" t="s">
        <v>1155</v>
      </c>
      <c r="W94" s="291" t="s">
        <v>1473</v>
      </c>
      <c r="X94" s="103" t="s">
        <v>879</v>
      </c>
      <c r="Y94" s="216">
        <v>130000</v>
      </c>
      <c r="Z94" s="217"/>
      <c r="AA94" s="217"/>
      <c r="AB94" s="217"/>
      <c r="AC94" s="217"/>
      <c r="AD94" s="217"/>
      <c r="AE94" s="217"/>
      <c r="AF94" s="107"/>
    </row>
    <row r="95" spans="3:32" ht="14.4">
      <c r="V95" s="336" t="s">
        <v>922</v>
      </c>
      <c r="W95" s="345"/>
      <c r="X95" s="345"/>
      <c r="Y95" s="111" t="s">
        <v>923</v>
      </c>
      <c r="Z95" s="111" t="s">
        <v>924</v>
      </c>
      <c r="AA95" s="201"/>
      <c r="AB95" s="201"/>
      <c r="AC95" s="201"/>
      <c r="AD95" s="201"/>
      <c r="AE95" s="201"/>
      <c r="AF95" s="161"/>
    </row>
    <row r="96" spans="3:32" s="228" customFormat="1" ht="17.399999999999999">
      <c r="C96" s="227"/>
      <c r="V96" s="329" t="s">
        <v>925</v>
      </c>
      <c r="W96" s="290" t="s">
        <v>1474</v>
      </c>
      <c r="X96" s="115" t="s">
        <v>879</v>
      </c>
      <c r="Y96" s="116">
        <v>422500</v>
      </c>
      <c r="Z96" s="116">
        <v>174000</v>
      </c>
      <c r="AA96" s="213"/>
      <c r="AB96" s="213"/>
      <c r="AC96" s="213"/>
      <c r="AD96" s="213"/>
      <c r="AE96" s="213"/>
      <c r="AF96" s="214" t="s">
        <v>889</v>
      </c>
    </row>
    <row r="97" spans="3:32" s="228" customFormat="1" ht="17.399999999999999">
      <c r="C97" s="227"/>
      <c r="V97" s="331"/>
      <c r="W97" s="290" t="s">
        <v>1475</v>
      </c>
      <c r="X97" s="115" t="s">
        <v>879</v>
      </c>
      <c r="Y97" s="116">
        <v>384300</v>
      </c>
      <c r="Z97" s="116">
        <v>142000</v>
      </c>
      <c r="AA97" s="213"/>
      <c r="AB97" s="213"/>
      <c r="AC97" s="213"/>
      <c r="AD97" s="213"/>
      <c r="AE97" s="213"/>
      <c r="AF97" s="214" t="s">
        <v>889</v>
      </c>
    </row>
    <row r="98" spans="3:32" ht="17.399999999999999">
      <c r="V98" s="329" t="s">
        <v>926</v>
      </c>
      <c r="W98" s="290" t="s">
        <v>1474</v>
      </c>
      <c r="X98" s="115" t="s">
        <v>879</v>
      </c>
      <c r="Y98" s="116">
        <v>422500</v>
      </c>
      <c r="Z98" s="116">
        <v>174000</v>
      </c>
      <c r="AA98" s="213"/>
      <c r="AB98" s="213"/>
      <c r="AC98" s="213"/>
      <c r="AD98" s="213"/>
      <c r="AE98" s="213"/>
      <c r="AF98" s="214" t="s">
        <v>889</v>
      </c>
    </row>
    <row r="99" spans="3:32" ht="17.399999999999999">
      <c r="V99" s="331"/>
      <c r="W99" s="290" t="s">
        <v>1476</v>
      </c>
      <c r="X99" s="115" t="s">
        <v>879</v>
      </c>
      <c r="Y99" s="116">
        <v>153100</v>
      </c>
      <c r="Z99" s="116">
        <v>69400</v>
      </c>
      <c r="AA99" s="213"/>
      <c r="AB99" s="213"/>
      <c r="AC99" s="213"/>
      <c r="AD99" s="213"/>
      <c r="AE99" s="213"/>
      <c r="AF99" s="214" t="s">
        <v>889</v>
      </c>
    </row>
    <row r="100" spans="3:32" ht="17.399999999999999">
      <c r="V100" s="119" t="s">
        <v>927</v>
      </c>
      <c r="W100" s="290" t="s">
        <v>1477</v>
      </c>
      <c r="X100" s="115" t="s">
        <v>879</v>
      </c>
      <c r="Y100" s="116">
        <v>385500</v>
      </c>
      <c r="Z100" s="116">
        <v>334000</v>
      </c>
      <c r="AA100" s="213"/>
      <c r="AB100" s="213"/>
      <c r="AC100" s="213"/>
      <c r="AD100" s="213"/>
      <c r="AE100" s="213"/>
      <c r="AF100" s="214" t="s">
        <v>889</v>
      </c>
    </row>
    <row r="101" spans="3:32" ht="17.399999999999999">
      <c r="V101" s="119" t="s">
        <v>929</v>
      </c>
      <c r="W101" s="290" t="s">
        <v>1478</v>
      </c>
      <c r="X101" s="115" t="s">
        <v>879</v>
      </c>
      <c r="Y101" s="116">
        <v>61300</v>
      </c>
      <c r="Z101" s="116">
        <v>106000</v>
      </c>
      <c r="AA101" s="213"/>
      <c r="AB101" s="213"/>
      <c r="AC101" s="213"/>
      <c r="AD101" s="213"/>
      <c r="AE101" s="213"/>
      <c r="AF101" s="214" t="s">
        <v>889</v>
      </c>
    </row>
    <row r="102" spans="3:32" ht="17.399999999999999">
      <c r="V102" s="119" t="s">
        <v>931</v>
      </c>
      <c r="W102" s="290" t="s">
        <v>1479</v>
      </c>
      <c r="X102" s="115" t="s">
        <v>879</v>
      </c>
      <c r="Y102" s="116">
        <v>104000</v>
      </c>
      <c r="Z102" s="116">
        <v>104000</v>
      </c>
      <c r="AA102" s="213"/>
      <c r="AB102" s="213"/>
      <c r="AC102" s="213"/>
      <c r="AD102" s="213"/>
      <c r="AE102" s="213"/>
      <c r="AF102" s="214" t="s">
        <v>889</v>
      </c>
    </row>
    <row r="103" spans="3:32" ht="17.399999999999999">
      <c r="V103" s="119" t="s">
        <v>933</v>
      </c>
      <c r="W103" s="290" t="s">
        <v>1480</v>
      </c>
      <c r="X103" s="115" t="s">
        <v>888</v>
      </c>
      <c r="Y103" s="116">
        <v>94500</v>
      </c>
      <c r="Z103" s="116">
        <v>86000</v>
      </c>
      <c r="AA103" s="213"/>
      <c r="AB103" s="213"/>
      <c r="AC103" s="213"/>
      <c r="AD103" s="213"/>
      <c r="AE103" s="213"/>
      <c r="AF103" s="214" t="s">
        <v>889</v>
      </c>
    </row>
    <row r="104" spans="3:32" ht="18" thickBot="1">
      <c r="V104" s="132" t="s">
        <v>935</v>
      </c>
      <c r="W104" s="286" t="s">
        <v>1481</v>
      </c>
      <c r="X104" s="133" t="s">
        <v>888</v>
      </c>
      <c r="Y104" s="134">
        <v>28000</v>
      </c>
      <c r="Z104" s="134">
        <v>129000</v>
      </c>
      <c r="AA104" s="203"/>
      <c r="AB104" s="203"/>
      <c r="AC104" s="203"/>
      <c r="AD104" s="203"/>
      <c r="AE104" s="203"/>
      <c r="AF104" s="195" t="s">
        <v>889</v>
      </c>
    </row>
    <row r="105" spans="3:32" ht="14.4">
      <c r="V105" s="331" t="s">
        <v>937</v>
      </c>
      <c r="W105" s="352" t="s">
        <v>1482</v>
      </c>
      <c r="X105" s="328" t="s">
        <v>879</v>
      </c>
      <c r="Y105" s="198" t="s">
        <v>741</v>
      </c>
      <c r="Z105" s="198">
        <v>316</v>
      </c>
      <c r="AA105" s="198">
        <v>304</v>
      </c>
      <c r="AB105" s="199"/>
      <c r="AC105" s="199"/>
      <c r="AD105" s="199"/>
      <c r="AE105" s="199"/>
      <c r="AF105" s="347" t="s">
        <v>940</v>
      </c>
    </row>
    <row r="106" spans="3:32" ht="15" thickBot="1">
      <c r="V106" s="329"/>
      <c r="W106" s="353"/>
      <c r="X106" s="327"/>
      <c r="Y106" s="126">
        <v>67320</v>
      </c>
      <c r="Z106" s="126">
        <v>274450</v>
      </c>
      <c r="AA106" s="126">
        <v>205425</v>
      </c>
      <c r="AB106" s="200"/>
      <c r="AC106" s="200"/>
      <c r="AD106" s="200"/>
      <c r="AE106" s="200"/>
      <c r="AF106" s="348"/>
    </row>
    <row r="107" spans="3:32" ht="14.4">
      <c r="V107" s="336" t="s">
        <v>985</v>
      </c>
      <c r="W107" s="343" t="s">
        <v>1483</v>
      </c>
      <c r="X107" s="111" t="s">
        <v>986</v>
      </c>
      <c r="Y107" s="111" t="s">
        <v>466</v>
      </c>
      <c r="Z107" s="111" t="s">
        <v>988</v>
      </c>
      <c r="AA107" s="111" t="s">
        <v>989</v>
      </c>
      <c r="AB107" s="111" t="s">
        <v>990</v>
      </c>
      <c r="AC107" s="201"/>
      <c r="AD107" s="201"/>
      <c r="AE107" s="201"/>
      <c r="AF107" s="347" t="s">
        <v>991</v>
      </c>
    </row>
    <row r="108" spans="3:32" ht="15" thickBot="1">
      <c r="V108" s="342"/>
      <c r="W108" s="344"/>
      <c r="X108" s="221">
        <v>250</v>
      </c>
      <c r="Y108" s="433" t="s">
        <v>870</v>
      </c>
      <c r="Z108" s="434"/>
      <c r="AA108" s="134">
        <v>300000</v>
      </c>
      <c r="AB108" s="134">
        <v>380000</v>
      </c>
      <c r="AC108" s="203"/>
      <c r="AD108" s="203"/>
      <c r="AE108" s="203"/>
      <c r="AF108" s="348"/>
    </row>
    <row r="114" spans="22:32" ht="13.8" thickBot="1"/>
    <row r="115" spans="22:32" ht="30" customHeight="1">
      <c r="V115" s="336" t="s">
        <v>1516</v>
      </c>
      <c r="W115" s="338"/>
      <c r="X115" s="340"/>
      <c r="Y115" s="171" t="s">
        <v>1517</v>
      </c>
      <c r="Z115" s="171" t="s">
        <v>1518</v>
      </c>
      <c r="AA115" s="171" t="s">
        <v>1519</v>
      </c>
      <c r="AB115" s="171"/>
      <c r="AC115" s="171"/>
      <c r="AD115" s="171"/>
      <c r="AE115" s="171"/>
      <c r="AF115" s="172"/>
    </row>
    <row r="116" spans="22:32" ht="30" customHeight="1" thickBot="1">
      <c r="V116" s="337"/>
      <c r="W116" s="339"/>
      <c r="X116" s="341"/>
      <c r="Y116" s="173">
        <v>420000</v>
      </c>
      <c r="Z116" s="173">
        <f>IF(F8&gt;0,E8*520,IF(F9&gt;0,E9*520))</f>
        <v>814320</v>
      </c>
      <c r="AA116" s="173">
        <f>IF(F8&gt;0,E8*620,IF(F9&gt;0,E9*620))</f>
        <v>970920</v>
      </c>
      <c r="AB116" s="173"/>
      <c r="AC116" s="173"/>
      <c r="AD116" s="173"/>
      <c r="AE116" s="173"/>
      <c r="AF116" s="174"/>
    </row>
    <row r="117" spans="22:32" ht="30" customHeight="1">
      <c r="V117" s="336" t="s">
        <v>1520</v>
      </c>
      <c r="W117" s="338"/>
      <c r="X117" s="340"/>
      <c r="Y117" s="171" t="s">
        <v>1517</v>
      </c>
      <c r="Z117" s="171" t="s">
        <v>1521</v>
      </c>
      <c r="AA117" s="171"/>
      <c r="AB117" s="171"/>
      <c r="AC117" s="171"/>
      <c r="AD117" s="171"/>
      <c r="AE117" s="171"/>
      <c r="AF117" s="172"/>
    </row>
    <row r="118" spans="22:32" ht="30" customHeight="1" thickBot="1">
      <c r="V118" s="337"/>
      <c r="W118" s="339"/>
      <c r="X118" s="341"/>
      <c r="Y118" s="173">
        <v>525000</v>
      </c>
      <c r="Z118" s="173">
        <f>Y118</f>
        <v>525000</v>
      </c>
      <c r="AA118" s="173"/>
      <c r="AB118" s="173"/>
      <c r="AC118" s="173"/>
      <c r="AD118" s="173"/>
      <c r="AE118" s="173"/>
      <c r="AF118" s="174"/>
    </row>
    <row r="119" spans="22:32" ht="30" customHeight="1">
      <c r="V119" s="336" t="s">
        <v>1522</v>
      </c>
      <c r="W119" s="338"/>
      <c r="X119" s="340"/>
      <c r="Y119" s="171" t="s">
        <v>1523</v>
      </c>
      <c r="Z119" s="171" t="s">
        <v>1524</v>
      </c>
      <c r="AA119" s="171" t="s">
        <v>1525</v>
      </c>
      <c r="AB119" s="171"/>
      <c r="AC119" s="171"/>
      <c r="AD119" s="171"/>
      <c r="AE119" s="171"/>
      <c r="AF119" s="172"/>
    </row>
    <row r="120" spans="22:32" ht="30" customHeight="1">
      <c r="V120" s="337"/>
      <c r="W120" s="339"/>
      <c r="X120" s="341"/>
      <c r="Y120" s="306">
        <v>700000</v>
      </c>
      <c r="Z120" s="306">
        <v>1000000</v>
      </c>
      <c r="AA120" s="306">
        <v>2400000</v>
      </c>
      <c r="AB120" s="173"/>
      <c r="AC120" s="173"/>
      <c r="AD120" s="173"/>
      <c r="AE120" s="173"/>
      <c r="AF120" s="174"/>
    </row>
  </sheetData>
  <mergeCells count="66">
    <mergeCell ref="A66:F66"/>
    <mergeCell ref="A67:F67"/>
    <mergeCell ref="A68:F68"/>
    <mergeCell ref="A69:G70"/>
    <mergeCell ref="A8:A61"/>
    <mergeCell ref="A62:F62"/>
    <mergeCell ref="A63:F63"/>
    <mergeCell ref="A64:F64"/>
    <mergeCell ref="A65:F65"/>
    <mergeCell ref="T3:T7"/>
    <mergeCell ref="A5:B7"/>
    <mergeCell ref="C5:C7"/>
    <mergeCell ref="D5:D7"/>
    <mergeCell ref="E5:G6"/>
    <mergeCell ref="H5:H6"/>
    <mergeCell ref="I5:Q5"/>
    <mergeCell ref="R5:R7"/>
    <mergeCell ref="S5:S7"/>
    <mergeCell ref="A1:S1"/>
    <mergeCell ref="A3:B4"/>
    <mergeCell ref="C3:C4"/>
    <mergeCell ref="D3:D4"/>
    <mergeCell ref="E3:E4"/>
    <mergeCell ref="F3:F4"/>
    <mergeCell ref="G3:G4"/>
    <mergeCell ref="H3:Q4"/>
    <mergeCell ref="R3:R4"/>
    <mergeCell ref="S3:S4"/>
    <mergeCell ref="Y72:AE72"/>
    <mergeCell ref="V73:V74"/>
    <mergeCell ref="Y73:AE73"/>
    <mergeCell ref="Y74:AE74"/>
    <mergeCell ref="Y75:AE75"/>
    <mergeCell ref="V76:V77"/>
    <mergeCell ref="X76:AE76"/>
    <mergeCell ref="X77:AE77"/>
    <mergeCell ref="V78:V79"/>
    <mergeCell ref="W78:W79"/>
    <mergeCell ref="X78:X79"/>
    <mergeCell ref="V87:X87"/>
    <mergeCell ref="V95:X95"/>
    <mergeCell ref="V81:V82"/>
    <mergeCell ref="W81:W82"/>
    <mergeCell ref="X81:X82"/>
    <mergeCell ref="V83:V84"/>
    <mergeCell ref="W83:W84"/>
    <mergeCell ref="X83:X84"/>
    <mergeCell ref="V96:V97"/>
    <mergeCell ref="V98:V99"/>
    <mergeCell ref="V105:V106"/>
    <mergeCell ref="W105:W106"/>
    <mergeCell ref="X105:X106"/>
    <mergeCell ref="AF105:AF106"/>
    <mergeCell ref="V107:V108"/>
    <mergeCell ref="W107:W108"/>
    <mergeCell ref="AF107:AF108"/>
    <mergeCell ref="Y108:Z108"/>
    <mergeCell ref="V119:V120"/>
    <mergeCell ref="W119:W120"/>
    <mergeCell ref="X119:X120"/>
    <mergeCell ref="V115:V116"/>
    <mergeCell ref="W115:W116"/>
    <mergeCell ref="X115:X116"/>
    <mergeCell ref="V117:V118"/>
    <mergeCell ref="W117:W118"/>
    <mergeCell ref="X117:X118"/>
  </mergeCells>
  <phoneticPr fontId="3" type="noConversion"/>
  <printOptions horizontalCentered="1"/>
  <pageMargins left="0.39370078740157483" right="0.39370078740157483" top="0.39370078740157483" bottom="0.15748031496062992" header="0.51181102362204722" footer="0.51181102362204722"/>
  <pageSetup paperSize="9" scale="45" orientation="portrait" r:id="rId1"/>
  <headerFooter alignWithMargins="0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FF00"/>
  </sheetPr>
  <dimension ref="A1:AF120"/>
  <sheetViews>
    <sheetView showGridLines="0" view="pageBreakPreview" zoomScale="70" zoomScaleNormal="55" zoomScaleSheetLayoutView="70" workbookViewId="0">
      <pane xSplit="7" ySplit="7" topLeftCell="R8" activePane="bottomRight" state="frozen"/>
      <selection activeCell="Y116" sqref="Y116"/>
      <selection pane="topRight" activeCell="Y116" sqref="Y116"/>
      <selection pane="bottomLeft" activeCell="Y116" sqref="Y116"/>
      <selection pane="bottomRight" activeCell="T120" sqref="T120"/>
    </sheetView>
  </sheetViews>
  <sheetFormatPr defaultColWidth="8.8984375" defaultRowHeight="13.2"/>
  <cols>
    <col min="1" max="1" width="3.3984375" style="3" customWidth="1"/>
    <col min="2" max="2" width="9.5" style="3" customWidth="1"/>
    <col min="3" max="3" width="25.19921875" style="49" customWidth="1"/>
    <col min="4" max="5" width="13.09765625" style="3" customWidth="1"/>
    <col min="6" max="7" width="15.09765625" style="3" customWidth="1"/>
    <col min="8" max="8" width="15.09765625" style="3" hidden="1" customWidth="1"/>
    <col min="9" max="17" width="15.69921875" style="3" hidden="1" customWidth="1"/>
    <col min="18" max="18" width="15.69921875" style="3" customWidth="1"/>
    <col min="19" max="19" width="26.8984375" style="3" customWidth="1"/>
    <col min="20" max="20" width="30.09765625" style="3" customWidth="1"/>
    <col min="21" max="21" width="15.296875" style="3" bestFit="1" customWidth="1"/>
    <col min="22" max="22" width="48.69921875" style="3" bestFit="1" customWidth="1"/>
    <col min="23" max="23" width="48.09765625" style="3" bestFit="1" customWidth="1"/>
    <col min="24" max="24" width="10.5" style="3" bestFit="1" customWidth="1"/>
    <col min="25" max="25" width="12.69921875" style="3" bestFit="1" customWidth="1"/>
    <col min="26" max="26" width="14" style="3" bestFit="1" customWidth="1"/>
    <col min="27" max="27" width="12.5" style="3" bestFit="1" customWidth="1"/>
    <col min="28" max="28" width="13" style="3" bestFit="1" customWidth="1"/>
    <col min="29" max="30" width="11.5" style="3" bestFit="1" customWidth="1"/>
    <col min="31" max="31" width="14.59765625" style="3" bestFit="1" customWidth="1"/>
    <col min="32" max="32" width="18.3984375" style="3" bestFit="1" customWidth="1"/>
    <col min="33" max="16384" width="8.8984375" style="3"/>
  </cols>
  <sheetData>
    <row r="1" spans="1:20" s="2" customFormat="1" ht="51" customHeight="1" thickBot="1">
      <c r="A1" s="411" t="s">
        <v>1312</v>
      </c>
      <c r="B1" s="412"/>
      <c r="C1" s="412"/>
      <c r="D1" s="412"/>
      <c r="E1" s="412"/>
      <c r="F1" s="412"/>
      <c r="G1" s="412"/>
      <c r="H1" s="412"/>
      <c r="I1" s="412"/>
      <c r="J1" s="412"/>
      <c r="K1" s="412"/>
      <c r="L1" s="412"/>
      <c r="M1" s="412"/>
      <c r="N1" s="412"/>
      <c r="O1" s="412"/>
      <c r="P1" s="412"/>
      <c r="Q1" s="412"/>
      <c r="R1" s="412"/>
      <c r="S1" s="412"/>
      <c r="T1" s="1"/>
    </row>
    <row r="2" spans="1:20" s="2" customFormat="1" ht="30" customHeight="1" thickBot="1">
      <c r="A2" s="3"/>
      <c r="B2" s="3"/>
      <c r="T2" s="4" t="s">
        <v>0</v>
      </c>
    </row>
    <row r="3" spans="1:20" s="5" customFormat="1" ht="24" customHeight="1">
      <c r="A3" s="413" t="s">
        <v>272</v>
      </c>
      <c r="B3" s="414"/>
      <c r="C3" s="417" t="s">
        <v>273</v>
      </c>
      <c r="D3" s="419" t="s">
        <v>1217</v>
      </c>
      <c r="E3" s="421" t="s">
        <v>1313</v>
      </c>
      <c r="F3" s="423" t="s">
        <v>1218</v>
      </c>
      <c r="G3" s="425" t="str">
        <f>COVER!B9</f>
        <v>FLANGE</v>
      </c>
      <c r="H3" s="421" t="s">
        <v>1219</v>
      </c>
      <c r="I3" s="427"/>
      <c r="J3" s="427"/>
      <c r="K3" s="427"/>
      <c r="L3" s="427"/>
      <c r="M3" s="427"/>
      <c r="N3" s="427"/>
      <c r="O3" s="427"/>
      <c r="P3" s="427"/>
      <c r="Q3" s="428"/>
      <c r="R3" s="423" t="s">
        <v>1220</v>
      </c>
      <c r="S3" s="431" t="s">
        <v>1221</v>
      </c>
      <c r="T3" s="381" t="s">
        <v>1222</v>
      </c>
    </row>
    <row r="4" spans="1:20" s="5" customFormat="1" ht="24" customHeight="1">
      <c r="A4" s="415"/>
      <c r="B4" s="416"/>
      <c r="C4" s="418"/>
      <c r="D4" s="420"/>
      <c r="E4" s="422"/>
      <c r="F4" s="424"/>
      <c r="G4" s="426"/>
      <c r="H4" s="422"/>
      <c r="I4" s="429"/>
      <c r="J4" s="429"/>
      <c r="K4" s="429"/>
      <c r="L4" s="429"/>
      <c r="M4" s="429"/>
      <c r="N4" s="429"/>
      <c r="O4" s="429"/>
      <c r="P4" s="429"/>
      <c r="Q4" s="430"/>
      <c r="R4" s="424"/>
      <c r="S4" s="410"/>
      <c r="T4" s="382"/>
    </row>
    <row r="5" spans="1:20" s="5" customFormat="1" ht="24" customHeight="1">
      <c r="A5" s="384" t="s">
        <v>274</v>
      </c>
      <c r="B5" s="385"/>
      <c r="C5" s="390" t="s">
        <v>275</v>
      </c>
      <c r="D5" s="393" t="s">
        <v>1223</v>
      </c>
      <c r="E5" s="396" t="s">
        <v>1224</v>
      </c>
      <c r="F5" s="397"/>
      <c r="G5" s="398"/>
      <c r="H5" s="402" t="s">
        <v>1225</v>
      </c>
      <c r="I5" s="404" t="s">
        <v>1226</v>
      </c>
      <c r="J5" s="405"/>
      <c r="K5" s="405"/>
      <c r="L5" s="405"/>
      <c r="M5" s="405"/>
      <c r="N5" s="405"/>
      <c r="O5" s="405"/>
      <c r="P5" s="405"/>
      <c r="Q5" s="405"/>
      <c r="R5" s="406" t="s">
        <v>1227</v>
      </c>
      <c r="S5" s="408" t="s">
        <v>1228</v>
      </c>
      <c r="T5" s="382"/>
    </row>
    <row r="6" spans="1:20" s="5" customFormat="1" ht="24" customHeight="1">
      <c r="A6" s="386"/>
      <c r="B6" s="387"/>
      <c r="C6" s="391"/>
      <c r="D6" s="394"/>
      <c r="E6" s="399"/>
      <c r="F6" s="400"/>
      <c r="G6" s="401"/>
      <c r="H6" s="403"/>
      <c r="I6" s="8" t="s">
        <v>1229</v>
      </c>
      <c r="J6" s="8" t="s">
        <v>1230</v>
      </c>
      <c r="K6" s="8" t="s">
        <v>1231</v>
      </c>
      <c r="L6" s="9" t="s">
        <v>1232</v>
      </c>
      <c r="M6" s="9" t="s">
        <v>1233</v>
      </c>
      <c r="N6" s="8" t="s">
        <v>1234</v>
      </c>
      <c r="O6" s="8" t="s">
        <v>1235</v>
      </c>
      <c r="P6" s="8" t="s">
        <v>1236</v>
      </c>
      <c r="Q6" s="10" t="s">
        <v>1237</v>
      </c>
      <c r="R6" s="407"/>
      <c r="S6" s="409"/>
      <c r="T6" s="382"/>
    </row>
    <row r="7" spans="1:20" ht="24" customHeight="1">
      <c r="A7" s="388"/>
      <c r="B7" s="389"/>
      <c r="C7" s="392"/>
      <c r="D7" s="395"/>
      <c r="E7" s="8" t="s">
        <v>1238</v>
      </c>
      <c r="F7" s="8" t="s">
        <v>1239</v>
      </c>
      <c r="G7" s="8" t="s">
        <v>1240</v>
      </c>
      <c r="H7" s="8"/>
      <c r="I7" s="8" t="s">
        <v>1241</v>
      </c>
      <c r="J7" s="8" t="s">
        <v>1242</v>
      </c>
      <c r="K7" s="8" t="s">
        <v>1243</v>
      </c>
      <c r="L7" s="9" t="s">
        <v>1241</v>
      </c>
      <c r="M7" s="9" t="s">
        <v>1244</v>
      </c>
      <c r="N7" s="8" t="s">
        <v>1245</v>
      </c>
      <c r="O7" s="8" t="s">
        <v>1246</v>
      </c>
      <c r="P7" s="8" t="s">
        <v>1247</v>
      </c>
      <c r="Q7" s="10" t="s">
        <v>1248</v>
      </c>
      <c r="R7" s="403"/>
      <c r="S7" s="410"/>
      <c r="T7" s="383"/>
    </row>
    <row r="8" spans="1:20" ht="33" customHeight="1">
      <c r="A8" s="375" t="s">
        <v>279</v>
      </c>
      <c r="B8" s="11">
        <v>1</v>
      </c>
      <c r="C8" s="142" t="str">
        <f>COVER!A14</f>
        <v>BODY(LUG)</v>
      </c>
      <c r="D8" s="260">
        <f>COVER!B14</f>
        <v>0</v>
      </c>
      <c r="E8" s="307" t="s">
        <v>1173</v>
      </c>
      <c r="F8" s="308">
        <f>COVER!C14</f>
        <v>0</v>
      </c>
      <c r="G8" s="308">
        <v>0</v>
      </c>
      <c r="H8" s="308"/>
      <c r="I8" s="245">
        <f>I10*I9</f>
        <v>506706621524695.19</v>
      </c>
      <c r="J8" s="245">
        <f t="shared" ref="J8:Q9" si="0">J10*J9</f>
        <v>43341753052405.07</v>
      </c>
      <c r="K8" s="245">
        <f t="shared" si="0"/>
        <v>270470072536680.25</v>
      </c>
      <c r="L8" s="245">
        <f t="shared" si="0"/>
        <v>506706621524695.19</v>
      </c>
      <c r="M8" s="245">
        <f t="shared" si="0"/>
        <v>632417344857819.5</v>
      </c>
      <c r="N8" s="245">
        <f t="shared" si="0"/>
        <v>46528628303586.25</v>
      </c>
      <c r="O8" s="245">
        <f t="shared" si="0"/>
        <v>0</v>
      </c>
      <c r="P8" s="245">
        <f t="shared" si="0"/>
        <v>0</v>
      </c>
      <c r="Q8" s="245">
        <f t="shared" si="0"/>
        <v>10000000000000</v>
      </c>
      <c r="R8" s="308">
        <f>Q8*P8</f>
        <v>0</v>
      </c>
      <c r="S8" s="245">
        <f>G8+R8</f>
        <v>0</v>
      </c>
      <c r="T8" s="309" t="s">
        <v>1171</v>
      </c>
    </row>
    <row r="9" spans="1:20" ht="33" customHeight="1">
      <c r="A9" s="376"/>
      <c r="B9" s="146" t="s">
        <v>1167</v>
      </c>
      <c r="C9" s="142" t="str">
        <f>COVER!A15</f>
        <v>BODY(FLANGE)</v>
      </c>
      <c r="D9" s="20" t="str">
        <f>COVER!B15</f>
        <v>A216 WCB</v>
      </c>
      <c r="E9" s="13">
        <v>2865</v>
      </c>
      <c r="F9" s="14">
        <f>COVER!C15</f>
        <v>4300</v>
      </c>
      <c r="G9" s="14">
        <f>F9*E9</f>
        <v>12319500</v>
      </c>
      <c r="H9" s="14"/>
      <c r="I9" s="15">
        <f>I11*I10</f>
        <v>13693182184.900002</v>
      </c>
      <c r="J9" s="15">
        <f t="shared" si="0"/>
        <v>2658301984.9000001</v>
      </c>
      <c r="K9" s="15">
        <f t="shared" si="0"/>
        <v>9010443027.6000004</v>
      </c>
      <c r="L9" s="15">
        <f t="shared" si="0"/>
        <v>13693182184.900002</v>
      </c>
      <c r="M9" s="15">
        <f t="shared" si="0"/>
        <v>15873371539.6</v>
      </c>
      <c r="N9" s="15">
        <f t="shared" si="0"/>
        <v>2787063302.5</v>
      </c>
      <c r="O9" s="15">
        <f t="shared" si="0"/>
        <v>0</v>
      </c>
      <c r="P9" s="15">
        <f t="shared" si="0"/>
        <v>0</v>
      </c>
      <c r="Q9" s="15">
        <f t="shared" si="0"/>
        <v>1000000000</v>
      </c>
      <c r="R9" s="15">
        <f>IF(COVER!C15&gt;0,1200000*1.2,0)</f>
        <v>1440000</v>
      </c>
      <c r="S9" s="15">
        <f t="shared" ref="S9:S62" si="1">G9+R9</f>
        <v>13759500</v>
      </c>
      <c r="T9" s="309" t="s">
        <v>1169</v>
      </c>
    </row>
    <row r="10" spans="1:20" ht="33" hidden="1" customHeight="1">
      <c r="A10" s="376"/>
      <c r="B10" s="11"/>
      <c r="C10" s="142"/>
      <c r="D10" s="20"/>
      <c r="E10" s="13"/>
      <c r="F10" s="14"/>
      <c r="G10" s="14"/>
      <c r="H10" s="14" t="s">
        <v>281</v>
      </c>
      <c r="I10" s="15">
        <f t="shared" ref="I10:Q10" si="2">I11/10</f>
        <v>37004.300000000003</v>
      </c>
      <c r="J10" s="15">
        <f t="shared" si="2"/>
        <v>16304.3</v>
      </c>
      <c r="K10" s="15">
        <f t="shared" si="2"/>
        <v>30017.4</v>
      </c>
      <c r="L10" s="15">
        <f t="shared" si="2"/>
        <v>37004.300000000003</v>
      </c>
      <c r="M10" s="15">
        <f t="shared" si="2"/>
        <v>39841.4</v>
      </c>
      <c r="N10" s="15">
        <f t="shared" si="2"/>
        <v>16694.5</v>
      </c>
      <c r="O10" s="15">
        <f t="shared" si="2"/>
        <v>0</v>
      </c>
      <c r="P10" s="15">
        <f t="shared" si="2"/>
        <v>0</v>
      </c>
      <c r="Q10" s="15">
        <f t="shared" si="2"/>
        <v>10000</v>
      </c>
      <c r="R10" s="15"/>
      <c r="S10" s="15">
        <f t="shared" si="1"/>
        <v>0</v>
      </c>
      <c r="T10" s="16"/>
    </row>
    <row r="11" spans="1:20" ht="33" hidden="1" customHeight="1">
      <c r="A11" s="376"/>
      <c r="B11" s="11"/>
      <c r="C11" s="142"/>
      <c r="D11" s="20"/>
      <c r="E11" s="13"/>
      <c r="F11" s="14"/>
      <c r="G11" s="14"/>
      <c r="H11" s="17" t="s">
        <v>282</v>
      </c>
      <c r="I11" s="15">
        <v>370043</v>
      </c>
      <c r="J11" s="15">
        <v>163043</v>
      </c>
      <c r="K11" s="15">
        <v>300174</v>
      </c>
      <c r="L11" s="15">
        <v>370043</v>
      </c>
      <c r="M11" s="15">
        <v>398414</v>
      </c>
      <c r="N11" s="15">
        <v>166945</v>
      </c>
      <c r="O11" s="15">
        <v>0</v>
      </c>
      <c r="P11" s="15">
        <v>0</v>
      </c>
      <c r="Q11" s="15">
        <v>100000</v>
      </c>
      <c r="R11" s="15"/>
      <c r="S11" s="15">
        <f t="shared" si="1"/>
        <v>0</v>
      </c>
      <c r="T11" s="16"/>
    </row>
    <row r="12" spans="1:20" s="19" customFormat="1" ht="33" customHeight="1">
      <c r="A12" s="376"/>
      <c r="B12" s="11">
        <v>2</v>
      </c>
      <c r="C12" s="142" t="s">
        <v>283</v>
      </c>
      <c r="D12" s="20" t="str">
        <f>COVER!B16</f>
        <v>A216 WCB</v>
      </c>
      <c r="E12" s="13">
        <v>1300</v>
      </c>
      <c r="F12" s="14">
        <f>COVER!C16</f>
        <v>4300</v>
      </c>
      <c r="G12" s="14">
        <f>F12*E12</f>
        <v>5590000</v>
      </c>
      <c r="H12" s="14"/>
      <c r="I12" s="15">
        <f>I13*I14</f>
        <v>111012.90000000001</v>
      </c>
      <c r="J12" s="15">
        <f t="shared" ref="J12:Q12" si="3">J13*J14</f>
        <v>0</v>
      </c>
      <c r="K12" s="15">
        <f t="shared" si="3"/>
        <v>60034.8</v>
      </c>
      <c r="L12" s="15">
        <f t="shared" si="3"/>
        <v>111012.90000000001</v>
      </c>
      <c r="M12" s="15">
        <f t="shared" si="3"/>
        <v>0</v>
      </c>
      <c r="N12" s="15">
        <f t="shared" si="3"/>
        <v>0</v>
      </c>
      <c r="O12" s="15">
        <f t="shared" si="3"/>
        <v>0</v>
      </c>
      <c r="P12" s="15">
        <f t="shared" si="3"/>
        <v>0</v>
      </c>
      <c r="Q12" s="15">
        <f t="shared" si="3"/>
        <v>4000</v>
      </c>
      <c r="R12" s="15">
        <v>828000</v>
      </c>
      <c r="S12" s="15">
        <f t="shared" si="1"/>
        <v>6418000</v>
      </c>
      <c r="T12" s="18"/>
    </row>
    <row r="13" spans="1:20" s="19" customFormat="1" ht="33" hidden="1" customHeight="1">
      <c r="A13" s="376"/>
      <c r="B13" s="11"/>
      <c r="C13" s="142"/>
      <c r="D13" s="20"/>
      <c r="E13" s="13"/>
      <c r="F13" s="14"/>
      <c r="G13" s="14">
        <f t="shared" ref="G13:G54" si="4">E13*F13</f>
        <v>0</v>
      </c>
      <c r="H13" s="17" t="s">
        <v>284</v>
      </c>
      <c r="I13" s="21">
        <v>3</v>
      </c>
      <c r="J13" s="21">
        <v>0</v>
      </c>
      <c r="K13" s="21">
        <v>2</v>
      </c>
      <c r="L13" s="21">
        <v>3</v>
      </c>
      <c r="M13" s="21">
        <v>0</v>
      </c>
      <c r="N13" s="21">
        <v>0</v>
      </c>
      <c r="O13" s="21"/>
      <c r="P13" s="21"/>
      <c r="Q13" s="21">
        <v>0.4</v>
      </c>
      <c r="R13" s="15"/>
      <c r="S13" s="15">
        <f t="shared" si="1"/>
        <v>0</v>
      </c>
      <c r="T13" s="22"/>
    </row>
    <row r="14" spans="1:20" s="19" customFormat="1" ht="33" hidden="1" customHeight="1">
      <c r="A14" s="376"/>
      <c r="B14" s="11"/>
      <c r="C14" s="142"/>
      <c r="D14" s="20"/>
      <c r="E14" s="13"/>
      <c r="F14" s="14"/>
      <c r="G14" s="14">
        <f t="shared" si="4"/>
        <v>0</v>
      </c>
      <c r="H14" s="14" t="s">
        <v>40</v>
      </c>
      <c r="I14" s="15">
        <f>I15/10</f>
        <v>37004.300000000003</v>
      </c>
      <c r="J14" s="15">
        <f t="shared" ref="J14:Q14" si="5">J15/10</f>
        <v>16304.3</v>
      </c>
      <c r="K14" s="15">
        <f t="shared" si="5"/>
        <v>30017.4</v>
      </c>
      <c r="L14" s="15">
        <f t="shared" si="5"/>
        <v>37004.300000000003</v>
      </c>
      <c r="M14" s="15">
        <f t="shared" si="5"/>
        <v>39841.4</v>
      </c>
      <c r="N14" s="15">
        <f t="shared" si="5"/>
        <v>16694.5</v>
      </c>
      <c r="O14" s="15">
        <f t="shared" si="5"/>
        <v>0</v>
      </c>
      <c r="P14" s="15">
        <f t="shared" si="5"/>
        <v>0</v>
      </c>
      <c r="Q14" s="15">
        <f t="shared" si="5"/>
        <v>10000</v>
      </c>
      <c r="R14" s="15"/>
      <c r="S14" s="15">
        <f t="shared" si="1"/>
        <v>0</v>
      </c>
      <c r="T14" s="22"/>
    </row>
    <row r="15" spans="1:20" s="19" customFormat="1" ht="33" hidden="1" customHeight="1">
      <c r="A15" s="376"/>
      <c r="B15" s="11"/>
      <c r="C15" s="142"/>
      <c r="D15" s="20"/>
      <c r="E15" s="13"/>
      <c r="F15" s="14"/>
      <c r="G15" s="14">
        <f t="shared" si="4"/>
        <v>0</v>
      </c>
      <c r="H15" s="14" t="s">
        <v>285</v>
      </c>
      <c r="I15" s="15">
        <v>370043</v>
      </c>
      <c r="J15" s="15">
        <v>163043</v>
      </c>
      <c r="K15" s="15">
        <v>300174</v>
      </c>
      <c r="L15" s="15">
        <v>370043</v>
      </c>
      <c r="M15" s="15">
        <v>398414</v>
      </c>
      <c r="N15" s="15">
        <v>166945</v>
      </c>
      <c r="O15" s="15">
        <v>0</v>
      </c>
      <c r="P15" s="15">
        <v>0</v>
      </c>
      <c r="Q15" s="15">
        <v>100000</v>
      </c>
      <c r="R15" s="15"/>
      <c r="S15" s="15">
        <f t="shared" si="1"/>
        <v>0</v>
      </c>
      <c r="T15" s="22"/>
    </row>
    <row r="16" spans="1:20" s="19" customFormat="1" ht="33" customHeight="1">
      <c r="A16" s="376"/>
      <c r="B16" s="11">
        <v>3</v>
      </c>
      <c r="C16" s="142" t="s">
        <v>952</v>
      </c>
      <c r="D16" s="20" t="str">
        <f>COVER!B19</f>
        <v>WCB+309+#6</v>
      </c>
      <c r="E16" s="13">
        <v>1</v>
      </c>
      <c r="F16" s="14">
        <f>IF(D16="SUS+#6",X76,IF(D16="WCB+309+#6",X77))</f>
        <v>2216700</v>
      </c>
      <c r="G16" s="14">
        <f t="shared" si="4"/>
        <v>2216700</v>
      </c>
      <c r="H16" s="14"/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f t="shared" si="1"/>
        <v>2216700</v>
      </c>
      <c r="T16" s="22"/>
    </row>
    <row r="17" spans="1:21" s="19" customFormat="1" ht="33" customHeight="1">
      <c r="A17" s="376"/>
      <c r="B17" s="11">
        <v>4</v>
      </c>
      <c r="C17" s="142" t="s">
        <v>1179</v>
      </c>
      <c r="D17" s="20" t="str">
        <f>COVER!B18</f>
        <v>A240T316L+GARPHITE</v>
      </c>
      <c r="E17" s="13">
        <v>1</v>
      </c>
      <c r="F17" s="14">
        <f>IF(D17="A240T316L+GARPHITE",Y84+Z84)</f>
        <v>1613700</v>
      </c>
      <c r="G17" s="14">
        <f>F17*E17</f>
        <v>1613700</v>
      </c>
      <c r="H17" s="14"/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f>Z84*1.3</f>
        <v>1040000</v>
      </c>
      <c r="S17" s="15">
        <f t="shared" si="1"/>
        <v>2653700</v>
      </c>
      <c r="T17" s="22"/>
    </row>
    <row r="18" spans="1:21" s="19" customFormat="1" ht="33" customHeight="1">
      <c r="A18" s="376"/>
      <c r="B18" s="11">
        <v>5</v>
      </c>
      <c r="C18" s="142" t="s">
        <v>852</v>
      </c>
      <c r="D18" s="24" t="str">
        <f>COVER!B20</f>
        <v>SS316L</v>
      </c>
      <c r="E18" s="13">
        <v>1</v>
      </c>
      <c r="F18" s="14">
        <f>IF(D18="SS304",Y82,IF(D18="SS316L",Z82))</f>
        <v>2020000</v>
      </c>
      <c r="G18" s="14">
        <f>E18*F18</f>
        <v>2020000</v>
      </c>
      <c r="H18" s="14"/>
      <c r="I18" s="15">
        <f>I19*I20</f>
        <v>74008.600000000006</v>
      </c>
      <c r="J18" s="15">
        <f t="shared" ref="J18:Q18" si="6">J19*J20</f>
        <v>32608.6</v>
      </c>
      <c r="K18" s="15">
        <f t="shared" si="6"/>
        <v>0</v>
      </c>
      <c r="L18" s="15">
        <f t="shared" si="6"/>
        <v>0</v>
      </c>
      <c r="M18" s="15">
        <f t="shared" si="6"/>
        <v>0</v>
      </c>
      <c r="N18" s="15">
        <f t="shared" si="6"/>
        <v>0</v>
      </c>
      <c r="O18" s="15">
        <f t="shared" si="6"/>
        <v>0</v>
      </c>
      <c r="P18" s="15">
        <f t="shared" si="6"/>
        <v>0</v>
      </c>
      <c r="Q18" s="15">
        <f t="shared" si="6"/>
        <v>2000</v>
      </c>
      <c r="R18" s="15">
        <f>AA82*1.5</f>
        <v>293700</v>
      </c>
      <c r="S18" s="15">
        <f t="shared" si="1"/>
        <v>2313700</v>
      </c>
      <c r="T18" s="25"/>
    </row>
    <row r="19" spans="1:21" s="19" customFormat="1" ht="33" hidden="1" customHeight="1">
      <c r="A19" s="376"/>
      <c r="B19" s="11"/>
      <c r="C19" s="12"/>
      <c r="D19" s="24"/>
      <c r="E19" s="13"/>
      <c r="F19" s="14"/>
      <c r="G19" s="14"/>
      <c r="H19" s="17" t="s">
        <v>39</v>
      </c>
      <c r="I19" s="21">
        <v>2</v>
      </c>
      <c r="J19" s="21">
        <v>2</v>
      </c>
      <c r="K19" s="21"/>
      <c r="L19" s="21"/>
      <c r="M19" s="21"/>
      <c r="N19" s="21"/>
      <c r="O19" s="21"/>
      <c r="P19" s="21"/>
      <c r="Q19" s="21">
        <v>0.2</v>
      </c>
      <c r="R19" s="15"/>
      <c r="S19" s="15">
        <f t="shared" si="1"/>
        <v>0</v>
      </c>
      <c r="T19" s="25"/>
    </row>
    <row r="20" spans="1:21" s="19" customFormat="1" ht="33" hidden="1" customHeight="1">
      <c r="A20" s="376"/>
      <c r="B20" s="11"/>
      <c r="C20" s="12"/>
      <c r="D20" s="24"/>
      <c r="E20" s="13"/>
      <c r="F20" s="14"/>
      <c r="G20" s="14"/>
      <c r="H20" s="17" t="s">
        <v>39</v>
      </c>
      <c r="I20" s="15">
        <f>I21/10</f>
        <v>37004.300000000003</v>
      </c>
      <c r="J20" s="15">
        <f t="shared" ref="J20:Q20" si="7">J21/10</f>
        <v>16304.3</v>
      </c>
      <c r="K20" s="15">
        <f t="shared" si="7"/>
        <v>0</v>
      </c>
      <c r="L20" s="15">
        <f t="shared" si="7"/>
        <v>0</v>
      </c>
      <c r="M20" s="15">
        <f t="shared" si="7"/>
        <v>0</v>
      </c>
      <c r="N20" s="15">
        <f t="shared" si="7"/>
        <v>0</v>
      </c>
      <c r="O20" s="15">
        <f t="shared" si="7"/>
        <v>0</v>
      </c>
      <c r="P20" s="15">
        <f t="shared" si="7"/>
        <v>0</v>
      </c>
      <c r="Q20" s="15">
        <f t="shared" si="7"/>
        <v>10000</v>
      </c>
      <c r="R20" s="15"/>
      <c r="S20" s="15">
        <f t="shared" si="1"/>
        <v>0</v>
      </c>
      <c r="T20" s="25"/>
    </row>
    <row r="21" spans="1:21" s="19" customFormat="1" ht="33" hidden="1" customHeight="1">
      <c r="A21" s="376"/>
      <c r="B21" s="11"/>
      <c r="C21" s="12"/>
      <c r="D21" s="24"/>
      <c r="E21" s="13"/>
      <c r="F21" s="14"/>
      <c r="G21" s="14"/>
      <c r="H21" s="17" t="s">
        <v>39</v>
      </c>
      <c r="I21" s="15">
        <v>370043</v>
      </c>
      <c r="J21" s="15">
        <v>163043</v>
      </c>
      <c r="K21" s="15"/>
      <c r="L21" s="15"/>
      <c r="M21" s="15"/>
      <c r="N21" s="15"/>
      <c r="O21" s="15"/>
      <c r="P21" s="15"/>
      <c r="Q21" s="15">
        <v>100000</v>
      </c>
      <c r="R21" s="15"/>
      <c r="S21" s="15">
        <f t="shared" si="1"/>
        <v>0</v>
      </c>
      <c r="T21" s="25"/>
    </row>
    <row r="22" spans="1:21" s="19" customFormat="1" ht="33" customHeight="1">
      <c r="A22" s="376"/>
      <c r="B22" s="11">
        <v>6</v>
      </c>
      <c r="C22" s="142" t="s">
        <v>1178</v>
      </c>
      <c r="D22" s="24" t="s">
        <v>1189</v>
      </c>
      <c r="E22" s="13">
        <v>1</v>
      </c>
      <c r="F22" s="14">
        <f>Y85</f>
        <v>80000</v>
      </c>
      <c r="G22" s="14">
        <f>E22*F22</f>
        <v>80000</v>
      </c>
      <c r="H22" s="14"/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f t="shared" si="1"/>
        <v>80000</v>
      </c>
      <c r="T22" s="25"/>
    </row>
    <row r="23" spans="1:21" s="19" customFormat="1" ht="33" customHeight="1">
      <c r="A23" s="376"/>
      <c r="B23" s="11">
        <v>7</v>
      </c>
      <c r="C23" s="142" t="s">
        <v>948</v>
      </c>
      <c r="D23" s="20" t="str">
        <f>COVER!B21</f>
        <v>B7(다크로)</v>
      </c>
      <c r="E23" s="13">
        <v>48</v>
      </c>
      <c r="F23" s="14">
        <f>IF(D23="B8",Y92,IF(D23="B8M",Z92,IF(D23="B7(다크로)",AA92)))</f>
        <v>5500</v>
      </c>
      <c r="G23" s="14">
        <f>E23*F23</f>
        <v>264000</v>
      </c>
      <c r="H23" s="14"/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f t="shared" si="1"/>
        <v>264000</v>
      </c>
      <c r="T23" s="18"/>
    </row>
    <row r="24" spans="1:21" s="19" customFormat="1" ht="33" customHeight="1">
      <c r="A24" s="376"/>
      <c r="B24" s="11">
        <v>8</v>
      </c>
      <c r="C24" s="142" t="s">
        <v>44</v>
      </c>
      <c r="D24" s="20" t="str">
        <f>COVER!B17</f>
        <v>A564T630</v>
      </c>
      <c r="E24" s="13">
        <v>614</v>
      </c>
      <c r="F24" s="14">
        <f>COVER!C17</f>
        <v>8500</v>
      </c>
      <c r="G24" s="14">
        <f>F24*E24</f>
        <v>5219000</v>
      </c>
      <c r="H24" s="14"/>
      <c r="I24" s="15">
        <f>I25*I26</f>
        <v>74008.600000000006</v>
      </c>
      <c r="J24" s="15">
        <f t="shared" ref="J24:Q24" si="8">J25*J26</f>
        <v>0</v>
      </c>
      <c r="K24" s="15">
        <f t="shared" si="8"/>
        <v>0</v>
      </c>
      <c r="L24" s="15">
        <f t="shared" si="8"/>
        <v>0</v>
      </c>
      <c r="M24" s="15">
        <f t="shared" si="8"/>
        <v>0</v>
      </c>
      <c r="N24" s="15">
        <f t="shared" si="8"/>
        <v>0</v>
      </c>
      <c r="O24" s="15">
        <f t="shared" si="8"/>
        <v>0</v>
      </c>
      <c r="P24" s="15">
        <f t="shared" si="8"/>
        <v>0</v>
      </c>
      <c r="Q24" s="15">
        <f t="shared" si="8"/>
        <v>1000</v>
      </c>
      <c r="R24" s="15">
        <f>R12*0.3</f>
        <v>248400</v>
      </c>
      <c r="S24" s="15">
        <f t="shared" si="1"/>
        <v>5467400</v>
      </c>
      <c r="T24" s="27"/>
      <c r="U24" s="162"/>
    </row>
    <row r="25" spans="1:21" s="19" customFormat="1" ht="33" hidden="1" customHeight="1">
      <c r="A25" s="376"/>
      <c r="B25" s="11"/>
      <c r="C25" s="12"/>
      <c r="D25" s="20"/>
      <c r="E25" s="13"/>
      <c r="F25" s="14"/>
      <c r="G25" s="14"/>
      <c r="H25" s="17" t="s">
        <v>284</v>
      </c>
      <c r="I25" s="21">
        <v>2</v>
      </c>
      <c r="J25" s="21"/>
      <c r="K25" s="21"/>
      <c r="L25" s="21"/>
      <c r="M25" s="21"/>
      <c r="N25" s="21"/>
      <c r="O25" s="21"/>
      <c r="P25" s="21"/>
      <c r="Q25" s="21">
        <v>0.1</v>
      </c>
      <c r="R25" s="15"/>
      <c r="S25" s="15">
        <f t="shared" si="1"/>
        <v>0</v>
      </c>
      <c r="T25" s="27"/>
    </row>
    <row r="26" spans="1:21" s="19" customFormat="1" ht="33" hidden="1" customHeight="1">
      <c r="A26" s="376"/>
      <c r="B26" s="11"/>
      <c r="C26" s="12"/>
      <c r="D26" s="20"/>
      <c r="E26" s="13"/>
      <c r="F26" s="14"/>
      <c r="G26" s="14"/>
      <c r="H26" s="17" t="s">
        <v>39</v>
      </c>
      <c r="I26" s="15">
        <f>I27/10</f>
        <v>37004.300000000003</v>
      </c>
      <c r="J26" s="15"/>
      <c r="K26" s="15"/>
      <c r="L26" s="15"/>
      <c r="M26" s="15"/>
      <c r="N26" s="15"/>
      <c r="O26" s="15"/>
      <c r="P26" s="15"/>
      <c r="Q26" s="15">
        <f>Q27/10</f>
        <v>10000</v>
      </c>
      <c r="R26" s="15"/>
      <c r="S26" s="15">
        <f t="shared" si="1"/>
        <v>0</v>
      </c>
      <c r="T26" s="27"/>
    </row>
    <row r="27" spans="1:21" s="19" customFormat="1" ht="33" hidden="1" customHeight="1">
      <c r="A27" s="376"/>
      <c r="B27" s="11"/>
      <c r="C27" s="12"/>
      <c r="D27" s="20"/>
      <c r="E27" s="13"/>
      <c r="F27" s="14"/>
      <c r="G27" s="14"/>
      <c r="H27" s="17" t="s">
        <v>280</v>
      </c>
      <c r="I27" s="15">
        <v>370043</v>
      </c>
      <c r="J27" s="15"/>
      <c r="K27" s="15"/>
      <c r="L27" s="15"/>
      <c r="M27" s="15"/>
      <c r="N27" s="15"/>
      <c r="O27" s="15"/>
      <c r="P27" s="15"/>
      <c r="Q27" s="15">
        <v>100000</v>
      </c>
      <c r="R27" s="15"/>
      <c r="S27" s="15">
        <f t="shared" si="1"/>
        <v>0</v>
      </c>
      <c r="T27" s="27"/>
    </row>
    <row r="28" spans="1:21" s="19" customFormat="1" ht="33" customHeight="1">
      <c r="A28" s="376"/>
      <c r="B28" s="11">
        <v>9</v>
      </c>
      <c r="C28" s="142" t="s">
        <v>286</v>
      </c>
      <c r="D28" s="24" t="s">
        <v>1197</v>
      </c>
      <c r="E28" s="13">
        <v>1</v>
      </c>
      <c r="F28" s="14">
        <v>230000</v>
      </c>
      <c r="G28" s="14">
        <f t="shared" ref="G28" si="9">E28*F28</f>
        <v>230000</v>
      </c>
      <c r="H28" s="14"/>
      <c r="I28" s="15"/>
      <c r="J28" s="15"/>
      <c r="K28" s="15"/>
      <c r="L28" s="15"/>
      <c r="M28" s="15"/>
      <c r="N28" s="15"/>
      <c r="O28" s="15"/>
      <c r="P28" s="15"/>
      <c r="Q28" s="15"/>
      <c r="R28" s="15">
        <v>0</v>
      </c>
      <c r="S28" s="15">
        <f t="shared" si="1"/>
        <v>230000</v>
      </c>
      <c r="T28" s="18" t="s">
        <v>1504</v>
      </c>
    </row>
    <row r="29" spans="1:21" s="19" customFormat="1" ht="33" customHeight="1">
      <c r="A29" s="376"/>
      <c r="B29" s="11">
        <v>10</v>
      </c>
      <c r="C29" s="142" t="s">
        <v>287</v>
      </c>
      <c r="D29" s="24" t="str">
        <f>COVER!B24</f>
        <v>A351 CF8M</v>
      </c>
      <c r="E29" s="13">
        <v>1</v>
      </c>
      <c r="F29" s="302">
        <f>IF(D29="A351 CF8M",Y99,IF(D29="B148 C95400",Z99))</f>
        <v>438000</v>
      </c>
      <c r="G29" s="14">
        <f>F29*E29</f>
        <v>438000</v>
      </c>
      <c r="H29" s="14"/>
      <c r="I29" s="15">
        <f>I30*I31</f>
        <v>3065.28</v>
      </c>
      <c r="J29" s="15">
        <f t="shared" ref="J29:Q29" si="10">J30*J31</f>
        <v>3260.86</v>
      </c>
      <c r="K29" s="15">
        <f t="shared" si="10"/>
        <v>0</v>
      </c>
      <c r="L29" s="15">
        <f t="shared" si="10"/>
        <v>0</v>
      </c>
      <c r="M29" s="15">
        <f t="shared" si="10"/>
        <v>0</v>
      </c>
      <c r="N29" s="15">
        <f t="shared" si="10"/>
        <v>0</v>
      </c>
      <c r="O29" s="15">
        <f t="shared" si="10"/>
        <v>0</v>
      </c>
      <c r="P29" s="15">
        <f t="shared" si="10"/>
        <v>0</v>
      </c>
      <c r="Q29" s="15">
        <f t="shared" si="10"/>
        <v>0</v>
      </c>
      <c r="R29" s="15">
        <v>0</v>
      </c>
      <c r="S29" s="15">
        <f t="shared" si="1"/>
        <v>438000</v>
      </c>
      <c r="T29" s="18"/>
    </row>
    <row r="30" spans="1:21" s="19" customFormat="1" ht="33" hidden="1" customHeight="1">
      <c r="A30" s="376"/>
      <c r="B30" s="11"/>
      <c r="C30" s="12"/>
      <c r="D30" s="24"/>
      <c r="E30" s="13"/>
      <c r="F30" s="14"/>
      <c r="G30" s="14"/>
      <c r="H30" s="17" t="s">
        <v>39</v>
      </c>
      <c r="I30" s="21">
        <v>0.2</v>
      </c>
      <c r="J30" s="21">
        <v>0.2</v>
      </c>
      <c r="K30" s="21"/>
      <c r="L30" s="21"/>
      <c r="M30" s="21"/>
      <c r="N30" s="21"/>
      <c r="O30" s="21"/>
      <c r="P30" s="21"/>
      <c r="Q30" s="21"/>
      <c r="R30" s="15"/>
      <c r="S30" s="15">
        <f t="shared" si="1"/>
        <v>0</v>
      </c>
      <c r="T30" s="22"/>
    </row>
    <row r="31" spans="1:21" s="19" customFormat="1" ht="33" hidden="1" customHeight="1">
      <c r="A31" s="376"/>
      <c r="B31" s="11"/>
      <c r="C31" s="12"/>
      <c r="D31" s="24"/>
      <c r="E31" s="13"/>
      <c r="F31" s="14"/>
      <c r="G31" s="14"/>
      <c r="H31" s="17" t="s">
        <v>39</v>
      </c>
      <c r="I31" s="15">
        <f>I32/10</f>
        <v>15326.4</v>
      </c>
      <c r="J31" s="15">
        <f>J32/10</f>
        <v>16304.3</v>
      </c>
      <c r="K31" s="15"/>
      <c r="L31" s="15"/>
      <c r="M31" s="15"/>
      <c r="N31" s="15"/>
      <c r="O31" s="15"/>
      <c r="P31" s="15"/>
      <c r="Q31" s="15"/>
      <c r="R31" s="15"/>
      <c r="S31" s="15">
        <f t="shared" si="1"/>
        <v>0</v>
      </c>
      <c r="T31" s="22"/>
    </row>
    <row r="32" spans="1:21" s="19" customFormat="1" ht="33" hidden="1" customHeight="1">
      <c r="A32" s="376"/>
      <c r="B32" s="11"/>
      <c r="C32" s="12"/>
      <c r="D32" s="24"/>
      <c r="E32" s="13"/>
      <c r="F32" s="14"/>
      <c r="G32" s="14"/>
      <c r="H32" s="17" t="s">
        <v>39</v>
      </c>
      <c r="I32" s="15">
        <v>153264</v>
      </c>
      <c r="J32" s="15">
        <v>163043</v>
      </c>
      <c r="K32" s="15"/>
      <c r="L32" s="15"/>
      <c r="M32" s="15"/>
      <c r="N32" s="15"/>
      <c r="O32" s="15"/>
      <c r="P32" s="15"/>
      <c r="Q32" s="15"/>
      <c r="R32" s="15"/>
      <c r="S32" s="15">
        <f t="shared" si="1"/>
        <v>0</v>
      </c>
      <c r="T32" s="22"/>
    </row>
    <row r="33" spans="1:21" s="19" customFormat="1" ht="33" customHeight="1">
      <c r="A33" s="376"/>
      <c r="B33" s="11">
        <v>11</v>
      </c>
      <c r="C33" s="142" t="s">
        <v>288</v>
      </c>
      <c r="D33" s="24" t="str">
        <f>COVER!B26</f>
        <v>316+NICKEL</v>
      </c>
      <c r="E33" s="13">
        <v>1</v>
      </c>
      <c r="F33" s="14">
        <f>IF(D33="316+NICKEL",Y101,IF(D33="B148 C95400",Z101))</f>
        <v>125300</v>
      </c>
      <c r="G33" s="14">
        <f t="shared" ref="G33" si="11">E33*F33</f>
        <v>125300</v>
      </c>
      <c r="H33" s="14"/>
      <c r="I33" s="15">
        <f>I34*I35</f>
        <v>4597.92</v>
      </c>
      <c r="J33" s="15">
        <f t="shared" ref="J33:Q33" si="12">J34*J35</f>
        <v>0</v>
      </c>
      <c r="K33" s="15">
        <f t="shared" si="12"/>
        <v>0</v>
      </c>
      <c r="L33" s="15">
        <f t="shared" si="12"/>
        <v>0</v>
      </c>
      <c r="M33" s="15">
        <f t="shared" si="12"/>
        <v>0</v>
      </c>
      <c r="N33" s="15">
        <f t="shared" si="12"/>
        <v>0</v>
      </c>
      <c r="O33" s="15">
        <f t="shared" si="12"/>
        <v>0</v>
      </c>
      <c r="P33" s="15">
        <f t="shared" si="12"/>
        <v>0</v>
      </c>
      <c r="Q33" s="15">
        <f t="shared" si="12"/>
        <v>0</v>
      </c>
      <c r="R33" s="15">
        <v>0</v>
      </c>
      <c r="S33" s="15">
        <f t="shared" si="1"/>
        <v>125300</v>
      </c>
      <c r="T33" s="25" t="s">
        <v>1200</v>
      </c>
    </row>
    <row r="34" spans="1:21" s="19" customFormat="1" ht="33" hidden="1" customHeight="1">
      <c r="A34" s="376"/>
      <c r="B34" s="11"/>
      <c r="C34" s="12"/>
      <c r="D34" s="24"/>
      <c r="E34" s="13"/>
      <c r="F34" s="14"/>
      <c r="G34" s="14"/>
      <c r="H34" s="17" t="s">
        <v>39</v>
      </c>
      <c r="I34" s="21">
        <v>0.3</v>
      </c>
      <c r="J34" s="21"/>
      <c r="K34" s="21"/>
      <c r="L34" s="21"/>
      <c r="M34" s="21"/>
      <c r="N34" s="21"/>
      <c r="O34" s="21"/>
      <c r="P34" s="21"/>
      <c r="Q34" s="21"/>
      <c r="R34" s="15"/>
      <c r="S34" s="15">
        <f t="shared" si="1"/>
        <v>0</v>
      </c>
      <c r="T34" s="22"/>
    </row>
    <row r="35" spans="1:21" s="19" customFormat="1" ht="33" hidden="1" customHeight="1">
      <c r="A35" s="376"/>
      <c r="B35" s="11"/>
      <c r="C35" s="12"/>
      <c r="D35" s="24"/>
      <c r="E35" s="13"/>
      <c r="F35" s="14"/>
      <c r="G35" s="14"/>
      <c r="H35" s="17" t="s">
        <v>39</v>
      </c>
      <c r="I35" s="15">
        <f>I36/10</f>
        <v>15326.4</v>
      </c>
      <c r="J35" s="15"/>
      <c r="K35" s="15"/>
      <c r="L35" s="15"/>
      <c r="M35" s="15"/>
      <c r="N35" s="15"/>
      <c r="O35" s="15"/>
      <c r="P35" s="15"/>
      <c r="Q35" s="15"/>
      <c r="R35" s="15"/>
      <c r="S35" s="15">
        <f t="shared" si="1"/>
        <v>0</v>
      </c>
      <c r="T35" s="22"/>
    </row>
    <row r="36" spans="1:21" s="19" customFormat="1" ht="33" hidden="1" customHeight="1">
      <c r="A36" s="376"/>
      <c r="B36" s="11"/>
      <c r="C36" s="12"/>
      <c r="D36" s="24"/>
      <c r="E36" s="13"/>
      <c r="F36" s="14"/>
      <c r="G36" s="14"/>
      <c r="H36" s="17" t="s">
        <v>39</v>
      </c>
      <c r="I36" s="15">
        <v>153264</v>
      </c>
      <c r="J36" s="15"/>
      <c r="K36" s="15"/>
      <c r="L36" s="15"/>
      <c r="M36" s="15"/>
      <c r="N36" s="15"/>
      <c r="O36" s="15"/>
      <c r="P36" s="15"/>
      <c r="Q36" s="15"/>
      <c r="R36" s="15"/>
      <c r="S36" s="15">
        <f t="shared" si="1"/>
        <v>0</v>
      </c>
      <c r="T36" s="22"/>
    </row>
    <row r="37" spans="1:21" s="19" customFormat="1" ht="33" customHeight="1">
      <c r="A37" s="376"/>
      <c r="B37" s="11">
        <v>12</v>
      </c>
      <c r="C37" s="169" t="s">
        <v>954</v>
      </c>
      <c r="D37" s="24" t="str">
        <f>COVER!B22</f>
        <v>B7(다크로)</v>
      </c>
      <c r="E37" s="13">
        <v>10</v>
      </c>
      <c r="F37" s="14">
        <f>IF(D37="B8",Y93,IF(D37="B8M",Z93,IF(D37="B7(다크로)",AA93)))</f>
        <v>4000</v>
      </c>
      <c r="G37" s="14">
        <f>F37*E37</f>
        <v>40000</v>
      </c>
      <c r="H37" s="14"/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f t="shared" si="1"/>
        <v>40000</v>
      </c>
      <c r="T37" s="22"/>
    </row>
    <row r="38" spans="1:21" s="19" customFormat="1" ht="33" customHeight="1">
      <c r="A38" s="376"/>
      <c r="B38" s="11">
        <v>13</v>
      </c>
      <c r="C38" s="29" t="s">
        <v>289</v>
      </c>
      <c r="D38" s="24"/>
      <c r="E38" s="13">
        <v>1</v>
      </c>
      <c r="F38" s="14">
        <v>10000</v>
      </c>
      <c r="G38" s="14">
        <f t="shared" ref="G38" si="13">E38*F38</f>
        <v>10000</v>
      </c>
      <c r="H38" s="14"/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f t="shared" si="1"/>
        <v>10000</v>
      </c>
      <c r="T38" s="22"/>
    </row>
    <row r="39" spans="1:21" s="19" customFormat="1" ht="33" customHeight="1">
      <c r="A39" s="376"/>
      <c r="B39" s="11">
        <v>14</v>
      </c>
      <c r="C39" s="233" t="s">
        <v>290</v>
      </c>
      <c r="D39" s="24" t="str">
        <f>COVER!B23</f>
        <v>316+NICKEL</v>
      </c>
      <c r="E39" s="13">
        <v>2</v>
      </c>
      <c r="F39" s="14">
        <f>IF(D39="316+NICKEL",Y97,IF(D39="B148 C95400",Z97))</f>
        <v>583000</v>
      </c>
      <c r="G39" s="14">
        <f>F39*1</f>
        <v>583000</v>
      </c>
      <c r="H39" s="14"/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f t="shared" si="1"/>
        <v>583000</v>
      </c>
      <c r="T39" s="25" t="s">
        <v>1200</v>
      </c>
    </row>
    <row r="40" spans="1:21" s="19" customFormat="1" ht="33" customHeight="1">
      <c r="A40" s="376"/>
      <c r="B40" s="11">
        <v>15</v>
      </c>
      <c r="C40" s="142" t="s">
        <v>291</v>
      </c>
      <c r="D40" s="24" t="str">
        <f>COVER!B23</f>
        <v>316+NICKEL</v>
      </c>
      <c r="E40" s="13">
        <v>2</v>
      </c>
      <c r="F40" s="14">
        <f>IF(D40="316+NICKEL",Y98,IF(D40="B148 C95400",Z98))</f>
        <v>583000</v>
      </c>
      <c r="G40" s="14">
        <f>F40*1</f>
        <v>583000</v>
      </c>
      <c r="H40" s="14"/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f t="shared" si="1"/>
        <v>583000</v>
      </c>
      <c r="T40" s="25" t="s">
        <v>1200</v>
      </c>
    </row>
    <row r="41" spans="1:21" s="19" customFormat="1" ht="33" hidden="1" customHeight="1">
      <c r="A41" s="376"/>
      <c r="B41" s="11"/>
      <c r="C41" s="12"/>
      <c r="D41" s="20"/>
      <c r="E41" s="13"/>
      <c r="F41" s="14"/>
      <c r="G41" s="14"/>
      <c r="H41" s="17" t="s">
        <v>39</v>
      </c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>
        <f t="shared" si="1"/>
        <v>0</v>
      </c>
      <c r="T41" s="22"/>
    </row>
    <row r="42" spans="1:21" s="19" customFormat="1" ht="33" hidden="1" customHeight="1">
      <c r="A42" s="376"/>
      <c r="B42" s="11"/>
      <c r="C42" s="12"/>
      <c r="D42" s="20"/>
      <c r="E42" s="13"/>
      <c r="F42" s="14"/>
      <c r="G42" s="14"/>
      <c r="H42" s="17" t="s">
        <v>39</v>
      </c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>
        <f t="shared" si="1"/>
        <v>0</v>
      </c>
      <c r="T42" s="22"/>
    </row>
    <row r="43" spans="1:21" s="19" customFormat="1" ht="33" hidden="1" customHeight="1">
      <c r="A43" s="376"/>
      <c r="B43" s="11"/>
      <c r="C43" s="12"/>
      <c r="D43" s="20"/>
      <c r="E43" s="13"/>
      <c r="F43" s="14"/>
      <c r="G43" s="14"/>
      <c r="H43" s="17" t="s">
        <v>39</v>
      </c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>
        <f t="shared" si="1"/>
        <v>0</v>
      </c>
      <c r="T43" s="22"/>
    </row>
    <row r="44" spans="1:21" s="19" customFormat="1" ht="33" customHeight="1">
      <c r="A44" s="376"/>
      <c r="B44" s="11">
        <v>16</v>
      </c>
      <c r="C44" s="142" t="s">
        <v>292</v>
      </c>
      <c r="D44" s="24" t="str">
        <f>COVER!B25</f>
        <v>316+NICKEL</v>
      </c>
      <c r="E44" s="13">
        <v>1</v>
      </c>
      <c r="F44" s="14">
        <f>IF(D44="316+NICKEL",Y100,IF(D44="B148 C95400",Z100))</f>
        <v>76200</v>
      </c>
      <c r="G44" s="14">
        <f>F44</f>
        <v>76200</v>
      </c>
      <c r="H44" s="14"/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1000</v>
      </c>
      <c r="P44" s="15">
        <v>0</v>
      </c>
      <c r="Q44" s="15">
        <v>0</v>
      </c>
      <c r="R44" s="15">
        <v>0</v>
      </c>
      <c r="S44" s="15">
        <f t="shared" si="1"/>
        <v>76200</v>
      </c>
      <c r="T44" s="25" t="s">
        <v>1200</v>
      </c>
      <c r="U44" s="236"/>
    </row>
    <row r="45" spans="1:21" s="19" customFormat="1" ht="33" customHeight="1">
      <c r="A45" s="376"/>
      <c r="B45" s="11">
        <v>17</v>
      </c>
      <c r="C45" s="175" t="s">
        <v>53</v>
      </c>
      <c r="D45" s="24" t="s">
        <v>463</v>
      </c>
      <c r="E45" s="13">
        <v>1</v>
      </c>
      <c r="F45" s="14">
        <f>Y86</f>
        <v>10200</v>
      </c>
      <c r="G45" s="14">
        <f>F45*E45</f>
        <v>10200</v>
      </c>
      <c r="H45" s="14"/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f t="shared" si="1"/>
        <v>10200</v>
      </c>
      <c r="T45" s="22"/>
    </row>
    <row r="46" spans="1:21" s="19" customFormat="1" ht="33" customHeight="1">
      <c r="A46" s="376"/>
      <c r="B46" s="11">
        <v>18</v>
      </c>
      <c r="C46" s="175" t="s">
        <v>1205</v>
      </c>
      <c r="D46" s="24" t="str">
        <f>COVER!B29</f>
        <v>SS400</v>
      </c>
      <c r="E46" s="13">
        <v>1</v>
      </c>
      <c r="F46" s="14">
        <f>IF(D46="SS400",Y106,IF(D46="SS316",Z106,IF(D46="SS304",AA106)))</f>
        <v>95520</v>
      </c>
      <c r="G46" s="14">
        <f>F46*E46</f>
        <v>95520</v>
      </c>
      <c r="H46" s="14"/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40000</v>
      </c>
      <c r="S46" s="15">
        <f t="shared" si="1"/>
        <v>135520</v>
      </c>
      <c r="T46" s="22"/>
    </row>
    <row r="47" spans="1:21" s="19" customFormat="1" ht="33" hidden="1" customHeight="1">
      <c r="A47" s="376"/>
      <c r="B47" s="11"/>
      <c r="C47" s="31"/>
      <c r="D47" s="24"/>
      <c r="E47" s="13"/>
      <c r="F47" s="14"/>
      <c r="G47" s="14"/>
      <c r="H47" s="17" t="s">
        <v>39</v>
      </c>
      <c r="I47" s="21">
        <v>0.3</v>
      </c>
      <c r="J47" s="21"/>
      <c r="K47" s="21"/>
      <c r="L47" s="21"/>
      <c r="M47" s="21"/>
      <c r="N47" s="21"/>
      <c r="O47" s="21"/>
      <c r="P47" s="21"/>
      <c r="Q47" s="21"/>
      <c r="R47" s="15"/>
      <c r="S47" s="15">
        <f t="shared" si="1"/>
        <v>0</v>
      </c>
      <c r="T47" s="22"/>
    </row>
    <row r="48" spans="1:21" s="19" customFormat="1" ht="33" hidden="1" customHeight="1">
      <c r="A48" s="376"/>
      <c r="B48" s="11"/>
      <c r="C48" s="31"/>
      <c r="D48" s="24"/>
      <c r="E48" s="13"/>
      <c r="F48" s="14"/>
      <c r="G48" s="14"/>
      <c r="H48" s="17" t="s">
        <v>39</v>
      </c>
      <c r="I48" s="15">
        <f>I49/10</f>
        <v>15326.4</v>
      </c>
      <c r="J48" s="15"/>
      <c r="K48" s="15"/>
      <c r="L48" s="15"/>
      <c r="M48" s="15"/>
      <c r="N48" s="15"/>
      <c r="O48" s="15"/>
      <c r="P48" s="15"/>
      <c r="Q48" s="15"/>
      <c r="R48" s="15"/>
      <c r="S48" s="15">
        <f t="shared" si="1"/>
        <v>0</v>
      </c>
      <c r="T48" s="22"/>
    </row>
    <row r="49" spans="1:21" s="19" customFormat="1" ht="33" hidden="1" customHeight="1">
      <c r="A49" s="376"/>
      <c r="B49" s="11"/>
      <c r="C49" s="31"/>
      <c r="D49" s="24"/>
      <c r="E49" s="13"/>
      <c r="F49" s="14"/>
      <c r="G49" s="14"/>
      <c r="H49" s="17" t="s">
        <v>39</v>
      </c>
      <c r="I49" s="15">
        <v>153264</v>
      </c>
      <c r="J49" s="15"/>
      <c r="K49" s="15"/>
      <c r="L49" s="15"/>
      <c r="M49" s="15"/>
      <c r="N49" s="15"/>
      <c r="O49" s="15"/>
      <c r="P49" s="15"/>
      <c r="Q49" s="15"/>
      <c r="R49" s="15"/>
      <c r="S49" s="15">
        <f t="shared" si="1"/>
        <v>0</v>
      </c>
      <c r="T49" s="22"/>
    </row>
    <row r="50" spans="1:21" s="19" customFormat="1" ht="33" customHeight="1">
      <c r="A50" s="376"/>
      <c r="B50" s="11">
        <v>19</v>
      </c>
      <c r="C50" s="226" t="s">
        <v>293</v>
      </c>
      <c r="D50" s="24" t="str">
        <f>COVER!B22</f>
        <v>B7(다크로)</v>
      </c>
      <c r="E50" s="13">
        <v>10</v>
      </c>
      <c r="F50" s="14">
        <f>IF(D50="B8",Y94,IF(D50="B8M",Z94,IF(D50="B7(다크로)",AA94)))</f>
        <v>7000</v>
      </c>
      <c r="G50" s="14">
        <f>E50*F50</f>
        <v>70000</v>
      </c>
      <c r="H50" s="14"/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f t="shared" si="1"/>
        <v>70000</v>
      </c>
      <c r="T50" s="18"/>
    </row>
    <row r="51" spans="1:21" s="19" customFormat="1" ht="33" customHeight="1">
      <c r="A51" s="376"/>
      <c r="B51" s="11">
        <v>20</v>
      </c>
      <c r="C51" s="169" t="s">
        <v>294</v>
      </c>
      <c r="D51" s="303" t="str">
        <f>D24</f>
        <v>A564T630</v>
      </c>
      <c r="E51" s="13">
        <v>4</v>
      </c>
      <c r="F51" s="14">
        <f>IF(D51="A276T316L",Y80/E51,IF(D51="A276T304",Z80/E51,IF(D51="A564T630",AA80/E51,IF(D51="A479T410",AB80/E51,IF(D51="UNS S31803",AC80/E51,IF(D51="UNS S32750",AD80/E51,IF(D51="MONEL K-500",AE80/E51)))))))</f>
        <v>36180</v>
      </c>
      <c r="G51" s="14">
        <f>E51*F51</f>
        <v>144720</v>
      </c>
      <c r="H51" s="14"/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1000</v>
      </c>
      <c r="P51" s="15">
        <v>0</v>
      </c>
      <c r="Q51" s="15">
        <v>0</v>
      </c>
      <c r="R51" s="15">
        <f>6500*E51</f>
        <v>26000</v>
      </c>
      <c r="S51" s="15">
        <f t="shared" si="1"/>
        <v>170720</v>
      </c>
      <c r="T51" s="22"/>
      <c r="U51" s="162"/>
    </row>
    <row r="52" spans="1:21" s="19" customFormat="1" ht="33" customHeight="1">
      <c r="A52" s="376"/>
      <c r="B52" s="11">
        <v>21</v>
      </c>
      <c r="C52" s="169" t="s">
        <v>97</v>
      </c>
      <c r="D52" s="24" t="str">
        <f>COVER!B22</f>
        <v>B7(다크로)</v>
      </c>
      <c r="E52" s="13">
        <v>6</v>
      </c>
      <c r="F52" s="14">
        <f>IF(D52="B8",Y89,IF(D52="B8M",Z89,IF(D52="B7(다크로)",AA89)))</f>
        <v>28000</v>
      </c>
      <c r="G52" s="14">
        <f>E52*F52</f>
        <v>168000</v>
      </c>
      <c r="H52" s="14"/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1000</v>
      </c>
      <c r="O52" s="15">
        <v>1000</v>
      </c>
      <c r="P52" s="15">
        <v>1000</v>
      </c>
      <c r="Q52" s="15">
        <v>0</v>
      </c>
      <c r="R52" s="15">
        <v>0</v>
      </c>
      <c r="S52" s="15">
        <f t="shared" si="1"/>
        <v>168000</v>
      </c>
      <c r="T52" s="22"/>
      <c r="U52" s="162"/>
    </row>
    <row r="53" spans="1:21" s="19" customFormat="1" ht="33" customHeight="1">
      <c r="A53" s="376"/>
      <c r="B53" s="11">
        <v>22</v>
      </c>
      <c r="C53" s="169" t="s">
        <v>1199</v>
      </c>
      <c r="D53" s="24" t="str">
        <f>COVER!B26</f>
        <v>316+NICKEL</v>
      </c>
      <c r="E53" s="13">
        <v>1</v>
      </c>
      <c r="F53" s="14">
        <f>IF(D53="316+NICKEL",Y101,IF(D53="B148 C95400",Z101))</f>
        <v>125300</v>
      </c>
      <c r="G53" s="14">
        <f>F53*E53</f>
        <v>125300</v>
      </c>
      <c r="H53" s="14"/>
      <c r="I53" s="15"/>
      <c r="J53" s="15"/>
      <c r="K53" s="15"/>
      <c r="L53" s="15"/>
      <c r="M53" s="15"/>
      <c r="N53" s="15"/>
      <c r="O53" s="15"/>
      <c r="P53" s="15"/>
      <c r="Q53" s="15"/>
      <c r="R53" s="15">
        <v>0</v>
      </c>
      <c r="S53" s="15">
        <f t="shared" si="1"/>
        <v>125300</v>
      </c>
      <c r="T53" s="22"/>
    </row>
    <row r="54" spans="1:21" s="19" customFormat="1" ht="33" customHeight="1">
      <c r="A54" s="376"/>
      <c r="B54" s="11">
        <v>23</v>
      </c>
      <c r="C54" s="29" t="s">
        <v>58</v>
      </c>
      <c r="D54" s="24"/>
      <c r="E54" s="13">
        <v>1</v>
      </c>
      <c r="F54" s="14">
        <v>3000</v>
      </c>
      <c r="G54" s="14">
        <f t="shared" si="4"/>
        <v>3000</v>
      </c>
      <c r="H54" s="14"/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1000</v>
      </c>
      <c r="Q54" s="15">
        <v>0</v>
      </c>
      <c r="R54" s="15">
        <v>0</v>
      </c>
      <c r="S54" s="15">
        <f t="shared" si="1"/>
        <v>3000</v>
      </c>
      <c r="T54" s="22"/>
    </row>
    <row r="55" spans="1:21" s="19" customFormat="1" ht="33" customHeight="1">
      <c r="A55" s="376"/>
      <c r="B55" s="11">
        <v>24</v>
      </c>
      <c r="C55" s="142" t="s">
        <v>295</v>
      </c>
      <c r="D55" s="24" t="str">
        <f>COVER!B35</f>
        <v>GEAR</v>
      </c>
      <c r="E55" s="13">
        <v>1</v>
      </c>
      <c r="F55" s="302">
        <f>IF(D55="GEAR",4369500,IF(D55="MOTOR",0,IF(D55="PNEUMATIC",0)))</f>
        <v>4369500</v>
      </c>
      <c r="G55" s="14">
        <f>F55</f>
        <v>4369500</v>
      </c>
      <c r="H55" s="14"/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f t="shared" si="1"/>
        <v>4369500</v>
      </c>
      <c r="T55" s="22"/>
    </row>
    <row r="56" spans="1:21" s="19" customFormat="1" ht="33" customHeight="1">
      <c r="A56" s="376"/>
      <c r="B56" s="11">
        <v>25</v>
      </c>
      <c r="C56" s="186" t="s">
        <v>859</v>
      </c>
      <c r="D56" s="24" t="str">
        <f>COVER!B30</f>
        <v>WCB</v>
      </c>
      <c r="E56" s="13">
        <v>250</v>
      </c>
      <c r="F56" s="14">
        <f>IF(D56="WCB",4000,IF(D56="CF8M",9000))</f>
        <v>4000</v>
      </c>
      <c r="G56" s="14">
        <f>E56*F56</f>
        <v>1000000</v>
      </c>
      <c r="H56" s="14"/>
      <c r="I56" s="15"/>
      <c r="J56" s="15"/>
      <c r="K56" s="15"/>
      <c r="L56" s="15"/>
      <c r="M56" s="15"/>
      <c r="N56" s="15"/>
      <c r="O56" s="15"/>
      <c r="P56" s="15"/>
      <c r="Q56" s="15"/>
      <c r="R56" s="14">
        <f>IF(D56="WCB",AA108,IF(D56="CF8M",AB108))</f>
        <v>300000</v>
      </c>
      <c r="S56" s="15">
        <f t="shared" si="1"/>
        <v>1300000</v>
      </c>
      <c r="T56" s="22"/>
    </row>
    <row r="57" spans="1:21" s="19" customFormat="1" ht="33" customHeight="1">
      <c r="A57" s="376"/>
      <c r="B57" s="11">
        <v>26</v>
      </c>
      <c r="C57" s="175" t="s">
        <v>467</v>
      </c>
      <c r="D57" s="24" t="str">
        <f>COVER!B27</f>
        <v>316+NICKEL</v>
      </c>
      <c r="E57" s="13">
        <v>2</v>
      </c>
      <c r="F57" s="14">
        <f>IF(D57="316+NICKEL",Y102+Y103,IF(D57="B148 C95400",Z102+Z103))</f>
        <v>131600</v>
      </c>
      <c r="G57" s="14">
        <f>F57</f>
        <v>131600</v>
      </c>
      <c r="H57" s="14"/>
      <c r="I57" s="15"/>
      <c r="J57" s="15"/>
      <c r="K57" s="15"/>
      <c r="L57" s="15"/>
      <c r="M57" s="15"/>
      <c r="N57" s="15"/>
      <c r="O57" s="15"/>
      <c r="P57" s="15"/>
      <c r="Q57" s="15"/>
      <c r="R57" s="15">
        <v>0</v>
      </c>
      <c r="S57" s="15">
        <f t="shared" si="1"/>
        <v>131600</v>
      </c>
      <c r="T57" s="25" t="s">
        <v>1200</v>
      </c>
    </row>
    <row r="58" spans="1:21" s="19" customFormat="1" ht="33" customHeight="1">
      <c r="A58" s="376"/>
      <c r="B58" s="11">
        <v>27</v>
      </c>
      <c r="C58" s="175" t="s">
        <v>468</v>
      </c>
      <c r="D58" s="24" t="str">
        <f>COVER!B28</f>
        <v>316+NICKEL</v>
      </c>
      <c r="E58" s="13">
        <v>2</v>
      </c>
      <c r="F58" s="14">
        <f>IF(D58="316+NICKEL",Y104,IF(D58="B148 C95400",Z104))</f>
        <v>30000</v>
      </c>
      <c r="G58" s="14">
        <f>F58</f>
        <v>30000</v>
      </c>
      <c r="H58" s="14"/>
      <c r="I58" s="15"/>
      <c r="J58" s="15"/>
      <c r="K58" s="15"/>
      <c r="L58" s="15"/>
      <c r="M58" s="15"/>
      <c r="N58" s="15"/>
      <c r="O58" s="15"/>
      <c r="P58" s="15"/>
      <c r="Q58" s="15"/>
      <c r="R58" s="15">
        <v>0</v>
      </c>
      <c r="S58" s="15">
        <f t="shared" si="1"/>
        <v>30000</v>
      </c>
      <c r="T58" s="25" t="s">
        <v>1200</v>
      </c>
    </row>
    <row r="59" spans="1:21" s="19" customFormat="1" ht="33" customHeight="1">
      <c r="A59" s="376"/>
      <c r="B59" s="11">
        <v>28</v>
      </c>
      <c r="C59" s="142" t="s">
        <v>297</v>
      </c>
      <c r="D59" s="24" t="str">
        <f>COVER!B22</f>
        <v>B7(다크로)</v>
      </c>
      <c r="E59" s="13">
        <v>12</v>
      </c>
      <c r="F59" s="14">
        <f>IF(D59="B8",Y88,IF(D59="B8M",Z88,IF(D59="B7(다크로)",AA88)))</f>
        <v>12500</v>
      </c>
      <c r="G59" s="14">
        <f t="shared" ref="G59:G61" si="14">E59*F59</f>
        <v>150000</v>
      </c>
      <c r="H59" s="14"/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f t="shared" si="1"/>
        <v>150000</v>
      </c>
      <c r="T59" s="25"/>
    </row>
    <row r="60" spans="1:21" s="19" customFormat="1" ht="33" customHeight="1">
      <c r="A60" s="376"/>
      <c r="B60" s="11">
        <v>29</v>
      </c>
      <c r="C60" s="12" t="s">
        <v>298</v>
      </c>
      <c r="D60" s="303" t="str">
        <f>COVER!B32</f>
        <v>외주 2COATING</v>
      </c>
      <c r="E60" s="13">
        <v>1</v>
      </c>
      <c r="F60" s="14">
        <f>IF(COVER!B10="APPLICATION",0,IF(D60="기존 단가",Y116,IF(D60="외주 2COATING",Z116,IF(D60="외주 3COATING",AA116))))</f>
        <v>0</v>
      </c>
      <c r="G60" s="14">
        <f t="shared" si="14"/>
        <v>0</v>
      </c>
      <c r="H60" s="14"/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f t="shared" si="1"/>
        <v>0</v>
      </c>
      <c r="T60" s="22"/>
    </row>
    <row r="61" spans="1:21" s="19" customFormat="1" ht="33" customHeight="1">
      <c r="A61" s="377"/>
      <c r="B61" s="11">
        <v>30</v>
      </c>
      <c r="C61" s="12" t="s">
        <v>299</v>
      </c>
      <c r="D61" s="303" t="str">
        <f>COVER!B33</f>
        <v>신규</v>
      </c>
      <c r="E61" s="13">
        <v>1</v>
      </c>
      <c r="F61" s="14">
        <f>IF(COVER!B10="APPLICATION",0,IF(D61="기존 단가",Y118,IF(D61="신규",Z118)))</f>
        <v>0</v>
      </c>
      <c r="G61" s="14">
        <f t="shared" si="14"/>
        <v>0</v>
      </c>
      <c r="H61" s="14"/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f t="shared" si="1"/>
        <v>0</v>
      </c>
      <c r="T61" s="22"/>
    </row>
    <row r="62" spans="1:21" s="19" customFormat="1" ht="33" customHeight="1">
      <c r="A62" s="378" t="s">
        <v>300</v>
      </c>
      <c r="B62" s="379"/>
      <c r="C62" s="379"/>
      <c r="D62" s="379"/>
      <c r="E62" s="379"/>
      <c r="F62" s="380"/>
      <c r="G62" s="14">
        <f>IF(COVER!B10="APPLICATION",0,IF(D55="GEAR",Y120,IF(D55="MOTOR",Z120,IF(D55="PNEUMATIC",AA120))))</f>
        <v>0</v>
      </c>
      <c r="H62" s="14"/>
      <c r="I62" s="32" t="s">
        <v>38</v>
      </c>
      <c r="J62" s="32"/>
      <c r="K62" s="32"/>
      <c r="L62" s="32"/>
      <c r="M62" s="32"/>
      <c r="N62" s="32"/>
      <c r="O62" s="32"/>
      <c r="P62" s="32"/>
      <c r="Q62" s="32"/>
      <c r="R62" s="33"/>
      <c r="S62" s="33">
        <f t="shared" si="1"/>
        <v>0</v>
      </c>
      <c r="T62" s="253"/>
    </row>
    <row r="63" spans="1:21" s="19" customFormat="1" ht="33" customHeight="1">
      <c r="A63" s="360" t="s">
        <v>64</v>
      </c>
      <c r="B63" s="361"/>
      <c r="C63" s="361"/>
      <c r="D63" s="361"/>
      <c r="E63" s="361"/>
      <c r="F63" s="362"/>
      <c r="G63" s="14"/>
      <c r="H63" s="14"/>
      <c r="I63" s="32"/>
      <c r="J63" s="32"/>
      <c r="K63" s="32"/>
      <c r="L63" s="32"/>
      <c r="M63" s="32"/>
      <c r="N63" s="32"/>
      <c r="O63" s="32"/>
      <c r="P63" s="32"/>
      <c r="Q63" s="32"/>
      <c r="R63" s="33"/>
      <c r="S63" s="33"/>
      <c r="T63" s="253" t="s">
        <v>1526</v>
      </c>
    </row>
    <row r="64" spans="1:21" s="19" customFormat="1" ht="33" customHeight="1">
      <c r="A64" s="378" t="s">
        <v>301</v>
      </c>
      <c r="B64" s="379"/>
      <c r="C64" s="379"/>
      <c r="D64" s="379"/>
      <c r="E64" s="379"/>
      <c r="F64" s="380"/>
      <c r="G64" s="93" t="s">
        <v>38</v>
      </c>
      <c r="H64" s="93"/>
      <c r="I64" s="32"/>
      <c r="J64" s="94"/>
      <c r="K64" s="94"/>
      <c r="L64" s="94"/>
      <c r="M64" s="94"/>
      <c r="N64" s="94"/>
      <c r="O64" s="94"/>
      <c r="P64" s="94"/>
      <c r="Q64" s="94"/>
      <c r="R64" s="94"/>
      <c r="S64" s="34">
        <f>SUM(S8:S63)</f>
        <v>41922340</v>
      </c>
      <c r="T64" s="254" t="s">
        <v>302</v>
      </c>
    </row>
    <row r="65" spans="1:32" s="19" customFormat="1" ht="33" customHeight="1">
      <c r="A65" s="378" t="s">
        <v>303</v>
      </c>
      <c r="B65" s="379"/>
      <c r="C65" s="379"/>
      <c r="D65" s="379"/>
      <c r="E65" s="379"/>
      <c r="F65" s="380"/>
      <c r="G65" s="32">
        <v>0.1</v>
      </c>
      <c r="H65" s="32"/>
      <c r="I65" s="32" t="s">
        <v>296</v>
      </c>
      <c r="J65" s="32"/>
      <c r="K65" s="32"/>
      <c r="L65" s="32"/>
      <c r="M65" s="32"/>
      <c r="N65" s="32"/>
      <c r="O65" s="32"/>
      <c r="P65" s="32"/>
      <c r="Q65" s="32"/>
      <c r="R65" s="32"/>
      <c r="S65" s="35">
        <f>S64*G65</f>
        <v>4192234</v>
      </c>
      <c r="T65" s="253"/>
    </row>
    <row r="66" spans="1:32" s="19" customFormat="1" ht="33" customHeight="1">
      <c r="A66" s="360" t="s">
        <v>67</v>
      </c>
      <c r="B66" s="361"/>
      <c r="C66" s="361"/>
      <c r="D66" s="361"/>
      <c r="E66" s="361"/>
      <c r="F66" s="362"/>
      <c r="G66" s="95">
        <v>0.1</v>
      </c>
      <c r="H66" s="95"/>
      <c r="I66" s="32" t="s">
        <v>38</v>
      </c>
      <c r="J66" s="32"/>
      <c r="K66" s="32"/>
      <c r="L66" s="32"/>
      <c r="M66" s="32"/>
      <c r="N66" s="32"/>
      <c r="O66" s="32"/>
      <c r="P66" s="32"/>
      <c r="Q66" s="32"/>
      <c r="R66" s="32"/>
      <c r="S66" s="35">
        <f>(S64+S65)*G66</f>
        <v>4611457.4000000004</v>
      </c>
      <c r="T66" s="253" t="s">
        <v>296</v>
      </c>
    </row>
    <row r="67" spans="1:32" s="19" customFormat="1" ht="33" customHeight="1">
      <c r="A67" s="363" t="s">
        <v>304</v>
      </c>
      <c r="B67" s="364"/>
      <c r="C67" s="364"/>
      <c r="D67" s="364"/>
      <c r="E67" s="364"/>
      <c r="F67" s="365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294">
        <f>S64+S65+S66</f>
        <v>50726031.399999999</v>
      </c>
      <c r="T67" s="254" t="s">
        <v>305</v>
      </c>
    </row>
    <row r="68" spans="1:32" s="19" customFormat="1" ht="33" customHeight="1">
      <c r="A68" s="366" t="s">
        <v>306</v>
      </c>
      <c r="B68" s="367"/>
      <c r="C68" s="367"/>
      <c r="D68" s="367"/>
      <c r="E68" s="367"/>
      <c r="F68" s="368"/>
      <c r="G68" s="32">
        <f>COVER!B11</f>
        <v>1.5</v>
      </c>
      <c r="H68" s="32"/>
      <c r="I68" s="32" t="s">
        <v>296</v>
      </c>
      <c r="J68" s="32"/>
      <c r="K68" s="32"/>
      <c r="L68" s="32"/>
      <c r="M68" s="32"/>
      <c r="N68" s="32"/>
      <c r="O68" s="32"/>
      <c r="P68" s="32"/>
      <c r="Q68" s="32"/>
      <c r="R68" s="32"/>
      <c r="S68" s="36">
        <f>S67*G68</f>
        <v>76089047.099999994</v>
      </c>
      <c r="T68" s="253"/>
    </row>
    <row r="69" spans="1:32" s="19" customFormat="1" ht="33" customHeight="1">
      <c r="A69" s="369" t="s">
        <v>71</v>
      </c>
      <c r="B69" s="370"/>
      <c r="C69" s="370"/>
      <c r="D69" s="370"/>
      <c r="E69" s="370"/>
      <c r="F69" s="370"/>
      <c r="G69" s="371"/>
      <c r="H69" s="37"/>
      <c r="I69" s="38"/>
      <c r="J69" s="38"/>
      <c r="K69" s="38"/>
      <c r="L69" s="38"/>
      <c r="M69" s="38"/>
      <c r="N69" s="38"/>
      <c r="O69" s="38"/>
      <c r="P69" s="38"/>
      <c r="Q69" s="38"/>
      <c r="R69" s="39" t="s">
        <v>277</v>
      </c>
      <c r="S69" s="40">
        <f>S68</f>
        <v>76089047.099999994</v>
      </c>
      <c r="T69" s="246" t="s">
        <v>307</v>
      </c>
      <c r="V69" s="141" t="s">
        <v>862</v>
      </c>
      <c r="W69" s="140"/>
      <c r="X69" s="140"/>
      <c r="Y69" s="140"/>
      <c r="Z69" s="140"/>
      <c r="AA69" s="140"/>
      <c r="AB69" s="140"/>
      <c r="AC69" s="140"/>
      <c r="AD69" s="140"/>
      <c r="AE69" s="140"/>
      <c r="AF69" s="140"/>
    </row>
    <row r="70" spans="1:32" s="19" customFormat="1" ht="33" customHeight="1" thickBot="1">
      <c r="A70" s="372"/>
      <c r="B70" s="373"/>
      <c r="C70" s="373"/>
      <c r="D70" s="373"/>
      <c r="E70" s="373"/>
      <c r="F70" s="373"/>
      <c r="G70" s="374"/>
      <c r="H70" s="41"/>
      <c r="I70" s="42"/>
      <c r="J70" s="42"/>
      <c r="K70" s="42"/>
      <c r="L70" s="42"/>
      <c r="M70" s="42"/>
      <c r="N70" s="42"/>
      <c r="O70" s="42"/>
      <c r="P70" s="42"/>
      <c r="Q70" s="42"/>
      <c r="R70" s="43" t="s">
        <v>308</v>
      </c>
      <c r="S70" s="43">
        <f>S64*G68</f>
        <v>62883510</v>
      </c>
      <c r="T70" s="247" t="s">
        <v>309</v>
      </c>
      <c r="V70" s="141" t="s">
        <v>1484</v>
      </c>
      <c r="W70" s="140"/>
      <c r="X70" s="140"/>
      <c r="Y70" s="140"/>
      <c r="Z70" s="140"/>
      <c r="AA70" s="140"/>
      <c r="AB70" s="140"/>
      <c r="AC70" s="140"/>
      <c r="AD70" s="140"/>
      <c r="AE70" s="140"/>
      <c r="AF70" s="140"/>
    </row>
    <row r="71" spans="1:32" ht="15" thickBot="1">
      <c r="V71" s="140"/>
      <c r="W71" s="140"/>
      <c r="X71" s="140"/>
      <c r="Y71" s="140"/>
      <c r="Z71" s="140"/>
      <c r="AA71" s="140"/>
      <c r="AB71" s="140"/>
      <c r="AC71" s="140"/>
      <c r="AD71" s="140"/>
      <c r="AE71" s="140"/>
      <c r="AF71" s="140"/>
    </row>
    <row r="72" spans="1:32" ht="21" thickBot="1">
      <c r="C72" s="44" t="s">
        <v>310</v>
      </c>
      <c r="V72" s="193" t="s">
        <v>863</v>
      </c>
      <c r="W72" s="194" t="s">
        <v>864</v>
      </c>
      <c r="X72" s="194" t="s">
        <v>865</v>
      </c>
      <c r="Y72" s="358" t="s">
        <v>866</v>
      </c>
      <c r="Z72" s="358"/>
      <c r="AA72" s="358"/>
      <c r="AB72" s="358"/>
      <c r="AC72" s="358"/>
      <c r="AD72" s="358"/>
      <c r="AE72" s="358"/>
      <c r="AF72" s="218" t="s">
        <v>867</v>
      </c>
    </row>
    <row r="73" spans="1:32" ht="20.399999999999999">
      <c r="C73" s="44" t="s">
        <v>311</v>
      </c>
      <c r="V73" s="336" t="s">
        <v>868</v>
      </c>
      <c r="W73" s="111" t="s">
        <v>869</v>
      </c>
      <c r="X73" s="111" t="s">
        <v>1485</v>
      </c>
      <c r="Y73" s="345" t="s">
        <v>870</v>
      </c>
      <c r="Z73" s="345"/>
      <c r="AA73" s="345"/>
      <c r="AB73" s="345"/>
      <c r="AC73" s="345"/>
      <c r="AD73" s="345"/>
      <c r="AE73" s="345"/>
      <c r="AF73" s="161" t="s">
        <v>871</v>
      </c>
    </row>
    <row r="74" spans="1:32" ht="21" thickBot="1">
      <c r="C74" s="44" t="s">
        <v>312</v>
      </c>
      <c r="V74" s="342"/>
      <c r="W74" s="133" t="s">
        <v>872</v>
      </c>
      <c r="X74" s="219" t="s">
        <v>457</v>
      </c>
      <c r="Y74" s="346" t="s">
        <v>870</v>
      </c>
      <c r="Z74" s="346"/>
      <c r="AA74" s="346"/>
      <c r="AB74" s="346"/>
      <c r="AC74" s="346"/>
      <c r="AD74" s="346"/>
      <c r="AE74" s="346"/>
      <c r="AF74" s="195" t="s">
        <v>871</v>
      </c>
    </row>
    <row r="75" spans="1:32" ht="21" thickBot="1">
      <c r="C75" s="44" t="s">
        <v>313</v>
      </c>
      <c r="V75" s="196" t="s">
        <v>874</v>
      </c>
      <c r="W75" s="137" t="s">
        <v>875</v>
      </c>
      <c r="X75" s="137" t="s">
        <v>1137</v>
      </c>
      <c r="Y75" s="359" t="s">
        <v>870</v>
      </c>
      <c r="Z75" s="359"/>
      <c r="AA75" s="359"/>
      <c r="AB75" s="359"/>
      <c r="AC75" s="359"/>
      <c r="AD75" s="359"/>
      <c r="AE75" s="359"/>
      <c r="AF75" s="197" t="s">
        <v>871</v>
      </c>
    </row>
    <row r="76" spans="1:32" ht="20.399999999999999">
      <c r="C76" s="44" t="s">
        <v>314</v>
      </c>
      <c r="V76" s="336" t="s">
        <v>877</v>
      </c>
      <c r="W76" s="111" t="s">
        <v>846</v>
      </c>
      <c r="X76" s="354">
        <v>1583400</v>
      </c>
      <c r="Y76" s="354"/>
      <c r="Z76" s="354"/>
      <c r="AA76" s="354"/>
      <c r="AB76" s="354"/>
      <c r="AC76" s="354"/>
      <c r="AD76" s="354"/>
      <c r="AE76" s="354"/>
      <c r="AF76" s="161"/>
    </row>
    <row r="77" spans="1:32" ht="21" thickBot="1">
      <c r="C77" s="44" t="s">
        <v>315</v>
      </c>
      <c r="V77" s="329"/>
      <c r="W77" s="125" t="s">
        <v>847</v>
      </c>
      <c r="X77" s="355">
        <v>2216700</v>
      </c>
      <c r="Y77" s="355"/>
      <c r="Z77" s="355"/>
      <c r="AA77" s="355"/>
      <c r="AB77" s="355"/>
      <c r="AC77" s="355"/>
      <c r="AD77" s="355"/>
      <c r="AE77" s="355"/>
      <c r="AF77" s="208"/>
    </row>
    <row r="78" spans="1:32" ht="20.399999999999999">
      <c r="C78" s="44" t="s">
        <v>316</v>
      </c>
      <c r="V78" s="336" t="s">
        <v>878</v>
      </c>
      <c r="W78" s="343" t="s">
        <v>1486</v>
      </c>
      <c r="X78" s="345" t="s">
        <v>879</v>
      </c>
      <c r="Y78" s="111" t="s">
        <v>880</v>
      </c>
      <c r="Z78" s="111">
        <v>304</v>
      </c>
      <c r="AA78" s="111" t="s">
        <v>881</v>
      </c>
      <c r="AB78" s="111" t="s">
        <v>882</v>
      </c>
      <c r="AC78" s="111" t="s">
        <v>883</v>
      </c>
      <c r="AD78" s="111" t="s">
        <v>884</v>
      </c>
      <c r="AE78" s="111" t="s">
        <v>885</v>
      </c>
      <c r="AF78" s="161"/>
    </row>
    <row r="79" spans="1:32" ht="20.399999999999999">
      <c r="C79" s="45"/>
      <c r="V79" s="337"/>
      <c r="W79" s="356"/>
      <c r="X79" s="357"/>
      <c r="Y79" s="116">
        <v>3390400</v>
      </c>
      <c r="Z79" s="116">
        <v>2494415</v>
      </c>
      <c r="AA79" s="116">
        <v>4535300</v>
      </c>
      <c r="AB79" s="116">
        <v>1987863</v>
      </c>
      <c r="AC79" s="116">
        <v>5376863</v>
      </c>
      <c r="AD79" s="116">
        <v>5611853</v>
      </c>
      <c r="AE79" s="293">
        <v>15076000</v>
      </c>
      <c r="AF79" s="214" t="s">
        <v>886</v>
      </c>
    </row>
    <row r="80" spans="1:32" ht="21" thickBot="1">
      <c r="C80" s="44" t="s">
        <v>317</v>
      </c>
      <c r="V80" s="132" t="s">
        <v>887</v>
      </c>
      <c r="W80" s="286" t="s">
        <v>1487</v>
      </c>
      <c r="X80" s="133" t="s">
        <v>909</v>
      </c>
      <c r="Y80" s="134">
        <v>87710</v>
      </c>
      <c r="Z80" s="134">
        <v>63190</v>
      </c>
      <c r="AA80" s="134">
        <v>144720</v>
      </c>
      <c r="AB80" s="134">
        <v>51330</v>
      </c>
      <c r="AC80" s="134">
        <v>119260</v>
      </c>
      <c r="AD80" s="134">
        <v>155909</v>
      </c>
      <c r="AE80" s="134">
        <v>858000</v>
      </c>
      <c r="AF80" s="195" t="s">
        <v>889</v>
      </c>
    </row>
    <row r="81" spans="3:32" ht="20.399999999999999">
      <c r="C81" s="46" t="s">
        <v>318</v>
      </c>
      <c r="V81" s="331" t="s">
        <v>890</v>
      </c>
      <c r="W81" s="352" t="s">
        <v>1488</v>
      </c>
      <c r="X81" s="328" t="s">
        <v>879</v>
      </c>
      <c r="Y81" s="198">
        <v>304</v>
      </c>
      <c r="Z81" s="198" t="s">
        <v>880</v>
      </c>
      <c r="AA81" s="198" t="s">
        <v>892</v>
      </c>
      <c r="AB81" s="199"/>
      <c r="AC81" s="199"/>
      <c r="AD81" s="199"/>
      <c r="AE81" s="199"/>
      <c r="AF81" s="206"/>
    </row>
    <row r="82" spans="3:32" ht="21" thickBot="1">
      <c r="C82" s="46" t="s">
        <v>319</v>
      </c>
      <c r="V82" s="329"/>
      <c r="W82" s="353"/>
      <c r="X82" s="327"/>
      <c r="Y82" s="126">
        <v>1628000</v>
      </c>
      <c r="Z82" s="126">
        <v>2020000</v>
      </c>
      <c r="AA82" s="126">
        <v>195800</v>
      </c>
      <c r="AB82" s="200"/>
      <c r="AC82" s="200"/>
      <c r="AD82" s="200"/>
      <c r="AE82" s="200"/>
      <c r="AF82" s="208"/>
    </row>
    <row r="83" spans="3:32" ht="20.399999999999999">
      <c r="C83" s="46" t="s">
        <v>320</v>
      </c>
      <c r="V83" s="336" t="s">
        <v>893</v>
      </c>
      <c r="W83" s="343" t="s">
        <v>1489</v>
      </c>
      <c r="X83" s="345" t="s">
        <v>879</v>
      </c>
      <c r="Y83" s="111" t="s">
        <v>895</v>
      </c>
      <c r="Z83" s="111" t="s">
        <v>896</v>
      </c>
      <c r="AA83" s="201"/>
      <c r="AB83" s="201"/>
      <c r="AC83" s="201"/>
      <c r="AD83" s="201"/>
      <c r="AE83" s="201"/>
      <c r="AF83" s="161"/>
    </row>
    <row r="84" spans="3:32" ht="21" thickBot="1">
      <c r="C84" s="46" t="s">
        <v>321</v>
      </c>
      <c r="V84" s="342"/>
      <c r="W84" s="344"/>
      <c r="X84" s="346"/>
      <c r="Y84" s="296">
        <v>813700</v>
      </c>
      <c r="Z84" s="296">
        <v>800000</v>
      </c>
      <c r="AA84" s="203"/>
      <c r="AB84" s="203"/>
      <c r="AC84" s="203"/>
      <c r="AD84" s="203"/>
      <c r="AE84" s="203"/>
      <c r="AF84" s="195" t="s">
        <v>958</v>
      </c>
    </row>
    <row r="85" spans="3:32" ht="21" thickBot="1">
      <c r="C85" s="46" t="s">
        <v>322</v>
      </c>
      <c r="V85" s="170" t="s">
        <v>898</v>
      </c>
      <c r="W85" s="288" t="s">
        <v>1490</v>
      </c>
      <c r="X85" s="125" t="s">
        <v>463</v>
      </c>
      <c r="Y85" s="126">
        <v>80000</v>
      </c>
      <c r="Z85" s="200"/>
      <c r="AA85" s="200"/>
      <c r="AB85" s="200"/>
      <c r="AC85" s="200"/>
      <c r="AD85" s="200"/>
      <c r="AE85" s="200"/>
      <c r="AF85" s="208"/>
    </row>
    <row r="86" spans="3:32" ht="21" thickBot="1">
      <c r="C86" s="46" t="s">
        <v>323</v>
      </c>
      <c r="V86" s="193" t="s">
        <v>904</v>
      </c>
      <c r="W86" s="289" t="s">
        <v>1491</v>
      </c>
      <c r="X86" s="194" t="s">
        <v>463</v>
      </c>
      <c r="Y86" s="210">
        <v>10200</v>
      </c>
      <c r="Z86" s="211"/>
      <c r="AA86" s="211"/>
      <c r="AB86" s="211"/>
      <c r="AC86" s="211"/>
      <c r="AD86" s="211"/>
      <c r="AE86" s="211"/>
      <c r="AF86" s="218"/>
    </row>
    <row r="87" spans="3:32" ht="20.399999999999999">
      <c r="C87" s="46" t="s">
        <v>324</v>
      </c>
      <c r="V87" s="336" t="s">
        <v>906</v>
      </c>
      <c r="W87" s="345"/>
      <c r="X87" s="345"/>
      <c r="Y87" s="111" t="s">
        <v>853</v>
      </c>
      <c r="Z87" s="111" t="s">
        <v>462</v>
      </c>
      <c r="AA87" s="111" t="s">
        <v>855</v>
      </c>
      <c r="AB87" s="201"/>
      <c r="AC87" s="201"/>
      <c r="AD87" s="201"/>
      <c r="AE87" s="201"/>
      <c r="AF87" s="161"/>
    </row>
    <row r="88" spans="3:32" ht="20.399999999999999">
      <c r="C88" s="47" t="s">
        <v>325</v>
      </c>
      <c r="V88" s="119" t="s">
        <v>907</v>
      </c>
      <c r="W88" s="290" t="s">
        <v>1468</v>
      </c>
      <c r="X88" s="115" t="s">
        <v>978</v>
      </c>
      <c r="Y88" s="116">
        <v>14000</v>
      </c>
      <c r="Z88" s="116">
        <v>17000</v>
      </c>
      <c r="AA88" s="116">
        <v>12500</v>
      </c>
      <c r="AB88" s="213"/>
      <c r="AC88" s="213"/>
      <c r="AD88" s="213"/>
      <c r="AE88" s="213"/>
      <c r="AF88" s="214" t="s">
        <v>910</v>
      </c>
    </row>
    <row r="89" spans="3:32" ht="20.399999999999999">
      <c r="C89" s="48"/>
      <c r="V89" s="119" t="s">
        <v>911</v>
      </c>
      <c r="W89" s="290" t="s">
        <v>1469</v>
      </c>
      <c r="X89" s="115" t="s">
        <v>915</v>
      </c>
      <c r="Y89" s="116">
        <v>46000</v>
      </c>
      <c r="Z89" s="116">
        <v>50000</v>
      </c>
      <c r="AA89" s="116">
        <v>28000</v>
      </c>
      <c r="AB89" s="213"/>
      <c r="AC89" s="213"/>
      <c r="AD89" s="213"/>
      <c r="AE89" s="213"/>
      <c r="AF89" s="214" t="s">
        <v>910</v>
      </c>
    </row>
    <row r="90" spans="3:32" ht="20.399999999999999">
      <c r="C90" s="46" t="s">
        <v>296</v>
      </c>
      <c r="V90" s="119" t="s">
        <v>1492</v>
      </c>
      <c r="W90" s="290" t="s">
        <v>1493</v>
      </c>
      <c r="X90" s="115" t="s">
        <v>909</v>
      </c>
      <c r="Y90" s="116">
        <v>44000</v>
      </c>
      <c r="Z90" s="116">
        <v>48000</v>
      </c>
      <c r="AA90" s="116">
        <v>26000</v>
      </c>
      <c r="AB90" s="213"/>
      <c r="AC90" s="213"/>
      <c r="AD90" s="213"/>
      <c r="AE90" s="213"/>
      <c r="AF90" s="214" t="s">
        <v>910</v>
      </c>
    </row>
    <row r="91" spans="3:32" ht="20.399999999999999">
      <c r="C91" s="44" t="s">
        <v>326</v>
      </c>
      <c r="V91" s="119" t="s">
        <v>913</v>
      </c>
      <c r="W91" s="290" t="s">
        <v>1494</v>
      </c>
      <c r="X91" s="115" t="s">
        <v>909</v>
      </c>
      <c r="Y91" s="116">
        <v>10000</v>
      </c>
      <c r="Z91" s="116">
        <v>12000</v>
      </c>
      <c r="AA91" s="116">
        <v>5000</v>
      </c>
      <c r="AB91" s="213"/>
      <c r="AC91" s="213"/>
      <c r="AD91" s="213"/>
      <c r="AE91" s="213"/>
      <c r="AF91" s="214" t="s">
        <v>910</v>
      </c>
    </row>
    <row r="92" spans="3:32" ht="20.399999999999999">
      <c r="C92" s="46" t="s">
        <v>327</v>
      </c>
      <c r="V92" s="119" t="s">
        <v>913</v>
      </c>
      <c r="W92" s="290" t="s">
        <v>1495</v>
      </c>
      <c r="X92" s="115" t="s">
        <v>1496</v>
      </c>
      <c r="Y92" s="116">
        <v>11000</v>
      </c>
      <c r="Z92" s="116">
        <v>14000</v>
      </c>
      <c r="AA92" s="116">
        <v>5500</v>
      </c>
      <c r="AB92" s="213"/>
      <c r="AC92" s="213"/>
      <c r="AD92" s="213"/>
      <c r="AE92" s="213"/>
      <c r="AF92" s="214" t="s">
        <v>910</v>
      </c>
    </row>
    <row r="93" spans="3:32" ht="20.399999999999999">
      <c r="C93" s="46" t="s">
        <v>328</v>
      </c>
      <c r="V93" s="119" t="s">
        <v>916</v>
      </c>
      <c r="W93" s="290" t="s">
        <v>1472</v>
      </c>
      <c r="X93" s="115" t="s">
        <v>982</v>
      </c>
      <c r="Y93" s="116">
        <v>6000</v>
      </c>
      <c r="Z93" s="116">
        <v>9000</v>
      </c>
      <c r="AA93" s="116">
        <v>4000</v>
      </c>
      <c r="AB93" s="213"/>
      <c r="AC93" s="213"/>
      <c r="AD93" s="213"/>
      <c r="AE93" s="213"/>
      <c r="AF93" s="214" t="s">
        <v>910</v>
      </c>
    </row>
    <row r="94" spans="3:32" ht="18" thickBot="1">
      <c r="V94" s="170" t="s">
        <v>918</v>
      </c>
      <c r="W94" s="288" t="s">
        <v>1497</v>
      </c>
      <c r="X94" s="125" t="s">
        <v>982</v>
      </c>
      <c r="Y94" s="126">
        <v>10000</v>
      </c>
      <c r="Z94" s="126">
        <v>12000</v>
      </c>
      <c r="AA94" s="126">
        <v>7000</v>
      </c>
      <c r="AB94" s="200"/>
      <c r="AC94" s="200"/>
      <c r="AD94" s="200"/>
      <c r="AE94" s="200"/>
      <c r="AF94" s="208" t="s">
        <v>910</v>
      </c>
    </row>
    <row r="95" spans="3:32" ht="18" thickBot="1">
      <c r="V95" s="105" t="s">
        <v>1155</v>
      </c>
      <c r="W95" s="291" t="s">
        <v>1156</v>
      </c>
      <c r="X95" s="103" t="s">
        <v>879</v>
      </c>
      <c r="Y95" s="216">
        <v>230000</v>
      </c>
      <c r="Z95" s="217"/>
      <c r="AA95" s="217"/>
      <c r="AB95" s="217"/>
      <c r="AC95" s="217"/>
      <c r="AD95" s="217"/>
      <c r="AE95" s="217"/>
      <c r="AF95" s="107"/>
    </row>
    <row r="96" spans="3:32" s="228" customFormat="1" ht="14.4">
      <c r="C96" s="227"/>
      <c r="V96" s="336" t="s">
        <v>922</v>
      </c>
      <c r="W96" s="345"/>
      <c r="X96" s="345"/>
      <c r="Y96" s="111" t="s">
        <v>923</v>
      </c>
      <c r="Z96" s="111" t="s">
        <v>924</v>
      </c>
      <c r="AA96" s="201"/>
      <c r="AB96" s="201"/>
      <c r="AC96" s="201"/>
      <c r="AD96" s="201"/>
      <c r="AE96" s="201"/>
      <c r="AF96" s="161"/>
    </row>
    <row r="97" spans="3:32" s="228" customFormat="1" ht="17.399999999999999">
      <c r="C97" s="227"/>
      <c r="V97" s="170" t="s">
        <v>925</v>
      </c>
      <c r="W97" s="290" t="s">
        <v>1498</v>
      </c>
      <c r="X97" s="115" t="s">
        <v>879</v>
      </c>
      <c r="Y97" s="116">
        <v>583000</v>
      </c>
      <c r="Z97" s="116">
        <v>227000</v>
      </c>
      <c r="AA97" s="213"/>
      <c r="AB97" s="213"/>
      <c r="AC97" s="213"/>
      <c r="AD97" s="213"/>
      <c r="AE97" s="213"/>
      <c r="AF97" s="214" t="s">
        <v>889</v>
      </c>
    </row>
    <row r="98" spans="3:32" ht="17.399999999999999">
      <c r="V98" s="170" t="s">
        <v>926</v>
      </c>
      <c r="W98" s="290" t="s">
        <v>1498</v>
      </c>
      <c r="X98" s="115" t="s">
        <v>879</v>
      </c>
      <c r="Y98" s="116">
        <v>583000</v>
      </c>
      <c r="Z98" s="116">
        <v>227000</v>
      </c>
      <c r="AA98" s="213"/>
      <c r="AB98" s="213"/>
      <c r="AC98" s="213"/>
      <c r="AD98" s="213"/>
      <c r="AE98" s="213"/>
      <c r="AF98" s="214" t="s">
        <v>889</v>
      </c>
    </row>
    <row r="99" spans="3:32" ht="17.399999999999999">
      <c r="V99" s="119" t="s">
        <v>927</v>
      </c>
      <c r="W99" s="290" t="s">
        <v>1499</v>
      </c>
      <c r="X99" s="115" t="s">
        <v>879</v>
      </c>
      <c r="Y99" s="116">
        <v>438000</v>
      </c>
      <c r="Z99" s="116">
        <v>387000</v>
      </c>
      <c r="AA99" s="213"/>
      <c r="AB99" s="213"/>
      <c r="AC99" s="213"/>
      <c r="AD99" s="213"/>
      <c r="AE99" s="213"/>
      <c r="AF99" s="214" t="s">
        <v>889</v>
      </c>
    </row>
    <row r="100" spans="3:32" ht="17.399999999999999">
      <c r="V100" s="119" t="s">
        <v>929</v>
      </c>
      <c r="W100" s="290" t="s">
        <v>1160</v>
      </c>
      <c r="X100" s="115" t="s">
        <v>879</v>
      </c>
      <c r="Y100" s="116">
        <v>76200</v>
      </c>
      <c r="Z100" s="116">
        <v>128000</v>
      </c>
      <c r="AA100" s="213"/>
      <c r="AB100" s="213"/>
      <c r="AC100" s="213"/>
      <c r="AD100" s="213"/>
      <c r="AE100" s="213"/>
      <c r="AF100" s="214" t="s">
        <v>889</v>
      </c>
    </row>
    <row r="101" spans="3:32" ht="17.399999999999999">
      <c r="V101" s="119" t="s">
        <v>931</v>
      </c>
      <c r="W101" s="290" t="s">
        <v>1500</v>
      </c>
      <c r="X101" s="115" t="s">
        <v>879</v>
      </c>
      <c r="Y101" s="116">
        <v>125300</v>
      </c>
      <c r="Z101" s="116">
        <v>134000</v>
      </c>
      <c r="AA101" s="213"/>
      <c r="AB101" s="213"/>
      <c r="AC101" s="213"/>
      <c r="AD101" s="213"/>
      <c r="AE101" s="213"/>
      <c r="AF101" s="214" t="s">
        <v>889</v>
      </c>
    </row>
    <row r="102" spans="3:32" ht="17.399999999999999">
      <c r="V102" s="119" t="s">
        <v>933</v>
      </c>
      <c r="W102" s="290" t="s">
        <v>1163</v>
      </c>
      <c r="X102" s="115" t="s">
        <v>879</v>
      </c>
      <c r="Y102" s="116">
        <v>71500</v>
      </c>
      <c r="Z102" s="116">
        <v>79000</v>
      </c>
      <c r="AA102" s="213"/>
      <c r="AB102" s="213"/>
      <c r="AC102" s="213"/>
      <c r="AD102" s="213"/>
      <c r="AE102" s="213"/>
      <c r="AF102" s="214" t="s">
        <v>889</v>
      </c>
    </row>
    <row r="103" spans="3:32" ht="17.399999999999999">
      <c r="V103" s="119" t="s">
        <v>933</v>
      </c>
      <c r="W103" s="290" t="s">
        <v>1162</v>
      </c>
      <c r="X103" s="115" t="s">
        <v>879</v>
      </c>
      <c r="Y103" s="116">
        <v>60100</v>
      </c>
      <c r="Z103" s="116">
        <v>54000</v>
      </c>
      <c r="AA103" s="213"/>
      <c r="AB103" s="213"/>
      <c r="AC103" s="213"/>
      <c r="AD103" s="213"/>
      <c r="AE103" s="213"/>
      <c r="AF103" s="214" t="s">
        <v>889</v>
      </c>
    </row>
    <row r="104" spans="3:32" ht="18" thickBot="1">
      <c r="V104" s="132" t="s">
        <v>935</v>
      </c>
      <c r="W104" s="286" t="s">
        <v>1164</v>
      </c>
      <c r="X104" s="133" t="s">
        <v>888</v>
      </c>
      <c r="Y104" s="134">
        <v>30000</v>
      </c>
      <c r="Z104" s="134">
        <v>133600</v>
      </c>
      <c r="AA104" s="203"/>
      <c r="AB104" s="203"/>
      <c r="AC104" s="203"/>
      <c r="AD104" s="203"/>
      <c r="AE104" s="203"/>
      <c r="AF104" s="195" t="s">
        <v>889</v>
      </c>
    </row>
    <row r="105" spans="3:32" ht="14.4">
      <c r="V105" s="331" t="s">
        <v>937</v>
      </c>
      <c r="W105" s="352" t="s">
        <v>1165</v>
      </c>
      <c r="X105" s="328" t="s">
        <v>879</v>
      </c>
      <c r="Y105" s="198" t="s">
        <v>741</v>
      </c>
      <c r="Z105" s="198">
        <v>316</v>
      </c>
      <c r="AA105" s="198">
        <v>304</v>
      </c>
      <c r="AB105" s="199"/>
      <c r="AC105" s="199"/>
      <c r="AD105" s="199"/>
      <c r="AE105" s="199"/>
      <c r="AF105" s="347" t="s">
        <v>940</v>
      </c>
    </row>
    <row r="106" spans="3:32" ht="15" thickBot="1">
      <c r="V106" s="329"/>
      <c r="W106" s="353"/>
      <c r="X106" s="327"/>
      <c r="Y106" s="126">
        <v>95520</v>
      </c>
      <c r="Z106" s="126">
        <v>429440</v>
      </c>
      <c r="AA106" s="126">
        <v>332500</v>
      </c>
      <c r="AB106" s="200"/>
      <c r="AC106" s="200"/>
      <c r="AD106" s="200"/>
      <c r="AE106" s="200"/>
      <c r="AF106" s="348"/>
    </row>
    <row r="107" spans="3:32" ht="14.4">
      <c r="V107" s="336" t="s">
        <v>985</v>
      </c>
      <c r="W107" s="343" t="s">
        <v>1483</v>
      </c>
      <c r="X107" s="111" t="s">
        <v>986</v>
      </c>
      <c r="Y107" s="111" t="s">
        <v>466</v>
      </c>
      <c r="Z107" s="111" t="s">
        <v>988</v>
      </c>
      <c r="AA107" s="111" t="s">
        <v>989</v>
      </c>
      <c r="AB107" s="111" t="s">
        <v>990</v>
      </c>
      <c r="AC107" s="201"/>
      <c r="AD107" s="201"/>
      <c r="AE107" s="201"/>
      <c r="AF107" s="347" t="s">
        <v>991</v>
      </c>
    </row>
    <row r="108" spans="3:32" ht="15" thickBot="1">
      <c r="V108" s="342"/>
      <c r="W108" s="344"/>
      <c r="X108" s="221">
        <v>250</v>
      </c>
      <c r="Y108" s="433" t="s">
        <v>870</v>
      </c>
      <c r="Z108" s="434"/>
      <c r="AA108" s="134">
        <v>300000</v>
      </c>
      <c r="AB108" s="134">
        <v>380000</v>
      </c>
      <c r="AC108" s="203"/>
      <c r="AD108" s="203"/>
      <c r="AE108" s="203"/>
      <c r="AF108" s="348"/>
    </row>
    <row r="114" spans="22:32" ht="13.8" thickBot="1"/>
    <row r="115" spans="22:32" ht="30" customHeight="1">
      <c r="V115" s="336" t="s">
        <v>1516</v>
      </c>
      <c r="W115" s="338"/>
      <c r="X115" s="340"/>
      <c r="Y115" s="171" t="s">
        <v>1517</v>
      </c>
      <c r="Z115" s="171" t="s">
        <v>1518</v>
      </c>
      <c r="AA115" s="171" t="s">
        <v>1519</v>
      </c>
      <c r="AB115" s="171"/>
      <c r="AC115" s="171"/>
      <c r="AD115" s="171"/>
      <c r="AE115" s="171"/>
      <c r="AF115" s="172"/>
    </row>
    <row r="116" spans="22:32" ht="30" customHeight="1" thickBot="1">
      <c r="V116" s="337"/>
      <c r="W116" s="339"/>
      <c r="X116" s="341"/>
      <c r="Y116" s="173">
        <v>480000</v>
      </c>
      <c r="Z116" s="173">
        <f>IF(F8&gt;0,E8*520,IF(F9&gt;0,E9*520))</f>
        <v>1489800</v>
      </c>
      <c r="AA116" s="173">
        <f>IF(F8&gt;0,E8*620,IF(F9&gt;0,E9*620))</f>
        <v>1776300</v>
      </c>
      <c r="AB116" s="173"/>
      <c r="AC116" s="173"/>
      <c r="AD116" s="173"/>
      <c r="AE116" s="173"/>
      <c r="AF116" s="174"/>
    </row>
    <row r="117" spans="22:32" ht="30" customHeight="1">
      <c r="V117" s="336" t="s">
        <v>1520</v>
      </c>
      <c r="W117" s="338"/>
      <c r="X117" s="340"/>
      <c r="Y117" s="171" t="s">
        <v>1517</v>
      </c>
      <c r="Z117" s="171" t="s">
        <v>1521</v>
      </c>
      <c r="AA117" s="171"/>
      <c r="AB117" s="171"/>
      <c r="AC117" s="171"/>
      <c r="AD117" s="171"/>
      <c r="AE117" s="171"/>
      <c r="AF117" s="172"/>
    </row>
    <row r="118" spans="22:32" ht="30" customHeight="1" thickBot="1">
      <c r="V118" s="337"/>
      <c r="W118" s="339"/>
      <c r="X118" s="341"/>
      <c r="Y118" s="173">
        <v>600000</v>
      </c>
      <c r="Z118" s="173">
        <f>Y118</f>
        <v>600000</v>
      </c>
      <c r="AA118" s="173"/>
      <c r="AB118" s="173"/>
      <c r="AC118" s="173"/>
      <c r="AD118" s="173"/>
      <c r="AE118" s="173"/>
      <c r="AF118" s="174"/>
    </row>
    <row r="119" spans="22:32" ht="30" customHeight="1">
      <c r="V119" s="336" t="s">
        <v>1522</v>
      </c>
      <c r="W119" s="338"/>
      <c r="X119" s="340"/>
      <c r="Y119" s="171" t="s">
        <v>1523</v>
      </c>
      <c r="Z119" s="171" t="s">
        <v>1524</v>
      </c>
      <c r="AA119" s="171" t="s">
        <v>1525</v>
      </c>
      <c r="AB119" s="171"/>
      <c r="AC119" s="171"/>
      <c r="AD119" s="171"/>
      <c r="AE119" s="171"/>
      <c r="AF119" s="172"/>
    </row>
    <row r="120" spans="22:32" ht="30" customHeight="1">
      <c r="V120" s="337"/>
      <c r="W120" s="339"/>
      <c r="X120" s="341"/>
      <c r="Y120" s="306">
        <v>900000</v>
      </c>
      <c r="Z120" s="306">
        <v>1200000</v>
      </c>
      <c r="AA120" s="173">
        <v>2700000</v>
      </c>
      <c r="AB120" s="173"/>
      <c r="AC120" s="173"/>
      <c r="AD120" s="173"/>
      <c r="AE120" s="173"/>
      <c r="AF120" s="174"/>
    </row>
  </sheetData>
  <mergeCells count="64">
    <mergeCell ref="A67:F67"/>
    <mergeCell ref="A68:F68"/>
    <mergeCell ref="A69:G70"/>
    <mergeCell ref="A8:A61"/>
    <mergeCell ref="A62:F62"/>
    <mergeCell ref="A63:F63"/>
    <mergeCell ref="A64:F64"/>
    <mergeCell ref="A65:F65"/>
    <mergeCell ref="A66:F66"/>
    <mergeCell ref="T3:T7"/>
    <mergeCell ref="A5:B7"/>
    <mergeCell ref="C5:C7"/>
    <mergeCell ref="D5:D7"/>
    <mergeCell ref="E5:G6"/>
    <mergeCell ref="H5:H6"/>
    <mergeCell ref="I5:Q5"/>
    <mergeCell ref="R5:R7"/>
    <mergeCell ref="S5:S7"/>
    <mergeCell ref="A1:S1"/>
    <mergeCell ref="A3:B4"/>
    <mergeCell ref="C3:C4"/>
    <mergeCell ref="D3:D4"/>
    <mergeCell ref="E3:E4"/>
    <mergeCell ref="F3:F4"/>
    <mergeCell ref="G3:G4"/>
    <mergeCell ref="H3:Q4"/>
    <mergeCell ref="R3:R4"/>
    <mergeCell ref="S3:S4"/>
    <mergeCell ref="Y72:AE72"/>
    <mergeCell ref="V73:V74"/>
    <mergeCell ref="Y73:AE73"/>
    <mergeCell ref="Y74:AE74"/>
    <mergeCell ref="Y75:AE75"/>
    <mergeCell ref="V76:V77"/>
    <mergeCell ref="X76:AE76"/>
    <mergeCell ref="X77:AE77"/>
    <mergeCell ref="V78:V79"/>
    <mergeCell ref="W78:W79"/>
    <mergeCell ref="X78:X79"/>
    <mergeCell ref="V87:X87"/>
    <mergeCell ref="V81:V82"/>
    <mergeCell ref="W81:W82"/>
    <mergeCell ref="X81:X82"/>
    <mergeCell ref="V83:V84"/>
    <mergeCell ref="W83:W84"/>
    <mergeCell ref="X83:X84"/>
    <mergeCell ref="V107:V108"/>
    <mergeCell ref="W107:W108"/>
    <mergeCell ref="AF107:AF108"/>
    <mergeCell ref="Y108:Z108"/>
    <mergeCell ref="V96:X96"/>
    <mergeCell ref="V105:V106"/>
    <mergeCell ref="W105:W106"/>
    <mergeCell ref="X105:X106"/>
    <mergeCell ref="AF105:AF106"/>
    <mergeCell ref="V119:V120"/>
    <mergeCell ref="W119:W120"/>
    <mergeCell ref="X119:X120"/>
    <mergeCell ref="V115:V116"/>
    <mergeCell ref="W115:W116"/>
    <mergeCell ref="X115:X116"/>
    <mergeCell ref="V117:V118"/>
    <mergeCell ref="W117:W118"/>
    <mergeCell ref="X117:X118"/>
  </mergeCells>
  <phoneticPr fontId="3" type="noConversion"/>
  <printOptions horizontalCentered="1"/>
  <pageMargins left="0.39370078740157483" right="0.39370078740157483" top="0.39370078740157483" bottom="0.15748031496062992" header="0.51181102362204722" footer="0.51181102362204722"/>
  <pageSetup paperSize="9" scale="45" orientation="portrait" r:id="rId1"/>
  <headerFooter alignWithMargins="0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F107"/>
  <sheetViews>
    <sheetView showGridLines="0" tabSelected="1" view="pageBreakPreview" zoomScale="70" zoomScaleNormal="55" zoomScaleSheetLayoutView="70" workbookViewId="0">
      <selection activeCell="S23" sqref="S23"/>
    </sheetView>
  </sheetViews>
  <sheetFormatPr defaultColWidth="8.8984375" defaultRowHeight="13.2"/>
  <cols>
    <col min="1" max="1" width="3.3984375" style="54" customWidth="1"/>
    <col min="2" max="2" width="9.5" style="54" customWidth="1"/>
    <col min="3" max="3" width="25.19921875" style="89" customWidth="1"/>
    <col min="4" max="5" width="13.09765625" style="54" customWidth="1"/>
    <col min="6" max="7" width="15.09765625" style="54" customWidth="1"/>
    <col min="8" max="8" width="15.09765625" style="54" hidden="1" customWidth="1"/>
    <col min="9" max="17" width="15.69921875" style="54" hidden="1" customWidth="1"/>
    <col min="18" max="18" width="15.69921875" style="54" customWidth="1"/>
    <col min="19" max="19" width="26.8984375" style="54" customWidth="1"/>
    <col min="20" max="20" width="30.09765625" style="54" customWidth="1"/>
    <col min="21" max="21" width="15.3984375" style="54" bestFit="1" customWidth="1"/>
    <col min="22" max="22" width="48.3984375" style="54" bestFit="1" customWidth="1"/>
    <col min="23" max="23" width="47.796875" style="54" bestFit="1" customWidth="1"/>
    <col min="24" max="24" width="10.09765625" style="54" bestFit="1" customWidth="1"/>
    <col min="25" max="25" width="11.5" style="54" bestFit="1" customWidth="1"/>
    <col min="26" max="26" width="12.5" style="54" bestFit="1" customWidth="1"/>
    <col min="27" max="27" width="12.09765625" style="54" bestFit="1" customWidth="1"/>
    <col min="28" max="28" width="13.09765625" style="54" bestFit="1" customWidth="1"/>
    <col min="29" max="30" width="11.5" style="54" bestFit="1" customWidth="1"/>
    <col min="31" max="31" width="13.3984375" style="54" bestFit="1" customWidth="1"/>
    <col min="32" max="32" width="19" style="54" bestFit="1" customWidth="1"/>
    <col min="33" max="16384" width="8.8984375" style="54"/>
  </cols>
  <sheetData>
    <row r="1" spans="1:26" s="53" customFormat="1" ht="51" customHeight="1" thickBot="1">
      <c r="A1" s="443" t="s">
        <v>1312</v>
      </c>
      <c r="B1" s="444"/>
      <c r="C1" s="444"/>
      <c r="D1" s="444"/>
      <c r="E1" s="444"/>
      <c r="F1" s="444"/>
      <c r="G1" s="444"/>
      <c r="H1" s="444"/>
      <c r="I1" s="444"/>
      <c r="J1" s="444"/>
      <c r="K1" s="444"/>
      <c r="L1" s="444"/>
      <c r="M1" s="444"/>
      <c r="N1" s="444"/>
      <c r="O1" s="444"/>
      <c r="P1" s="444"/>
      <c r="Q1" s="444"/>
      <c r="R1" s="444"/>
      <c r="S1" s="444"/>
      <c r="T1" s="52"/>
      <c r="V1" s="54"/>
      <c r="W1" s="54"/>
      <c r="X1" s="54"/>
      <c r="Y1" s="54"/>
      <c r="Z1" s="54"/>
    </row>
    <row r="2" spans="1:26" s="53" customFormat="1" ht="30" customHeight="1" thickBot="1">
      <c r="A2" s="54"/>
      <c r="B2" s="54"/>
      <c r="T2" s="55" t="s">
        <v>329</v>
      </c>
      <c r="V2" s="54"/>
      <c r="W2" s="54"/>
      <c r="X2" s="54"/>
      <c r="Y2" s="54"/>
      <c r="Z2" s="54"/>
    </row>
    <row r="3" spans="1:26" s="56" customFormat="1" ht="24" customHeight="1">
      <c r="A3" s="445" t="s">
        <v>93</v>
      </c>
      <c r="B3" s="446"/>
      <c r="C3" s="449" t="s">
        <v>330</v>
      </c>
      <c r="D3" s="451" t="s">
        <v>331</v>
      </c>
      <c r="E3" s="453" t="s">
        <v>1313</v>
      </c>
      <c r="F3" s="455" t="s">
        <v>243</v>
      </c>
      <c r="G3" s="457" t="str">
        <f>COVER!B9</f>
        <v>FLANGE</v>
      </c>
      <c r="H3" s="453" t="s">
        <v>5</v>
      </c>
      <c r="I3" s="459"/>
      <c r="J3" s="459"/>
      <c r="K3" s="459"/>
      <c r="L3" s="459"/>
      <c r="M3" s="459"/>
      <c r="N3" s="459"/>
      <c r="O3" s="459"/>
      <c r="P3" s="459"/>
      <c r="Q3" s="460"/>
      <c r="R3" s="455" t="s">
        <v>95</v>
      </c>
      <c r="S3" s="463" t="s">
        <v>7</v>
      </c>
      <c r="T3" s="465" t="s">
        <v>96</v>
      </c>
      <c r="V3" s="442"/>
    </row>
    <row r="4" spans="1:26" s="56" customFormat="1" ht="24" customHeight="1">
      <c r="A4" s="447"/>
      <c r="B4" s="448"/>
      <c r="C4" s="450"/>
      <c r="D4" s="452"/>
      <c r="E4" s="454"/>
      <c r="F4" s="456"/>
      <c r="G4" s="458"/>
      <c r="H4" s="454"/>
      <c r="I4" s="461"/>
      <c r="J4" s="461"/>
      <c r="K4" s="461"/>
      <c r="L4" s="461"/>
      <c r="M4" s="461"/>
      <c r="N4" s="461"/>
      <c r="O4" s="461"/>
      <c r="P4" s="461"/>
      <c r="Q4" s="462"/>
      <c r="R4" s="456"/>
      <c r="S4" s="464"/>
      <c r="T4" s="466"/>
      <c r="V4" s="442"/>
    </row>
    <row r="5" spans="1:26" s="56" customFormat="1" ht="24" customHeight="1">
      <c r="A5" s="468" t="s">
        <v>9</v>
      </c>
      <c r="B5" s="469"/>
      <c r="C5" s="474" t="s">
        <v>332</v>
      </c>
      <c r="D5" s="477" t="s">
        <v>11</v>
      </c>
      <c r="E5" s="480" t="s">
        <v>12</v>
      </c>
      <c r="F5" s="481"/>
      <c r="G5" s="482"/>
      <c r="H5" s="486" t="s">
        <v>333</v>
      </c>
      <c r="I5" s="488" t="s">
        <v>14</v>
      </c>
      <c r="J5" s="489"/>
      <c r="K5" s="489"/>
      <c r="L5" s="489"/>
      <c r="M5" s="489"/>
      <c r="N5" s="489"/>
      <c r="O5" s="489"/>
      <c r="P5" s="489"/>
      <c r="Q5" s="489"/>
      <c r="R5" s="490" t="s">
        <v>276</v>
      </c>
      <c r="S5" s="492" t="s">
        <v>16</v>
      </c>
      <c r="T5" s="466"/>
      <c r="V5" s="442"/>
    </row>
    <row r="6" spans="1:26" s="56" customFormat="1" ht="24" customHeight="1">
      <c r="A6" s="470"/>
      <c r="B6" s="471"/>
      <c r="C6" s="475"/>
      <c r="D6" s="478"/>
      <c r="E6" s="483"/>
      <c r="F6" s="484"/>
      <c r="G6" s="485"/>
      <c r="H6" s="487"/>
      <c r="I6" s="57" t="s">
        <v>334</v>
      </c>
      <c r="J6" s="57" t="s">
        <v>18</v>
      </c>
      <c r="K6" s="57" t="s">
        <v>335</v>
      </c>
      <c r="L6" s="58" t="s">
        <v>20</v>
      </c>
      <c r="M6" s="58" t="s">
        <v>21</v>
      </c>
      <c r="N6" s="57" t="s">
        <v>22</v>
      </c>
      <c r="O6" s="57" t="s">
        <v>336</v>
      </c>
      <c r="P6" s="57" t="s">
        <v>24</v>
      </c>
      <c r="Q6" s="59" t="s">
        <v>25</v>
      </c>
      <c r="R6" s="491"/>
      <c r="S6" s="493"/>
      <c r="T6" s="466"/>
      <c r="V6" s="442"/>
    </row>
    <row r="7" spans="1:26" ht="24" customHeight="1">
      <c r="A7" s="472"/>
      <c r="B7" s="473"/>
      <c r="C7" s="476"/>
      <c r="D7" s="479"/>
      <c r="E7" s="57" t="s">
        <v>26</v>
      </c>
      <c r="F7" s="57" t="s">
        <v>337</v>
      </c>
      <c r="G7" s="57" t="s">
        <v>338</v>
      </c>
      <c r="H7" s="57"/>
      <c r="I7" s="57" t="s">
        <v>278</v>
      </c>
      <c r="J7" s="57" t="s">
        <v>30</v>
      </c>
      <c r="K7" s="57" t="s">
        <v>339</v>
      </c>
      <c r="L7" s="58" t="s">
        <v>29</v>
      </c>
      <c r="M7" s="58" t="s">
        <v>340</v>
      </c>
      <c r="N7" s="57" t="s">
        <v>33</v>
      </c>
      <c r="O7" s="57" t="s">
        <v>341</v>
      </c>
      <c r="P7" s="57" t="s">
        <v>35</v>
      </c>
      <c r="Q7" s="59" t="s">
        <v>342</v>
      </c>
      <c r="R7" s="487"/>
      <c r="S7" s="464"/>
      <c r="T7" s="467"/>
      <c r="V7" s="442"/>
    </row>
    <row r="8" spans="1:26" ht="33" customHeight="1">
      <c r="A8" s="506" t="s">
        <v>37</v>
      </c>
      <c r="B8" s="60">
        <v>1</v>
      </c>
      <c r="C8" s="155" t="str">
        <f>COVER!A14</f>
        <v>BODY(LUG)</v>
      </c>
      <c r="D8" s="260">
        <f>COVER!B14</f>
        <v>0</v>
      </c>
      <c r="E8" s="261" t="s">
        <v>1173</v>
      </c>
      <c r="F8" s="262">
        <f>COVER!C14</f>
        <v>0</v>
      </c>
      <c r="G8" s="262">
        <v>0</v>
      </c>
      <c r="H8" s="262"/>
      <c r="I8" s="263">
        <f>I10*I9</f>
        <v>506706621524695.19</v>
      </c>
      <c r="J8" s="263">
        <f t="shared" ref="J8:Q9" si="0">J10*J9</f>
        <v>43341753052405.07</v>
      </c>
      <c r="K8" s="263">
        <f t="shared" si="0"/>
        <v>270470072536680.25</v>
      </c>
      <c r="L8" s="263">
        <f t="shared" si="0"/>
        <v>506706621524695.19</v>
      </c>
      <c r="M8" s="263">
        <f t="shared" si="0"/>
        <v>632417344857819.5</v>
      </c>
      <c r="N8" s="263">
        <f t="shared" si="0"/>
        <v>46528628303586.25</v>
      </c>
      <c r="O8" s="263">
        <f t="shared" si="0"/>
        <v>0</v>
      </c>
      <c r="P8" s="263">
        <f t="shared" si="0"/>
        <v>0</v>
      </c>
      <c r="Q8" s="263">
        <f t="shared" si="0"/>
        <v>10000000000000</v>
      </c>
      <c r="R8" s="245">
        <v>0</v>
      </c>
      <c r="S8" s="263">
        <f>G8+R8</f>
        <v>0</v>
      </c>
      <c r="T8" s="143" t="s">
        <v>1171</v>
      </c>
    </row>
    <row r="9" spans="1:26" ht="33" customHeight="1">
      <c r="A9" s="507"/>
      <c r="B9" s="145" t="s">
        <v>1167</v>
      </c>
      <c r="C9" s="155" t="str">
        <f>COVER!A15</f>
        <v>BODY(FLANGE)</v>
      </c>
      <c r="D9" s="158" t="str">
        <f>COVER!B15</f>
        <v>A216 WCB</v>
      </c>
      <c r="E9" s="156">
        <v>2972</v>
      </c>
      <c r="F9" s="189">
        <f>COVER!C15</f>
        <v>4300</v>
      </c>
      <c r="G9" s="189">
        <f>F9*E9</f>
        <v>12779600</v>
      </c>
      <c r="H9" s="189"/>
      <c r="I9" s="190">
        <f>I11*I10</f>
        <v>13693182184.900002</v>
      </c>
      <c r="J9" s="190">
        <f t="shared" si="0"/>
        <v>2658301984.9000001</v>
      </c>
      <c r="K9" s="190">
        <f t="shared" si="0"/>
        <v>9010443027.6000004</v>
      </c>
      <c r="L9" s="190">
        <f t="shared" si="0"/>
        <v>13693182184.900002</v>
      </c>
      <c r="M9" s="190">
        <f t="shared" si="0"/>
        <v>15873371539.6</v>
      </c>
      <c r="N9" s="190">
        <f t="shared" si="0"/>
        <v>2787063302.5</v>
      </c>
      <c r="O9" s="190">
        <f t="shared" si="0"/>
        <v>0</v>
      </c>
      <c r="P9" s="190">
        <f t="shared" si="0"/>
        <v>0</v>
      </c>
      <c r="Q9" s="190">
        <f t="shared" si="0"/>
        <v>1000000000</v>
      </c>
      <c r="R9" s="160">
        <f>IF(COVER!C15&gt;0,1400000*1.2,0)</f>
        <v>1680000</v>
      </c>
      <c r="S9" s="263">
        <f t="shared" ref="S9:S59" si="1">G9+R9</f>
        <v>14459600</v>
      </c>
      <c r="T9" s="143" t="s">
        <v>1169</v>
      </c>
      <c r="V9" s="151"/>
    </row>
    <row r="10" spans="1:26" ht="33" hidden="1" customHeight="1">
      <c r="A10" s="507"/>
      <c r="B10" s="60"/>
      <c r="C10" s="184"/>
      <c r="D10" s="158"/>
      <c r="E10" s="156"/>
      <c r="F10" s="189"/>
      <c r="G10" s="189"/>
      <c r="H10" s="189" t="s">
        <v>281</v>
      </c>
      <c r="I10" s="190">
        <f t="shared" ref="I10:Q10" si="2">I11/10</f>
        <v>37004.300000000003</v>
      </c>
      <c r="J10" s="190">
        <f t="shared" si="2"/>
        <v>16304.3</v>
      </c>
      <c r="K10" s="190">
        <f t="shared" si="2"/>
        <v>30017.4</v>
      </c>
      <c r="L10" s="190">
        <f t="shared" si="2"/>
        <v>37004.300000000003</v>
      </c>
      <c r="M10" s="190">
        <f t="shared" si="2"/>
        <v>39841.4</v>
      </c>
      <c r="N10" s="190">
        <f t="shared" si="2"/>
        <v>16694.5</v>
      </c>
      <c r="O10" s="190">
        <f t="shared" si="2"/>
        <v>0</v>
      </c>
      <c r="P10" s="190">
        <f t="shared" si="2"/>
        <v>0</v>
      </c>
      <c r="Q10" s="190">
        <f t="shared" si="2"/>
        <v>10000</v>
      </c>
      <c r="R10" s="190"/>
      <c r="S10" s="263">
        <f t="shared" si="1"/>
        <v>0</v>
      </c>
      <c r="T10" s="64"/>
    </row>
    <row r="11" spans="1:26" ht="33" hidden="1" customHeight="1">
      <c r="A11" s="507"/>
      <c r="B11" s="60"/>
      <c r="C11" s="184"/>
      <c r="D11" s="158"/>
      <c r="E11" s="156"/>
      <c r="F11" s="189"/>
      <c r="G11" s="189"/>
      <c r="H11" s="191" t="s">
        <v>41</v>
      </c>
      <c r="I11" s="190">
        <v>370043</v>
      </c>
      <c r="J11" s="190">
        <v>163043</v>
      </c>
      <c r="K11" s="190">
        <v>300174</v>
      </c>
      <c r="L11" s="190">
        <v>370043</v>
      </c>
      <c r="M11" s="190">
        <v>398414</v>
      </c>
      <c r="N11" s="190">
        <v>166945</v>
      </c>
      <c r="O11" s="190">
        <v>0</v>
      </c>
      <c r="P11" s="190">
        <v>0</v>
      </c>
      <c r="Q11" s="190">
        <v>100000</v>
      </c>
      <c r="R11" s="190"/>
      <c r="S11" s="263">
        <f t="shared" si="1"/>
        <v>0</v>
      </c>
      <c r="T11" s="64"/>
    </row>
    <row r="12" spans="1:26" s="69" customFormat="1" ht="33" customHeight="1">
      <c r="A12" s="507"/>
      <c r="B12" s="60">
        <v>2</v>
      </c>
      <c r="C12" s="184" t="s">
        <v>344</v>
      </c>
      <c r="D12" s="158" t="str">
        <f>COVER!B16</f>
        <v>A216 WCB</v>
      </c>
      <c r="E12" s="156">
        <v>1828</v>
      </c>
      <c r="F12" s="189">
        <f>COVER!C16</f>
        <v>4300</v>
      </c>
      <c r="G12" s="189">
        <f>F12*E12</f>
        <v>7860400</v>
      </c>
      <c r="H12" s="189"/>
      <c r="I12" s="190">
        <f>I13*I14</f>
        <v>111012.90000000001</v>
      </c>
      <c r="J12" s="190">
        <f t="shared" ref="J12:Q12" si="3">J13*J14</f>
        <v>0</v>
      </c>
      <c r="K12" s="190">
        <f t="shared" si="3"/>
        <v>60034.8</v>
      </c>
      <c r="L12" s="190">
        <f t="shared" si="3"/>
        <v>111012.90000000001</v>
      </c>
      <c r="M12" s="190">
        <f t="shared" si="3"/>
        <v>0</v>
      </c>
      <c r="N12" s="190">
        <f t="shared" si="3"/>
        <v>0</v>
      </c>
      <c r="O12" s="190">
        <f t="shared" si="3"/>
        <v>0</v>
      </c>
      <c r="P12" s="190">
        <f t="shared" si="3"/>
        <v>0</v>
      </c>
      <c r="Q12" s="190">
        <f t="shared" si="3"/>
        <v>4000</v>
      </c>
      <c r="R12" s="190">
        <v>840000</v>
      </c>
      <c r="S12" s="263">
        <f t="shared" si="1"/>
        <v>8700400</v>
      </c>
      <c r="T12" s="68"/>
    </row>
    <row r="13" spans="1:26" s="69" customFormat="1" ht="33" hidden="1" customHeight="1">
      <c r="A13" s="507"/>
      <c r="B13" s="60"/>
      <c r="C13" s="184"/>
      <c r="D13" s="158"/>
      <c r="E13" s="156"/>
      <c r="F13" s="189"/>
      <c r="G13" s="189"/>
      <c r="H13" s="191" t="s">
        <v>39</v>
      </c>
      <c r="I13" s="192">
        <v>3</v>
      </c>
      <c r="J13" s="192">
        <v>0</v>
      </c>
      <c r="K13" s="192">
        <v>2</v>
      </c>
      <c r="L13" s="192">
        <v>3</v>
      </c>
      <c r="M13" s="192">
        <v>0</v>
      </c>
      <c r="N13" s="192">
        <v>0</v>
      </c>
      <c r="O13" s="192"/>
      <c r="P13" s="192"/>
      <c r="Q13" s="192">
        <v>0.4</v>
      </c>
      <c r="R13" s="190"/>
      <c r="S13" s="263">
        <f t="shared" si="1"/>
        <v>0</v>
      </c>
      <c r="T13" s="71"/>
    </row>
    <row r="14" spans="1:26" s="69" customFormat="1" ht="33" hidden="1" customHeight="1">
      <c r="A14" s="507"/>
      <c r="B14" s="60"/>
      <c r="C14" s="184"/>
      <c r="D14" s="158"/>
      <c r="E14" s="156"/>
      <c r="F14" s="189"/>
      <c r="G14" s="189"/>
      <c r="H14" s="189" t="s">
        <v>345</v>
      </c>
      <c r="I14" s="190">
        <f>I15/10</f>
        <v>37004.300000000003</v>
      </c>
      <c r="J14" s="190">
        <f t="shared" ref="J14:Q14" si="4">J15/10</f>
        <v>16304.3</v>
      </c>
      <c r="K14" s="190">
        <f t="shared" si="4"/>
        <v>30017.4</v>
      </c>
      <c r="L14" s="190">
        <f t="shared" si="4"/>
        <v>37004.300000000003</v>
      </c>
      <c r="M14" s="190">
        <f t="shared" si="4"/>
        <v>39841.4</v>
      </c>
      <c r="N14" s="190">
        <f t="shared" si="4"/>
        <v>16694.5</v>
      </c>
      <c r="O14" s="190">
        <f t="shared" si="4"/>
        <v>0</v>
      </c>
      <c r="P14" s="190">
        <f t="shared" si="4"/>
        <v>0</v>
      </c>
      <c r="Q14" s="190">
        <f t="shared" si="4"/>
        <v>10000</v>
      </c>
      <c r="R14" s="190"/>
      <c r="S14" s="263">
        <f t="shared" si="1"/>
        <v>0</v>
      </c>
      <c r="T14" s="71"/>
    </row>
    <row r="15" spans="1:26" s="69" customFormat="1" ht="33" hidden="1" customHeight="1">
      <c r="A15" s="507"/>
      <c r="B15" s="60"/>
      <c r="C15" s="184"/>
      <c r="D15" s="158"/>
      <c r="E15" s="156"/>
      <c r="F15" s="189"/>
      <c r="G15" s="189"/>
      <c r="H15" s="189" t="s">
        <v>43</v>
      </c>
      <c r="I15" s="190">
        <v>370043</v>
      </c>
      <c r="J15" s="190">
        <v>163043</v>
      </c>
      <c r="K15" s="190">
        <v>300174</v>
      </c>
      <c r="L15" s="190">
        <v>370043</v>
      </c>
      <c r="M15" s="190">
        <v>398414</v>
      </c>
      <c r="N15" s="190">
        <v>166945</v>
      </c>
      <c r="O15" s="190">
        <v>0</v>
      </c>
      <c r="P15" s="190">
        <v>0</v>
      </c>
      <c r="Q15" s="190">
        <v>100000</v>
      </c>
      <c r="R15" s="190"/>
      <c r="S15" s="263">
        <f t="shared" si="1"/>
        <v>0</v>
      </c>
      <c r="T15" s="71"/>
    </row>
    <row r="16" spans="1:26" s="69" customFormat="1" ht="33" customHeight="1">
      <c r="A16" s="507"/>
      <c r="B16" s="60">
        <v>3</v>
      </c>
      <c r="C16" s="142" t="s">
        <v>952</v>
      </c>
      <c r="D16" s="158" t="str">
        <f>COVER!B19</f>
        <v>WCB+309+#6</v>
      </c>
      <c r="E16" s="156">
        <v>1</v>
      </c>
      <c r="F16" s="189">
        <f>IF(D16="SUS+#6",X76,IF(D16="WCB+309+#6",X77))</f>
        <v>2725900</v>
      </c>
      <c r="G16" s="189">
        <f t="shared" ref="G16" si="5">E16*F16</f>
        <v>2725900</v>
      </c>
      <c r="H16" s="189"/>
      <c r="I16" s="190">
        <v>0</v>
      </c>
      <c r="J16" s="190">
        <v>0</v>
      </c>
      <c r="K16" s="190">
        <v>0</v>
      </c>
      <c r="L16" s="190">
        <v>0</v>
      </c>
      <c r="M16" s="190">
        <v>0</v>
      </c>
      <c r="N16" s="190">
        <v>0</v>
      </c>
      <c r="O16" s="190">
        <v>0</v>
      </c>
      <c r="P16" s="190">
        <v>0</v>
      </c>
      <c r="Q16" s="190">
        <v>0</v>
      </c>
      <c r="R16" s="190">
        <v>0</v>
      </c>
      <c r="S16" s="263">
        <f t="shared" si="1"/>
        <v>2725900</v>
      </c>
      <c r="T16" s="71"/>
    </row>
    <row r="17" spans="1:22" s="69" customFormat="1" ht="33" customHeight="1">
      <c r="A17" s="507"/>
      <c r="B17" s="60">
        <v>4</v>
      </c>
      <c r="C17" s="142" t="s">
        <v>1179</v>
      </c>
      <c r="D17" s="158" t="str">
        <f>COVER!B18</f>
        <v>A240T316L+GARPHITE</v>
      </c>
      <c r="E17" s="156">
        <v>1</v>
      </c>
      <c r="F17" s="189">
        <f>IF(D17="A240T316L+GARPHITE",Y84+Z84)</f>
        <v>1860000</v>
      </c>
      <c r="G17" s="189">
        <f>F17</f>
        <v>1860000</v>
      </c>
      <c r="H17" s="189"/>
      <c r="I17" s="190">
        <v>0</v>
      </c>
      <c r="J17" s="190">
        <v>0</v>
      </c>
      <c r="K17" s="190">
        <v>0</v>
      </c>
      <c r="L17" s="190">
        <v>0</v>
      </c>
      <c r="M17" s="190">
        <v>0</v>
      </c>
      <c r="N17" s="190">
        <v>0</v>
      </c>
      <c r="O17" s="190">
        <v>0</v>
      </c>
      <c r="P17" s="190">
        <v>0</v>
      </c>
      <c r="Q17" s="190">
        <v>0</v>
      </c>
      <c r="R17" s="190">
        <f>Z84*1.3</f>
        <v>1040000</v>
      </c>
      <c r="S17" s="263">
        <f t="shared" si="1"/>
        <v>2900000</v>
      </c>
      <c r="T17" s="71"/>
    </row>
    <row r="18" spans="1:22" s="69" customFormat="1" ht="33" customHeight="1">
      <c r="A18" s="507"/>
      <c r="B18" s="60">
        <v>5</v>
      </c>
      <c r="C18" s="142" t="s">
        <v>852</v>
      </c>
      <c r="D18" s="178" t="str">
        <f>COVER!B20</f>
        <v>SS316L</v>
      </c>
      <c r="E18" s="148">
        <v>1</v>
      </c>
      <c r="F18" s="159">
        <f>IF(D18="SS304",Y82,IF(D18="SS316L",Z82))</f>
        <v>1837600</v>
      </c>
      <c r="G18" s="159">
        <f>F18</f>
        <v>1837600</v>
      </c>
      <c r="H18" s="159"/>
      <c r="I18" s="160">
        <f>I19*I20</f>
        <v>74008.600000000006</v>
      </c>
      <c r="J18" s="160">
        <f t="shared" ref="J18:Q18" si="6">J19*J20</f>
        <v>32608.6</v>
      </c>
      <c r="K18" s="160">
        <f t="shared" si="6"/>
        <v>0</v>
      </c>
      <c r="L18" s="160">
        <f t="shared" si="6"/>
        <v>0</v>
      </c>
      <c r="M18" s="160">
        <f t="shared" si="6"/>
        <v>0</v>
      </c>
      <c r="N18" s="160">
        <f t="shared" si="6"/>
        <v>0</v>
      </c>
      <c r="O18" s="160">
        <f t="shared" si="6"/>
        <v>0</v>
      </c>
      <c r="P18" s="160">
        <f t="shared" si="6"/>
        <v>0</v>
      </c>
      <c r="Q18" s="160">
        <f t="shared" si="6"/>
        <v>2000</v>
      </c>
      <c r="R18" s="160">
        <f>AA82*1.5</f>
        <v>372900</v>
      </c>
      <c r="S18" s="263">
        <f t="shared" si="1"/>
        <v>2210500</v>
      </c>
      <c r="T18" s="72"/>
    </row>
    <row r="19" spans="1:22" s="69" customFormat="1" ht="33" hidden="1" customHeight="1">
      <c r="A19" s="507"/>
      <c r="B19" s="60"/>
      <c r="C19" s="12"/>
      <c r="D19" s="91"/>
      <c r="E19" s="66"/>
      <c r="F19" s="62"/>
      <c r="G19" s="62"/>
      <c r="H19" s="67" t="s">
        <v>39</v>
      </c>
      <c r="I19" s="70">
        <v>2</v>
      </c>
      <c r="J19" s="70">
        <v>2</v>
      </c>
      <c r="K19" s="70"/>
      <c r="L19" s="70"/>
      <c r="M19" s="70"/>
      <c r="N19" s="70"/>
      <c r="O19" s="70"/>
      <c r="P19" s="70"/>
      <c r="Q19" s="70">
        <v>0.2</v>
      </c>
      <c r="R19" s="63"/>
      <c r="S19" s="263">
        <f t="shared" si="1"/>
        <v>0</v>
      </c>
      <c r="T19" s="72"/>
    </row>
    <row r="20" spans="1:22" s="69" customFormat="1" ht="33" hidden="1" customHeight="1">
      <c r="A20" s="507"/>
      <c r="B20" s="60"/>
      <c r="C20" s="12"/>
      <c r="D20" s="91"/>
      <c r="E20" s="66"/>
      <c r="F20" s="62"/>
      <c r="G20" s="62"/>
      <c r="H20" s="67" t="s">
        <v>343</v>
      </c>
      <c r="I20" s="63">
        <f>I21/10</f>
        <v>37004.300000000003</v>
      </c>
      <c r="J20" s="63">
        <f t="shared" ref="J20:Q20" si="7">J21/10</f>
        <v>16304.3</v>
      </c>
      <c r="K20" s="63">
        <f t="shared" si="7"/>
        <v>0</v>
      </c>
      <c r="L20" s="63">
        <f t="shared" si="7"/>
        <v>0</v>
      </c>
      <c r="M20" s="63">
        <f t="shared" si="7"/>
        <v>0</v>
      </c>
      <c r="N20" s="63">
        <f t="shared" si="7"/>
        <v>0</v>
      </c>
      <c r="O20" s="63">
        <f t="shared" si="7"/>
        <v>0</v>
      </c>
      <c r="P20" s="63">
        <f t="shared" si="7"/>
        <v>0</v>
      </c>
      <c r="Q20" s="63">
        <f t="shared" si="7"/>
        <v>10000</v>
      </c>
      <c r="R20" s="63"/>
      <c r="S20" s="263">
        <f t="shared" si="1"/>
        <v>0</v>
      </c>
      <c r="T20" s="72"/>
    </row>
    <row r="21" spans="1:22" s="69" customFormat="1" ht="33" hidden="1" customHeight="1">
      <c r="A21" s="507"/>
      <c r="B21" s="60"/>
      <c r="C21" s="12"/>
      <c r="D21" s="91"/>
      <c r="E21" s="66"/>
      <c r="F21" s="62"/>
      <c r="G21" s="62"/>
      <c r="H21" s="67" t="s">
        <v>39</v>
      </c>
      <c r="I21" s="63">
        <v>370043</v>
      </c>
      <c r="J21" s="63">
        <v>163043</v>
      </c>
      <c r="K21" s="63"/>
      <c r="L21" s="63"/>
      <c r="M21" s="63"/>
      <c r="N21" s="63"/>
      <c r="O21" s="63"/>
      <c r="P21" s="63"/>
      <c r="Q21" s="63">
        <v>100000</v>
      </c>
      <c r="R21" s="63"/>
      <c r="S21" s="263">
        <f t="shared" si="1"/>
        <v>0</v>
      </c>
      <c r="T21" s="72"/>
    </row>
    <row r="22" spans="1:22" s="69" customFormat="1" ht="33" customHeight="1">
      <c r="A22" s="507"/>
      <c r="B22" s="60">
        <v>6</v>
      </c>
      <c r="C22" s="142" t="s">
        <v>1178</v>
      </c>
      <c r="D22" s="178" t="s">
        <v>1189</v>
      </c>
      <c r="E22" s="148">
        <v>1</v>
      </c>
      <c r="F22" s="159">
        <f>Y85</f>
        <v>90000</v>
      </c>
      <c r="G22" s="159">
        <f>F22</f>
        <v>90000</v>
      </c>
      <c r="H22" s="159"/>
      <c r="I22" s="160">
        <v>0</v>
      </c>
      <c r="J22" s="160">
        <v>0</v>
      </c>
      <c r="K22" s="160">
        <v>0</v>
      </c>
      <c r="L22" s="160">
        <v>0</v>
      </c>
      <c r="M22" s="160">
        <v>0</v>
      </c>
      <c r="N22" s="160">
        <v>0</v>
      </c>
      <c r="O22" s="160">
        <v>0</v>
      </c>
      <c r="P22" s="160">
        <v>0</v>
      </c>
      <c r="Q22" s="160">
        <v>0</v>
      </c>
      <c r="R22" s="160">
        <v>0</v>
      </c>
      <c r="S22" s="263">
        <f t="shared" si="1"/>
        <v>90000</v>
      </c>
      <c r="T22" s="72"/>
    </row>
    <row r="23" spans="1:22" s="69" customFormat="1" ht="33" customHeight="1">
      <c r="A23" s="507"/>
      <c r="B23" s="60">
        <v>7</v>
      </c>
      <c r="C23" s="142" t="s">
        <v>948</v>
      </c>
      <c r="D23" s="158" t="str">
        <f>COVER!B21</f>
        <v>B7(다크로)</v>
      </c>
      <c r="E23" s="148">
        <v>60</v>
      </c>
      <c r="F23" s="159">
        <f>IF(D23="B8",Y90,IF(D23="B8M",Z90,IF(D23="B7(다크로)",AA90)))</f>
        <v>2500</v>
      </c>
      <c r="G23" s="159">
        <f>F23*E23</f>
        <v>150000</v>
      </c>
      <c r="H23" s="159"/>
      <c r="I23" s="160">
        <v>0</v>
      </c>
      <c r="J23" s="160">
        <v>0</v>
      </c>
      <c r="K23" s="160">
        <v>0</v>
      </c>
      <c r="L23" s="160">
        <v>0</v>
      </c>
      <c r="M23" s="160">
        <v>0</v>
      </c>
      <c r="N23" s="160">
        <v>0</v>
      </c>
      <c r="O23" s="160">
        <v>0</v>
      </c>
      <c r="P23" s="160">
        <v>0</v>
      </c>
      <c r="Q23" s="160">
        <v>0</v>
      </c>
      <c r="R23" s="160">
        <v>0</v>
      </c>
      <c r="S23" s="263">
        <f t="shared" si="1"/>
        <v>150000</v>
      </c>
      <c r="T23" s="68"/>
    </row>
    <row r="24" spans="1:22" s="69" customFormat="1" ht="33" customHeight="1">
      <c r="A24" s="507"/>
      <c r="B24" s="60">
        <v>8</v>
      </c>
      <c r="C24" s="184" t="s">
        <v>44</v>
      </c>
      <c r="D24" s="166" t="str">
        <f>COVER!B17</f>
        <v>A564T630</v>
      </c>
      <c r="E24" s="164">
        <f>V24*1.1</f>
        <v>0</v>
      </c>
      <c r="F24" s="165">
        <f>COVER!C17</f>
        <v>8500</v>
      </c>
      <c r="G24" s="159">
        <f>F24*E24</f>
        <v>0</v>
      </c>
      <c r="H24" s="165"/>
      <c r="I24" s="167">
        <f>I25*I26</f>
        <v>74008.600000000006</v>
      </c>
      <c r="J24" s="167">
        <f t="shared" ref="J24:Q24" si="8">J25*J26</f>
        <v>0</v>
      </c>
      <c r="K24" s="167">
        <f t="shared" si="8"/>
        <v>0</v>
      </c>
      <c r="L24" s="167">
        <f t="shared" si="8"/>
        <v>0</v>
      </c>
      <c r="M24" s="167">
        <f t="shared" si="8"/>
        <v>0</v>
      </c>
      <c r="N24" s="167">
        <f t="shared" si="8"/>
        <v>0</v>
      </c>
      <c r="O24" s="167">
        <f t="shared" si="8"/>
        <v>0</v>
      </c>
      <c r="P24" s="167">
        <f t="shared" si="8"/>
        <v>0</v>
      </c>
      <c r="Q24" s="167">
        <f t="shared" si="8"/>
        <v>1000</v>
      </c>
      <c r="R24" s="167">
        <f>R12*0.3</f>
        <v>252000</v>
      </c>
      <c r="S24" s="263">
        <f t="shared" si="1"/>
        <v>252000</v>
      </c>
      <c r="T24" s="74"/>
      <c r="U24" s="163"/>
      <c r="V24" s="163"/>
    </row>
    <row r="25" spans="1:22" s="69" customFormat="1" ht="33" hidden="1" customHeight="1">
      <c r="A25" s="507"/>
      <c r="B25" s="60"/>
      <c r="C25" s="61"/>
      <c r="D25" s="65"/>
      <c r="E25" s="66"/>
      <c r="F25" s="62"/>
      <c r="G25" s="62"/>
      <c r="H25" s="67" t="s">
        <v>39</v>
      </c>
      <c r="I25" s="70">
        <v>2</v>
      </c>
      <c r="J25" s="70"/>
      <c r="K25" s="70"/>
      <c r="L25" s="70"/>
      <c r="M25" s="70"/>
      <c r="N25" s="70"/>
      <c r="O25" s="70"/>
      <c r="P25" s="70"/>
      <c r="Q25" s="70">
        <v>0.1</v>
      </c>
      <c r="R25" s="63"/>
      <c r="S25" s="263">
        <f t="shared" si="1"/>
        <v>0</v>
      </c>
      <c r="T25" s="74"/>
    </row>
    <row r="26" spans="1:22" s="69" customFormat="1" ht="33" hidden="1" customHeight="1">
      <c r="A26" s="507"/>
      <c r="B26" s="60"/>
      <c r="C26" s="61"/>
      <c r="D26" s="65"/>
      <c r="E26" s="66"/>
      <c r="F26" s="62"/>
      <c r="G26" s="62"/>
      <c r="H26" s="67" t="s">
        <v>39</v>
      </c>
      <c r="I26" s="63">
        <f>I27/10</f>
        <v>37004.300000000003</v>
      </c>
      <c r="J26" s="63"/>
      <c r="K26" s="63"/>
      <c r="L26" s="63"/>
      <c r="M26" s="63"/>
      <c r="N26" s="63"/>
      <c r="O26" s="63"/>
      <c r="P26" s="63"/>
      <c r="Q26" s="63">
        <f>Q27/10</f>
        <v>10000</v>
      </c>
      <c r="R26" s="63"/>
      <c r="S26" s="263">
        <f t="shared" si="1"/>
        <v>0</v>
      </c>
      <c r="T26" s="74"/>
    </row>
    <row r="27" spans="1:22" s="69" customFormat="1" ht="33" hidden="1" customHeight="1">
      <c r="A27" s="507"/>
      <c r="B27" s="60"/>
      <c r="C27" s="61"/>
      <c r="D27" s="65"/>
      <c r="E27" s="66"/>
      <c r="F27" s="62"/>
      <c r="G27" s="62"/>
      <c r="H27" s="67" t="s">
        <v>284</v>
      </c>
      <c r="I27" s="63">
        <v>370043</v>
      </c>
      <c r="J27" s="63"/>
      <c r="K27" s="63"/>
      <c r="L27" s="63"/>
      <c r="M27" s="63"/>
      <c r="N27" s="63"/>
      <c r="O27" s="63"/>
      <c r="P27" s="63"/>
      <c r="Q27" s="63">
        <v>100000</v>
      </c>
      <c r="R27" s="63"/>
      <c r="S27" s="263">
        <f t="shared" si="1"/>
        <v>0</v>
      </c>
      <c r="T27" s="74"/>
    </row>
    <row r="28" spans="1:22" s="69" customFormat="1" ht="33" customHeight="1">
      <c r="A28" s="507"/>
      <c r="B28" s="60">
        <v>9</v>
      </c>
      <c r="C28" s="184" t="s">
        <v>346</v>
      </c>
      <c r="D28" s="178" t="s">
        <v>1197</v>
      </c>
      <c r="E28" s="148">
        <v>1</v>
      </c>
      <c r="F28" s="159">
        <v>235000</v>
      </c>
      <c r="G28" s="159">
        <f t="shared" ref="G28" si="9">E28*F28</f>
        <v>235000</v>
      </c>
      <c r="H28" s="159"/>
      <c r="I28" s="160"/>
      <c r="J28" s="160"/>
      <c r="K28" s="160"/>
      <c r="L28" s="160"/>
      <c r="M28" s="160"/>
      <c r="N28" s="160"/>
      <c r="O28" s="160"/>
      <c r="P28" s="160"/>
      <c r="Q28" s="160"/>
      <c r="R28" s="160">
        <v>0</v>
      </c>
      <c r="S28" s="263">
        <f t="shared" si="1"/>
        <v>235000</v>
      </c>
      <c r="T28" s="231"/>
    </row>
    <row r="29" spans="1:22" s="69" customFormat="1" ht="33" customHeight="1">
      <c r="A29" s="507"/>
      <c r="B29" s="60">
        <v>10</v>
      </c>
      <c r="C29" s="184" t="s">
        <v>347</v>
      </c>
      <c r="D29" s="178" t="str">
        <f>COVER!B24</f>
        <v>A351 CF8M</v>
      </c>
      <c r="E29" s="148">
        <v>1</v>
      </c>
      <c r="F29" s="235">
        <f>IF(D29="A351 CF8M",Y98,IF(D29="B148 C95400",Z98))</f>
        <v>438000</v>
      </c>
      <c r="G29" s="159">
        <f>F29*E29</f>
        <v>438000</v>
      </c>
      <c r="H29" s="159"/>
      <c r="I29" s="160">
        <f>I30*I31</f>
        <v>3065.28</v>
      </c>
      <c r="J29" s="160">
        <f t="shared" ref="J29:Q29" si="10">J30*J31</f>
        <v>3260.86</v>
      </c>
      <c r="K29" s="160">
        <f t="shared" si="10"/>
        <v>0</v>
      </c>
      <c r="L29" s="160">
        <f t="shared" si="10"/>
        <v>0</v>
      </c>
      <c r="M29" s="160">
        <f t="shared" si="10"/>
        <v>0</v>
      </c>
      <c r="N29" s="160">
        <f t="shared" si="10"/>
        <v>0</v>
      </c>
      <c r="O29" s="160">
        <f t="shared" si="10"/>
        <v>0</v>
      </c>
      <c r="P29" s="160">
        <f t="shared" si="10"/>
        <v>0</v>
      </c>
      <c r="Q29" s="160">
        <f t="shared" si="10"/>
        <v>0</v>
      </c>
      <c r="R29" s="160">
        <v>0</v>
      </c>
      <c r="S29" s="263">
        <f t="shared" si="1"/>
        <v>438000</v>
      </c>
      <c r="T29" s="232"/>
    </row>
    <row r="30" spans="1:22" s="69" customFormat="1" ht="33" hidden="1" customHeight="1">
      <c r="A30" s="507"/>
      <c r="B30" s="60"/>
      <c r="C30" s="61"/>
      <c r="D30" s="73"/>
      <c r="E30" s="66"/>
      <c r="F30" s="62"/>
      <c r="G30" s="62"/>
      <c r="H30" s="67" t="s">
        <v>348</v>
      </c>
      <c r="I30" s="70">
        <v>0.2</v>
      </c>
      <c r="J30" s="70">
        <v>0.2</v>
      </c>
      <c r="K30" s="70"/>
      <c r="L30" s="70"/>
      <c r="M30" s="70"/>
      <c r="N30" s="70"/>
      <c r="O30" s="70"/>
      <c r="P30" s="70"/>
      <c r="Q30" s="70"/>
      <c r="R30" s="63"/>
      <c r="S30" s="263">
        <f t="shared" si="1"/>
        <v>0</v>
      </c>
      <c r="T30" s="71"/>
    </row>
    <row r="31" spans="1:22" s="69" customFormat="1" ht="33" hidden="1" customHeight="1">
      <c r="A31" s="507"/>
      <c r="B31" s="60"/>
      <c r="C31" s="61"/>
      <c r="D31" s="73"/>
      <c r="E31" s="66"/>
      <c r="F31" s="62"/>
      <c r="G31" s="62"/>
      <c r="H31" s="67" t="s">
        <v>348</v>
      </c>
      <c r="I31" s="63">
        <f>I32/10</f>
        <v>15326.4</v>
      </c>
      <c r="J31" s="63">
        <f>J32/10</f>
        <v>16304.3</v>
      </c>
      <c r="K31" s="63"/>
      <c r="L31" s="63"/>
      <c r="M31" s="63"/>
      <c r="N31" s="63"/>
      <c r="O31" s="63"/>
      <c r="P31" s="63"/>
      <c r="Q31" s="63"/>
      <c r="R31" s="63"/>
      <c r="S31" s="263">
        <f t="shared" si="1"/>
        <v>0</v>
      </c>
      <c r="T31" s="71"/>
    </row>
    <row r="32" spans="1:22" s="69" customFormat="1" ht="33" hidden="1" customHeight="1">
      <c r="A32" s="507"/>
      <c r="B32" s="60"/>
      <c r="C32" s="61"/>
      <c r="D32" s="73"/>
      <c r="E32" s="66"/>
      <c r="F32" s="62"/>
      <c r="G32" s="62"/>
      <c r="H32" s="67" t="s">
        <v>123</v>
      </c>
      <c r="I32" s="63">
        <v>153264</v>
      </c>
      <c r="J32" s="63">
        <v>163043</v>
      </c>
      <c r="K32" s="63"/>
      <c r="L32" s="63"/>
      <c r="M32" s="63"/>
      <c r="N32" s="63"/>
      <c r="O32" s="63"/>
      <c r="P32" s="63"/>
      <c r="Q32" s="63"/>
      <c r="R32" s="63"/>
      <c r="S32" s="263">
        <f t="shared" si="1"/>
        <v>0</v>
      </c>
      <c r="T32" s="71"/>
    </row>
    <row r="33" spans="1:21" s="69" customFormat="1" ht="33" customHeight="1">
      <c r="A33" s="507"/>
      <c r="B33" s="60">
        <v>11</v>
      </c>
      <c r="C33" s="184" t="s">
        <v>208</v>
      </c>
      <c r="D33" s="178" t="str">
        <f>COVER!B26</f>
        <v>316+NICKEL</v>
      </c>
      <c r="E33" s="148">
        <v>1</v>
      </c>
      <c r="F33" s="159">
        <f>IF(D33="316+NICKEL",Y100,IF(D33="B148 C95400",Z100))</f>
        <v>191200</v>
      </c>
      <c r="G33" s="159">
        <f t="shared" ref="G33" si="11">E33*F33</f>
        <v>191200</v>
      </c>
      <c r="H33" s="159"/>
      <c r="I33" s="160">
        <f>I34*I35</f>
        <v>4597.92</v>
      </c>
      <c r="J33" s="160">
        <f t="shared" ref="J33:Q33" si="12">J34*J35</f>
        <v>0</v>
      </c>
      <c r="K33" s="160">
        <f t="shared" si="12"/>
        <v>0</v>
      </c>
      <c r="L33" s="160">
        <f t="shared" si="12"/>
        <v>0</v>
      </c>
      <c r="M33" s="160">
        <f t="shared" si="12"/>
        <v>0</v>
      </c>
      <c r="N33" s="160">
        <f t="shared" si="12"/>
        <v>0</v>
      </c>
      <c r="O33" s="160">
        <f t="shared" si="12"/>
        <v>0</v>
      </c>
      <c r="P33" s="160">
        <f t="shared" si="12"/>
        <v>0</v>
      </c>
      <c r="Q33" s="160">
        <f t="shared" si="12"/>
        <v>0</v>
      </c>
      <c r="R33" s="160">
        <v>0</v>
      </c>
      <c r="S33" s="263">
        <f t="shared" si="1"/>
        <v>191200</v>
      </c>
      <c r="T33" s="179" t="s">
        <v>1200</v>
      </c>
    </row>
    <row r="34" spans="1:21" s="69" customFormat="1" ht="33" hidden="1" customHeight="1">
      <c r="A34" s="507"/>
      <c r="B34" s="60"/>
      <c r="C34" s="61"/>
      <c r="D34" s="73"/>
      <c r="E34" s="66"/>
      <c r="F34" s="62"/>
      <c r="G34" s="62"/>
      <c r="H34" s="67" t="s">
        <v>349</v>
      </c>
      <c r="I34" s="70">
        <v>0.3</v>
      </c>
      <c r="J34" s="70"/>
      <c r="K34" s="70"/>
      <c r="L34" s="70"/>
      <c r="M34" s="70"/>
      <c r="N34" s="70"/>
      <c r="O34" s="70"/>
      <c r="P34" s="70"/>
      <c r="Q34" s="70"/>
      <c r="R34" s="63"/>
      <c r="S34" s="263">
        <f t="shared" si="1"/>
        <v>0</v>
      </c>
      <c r="T34" s="71"/>
    </row>
    <row r="35" spans="1:21" s="69" customFormat="1" ht="33" hidden="1" customHeight="1">
      <c r="A35" s="507"/>
      <c r="B35" s="60"/>
      <c r="C35" s="61"/>
      <c r="D35" s="73"/>
      <c r="E35" s="66"/>
      <c r="F35" s="62"/>
      <c r="G35" s="62"/>
      <c r="H35" s="67" t="s">
        <v>284</v>
      </c>
      <c r="I35" s="63">
        <f>I36/10</f>
        <v>15326.4</v>
      </c>
      <c r="J35" s="63"/>
      <c r="K35" s="63"/>
      <c r="L35" s="63"/>
      <c r="M35" s="63"/>
      <c r="N35" s="63"/>
      <c r="O35" s="63"/>
      <c r="P35" s="63"/>
      <c r="Q35" s="63"/>
      <c r="R35" s="63"/>
      <c r="S35" s="263">
        <f t="shared" si="1"/>
        <v>0</v>
      </c>
      <c r="T35" s="71"/>
    </row>
    <row r="36" spans="1:21" s="69" customFormat="1" ht="33" hidden="1" customHeight="1">
      <c r="A36" s="507"/>
      <c r="B36" s="60"/>
      <c r="C36" s="61"/>
      <c r="D36" s="73"/>
      <c r="E36" s="66"/>
      <c r="F36" s="62"/>
      <c r="G36" s="62"/>
      <c r="H36" s="67" t="s">
        <v>123</v>
      </c>
      <c r="I36" s="63">
        <v>153264</v>
      </c>
      <c r="J36" s="63"/>
      <c r="K36" s="63"/>
      <c r="L36" s="63"/>
      <c r="M36" s="63"/>
      <c r="N36" s="63"/>
      <c r="O36" s="63"/>
      <c r="P36" s="63"/>
      <c r="Q36" s="63"/>
      <c r="R36" s="63"/>
      <c r="S36" s="263">
        <f t="shared" si="1"/>
        <v>0</v>
      </c>
      <c r="T36" s="71"/>
    </row>
    <row r="37" spans="1:21" s="69" customFormat="1" ht="33" customHeight="1">
      <c r="A37" s="507"/>
      <c r="B37" s="60">
        <v>12</v>
      </c>
      <c r="C37" s="185" t="s">
        <v>954</v>
      </c>
      <c r="D37" s="178" t="str">
        <f>COVER!B22</f>
        <v>B7(다크로)</v>
      </c>
      <c r="E37" s="148">
        <v>8</v>
      </c>
      <c r="F37" s="159">
        <f>IF(D37="B8",Y92,IF(D37="B8M",Z92,IF(D37="B7(다크로)",AA92)))</f>
        <v>4500</v>
      </c>
      <c r="G37" s="159">
        <f>F37*E37</f>
        <v>36000</v>
      </c>
      <c r="H37" s="159"/>
      <c r="I37" s="160">
        <v>0</v>
      </c>
      <c r="J37" s="160">
        <v>0</v>
      </c>
      <c r="K37" s="160">
        <v>0</v>
      </c>
      <c r="L37" s="160">
        <v>0</v>
      </c>
      <c r="M37" s="160">
        <v>0</v>
      </c>
      <c r="N37" s="160">
        <v>0</v>
      </c>
      <c r="O37" s="160">
        <v>0</v>
      </c>
      <c r="P37" s="160">
        <v>0</v>
      </c>
      <c r="Q37" s="160">
        <v>0</v>
      </c>
      <c r="R37" s="160">
        <v>0</v>
      </c>
      <c r="S37" s="263">
        <f t="shared" si="1"/>
        <v>36000</v>
      </c>
      <c r="T37" s="225"/>
    </row>
    <row r="38" spans="1:21" s="69" customFormat="1" ht="33" customHeight="1">
      <c r="A38" s="507"/>
      <c r="B38" s="60">
        <v>13</v>
      </c>
      <c r="C38" s="75" t="s">
        <v>209</v>
      </c>
      <c r="D38" s="73"/>
      <c r="E38" s="66">
        <v>1</v>
      </c>
      <c r="F38" s="62">
        <v>10000</v>
      </c>
      <c r="G38" s="62">
        <f>E38*F38</f>
        <v>10000</v>
      </c>
      <c r="H38" s="62"/>
      <c r="I38" s="63">
        <v>0</v>
      </c>
      <c r="J38" s="63">
        <v>0</v>
      </c>
      <c r="K38" s="63">
        <v>0</v>
      </c>
      <c r="L38" s="63">
        <v>0</v>
      </c>
      <c r="M38" s="63">
        <v>0</v>
      </c>
      <c r="N38" s="63">
        <v>0</v>
      </c>
      <c r="O38" s="63">
        <v>0</v>
      </c>
      <c r="P38" s="63">
        <v>0</v>
      </c>
      <c r="Q38" s="63">
        <v>0</v>
      </c>
      <c r="R38" s="63">
        <v>0</v>
      </c>
      <c r="S38" s="63">
        <f t="shared" si="1"/>
        <v>10000</v>
      </c>
      <c r="T38" s="71"/>
    </row>
    <row r="39" spans="1:21" s="69" customFormat="1" ht="33" customHeight="1">
      <c r="A39" s="507"/>
      <c r="B39" s="60">
        <v>14</v>
      </c>
      <c r="C39" s="234" t="s">
        <v>350</v>
      </c>
      <c r="D39" s="178" t="str">
        <f>COVER!B23</f>
        <v>316+NICKEL</v>
      </c>
      <c r="E39" s="148">
        <v>2</v>
      </c>
      <c r="F39" s="159">
        <f>IF(D39="316+NICKEL",Y96,IF(D39="B148 C95400",Z96))</f>
        <v>955000</v>
      </c>
      <c r="G39" s="159">
        <f>F39*1</f>
        <v>955000</v>
      </c>
      <c r="H39" s="159"/>
      <c r="I39" s="160">
        <v>0</v>
      </c>
      <c r="J39" s="160">
        <v>0</v>
      </c>
      <c r="K39" s="160">
        <v>0</v>
      </c>
      <c r="L39" s="160">
        <v>0</v>
      </c>
      <c r="M39" s="160">
        <v>0</v>
      </c>
      <c r="N39" s="160">
        <v>0</v>
      </c>
      <c r="O39" s="160">
        <v>0</v>
      </c>
      <c r="P39" s="160">
        <v>0</v>
      </c>
      <c r="Q39" s="160">
        <v>0</v>
      </c>
      <c r="R39" s="160">
        <v>0</v>
      </c>
      <c r="S39" s="263">
        <f t="shared" si="1"/>
        <v>955000</v>
      </c>
      <c r="T39" s="179" t="s">
        <v>1200</v>
      </c>
    </row>
    <row r="40" spans="1:21" s="69" customFormat="1" ht="33" customHeight="1">
      <c r="A40" s="507"/>
      <c r="B40" s="60">
        <v>15</v>
      </c>
      <c r="C40" s="184" t="s">
        <v>351</v>
      </c>
      <c r="D40" s="178" t="str">
        <f>COVER!B23</f>
        <v>316+NICKEL</v>
      </c>
      <c r="E40" s="148">
        <v>2</v>
      </c>
      <c r="F40" s="159">
        <f>IF(D40="316+NICKEL",Y97,IF(D40="B148 C95400",Z97))</f>
        <v>917000</v>
      </c>
      <c r="G40" s="159">
        <f>F40*1</f>
        <v>917000</v>
      </c>
      <c r="H40" s="159"/>
      <c r="I40" s="160">
        <v>0</v>
      </c>
      <c r="J40" s="160">
        <v>0</v>
      </c>
      <c r="K40" s="160">
        <v>0</v>
      </c>
      <c r="L40" s="160">
        <v>0</v>
      </c>
      <c r="M40" s="160">
        <v>0</v>
      </c>
      <c r="N40" s="160">
        <v>0</v>
      </c>
      <c r="O40" s="160">
        <v>0</v>
      </c>
      <c r="P40" s="160">
        <v>0</v>
      </c>
      <c r="Q40" s="160">
        <v>0</v>
      </c>
      <c r="R40" s="160">
        <v>0</v>
      </c>
      <c r="S40" s="263">
        <f t="shared" si="1"/>
        <v>917000</v>
      </c>
      <c r="T40" s="179" t="s">
        <v>1200</v>
      </c>
    </row>
    <row r="41" spans="1:21" s="69" customFormat="1" ht="33" hidden="1" customHeight="1">
      <c r="A41" s="507"/>
      <c r="B41" s="60"/>
      <c r="C41" s="61"/>
      <c r="D41" s="65"/>
      <c r="E41" s="66"/>
      <c r="F41" s="62"/>
      <c r="G41" s="62"/>
      <c r="H41" s="67" t="s">
        <v>343</v>
      </c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263">
        <f t="shared" si="1"/>
        <v>0</v>
      </c>
      <c r="T41" s="71"/>
    </row>
    <row r="42" spans="1:21" s="69" customFormat="1" ht="33" hidden="1" customHeight="1">
      <c r="A42" s="507"/>
      <c r="B42" s="60"/>
      <c r="C42" s="61"/>
      <c r="D42" s="65"/>
      <c r="E42" s="66"/>
      <c r="F42" s="62"/>
      <c r="G42" s="62"/>
      <c r="H42" s="67" t="s">
        <v>349</v>
      </c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263">
        <f t="shared" si="1"/>
        <v>0</v>
      </c>
      <c r="T42" s="71"/>
    </row>
    <row r="43" spans="1:21" s="69" customFormat="1" ht="33" hidden="1" customHeight="1">
      <c r="A43" s="507"/>
      <c r="B43" s="60"/>
      <c r="C43" s="61"/>
      <c r="D43" s="65"/>
      <c r="E43" s="66"/>
      <c r="F43" s="62"/>
      <c r="G43" s="62"/>
      <c r="H43" s="67" t="s">
        <v>348</v>
      </c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263">
        <f t="shared" si="1"/>
        <v>0</v>
      </c>
      <c r="T43" s="71"/>
    </row>
    <row r="44" spans="1:21" s="69" customFormat="1" ht="33" customHeight="1">
      <c r="A44" s="507"/>
      <c r="B44" s="60">
        <v>16</v>
      </c>
      <c r="C44" s="184" t="s">
        <v>352</v>
      </c>
      <c r="D44" s="178" t="str">
        <f>COVER!B25</f>
        <v>316+NICKEL</v>
      </c>
      <c r="E44" s="148">
        <v>1</v>
      </c>
      <c r="F44" s="159">
        <f>IF(D44="316+NICKEL",Y99,IF(D44="B148 C95400",Z99))</f>
        <v>126100</v>
      </c>
      <c r="G44" s="159">
        <f>F44</f>
        <v>126100</v>
      </c>
      <c r="H44" s="159"/>
      <c r="I44" s="160">
        <v>0</v>
      </c>
      <c r="J44" s="160">
        <v>0</v>
      </c>
      <c r="K44" s="160">
        <v>0</v>
      </c>
      <c r="L44" s="160">
        <v>0</v>
      </c>
      <c r="M44" s="160">
        <v>0</v>
      </c>
      <c r="N44" s="160">
        <v>0</v>
      </c>
      <c r="O44" s="160">
        <v>1000</v>
      </c>
      <c r="P44" s="160">
        <v>0</v>
      </c>
      <c r="Q44" s="160">
        <v>0</v>
      </c>
      <c r="R44" s="160">
        <v>0</v>
      </c>
      <c r="S44" s="263">
        <f t="shared" si="1"/>
        <v>126100</v>
      </c>
      <c r="T44" s="179" t="s">
        <v>1200</v>
      </c>
      <c r="U44" s="237"/>
    </row>
    <row r="45" spans="1:21" s="69" customFormat="1" ht="33" customHeight="1">
      <c r="A45" s="507"/>
      <c r="B45" s="60">
        <v>17</v>
      </c>
      <c r="C45" s="222" t="s">
        <v>353</v>
      </c>
      <c r="D45" s="168" t="s">
        <v>463</v>
      </c>
      <c r="E45" s="148">
        <v>1</v>
      </c>
      <c r="F45" s="159">
        <f>Y86</f>
        <v>11000</v>
      </c>
      <c r="G45" s="159">
        <f>F45*E45</f>
        <v>11000</v>
      </c>
      <c r="H45" s="159"/>
      <c r="I45" s="160">
        <v>0</v>
      </c>
      <c r="J45" s="160">
        <v>0</v>
      </c>
      <c r="K45" s="160">
        <v>0</v>
      </c>
      <c r="L45" s="160">
        <v>0</v>
      </c>
      <c r="M45" s="160">
        <v>0</v>
      </c>
      <c r="N45" s="160">
        <v>0</v>
      </c>
      <c r="O45" s="160">
        <v>0</v>
      </c>
      <c r="P45" s="160">
        <v>0</v>
      </c>
      <c r="Q45" s="160">
        <v>0</v>
      </c>
      <c r="R45" s="160">
        <v>0</v>
      </c>
      <c r="S45" s="263">
        <f t="shared" si="1"/>
        <v>11000</v>
      </c>
      <c r="T45" s="71"/>
    </row>
    <row r="46" spans="1:21" s="69" customFormat="1" ht="33" customHeight="1">
      <c r="A46" s="507"/>
      <c r="B46" s="60">
        <v>18</v>
      </c>
      <c r="C46" s="222" t="s">
        <v>1205</v>
      </c>
      <c r="D46" s="178" t="str">
        <f>COVER!B29</f>
        <v>SS400</v>
      </c>
      <c r="E46" s="148">
        <v>1</v>
      </c>
      <c r="F46" s="159">
        <f>IF(D46="SS400",Y105,IF(D46="SS316",Z105,IF(D46="SS304",AA105)))</f>
        <v>91540</v>
      </c>
      <c r="G46" s="159">
        <f>F46*E46</f>
        <v>91540</v>
      </c>
      <c r="H46" s="159"/>
      <c r="I46" s="160">
        <v>0</v>
      </c>
      <c r="J46" s="160">
        <v>0</v>
      </c>
      <c r="K46" s="160">
        <v>0</v>
      </c>
      <c r="L46" s="160">
        <v>0</v>
      </c>
      <c r="M46" s="160">
        <v>0</v>
      </c>
      <c r="N46" s="160">
        <v>0</v>
      </c>
      <c r="O46" s="160">
        <v>0</v>
      </c>
      <c r="P46" s="160">
        <v>0</v>
      </c>
      <c r="Q46" s="160">
        <v>0</v>
      </c>
      <c r="R46" s="160">
        <v>60000</v>
      </c>
      <c r="S46" s="263">
        <f t="shared" si="1"/>
        <v>151540</v>
      </c>
      <c r="T46" s="225"/>
    </row>
    <row r="47" spans="1:21" s="69" customFormat="1" ht="33" hidden="1" customHeight="1">
      <c r="A47" s="507"/>
      <c r="B47" s="60"/>
      <c r="C47" s="76"/>
      <c r="D47" s="73"/>
      <c r="E47" s="66"/>
      <c r="F47" s="62"/>
      <c r="G47" s="62"/>
      <c r="H47" s="67" t="s">
        <v>123</v>
      </c>
      <c r="I47" s="70">
        <v>0.3</v>
      </c>
      <c r="J47" s="70"/>
      <c r="K47" s="70"/>
      <c r="L47" s="70"/>
      <c r="M47" s="70"/>
      <c r="N47" s="70"/>
      <c r="O47" s="70"/>
      <c r="P47" s="70"/>
      <c r="Q47" s="70"/>
      <c r="R47" s="63"/>
      <c r="S47" s="263">
        <f t="shared" si="1"/>
        <v>0</v>
      </c>
      <c r="T47" s="71"/>
    </row>
    <row r="48" spans="1:21" s="69" customFormat="1" ht="33" hidden="1" customHeight="1">
      <c r="A48" s="507"/>
      <c r="B48" s="60"/>
      <c r="C48" s="76"/>
      <c r="D48" s="73"/>
      <c r="E48" s="66"/>
      <c r="F48" s="62"/>
      <c r="G48" s="62"/>
      <c r="H48" s="67" t="s">
        <v>343</v>
      </c>
      <c r="I48" s="63">
        <f>I49/10</f>
        <v>15326.4</v>
      </c>
      <c r="J48" s="63"/>
      <c r="K48" s="63"/>
      <c r="L48" s="63"/>
      <c r="M48" s="63"/>
      <c r="N48" s="63"/>
      <c r="O48" s="63"/>
      <c r="P48" s="63"/>
      <c r="Q48" s="63"/>
      <c r="R48" s="63"/>
      <c r="S48" s="263">
        <f t="shared" si="1"/>
        <v>0</v>
      </c>
      <c r="T48" s="71"/>
    </row>
    <row r="49" spans="1:21" s="69" customFormat="1" ht="33" hidden="1" customHeight="1">
      <c r="A49" s="507"/>
      <c r="B49" s="60"/>
      <c r="C49" s="76"/>
      <c r="D49" s="73"/>
      <c r="E49" s="66"/>
      <c r="F49" s="62"/>
      <c r="G49" s="62"/>
      <c r="H49" s="67" t="s">
        <v>348</v>
      </c>
      <c r="I49" s="63">
        <v>153264</v>
      </c>
      <c r="J49" s="63"/>
      <c r="K49" s="63"/>
      <c r="L49" s="63"/>
      <c r="M49" s="63"/>
      <c r="N49" s="63"/>
      <c r="O49" s="63"/>
      <c r="P49" s="63"/>
      <c r="Q49" s="63"/>
      <c r="R49" s="63"/>
      <c r="S49" s="263">
        <f t="shared" si="1"/>
        <v>0</v>
      </c>
      <c r="T49" s="71"/>
    </row>
    <row r="50" spans="1:21" s="69" customFormat="1" ht="33" customHeight="1">
      <c r="A50" s="507"/>
      <c r="B50" s="60">
        <v>19</v>
      </c>
      <c r="C50" s="250" t="s">
        <v>354</v>
      </c>
      <c r="D50" s="178" t="str">
        <f>COVER!B22</f>
        <v>B7(다크로)</v>
      </c>
      <c r="E50" s="148">
        <v>10</v>
      </c>
      <c r="F50" s="159">
        <f>IF(D50="B8",Y93,IF(D50="B8M",Z93,IF(D50="B7(다크로)",AA93)))</f>
        <v>7000</v>
      </c>
      <c r="G50" s="159">
        <f>E50*F50</f>
        <v>70000</v>
      </c>
      <c r="H50" s="159"/>
      <c r="I50" s="160">
        <v>0</v>
      </c>
      <c r="J50" s="160">
        <v>0</v>
      </c>
      <c r="K50" s="160">
        <v>0</v>
      </c>
      <c r="L50" s="160">
        <v>0</v>
      </c>
      <c r="M50" s="160">
        <v>0</v>
      </c>
      <c r="N50" s="160">
        <v>0</v>
      </c>
      <c r="O50" s="160">
        <v>0</v>
      </c>
      <c r="P50" s="160">
        <v>0</v>
      </c>
      <c r="Q50" s="160">
        <v>0</v>
      </c>
      <c r="R50" s="160">
        <v>0</v>
      </c>
      <c r="S50" s="263">
        <f t="shared" si="1"/>
        <v>70000</v>
      </c>
      <c r="T50" s="232"/>
    </row>
    <row r="51" spans="1:21" s="69" customFormat="1" ht="33" customHeight="1">
      <c r="A51" s="507"/>
      <c r="B51" s="60">
        <v>20</v>
      </c>
      <c r="C51" s="185" t="s">
        <v>355</v>
      </c>
      <c r="D51" s="297" t="str">
        <f>D24</f>
        <v>A564T630</v>
      </c>
      <c r="E51" s="164">
        <v>4</v>
      </c>
      <c r="F51" s="165">
        <f>IF(D51="A276T316L",Y80/E51,IF(D51="A276T304",Z80/E51,IF(D51="A564T630",AA80/E51,IF(D51="A479T410",AB80/E51,IF(D51="UNS S31803",AC80/E51,IF(D51="UNS S32750",AD80/E51,IF(D51="MONEL K-500",AE80/E51)))))))</f>
        <v>43047.5</v>
      </c>
      <c r="G51" s="165">
        <f>E51*F51</f>
        <v>172190</v>
      </c>
      <c r="H51" s="165"/>
      <c r="I51" s="167">
        <v>0</v>
      </c>
      <c r="J51" s="167">
        <v>0</v>
      </c>
      <c r="K51" s="167">
        <v>0</v>
      </c>
      <c r="L51" s="167">
        <v>0</v>
      </c>
      <c r="M51" s="167">
        <v>0</v>
      </c>
      <c r="N51" s="167">
        <v>0</v>
      </c>
      <c r="O51" s="167">
        <v>1000</v>
      </c>
      <c r="P51" s="167">
        <v>0</v>
      </c>
      <c r="Q51" s="167">
        <v>0</v>
      </c>
      <c r="R51" s="167">
        <f>E51*7000</f>
        <v>28000</v>
      </c>
      <c r="S51" s="263">
        <f t="shared" si="1"/>
        <v>200190</v>
      </c>
      <c r="T51" s="71"/>
      <c r="U51" s="163"/>
    </row>
    <row r="52" spans="1:21" s="69" customFormat="1" ht="33" customHeight="1">
      <c r="A52" s="507"/>
      <c r="B52" s="60">
        <v>21</v>
      </c>
      <c r="C52" s="169" t="s">
        <v>97</v>
      </c>
      <c r="D52" s="178" t="str">
        <f>COVER!B22</f>
        <v>B7(다크로)</v>
      </c>
      <c r="E52" s="148">
        <v>6</v>
      </c>
      <c r="F52" s="159">
        <f>IF(D52="B8",Y89,IF(D52="B8M",Z89,IF(D52="B7(다크로)",AA89)))</f>
        <v>20000</v>
      </c>
      <c r="G52" s="159">
        <f>E52*F52</f>
        <v>120000</v>
      </c>
      <c r="H52" s="159"/>
      <c r="I52" s="160">
        <v>0</v>
      </c>
      <c r="J52" s="160">
        <v>0</v>
      </c>
      <c r="K52" s="160">
        <v>0</v>
      </c>
      <c r="L52" s="160">
        <v>0</v>
      </c>
      <c r="M52" s="160">
        <v>0</v>
      </c>
      <c r="N52" s="160">
        <v>1000</v>
      </c>
      <c r="O52" s="160">
        <v>1000</v>
      </c>
      <c r="P52" s="160">
        <v>1000</v>
      </c>
      <c r="Q52" s="160">
        <v>0</v>
      </c>
      <c r="R52" s="160">
        <v>0</v>
      </c>
      <c r="S52" s="263">
        <f t="shared" si="1"/>
        <v>120000</v>
      </c>
      <c r="T52" s="71"/>
      <c r="U52" s="163"/>
    </row>
    <row r="53" spans="1:21" s="69" customFormat="1" ht="33" customHeight="1">
      <c r="A53" s="507"/>
      <c r="B53" s="60">
        <v>22</v>
      </c>
      <c r="C53" s="169" t="s">
        <v>1199</v>
      </c>
      <c r="D53" s="244" t="str">
        <f>COVER!B26</f>
        <v>316+NICKEL</v>
      </c>
      <c r="E53" s="148">
        <v>1</v>
      </c>
      <c r="F53" s="159">
        <f>IF(D53="316+NICKEL",Y100,IF(D53="B148 C95400",Z100))</f>
        <v>191200</v>
      </c>
      <c r="G53" s="159">
        <f>F53*E53</f>
        <v>191200</v>
      </c>
      <c r="H53" s="159"/>
      <c r="I53" s="160"/>
      <c r="J53" s="160"/>
      <c r="K53" s="160"/>
      <c r="L53" s="160"/>
      <c r="M53" s="160"/>
      <c r="N53" s="160"/>
      <c r="O53" s="160"/>
      <c r="P53" s="160"/>
      <c r="Q53" s="160"/>
      <c r="R53" s="160">
        <v>0</v>
      </c>
      <c r="S53" s="263">
        <f t="shared" si="1"/>
        <v>191200</v>
      </c>
      <c r="T53" s="225"/>
    </row>
    <row r="54" spans="1:21" s="69" customFormat="1" ht="33" customHeight="1">
      <c r="A54" s="507"/>
      <c r="B54" s="60">
        <v>23</v>
      </c>
      <c r="C54" s="75" t="s">
        <v>356</v>
      </c>
      <c r="D54" s="73"/>
      <c r="E54" s="13">
        <v>1</v>
      </c>
      <c r="F54" s="14">
        <v>3000</v>
      </c>
      <c r="G54" s="14">
        <f t="shared" ref="G54" si="13">E54*F54</f>
        <v>3000</v>
      </c>
      <c r="H54" s="14"/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1000</v>
      </c>
      <c r="Q54" s="15">
        <v>0</v>
      </c>
      <c r="R54" s="15">
        <v>0</v>
      </c>
      <c r="S54" s="63">
        <f t="shared" si="1"/>
        <v>3000</v>
      </c>
      <c r="T54" s="71"/>
    </row>
    <row r="55" spans="1:21" s="69" customFormat="1" ht="33" customHeight="1">
      <c r="A55" s="507"/>
      <c r="B55" s="60">
        <v>24</v>
      </c>
      <c r="C55" s="184" t="s">
        <v>357</v>
      </c>
      <c r="D55" s="244" t="str">
        <f>COVER!B32</f>
        <v>외주 2COATING</v>
      </c>
      <c r="E55" s="148">
        <v>1</v>
      </c>
      <c r="F55" s="235" t="b">
        <f>IF(D55="GEAR",2760800,IF(D55="MOTOR",0,IF(D55="PNEUMATIC",0)))</f>
        <v>0</v>
      </c>
      <c r="G55" s="159" t="b">
        <f>F55</f>
        <v>0</v>
      </c>
      <c r="H55" s="159"/>
      <c r="I55" s="160">
        <v>0</v>
      </c>
      <c r="J55" s="160">
        <v>0</v>
      </c>
      <c r="K55" s="160">
        <v>0</v>
      </c>
      <c r="L55" s="160">
        <v>0</v>
      </c>
      <c r="M55" s="160">
        <v>0</v>
      </c>
      <c r="N55" s="160">
        <v>0</v>
      </c>
      <c r="O55" s="160">
        <v>0</v>
      </c>
      <c r="P55" s="160">
        <v>0</v>
      </c>
      <c r="Q55" s="160">
        <v>0</v>
      </c>
      <c r="R55" s="160">
        <v>0</v>
      </c>
      <c r="S55" s="263">
        <f t="shared" si="1"/>
        <v>0</v>
      </c>
      <c r="T55" s="225"/>
    </row>
    <row r="56" spans="1:21" s="69" customFormat="1" ht="33" customHeight="1">
      <c r="A56" s="507"/>
      <c r="B56" s="60">
        <v>25</v>
      </c>
      <c r="C56" s="186" t="s">
        <v>859</v>
      </c>
      <c r="D56" s="178" t="str">
        <f>COVER!B30</f>
        <v>WCB</v>
      </c>
      <c r="E56" s="148">
        <v>140</v>
      </c>
      <c r="F56" s="159">
        <f>IF(D56="WCB",4000,IF(D56="CF8M",9000))</f>
        <v>4000</v>
      </c>
      <c r="G56" s="159">
        <f>E56*F56</f>
        <v>560000</v>
      </c>
      <c r="H56" s="159"/>
      <c r="I56" s="160"/>
      <c r="J56" s="160"/>
      <c r="K56" s="160"/>
      <c r="L56" s="160"/>
      <c r="M56" s="160"/>
      <c r="N56" s="160"/>
      <c r="O56" s="160"/>
      <c r="P56" s="160"/>
      <c r="Q56" s="160"/>
      <c r="R56" s="160">
        <f>IF(D56="WCB",AA107,IF(D56="CF8M",AB107))</f>
        <v>90000</v>
      </c>
      <c r="S56" s="263">
        <f t="shared" si="1"/>
        <v>650000</v>
      </c>
      <c r="T56" s="225"/>
    </row>
    <row r="57" spans="1:21" s="69" customFormat="1" ht="33" customHeight="1">
      <c r="A57" s="507"/>
      <c r="B57" s="60">
        <v>26</v>
      </c>
      <c r="C57" s="175" t="s">
        <v>467</v>
      </c>
      <c r="D57" s="178" t="str">
        <f>COVER!B27</f>
        <v>316+NICKEL</v>
      </c>
      <c r="E57" s="148">
        <v>2</v>
      </c>
      <c r="F57" s="159">
        <f>IF(D57="316+NICKEL",Y101+Y102,IF(D57="B148 C95400",Z101+Z102))</f>
        <v>348600</v>
      </c>
      <c r="G57" s="159">
        <f>F57</f>
        <v>348600</v>
      </c>
      <c r="H57" s="159"/>
      <c r="I57" s="160"/>
      <c r="J57" s="160"/>
      <c r="K57" s="160"/>
      <c r="L57" s="160"/>
      <c r="M57" s="160"/>
      <c r="N57" s="160"/>
      <c r="O57" s="160"/>
      <c r="P57" s="160"/>
      <c r="Q57" s="160"/>
      <c r="R57" s="160">
        <v>0</v>
      </c>
      <c r="S57" s="263">
        <f t="shared" si="1"/>
        <v>348600</v>
      </c>
      <c r="T57" s="179" t="s">
        <v>1200</v>
      </c>
    </row>
    <row r="58" spans="1:21" s="69" customFormat="1" ht="33" customHeight="1">
      <c r="A58" s="507"/>
      <c r="B58" s="60">
        <v>27</v>
      </c>
      <c r="C58" s="175" t="s">
        <v>468</v>
      </c>
      <c r="D58" s="178" t="str">
        <f>COVER!B28</f>
        <v>316+NICKEL</v>
      </c>
      <c r="E58" s="148">
        <v>2</v>
      </c>
      <c r="F58" s="159">
        <f>IF(D58="316+NICKEL",Y102+Y103,IF(D58="B148 C95400",Z102+Z103))</f>
        <v>191600</v>
      </c>
      <c r="G58" s="159">
        <f>F58</f>
        <v>191600</v>
      </c>
      <c r="H58" s="159"/>
      <c r="I58" s="160"/>
      <c r="J58" s="160"/>
      <c r="K58" s="160"/>
      <c r="L58" s="160"/>
      <c r="M58" s="160"/>
      <c r="N58" s="160"/>
      <c r="O58" s="160"/>
      <c r="P58" s="160"/>
      <c r="Q58" s="160"/>
      <c r="R58" s="160">
        <v>0</v>
      </c>
      <c r="S58" s="263">
        <f t="shared" si="1"/>
        <v>191600</v>
      </c>
      <c r="T58" s="179" t="s">
        <v>1200</v>
      </c>
    </row>
    <row r="59" spans="1:21" s="69" customFormat="1" ht="33" customHeight="1">
      <c r="A59" s="507"/>
      <c r="B59" s="60">
        <v>28</v>
      </c>
      <c r="C59" s="184" t="s">
        <v>217</v>
      </c>
      <c r="D59" s="223" t="str">
        <f>COVER!B22</f>
        <v>B7(다크로)</v>
      </c>
      <c r="E59" s="156">
        <v>12</v>
      </c>
      <c r="F59" s="159">
        <f>IF(D59="B8",Y88,IF(D59="B8M",Z88,IF(D59="B7(다크로)",AA88)))</f>
        <v>12000</v>
      </c>
      <c r="G59" s="189">
        <f>F59*E59</f>
        <v>144000</v>
      </c>
      <c r="H59" s="189"/>
      <c r="I59" s="190"/>
      <c r="J59" s="190"/>
      <c r="K59" s="190"/>
      <c r="L59" s="190"/>
      <c r="M59" s="190"/>
      <c r="N59" s="190"/>
      <c r="O59" s="190"/>
      <c r="P59" s="190"/>
      <c r="Q59" s="190"/>
      <c r="R59" s="190">
        <v>0</v>
      </c>
      <c r="S59" s="263">
        <f t="shared" si="1"/>
        <v>144000</v>
      </c>
      <c r="T59" s="179"/>
    </row>
    <row r="60" spans="1:21" s="69" customFormat="1" ht="33" customHeight="1">
      <c r="A60" s="507"/>
      <c r="B60" s="60">
        <v>29</v>
      </c>
      <c r="C60" s="61" t="s">
        <v>358</v>
      </c>
      <c r="D60" s="73" t="str">
        <f>COVER!B32</f>
        <v>외주 2COATING</v>
      </c>
      <c r="E60" s="66"/>
      <c r="F60" s="62"/>
      <c r="G60" s="62"/>
      <c r="H60" s="62"/>
      <c r="I60" s="63">
        <v>0</v>
      </c>
      <c r="J60" s="63">
        <v>0</v>
      </c>
      <c r="K60" s="63">
        <v>0</v>
      </c>
      <c r="L60" s="63">
        <v>0</v>
      </c>
      <c r="M60" s="63">
        <v>0</v>
      </c>
      <c r="N60" s="63">
        <v>0</v>
      </c>
      <c r="O60" s="63">
        <v>0</v>
      </c>
      <c r="P60" s="63">
        <v>0</v>
      </c>
      <c r="Q60" s="63">
        <v>0</v>
      </c>
      <c r="R60" s="63"/>
      <c r="S60" s="63">
        <f>1400*150</f>
        <v>210000</v>
      </c>
      <c r="T60" s="71"/>
    </row>
    <row r="61" spans="1:21" s="69" customFormat="1" ht="33" customHeight="1">
      <c r="A61" s="508"/>
      <c r="B61" s="60">
        <v>30</v>
      </c>
      <c r="C61" s="61" t="s">
        <v>359</v>
      </c>
      <c r="D61" s="73" t="str">
        <f>COVER!B33</f>
        <v>신규</v>
      </c>
      <c r="E61" s="66"/>
      <c r="F61" s="62"/>
      <c r="G61" s="62"/>
      <c r="H61" s="62"/>
      <c r="I61" s="63">
        <v>0</v>
      </c>
      <c r="J61" s="63">
        <v>0</v>
      </c>
      <c r="K61" s="63">
        <v>0</v>
      </c>
      <c r="L61" s="63">
        <v>0</v>
      </c>
      <c r="M61" s="63">
        <v>0</v>
      </c>
      <c r="N61" s="63">
        <v>0</v>
      </c>
      <c r="O61" s="63">
        <v>0</v>
      </c>
      <c r="P61" s="63">
        <v>0</v>
      </c>
      <c r="Q61" s="63">
        <v>0</v>
      </c>
      <c r="R61" s="63"/>
      <c r="S61" s="63">
        <f>1400*300*2</f>
        <v>840000</v>
      </c>
      <c r="T61" s="71"/>
    </row>
    <row r="62" spans="1:21" s="69" customFormat="1" ht="33" customHeight="1">
      <c r="A62" s="509" t="s">
        <v>360</v>
      </c>
      <c r="B62" s="510"/>
      <c r="C62" s="510"/>
      <c r="D62" s="510"/>
      <c r="E62" s="510"/>
      <c r="F62" s="511"/>
      <c r="G62" s="62">
        <v>150000</v>
      </c>
      <c r="H62" s="62"/>
      <c r="I62" s="77" t="s">
        <v>361</v>
      </c>
      <c r="J62" s="77"/>
      <c r="K62" s="77"/>
      <c r="L62" s="77"/>
      <c r="M62" s="77"/>
      <c r="N62" s="77"/>
      <c r="O62" s="77"/>
      <c r="P62" s="77"/>
      <c r="Q62" s="77"/>
      <c r="R62" s="78"/>
      <c r="S62" s="78"/>
      <c r="T62" s="255"/>
    </row>
    <row r="63" spans="1:21" s="69" customFormat="1" ht="33" customHeight="1">
      <c r="A63" s="512" t="s">
        <v>363</v>
      </c>
      <c r="B63" s="513"/>
      <c r="C63" s="513"/>
      <c r="D63" s="513"/>
      <c r="E63" s="513"/>
      <c r="F63" s="514"/>
      <c r="G63" s="62">
        <v>100000</v>
      </c>
      <c r="H63" s="62"/>
      <c r="I63" s="77" t="s">
        <v>364</v>
      </c>
      <c r="J63" s="77"/>
      <c r="K63" s="77"/>
      <c r="L63" s="77"/>
      <c r="M63" s="77"/>
      <c r="N63" s="77"/>
      <c r="O63" s="77"/>
      <c r="P63" s="77"/>
      <c r="Q63" s="77"/>
      <c r="R63" s="78"/>
      <c r="S63" s="78"/>
      <c r="T63" s="255" t="s">
        <v>362</v>
      </c>
    </row>
    <row r="64" spans="1:21" s="69" customFormat="1" ht="33" customHeight="1">
      <c r="A64" s="509" t="s">
        <v>365</v>
      </c>
      <c r="B64" s="510"/>
      <c r="C64" s="510"/>
      <c r="D64" s="510"/>
      <c r="E64" s="510"/>
      <c r="F64" s="511"/>
      <c r="G64" s="256" t="s">
        <v>364</v>
      </c>
      <c r="H64" s="256"/>
      <c r="I64" s="77"/>
      <c r="J64" s="257"/>
      <c r="K64" s="257"/>
      <c r="L64" s="257"/>
      <c r="M64" s="257"/>
      <c r="N64" s="257"/>
      <c r="O64" s="257"/>
      <c r="P64" s="257"/>
      <c r="Q64" s="257"/>
      <c r="R64" s="257"/>
      <c r="S64" s="79">
        <f>SUM(S8:S63)</f>
        <v>37527830</v>
      </c>
      <c r="T64" s="258" t="s">
        <v>366</v>
      </c>
    </row>
    <row r="65" spans="1:32" s="69" customFormat="1" ht="33" customHeight="1">
      <c r="A65" s="509" t="s">
        <v>367</v>
      </c>
      <c r="B65" s="510"/>
      <c r="C65" s="510"/>
      <c r="D65" s="510"/>
      <c r="E65" s="510"/>
      <c r="F65" s="511"/>
      <c r="G65" s="77">
        <v>0.1</v>
      </c>
      <c r="H65" s="77"/>
      <c r="I65" s="77" t="s">
        <v>368</v>
      </c>
      <c r="J65" s="77"/>
      <c r="K65" s="77"/>
      <c r="L65" s="77"/>
      <c r="M65" s="77"/>
      <c r="N65" s="77"/>
      <c r="O65" s="77"/>
      <c r="P65" s="77"/>
      <c r="Q65" s="77"/>
      <c r="R65" s="77"/>
      <c r="S65" s="80">
        <f>S64*G65</f>
        <v>3752783</v>
      </c>
      <c r="T65" s="255"/>
    </row>
    <row r="66" spans="1:32" s="69" customFormat="1" ht="33" customHeight="1">
      <c r="A66" s="512" t="s">
        <v>369</v>
      </c>
      <c r="B66" s="513"/>
      <c r="C66" s="513"/>
      <c r="D66" s="513"/>
      <c r="E66" s="513"/>
      <c r="F66" s="514"/>
      <c r="G66" s="259">
        <v>0.1</v>
      </c>
      <c r="H66" s="259"/>
      <c r="I66" s="77" t="s">
        <v>364</v>
      </c>
      <c r="J66" s="77"/>
      <c r="K66" s="77"/>
      <c r="L66" s="77"/>
      <c r="M66" s="77"/>
      <c r="N66" s="77"/>
      <c r="O66" s="77"/>
      <c r="P66" s="77"/>
      <c r="Q66" s="77"/>
      <c r="R66" s="77"/>
      <c r="S66" s="80">
        <f>(S64+S65)*G66</f>
        <v>4128061.3000000003</v>
      </c>
      <c r="T66" s="255" t="s">
        <v>364</v>
      </c>
    </row>
    <row r="67" spans="1:32" s="69" customFormat="1" ht="33" customHeight="1">
      <c r="A67" s="494" t="s">
        <v>370</v>
      </c>
      <c r="B67" s="495"/>
      <c r="C67" s="495"/>
      <c r="D67" s="495"/>
      <c r="E67" s="495"/>
      <c r="F67" s="496"/>
      <c r="G67" s="77"/>
      <c r="H67" s="77"/>
      <c r="I67" s="77"/>
      <c r="J67" s="77"/>
      <c r="K67" s="77"/>
      <c r="L67" s="77"/>
      <c r="M67" s="77"/>
      <c r="N67" s="77"/>
      <c r="O67" s="77"/>
      <c r="P67" s="77"/>
      <c r="Q67" s="77"/>
      <c r="R67" s="77"/>
      <c r="S67" s="276">
        <f>S64+S65+S66</f>
        <v>45408674.299999997</v>
      </c>
      <c r="T67" s="258" t="s">
        <v>371</v>
      </c>
    </row>
    <row r="68" spans="1:32" s="69" customFormat="1" ht="33" customHeight="1">
      <c r="A68" s="497" t="s">
        <v>372</v>
      </c>
      <c r="B68" s="498"/>
      <c r="C68" s="498"/>
      <c r="D68" s="498"/>
      <c r="E68" s="498"/>
      <c r="F68" s="499"/>
      <c r="G68" s="77">
        <f>COVER!B11</f>
        <v>1.5</v>
      </c>
      <c r="H68" s="77"/>
      <c r="I68" s="77" t="s">
        <v>362</v>
      </c>
      <c r="J68" s="77"/>
      <c r="K68" s="77"/>
      <c r="L68" s="77"/>
      <c r="M68" s="77"/>
      <c r="N68" s="77"/>
      <c r="O68" s="77"/>
      <c r="P68" s="77"/>
      <c r="Q68" s="77"/>
      <c r="R68" s="77"/>
      <c r="S68" s="81">
        <f>S67*G68</f>
        <v>68113011.449999988</v>
      </c>
      <c r="T68" s="255"/>
    </row>
    <row r="69" spans="1:32" s="69" customFormat="1" ht="33" customHeight="1">
      <c r="A69" s="500" t="s">
        <v>373</v>
      </c>
      <c r="B69" s="501"/>
      <c r="C69" s="501"/>
      <c r="D69" s="501"/>
      <c r="E69" s="501"/>
      <c r="F69" s="501"/>
      <c r="G69" s="502"/>
      <c r="H69" s="82"/>
      <c r="I69" s="83"/>
      <c r="J69" s="83"/>
      <c r="K69" s="83"/>
      <c r="L69" s="83"/>
      <c r="M69" s="83"/>
      <c r="N69" s="83"/>
      <c r="O69" s="83"/>
      <c r="P69" s="83"/>
      <c r="Q69" s="83"/>
      <c r="R69" s="84" t="s">
        <v>374</v>
      </c>
      <c r="S69" s="85">
        <f>S68</f>
        <v>68113011.449999988</v>
      </c>
      <c r="T69" s="248" t="s">
        <v>375</v>
      </c>
      <c r="V69" s="141" t="s">
        <v>972</v>
      </c>
      <c r="W69" s="140"/>
      <c r="X69" s="140"/>
      <c r="Y69" s="140"/>
      <c r="Z69" s="140"/>
      <c r="AA69" s="140"/>
      <c r="AB69" s="140"/>
      <c r="AC69" s="140"/>
      <c r="AD69" s="140"/>
      <c r="AE69" s="140"/>
      <c r="AF69" s="140"/>
    </row>
    <row r="70" spans="1:32" s="69" customFormat="1" ht="33" customHeight="1" thickBot="1">
      <c r="A70" s="503"/>
      <c r="B70" s="504"/>
      <c r="C70" s="504"/>
      <c r="D70" s="504"/>
      <c r="E70" s="504"/>
      <c r="F70" s="504"/>
      <c r="G70" s="505"/>
      <c r="H70" s="86"/>
      <c r="I70" s="87"/>
      <c r="J70" s="87"/>
      <c r="K70" s="87"/>
      <c r="L70" s="87"/>
      <c r="M70" s="87"/>
      <c r="N70" s="87"/>
      <c r="O70" s="87"/>
      <c r="P70" s="87"/>
      <c r="Q70" s="87"/>
      <c r="R70" s="88" t="s">
        <v>376</v>
      </c>
      <c r="S70" s="88">
        <f>S64*G68</f>
        <v>56291745</v>
      </c>
      <c r="T70" s="249" t="s">
        <v>377</v>
      </c>
      <c r="V70" s="141" t="s">
        <v>1141</v>
      </c>
      <c r="W70" s="140"/>
      <c r="X70" s="140"/>
      <c r="Y70" s="140"/>
      <c r="Z70" s="140"/>
      <c r="AA70" s="140"/>
      <c r="AB70" s="140"/>
      <c r="AC70" s="140"/>
      <c r="AD70" s="140"/>
      <c r="AE70" s="140"/>
      <c r="AF70" s="140"/>
    </row>
    <row r="71" spans="1:32" ht="15" thickBot="1">
      <c r="V71" s="140"/>
      <c r="W71" s="140"/>
      <c r="X71" s="140"/>
      <c r="Y71" s="140"/>
      <c r="Z71" s="140"/>
      <c r="AA71" s="140"/>
      <c r="AB71" s="140"/>
      <c r="AC71" s="140"/>
      <c r="AD71" s="140"/>
      <c r="AE71" s="140"/>
      <c r="AF71" s="140"/>
    </row>
    <row r="72" spans="1:32" ht="21" thickBot="1">
      <c r="C72" s="44" t="s">
        <v>378</v>
      </c>
      <c r="V72" s="193" t="s">
        <v>863</v>
      </c>
      <c r="W72" s="194" t="s">
        <v>864</v>
      </c>
      <c r="X72" s="194" t="s">
        <v>865</v>
      </c>
      <c r="Y72" s="358" t="s">
        <v>866</v>
      </c>
      <c r="Z72" s="358"/>
      <c r="AA72" s="358"/>
      <c r="AB72" s="358"/>
      <c r="AC72" s="358"/>
      <c r="AD72" s="358"/>
      <c r="AE72" s="358"/>
      <c r="AF72" s="218" t="s">
        <v>867</v>
      </c>
    </row>
    <row r="73" spans="1:32" ht="20.399999999999999">
      <c r="C73" s="44" t="s">
        <v>379</v>
      </c>
      <c r="V73" s="336" t="s">
        <v>868</v>
      </c>
      <c r="W73" s="111" t="s">
        <v>869</v>
      </c>
      <c r="X73" s="111" t="s">
        <v>1142</v>
      </c>
      <c r="Y73" s="345" t="s">
        <v>870</v>
      </c>
      <c r="Z73" s="345"/>
      <c r="AA73" s="345"/>
      <c r="AB73" s="345"/>
      <c r="AC73" s="345"/>
      <c r="AD73" s="345"/>
      <c r="AE73" s="345"/>
      <c r="AF73" s="161" t="s">
        <v>871</v>
      </c>
    </row>
    <row r="74" spans="1:32" ht="21" thickBot="1">
      <c r="C74" s="44" t="s">
        <v>380</v>
      </c>
      <c r="V74" s="342"/>
      <c r="W74" s="133" t="s">
        <v>872</v>
      </c>
      <c r="X74" s="219" t="s">
        <v>1091</v>
      </c>
      <c r="Y74" s="346" t="s">
        <v>870</v>
      </c>
      <c r="Z74" s="346"/>
      <c r="AA74" s="346"/>
      <c r="AB74" s="346"/>
      <c r="AC74" s="346"/>
      <c r="AD74" s="346"/>
      <c r="AE74" s="346"/>
      <c r="AF74" s="195" t="s">
        <v>871</v>
      </c>
    </row>
    <row r="75" spans="1:32" ht="21" thickBot="1">
      <c r="C75" s="44" t="s">
        <v>381</v>
      </c>
      <c r="V75" s="196" t="s">
        <v>874</v>
      </c>
      <c r="W75" s="137" t="s">
        <v>875</v>
      </c>
      <c r="X75" s="137" t="s">
        <v>1143</v>
      </c>
      <c r="Y75" s="359" t="s">
        <v>870</v>
      </c>
      <c r="Z75" s="359"/>
      <c r="AA75" s="359"/>
      <c r="AB75" s="359"/>
      <c r="AC75" s="359"/>
      <c r="AD75" s="359"/>
      <c r="AE75" s="359"/>
      <c r="AF75" s="197" t="s">
        <v>871</v>
      </c>
    </row>
    <row r="76" spans="1:32" ht="20.399999999999999">
      <c r="C76" s="44" t="s">
        <v>382</v>
      </c>
      <c r="V76" s="336" t="s">
        <v>877</v>
      </c>
      <c r="W76" s="111" t="s">
        <v>846</v>
      </c>
      <c r="X76" s="354">
        <v>1947000</v>
      </c>
      <c r="Y76" s="354"/>
      <c r="Z76" s="354"/>
      <c r="AA76" s="354"/>
      <c r="AB76" s="354"/>
      <c r="AC76" s="354"/>
      <c r="AD76" s="354"/>
      <c r="AE76" s="354"/>
      <c r="AF76" s="161"/>
    </row>
    <row r="77" spans="1:32" ht="21" thickBot="1">
      <c r="C77" s="44" t="s">
        <v>383</v>
      </c>
      <c r="V77" s="329"/>
      <c r="W77" s="125" t="s">
        <v>847</v>
      </c>
      <c r="X77" s="355">
        <v>2725900</v>
      </c>
      <c r="Y77" s="355"/>
      <c r="Z77" s="355"/>
      <c r="AA77" s="355"/>
      <c r="AB77" s="355"/>
      <c r="AC77" s="355"/>
      <c r="AD77" s="355"/>
      <c r="AE77" s="355"/>
      <c r="AF77" s="208"/>
    </row>
    <row r="78" spans="1:32" ht="20.399999999999999">
      <c r="C78" s="44" t="s">
        <v>384</v>
      </c>
      <c r="V78" s="336" t="s">
        <v>878</v>
      </c>
      <c r="W78" s="338" t="s">
        <v>1144</v>
      </c>
      <c r="X78" s="340" t="s">
        <v>879</v>
      </c>
      <c r="Y78" s="171" t="s">
        <v>880</v>
      </c>
      <c r="Z78" s="171">
        <v>304</v>
      </c>
      <c r="AA78" s="171" t="s">
        <v>881</v>
      </c>
      <c r="AB78" s="171" t="s">
        <v>882</v>
      </c>
      <c r="AC78" s="171" t="s">
        <v>883</v>
      </c>
      <c r="AD78" s="171" t="s">
        <v>884</v>
      </c>
      <c r="AE78" s="171" t="s">
        <v>885</v>
      </c>
      <c r="AF78" s="172"/>
    </row>
    <row r="79" spans="1:32" ht="20.399999999999999">
      <c r="C79" s="45"/>
      <c r="V79" s="337"/>
      <c r="W79" s="339"/>
      <c r="X79" s="341"/>
      <c r="Y79" s="173">
        <v>3565120</v>
      </c>
      <c r="Z79" s="173">
        <v>2623005</v>
      </c>
      <c r="AA79" s="173">
        <v>4769100</v>
      </c>
      <c r="AB79" s="173">
        <v>2293977</v>
      </c>
      <c r="AC79" s="173">
        <v>4802700</v>
      </c>
      <c r="AD79" s="173">
        <v>6123696</v>
      </c>
      <c r="AE79" s="173">
        <v>15992000</v>
      </c>
      <c r="AF79" s="174" t="s">
        <v>886</v>
      </c>
    </row>
    <row r="80" spans="1:32" ht="21" thickBot="1">
      <c r="C80" s="44" t="s">
        <v>385</v>
      </c>
      <c r="V80" s="132" t="s">
        <v>887</v>
      </c>
      <c r="W80" s="202" t="s">
        <v>1145</v>
      </c>
      <c r="X80" s="133" t="s">
        <v>909</v>
      </c>
      <c r="Y80" s="134">
        <v>126420</v>
      </c>
      <c r="Z80" s="134">
        <v>91235</v>
      </c>
      <c r="AA80" s="134">
        <v>172190</v>
      </c>
      <c r="AB80" s="134">
        <v>74045</v>
      </c>
      <c r="AC80" s="134">
        <v>172190</v>
      </c>
      <c r="AD80" s="134">
        <v>224718</v>
      </c>
      <c r="AE80" s="134">
        <v>1204970</v>
      </c>
      <c r="AF80" s="195" t="s">
        <v>889</v>
      </c>
    </row>
    <row r="81" spans="3:32" ht="20.399999999999999">
      <c r="C81" s="46" t="s">
        <v>386</v>
      </c>
      <c r="V81" s="331" t="s">
        <v>890</v>
      </c>
      <c r="W81" s="437" t="s">
        <v>1146</v>
      </c>
      <c r="X81" s="328" t="s">
        <v>879</v>
      </c>
      <c r="Y81" s="198">
        <v>304</v>
      </c>
      <c r="Z81" s="198" t="s">
        <v>880</v>
      </c>
      <c r="AA81" s="198" t="s">
        <v>892</v>
      </c>
      <c r="AB81" s="199"/>
      <c r="AC81" s="199"/>
      <c r="AD81" s="199"/>
      <c r="AE81" s="199"/>
      <c r="AF81" s="206"/>
    </row>
    <row r="82" spans="3:32" ht="21" thickBot="1">
      <c r="C82" s="46" t="s">
        <v>387</v>
      </c>
      <c r="V82" s="329"/>
      <c r="W82" s="438"/>
      <c r="X82" s="327"/>
      <c r="Y82" s="126">
        <v>1583200</v>
      </c>
      <c r="Z82" s="126">
        <v>1837600</v>
      </c>
      <c r="AA82" s="126">
        <v>248600</v>
      </c>
      <c r="AB82" s="200"/>
      <c r="AC82" s="200"/>
      <c r="AD82" s="200"/>
      <c r="AE82" s="200"/>
      <c r="AF82" s="208"/>
    </row>
    <row r="83" spans="3:32" ht="20.399999999999999">
      <c r="C83" s="46" t="s">
        <v>388</v>
      </c>
      <c r="V83" s="336" t="s">
        <v>893</v>
      </c>
      <c r="W83" s="435" t="s">
        <v>1147</v>
      </c>
      <c r="X83" s="345" t="s">
        <v>879</v>
      </c>
      <c r="Y83" s="111" t="s">
        <v>895</v>
      </c>
      <c r="Z83" s="111" t="s">
        <v>896</v>
      </c>
      <c r="AA83" s="201"/>
      <c r="AB83" s="201"/>
      <c r="AC83" s="201"/>
      <c r="AD83" s="201"/>
      <c r="AE83" s="201"/>
      <c r="AF83" s="161"/>
    </row>
    <row r="84" spans="3:32" ht="21" thickBot="1">
      <c r="C84" s="46" t="s">
        <v>389</v>
      </c>
      <c r="V84" s="342"/>
      <c r="W84" s="436"/>
      <c r="X84" s="346"/>
      <c r="Y84" s="296">
        <v>1060000</v>
      </c>
      <c r="Z84" s="296">
        <v>800000</v>
      </c>
      <c r="AA84" s="203"/>
      <c r="AB84" s="203"/>
      <c r="AC84" s="203"/>
      <c r="AD84" s="203"/>
      <c r="AE84" s="203"/>
      <c r="AF84" s="195" t="s">
        <v>958</v>
      </c>
    </row>
    <row r="85" spans="3:32" ht="21" thickBot="1">
      <c r="C85" s="46" t="s">
        <v>390</v>
      </c>
      <c r="V85" s="170" t="s">
        <v>898</v>
      </c>
      <c r="W85" s="207" t="s">
        <v>1148</v>
      </c>
      <c r="X85" s="125" t="s">
        <v>903</v>
      </c>
      <c r="Y85" s="126">
        <v>90000</v>
      </c>
      <c r="Z85" s="200"/>
      <c r="AA85" s="200"/>
      <c r="AB85" s="200"/>
      <c r="AC85" s="200"/>
      <c r="AD85" s="200"/>
      <c r="AE85" s="200"/>
      <c r="AF85" s="208"/>
    </row>
    <row r="86" spans="3:32" ht="21" thickBot="1">
      <c r="C86" s="46" t="s">
        <v>391</v>
      </c>
      <c r="V86" s="193" t="s">
        <v>904</v>
      </c>
      <c r="W86" s="209" t="s">
        <v>1149</v>
      </c>
      <c r="X86" s="194" t="s">
        <v>903</v>
      </c>
      <c r="Y86" s="210">
        <v>11000</v>
      </c>
      <c r="Z86" s="211"/>
      <c r="AA86" s="211"/>
      <c r="AB86" s="211"/>
      <c r="AC86" s="211"/>
      <c r="AD86" s="211"/>
      <c r="AE86" s="211"/>
      <c r="AF86" s="218"/>
    </row>
    <row r="87" spans="3:32" ht="20.399999999999999">
      <c r="C87" s="46" t="s">
        <v>392</v>
      </c>
      <c r="V87" s="336" t="s">
        <v>906</v>
      </c>
      <c r="W87" s="345"/>
      <c r="X87" s="345"/>
      <c r="Y87" s="111" t="s">
        <v>853</v>
      </c>
      <c r="Z87" s="111" t="s">
        <v>854</v>
      </c>
      <c r="AA87" s="111" t="s">
        <v>855</v>
      </c>
      <c r="AB87" s="201"/>
      <c r="AC87" s="201"/>
      <c r="AD87" s="201"/>
      <c r="AE87" s="201"/>
      <c r="AF87" s="161"/>
    </row>
    <row r="88" spans="3:32" ht="20.399999999999999">
      <c r="C88" s="47" t="s">
        <v>393</v>
      </c>
      <c r="V88" s="119" t="s">
        <v>907</v>
      </c>
      <c r="W88" s="212" t="s">
        <v>1119</v>
      </c>
      <c r="X88" s="115" t="s">
        <v>978</v>
      </c>
      <c r="Y88" s="116">
        <v>15000</v>
      </c>
      <c r="Z88" s="116">
        <v>21000</v>
      </c>
      <c r="AA88" s="116">
        <v>12000</v>
      </c>
      <c r="AB88" s="213"/>
      <c r="AC88" s="213"/>
      <c r="AD88" s="213"/>
      <c r="AE88" s="213"/>
      <c r="AF88" s="214" t="s">
        <v>910</v>
      </c>
    </row>
    <row r="89" spans="3:32" ht="20.399999999999999">
      <c r="C89" s="48"/>
      <c r="V89" s="119" t="s">
        <v>911</v>
      </c>
      <c r="W89" s="212" t="s">
        <v>1150</v>
      </c>
      <c r="X89" s="115" t="s">
        <v>915</v>
      </c>
      <c r="Y89" s="116">
        <v>32000</v>
      </c>
      <c r="Z89" s="116">
        <v>42000</v>
      </c>
      <c r="AA89" s="116">
        <v>20000</v>
      </c>
      <c r="AB89" s="213"/>
      <c r="AC89" s="213"/>
      <c r="AD89" s="213"/>
      <c r="AE89" s="213"/>
      <c r="AF89" s="214" t="s">
        <v>910</v>
      </c>
    </row>
    <row r="90" spans="3:32" ht="20.399999999999999">
      <c r="C90" s="46" t="s">
        <v>362</v>
      </c>
      <c r="V90" s="119" t="s">
        <v>913</v>
      </c>
      <c r="W90" s="212" t="s">
        <v>1151</v>
      </c>
      <c r="X90" s="115" t="s">
        <v>909</v>
      </c>
      <c r="Y90" s="116">
        <v>5000</v>
      </c>
      <c r="Z90" s="116">
        <v>7000</v>
      </c>
      <c r="AA90" s="116">
        <v>2500</v>
      </c>
      <c r="AB90" s="213"/>
      <c r="AC90" s="213"/>
      <c r="AD90" s="213"/>
      <c r="AE90" s="213"/>
      <c r="AF90" s="214" t="s">
        <v>910</v>
      </c>
    </row>
    <row r="91" spans="3:32" ht="20.399999999999999">
      <c r="C91" s="44" t="s">
        <v>394</v>
      </c>
      <c r="V91" s="119" t="s">
        <v>913</v>
      </c>
      <c r="W91" s="212" t="s">
        <v>1152</v>
      </c>
      <c r="X91" s="115" t="s">
        <v>1139</v>
      </c>
      <c r="Y91" s="116">
        <v>5000</v>
      </c>
      <c r="Z91" s="116">
        <v>7000</v>
      </c>
      <c r="AA91" s="116">
        <v>2500</v>
      </c>
      <c r="AB91" s="213"/>
      <c r="AC91" s="213"/>
      <c r="AD91" s="213"/>
      <c r="AE91" s="213"/>
      <c r="AF91" s="214" t="s">
        <v>910</v>
      </c>
    </row>
    <row r="92" spans="3:32" ht="20.399999999999999">
      <c r="C92" s="46" t="s">
        <v>395</v>
      </c>
      <c r="V92" s="119" t="s">
        <v>916</v>
      </c>
      <c r="W92" s="212" t="s">
        <v>1153</v>
      </c>
      <c r="X92" s="115" t="s">
        <v>1081</v>
      </c>
      <c r="Y92" s="116">
        <v>6000</v>
      </c>
      <c r="Z92" s="116">
        <v>6600</v>
      </c>
      <c r="AA92" s="116">
        <v>4500</v>
      </c>
      <c r="AB92" s="213"/>
      <c r="AC92" s="213"/>
      <c r="AD92" s="213"/>
      <c r="AE92" s="213"/>
      <c r="AF92" s="214" t="s">
        <v>910</v>
      </c>
    </row>
    <row r="93" spans="3:32" ht="21" thickBot="1">
      <c r="C93" s="46" t="s">
        <v>396</v>
      </c>
      <c r="V93" s="170" t="s">
        <v>918</v>
      </c>
      <c r="W93" s="207" t="s">
        <v>1154</v>
      </c>
      <c r="X93" s="125" t="s">
        <v>982</v>
      </c>
      <c r="Y93" s="126">
        <v>10000</v>
      </c>
      <c r="Z93" s="126">
        <v>12000</v>
      </c>
      <c r="AA93" s="126">
        <v>7000</v>
      </c>
      <c r="AB93" s="200"/>
      <c r="AC93" s="200"/>
      <c r="AD93" s="200"/>
      <c r="AE93" s="200"/>
      <c r="AF93" s="208" t="s">
        <v>910</v>
      </c>
    </row>
    <row r="94" spans="3:32" ht="18" thickBot="1">
      <c r="V94" s="105" t="s">
        <v>1155</v>
      </c>
      <c r="W94" s="215" t="s">
        <v>1156</v>
      </c>
      <c r="X94" s="103" t="s">
        <v>879</v>
      </c>
      <c r="Y94" s="216">
        <v>230000</v>
      </c>
      <c r="Z94" s="217"/>
      <c r="AA94" s="217"/>
      <c r="AB94" s="217"/>
      <c r="AC94" s="217"/>
      <c r="AD94" s="217"/>
      <c r="AE94" s="217"/>
      <c r="AF94" s="107"/>
    </row>
    <row r="95" spans="3:32" ht="14.4">
      <c r="V95" s="336" t="s">
        <v>922</v>
      </c>
      <c r="W95" s="345"/>
      <c r="X95" s="345"/>
      <c r="Y95" s="111" t="s">
        <v>923</v>
      </c>
      <c r="Z95" s="111" t="s">
        <v>924</v>
      </c>
      <c r="AA95" s="201"/>
      <c r="AB95" s="201"/>
      <c r="AC95" s="201"/>
      <c r="AD95" s="201"/>
      <c r="AE95" s="201"/>
      <c r="AF95" s="161"/>
    </row>
    <row r="96" spans="3:32" s="230" customFormat="1" ht="17.399999999999999">
      <c r="C96" s="229"/>
      <c r="V96" s="170" t="s">
        <v>925</v>
      </c>
      <c r="W96" s="212" t="s">
        <v>1157</v>
      </c>
      <c r="X96" s="115" t="s">
        <v>888</v>
      </c>
      <c r="Y96" s="116">
        <v>955000</v>
      </c>
      <c r="Z96" s="116">
        <v>382000</v>
      </c>
      <c r="AA96" s="213"/>
      <c r="AB96" s="213"/>
      <c r="AC96" s="213"/>
      <c r="AD96" s="213"/>
      <c r="AE96" s="213"/>
      <c r="AF96" s="214" t="s">
        <v>889</v>
      </c>
    </row>
    <row r="97" spans="3:32" s="230" customFormat="1" ht="17.399999999999999">
      <c r="C97" s="229"/>
      <c r="V97" s="170" t="s">
        <v>926</v>
      </c>
      <c r="W97" s="212" t="s">
        <v>1158</v>
      </c>
      <c r="X97" s="115" t="s">
        <v>888</v>
      </c>
      <c r="Y97" s="116">
        <v>917000</v>
      </c>
      <c r="Z97" s="116">
        <v>372000</v>
      </c>
      <c r="AA97" s="213"/>
      <c r="AB97" s="213"/>
      <c r="AC97" s="213"/>
      <c r="AD97" s="213"/>
      <c r="AE97" s="213"/>
      <c r="AF97" s="214" t="s">
        <v>889</v>
      </c>
    </row>
    <row r="98" spans="3:32" ht="17.399999999999999">
      <c r="V98" s="119" t="s">
        <v>927</v>
      </c>
      <c r="W98" s="212" t="s">
        <v>1159</v>
      </c>
      <c r="X98" s="115" t="s">
        <v>879</v>
      </c>
      <c r="Y98" s="116">
        <v>438000</v>
      </c>
      <c r="Z98" s="116">
        <v>409000</v>
      </c>
      <c r="AA98" s="213"/>
      <c r="AB98" s="213"/>
      <c r="AC98" s="213"/>
      <c r="AD98" s="213"/>
      <c r="AE98" s="213"/>
      <c r="AF98" s="214" t="s">
        <v>889</v>
      </c>
    </row>
    <row r="99" spans="3:32" ht="17.399999999999999">
      <c r="V99" s="119" t="s">
        <v>929</v>
      </c>
      <c r="W99" s="212" t="s">
        <v>1160</v>
      </c>
      <c r="X99" s="115" t="s">
        <v>879</v>
      </c>
      <c r="Y99" s="116">
        <v>126100</v>
      </c>
      <c r="Z99" s="116">
        <v>128000</v>
      </c>
      <c r="AA99" s="213"/>
      <c r="AB99" s="213"/>
      <c r="AC99" s="213"/>
      <c r="AD99" s="213"/>
      <c r="AE99" s="213"/>
      <c r="AF99" s="214" t="s">
        <v>889</v>
      </c>
    </row>
    <row r="100" spans="3:32" ht="17.399999999999999">
      <c r="V100" s="119" t="s">
        <v>931</v>
      </c>
      <c r="W100" s="212" t="s">
        <v>1161</v>
      </c>
      <c r="X100" s="115" t="s">
        <v>879</v>
      </c>
      <c r="Y100" s="116">
        <v>191200</v>
      </c>
      <c r="Z100" s="116">
        <v>158000</v>
      </c>
      <c r="AA100" s="213"/>
      <c r="AB100" s="213"/>
      <c r="AC100" s="213"/>
      <c r="AD100" s="213"/>
      <c r="AE100" s="213"/>
      <c r="AF100" s="214" t="s">
        <v>889</v>
      </c>
    </row>
    <row r="101" spans="3:32" ht="17.399999999999999">
      <c r="V101" s="119" t="s">
        <v>933</v>
      </c>
      <c r="W101" s="212" t="s">
        <v>1162</v>
      </c>
      <c r="X101" s="115" t="s">
        <v>879</v>
      </c>
      <c r="Y101" s="116">
        <v>173000</v>
      </c>
      <c r="Z101" s="116">
        <v>54000</v>
      </c>
      <c r="AA101" s="213"/>
      <c r="AB101" s="213"/>
      <c r="AC101" s="213"/>
      <c r="AD101" s="213"/>
      <c r="AE101" s="213"/>
      <c r="AF101" s="214" t="s">
        <v>889</v>
      </c>
    </row>
    <row r="102" spans="3:32" ht="17.399999999999999">
      <c r="V102" s="119" t="s">
        <v>933</v>
      </c>
      <c r="W102" s="212" t="s">
        <v>1163</v>
      </c>
      <c r="X102" s="115" t="s">
        <v>879</v>
      </c>
      <c r="Y102" s="116">
        <v>175600</v>
      </c>
      <c r="Z102" s="116">
        <v>79000</v>
      </c>
      <c r="AA102" s="213"/>
      <c r="AB102" s="213"/>
      <c r="AC102" s="213"/>
      <c r="AD102" s="213"/>
      <c r="AE102" s="213"/>
      <c r="AF102" s="214" t="s">
        <v>889</v>
      </c>
    </row>
    <row r="103" spans="3:32" ht="18" thickBot="1">
      <c r="V103" s="132" t="s">
        <v>935</v>
      </c>
      <c r="W103" s="202" t="s">
        <v>1164</v>
      </c>
      <c r="X103" s="133" t="s">
        <v>888</v>
      </c>
      <c r="Y103" s="134">
        <v>16000</v>
      </c>
      <c r="Z103" s="134">
        <v>133600</v>
      </c>
      <c r="AA103" s="203"/>
      <c r="AB103" s="203"/>
      <c r="AC103" s="203"/>
      <c r="AD103" s="203"/>
      <c r="AE103" s="203"/>
      <c r="AF103" s="195" t="s">
        <v>889</v>
      </c>
    </row>
    <row r="104" spans="3:32" ht="14.4">
      <c r="V104" s="331" t="s">
        <v>937</v>
      </c>
      <c r="W104" s="437" t="s">
        <v>1165</v>
      </c>
      <c r="X104" s="328" t="s">
        <v>879</v>
      </c>
      <c r="Y104" s="198" t="s">
        <v>939</v>
      </c>
      <c r="Z104" s="198">
        <v>316</v>
      </c>
      <c r="AA104" s="198">
        <v>304</v>
      </c>
      <c r="AB104" s="199"/>
      <c r="AC104" s="199"/>
      <c r="AD104" s="199"/>
      <c r="AE104" s="199"/>
      <c r="AF104" s="347" t="s">
        <v>940</v>
      </c>
    </row>
    <row r="105" spans="3:32" ht="15" thickBot="1">
      <c r="V105" s="329"/>
      <c r="W105" s="438"/>
      <c r="X105" s="327"/>
      <c r="Y105" s="126">
        <v>91540</v>
      </c>
      <c r="Z105" s="126">
        <v>429440</v>
      </c>
      <c r="AA105" s="126">
        <v>332500</v>
      </c>
      <c r="AB105" s="200"/>
      <c r="AC105" s="200"/>
      <c r="AD105" s="200"/>
      <c r="AE105" s="200"/>
      <c r="AF105" s="348"/>
    </row>
    <row r="106" spans="3:32" ht="14.4">
      <c r="V106" s="336" t="s">
        <v>985</v>
      </c>
      <c r="W106" s="435" t="s">
        <v>1127</v>
      </c>
      <c r="X106" s="111" t="s">
        <v>986</v>
      </c>
      <c r="Y106" s="111" t="s">
        <v>987</v>
      </c>
      <c r="Z106" s="111" t="s">
        <v>988</v>
      </c>
      <c r="AA106" s="111" t="s">
        <v>989</v>
      </c>
      <c r="AB106" s="111" t="s">
        <v>990</v>
      </c>
      <c r="AC106" s="201"/>
      <c r="AD106" s="201"/>
      <c r="AE106" s="201"/>
      <c r="AF106" s="347" t="s">
        <v>991</v>
      </c>
    </row>
    <row r="107" spans="3:32" ht="15" thickBot="1">
      <c r="V107" s="342"/>
      <c r="W107" s="436"/>
      <c r="X107" s="221">
        <v>140</v>
      </c>
      <c r="Y107" s="433" t="s">
        <v>870</v>
      </c>
      <c r="Z107" s="434"/>
      <c r="AA107" s="134">
        <v>90000</v>
      </c>
      <c r="AB107" s="134">
        <v>120000</v>
      </c>
      <c r="AC107" s="203"/>
      <c r="AD107" s="203"/>
      <c r="AE107" s="203"/>
      <c r="AF107" s="348"/>
    </row>
  </sheetData>
  <mergeCells count="56">
    <mergeCell ref="A67:F67"/>
    <mergeCell ref="A68:F68"/>
    <mergeCell ref="A69:G70"/>
    <mergeCell ref="A8:A61"/>
    <mergeCell ref="A62:F62"/>
    <mergeCell ref="A63:F63"/>
    <mergeCell ref="A64:F64"/>
    <mergeCell ref="A65:F65"/>
    <mergeCell ref="A66:F66"/>
    <mergeCell ref="T3:T7"/>
    <mergeCell ref="A5:B7"/>
    <mergeCell ref="C5:C7"/>
    <mergeCell ref="D5:D7"/>
    <mergeCell ref="E5:G6"/>
    <mergeCell ref="H5:H6"/>
    <mergeCell ref="I5:Q5"/>
    <mergeCell ref="R5:R7"/>
    <mergeCell ref="S5:S7"/>
    <mergeCell ref="A1:S1"/>
    <mergeCell ref="A3:B4"/>
    <mergeCell ref="C3:C4"/>
    <mergeCell ref="D3:D4"/>
    <mergeCell ref="E3:E4"/>
    <mergeCell ref="F3:F4"/>
    <mergeCell ref="G3:G4"/>
    <mergeCell ref="H3:Q4"/>
    <mergeCell ref="R3:R4"/>
    <mergeCell ref="S3:S4"/>
    <mergeCell ref="Y72:AE72"/>
    <mergeCell ref="V73:V74"/>
    <mergeCell ref="Y73:AE73"/>
    <mergeCell ref="Y74:AE74"/>
    <mergeCell ref="Y75:AE75"/>
    <mergeCell ref="X83:X84"/>
    <mergeCell ref="V76:V77"/>
    <mergeCell ref="X76:AE76"/>
    <mergeCell ref="X77:AE77"/>
    <mergeCell ref="V78:V79"/>
    <mergeCell ref="W78:W79"/>
    <mergeCell ref="X78:X79"/>
    <mergeCell ref="V3:V7"/>
    <mergeCell ref="AF104:AF105"/>
    <mergeCell ref="V106:V107"/>
    <mergeCell ref="W106:W107"/>
    <mergeCell ref="AF106:AF107"/>
    <mergeCell ref="Y107:Z107"/>
    <mergeCell ref="V87:X87"/>
    <mergeCell ref="V95:X95"/>
    <mergeCell ref="V104:V105"/>
    <mergeCell ref="W104:W105"/>
    <mergeCell ref="X104:X105"/>
    <mergeCell ref="V81:V82"/>
    <mergeCell ref="W81:W82"/>
    <mergeCell ref="X81:X82"/>
    <mergeCell ref="V83:V84"/>
    <mergeCell ref="W83:W84"/>
  </mergeCells>
  <phoneticPr fontId="3" type="noConversion"/>
  <printOptions horizontalCentered="1"/>
  <pageMargins left="0.39370078740157483" right="0.39370078740157483" top="0.39370078740157483" bottom="0.15748031496062992" header="0.51181102362204722" footer="0.51181102362204722"/>
  <pageSetup paperSize="9" scale="45" orientation="portrait" r:id="rId1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20</vt:i4>
      </vt:variant>
      <vt:variant>
        <vt:lpstr>이름 지정된 범위</vt:lpstr>
      </vt:variant>
      <vt:variant>
        <vt:i4>19</vt:i4>
      </vt:variant>
    </vt:vector>
  </HeadingPairs>
  <TitlesOfParts>
    <vt:vector size="39" baseType="lpstr">
      <vt:lpstr>COVER</vt:lpstr>
      <vt:lpstr>주조단가</vt:lpstr>
      <vt:lpstr>80-300LB</vt:lpstr>
      <vt:lpstr>100-300LB</vt:lpstr>
      <vt:lpstr>150-300LB</vt:lpstr>
      <vt:lpstr>200-300LB</vt:lpstr>
      <vt:lpstr>250-300LB</vt:lpstr>
      <vt:lpstr>300-300LB</vt:lpstr>
      <vt:lpstr>350-300LB</vt:lpstr>
      <vt:lpstr>400-300LB</vt:lpstr>
      <vt:lpstr>450-300LB</vt:lpstr>
      <vt:lpstr>500-300LB</vt:lpstr>
      <vt:lpstr>600-300LB</vt:lpstr>
      <vt:lpstr>750-300LB</vt:lpstr>
      <vt:lpstr>800-300LB </vt:lpstr>
      <vt:lpstr>900-300LB</vt:lpstr>
      <vt:lpstr>1000-300LB</vt:lpstr>
      <vt:lpstr>1050-300LB</vt:lpstr>
      <vt:lpstr>1200-300LB</vt:lpstr>
      <vt:lpstr>1400-300LB</vt:lpstr>
      <vt:lpstr>'1000-300LB'!Print_Area</vt:lpstr>
      <vt:lpstr>'100-300LB'!Print_Area</vt:lpstr>
      <vt:lpstr>'1050-300LB'!Print_Area</vt:lpstr>
      <vt:lpstr>'1200-300LB'!Print_Area</vt:lpstr>
      <vt:lpstr>'1400-300LB'!Print_Area</vt:lpstr>
      <vt:lpstr>'150-300LB'!Print_Area</vt:lpstr>
      <vt:lpstr>'200-300LB'!Print_Area</vt:lpstr>
      <vt:lpstr>'250-300LB'!Print_Area</vt:lpstr>
      <vt:lpstr>'300-300LB'!Print_Area</vt:lpstr>
      <vt:lpstr>'350-300LB'!Print_Area</vt:lpstr>
      <vt:lpstr>'400-300LB'!Print_Area</vt:lpstr>
      <vt:lpstr>'450-300LB'!Print_Area</vt:lpstr>
      <vt:lpstr>'500-300LB'!Print_Area</vt:lpstr>
      <vt:lpstr>'600-300LB'!Print_Area</vt:lpstr>
      <vt:lpstr>'750-300LB'!Print_Area</vt:lpstr>
      <vt:lpstr>'800-300LB '!Print_Area</vt:lpstr>
      <vt:lpstr>'80-300LB'!Print_Area</vt:lpstr>
      <vt:lpstr>'900-300LB'!Print_Area</vt:lpstr>
      <vt:lpstr>주조단가!Print_Area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곽준영</dc:creator>
  <cp:lastModifiedBy>오석영</cp:lastModifiedBy>
  <cp:lastPrinted>2019-07-11T01:51:07Z</cp:lastPrinted>
  <dcterms:created xsi:type="dcterms:W3CDTF">2019-02-21T09:11:06Z</dcterms:created>
  <dcterms:modified xsi:type="dcterms:W3CDTF">2023-12-13T09:47:18Z</dcterms:modified>
</cp:coreProperties>
</file>