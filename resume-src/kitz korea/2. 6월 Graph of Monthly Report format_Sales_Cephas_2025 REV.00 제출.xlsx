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2.215\02.영업부\02.영업업무\05.영업 관리\2. 월 보고 (월별 수주, 매출 현황, 수금예상, 수불)\2025년 월보고\2025년 6월\제출용\"/>
    </mc:Choice>
  </mc:AlternateContent>
  <xr:revisionPtr revIDLastSave="0" documentId="13_ncr:1_{7DBB9470-BE88-4B55-9386-ADE1C201FC2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rder" sheetId="2" r:id="rId1"/>
    <sheet name="Sales" sheetId="11" r:id="rId2"/>
    <sheet name="Profit" sheetId="9" r:id="rId3"/>
  </sheets>
  <definedNames>
    <definedName name="_xlnm.Print_Area" localSheetId="0">Order!$A$1:$X$46</definedName>
    <definedName name="_xlnm.Print_Area" localSheetId="2">Profit!$A$1:$X$46</definedName>
    <definedName name="_xlnm.Print_Area" localSheetId="1">Sales!$A$1:$U$49</definedName>
  </definedNames>
  <calcPr calcId="191029"/>
</workbook>
</file>

<file path=xl/calcChain.xml><?xml version="1.0" encoding="utf-8"?>
<calcChain xmlns="http://schemas.openxmlformats.org/spreadsheetml/2006/main">
  <c r="Q32" i="11" l="1"/>
  <c r="Q39" i="11"/>
  <c r="D47" i="11"/>
  <c r="E47" i="11" s="1"/>
  <c r="F47" i="11" s="1"/>
  <c r="G47" i="11" s="1"/>
  <c r="H47" i="11" s="1"/>
  <c r="I47" i="11" s="1"/>
  <c r="J47" i="11" s="1"/>
  <c r="K47" i="11" s="1"/>
  <c r="L47" i="11" s="1"/>
  <c r="M47" i="11" s="1"/>
  <c r="N47" i="11" s="1"/>
  <c r="O47" i="11" s="1"/>
  <c r="Q32" i="2" l="1"/>
  <c r="Q47" i="11" l="1"/>
  <c r="J37" i="11" l="1"/>
  <c r="J38" i="11"/>
  <c r="K38" i="11"/>
  <c r="Q33" i="11" l="1"/>
  <c r="O37" i="11" l="1"/>
  <c r="N37" i="11"/>
  <c r="M37" i="11"/>
  <c r="L37" i="11"/>
  <c r="K37" i="11"/>
  <c r="I37" i="11"/>
  <c r="H37" i="11"/>
  <c r="G37" i="11"/>
  <c r="F37" i="11"/>
  <c r="E37" i="11"/>
  <c r="D37" i="11"/>
  <c r="C32" i="11" l="1"/>
  <c r="R35" i="11" l="1"/>
  <c r="T35" i="11" l="1"/>
  <c r="S35" i="11"/>
  <c r="Q35" i="11"/>
  <c r="S36" i="2"/>
  <c r="R36" i="2"/>
  <c r="Q36" i="2"/>
  <c r="R39" i="11"/>
  <c r="T36" i="2"/>
  <c r="T34" i="2"/>
  <c r="S34" i="2"/>
  <c r="R34" i="2"/>
  <c r="Q34" i="2"/>
  <c r="T33" i="2"/>
  <c r="S33" i="2"/>
  <c r="R33" i="2"/>
  <c r="Q33" i="2"/>
  <c r="T32" i="2"/>
  <c r="S32" i="2"/>
  <c r="R32" i="2"/>
  <c r="T39" i="11"/>
  <c r="S39" i="11"/>
  <c r="S33" i="11" l="1"/>
  <c r="R33" i="11"/>
  <c r="T32" i="11"/>
  <c r="S32" i="11"/>
  <c r="R32" i="11"/>
  <c r="T37" i="11" l="1"/>
  <c r="T33" i="11" l="1"/>
  <c r="Q37" i="11" l="1"/>
  <c r="F38" i="11"/>
  <c r="S37" i="11" l="1"/>
  <c r="D46" i="11"/>
  <c r="E46" i="11" s="1"/>
  <c r="F46" i="11" s="1"/>
  <c r="D45" i="11"/>
  <c r="E45" i="11" s="1"/>
  <c r="C45" i="11"/>
  <c r="R37" i="11" l="1"/>
  <c r="D41" i="11" l="1"/>
  <c r="D40" i="11"/>
  <c r="O38" i="11" l="1"/>
  <c r="N38" i="11"/>
  <c r="M38" i="11"/>
  <c r="L38" i="11"/>
  <c r="I38" i="11"/>
  <c r="H38" i="11"/>
  <c r="G38" i="11"/>
  <c r="E38" i="11"/>
  <c r="D38" i="11"/>
  <c r="C32" i="2"/>
  <c r="C42" i="2" s="1"/>
  <c r="D53" i="11"/>
  <c r="E53" i="11" s="1"/>
  <c r="F53" i="11" s="1"/>
  <c r="Z52" i="11"/>
  <c r="Y52" i="11"/>
  <c r="X52" i="11"/>
  <c r="X53" i="11" s="1"/>
  <c r="T52" i="11"/>
  <c r="S52" i="11"/>
  <c r="R52" i="11"/>
  <c r="Q52" i="11"/>
  <c r="Z49" i="11"/>
  <c r="Y49" i="11"/>
  <c r="X49" i="11"/>
  <c r="V49" i="11"/>
  <c r="Z48" i="11"/>
  <c r="Y48" i="11"/>
  <c r="X48" i="11"/>
  <c r="V48" i="11"/>
  <c r="V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Z41" i="11"/>
  <c r="Y41" i="11"/>
  <c r="X41" i="11"/>
  <c r="V41" i="11"/>
  <c r="O41" i="11"/>
  <c r="N41" i="11"/>
  <c r="M41" i="11"/>
  <c r="L41" i="11"/>
  <c r="K41" i="11"/>
  <c r="J41" i="11"/>
  <c r="I41" i="11"/>
  <c r="H41" i="11"/>
  <c r="G41" i="11"/>
  <c r="F41" i="11"/>
  <c r="E41" i="11"/>
  <c r="Z40" i="11"/>
  <c r="Y40" i="11"/>
  <c r="X40" i="11"/>
  <c r="V40" i="11"/>
  <c r="O40" i="11"/>
  <c r="N40" i="11"/>
  <c r="M40" i="11"/>
  <c r="L40" i="11"/>
  <c r="K40" i="11"/>
  <c r="I40" i="11"/>
  <c r="H40" i="11"/>
  <c r="G40" i="11"/>
  <c r="F40" i="11"/>
  <c r="E40" i="11"/>
  <c r="T41" i="11"/>
  <c r="S41" i="11"/>
  <c r="Q41" i="11"/>
  <c r="Q40" i="11"/>
  <c r="D50" i="9"/>
  <c r="E50" i="9" s="1"/>
  <c r="F50" i="9" s="1"/>
  <c r="X49" i="9"/>
  <c r="W49" i="9"/>
  <c r="V49" i="9"/>
  <c r="V50" i="9" s="1"/>
  <c r="T49" i="9"/>
  <c r="S49" i="9"/>
  <c r="R49" i="9"/>
  <c r="Q49" i="9"/>
  <c r="V44" i="9"/>
  <c r="D44" i="9"/>
  <c r="E44" i="9" s="1"/>
  <c r="V43" i="9"/>
  <c r="W43" i="9" s="1"/>
  <c r="D43" i="9"/>
  <c r="E43" i="9" s="1"/>
  <c r="F43" i="9" s="1"/>
  <c r="V42" i="9"/>
  <c r="W42" i="9" s="1"/>
  <c r="D42" i="9"/>
  <c r="E42" i="9" s="1"/>
  <c r="F42" i="9" s="1"/>
  <c r="O39" i="9"/>
  <c r="N39" i="9"/>
  <c r="M39" i="9"/>
  <c r="L39" i="9"/>
  <c r="K39" i="9"/>
  <c r="J39" i="9"/>
  <c r="I39" i="9"/>
  <c r="H39" i="9"/>
  <c r="G39" i="9"/>
  <c r="F39" i="9"/>
  <c r="E39" i="9"/>
  <c r="D39" i="9"/>
  <c r="X38" i="9"/>
  <c r="W38" i="9"/>
  <c r="V38" i="9"/>
  <c r="O38" i="9"/>
  <c r="N38" i="9"/>
  <c r="M38" i="9"/>
  <c r="L38" i="9"/>
  <c r="K38" i="9"/>
  <c r="J38" i="9"/>
  <c r="I38" i="9"/>
  <c r="H38" i="9"/>
  <c r="G38" i="9"/>
  <c r="F38" i="9"/>
  <c r="E38" i="9"/>
  <c r="D38" i="9"/>
  <c r="X37" i="9"/>
  <c r="W37" i="9"/>
  <c r="V37" i="9"/>
  <c r="O37" i="9"/>
  <c r="N37" i="9"/>
  <c r="M37" i="9"/>
  <c r="L37" i="9"/>
  <c r="K37" i="9"/>
  <c r="J37" i="9"/>
  <c r="I37" i="9"/>
  <c r="H37" i="9"/>
  <c r="G37" i="9"/>
  <c r="F37" i="9"/>
  <c r="E37" i="9"/>
  <c r="D37" i="9"/>
  <c r="T36" i="9"/>
  <c r="S36" i="9"/>
  <c r="R36" i="9"/>
  <c r="Q36" i="9"/>
  <c r="T33" i="9"/>
  <c r="S33" i="9"/>
  <c r="R33" i="9"/>
  <c r="R38" i="9" s="1"/>
  <c r="Q33" i="9"/>
  <c r="T32" i="9"/>
  <c r="S32" i="9"/>
  <c r="R32" i="9"/>
  <c r="R37" i="9" s="1"/>
  <c r="Q32" i="9"/>
  <c r="C42" i="9"/>
  <c r="O39" i="2"/>
  <c r="N39" i="2"/>
  <c r="M39" i="2"/>
  <c r="L39" i="2"/>
  <c r="K39" i="2"/>
  <c r="E38" i="2"/>
  <c r="J39" i="2"/>
  <c r="D43" i="2"/>
  <c r="E43" i="2" s="1"/>
  <c r="F43" i="2" s="1"/>
  <c r="R38" i="2"/>
  <c r="S38" i="2"/>
  <c r="T38" i="2"/>
  <c r="D37" i="2"/>
  <c r="E37" i="2"/>
  <c r="F37" i="2"/>
  <c r="G37" i="2"/>
  <c r="H37" i="2"/>
  <c r="I37" i="2"/>
  <c r="J37" i="2"/>
  <c r="K37" i="2"/>
  <c r="L37" i="2"/>
  <c r="M37" i="2"/>
  <c r="N37" i="2"/>
  <c r="O37" i="2"/>
  <c r="V37" i="2"/>
  <c r="W37" i="2"/>
  <c r="X37" i="2"/>
  <c r="F38" i="2"/>
  <c r="G38" i="2"/>
  <c r="I38" i="2"/>
  <c r="J38" i="2"/>
  <c r="K38" i="2"/>
  <c r="M38" i="2"/>
  <c r="N38" i="2"/>
  <c r="O38" i="2"/>
  <c r="V38" i="2"/>
  <c r="W38" i="2"/>
  <c r="X38" i="2"/>
  <c r="D39" i="2"/>
  <c r="E39" i="2"/>
  <c r="F39" i="2"/>
  <c r="G39" i="2"/>
  <c r="H39" i="2"/>
  <c r="I39" i="2"/>
  <c r="D42" i="2"/>
  <c r="E42" i="2" s="1"/>
  <c r="V42" i="2"/>
  <c r="W42" i="2" s="1"/>
  <c r="V43" i="2"/>
  <c r="W43" i="2" s="1"/>
  <c r="D44" i="2"/>
  <c r="V44" i="2"/>
  <c r="W44" i="2" s="1"/>
  <c r="X44" i="2" s="1"/>
  <c r="Q49" i="2"/>
  <c r="R49" i="2"/>
  <c r="S49" i="2"/>
  <c r="T49" i="2"/>
  <c r="V49" i="2"/>
  <c r="V50" i="2" s="1"/>
  <c r="W50" i="2" s="1"/>
  <c r="X50" i="2" s="1"/>
  <c r="W49" i="2"/>
  <c r="X49" i="2"/>
  <c r="D50" i="2"/>
  <c r="E50" i="2" s="1"/>
  <c r="F50" i="2" s="1"/>
  <c r="L38" i="2"/>
  <c r="H38" i="2"/>
  <c r="D38" i="2"/>
  <c r="W44" i="9"/>
  <c r="X44" i="9" s="1"/>
  <c r="D45" i="9"/>
  <c r="T40" i="11"/>
  <c r="Q38" i="11" l="1"/>
  <c r="R38" i="11"/>
  <c r="W45" i="2"/>
  <c r="V46" i="2"/>
  <c r="D46" i="9"/>
  <c r="Q38" i="9"/>
  <c r="S37" i="9"/>
  <c r="Q37" i="9"/>
  <c r="D46" i="2"/>
  <c r="D49" i="11"/>
  <c r="T38" i="11"/>
  <c r="S38" i="11"/>
  <c r="Q38" i="2"/>
  <c r="E44" i="2"/>
  <c r="E46" i="2" s="1"/>
  <c r="T37" i="2"/>
  <c r="G43" i="2"/>
  <c r="H43" i="2" s="1"/>
  <c r="I43" i="2" s="1"/>
  <c r="R43" i="2" s="1"/>
  <c r="Q43" i="2"/>
  <c r="V45" i="2"/>
  <c r="V45" i="9"/>
  <c r="W50" i="9"/>
  <c r="X50" i="9" s="1"/>
  <c r="S38" i="9"/>
  <c r="Y53" i="11"/>
  <c r="Z53" i="11" s="1"/>
  <c r="D48" i="11"/>
  <c r="D45" i="2"/>
  <c r="Q37" i="2"/>
  <c r="S40" i="11"/>
  <c r="S37" i="2"/>
  <c r="Q53" i="11"/>
  <c r="G53" i="11"/>
  <c r="H53" i="11" s="1"/>
  <c r="I53" i="11" s="1"/>
  <c r="F44" i="9"/>
  <c r="E46" i="9"/>
  <c r="E45" i="9"/>
  <c r="X43" i="2"/>
  <c r="X46" i="2" s="1"/>
  <c r="W46" i="2"/>
  <c r="F42" i="2"/>
  <c r="Q42" i="2" s="1"/>
  <c r="Q42" i="9"/>
  <c r="G42" i="9"/>
  <c r="H42" i="9" s="1"/>
  <c r="I42" i="9" s="1"/>
  <c r="G43" i="9"/>
  <c r="H43" i="9" s="1"/>
  <c r="I43" i="9" s="1"/>
  <c r="Q43" i="9"/>
  <c r="Q50" i="2"/>
  <c r="G50" i="2"/>
  <c r="H50" i="2" s="1"/>
  <c r="I50" i="2" s="1"/>
  <c r="W45" i="9"/>
  <c r="X42" i="9"/>
  <c r="X45" i="9" s="1"/>
  <c r="Q50" i="9"/>
  <c r="G50" i="9"/>
  <c r="H50" i="9" s="1"/>
  <c r="I50" i="9" s="1"/>
  <c r="F45" i="11"/>
  <c r="E48" i="11"/>
  <c r="X43" i="9"/>
  <c r="X46" i="9" s="1"/>
  <c r="W46" i="9"/>
  <c r="E49" i="11"/>
  <c r="V46" i="9"/>
  <c r="X42" i="2"/>
  <c r="X45" i="2" s="1"/>
  <c r="T37" i="9"/>
  <c r="R40" i="11"/>
  <c r="R41" i="11"/>
  <c r="R37" i="2"/>
  <c r="T38" i="9"/>
  <c r="J43" i="2" l="1"/>
  <c r="K43" i="2" s="1"/>
  <c r="L43" i="2" s="1"/>
  <c r="M43" i="2" s="1"/>
  <c r="N43" i="2" s="1"/>
  <c r="O43" i="2" s="1"/>
  <c r="T43" i="2" s="1"/>
  <c r="E45" i="2"/>
  <c r="F44" i="2"/>
  <c r="F45" i="2" s="1"/>
  <c r="G45" i="11"/>
  <c r="Q45" i="11"/>
  <c r="Q48" i="11" s="1"/>
  <c r="F48" i="11"/>
  <c r="Q44" i="9"/>
  <c r="F46" i="9"/>
  <c r="F45" i="9"/>
  <c r="G44" i="9"/>
  <c r="R50" i="9"/>
  <c r="J50" i="9"/>
  <c r="K50" i="9" s="1"/>
  <c r="L50" i="9" s="1"/>
  <c r="G42" i="2"/>
  <c r="R53" i="11"/>
  <c r="J53" i="11"/>
  <c r="K53" i="11" s="1"/>
  <c r="L53" i="11" s="1"/>
  <c r="Q46" i="11"/>
  <c r="Q49" i="11" s="1"/>
  <c r="F49" i="11"/>
  <c r="G46" i="11"/>
  <c r="R43" i="9"/>
  <c r="J43" i="9"/>
  <c r="K43" i="9" s="1"/>
  <c r="L43" i="9" s="1"/>
  <c r="R50" i="2"/>
  <c r="J50" i="2"/>
  <c r="K50" i="2" s="1"/>
  <c r="L50" i="2" s="1"/>
  <c r="R42" i="9"/>
  <c r="J42" i="9"/>
  <c r="K42" i="9" s="1"/>
  <c r="L42" i="9" s="1"/>
  <c r="S43" i="2" l="1"/>
  <c r="G44" i="2"/>
  <c r="G45" i="2" s="1"/>
  <c r="Q44" i="2"/>
  <c r="F46" i="2"/>
  <c r="H46" i="11"/>
  <c r="G49" i="11"/>
  <c r="R47" i="11"/>
  <c r="S42" i="9"/>
  <c r="M42" i="9"/>
  <c r="N42" i="9" s="1"/>
  <c r="O42" i="9" s="1"/>
  <c r="T42" i="9" s="1"/>
  <c r="M43" i="9"/>
  <c r="N43" i="9" s="1"/>
  <c r="O43" i="9" s="1"/>
  <c r="T43" i="9" s="1"/>
  <c r="S43" i="9"/>
  <c r="S53" i="11"/>
  <c r="M53" i="11"/>
  <c r="N53" i="11" s="1"/>
  <c r="O53" i="11" s="1"/>
  <c r="T53" i="11" s="1"/>
  <c r="Q45" i="9"/>
  <c r="Q46" i="9"/>
  <c r="M50" i="9"/>
  <c r="N50" i="9" s="1"/>
  <c r="O50" i="9" s="1"/>
  <c r="T50" i="9" s="1"/>
  <c r="S50" i="9"/>
  <c r="H42" i="2"/>
  <c r="S50" i="2"/>
  <c r="M50" i="2"/>
  <c r="N50" i="2" s="1"/>
  <c r="O50" i="2" s="1"/>
  <c r="T50" i="2" s="1"/>
  <c r="G45" i="9"/>
  <c r="H44" i="9"/>
  <c r="G46" i="9"/>
  <c r="H45" i="11"/>
  <c r="G48" i="11"/>
  <c r="Q46" i="2" l="1"/>
  <c r="Q45" i="2"/>
  <c r="H44" i="2"/>
  <c r="H45" i="2" s="1"/>
  <c r="G46" i="2"/>
  <c r="I42" i="2"/>
  <c r="R42" i="2" s="1"/>
  <c r="I45" i="11"/>
  <c r="H48" i="11"/>
  <c r="H45" i="9"/>
  <c r="H46" i="9"/>
  <c r="I44" i="9"/>
  <c r="I46" i="11"/>
  <c r="H49" i="11"/>
  <c r="I44" i="2" l="1"/>
  <c r="I45" i="2" s="1"/>
  <c r="H46" i="2"/>
  <c r="J45" i="11"/>
  <c r="R45" i="11"/>
  <c r="R48" i="11" s="1"/>
  <c r="I48" i="11"/>
  <c r="I46" i="9"/>
  <c r="I45" i="9"/>
  <c r="R44" i="9"/>
  <c r="J44" i="9"/>
  <c r="J46" i="11"/>
  <c r="R46" i="11"/>
  <c r="R49" i="11" s="1"/>
  <c r="I49" i="11"/>
  <c r="J42" i="2"/>
  <c r="J44" i="2" l="1"/>
  <c r="J45" i="2" s="1"/>
  <c r="R44" i="2"/>
  <c r="I46" i="2"/>
  <c r="K46" i="11"/>
  <c r="J49" i="11"/>
  <c r="J46" i="9"/>
  <c r="J45" i="9"/>
  <c r="K44" i="9"/>
  <c r="S47" i="11"/>
  <c r="R46" i="9"/>
  <c r="R45" i="9"/>
  <c r="K42" i="2"/>
  <c r="K45" i="11"/>
  <c r="J48" i="11"/>
  <c r="R46" i="2" l="1"/>
  <c r="R45" i="2"/>
  <c r="J46" i="2"/>
  <c r="K44" i="2"/>
  <c r="L42" i="2"/>
  <c r="K46" i="9"/>
  <c r="L44" i="9"/>
  <c r="K45" i="9"/>
  <c r="L45" i="11"/>
  <c r="K48" i="11"/>
  <c r="L46" i="11"/>
  <c r="K49" i="11"/>
  <c r="K46" i="2" l="1"/>
  <c r="L44" i="2"/>
  <c r="L45" i="2" s="1"/>
  <c r="K45" i="2"/>
  <c r="M42" i="2"/>
  <c r="N42" i="2" s="1"/>
  <c r="O42" i="2" s="1"/>
  <c r="T42" i="2" s="1"/>
  <c r="S42" i="2"/>
  <c r="M45" i="11"/>
  <c r="S45" i="11"/>
  <c r="S48" i="11" s="1"/>
  <c r="L48" i="11"/>
  <c r="M46" i="11"/>
  <c r="S46" i="11"/>
  <c r="S49" i="11" s="1"/>
  <c r="L49" i="11"/>
  <c r="M44" i="9"/>
  <c r="L45" i="9"/>
  <c r="L46" i="9"/>
  <c r="S44" i="9"/>
  <c r="S44" i="2" l="1"/>
  <c r="S46" i="2" s="1"/>
  <c r="L46" i="2"/>
  <c r="M44" i="2"/>
  <c r="M45" i="9"/>
  <c r="M46" i="9"/>
  <c r="N44" i="9"/>
  <c r="T47" i="11"/>
  <c r="S45" i="9"/>
  <c r="S46" i="9"/>
  <c r="N46" i="11"/>
  <c r="M49" i="11"/>
  <c r="N45" i="11"/>
  <c r="M48" i="11"/>
  <c r="N44" i="2" l="1"/>
  <c r="N45" i="2" s="1"/>
  <c r="M46" i="2"/>
  <c r="M45" i="2"/>
  <c r="S45" i="2"/>
  <c r="O46" i="11"/>
  <c r="N49" i="11"/>
  <c r="N45" i="9"/>
  <c r="N46" i="9"/>
  <c r="O44" i="9"/>
  <c r="O45" i="11"/>
  <c r="N48" i="11"/>
  <c r="O44" i="2" l="1"/>
  <c r="O45" i="2" s="1"/>
  <c r="N46" i="2"/>
  <c r="T45" i="11"/>
  <c r="T48" i="11" s="1"/>
  <c r="O48" i="11"/>
  <c r="O45" i="9"/>
  <c r="O46" i="9"/>
  <c r="T44" i="9"/>
  <c r="T46" i="11"/>
  <c r="T49" i="11" s="1"/>
  <c r="O49" i="11"/>
  <c r="T44" i="2" l="1"/>
  <c r="O46" i="2"/>
  <c r="T46" i="9"/>
  <c r="T45" i="9"/>
  <c r="T46" i="2" l="1"/>
  <c r="T45" i="2"/>
</calcChain>
</file>

<file path=xl/sharedStrings.xml><?xml version="1.0" encoding="utf-8"?>
<sst xmlns="http://schemas.openxmlformats.org/spreadsheetml/2006/main" count="185" uniqueCount="55">
  <si>
    <t>５月</t>
  </si>
  <si>
    <t>６月</t>
  </si>
  <si>
    <t>３月</t>
  </si>
  <si>
    <t>４月</t>
    <rPh sb="1" eb="2">
      <t>ツキ</t>
    </rPh>
    <phoneticPr fontId="2"/>
  </si>
  <si>
    <t>Monthly</t>
    <phoneticPr fontId="3"/>
  </si>
  <si>
    <r>
      <rPr>
        <sz val="11"/>
        <color indexed="8"/>
        <rFont val="ＭＳ Ｐゴシック"/>
        <family val="3"/>
        <charset val="128"/>
      </rPr>
      <t>４月</t>
    </r>
    <rPh sb="1" eb="2">
      <t>ツキ</t>
    </rPh>
    <phoneticPr fontId="3"/>
  </si>
  <si>
    <r>
      <rPr>
        <sz val="11"/>
        <color indexed="8"/>
        <rFont val="ＭＳ Ｐゴシック"/>
        <family val="3"/>
        <charset val="128"/>
      </rPr>
      <t>５月</t>
    </r>
  </si>
  <si>
    <r>
      <rPr>
        <sz val="11"/>
        <color indexed="8"/>
        <rFont val="ＭＳ Ｐゴシック"/>
        <family val="3"/>
        <charset val="128"/>
      </rPr>
      <t>６月</t>
    </r>
  </si>
  <si>
    <t>Jan</t>
    <phoneticPr fontId="3"/>
  </si>
  <si>
    <t>Feb</t>
    <phoneticPr fontId="4"/>
  </si>
  <si>
    <t>Mar</t>
    <phoneticPr fontId="4"/>
  </si>
  <si>
    <t>May</t>
    <phoneticPr fontId="4"/>
  </si>
  <si>
    <t>Jun</t>
    <phoneticPr fontId="4"/>
  </si>
  <si>
    <t>Jul</t>
    <phoneticPr fontId="4"/>
  </si>
  <si>
    <t>Sep</t>
    <phoneticPr fontId="4"/>
  </si>
  <si>
    <t>Oct</t>
    <phoneticPr fontId="4"/>
  </si>
  <si>
    <t>Nov</t>
    <phoneticPr fontId="4"/>
  </si>
  <si>
    <t>Dec</t>
    <phoneticPr fontId="4"/>
  </si>
  <si>
    <t>Previous year results</t>
    <phoneticPr fontId="3"/>
  </si>
  <si>
    <t>Last month forecast</t>
    <phoneticPr fontId="3"/>
  </si>
  <si>
    <t>Year over year</t>
  </si>
  <si>
    <t>Year over year</t>
    <phoneticPr fontId="3"/>
  </si>
  <si>
    <t>NIGIRI Plan</t>
    <phoneticPr fontId="2"/>
  </si>
  <si>
    <t>Monthly average of previous year</t>
    <phoneticPr fontId="3"/>
  </si>
  <si>
    <t>Apr</t>
    <phoneticPr fontId="4"/>
  </si>
  <si>
    <t>Aug</t>
    <phoneticPr fontId="4"/>
  </si>
  <si>
    <t>Ratio of plan for the month</t>
    <phoneticPr fontId="3"/>
  </si>
  <si>
    <t>Cumulative</t>
    <phoneticPr fontId="3"/>
  </si>
  <si>
    <t>Ratio of NIGIRI plan</t>
    <phoneticPr fontId="3"/>
  </si>
  <si>
    <t>Actual / (The beginning of the month plan)</t>
    <phoneticPr fontId="3"/>
  </si>
  <si>
    <t>Actual / (Forecast)</t>
    <phoneticPr fontId="3"/>
  </si>
  <si>
    <t>1/6 plan</t>
    <phoneticPr fontId="2"/>
  </si>
  <si>
    <t>1/6 plan</t>
    <phoneticPr fontId="3"/>
  </si>
  <si>
    <t>1stQ</t>
    <phoneticPr fontId="3"/>
  </si>
  <si>
    <t>2ndQ</t>
    <phoneticPr fontId="3"/>
  </si>
  <si>
    <t>3rdQ</t>
    <phoneticPr fontId="3"/>
  </si>
  <si>
    <t>4thQ</t>
    <phoneticPr fontId="3"/>
  </si>
  <si>
    <t>Cephas Profit 2019</t>
    <phoneticPr fontId="2"/>
  </si>
  <si>
    <t>2次締</t>
    <rPh sb="1" eb="2">
      <t>ジ</t>
    </rPh>
    <rPh sb="2" eb="3">
      <t>ジ</t>
    </rPh>
    <phoneticPr fontId="2"/>
  </si>
  <si>
    <t>注残は1次締ベース</t>
    <rPh sb="0" eb="2">
      <t>チュウザン</t>
    </rPh>
    <rPh sb="4" eb="5">
      <t>ジ</t>
    </rPh>
    <rPh sb="5" eb="6">
      <t>ジ</t>
    </rPh>
    <phoneticPr fontId="2"/>
  </si>
  <si>
    <t>1stQ</t>
  </si>
  <si>
    <t>2ndQ</t>
  </si>
  <si>
    <t>3rdQ</t>
  </si>
  <si>
    <t>4thQ</t>
  </si>
  <si>
    <t>Order Backlog</t>
    <phoneticPr fontId="3"/>
  </si>
  <si>
    <t>Order backlog</t>
    <phoneticPr fontId="3"/>
  </si>
  <si>
    <r>
      <rPr>
        <sz val="11"/>
        <color indexed="8"/>
        <rFont val="Arial"/>
        <family val="2"/>
      </rPr>
      <t>Unit</t>
    </r>
    <r>
      <rPr>
        <sz val="11"/>
        <color indexed="8"/>
        <rFont val="ＭＳ Ｐゴシック"/>
        <family val="3"/>
        <charset val="128"/>
      </rPr>
      <t>：</t>
    </r>
    <r>
      <rPr>
        <sz val="11"/>
        <color indexed="8"/>
        <rFont val="Arial"/>
        <family val="2"/>
      </rPr>
      <t>B KRW</t>
    </r>
    <phoneticPr fontId="3"/>
  </si>
  <si>
    <r>
      <t>Unit</t>
    </r>
    <r>
      <rPr>
        <sz val="11"/>
        <color indexed="8"/>
        <rFont val="ＭＳ Ｐゴシック"/>
        <family val="3"/>
        <charset val="128"/>
      </rPr>
      <t>：</t>
    </r>
    <r>
      <rPr>
        <sz val="11"/>
        <color indexed="8"/>
        <rFont val="Arial"/>
        <family val="2"/>
      </rPr>
      <t>B KRW</t>
    </r>
    <phoneticPr fontId="3"/>
  </si>
  <si>
    <r>
      <t>A</t>
    </r>
    <r>
      <rPr>
        <sz val="11"/>
        <rFont val="Yu Gothic"/>
        <family val="3"/>
        <charset val="128"/>
      </rPr>
      <t>：</t>
    </r>
    <r>
      <rPr>
        <sz val="11"/>
        <rFont val="Arial"/>
        <family val="2"/>
      </rPr>
      <t>Order backlog</t>
    </r>
    <phoneticPr fontId="2"/>
  </si>
  <si>
    <r>
      <t>B</t>
    </r>
    <r>
      <rPr>
        <sz val="11"/>
        <color indexed="8"/>
        <rFont val="Yu Gothic"/>
        <family val="3"/>
        <charset val="128"/>
      </rPr>
      <t>：</t>
    </r>
    <r>
      <rPr>
        <sz val="11"/>
        <color indexed="8"/>
        <rFont val="Arial"/>
        <family val="2"/>
      </rPr>
      <t>Sales forecast for order</t>
    </r>
    <phoneticPr fontId="2"/>
  </si>
  <si>
    <t>Shipment delay</t>
    <phoneticPr fontId="7"/>
  </si>
  <si>
    <t>Sales forecast (A+B)</t>
    <phoneticPr fontId="7"/>
  </si>
  <si>
    <t xml:space="preserve"> </t>
    <phoneticPr fontId="7"/>
  </si>
  <si>
    <t>Cephas/Sales Amount 2025</t>
    <phoneticPr fontId="2"/>
  </si>
  <si>
    <t>Cephas/Order Amount 2025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</si>
</sst>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\(0.0\)"/>
    <numFmt numFmtId="178" formatCode="0.0%"/>
    <numFmt numFmtId="179" formatCode="#,##0.0_ "/>
    <numFmt numFmtId="180" formatCode="0.0_);\(0.0\)"/>
    <numFmt numFmtId="181" formatCode="0.0_);[Red]\(0.0\)"/>
    <numFmt numFmtId="182" formatCode="#,##0.0_);\(#,##0.0\)"/>
    <numFmt numFmtId="183" formatCode="0.00_);[Red]\(0.00\)"/>
  </numFmts>
  <fonts count="28">
    <font>
      <sz val="11"/>
      <color theme="1"/>
      <name val="맑은 고딕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Yu Gothic"/>
      <family val="3"/>
      <charset val="128"/>
    </font>
    <font>
      <sz val="11"/>
      <color indexed="8"/>
      <name val="Yu Gothic"/>
      <family val="3"/>
      <charset val="128"/>
    </font>
    <font>
      <sz val="11"/>
      <color theme="1"/>
      <name val="맑은 고딕"/>
      <family val="3"/>
      <charset val="128"/>
      <scheme val="minor"/>
    </font>
    <font>
      <i/>
      <sz val="11"/>
      <color theme="1"/>
      <name val="ＭＳ Ｐ明朝"/>
      <family val="1"/>
      <charset val="128"/>
    </font>
    <font>
      <sz val="12"/>
      <color theme="1"/>
      <name val="맑은 고딕"/>
      <family val="3"/>
      <charset val="128"/>
      <scheme val="minor"/>
    </font>
    <font>
      <sz val="18"/>
      <color theme="1"/>
      <name val="맑은 고딕"/>
      <family val="3"/>
      <charset val="128"/>
      <scheme val="minor"/>
    </font>
    <font>
      <sz val="11"/>
      <name val="맑은 고딕"/>
      <family val="3"/>
      <charset val="128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i/>
      <sz val="11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29"/>
    </font>
    <font>
      <sz val="11"/>
      <color indexed="8"/>
      <name val="ＭＳ Ｐゴシック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2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FF0000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/>
      <top style="medium">
        <color rgb="FFFF0000"/>
      </top>
      <bottom/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 style="medium">
        <color rgb="FFFF0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/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/>
      <right style="hair">
        <color indexed="64"/>
      </right>
      <top style="hair">
        <color indexed="64"/>
      </top>
      <bottom style="medium">
        <color rgb="FFFF0000"/>
      </bottom>
      <diagonal/>
    </border>
    <border>
      <left/>
      <right/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8" fontId="12" fillId="0" borderId="4" xfId="1" applyNumberFormat="1" applyFont="1" applyBorder="1">
      <alignment vertical="center"/>
    </xf>
    <xf numFmtId="178" fontId="12" fillId="0" borderId="3" xfId="1" applyNumberFormat="1" applyFont="1" applyBorder="1">
      <alignment vertical="center"/>
    </xf>
    <xf numFmtId="178" fontId="12" fillId="0" borderId="6" xfId="1" applyNumberFormat="1" applyFont="1" applyBorder="1">
      <alignment vertical="center"/>
    </xf>
    <xf numFmtId="178" fontId="12" fillId="0" borderId="5" xfId="1" applyNumberFormat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7" fontId="0" fillId="2" borderId="1" xfId="0" applyNumberFormat="1" applyFill="1" applyBorder="1">
      <alignment vertical="center"/>
    </xf>
    <xf numFmtId="178" fontId="12" fillId="0" borderId="13" xfId="1" applyNumberFormat="1" applyFont="1" applyBorder="1">
      <alignment vertical="center"/>
    </xf>
    <xf numFmtId="178" fontId="12" fillId="0" borderId="14" xfId="1" applyNumberFormat="1" applyFont="1" applyBorder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8" fontId="12" fillId="0" borderId="15" xfId="1" applyNumberFormat="1" applyFont="1" applyBorder="1">
      <alignment vertical="center"/>
    </xf>
    <xf numFmtId="178" fontId="12" fillId="0" borderId="16" xfId="1" applyNumberFormat="1" applyFont="1" applyBorder="1">
      <alignment vertical="center"/>
    </xf>
    <xf numFmtId="0" fontId="0" fillId="0" borderId="17" xfId="0" applyBorder="1">
      <alignment vertical="center"/>
    </xf>
    <xf numFmtId="177" fontId="15" fillId="3" borderId="1" xfId="0" applyNumberFormat="1" applyFont="1" applyFill="1" applyBorder="1">
      <alignment vertical="center"/>
    </xf>
    <xf numFmtId="0" fontId="0" fillId="0" borderId="18" xfId="0" applyBorder="1" applyAlignment="1">
      <alignment horizontal="center"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8" fontId="12" fillId="0" borderId="20" xfId="1" applyNumberFormat="1" applyFont="1" applyBorder="1">
      <alignment vertical="center"/>
    </xf>
    <xf numFmtId="176" fontId="0" fillId="0" borderId="21" xfId="0" applyNumberFormat="1" applyBorder="1">
      <alignment vertical="center"/>
    </xf>
    <xf numFmtId="177" fontId="15" fillId="3" borderId="18" xfId="0" applyNumberFormat="1" applyFont="1" applyFill="1" applyBorder="1">
      <alignment vertical="center"/>
    </xf>
    <xf numFmtId="178" fontId="12" fillId="0" borderId="19" xfId="1" applyNumberFormat="1" applyFont="1" applyBorder="1">
      <alignment vertical="center"/>
    </xf>
    <xf numFmtId="0" fontId="0" fillId="0" borderId="22" xfId="0" applyBorder="1" applyAlignment="1">
      <alignment horizontal="center" vertical="center"/>
    </xf>
    <xf numFmtId="177" fontId="0" fillId="2" borderId="18" xfId="0" applyNumberFormat="1" applyFill="1" applyBorder="1">
      <alignment vertical="center"/>
    </xf>
    <xf numFmtId="176" fontId="0" fillId="0" borderId="23" xfId="0" applyNumberFormat="1" applyBorder="1">
      <alignment vertical="center"/>
    </xf>
    <xf numFmtId="177" fontId="15" fillId="3" borderId="2" xfId="0" applyNumberFormat="1" applyFont="1" applyFill="1" applyBorder="1">
      <alignment vertical="center"/>
    </xf>
    <xf numFmtId="177" fontId="0" fillId="2" borderId="2" xfId="0" applyNumberFormat="1" applyFill="1" applyBorder="1">
      <alignment vertical="center"/>
    </xf>
    <xf numFmtId="176" fontId="0" fillId="2" borderId="24" xfId="0" applyNumberFormat="1" applyFill="1" applyBorder="1">
      <alignment vertical="center"/>
    </xf>
    <xf numFmtId="0" fontId="0" fillId="4" borderId="0" xfId="0" applyFill="1">
      <alignment vertical="center"/>
    </xf>
    <xf numFmtId="181" fontId="0" fillId="0" borderId="17" xfId="0" applyNumberFormat="1" applyBorder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 applyAlignment="1">
      <alignment horizontal="center" vertical="center"/>
    </xf>
    <xf numFmtId="178" fontId="12" fillId="4" borderId="0" xfId="1" applyNumberFormat="1" applyFont="1" applyFill="1" applyBorder="1">
      <alignment vertical="center"/>
    </xf>
    <xf numFmtId="181" fontId="0" fillId="4" borderId="0" xfId="0" applyNumberFormat="1" applyFill="1" applyAlignment="1">
      <alignment horizontal="center" vertical="center"/>
    </xf>
    <xf numFmtId="181" fontId="0" fillId="4" borderId="0" xfId="0" applyNumberFormat="1" applyFill="1">
      <alignment vertical="center"/>
    </xf>
    <xf numFmtId="0" fontId="0" fillId="4" borderId="0" xfId="0" applyFill="1" applyAlignment="1">
      <alignment horizontal="center"/>
    </xf>
    <xf numFmtId="0" fontId="0" fillId="4" borderId="24" xfId="0" applyFill="1" applyBorder="1" applyAlignment="1">
      <alignment horizontal="center" vertical="center"/>
    </xf>
    <xf numFmtId="176" fontId="0" fillId="4" borderId="25" xfId="0" applyNumberFormat="1" applyFill="1" applyBorder="1">
      <alignment vertical="center"/>
    </xf>
    <xf numFmtId="176" fontId="0" fillId="4" borderId="26" xfId="0" applyNumberFormat="1" applyFill="1" applyBorder="1">
      <alignment vertical="center"/>
    </xf>
    <xf numFmtId="176" fontId="0" fillId="3" borderId="24" xfId="0" applyNumberFormat="1" applyFill="1" applyBorder="1">
      <alignment vertical="center"/>
    </xf>
    <xf numFmtId="178" fontId="12" fillId="4" borderId="25" xfId="1" applyNumberFormat="1" applyFont="1" applyFill="1" applyBorder="1">
      <alignment vertical="center"/>
    </xf>
    <xf numFmtId="178" fontId="12" fillId="4" borderId="26" xfId="1" applyNumberFormat="1" applyFont="1" applyFill="1" applyBorder="1">
      <alignment vertical="center"/>
    </xf>
    <xf numFmtId="178" fontId="12" fillId="0" borderId="27" xfId="1" applyNumberFormat="1" applyFont="1" applyBorder="1">
      <alignment vertical="center"/>
    </xf>
    <xf numFmtId="181" fontId="0" fillId="4" borderId="28" xfId="0" applyNumberFormat="1" applyFill="1" applyBorder="1" applyAlignment="1">
      <alignment horizontal="center" vertical="center"/>
    </xf>
    <xf numFmtId="181" fontId="0" fillId="4" borderId="29" xfId="0" applyNumberFormat="1" applyFill="1" applyBorder="1">
      <alignment vertical="center"/>
    </xf>
    <xf numFmtId="181" fontId="0" fillId="4" borderId="26" xfId="0" applyNumberFormat="1" applyFill="1" applyBorder="1">
      <alignment vertical="center"/>
    </xf>
    <xf numFmtId="178" fontId="12" fillId="4" borderId="27" xfId="1" applyNumberFormat="1" applyFont="1" applyFill="1" applyBorder="1">
      <alignment vertical="center"/>
    </xf>
    <xf numFmtId="176" fontId="0" fillId="5" borderId="27" xfId="0" applyNumberFormat="1" applyFill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3" borderId="30" xfId="0" applyFont="1" applyFill="1" applyBorder="1">
      <alignment vertical="center"/>
    </xf>
    <xf numFmtId="0" fontId="19" fillId="0" borderId="2" xfId="0" applyFont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32" xfId="0" applyFont="1" applyBorder="1">
      <alignment vertical="center"/>
    </xf>
    <xf numFmtId="176" fontId="16" fillId="0" borderId="3" xfId="0" applyNumberFormat="1" applyFont="1" applyBorder="1">
      <alignment vertical="center"/>
    </xf>
    <xf numFmtId="176" fontId="16" fillId="0" borderId="0" xfId="0" applyNumberFormat="1" applyFont="1">
      <alignment vertical="center"/>
    </xf>
    <xf numFmtId="176" fontId="16" fillId="0" borderId="4" xfId="0" applyNumberFormat="1" applyFont="1" applyBorder="1">
      <alignment vertical="center"/>
    </xf>
    <xf numFmtId="176" fontId="16" fillId="0" borderId="19" xfId="0" applyNumberFormat="1" applyFont="1" applyBorder="1">
      <alignment vertical="center"/>
    </xf>
    <xf numFmtId="0" fontId="16" fillId="0" borderId="33" xfId="0" applyFont="1" applyBorder="1">
      <alignment vertical="center"/>
    </xf>
    <xf numFmtId="176" fontId="16" fillId="0" borderId="5" xfId="0" applyNumberFormat="1" applyFont="1" applyBorder="1">
      <alignment vertical="center"/>
    </xf>
    <xf numFmtId="176" fontId="16" fillId="0" borderId="34" xfId="0" applyNumberFormat="1" applyFont="1" applyBorder="1">
      <alignment vertical="center"/>
    </xf>
    <xf numFmtId="176" fontId="16" fillId="0" borderId="6" xfId="0" applyNumberFormat="1" applyFont="1" applyBorder="1">
      <alignment vertical="center"/>
    </xf>
    <xf numFmtId="176" fontId="16" fillId="0" borderId="35" xfId="0" applyNumberFormat="1" applyFont="1" applyBorder="1">
      <alignment vertical="center"/>
    </xf>
    <xf numFmtId="176" fontId="16" fillId="0" borderId="20" xfId="0" applyNumberFormat="1" applyFont="1" applyBorder="1">
      <alignment vertical="center"/>
    </xf>
    <xf numFmtId="0" fontId="16" fillId="0" borderId="36" xfId="0" applyFont="1" applyBorder="1">
      <alignment vertical="center"/>
    </xf>
    <xf numFmtId="176" fontId="16" fillId="0" borderId="7" xfId="0" applyNumberFormat="1" applyFont="1" applyBorder="1">
      <alignment vertical="center"/>
    </xf>
    <xf numFmtId="0" fontId="16" fillId="3" borderId="30" xfId="0" applyFont="1" applyFill="1" applyBorder="1">
      <alignment vertical="center"/>
    </xf>
    <xf numFmtId="176" fontId="16" fillId="3" borderId="2" xfId="0" applyNumberFormat="1" applyFont="1" applyFill="1" applyBorder="1">
      <alignment vertical="center"/>
    </xf>
    <xf numFmtId="176" fontId="16" fillId="3" borderId="18" xfId="0" applyNumberFormat="1" applyFont="1" applyFill="1" applyBorder="1">
      <alignment vertical="center"/>
    </xf>
    <xf numFmtId="176" fontId="16" fillId="3" borderId="31" xfId="0" applyNumberFormat="1" applyFont="1" applyFill="1" applyBorder="1">
      <alignment vertical="center"/>
    </xf>
    <xf numFmtId="179" fontId="16" fillId="3" borderId="30" xfId="0" applyNumberFormat="1" applyFont="1" applyFill="1" applyBorder="1">
      <alignment vertical="center"/>
    </xf>
    <xf numFmtId="179" fontId="16" fillId="3" borderId="2" xfId="0" applyNumberFormat="1" applyFont="1" applyFill="1" applyBorder="1">
      <alignment vertical="center"/>
    </xf>
    <xf numFmtId="182" fontId="16" fillId="3" borderId="1" xfId="0" applyNumberFormat="1" applyFont="1" applyFill="1" applyBorder="1">
      <alignment vertical="center"/>
    </xf>
    <xf numFmtId="180" fontId="16" fillId="3" borderId="18" xfId="0" applyNumberFormat="1" applyFont="1" applyFill="1" applyBorder="1">
      <alignment vertical="center"/>
    </xf>
    <xf numFmtId="180" fontId="16" fillId="3" borderId="31" xfId="0" applyNumberFormat="1" applyFont="1" applyFill="1" applyBorder="1">
      <alignment vertical="center"/>
    </xf>
    <xf numFmtId="182" fontId="16" fillId="3" borderId="31" xfId="0" applyNumberFormat="1" applyFont="1" applyFill="1" applyBorder="1">
      <alignment vertical="center"/>
    </xf>
    <xf numFmtId="177" fontId="6" fillId="3" borderId="18" xfId="0" applyNumberFormat="1" applyFont="1" applyFill="1" applyBorder="1">
      <alignment vertical="center"/>
    </xf>
    <xf numFmtId="177" fontId="6" fillId="3" borderId="2" xfId="0" applyNumberFormat="1" applyFont="1" applyFill="1" applyBorder="1">
      <alignment vertical="center"/>
    </xf>
    <xf numFmtId="177" fontId="6" fillId="3" borderId="1" xfId="0" applyNumberFormat="1" applyFont="1" applyFill="1" applyBorder="1">
      <alignment vertical="center"/>
    </xf>
    <xf numFmtId="178" fontId="20" fillId="4" borderId="32" xfId="1" applyNumberFormat="1" applyFont="1" applyFill="1" applyBorder="1">
      <alignment vertical="center"/>
    </xf>
    <xf numFmtId="178" fontId="20" fillId="4" borderId="38" xfId="1" applyNumberFormat="1" applyFont="1" applyFill="1" applyBorder="1">
      <alignment vertical="center"/>
    </xf>
    <xf numFmtId="178" fontId="20" fillId="4" borderId="3" xfId="1" applyNumberFormat="1" applyFont="1" applyFill="1" applyBorder="1">
      <alignment vertical="center"/>
    </xf>
    <xf numFmtId="178" fontId="20" fillId="4" borderId="4" xfId="1" applyNumberFormat="1" applyFont="1" applyFill="1" applyBorder="1">
      <alignment vertical="center"/>
    </xf>
    <xf numFmtId="178" fontId="20" fillId="0" borderId="4" xfId="1" applyNumberFormat="1" applyFont="1" applyBorder="1">
      <alignment vertical="center"/>
    </xf>
    <xf numFmtId="178" fontId="20" fillId="0" borderId="19" xfId="1" applyNumberFormat="1" applyFont="1" applyBorder="1">
      <alignment vertical="center"/>
    </xf>
    <xf numFmtId="178" fontId="20" fillId="0" borderId="3" xfId="1" applyNumberFormat="1" applyFont="1" applyBorder="1">
      <alignment vertical="center"/>
    </xf>
    <xf numFmtId="178" fontId="20" fillId="4" borderId="33" xfId="1" applyNumberFormat="1" applyFont="1" applyFill="1" applyBorder="1">
      <alignment vertical="center"/>
    </xf>
    <xf numFmtId="178" fontId="20" fillId="4" borderId="39" xfId="1" applyNumberFormat="1" applyFont="1" applyFill="1" applyBorder="1">
      <alignment vertical="center"/>
    </xf>
    <xf numFmtId="178" fontId="20" fillId="4" borderId="5" xfId="1" applyNumberFormat="1" applyFont="1" applyFill="1" applyBorder="1">
      <alignment vertical="center"/>
    </xf>
    <xf numFmtId="178" fontId="20" fillId="4" borderId="6" xfId="1" applyNumberFormat="1" applyFont="1" applyFill="1" applyBorder="1">
      <alignment vertical="center"/>
    </xf>
    <xf numFmtId="178" fontId="20" fillId="0" borderId="20" xfId="1" applyNumberFormat="1" applyFont="1" applyBorder="1">
      <alignment vertical="center"/>
    </xf>
    <xf numFmtId="178" fontId="20" fillId="0" borderId="5" xfId="1" applyNumberFormat="1" applyFont="1" applyBorder="1">
      <alignment vertical="center"/>
    </xf>
    <xf numFmtId="178" fontId="20" fillId="0" borderId="6" xfId="1" applyNumberFormat="1" applyFont="1" applyBorder="1">
      <alignment vertical="center"/>
    </xf>
    <xf numFmtId="0" fontId="16" fillId="0" borderId="40" xfId="0" applyFont="1" applyBorder="1">
      <alignment vertical="center"/>
    </xf>
    <xf numFmtId="176" fontId="16" fillId="0" borderId="41" xfId="0" applyNumberFormat="1" applyFont="1" applyBorder="1">
      <alignment vertical="center"/>
    </xf>
    <xf numFmtId="178" fontId="20" fillId="4" borderId="15" xfId="1" applyNumberFormat="1" applyFont="1" applyFill="1" applyBorder="1">
      <alignment vertical="center"/>
    </xf>
    <xf numFmtId="178" fontId="20" fillId="4" borderId="42" xfId="1" applyNumberFormat="1" applyFont="1" applyFill="1" applyBorder="1">
      <alignment vertical="center"/>
    </xf>
    <xf numFmtId="178" fontId="20" fillId="4" borderId="14" xfId="1" applyNumberFormat="1" applyFont="1" applyFill="1" applyBorder="1">
      <alignment vertical="center"/>
    </xf>
    <xf numFmtId="178" fontId="20" fillId="4" borderId="13" xfId="1" applyNumberFormat="1" applyFont="1" applyFill="1" applyBorder="1">
      <alignment vertical="center"/>
    </xf>
    <xf numFmtId="178" fontId="20" fillId="0" borderId="0" xfId="1" applyNumberFormat="1" applyFont="1" applyBorder="1">
      <alignment vertical="center"/>
    </xf>
    <xf numFmtId="178" fontId="20" fillId="0" borderId="15" xfId="1" applyNumberFormat="1" applyFont="1" applyBorder="1">
      <alignment vertical="center"/>
    </xf>
    <xf numFmtId="178" fontId="20" fillId="0" borderId="14" xfId="1" applyNumberFormat="1" applyFont="1" applyBorder="1">
      <alignment vertical="center"/>
    </xf>
    <xf numFmtId="178" fontId="20" fillId="0" borderId="13" xfId="1" applyNumberFormat="1" applyFont="1" applyBorder="1">
      <alignment vertical="center"/>
    </xf>
    <xf numFmtId="0" fontId="16" fillId="4" borderId="23" xfId="0" applyFont="1" applyFill="1" applyBorder="1">
      <alignment vertical="center"/>
    </xf>
    <xf numFmtId="0" fontId="16" fillId="4" borderId="0" xfId="0" applyFont="1" applyFill="1">
      <alignment vertical="center"/>
    </xf>
    <xf numFmtId="0" fontId="16" fillId="0" borderId="43" xfId="0" applyFont="1" applyBorder="1">
      <alignment vertical="center"/>
    </xf>
    <xf numFmtId="0" fontId="16" fillId="0" borderId="23" xfId="0" applyFont="1" applyBorder="1">
      <alignment vertical="center"/>
    </xf>
    <xf numFmtId="0" fontId="16" fillId="4" borderId="17" xfId="0" applyFont="1" applyFill="1" applyBorder="1">
      <alignment vertical="center"/>
    </xf>
    <xf numFmtId="0" fontId="16" fillId="0" borderId="17" xfId="0" applyFont="1" applyBorder="1">
      <alignment vertical="center"/>
    </xf>
    <xf numFmtId="176" fontId="16" fillId="0" borderId="11" xfId="0" applyNumberFormat="1" applyFont="1" applyBorder="1">
      <alignment vertical="center"/>
    </xf>
    <xf numFmtId="176" fontId="16" fillId="4" borderId="44" xfId="0" applyNumberFormat="1" applyFont="1" applyFill="1" applyBorder="1">
      <alignment vertical="center"/>
    </xf>
    <xf numFmtId="176" fontId="16" fillId="4" borderId="45" xfId="0" applyNumberFormat="1" applyFont="1" applyFill="1" applyBorder="1">
      <alignment vertical="center"/>
    </xf>
    <xf numFmtId="176" fontId="16" fillId="4" borderId="11" xfId="0" applyNumberFormat="1" applyFont="1" applyFill="1" applyBorder="1">
      <alignment vertical="center"/>
    </xf>
    <xf numFmtId="176" fontId="16" fillId="4" borderId="12" xfId="0" applyNumberFormat="1" applyFont="1" applyFill="1" applyBorder="1">
      <alignment vertical="center"/>
    </xf>
    <xf numFmtId="176" fontId="16" fillId="4" borderId="46" xfId="0" applyNumberFormat="1" applyFont="1" applyFill="1" applyBorder="1">
      <alignment vertical="center"/>
    </xf>
    <xf numFmtId="176" fontId="16" fillId="0" borderId="29" xfId="0" applyNumberFormat="1" applyFont="1" applyBorder="1">
      <alignment vertical="center"/>
    </xf>
    <xf numFmtId="176" fontId="16" fillId="0" borderId="21" xfId="0" applyNumberFormat="1" applyFont="1" applyBorder="1">
      <alignment vertical="center"/>
    </xf>
    <xf numFmtId="176" fontId="16" fillId="0" borderId="12" xfId="0" applyNumberFormat="1" applyFont="1" applyBorder="1">
      <alignment vertical="center"/>
    </xf>
    <xf numFmtId="176" fontId="16" fillId="0" borderId="26" xfId="0" applyNumberFormat="1" applyFont="1" applyBorder="1">
      <alignment vertical="center"/>
    </xf>
    <xf numFmtId="176" fontId="16" fillId="0" borderId="47" xfId="0" applyNumberFormat="1" applyFont="1" applyBorder="1">
      <alignment vertical="center"/>
    </xf>
    <xf numFmtId="0" fontId="16" fillId="2" borderId="30" xfId="0" applyFont="1" applyFill="1" applyBorder="1">
      <alignment vertical="center"/>
    </xf>
    <xf numFmtId="177" fontId="16" fillId="2" borderId="1" xfId="0" applyNumberFormat="1" applyFont="1" applyFill="1" applyBorder="1">
      <alignment vertical="center"/>
    </xf>
    <xf numFmtId="177" fontId="16" fillId="2" borderId="18" xfId="0" applyNumberFormat="1" applyFont="1" applyFill="1" applyBorder="1">
      <alignment vertical="center"/>
    </xf>
    <xf numFmtId="177" fontId="16" fillId="2" borderId="2" xfId="0" applyNumberFormat="1" applyFont="1" applyFill="1" applyBorder="1">
      <alignment vertical="center"/>
    </xf>
    <xf numFmtId="178" fontId="20" fillId="4" borderId="48" xfId="1" applyNumberFormat="1" applyFont="1" applyFill="1" applyBorder="1">
      <alignment vertical="center"/>
    </xf>
    <xf numFmtId="178" fontId="20" fillId="4" borderId="12" xfId="1" applyNumberFormat="1" applyFont="1" applyFill="1" applyBorder="1">
      <alignment vertical="center"/>
    </xf>
    <xf numFmtId="178" fontId="20" fillId="0" borderId="25" xfId="1" applyNumberFormat="1" applyFont="1" applyBorder="1">
      <alignment vertical="center"/>
    </xf>
    <xf numFmtId="0" fontId="16" fillId="0" borderId="49" xfId="0" applyFont="1" applyBorder="1">
      <alignment vertical="center"/>
    </xf>
    <xf numFmtId="176" fontId="16" fillId="0" borderId="14" xfId="0" applyNumberFormat="1" applyFont="1" applyBorder="1">
      <alignment vertical="center"/>
    </xf>
    <xf numFmtId="178" fontId="20" fillId="4" borderId="49" xfId="1" applyNumberFormat="1" applyFont="1" applyFill="1" applyBorder="1">
      <alignment vertical="center"/>
    </xf>
    <xf numFmtId="178" fontId="20" fillId="4" borderId="50" xfId="1" applyNumberFormat="1" applyFont="1" applyFill="1" applyBorder="1">
      <alignment vertical="center"/>
    </xf>
    <xf numFmtId="178" fontId="20" fillId="0" borderId="16" xfId="1" applyNumberFormat="1" applyFont="1" applyBorder="1">
      <alignment vertical="center"/>
    </xf>
    <xf numFmtId="0" fontId="16" fillId="0" borderId="0" xfId="0" applyFont="1" applyAlignment="1">
      <alignment horizontal="center" vertical="center" shrinkToFi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9" fillId="0" borderId="17" xfId="0" applyFont="1" applyBorder="1" applyAlignment="1">
      <alignment horizontal="center" vertical="center" wrapText="1"/>
    </xf>
    <xf numFmtId="0" fontId="18" fillId="2" borderId="24" xfId="0" applyFont="1" applyFill="1" applyBorder="1">
      <alignment vertical="center"/>
    </xf>
    <xf numFmtId="0" fontId="16" fillId="0" borderId="44" xfId="0" applyFont="1" applyBorder="1">
      <alignment vertical="center"/>
    </xf>
    <xf numFmtId="176" fontId="16" fillId="0" borderId="44" xfId="0" applyNumberFormat="1" applyFont="1" applyBorder="1">
      <alignment vertical="center"/>
    </xf>
    <xf numFmtId="176" fontId="16" fillId="0" borderId="45" xfId="0" applyNumberFormat="1" applyFont="1" applyBorder="1">
      <alignment vertical="center"/>
    </xf>
    <xf numFmtId="176" fontId="16" fillId="0" borderId="49" xfId="0" applyNumberFormat="1" applyFont="1" applyBorder="1">
      <alignment vertical="center"/>
    </xf>
    <xf numFmtId="176" fontId="16" fillId="0" borderId="42" xfId="0" applyNumberFormat="1" applyFont="1" applyBorder="1">
      <alignment vertical="center"/>
    </xf>
    <xf numFmtId="176" fontId="16" fillId="0" borderId="13" xfId="0" applyNumberFormat="1" applyFont="1" applyBorder="1">
      <alignment vertical="center"/>
    </xf>
    <xf numFmtId="176" fontId="16" fillId="0" borderId="50" xfId="0" applyNumberFormat="1" applyFont="1" applyBorder="1">
      <alignment vertical="center"/>
    </xf>
    <xf numFmtId="176" fontId="16" fillId="0" borderId="46" xfId="0" applyNumberFormat="1" applyFont="1" applyBorder="1">
      <alignment vertical="center"/>
    </xf>
    <xf numFmtId="176" fontId="16" fillId="0" borderId="27" xfId="0" applyNumberFormat="1" applyFont="1" applyBorder="1">
      <alignment vertical="center"/>
    </xf>
    <xf numFmtId="181" fontId="16" fillId="0" borderId="0" xfId="0" applyNumberFormat="1" applyFont="1">
      <alignment vertical="center"/>
    </xf>
    <xf numFmtId="178" fontId="16" fillId="0" borderId="0" xfId="0" applyNumberFormat="1" applyFont="1">
      <alignment vertical="center"/>
    </xf>
    <xf numFmtId="178" fontId="20" fillId="4" borderId="51" xfId="1" applyNumberFormat="1" applyFont="1" applyFill="1" applyBorder="1">
      <alignment vertical="center"/>
    </xf>
    <xf numFmtId="178" fontId="20" fillId="4" borderId="40" xfId="1" applyNumberFormat="1" applyFont="1" applyFill="1" applyBorder="1">
      <alignment vertical="center"/>
    </xf>
    <xf numFmtId="178" fontId="20" fillId="4" borderId="52" xfId="1" applyNumberFormat="1" applyFont="1" applyFill="1" applyBorder="1">
      <alignment vertical="center"/>
    </xf>
    <xf numFmtId="178" fontId="20" fillId="4" borderId="53" xfId="1" applyNumberFormat="1" applyFont="1" applyFill="1" applyBorder="1">
      <alignment vertical="center"/>
    </xf>
    <xf numFmtId="181" fontId="16" fillId="4" borderId="17" xfId="0" applyNumberFormat="1" applyFont="1" applyFill="1" applyBorder="1">
      <alignment vertical="center"/>
    </xf>
    <xf numFmtId="181" fontId="16" fillId="2" borderId="54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 shrinkToFit="1"/>
    </xf>
    <xf numFmtId="0" fontId="5" fillId="0" borderId="33" xfId="0" applyFont="1" applyBorder="1">
      <alignment vertical="center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2" fontId="16" fillId="4" borderId="32" xfId="0" applyNumberFormat="1" applyFont="1" applyFill="1" applyBorder="1">
      <alignment vertical="center"/>
    </xf>
    <xf numFmtId="2" fontId="16" fillId="4" borderId="38" xfId="0" applyNumberFormat="1" applyFont="1" applyFill="1" applyBorder="1">
      <alignment vertical="center"/>
    </xf>
    <xf numFmtId="2" fontId="16" fillId="4" borderId="3" xfId="0" applyNumberFormat="1" applyFont="1" applyFill="1" applyBorder="1">
      <alignment vertical="center"/>
    </xf>
    <xf numFmtId="2" fontId="16" fillId="4" borderId="4" xfId="0" applyNumberFormat="1" applyFont="1" applyFill="1" applyBorder="1">
      <alignment vertical="center"/>
    </xf>
    <xf numFmtId="2" fontId="16" fillId="4" borderId="33" xfId="0" applyNumberFormat="1" applyFont="1" applyFill="1" applyBorder="1">
      <alignment vertical="center"/>
    </xf>
    <xf numFmtId="2" fontId="16" fillId="4" borderId="39" xfId="0" applyNumberFormat="1" applyFont="1" applyFill="1" applyBorder="1">
      <alignment vertical="center"/>
    </xf>
    <xf numFmtId="2" fontId="16" fillId="4" borderId="5" xfId="0" applyNumberFormat="1" applyFont="1" applyFill="1" applyBorder="1">
      <alignment vertical="center"/>
    </xf>
    <xf numFmtId="2" fontId="16" fillId="4" borderId="6" xfId="0" applyNumberFormat="1" applyFont="1" applyFill="1" applyBorder="1">
      <alignment vertical="center"/>
    </xf>
    <xf numFmtId="2" fontId="16" fillId="4" borderId="36" xfId="0" applyNumberFormat="1" applyFont="1" applyFill="1" applyBorder="1">
      <alignment vertical="center"/>
    </xf>
    <xf numFmtId="2" fontId="16" fillId="4" borderId="55" xfId="0" applyNumberFormat="1" applyFont="1" applyFill="1" applyBorder="1">
      <alignment vertical="center"/>
    </xf>
    <xf numFmtId="2" fontId="16" fillId="4" borderId="7" xfId="0" applyNumberFormat="1" applyFont="1" applyFill="1" applyBorder="1">
      <alignment vertical="center"/>
    </xf>
    <xf numFmtId="2" fontId="16" fillId="4" borderId="8" xfId="0" applyNumberFormat="1" applyFont="1" applyFill="1" applyBorder="1">
      <alignment vertical="center"/>
    </xf>
    <xf numFmtId="2" fontId="16" fillId="0" borderId="33" xfId="0" applyNumberFormat="1" applyFont="1" applyBorder="1">
      <alignment vertical="center"/>
    </xf>
    <xf numFmtId="2" fontId="16" fillId="0" borderId="39" xfId="0" applyNumberFormat="1" applyFont="1" applyBorder="1">
      <alignment vertical="center"/>
    </xf>
    <xf numFmtId="2" fontId="16" fillId="0" borderId="5" xfId="0" applyNumberFormat="1" applyFont="1" applyBorder="1">
      <alignment vertical="center"/>
    </xf>
    <xf numFmtId="2" fontId="16" fillId="0" borderId="6" xfId="0" applyNumberFormat="1" applyFont="1" applyBorder="1">
      <alignment vertical="center"/>
    </xf>
    <xf numFmtId="2" fontId="16" fillId="3" borderId="1" xfId="0" applyNumberFormat="1" applyFont="1" applyFill="1" applyBorder="1">
      <alignment vertical="center"/>
    </xf>
    <xf numFmtId="2" fontId="16" fillId="0" borderId="3" xfId="0" applyNumberFormat="1" applyFont="1" applyBorder="1">
      <alignment vertical="center"/>
    </xf>
    <xf numFmtId="2" fontId="16" fillId="4" borderId="48" xfId="0" applyNumberFormat="1" applyFont="1" applyFill="1" applyBorder="1">
      <alignment vertical="center"/>
    </xf>
    <xf numFmtId="2" fontId="16" fillId="4" borderId="51" xfId="0" applyNumberFormat="1" applyFont="1" applyFill="1" applyBorder="1">
      <alignment vertical="center"/>
    </xf>
    <xf numFmtId="2" fontId="16" fillId="0" borderId="7" xfId="0" applyNumberFormat="1" applyFont="1" applyBorder="1">
      <alignment vertical="center"/>
    </xf>
    <xf numFmtId="2" fontId="16" fillId="0" borderId="11" xfId="0" applyNumberFormat="1" applyFont="1" applyBorder="1">
      <alignment vertical="center"/>
    </xf>
    <xf numFmtId="2" fontId="16" fillId="4" borderId="44" xfId="0" applyNumberFormat="1" applyFont="1" applyFill="1" applyBorder="1">
      <alignment vertical="center"/>
    </xf>
    <xf numFmtId="2" fontId="16" fillId="4" borderId="45" xfId="0" applyNumberFormat="1" applyFont="1" applyFill="1" applyBorder="1">
      <alignment vertical="center"/>
    </xf>
    <xf numFmtId="2" fontId="16" fillId="4" borderId="12" xfId="0" applyNumberFormat="1" applyFont="1" applyFill="1" applyBorder="1">
      <alignment vertical="center"/>
    </xf>
    <xf numFmtId="2" fontId="16" fillId="4" borderId="46" xfId="0" applyNumberFormat="1" applyFont="1" applyFill="1" applyBorder="1">
      <alignment vertical="center"/>
    </xf>
    <xf numFmtId="2" fontId="16" fillId="4" borderId="11" xfId="0" applyNumberFormat="1" applyFont="1" applyFill="1" applyBorder="1">
      <alignment vertical="center"/>
    </xf>
    <xf numFmtId="2" fontId="16" fillId="2" borderId="2" xfId="0" applyNumberFormat="1" applyFont="1" applyFill="1" applyBorder="1">
      <alignment vertical="center"/>
    </xf>
    <xf numFmtId="2" fontId="16" fillId="2" borderId="18" xfId="0" applyNumberFormat="1" applyFont="1" applyFill="1" applyBorder="1">
      <alignment vertical="center"/>
    </xf>
    <xf numFmtId="2" fontId="16" fillId="2" borderId="31" xfId="0" applyNumberFormat="1" applyFont="1" applyFill="1" applyBorder="1">
      <alignment vertical="center"/>
    </xf>
    <xf numFmtId="2" fontId="16" fillId="2" borderId="30" xfId="0" applyNumberFormat="1" applyFont="1" applyFill="1" applyBorder="1">
      <alignment vertical="center"/>
    </xf>
    <xf numFmtId="2" fontId="16" fillId="2" borderId="1" xfId="0" applyNumberFormat="1" applyFont="1" applyFill="1" applyBorder="1">
      <alignment vertical="center"/>
    </xf>
    <xf numFmtId="2" fontId="16" fillId="2" borderId="37" xfId="0" applyNumberFormat="1" applyFont="1" applyFill="1" applyBorder="1">
      <alignment vertical="center"/>
    </xf>
    <xf numFmtId="2" fontId="20" fillId="4" borderId="32" xfId="1" applyNumberFormat="1" applyFont="1" applyFill="1" applyBorder="1">
      <alignment vertical="center"/>
    </xf>
    <xf numFmtId="2" fontId="20" fillId="4" borderId="38" xfId="1" applyNumberFormat="1" applyFont="1" applyFill="1" applyBorder="1">
      <alignment vertical="center"/>
    </xf>
    <xf numFmtId="2" fontId="20" fillId="4" borderId="3" xfId="1" applyNumberFormat="1" applyFont="1" applyFill="1" applyBorder="1">
      <alignment vertical="center"/>
    </xf>
    <xf numFmtId="2" fontId="20" fillId="4" borderId="4" xfId="1" applyNumberFormat="1" applyFont="1" applyFill="1" applyBorder="1">
      <alignment vertical="center"/>
    </xf>
    <xf numFmtId="2" fontId="20" fillId="4" borderId="48" xfId="1" applyNumberFormat="1" applyFont="1" applyFill="1" applyBorder="1">
      <alignment vertical="center"/>
    </xf>
    <xf numFmtId="2" fontId="20" fillId="4" borderId="12" xfId="1" applyNumberFormat="1" applyFont="1" applyFill="1" applyBorder="1">
      <alignment vertical="center"/>
    </xf>
    <xf numFmtId="2" fontId="16" fillId="0" borderId="4" xfId="0" applyNumberFormat="1" applyFont="1" applyBorder="1">
      <alignment vertical="center"/>
    </xf>
    <xf numFmtId="2" fontId="16" fillId="5" borderId="8" xfId="0" applyNumberFormat="1" applyFont="1" applyFill="1" applyBorder="1">
      <alignment vertical="center"/>
    </xf>
    <xf numFmtId="2" fontId="20" fillId="0" borderId="4" xfId="1" applyNumberFormat="1" applyFont="1" applyBorder="1">
      <alignment vertical="center"/>
    </xf>
    <xf numFmtId="183" fontId="16" fillId="0" borderId="29" xfId="0" applyNumberFormat="1" applyFont="1" applyBorder="1">
      <alignment vertical="center"/>
    </xf>
    <xf numFmtId="183" fontId="16" fillId="0" borderId="26" xfId="0" applyNumberFormat="1" applyFont="1" applyBorder="1">
      <alignment vertical="center"/>
    </xf>
    <xf numFmtId="183" fontId="16" fillId="2" borderId="24" xfId="0" applyNumberFormat="1" applyFont="1" applyFill="1" applyBorder="1">
      <alignment vertical="center"/>
    </xf>
    <xf numFmtId="183" fontId="20" fillId="0" borderId="25" xfId="1" applyNumberFormat="1" applyFont="1" applyBorder="1">
      <alignment vertical="center"/>
    </xf>
    <xf numFmtId="2" fontId="16" fillId="0" borderId="29" xfId="0" applyNumberFormat="1" applyFont="1" applyBorder="1">
      <alignment vertical="center"/>
    </xf>
    <xf numFmtId="2" fontId="16" fillId="0" borderId="26" xfId="0" applyNumberFormat="1" applyFont="1" applyBorder="1">
      <alignment vertical="center"/>
    </xf>
    <xf numFmtId="2" fontId="16" fillId="0" borderId="0" xfId="0" applyNumberFormat="1" applyFont="1">
      <alignment vertical="center"/>
    </xf>
    <xf numFmtId="2" fontId="16" fillId="0" borderId="44" xfId="0" applyNumberFormat="1" applyFont="1" applyBorder="1">
      <alignment vertical="center"/>
    </xf>
    <xf numFmtId="2" fontId="16" fillId="0" borderId="45" xfId="0" applyNumberFormat="1" applyFont="1" applyBorder="1">
      <alignment vertical="center"/>
    </xf>
    <xf numFmtId="2" fontId="16" fillId="0" borderId="12" xfId="0" applyNumberFormat="1" applyFont="1" applyBorder="1">
      <alignment vertical="center"/>
    </xf>
    <xf numFmtId="2" fontId="16" fillId="0" borderId="46" xfId="0" applyNumberFormat="1" applyFont="1" applyBorder="1">
      <alignment vertical="center"/>
    </xf>
    <xf numFmtId="2" fontId="16" fillId="0" borderId="49" xfId="0" applyNumberFormat="1" applyFont="1" applyBorder="1">
      <alignment vertical="center"/>
    </xf>
    <xf numFmtId="2" fontId="16" fillId="0" borderId="42" xfId="0" applyNumberFormat="1" applyFont="1" applyBorder="1">
      <alignment vertical="center"/>
    </xf>
    <xf numFmtId="2" fontId="16" fillId="0" borderId="13" xfId="0" applyNumberFormat="1" applyFont="1" applyBorder="1">
      <alignment vertical="center"/>
    </xf>
    <xf numFmtId="2" fontId="16" fillId="0" borderId="50" xfId="0" applyNumberFormat="1" applyFont="1" applyBorder="1">
      <alignment vertical="center"/>
    </xf>
    <xf numFmtId="0" fontId="16" fillId="6" borderId="30" xfId="0" applyFont="1" applyFill="1" applyBorder="1">
      <alignment vertical="center"/>
    </xf>
    <xf numFmtId="176" fontId="16" fillId="6" borderId="2" xfId="0" applyNumberFormat="1" applyFont="1" applyFill="1" applyBorder="1">
      <alignment vertical="center"/>
    </xf>
    <xf numFmtId="0" fontId="16" fillId="3" borderId="32" xfId="0" applyFont="1" applyFill="1" applyBorder="1">
      <alignment vertical="center"/>
    </xf>
    <xf numFmtId="0" fontId="16" fillId="7" borderId="33" xfId="0" applyFont="1" applyFill="1" applyBorder="1">
      <alignment vertical="center"/>
    </xf>
    <xf numFmtId="2" fontId="16" fillId="6" borderId="18" xfId="0" applyNumberFormat="1" applyFont="1" applyFill="1" applyBorder="1">
      <alignment vertical="center"/>
    </xf>
    <xf numFmtId="2" fontId="16" fillId="6" borderId="30" xfId="0" applyNumberFormat="1" applyFont="1" applyFill="1" applyBorder="1">
      <alignment vertical="center"/>
    </xf>
    <xf numFmtId="2" fontId="16" fillId="6" borderId="1" xfId="0" applyNumberFormat="1" applyFont="1" applyFill="1" applyBorder="1">
      <alignment vertical="center"/>
    </xf>
    <xf numFmtId="0" fontId="6" fillId="8" borderId="33" xfId="0" applyFont="1" applyFill="1" applyBorder="1">
      <alignment vertical="center"/>
    </xf>
    <xf numFmtId="0" fontId="16" fillId="4" borderId="37" xfId="0" applyFont="1" applyFill="1" applyBorder="1" applyAlignment="1">
      <alignment horizontal="center" vertical="center"/>
    </xf>
    <xf numFmtId="178" fontId="20" fillId="4" borderId="56" xfId="1" applyNumberFormat="1" applyFont="1" applyFill="1" applyBorder="1">
      <alignment vertical="center"/>
    </xf>
    <xf numFmtId="178" fontId="20" fillId="4" borderId="16" xfId="1" applyNumberFormat="1" applyFont="1" applyFill="1" applyBorder="1">
      <alignment vertical="center"/>
    </xf>
    <xf numFmtId="2" fontId="16" fillId="6" borderId="31" xfId="0" applyNumberFormat="1" applyFont="1" applyFill="1" applyBorder="1">
      <alignment vertical="center"/>
    </xf>
    <xf numFmtId="2" fontId="16" fillId="6" borderId="37" xfId="0" applyNumberFormat="1" applyFont="1" applyFill="1" applyBorder="1">
      <alignment vertical="center"/>
    </xf>
    <xf numFmtId="2" fontId="16" fillId="6" borderId="2" xfId="0" applyNumberFormat="1" applyFont="1" applyFill="1" applyBorder="1">
      <alignment vertical="center"/>
    </xf>
    <xf numFmtId="2" fontId="16" fillId="6" borderId="24" xfId="0" applyNumberFormat="1" applyFont="1" applyFill="1" applyBorder="1">
      <alignment vertical="center"/>
    </xf>
    <xf numFmtId="0" fontId="18" fillId="9" borderId="30" xfId="0" applyFont="1" applyFill="1" applyBorder="1">
      <alignment vertical="center"/>
    </xf>
    <xf numFmtId="183" fontId="16" fillId="6" borderId="24" xfId="0" applyNumberFormat="1" applyFont="1" applyFill="1" applyBorder="1">
      <alignment vertical="center"/>
    </xf>
    <xf numFmtId="178" fontId="20" fillId="0" borderId="57" xfId="1" applyNumberFormat="1" applyFont="1" applyBorder="1">
      <alignment vertical="center"/>
    </xf>
    <xf numFmtId="178" fontId="20" fillId="0" borderId="58" xfId="1" applyNumberFormat="1" applyFont="1" applyBorder="1">
      <alignment vertical="center"/>
    </xf>
    <xf numFmtId="178" fontId="20" fillId="0" borderId="59" xfId="1" applyNumberFormat="1" applyFont="1" applyBorder="1">
      <alignment vertical="center"/>
    </xf>
    <xf numFmtId="0" fontId="16" fillId="9" borderId="24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2" fontId="16" fillId="0" borderId="25" xfId="0" applyNumberFormat="1" applyFont="1" applyBorder="1">
      <alignment vertical="center"/>
    </xf>
    <xf numFmtId="2" fontId="16" fillId="5" borderId="60" xfId="0" applyNumberFormat="1" applyFont="1" applyFill="1" applyBorder="1">
      <alignment vertical="center"/>
    </xf>
    <xf numFmtId="178" fontId="20" fillId="0" borderId="27" xfId="1" applyNumberFormat="1" applyFont="1" applyBorder="1">
      <alignment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6" fillId="3" borderId="24" xfId="0" applyNumberFormat="1" applyFont="1" applyFill="1" applyBorder="1">
      <alignment vertical="center"/>
    </xf>
    <xf numFmtId="2" fontId="20" fillId="0" borderId="25" xfId="1" applyNumberFormat="1" applyFont="1" applyBorder="1">
      <alignment vertical="center"/>
    </xf>
    <xf numFmtId="2" fontId="16" fillId="5" borderId="61" xfId="0" applyNumberFormat="1" applyFont="1" applyFill="1" applyBorder="1">
      <alignment vertical="center"/>
    </xf>
    <xf numFmtId="178" fontId="20" fillId="0" borderId="62" xfId="1" applyNumberFormat="1" applyFont="1" applyBorder="1">
      <alignment vertical="center"/>
    </xf>
    <xf numFmtId="178" fontId="20" fillId="0" borderId="63" xfId="1" applyNumberFormat="1" applyFont="1" applyBorder="1">
      <alignment vertical="center"/>
    </xf>
    <xf numFmtId="178" fontId="20" fillId="0" borderId="64" xfId="1" applyNumberFormat="1" applyFont="1" applyBorder="1">
      <alignment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83" fontId="16" fillId="2" borderId="18" xfId="0" applyNumberFormat="1" applyFont="1" applyFill="1" applyBorder="1">
      <alignment vertical="center"/>
    </xf>
    <xf numFmtId="181" fontId="16" fillId="0" borderId="22" xfId="0" applyNumberFormat="1" applyFont="1" applyBorder="1">
      <alignment vertical="center"/>
    </xf>
    <xf numFmtId="181" fontId="16" fillId="0" borderId="65" xfId="0" applyNumberFormat="1" applyFont="1" applyBorder="1">
      <alignment vertical="center"/>
    </xf>
    <xf numFmtId="181" fontId="16" fillId="0" borderId="66" xfId="0" applyNumberFormat="1" applyFont="1" applyBorder="1">
      <alignment vertical="center"/>
    </xf>
    <xf numFmtId="181" fontId="16" fillId="2" borderId="67" xfId="0" applyNumberFormat="1" applyFont="1" applyFill="1" applyBorder="1" applyAlignment="1">
      <alignment horizontal="center" vertical="center"/>
    </xf>
    <xf numFmtId="183" fontId="16" fillId="6" borderId="18" xfId="0" applyNumberFormat="1" applyFont="1" applyFill="1" applyBorder="1">
      <alignment vertical="center"/>
    </xf>
    <xf numFmtId="0" fontId="16" fillId="6" borderId="31" xfId="0" applyFont="1" applyFill="1" applyBorder="1">
      <alignment vertical="center"/>
    </xf>
    <xf numFmtId="0" fontId="16" fillId="6" borderId="1" xfId="0" applyFont="1" applyFill="1" applyBorder="1">
      <alignment vertical="center"/>
    </xf>
    <xf numFmtId="176" fontId="0" fillId="5" borderId="62" xfId="0" applyNumberFormat="1" applyFill="1" applyBorder="1">
      <alignment vertical="center"/>
    </xf>
    <xf numFmtId="0" fontId="23" fillId="0" borderId="30" xfId="0" applyFont="1" applyBorder="1">
      <alignment vertical="center"/>
    </xf>
    <xf numFmtId="176" fontId="16" fillId="0" borderId="2" xfId="0" applyNumberFormat="1" applyFont="1" applyBorder="1">
      <alignment vertical="center"/>
    </xf>
    <xf numFmtId="2" fontId="16" fillId="0" borderId="40" xfId="0" applyNumberFormat="1" applyFont="1" applyBorder="1">
      <alignment vertical="center"/>
    </xf>
    <xf numFmtId="2" fontId="16" fillId="0" borderId="68" xfId="0" applyNumberFormat="1" applyFont="1" applyBorder="1">
      <alignment vertical="center"/>
    </xf>
    <xf numFmtId="2" fontId="16" fillId="0" borderId="63" xfId="0" applyNumberFormat="1" applyFont="1" applyBorder="1">
      <alignment vertical="center"/>
    </xf>
    <xf numFmtId="2" fontId="16" fillId="0" borderId="52" xfId="0" applyNumberFormat="1" applyFont="1" applyBorder="1">
      <alignment vertical="center"/>
    </xf>
    <xf numFmtId="2" fontId="16" fillId="0" borderId="61" xfId="0" applyNumberFormat="1" applyFont="1" applyBorder="1">
      <alignment vertical="center"/>
    </xf>
    <xf numFmtId="2" fontId="16" fillId="0" borderId="69" xfId="0" applyNumberFormat="1" applyFont="1" applyBorder="1">
      <alignment vertical="center"/>
    </xf>
    <xf numFmtId="2" fontId="16" fillId="0" borderId="62" xfId="0" applyNumberFormat="1" applyFont="1" applyBorder="1">
      <alignment vertical="center"/>
    </xf>
    <xf numFmtId="0" fontId="23" fillId="10" borderId="30" xfId="0" applyFont="1" applyFill="1" applyBorder="1">
      <alignment vertical="center"/>
    </xf>
    <xf numFmtId="176" fontId="16" fillId="10" borderId="1" xfId="0" applyNumberFormat="1" applyFont="1" applyFill="1" applyBorder="1">
      <alignment vertical="center"/>
    </xf>
    <xf numFmtId="2" fontId="16" fillId="10" borderId="1" xfId="0" applyNumberFormat="1" applyFont="1" applyFill="1" applyBorder="1">
      <alignment vertical="center"/>
    </xf>
    <xf numFmtId="2" fontId="16" fillId="10" borderId="24" xfId="0" applyNumberFormat="1" applyFont="1" applyFill="1" applyBorder="1">
      <alignment vertical="center"/>
    </xf>
    <xf numFmtId="2" fontId="16" fillId="4" borderId="73" xfId="0" applyNumberFormat="1" applyFont="1" applyFill="1" applyBorder="1">
      <alignment vertical="center"/>
    </xf>
    <xf numFmtId="2" fontId="16" fillId="4" borderId="74" xfId="0" applyNumberFormat="1" applyFont="1" applyFill="1" applyBorder="1">
      <alignment vertical="center"/>
    </xf>
    <xf numFmtId="2" fontId="16" fillId="4" borderId="69" xfId="0" applyNumberFormat="1" applyFont="1" applyFill="1" applyBorder="1">
      <alignment vertical="center"/>
    </xf>
    <xf numFmtId="2" fontId="16" fillId="4" borderId="75" xfId="0" applyNumberFormat="1" applyFont="1" applyFill="1" applyBorder="1">
      <alignment vertical="center"/>
    </xf>
    <xf numFmtId="2" fontId="16" fillId="10" borderId="40" xfId="0" applyNumberFormat="1" applyFont="1" applyFill="1" applyBorder="1">
      <alignment vertical="center"/>
    </xf>
    <xf numFmtId="2" fontId="16" fillId="10" borderId="68" xfId="0" applyNumberFormat="1" applyFont="1" applyFill="1" applyBorder="1">
      <alignment vertical="center"/>
    </xf>
    <xf numFmtId="2" fontId="16" fillId="10" borderId="63" xfId="0" applyNumberFormat="1" applyFont="1" applyFill="1" applyBorder="1">
      <alignment vertical="center"/>
    </xf>
    <xf numFmtId="2" fontId="16" fillId="4" borderId="76" xfId="0" applyNumberFormat="1" applyFont="1" applyFill="1" applyBorder="1">
      <alignment vertical="center"/>
    </xf>
    <xf numFmtId="2" fontId="16" fillId="11" borderId="77" xfId="0" applyNumberFormat="1" applyFont="1" applyFill="1" applyBorder="1">
      <alignment vertical="center"/>
    </xf>
    <xf numFmtId="2" fontId="16" fillId="11" borderId="78" xfId="0" applyNumberFormat="1" applyFont="1" applyFill="1" applyBorder="1">
      <alignment vertical="center"/>
    </xf>
    <xf numFmtId="2" fontId="16" fillId="11" borderId="79" xfId="0" applyNumberFormat="1" applyFont="1" applyFill="1" applyBorder="1">
      <alignment vertical="center"/>
    </xf>
    <xf numFmtId="2" fontId="16" fillId="0" borderId="81" xfId="0" applyNumberFormat="1" applyFont="1" applyBorder="1">
      <alignment vertical="center"/>
    </xf>
    <xf numFmtId="2" fontId="16" fillId="4" borderId="82" xfId="0" applyNumberFormat="1" applyFont="1" applyFill="1" applyBorder="1">
      <alignment vertical="center"/>
    </xf>
    <xf numFmtId="2" fontId="16" fillId="6" borderId="83" xfId="0" applyNumberFormat="1" applyFont="1" applyFill="1" applyBorder="1">
      <alignment vertical="center"/>
    </xf>
    <xf numFmtId="0" fontId="16" fillId="6" borderId="84" xfId="0" applyFont="1" applyFill="1" applyBorder="1">
      <alignment vertical="center"/>
    </xf>
    <xf numFmtId="2" fontId="16" fillId="4" borderId="90" xfId="0" applyNumberFormat="1" applyFont="1" applyFill="1" applyBorder="1">
      <alignment vertical="center"/>
    </xf>
    <xf numFmtId="2" fontId="16" fillId="4" borderId="91" xfId="0" applyNumberFormat="1" applyFont="1" applyFill="1" applyBorder="1">
      <alignment vertical="center"/>
    </xf>
    <xf numFmtId="2" fontId="16" fillId="4" borderId="92" xfId="0" applyNumberFormat="1" applyFont="1" applyFill="1" applyBorder="1">
      <alignment vertical="center"/>
    </xf>
    <xf numFmtId="2" fontId="16" fillId="4" borderId="93" xfId="0" applyNumberFormat="1" applyFont="1" applyFill="1" applyBorder="1">
      <alignment vertical="center"/>
    </xf>
    <xf numFmtId="2" fontId="16" fillId="4" borderId="94" xfId="0" applyNumberFormat="1" applyFont="1" applyFill="1" applyBorder="1">
      <alignment vertical="center"/>
    </xf>
    <xf numFmtId="2" fontId="16" fillId="4" borderId="80" xfId="0" applyNumberFormat="1" applyFont="1" applyFill="1" applyBorder="1">
      <alignment vertical="center"/>
    </xf>
    <xf numFmtId="2" fontId="16" fillId="6" borderId="86" xfId="0" applyNumberFormat="1" applyFont="1" applyFill="1" applyBorder="1">
      <alignment vertical="center"/>
    </xf>
    <xf numFmtId="2" fontId="16" fillId="6" borderId="85" xfId="0" applyNumberFormat="1" applyFont="1" applyFill="1" applyBorder="1">
      <alignment vertical="center"/>
    </xf>
    <xf numFmtId="2" fontId="16" fillId="6" borderId="87" xfId="0" applyNumberFormat="1" applyFont="1" applyFill="1" applyBorder="1">
      <alignment vertical="center"/>
    </xf>
    <xf numFmtId="2" fontId="16" fillId="6" borderId="88" xfId="0" applyNumberFormat="1" applyFont="1" applyFill="1" applyBorder="1">
      <alignment vertical="center"/>
    </xf>
    <xf numFmtId="2" fontId="16" fillId="6" borderId="84" xfId="0" applyNumberFormat="1" applyFont="1" applyFill="1" applyBorder="1">
      <alignment vertical="center"/>
    </xf>
    <xf numFmtId="2" fontId="16" fillId="6" borderId="89" xfId="0" applyNumberFormat="1" applyFont="1" applyFill="1" applyBorder="1">
      <alignment vertical="center"/>
    </xf>
    <xf numFmtId="0" fontId="23" fillId="12" borderId="36" xfId="0" applyFont="1" applyFill="1" applyBorder="1">
      <alignment vertical="center"/>
    </xf>
    <xf numFmtId="176" fontId="16" fillId="12" borderId="7" xfId="0" applyNumberFormat="1" applyFont="1" applyFill="1" applyBorder="1">
      <alignment vertical="center"/>
    </xf>
    <xf numFmtId="176" fontId="16" fillId="12" borderId="95" xfId="0" applyNumberFormat="1" applyFont="1" applyFill="1" applyBorder="1">
      <alignment vertical="center"/>
    </xf>
    <xf numFmtId="176" fontId="16" fillId="12" borderId="96" xfId="0" applyNumberFormat="1" applyFont="1" applyFill="1" applyBorder="1">
      <alignment vertical="center"/>
    </xf>
    <xf numFmtId="176" fontId="16" fillId="12" borderId="97" xfId="0" applyNumberFormat="1" applyFont="1" applyFill="1" applyBorder="1">
      <alignment vertical="center"/>
    </xf>
    <xf numFmtId="176" fontId="16" fillId="12" borderId="98" xfId="0" applyNumberFormat="1" applyFont="1" applyFill="1" applyBorder="1">
      <alignment vertical="center"/>
    </xf>
    <xf numFmtId="176" fontId="16" fillId="12" borderId="99" xfId="0" applyNumberFormat="1" applyFont="1" applyFill="1" applyBorder="1">
      <alignment vertical="center"/>
    </xf>
    <xf numFmtId="176" fontId="16" fillId="12" borderId="100" xfId="0" applyNumberFormat="1" applyFont="1" applyFill="1" applyBorder="1">
      <alignment vertical="center"/>
    </xf>
    <xf numFmtId="176" fontId="16" fillId="12" borderId="101" xfId="0" applyNumberFormat="1" applyFont="1" applyFill="1" applyBorder="1">
      <alignment vertical="center"/>
    </xf>
    <xf numFmtId="2" fontId="16" fillId="11" borderId="80" xfId="0" applyNumberFormat="1" applyFont="1" applyFill="1" applyBorder="1">
      <alignment vertical="center"/>
    </xf>
    <xf numFmtId="2" fontId="16" fillId="11" borderId="93" xfId="0" applyNumberFormat="1" applyFont="1" applyFill="1" applyBorder="1">
      <alignment vertical="center"/>
    </xf>
    <xf numFmtId="176" fontId="26" fillId="0" borderId="0" xfId="0" applyNumberFormat="1" applyFont="1">
      <alignment vertical="center"/>
    </xf>
    <xf numFmtId="0" fontId="27" fillId="0" borderId="0" xfId="0" applyFont="1" applyAlignment="1">
      <alignment horizontal="right"/>
    </xf>
    <xf numFmtId="0" fontId="24" fillId="0" borderId="70" xfId="0" applyFont="1" applyBorder="1" applyAlignment="1">
      <alignment horizontal="center" vertical="center"/>
    </xf>
    <xf numFmtId="0" fontId="24" fillId="0" borderId="71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71" xfId="0" applyFont="1" applyBorder="1" applyAlignment="1">
      <alignment horizontal="center" vertical="center"/>
    </xf>
    <xf numFmtId="0" fontId="25" fillId="0" borderId="72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131319442290437E-2"/>
          <c:y val="8.8479337279101788E-2"/>
          <c:w val="0.91707869971866129"/>
          <c:h val="0.70194968619576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Order!$B$32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Order!$C$32:$O$32</c:f>
              <c:numCache>
                <c:formatCode>0.00</c:formatCode>
                <c:ptCount val="13"/>
                <c:pt idx="0">
                  <c:v>1.7625000000000002</c:v>
                </c:pt>
                <c:pt idx="1">
                  <c:v>8.4</c:v>
                </c:pt>
                <c:pt idx="2">
                  <c:v>1.88</c:v>
                </c:pt>
                <c:pt idx="3">
                  <c:v>1.28</c:v>
                </c:pt>
                <c:pt idx="4">
                  <c:v>1.17</c:v>
                </c:pt>
                <c:pt idx="5">
                  <c:v>1.89</c:v>
                </c:pt>
                <c:pt idx="6">
                  <c:v>0.37</c:v>
                </c:pt>
                <c:pt idx="7">
                  <c:v>0.88</c:v>
                </c:pt>
                <c:pt idx="8">
                  <c:v>0.81</c:v>
                </c:pt>
                <c:pt idx="9">
                  <c:v>0.94</c:v>
                </c:pt>
                <c:pt idx="10">
                  <c:v>1.32</c:v>
                </c:pt>
                <c:pt idx="11">
                  <c:v>1.48</c:v>
                </c:pt>
                <c:pt idx="1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D-49F1-9230-11CE5161D6A2}"/>
            </c:ext>
          </c:extLst>
        </c:ser>
        <c:ser>
          <c:idx val="2"/>
          <c:order val="2"/>
          <c:tx>
            <c:strRef>
              <c:f>Order!$B$33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Order!$C$33:$O$33</c:f>
              <c:numCache>
                <c:formatCode>0.00</c:formatCode>
                <c:ptCount val="13"/>
                <c:pt idx="1">
                  <c:v>2.0670000000000002</c:v>
                </c:pt>
                <c:pt idx="2">
                  <c:v>2.0699999999999998</c:v>
                </c:pt>
                <c:pt idx="3">
                  <c:v>2.0699999999999998</c:v>
                </c:pt>
                <c:pt idx="4">
                  <c:v>2.0699999999999998</c:v>
                </c:pt>
                <c:pt idx="5">
                  <c:v>2.0699999999999998</c:v>
                </c:pt>
                <c:pt idx="6">
                  <c:v>2.0699999999999998</c:v>
                </c:pt>
                <c:pt idx="7">
                  <c:v>2.0699999999999998</c:v>
                </c:pt>
                <c:pt idx="8">
                  <c:v>2.0699999999999998</c:v>
                </c:pt>
                <c:pt idx="9">
                  <c:v>2.0699999999999998</c:v>
                </c:pt>
                <c:pt idx="10">
                  <c:v>2.0699999999999998</c:v>
                </c:pt>
                <c:pt idx="11">
                  <c:v>2.0699999999999998</c:v>
                </c:pt>
                <c:pt idx="12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D-49F1-9230-11CE5161D6A2}"/>
            </c:ext>
          </c:extLst>
        </c:ser>
        <c:ser>
          <c:idx val="4"/>
          <c:order val="3"/>
          <c:tx>
            <c:strRef>
              <c:f>Order!$B$36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66FF99"/>
            </a:solidFill>
            <a:ln w="9525">
              <a:solidFill>
                <a:schemeClr val="tx1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6D-49F1-9230-11CE5161D6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6D-49F1-9230-11CE5161D6A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46D-49F1-9230-11CE5161D6A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46D-49F1-9230-11CE5161D6A2}"/>
              </c:ext>
            </c:extLst>
          </c:dPt>
          <c:dPt>
            <c:idx val="5"/>
            <c:invertIfNegative val="0"/>
            <c:bubble3D val="0"/>
            <c:spPr>
              <a:solidFill>
                <a:srgbClr val="66FF99"/>
              </a:solidFill>
              <a:ln w="9525" cmpd="sng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46D-49F1-9230-11CE5161D6A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46D-49F1-9230-11CE5161D6A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46D-49F1-9230-11CE5161D6A2}"/>
              </c:ext>
            </c:extLst>
          </c:dPt>
          <c:dPt>
            <c:idx val="8"/>
            <c:invertIfNegative val="0"/>
            <c:bubble3D val="0"/>
            <c:spPr>
              <a:solidFill>
                <a:srgbClr val="66FF99"/>
              </a:solidFill>
              <a:ln w="9525"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46D-49F1-9230-11CE5161D6A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46D-49F1-9230-11CE5161D6A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46D-49F1-9230-11CE5161D6A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46D-49F1-9230-11CE5161D6A2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46D-49F1-9230-11CE5161D6A2}"/>
              </c:ext>
            </c:extLst>
          </c:dPt>
          <c:cat>
            <c:strRef>
              <c:f>Order!$C$31:$O$31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Order!$C$36:$O$36</c:f>
              <c:numCache>
                <c:formatCode>0.00</c:formatCode>
                <c:ptCount val="13"/>
                <c:pt idx="1">
                  <c:v>0.67</c:v>
                </c:pt>
                <c:pt idx="2" formatCode="General">
                  <c:v>1.53</c:v>
                </c:pt>
                <c:pt idx="3">
                  <c:v>3.74</c:v>
                </c:pt>
                <c:pt idx="4">
                  <c:v>2.2999999999999998</c:v>
                </c:pt>
                <c:pt idx="5">
                  <c:v>1.89</c:v>
                </c:pt>
                <c:pt idx="6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6D-49F1-9230-11CE5161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356358400"/>
        <c:axId val="373156864"/>
      </c:barChart>
      <c:lineChart>
        <c:grouping val="standard"/>
        <c:varyColors val="0"/>
        <c:ser>
          <c:idx val="1"/>
          <c:order val="1"/>
          <c:tx>
            <c:strRef>
              <c:f>Order!$B$49</c:f>
              <c:strCache>
                <c:ptCount val="1"/>
                <c:pt idx="0">
                  <c:v>1/6 plan</c:v>
                </c:pt>
              </c:strCache>
            </c:strRef>
          </c:tx>
          <c:marker>
            <c:symbol val="none"/>
          </c:marker>
          <c:dPt>
            <c:idx val="7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2-846D-49F1-9230-11CE5161D6A2}"/>
              </c:ext>
            </c:extLst>
          </c:dPt>
          <c:dPt>
            <c:idx val="13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4-846D-49F1-9230-11CE5161D6A2}"/>
              </c:ext>
            </c:extLst>
          </c:dPt>
          <c:dPt>
            <c:idx val="15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6-846D-49F1-9230-11CE5161D6A2}"/>
              </c:ext>
            </c:extLst>
          </c:dPt>
          <c:cat>
            <c:strRef>
              <c:f>Order!$C$31:$O$31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Order!$C$49:$O$49</c:f>
              <c:numCache>
                <c:formatCode>0.00</c:formatCode>
                <c:ptCount val="13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46D-49F1-9230-11CE5161D6A2}"/>
            </c:ext>
          </c:extLst>
        </c:ser>
        <c:ser>
          <c:idx val="5"/>
          <c:order val="4"/>
          <c:tx>
            <c:strRef>
              <c:f>Order!$B$34</c:f>
              <c:strCache>
                <c:ptCount val="1"/>
                <c:pt idx="0">
                  <c:v>Last month forecast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5"/>
            <c:spPr>
              <a:solidFill>
                <a:srgbClr val="FF0066"/>
              </a:solidFill>
              <a:ln>
                <a:solidFill>
                  <a:srgbClr val="FF0066"/>
                </a:solidFill>
              </a:ln>
            </c:spPr>
          </c:marker>
          <c:cat>
            <c:strRef>
              <c:f>Order!$C$31:$O$31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Order!$C$34:$O$34</c:f>
              <c:numCache>
                <c:formatCode>0.00</c:formatCode>
                <c:ptCount val="13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6D-49F1-9230-11CE5161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358400"/>
        <c:axId val="373156864"/>
      </c:lineChart>
      <c:catAx>
        <c:axId val="35635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73156864"/>
        <c:crosses val="autoZero"/>
        <c:auto val="1"/>
        <c:lblAlgn val="ctr"/>
        <c:lblOffset val="100"/>
        <c:noMultiLvlLbl val="0"/>
      </c:catAx>
      <c:valAx>
        <c:axId val="3731568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5635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528384279475985"/>
          <c:y val="0.87473642088064973"/>
          <c:w val="0.611353711790393"/>
          <c:h val="0.11464991924163856"/>
        </c:manualLayout>
      </c:layout>
      <c:overlay val="0"/>
      <c:txPr>
        <a:bodyPr/>
        <a:lstStyle/>
        <a:p>
          <a:pPr>
            <a:defRPr lang="ja-JP"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52294392763211"/>
          <c:y val="0.12008659190056849"/>
          <c:w val="0.75515602617363753"/>
          <c:h val="0.77725620031967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Order!$B$32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Order!$Q$32:$T$32</c:f>
              <c:numCache>
                <c:formatCode>0.00</c:formatCode>
                <c:ptCount val="4"/>
                <c:pt idx="0">
                  <c:v>11.56</c:v>
                </c:pt>
                <c:pt idx="1">
                  <c:v>3.4299999999999997</c:v>
                </c:pt>
                <c:pt idx="2">
                  <c:v>2.63</c:v>
                </c:pt>
                <c:pt idx="3">
                  <c:v>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D-4E81-B19F-8FA8B280949C}"/>
            </c:ext>
          </c:extLst>
        </c:ser>
        <c:ser>
          <c:idx val="2"/>
          <c:order val="2"/>
          <c:tx>
            <c:strRef>
              <c:f>Order!$B$33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Order!$Q$33:$T$33</c:f>
              <c:numCache>
                <c:formatCode>0.00</c:formatCode>
                <c:ptCount val="4"/>
                <c:pt idx="0">
                  <c:v>6.2070000000000007</c:v>
                </c:pt>
                <c:pt idx="1">
                  <c:v>6.2099999999999991</c:v>
                </c:pt>
                <c:pt idx="2">
                  <c:v>6.2099999999999991</c:v>
                </c:pt>
                <c:pt idx="3">
                  <c:v>6.2099999999999991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D-4E81-B19F-8FA8B280949C}"/>
            </c:ext>
          </c:extLst>
        </c:ser>
        <c:ser>
          <c:idx val="3"/>
          <c:order val="3"/>
          <c:tx>
            <c:strRef>
              <c:f>Order!$B$35</c:f>
              <c:strCache>
                <c:ptCount val="1"/>
                <c:pt idx="0">
                  <c:v>Order Backlog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Order!$Q$35:$T$35</c:f>
            </c:numRef>
          </c:val>
          <c:extLst>
            <c:ext xmlns:c16="http://schemas.microsoft.com/office/drawing/2014/chart" uri="{C3380CC4-5D6E-409C-BE32-E72D297353CC}">
              <c16:uniqueId val="{00000002-D63D-4E81-B19F-8FA8B280949C}"/>
            </c:ext>
          </c:extLst>
        </c:ser>
        <c:ser>
          <c:idx val="4"/>
          <c:order val="4"/>
          <c:tx>
            <c:strRef>
              <c:f>Order!$B$36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66FF99"/>
            </a:solidFill>
            <a:ln>
              <a:solidFill>
                <a:schemeClr val="tx1"/>
              </a:solidFill>
              <a:prstDash val="dash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6FF99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3D-4E81-B19F-8FA8B280949C}"/>
              </c:ext>
            </c:extLst>
          </c:dPt>
          <c:dPt>
            <c:idx val="1"/>
            <c:invertIfNegative val="0"/>
            <c:bubble3D val="0"/>
            <c:spPr>
              <a:solidFill>
                <a:srgbClr val="66FF99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3D-4E81-B19F-8FA8B280949C}"/>
              </c:ext>
            </c:extLst>
          </c:dPt>
          <c:dPt>
            <c:idx val="2"/>
            <c:invertIfNegative val="0"/>
            <c:bubble3D val="0"/>
            <c:spPr>
              <a:solidFill>
                <a:srgbClr val="66FF99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3D-4E81-B19F-8FA8B280949C}"/>
              </c:ext>
            </c:extLst>
          </c:dPt>
          <c:dPt>
            <c:idx val="3"/>
            <c:invertIfNegative val="0"/>
            <c:bubble3D val="0"/>
            <c:spPr>
              <a:solidFill>
                <a:srgbClr val="66FF99"/>
              </a:solidFill>
              <a:ln cmpd="sng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63D-4E81-B19F-8FA8B280949C}"/>
              </c:ext>
            </c:extLst>
          </c:dPt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Order!$Q$36:$T$36</c:f>
              <c:numCache>
                <c:formatCode>0.00</c:formatCode>
                <c:ptCount val="4"/>
                <c:pt idx="0">
                  <c:v>5.94</c:v>
                </c:pt>
                <c:pt idx="1">
                  <c:v>5.3299999999999992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3D-4E81-B19F-8FA8B280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299212160"/>
        <c:axId val="300270720"/>
      </c:barChart>
      <c:lineChart>
        <c:grouping val="standard"/>
        <c:varyColors val="0"/>
        <c:ser>
          <c:idx val="1"/>
          <c:order val="1"/>
          <c:tx>
            <c:strRef>
              <c:f>Order!$B$49</c:f>
              <c:strCache>
                <c:ptCount val="1"/>
                <c:pt idx="0">
                  <c:v>1/6 plan</c:v>
                </c:pt>
              </c:strCache>
            </c:strRef>
          </c:tx>
          <c:marker>
            <c:symbol val="none"/>
          </c:marker>
          <c:dPt>
            <c:idx val="7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0D-D63D-4E81-B19F-8FA8B280949C}"/>
              </c:ext>
            </c:extLst>
          </c:dPt>
          <c:dPt>
            <c:idx val="13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0F-D63D-4E81-B19F-8FA8B280949C}"/>
              </c:ext>
            </c:extLst>
          </c:dPt>
          <c:dPt>
            <c:idx val="15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1-D63D-4E81-B19F-8FA8B280949C}"/>
              </c:ext>
            </c:extLst>
          </c:dPt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Order!$Q$34:$T$34</c:f>
              <c:numCache>
                <c:formatCode>0.00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3D-4E81-B19F-8FA8B280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212160"/>
        <c:axId val="300270720"/>
      </c:lineChart>
      <c:catAx>
        <c:axId val="29921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00270720"/>
        <c:crosses val="autoZero"/>
        <c:auto val="1"/>
        <c:lblAlgn val="ctr"/>
        <c:lblOffset val="100"/>
        <c:noMultiLvlLbl val="0"/>
      </c:catAx>
      <c:valAx>
        <c:axId val="3002707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2992121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438054205722041E-2"/>
          <c:y val="6.4105128750798046E-2"/>
          <c:w val="0.94044986654111729"/>
          <c:h val="0.718454584657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Sales!$C$32:$O$32</c:f>
              <c:numCache>
                <c:formatCode>0.00</c:formatCode>
                <c:ptCount val="13"/>
                <c:pt idx="0">
                  <c:v>2.1774999999999998</c:v>
                </c:pt>
                <c:pt idx="1">
                  <c:v>2.65</c:v>
                </c:pt>
                <c:pt idx="2">
                  <c:v>0.89</c:v>
                </c:pt>
                <c:pt idx="3">
                  <c:v>8.3699999999999992</c:v>
                </c:pt>
                <c:pt idx="4">
                  <c:v>1.76</c:v>
                </c:pt>
                <c:pt idx="5">
                  <c:v>0.93</c:v>
                </c:pt>
                <c:pt idx="6">
                  <c:v>1.48</c:v>
                </c:pt>
                <c:pt idx="7">
                  <c:v>1.29</c:v>
                </c:pt>
                <c:pt idx="8">
                  <c:v>1.02</c:v>
                </c:pt>
                <c:pt idx="9">
                  <c:v>2.86</c:v>
                </c:pt>
                <c:pt idx="10">
                  <c:v>1.28</c:v>
                </c:pt>
                <c:pt idx="11">
                  <c:v>1.41</c:v>
                </c:pt>
                <c:pt idx="12">
                  <c:v>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4-462F-9653-7E6B5EBAF39B}"/>
            </c:ext>
          </c:extLst>
        </c:ser>
        <c:ser>
          <c:idx val="2"/>
          <c:order val="2"/>
          <c:tx>
            <c:strRef>
              <c:f>Sales!$B$33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8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114-462F-9653-7E6B5EBAF39B}"/>
              </c:ext>
            </c:extLst>
          </c:dPt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Sales!$C$33:$O$33</c:f>
              <c:numCache>
                <c:formatCode>0.00</c:formatCode>
                <c:ptCount val="13"/>
                <c:pt idx="1">
                  <c:v>2.0670000000000002</c:v>
                </c:pt>
                <c:pt idx="2">
                  <c:v>2.0699999999999998</c:v>
                </c:pt>
                <c:pt idx="3">
                  <c:v>2.0699999999999998</c:v>
                </c:pt>
                <c:pt idx="4">
                  <c:v>2.0699999999999998</c:v>
                </c:pt>
                <c:pt idx="5">
                  <c:v>2.0699999999999998</c:v>
                </c:pt>
                <c:pt idx="6">
                  <c:v>2.0699999999999998</c:v>
                </c:pt>
                <c:pt idx="7">
                  <c:v>2.0699999999999998</c:v>
                </c:pt>
                <c:pt idx="8">
                  <c:v>2.0699999999999998</c:v>
                </c:pt>
                <c:pt idx="9">
                  <c:v>2.0699999999999998</c:v>
                </c:pt>
                <c:pt idx="10">
                  <c:v>2.0699999999999998</c:v>
                </c:pt>
                <c:pt idx="11">
                  <c:v>2.0699999999999998</c:v>
                </c:pt>
                <c:pt idx="12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14-462F-9653-7E6B5EBAF39B}"/>
            </c:ext>
          </c:extLst>
        </c:ser>
        <c:ser>
          <c:idx val="3"/>
          <c:order val="3"/>
          <c:tx>
            <c:strRef>
              <c:f>Sales!$B$35</c:f>
              <c:strCache>
                <c:ptCount val="1"/>
                <c:pt idx="0">
                  <c:v>A：Order backlog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Sales!$C$35:$O$35</c:f>
              <c:numCache>
                <c:formatCode>0.00</c:formatCode>
                <c:ptCount val="13"/>
                <c:pt idx="1">
                  <c:v>1.53</c:v>
                </c:pt>
                <c:pt idx="2">
                  <c:v>8.3000000000000007</c:v>
                </c:pt>
                <c:pt idx="3">
                  <c:v>1.1499999999999999</c:v>
                </c:pt>
                <c:pt idx="4">
                  <c:v>5.82</c:v>
                </c:pt>
                <c:pt idx="5">
                  <c:v>4.9800000000000004</c:v>
                </c:pt>
                <c:pt idx="6">
                  <c:v>4.4400000000000004</c:v>
                </c:pt>
                <c:pt idx="7">
                  <c:v>5.53</c:v>
                </c:pt>
                <c:pt idx="8">
                  <c:v>2.1</c:v>
                </c:pt>
                <c:pt idx="9">
                  <c:v>1.39</c:v>
                </c:pt>
                <c:pt idx="10">
                  <c:v>1.33</c:v>
                </c:pt>
                <c:pt idx="11">
                  <c:v>1.68</c:v>
                </c:pt>
                <c:pt idx="1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14-462F-9653-7E6B5EBAF39B}"/>
            </c:ext>
          </c:extLst>
        </c:ser>
        <c:ser>
          <c:idx val="4"/>
          <c:order val="4"/>
          <c:tx>
            <c:strRef>
              <c:f>Sales!$B$39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66FF99"/>
            </a:solidFill>
            <a:ln w="9525">
              <a:solidFill>
                <a:schemeClr val="tx2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114-462F-9653-7E6B5EBAF39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114-462F-9653-7E6B5EBAF39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114-462F-9653-7E6B5EBAF39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114-462F-9653-7E6B5EBAF39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114-462F-9653-7E6B5EBAF39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114-462F-9653-7E6B5EBAF39B}"/>
              </c:ext>
            </c:extLst>
          </c:dPt>
          <c:dPt>
            <c:idx val="7"/>
            <c:invertIfNegative val="0"/>
            <c:bubble3D val="0"/>
            <c:spPr>
              <a:solidFill>
                <a:srgbClr val="66FF99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114-462F-9653-7E6B5EBAF39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114-462F-9653-7E6B5EBAF39B}"/>
              </c:ext>
            </c:extLst>
          </c:dPt>
          <c:dPt>
            <c:idx val="9"/>
            <c:invertIfNegative val="0"/>
            <c:bubble3D val="0"/>
            <c:spPr>
              <a:solidFill>
                <a:srgbClr val="66FF99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114-462F-9653-7E6B5EBAF39B}"/>
              </c:ext>
            </c:extLst>
          </c:dPt>
          <c:dPt>
            <c:idx val="10"/>
            <c:invertIfNegative val="0"/>
            <c:bubble3D val="0"/>
            <c:spPr>
              <a:solidFill>
                <a:srgbClr val="66FF99"/>
              </a:solidFill>
              <a:ln w="9525" cmpd="sng"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114-462F-9653-7E6B5EBAF39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114-462F-9653-7E6B5EBAF39B}"/>
              </c:ext>
            </c:extLst>
          </c:dPt>
          <c:dPt>
            <c:idx val="12"/>
            <c:invertIfNegative val="0"/>
            <c:bubble3D val="0"/>
            <c:spPr>
              <a:solidFill>
                <a:srgbClr val="66FF99"/>
              </a:solidFill>
              <a:ln w="9525" cmpd="sng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114-462F-9653-7E6B5EBAF39B}"/>
              </c:ext>
            </c:extLst>
          </c:dPt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Sales!$C$39:$O$39</c:f>
              <c:numCache>
                <c:formatCode>General</c:formatCode>
                <c:ptCount val="13"/>
                <c:pt idx="1">
                  <c:v>0.88</c:v>
                </c:pt>
                <c:pt idx="2">
                  <c:v>1.58</c:v>
                </c:pt>
                <c:pt idx="3">
                  <c:v>1.7</c:v>
                </c:pt>
                <c:pt idx="4">
                  <c:v>2.76</c:v>
                </c:pt>
                <c:pt idx="5">
                  <c:v>2.2200000000000002</c:v>
                </c:pt>
                <c:pt idx="6">
                  <c:v>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114-462F-9653-7E6B5EBA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310399744"/>
        <c:axId val="310401664"/>
      </c:barChart>
      <c:lineChart>
        <c:grouping val="standard"/>
        <c:varyColors val="0"/>
        <c:ser>
          <c:idx val="1"/>
          <c:order val="1"/>
          <c:tx>
            <c:strRef>
              <c:f>Sales!$B$37</c:f>
              <c:strCache>
                <c:ptCount val="1"/>
                <c:pt idx="0">
                  <c:v>Sales forecast (A+B)</c:v>
                </c:pt>
              </c:strCache>
            </c:strRef>
          </c:tx>
          <c:spPr>
            <a:ln w="31750">
              <a:noFill/>
            </a:ln>
          </c:spPr>
          <c:marker>
            <c:spPr>
              <a:solidFill>
                <a:srgbClr val="FFCCFF"/>
              </a:solidFill>
              <a:ln w="9525">
                <a:solidFill>
                  <a:srgbClr val="FF99FF"/>
                </a:solidFill>
              </a:ln>
            </c:spPr>
          </c:marker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6-D114-462F-9653-7E6B5EBAF39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7-D114-462F-9653-7E6B5EBAF39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8-D114-462F-9653-7E6B5EBAF39B}"/>
              </c:ext>
            </c:extLst>
          </c:dPt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Sales!$C$37:$O$37</c:f>
              <c:numCache>
                <c:formatCode>0.00</c:formatCode>
                <c:ptCount val="13"/>
                <c:pt idx="1">
                  <c:v>1.53</c:v>
                </c:pt>
                <c:pt idx="2">
                  <c:v>8.3000000000000007</c:v>
                </c:pt>
                <c:pt idx="3">
                  <c:v>1.1499999999999999</c:v>
                </c:pt>
                <c:pt idx="4">
                  <c:v>5.82</c:v>
                </c:pt>
                <c:pt idx="5">
                  <c:v>4.9800000000000004</c:v>
                </c:pt>
                <c:pt idx="6">
                  <c:v>4.4400000000000004</c:v>
                </c:pt>
                <c:pt idx="7">
                  <c:v>5.53</c:v>
                </c:pt>
                <c:pt idx="8">
                  <c:v>2.1</c:v>
                </c:pt>
                <c:pt idx="9">
                  <c:v>1.39</c:v>
                </c:pt>
                <c:pt idx="10">
                  <c:v>1.33</c:v>
                </c:pt>
                <c:pt idx="11">
                  <c:v>1.68</c:v>
                </c:pt>
                <c:pt idx="1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114-462F-9653-7E6B5EBAF39B}"/>
            </c:ext>
          </c:extLst>
        </c:ser>
        <c:ser>
          <c:idx val="5"/>
          <c:order val="5"/>
          <c:tx>
            <c:strRef>
              <c:f>Sales!$B$34</c:f>
              <c:strCache>
                <c:ptCount val="1"/>
                <c:pt idx="0">
                  <c:v>Last month forecast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5"/>
            <c:spPr>
              <a:solidFill>
                <a:srgbClr val="FF0066"/>
              </a:solidFill>
              <a:ln>
                <a:solidFill>
                  <a:srgbClr val="FF0066"/>
                </a:solidFill>
              </a:ln>
            </c:spPr>
          </c:marker>
          <c:cat>
            <c:strRef>
              <c:f>Sales!$C$31:$O$31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Sales!$C$34:$O$34</c:f>
            </c:numRef>
          </c:val>
          <c:smooth val="0"/>
          <c:extLst>
            <c:ext xmlns:c16="http://schemas.microsoft.com/office/drawing/2014/chart" uri="{C3380CC4-5D6E-409C-BE32-E72D297353CC}">
              <c16:uniqueId val="{0000001A-D114-462F-9653-7E6B5EBA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399744"/>
        <c:axId val="310401664"/>
      </c:lineChart>
      <c:catAx>
        <c:axId val="3103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401664"/>
        <c:crosses val="autoZero"/>
        <c:auto val="1"/>
        <c:lblAlgn val="ctr"/>
        <c:lblOffset val="100"/>
        <c:noMultiLvlLbl val="0"/>
      </c:catAx>
      <c:valAx>
        <c:axId val="3104016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3997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163353500432152"/>
          <c:y val="0.86480777311034429"/>
          <c:w val="0.69835782195332752"/>
          <c:h val="0.12875549971866168"/>
        </c:manualLayout>
      </c:layout>
      <c:overlay val="0"/>
      <c:txPr>
        <a:bodyPr/>
        <a:lstStyle/>
        <a:p>
          <a:pPr>
            <a:defRPr lang="ja-JP"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52294392763211"/>
          <c:y val="0.12008659190056849"/>
          <c:w val="0.75515602617363753"/>
          <c:h val="0.77725620031967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Sales!$Q$31:$T$31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Sales!$Q$32:$T$32</c:f>
              <c:numCache>
                <c:formatCode>0.00</c:formatCode>
                <c:ptCount val="4"/>
                <c:pt idx="0">
                  <c:v>11.91</c:v>
                </c:pt>
                <c:pt idx="1">
                  <c:v>4.17</c:v>
                </c:pt>
                <c:pt idx="2">
                  <c:v>5.17</c:v>
                </c:pt>
                <c:pt idx="3">
                  <c:v>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2-4495-B9A9-383D3D102DA3}"/>
            </c:ext>
          </c:extLst>
        </c:ser>
        <c:ser>
          <c:idx val="2"/>
          <c:order val="2"/>
          <c:tx>
            <c:strRef>
              <c:f>Sales!$B$33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Sales!$Q$31:$T$31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Sales!$Q$33:$T$33</c:f>
              <c:numCache>
                <c:formatCode>0.00</c:formatCode>
                <c:ptCount val="4"/>
                <c:pt idx="0">
                  <c:v>6.2070000000000007</c:v>
                </c:pt>
                <c:pt idx="1">
                  <c:v>6.2099999999999991</c:v>
                </c:pt>
                <c:pt idx="2">
                  <c:v>6.2099999999999991</c:v>
                </c:pt>
                <c:pt idx="3">
                  <c:v>6.2099999999999991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2-4495-B9A9-383D3D102DA3}"/>
            </c:ext>
          </c:extLst>
        </c:ser>
        <c:ser>
          <c:idx val="3"/>
          <c:order val="3"/>
          <c:tx>
            <c:strRef>
              <c:f>Sales!$B$35</c:f>
              <c:strCache>
                <c:ptCount val="1"/>
                <c:pt idx="0">
                  <c:v>A：Order backlog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Sales!$Q$31:$T$31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Sales!$Q$35:$T$35</c:f>
              <c:numCache>
                <c:formatCode>0.00</c:formatCode>
                <c:ptCount val="4"/>
                <c:pt idx="0">
                  <c:v>10.98</c:v>
                </c:pt>
                <c:pt idx="1">
                  <c:v>15.240000000000002</c:v>
                </c:pt>
                <c:pt idx="2">
                  <c:v>9.0200000000000014</c:v>
                </c:pt>
                <c:pt idx="3">
                  <c:v>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2-4495-B9A9-383D3D102DA3}"/>
            </c:ext>
          </c:extLst>
        </c:ser>
        <c:ser>
          <c:idx val="4"/>
          <c:order val="4"/>
          <c:tx>
            <c:strRef>
              <c:f>Sales!$B$39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66FF99"/>
            </a:solidFill>
            <a:ln>
              <a:solidFill>
                <a:schemeClr val="tx1"/>
              </a:solidFill>
              <a:prstDash val="dash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6FF99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3E2-4495-B9A9-383D3D102DA3}"/>
              </c:ext>
            </c:extLst>
          </c:dPt>
          <c:dPt>
            <c:idx val="1"/>
            <c:invertIfNegative val="0"/>
            <c:bubble3D val="0"/>
            <c:spPr>
              <a:solidFill>
                <a:srgbClr val="66FF99"/>
              </a:solidFill>
              <a:ln w="9525"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3E2-4495-B9A9-383D3D102DA3}"/>
              </c:ext>
            </c:extLst>
          </c:dPt>
          <c:dPt>
            <c:idx val="2"/>
            <c:invertIfNegative val="0"/>
            <c:bubble3D val="0"/>
            <c:spPr>
              <a:solidFill>
                <a:srgbClr val="66FF99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3E2-4495-B9A9-383D3D102DA3}"/>
              </c:ext>
            </c:extLst>
          </c:dPt>
          <c:dPt>
            <c:idx val="3"/>
            <c:invertIfNegative val="0"/>
            <c:bubble3D val="0"/>
            <c:spPr>
              <a:solidFill>
                <a:srgbClr val="66FF99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3E2-4495-B9A9-383D3D102DA3}"/>
              </c:ext>
            </c:extLst>
          </c:dPt>
          <c:cat>
            <c:strRef>
              <c:f>Sales!$Q$31:$T$31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Sales!$Q$39:$T$39</c:f>
              <c:numCache>
                <c:formatCode>0.00</c:formatCode>
                <c:ptCount val="4"/>
                <c:pt idx="0">
                  <c:v>4.16</c:v>
                </c:pt>
                <c:pt idx="1">
                  <c:v>7.99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E2-4495-B9A9-383D3D10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310428800"/>
        <c:axId val="310430336"/>
      </c:barChart>
      <c:lineChart>
        <c:grouping val="standard"/>
        <c:varyColors val="0"/>
        <c:ser>
          <c:idx val="1"/>
          <c:order val="1"/>
          <c:tx>
            <c:strRef>
              <c:f>Sales!$B$52</c:f>
              <c:strCache>
                <c:ptCount val="1"/>
                <c:pt idx="0">
                  <c:v>1/6 plan</c:v>
                </c:pt>
              </c:strCache>
            </c:strRef>
          </c:tx>
          <c:spPr>
            <a:ln>
              <a:solidFill>
                <a:srgbClr val="FFCCFF"/>
              </a:solidFill>
            </a:ln>
          </c:spPr>
          <c:marker>
            <c:symbol val="square"/>
            <c:size val="5"/>
            <c:spPr>
              <a:solidFill>
                <a:srgbClr val="FFCCFF"/>
              </a:solidFill>
              <a:ln w="9525" cap="sq">
                <a:solidFill>
                  <a:srgbClr val="FF99FF"/>
                </a:solidFill>
              </a:ln>
            </c:spPr>
          </c:marker>
          <c:dPt>
            <c:idx val="7"/>
            <c:bubble3D val="0"/>
            <c:spPr>
              <a:ln w="3175">
                <a:solidFill>
                  <a:srgbClr val="FFCC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3E2-4495-B9A9-383D3D102DA3}"/>
              </c:ext>
            </c:extLst>
          </c:dPt>
          <c:dPt>
            <c:idx val="13"/>
            <c:bubble3D val="0"/>
            <c:spPr>
              <a:ln w="3175">
                <a:solidFill>
                  <a:srgbClr val="FFCC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3E2-4495-B9A9-383D3D102DA3}"/>
              </c:ext>
            </c:extLst>
          </c:dPt>
          <c:dPt>
            <c:idx val="15"/>
            <c:bubble3D val="0"/>
            <c:spPr>
              <a:ln w="3175">
                <a:solidFill>
                  <a:srgbClr val="FFCC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3E2-4495-B9A9-383D3D102DA3}"/>
              </c:ext>
            </c:extLst>
          </c:dPt>
          <c:cat>
            <c:strRef>
              <c:f>Sales!$Q$31:$T$31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Sales!$Q$37:$T$37</c:f>
              <c:numCache>
                <c:formatCode>0.00</c:formatCode>
                <c:ptCount val="4"/>
                <c:pt idx="0">
                  <c:v>10.98</c:v>
                </c:pt>
                <c:pt idx="1">
                  <c:v>15.240000000000002</c:v>
                </c:pt>
                <c:pt idx="2">
                  <c:v>9.0200000000000014</c:v>
                </c:pt>
                <c:pt idx="3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E2-4495-B9A9-383D3D10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428800"/>
        <c:axId val="310430336"/>
      </c:lineChart>
      <c:catAx>
        <c:axId val="31042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430336"/>
        <c:crosses val="autoZero"/>
        <c:auto val="1"/>
        <c:lblAlgn val="ctr"/>
        <c:lblOffset val="100"/>
        <c:noMultiLvlLbl val="0"/>
      </c:catAx>
      <c:valAx>
        <c:axId val="3104303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4288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131319442290437E-2"/>
          <c:y val="8.8479337279101788E-2"/>
          <c:w val="0.91707869971866129"/>
          <c:h val="0.70194968619576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Profit!$C$31:$O$31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Profit!$C$32:$O$32</c:f>
              <c:numCache>
                <c:formatCode>0.00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A-46C2-BCAC-1BA187CFD39C}"/>
            </c:ext>
          </c:extLst>
        </c:ser>
        <c:ser>
          <c:idx val="2"/>
          <c:order val="2"/>
          <c:tx>
            <c:strRef>
              <c:f>Profit!$B$33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Profit!$C$31:$O$31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Profit!$C$33:$O$33</c:f>
              <c:numCache>
                <c:formatCode>0.00</c:formatCode>
                <c:ptCount val="13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A-46C2-BCAC-1BA187CFD39C}"/>
            </c:ext>
          </c:extLst>
        </c:ser>
        <c:ser>
          <c:idx val="4"/>
          <c:order val="3"/>
          <c:tx>
            <c:strRef>
              <c:f>Profit!$B$36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99FF99"/>
            </a:solidFill>
            <a:ln w="9525">
              <a:solidFill>
                <a:schemeClr val="tx1"/>
              </a:solidFill>
              <a:prstDash val="dash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8A-46C2-BCAC-1BA187CFD39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8A-46C2-BCAC-1BA187CFD39C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8A-46C2-BCAC-1BA187CFD39C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38A-46C2-BCAC-1BA187CFD39C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/>
              </a:solidFill>
              <a:ln w="9525" cmpd="sng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38A-46C2-BCAC-1BA187CFD39C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38A-46C2-BCAC-1BA187CFD39C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38A-46C2-BCAC-1BA187CFD39C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38A-46C2-BCAC-1BA187CFD39C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38A-46C2-BCAC-1BA187CFD39C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38A-46C2-BCAC-1BA187CFD39C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538A-46C2-BCAC-1BA187CFD39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538A-46C2-BCAC-1BA187CFD39C}"/>
              </c:ext>
            </c:extLst>
          </c:dPt>
          <c:cat>
            <c:strRef>
              <c:f>Profit!$C$31:$O$31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Profit!$C$36:$O$36</c:f>
              <c:numCache>
                <c:formatCode>0.0</c:formatCode>
                <c:ptCount val="13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 formatCode="#,##0.0_ ">
                  <c:v>2</c:v>
                </c:pt>
                <c:pt idx="5" formatCode="#,##0.0_ ">
                  <c:v>2</c:v>
                </c:pt>
                <c:pt idx="6" formatCode="#,##0.0_);\(#,##0.0\)">
                  <c:v>2</c:v>
                </c:pt>
                <c:pt idx="7" formatCode="0.0_);\(0.0\)">
                  <c:v>2</c:v>
                </c:pt>
                <c:pt idx="8" formatCode="0.0_);\(0.0\)">
                  <c:v>2</c:v>
                </c:pt>
                <c:pt idx="9" formatCode="#,##0.0_);\(#,##0.0\)">
                  <c:v>2</c:v>
                </c:pt>
                <c:pt idx="10" formatCode="0.0_);\(0.0\)">
                  <c:v>2</c:v>
                </c:pt>
                <c:pt idx="11" formatCode="0.0_);\(0.0\)">
                  <c:v>2</c:v>
                </c:pt>
                <c:pt idx="12" formatCode="#,##0.0_);\(#,##0.0\)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38A-46C2-BCAC-1BA187CF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310596352"/>
        <c:axId val="310598272"/>
      </c:barChart>
      <c:lineChart>
        <c:grouping val="standard"/>
        <c:varyColors val="0"/>
        <c:ser>
          <c:idx val="1"/>
          <c:order val="1"/>
          <c:tx>
            <c:strRef>
              <c:f>Profit!$B$49</c:f>
              <c:strCache>
                <c:ptCount val="1"/>
                <c:pt idx="0">
                  <c:v>1/6 plan</c:v>
                </c:pt>
              </c:strCache>
            </c:strRef>
          </c:tx>
          <c:marker>
            <c:symbol val="none"/>
          </c:marker>
          <c:dPt>
            <c:idx val="7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9-538A-46C2-BCAC-1BA187CFD39C}"/>
              </c:ext>
            </c:extLst>
          </c:dPt>
          <c:dPt>
            <c:idx val="13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B-538A-46C2-BCAC-1BA187CFD39C}"/>
              </c:ext>
            </c:extLst>
          </c:dPt>
          <c:dPt>
            <c:idx val="15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D-538A-46C2-BCAC-1BA187CFD39C}"/>
              </c:ext>
            </c:extLst>
          </c:dPt>
          <c:cat>
            <c:strRef>
              <c:f>Profit!$C$31:$O$31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Profit!$C$49:$O$49</c:f>
              <c:numCache>
                <c:formatCode>0.0</c:formatCode>
                <c:ptCount val="13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38A-46C2-BCAC-1BA187CFD39C}"/>
            </c:ext>
          </c:extLst>
        </c:ser>
        <c:ser>
          <c:idx val="5"/>
          <c:order val="4"/>
          <c:tx>
            <c:strRef>
              <c:f>Profit!$B$34</c:f>
              <c:strCache>
                <c:ptCount val="1"/>
                <c:pt idx="0">
                  <c:v>Last month forecast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5"/>
            <c:spPr>
              <a:solidFill>
                <a:srgbClr val="FF0066"/>
              </a:solidFill>
              <a:ln>
                <a:solidFill>
                  <a:srgbClr val="FF0066"/>
                </a:solidFill>
              </a:ln>
            </c:spPr>
          </c:marker>
          <c:cat>
            <c:strRef>
              <c:f>Profit!$C$31:$O$31</c:f>
              <c:strCache>
                <c:ptCount val="13"/>
                <c:pt idx="0">
                  <c:v>Monthly average of previous year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Profit!$C$34:$O$34</c:f>
              <c:numCache>
                <c:formatCode>0.00</c:formatCode>
                <c:ptCount val="13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38A-46C2-BCAC-1BA187CF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596352"/>
        <c:axId val="310598272"/>
      </c:lineChart>
      <c:catAx>
        <c:axId val="31059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598272"/>
        <c:crosses val="autoZero"/>
        <c:auto val="1"/>
        <c:lblAlgn val="ctr"/>
        <c:lblOffset val="100"/>
        <c:noMultiLvlLbl val="0"/>
      </c:catAx>
      <c:valAx>
        <c:axId val="310598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5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25377107364685"/>
          <c:y val="0.84925866104917447"/>
          <c:w val="0.61135758651286598"/>
          <c:h val="0.14437397237835967"/>
        </c:manualLayout>
      </c:layout>
      <c:overlay val="0"/>
      <c:txPr>
        <a:bodyPr/>
        <a:lstStyle/>
        <a:p>
          <a:pPr>
            <a:defRPr lang="ja-JP" sz="92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52294392763211"/>
          <c:y val="0.12008659190056849"/>
          <c:w val="0.75515602617363753"/>
          <c:h val="0.77725620031967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Profit!$B$32</c:f>
              <c:strCache>
                <c:ptCount val="1"/>
                <c:pt idx="0">
                  <c:v>Previous year results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Profit!$Q$31:$T$31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Profit!$Q$32:$T$32</c:f>
              <c:numCache>
                <c:formatCode>0.00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7-4B0D-839F-BA3D63E4CC83}"/>
            </c:ext>
          </c:extLst>
        </c:ser>
        <c:ser>
          <c:idx val="2"/>
          <c:order val="2"/>
          <c:tx>
            <c:strRef>
              <c:f>Profit!$B$33</c:f>
              <c:strCache>
                <c:ptCount val="1"/>
                <c:pt idx="0">
                  <c:v>NIGIRI Plan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Profit!$Q$31:$T$31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Profit!$Q$33:$T$33</c:f>
              <c:numCache>
                <c:formatCode>0.00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7-4B0D-839F-BA3D63E4CC83}"/>
            </c:ext>
          </c:extLst>
        </c:ser>
        <c:ser>
          <c:idx val="3"/>
          <c:order val="3"/>
          <c:tx>
            <c:strRef>
              <c:f>Order!$B$35</c:f>
              <c:strCache>
                <c:ptCount val="1"/>
                <c:pt idx="0">
                  <c:v>Order Backlog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Order!$Q$31:$T$31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Order!$Q$35:$T$35</c:f>
            </c:numRef>
          </c:val>
          <c:extLst>
            <c:ext xmlns:c16="http://schemas.microsoft.com/office/drawing/2014/chart" uri="{C3380CC4-5D6E-409C-BE32-E72D297353CC}">
              <c16:uniqueId val="{00000002-06E7-4B0D-839F-BA3D63E4CC83}"/>
            </c:ext>
          </c:extLst>
        </c:ser>
        <c:ser>
          <c:idx val="4"/>
          <c:order val="4"/>
          <c:tx>
            <c:strRef>
              <c:f>Profit!$B$36</c:f>
              <c:strCache>
                <c:ptCount val="1"/>
                <c:pt idx="0">
                  <c:v>Actual / (The beginning of the month plan)</c:v>
                </c:pt>
              </c:strCache>
            </c:strRef>
          </c:tx>
          <c:spPr>
            <a:solidFill>
              <a:srgbClr val="66FF99"/>
            </a:solidFill>
            <a:ln>
              <a:solidFill>
                <a:schemeClr val="tx1"/>
              </a:solidFill>
              <a:prstDash val="dash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6E7-4B0D-839F-BA3D63E4CC8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 w="952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6E7-4B0D-839F-BA3D63E4CC8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6E7-4B0D-839F-BA3D63E4CC83}"/>
              </c:ext>
            </c:extLst>
          </c:dPt>
          <c:dPt>
            <c:idx val="3"/>
            <c:invertIfNegative val="0"/>
            <c:bubble3D val="0"/>
            <c:spPr>
              <a:solidFill>
                <a:srgbClr val="66FF99"/>
              </a:solidFill>
              <a:ln cmpd="sng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A-06E7-4B0D-839F-BA3D63E4CC83}"/>
              </c:ext>
            </c:extLst>
          </c:dPt>
          <c:cat>
            <c:strRef>
              <c:f>Profit!$Q$31:$T$31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Profit!$Q$36:$T$36</c:f>
              <c:numCache>
                <c:formatCode>0.00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E7-4B0D-839F-BA3D63E4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70"/>
        <c:axId val="310654464"/>
        <c:axId val="310656000"/>
      </c:barChart>
      <c:lineChart>
        <c:grouping val="standard"/>
        <c:varyColors val="0"/>
        <c:ser>
          <c:idx val="1"/>
          <c:order val="1"/>
          <c:tx>
            <c:strRef>
              <c:f>Profit!$B$49</c:f>
              <c:strCache>
                <c:ptCount val="1"/>
                <c:pt idx="0">
                  <c:v>1/6 plan</c:v>
                </c:pt>
              </c:strCache>
            </c:strRef>
          </c:tx>
          <c:marker>
            <c:symbol val="none"/>
          </c:marker>
          <c:dPt>
            <c:idx val="7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0D-06E7-4B0D-839F-BA3D63E4CC83}"/>
              </c:ext>
            </c:extLst>
          </c:dPt>
          <c:dPt>
            <c:idx val="13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0F-06E7-4B0D-839F-BA3D63E4CC83}"/>
              </c:ext>
            </c:extLst>
          </c:dPt>
          <c:dPt>
            <c:idx val="15"/>
            <c:bubble3D val="0"/>
            <c:spPr>
              <a:ln w="3175"/>
            </c:spPr>
            <c:extLst>
              <c:ext xmlns:c16="http://schemas.microsoft.com/office/drawing/2014/chart" uri="{C3380CC4-5D6E-409C-BE32-E72D297353CC}">
                <c16:uniqueId val="{00000011-06E7-4B0D-839F-BA3D63E4CC83}"/>
              </c:ext>
            </c:extLst>
          </c:dPt>
          <c:cat>
            <c:strRef>
              <c:f>Profit!$Q$31:$T$31</c:f>
              <c:strCache>
                <c:ptCount val="4"/>
                <c:pt idx="0">
                  <c:v>1stQ</c:v>
                </c:pt>
                <c:pt idx="1">
                  <c:v>2ndQ</c:v>
                </c:pt>
                <c:pt idx="2">
                  <c:v>3rdQ</c:v>
                </c:pt>
                <c:pt idx="3">
                  <c:v>4thQ</c:v>
                </c:pt>
              </c:strCache>
            </c:strRef>
          </c:cat>
          <c:val>
            <c:numRef>
              <c:f>Profit!$Q$49:$T$49</c:f>
              <c:numCache>
                <c:formatCode>0.0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E7-4B0D-839F-BA3D63E4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654464"/>
        <c:axId val="310656000"/>
      </c:lineChart>
      <c:catAx>
        <c:axId val="31065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656000"/>
        <c:crosses val="autoZero"/>
        <c:auto val="1"/>
        <c:lblAlgn val="ctr"/>
        <c:lblOffset val="100"/>
        <c:noMultiLvlLbl val="0"/>
      </c:catAx>
      <c:valAx>
        <c:axId val="3106560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ko-KR"/>
          </a:p>
        </c:txPr>
        <c:crossAx val="310654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0</xdr:rowOff>
    </xdr:from>
    <xdr:to>
      <xdr:col>14</xdr:col>
      <xdr:colOff>990600</xdr:colOff>
      <xdr:row>29</xdr:row>
      <xdr:rowOff>28575</xdr:rowOff>
    </xdr:to>
    <xdr:graphicFrame macro="">
      <xdr:nvGraphicFramePr>
        <xdr:cNvPr id="2625969" name="グラフ 1">
          <a:extLst>
            <a:ext uri="{FF2B5EF4-FFF2-40B4-BE49-F238E27FC236}">
              <a16:creationId xmlns:a16="http://schemas.microsoft.com/office/drawing/2014/main" id="{00000000-0008-0000-0000-0000B111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285750</xdr:colOff>
      <xdr:row>3</xdr:row>
      <xdr:rowOff>0</xdr:rowOff>
    </xdr:from>
    <xdr:to>
      <xdr:col>19</xdr:col>
      <xdr:colOff>990600</xdr:colOff>
      <xdr:row>29</xdr:row>
      <xdr:rowOff>19050</xdr:rowOff>
    </xdr:to>
    <xdr:graphicFrame macro="">
      <xdr:nvGraphicFramePr>
        <xdr:cNvPr id="2625970" name="グラフ 2">
          <a:extLst>
            <a:ext uri="{FF2B5EF4-FFF2-40B4-BE49-F238E27FC236}">
              <a16:creationId xmlns:a16="http://schemas.microsoft.com/office/drawing/2014/main" id="{00000000-0008-0000-0000-0000B211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246742</xdr:colOff>
      <xdr:row>31</xdr:row>
      <xdr:rowOff>139700</xdr:rowOff>
    </xdr:from>
    <xdr:to>
      <xdr:col>26</xdr:col>
      <xdr:colOff>66245</xdr:colOff>
      <xdr:row>33</xdr:row>
      <xdr:rowOff>2571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400642" y="6762750"/>
          <a:ext cx="495844" cy="202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25</xdr:col>
      <xdr:colOff>226330</xdr:colOff>
      <xdr:row>37</xdr:row>
      <xdr:rowOff>454</xdr:rowOff>
    </xdr:from>
    <xdr:to>
      <xdr:col>26</xdr:col>
      <xdr:colOff>96318</xdr:colOff>
      <xdr:row>38</xdr:row>
      <xdr:rowOff>21480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389755" y="7572829"/>
          <a:ext cx="524082" cy="19866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26</xdr:col>
      <xdr:colOff>906</xdr:colOff>
      <xdr:row>41</xdr:row>
      <xdr:rowOff>1361</xdr:rowOff>
    </xdr:from>
    <xdr:to>
      <xdr:col>26</xdr:col>
      <xdr:colOff>155842</xdr:colOff>
      <xdr:row>41</xdr:row>
      <xdr:rowOff>1361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675506" y="8627836"/>
          <a:ext cx="277773" cy="19174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26</xdr:col>
      <xdr:colOff>2268</xdr:colOff>
      <xdr:row>40</xdr:row>
      <xdr:rowOff>95249</xdr:rowOff>
    </xdr:from>
    <xdr:to>
      <xdr:col>26</xdr:col>
      <xdr:colOff>561303</xdr:colOff>
      <xdr:row>40</xdr:row>
      <xdr:rowOff>365242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657818" y="8185149"/>
          <a:ext cx="543243" cy="1714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25</xdr:col>
      <xdr:colOff>411389</xdr:colOff>
      <xdr:row>33</xdr:row>
      <xdr:rowOff>137885</xdr:rowOff>
    </xdr:from>
    <xdr:to>
      <xdr:col>26</xdr:col>
      <xdr:colOff>247787</xdr:colOff>
      <xdr:row>36</xdr:row>
      <xdr:rowOff>24062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495439" y="7122885"/>
          <a:ext cx="515949" cy="28630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0.00025</cdr:x>
      <cdr:y>0.02859</cdr:y>
    </cdr:from>
    <cdr:to>
      <cdr:x>0.11986</cdr:x>
      <cdr:y>0.0859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0" y="0"/>
          <a:ext cx="1177808" cy="272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1100"/>
            <a:t>(B</a:t>
          </a:r>
          <a:r>
            <a:rPr lang="en-US" altLang="ja-JP" sz="1100" baseline="0"/>
            <a:t> KRW)</a:t>
          </a:r>
          <a:r>
            <a:rPr lang="ja-JP" altLang="en-US" sz="1100"/>
            <a:t>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0" y="0"/>
          <a:ext cx="7239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0.01774</cdr:x>
      <cdr:y>0.01078</cdr:y>
    </cdr:from>
    <cdr:to>
      <cdr:x>0.46545</cdr:x>
      <cdr:y>0.07884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56742C1-FAB4-40A0-B973-31CE1EFB2FD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22657" cy="3540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(B KRW)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</xdr:row>
      <xdr:rowOff>104775</xdr:rowOff>
    </xdr:from>
    <xdr:to>
      <xdr:col>15</xdr:col>
      <xdr:colOff>0</xdr:colOff>
      <xdr:row>29</xdr:row>
      <xdr:rowOff>85725</xdr:rowOff>
    </xdr:to>
    <xdr:graphicFrame macro="">
      <xdr:nvGraphicFramePr>
        <xdr:cNvPr id="2777360" name="グラフ 1">
          <a:extLst>
            <a:ext uri="{FF2B5EF4-FFF2-40B4-BE49-F238E27FC236}">
              <a16:creationId xmlns:a16="http://schemas.microsoft.com/office/drawing/2014/main" id="{00000000-0008-0000-0100-000010612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371475</xdr:colOff>
      <xdr:row>3</xdr:row>
      <xdr:rowOff>95250</xdr:rowOff>
    </xdr:from>
    <xdr:to>
      <xdr:col>19</xdr:col>
      <xdr:colOff>971550</xdr:colOff>
      <xdr:row>29</xdr:row>
      <xdr:rowOff>66675</xdr:rowOff>
    </xdr:to>
    <xdr:graphicFrame macro="">
      <xdr:nvGraphicFramePr>
        <xdr:cNvPr id="2777361" name="グラフ 2">
          <a:extLst>
            <a:ext uri="{FF2B5EF4-FFF2-40B4-BE49-F238E27FC236}">
              <a16:creationId xmlns:a16="http://schemas.microsoft.com/office/drawing/2014/main" id="{00000000-0008-0000-0100-000011612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524807</xdr:colOff>
      <xdr:row>34</xdr:row>
      <xdr:rowOff>149226</xdr:rowOff>
    </xdr:from>
    <xdr:to>
      <xdr:col>29</xdr:col>
      <xdr:colOff>498512</xdr:colOff>
      <xdr:row>34</xdr:row>
      <xdr:rowOff>238124</xdr:rowOff>
    </xdr:to>
    <xdr:sp macro="" textlink="">
      <xdr:nvSpPr>
        <xdr:cNvPr id="4" name="円/楕円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4021732" y="6934201"/>
          <a:ext cx="586518" cy="2063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28</xdr:col>
      <xdr:colOff>657598</xdr:colOff>
      <xdr:row>41</xdr:row>
      <xdr:rowOff>11641</xdr:rowOff>
    </xdr:from>
    <xdr:to>
      <xdr:col>29</xdr:col>
      <xdr:colOff>649256</xdr:colOff>
      <xdr:row>42</xdr:row>
      <xdr:rowOff>3320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094198" y="7734299"/>
          <a:ext cx="604446" cy="190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29</xdr:col>
      <xdr:colOff>646580</xdr:colOff>
      <xdr:row>42</xdr:row>
      <xdr:rowOff>1682</xdr:rowOff>
    </xdr:from>
    <xdr:to>
      <xdr:col>30</xdr:col>
      <xdr:colOff>90669</xdr:colOff>
      <xdr:row>42</xdr:row>
      <xdr:rowOff>229552</xdr:rowOff>
    </xdr:to>
    <xdr:sp macro="" textlink="">
      <xdr:nvSpPr>
        <xdr:cNvPr id="6" name="円/楕円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4695955" y="7897907"/>
          <a:ext cx="287130" cy="18040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29</xdr:col>
      <xdr:colOff>14567</xdr:colOff>
      <xdr:row>43</xdr:row>
      <xdr:rowOff>0</xdr:rowOff>
    </xdr:from>
    <xdr:to>
      <xdr:col>29</xdr:col>
      <xdr:colOff>521860</xdr:colOff>
      <xdr:row>43</xdr:row>
      <xdr:rowOff>146600</xdr:rowOff>
    </xdr:to>
    <xdr:sp macro="" textlink="">
      <xdr:nvSpPr>
        <xdr:cNvPr id="7" name="円/楕円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4333817" y="8439150"/>
          <a:ext cx="296369" cy="19166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28</xdr:col>
      <xdr:colOff>608853</xdr:colOff>
      <xdr:row>39</xdr:row>
      <xdr:rowOff>623</xdr:rowOff>
    </xdr:from>
    <xdr:to>
      <xdr:col>29</xdr:col>
      <xdr:colOff>560377</xdr:colOff>
      <xdr:row>40</xdr:row>
      <xdr:rowOff>8864</xdr:rowOff>
    </xdr:to>
    <xdr:sp macro="" textlink="">
      <xdr:nvSpPr>
        <xdr:cNvPr id="8" name="円/楕円 1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4070853" y="7326406"/>
          <a:ext cx="580212" cy="18564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0" y="0"/>
          <a:ext cx="1222657" cy="3540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1100"/>
            <a:t>(B KRW)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0.06575</cdr:x>
      <cdr:y>0.03495</cdr:y>
    </cdr:from>
    <cdr:to>
      <cdr:x>0.05996</cdr:x>
      <cdr:y>0.03495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F2A2647-245F-4443-9A56-912DFE21929D}"/>
            </a:ext>
          </a:extLst>
        </cdr:cNvPr>
        <cdr:cNvSpPr txBox="1"/>
      </cdr:nvSpPr>
      <cdr:spPr>
        <a:xfrm xmlns:a="http://schemas.openxmlformats.org/drawingml/2006/main">
          <a:off x="0" y="0"/>
          <a:ext cx="1222657" cy="3540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(B KRW)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</xdr:row>
      <xdr:rowOff>466725</xdr:rowOff>
    </xdr:from>
    <xdr:to>
      <xdr:col>14</xdr:col>
      <xdr:colOff>762000</xdr:colOff>
      <xdr:row>29</xdr:row>
      <xdr:rowOff>28575</xdr:rowOff>
    </xdr:to>
    <xdr:graphicFrame macro="">
      <xdr:nvGraphicFramePr>
        <xdr:cNvPr id="2775286" name="グラフ 1">
          <a:extLst>
            <a:ext uri="{FF2B5EF4-FFF2-40B4-BE49-F238E27FC236}">
              <a16:creationId xmlns:a16="http://schemas.microsoft.com/office/drawing/2014/main" id="{00000000-0008-0000-0200-0000F6582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285750</xdr:colOff>
      <xdr:row>3</xdr:row>
      <xdr:rowOff>0</xdr:rowOff>
    </xdr:from>
    <xdr:to>
      <xdr:col>24</xdr:col>
      <xdr:colOff>95250</xdr:colOff>
      <xdr:row>29</xdr:row>
      <xdr:rowOff>9525</xdr:rowOff>
    </xdr:to>
    <xdr:graphicFrame macro="">
      <xdr:nvGraphicFramePr>
        <xdr:cNvPr id="2775287" name="グラフ 2">
          <a:extLst>
            <a:ext uri="{FF2B5EF4-FFF2-40B4-BE49-F238E27FC236}">
              <a16:creationId xmlns:a16="http://schemas.microsoft.com/office/drawing/2014/main" id="{00000000-0008-0000-0200-0000F7582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246742</xdr:colOff>
      <xdr:row>31</xdr:row>
      <xdr:rowOff>139700</xdr:rowOff>
    </xdr:from>
    <xdr:to>
      <xdr:col>26</xdr:col>
      <xdr:colOff>66245</xdr:colOff>
      <xdr:row>33</xdr:row>
      <xdr:rowOff>2571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772242" y="6610350"/>
          <a:ext cx="495844" cy="202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25</xdr:col>
      <xdr:colOff>226330</xdr:colOff>
      <xdr:row>37</xdr:row>
      <xdr:rowOff>454</xdr:rowOff>
    </xdr:from>
    <xdr:to>
      <xdr:col>26</xdr:col>
      <xdr:colOff>96318</xdr:colOff>
      <xdr:row>38</xdr:row>
      <xdr:rowOff>21480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3764530" y="7420429"/>
          <a:ext cx="520907" cy="2018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26</xdr:col>
      <xdr:colOff>906</xdr:colOff>
      <xdr:row>41</xdr:row>
      <xdr:rowOff>1361</xdr:rowOff>
    </xdr:from>
    <xdr:to>
      <xdr:col>26</xdr:col>
      <xdr:colOff>155842</xdr:colOff>
      <xdr:row>41</xdr:row>
      <xdr:rowOff>1361</xdr:rowOff>
    </xdr:to>
    <xdr:sp macro="" textlink="">
      <xdr:nvSpPr>
        <xdr:cNvPr id="6" name="円/楕円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4050281" y="8478611"/>
          <a:ext cx="274598" cy="7744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26</xdr:col>
      <xdr:colOff>2268</xdr:colOff>
      <xdr:row>40</xdr:row>
      <xdr:rowOff>92074</xdr:rowOff>
    </xdr:from>
    <xdr:to>
      <xdr:col>26</xdr:col>
      <xdr:colOff>561303</xdr:colOff>
      <xdr:row>40</xdr:row>
      <xdr:rowOff>346074</xdr:rowOff>
    </xdr:to>
    <xdr:sp macro="" textlink="">
      <xdr:nvSpPr>
        <xdr:cNvPr id="7" name="円/楕円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4032593" y="8032749"/>
          <a:ext cx="540068" cy="1714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25</xdr:col>
      <xdr:colOff>411389</xdr:colOff>
      <xdr:row>33</xdr:row>
      <xdr:rowOff>137885</xdr:rowOff>
    </xdr:from>
    <xdr:to>
      <xdr:col>26</xdr:col>
      <xdr:colOff>247787</xdr:colOff>
      <xdr:row>36</xdr:row>
      <xdr:rowOff>31026</xdr:rowOff>
    </xdr:to>
    <xdr:sp macro="" textlink="">
      <xdr:nvSpPr>
        <xdr:cNvPr id="8" name="円/楕円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867039" y="6970485"/>
          <a:ext cx="515949" cy="28630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0.00025</cdr:x>
      <cdr:y>0.02883</cdr:y>
    </cdr:from>
    <cdr:to>
      <cdr:x>0.12011</cdr:x>
      <cdr:y>0.10785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0" y="0"/>
          <a:ext cx="1178199" cy="382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1100"/>
            <a:t>(B</a:t>
          </a:r>
          <a:r>
            <a:rPr lang="en-US" altLang="ja-JP" sz="1100" baseline="0"/>
            <a:t> KRW)</a:t>
          </a:r>
          <a:r>
            <a:rPr lang="ja-JP" altLang="en-US" sz="1100"/>
            <a:t>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0.01693</cdr:x>
      <cdr:y>0.04304</cdr:y>
    </cdr:from>
    <cdr:to>
      <cdr:x>0.422</cdr:x>
      <cdr:y>0.10081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F2A2647-245F-4443-9A56-912DFE21929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22657" cy="3540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(B KRW)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3"/>
  <sheetViews>
    <sheetView showGridLines="0" zoomScale="85" zoomScaleNormal="85" workbookViewId="0">
      <selection activeCell="I44" sqref="I44"/>
    </sheetView>
  </sheetViews>
  <sheetFormatPr defaultColWidth="8.75" defaultRowHeight="14.25" outlineLevelCol="1"/>
  <cols>
    <col min="1" max="1" width="0.75" style="62" customWidth="1"/>
    <col min="2" max="2" width="29.625" style="63" customWidth="1"/>
    <col min="3" max="20" width="8.75" style="63" customWidth="1"/>
    <col min="21" max="21" width="0.875" style="63" customWidth="1"/>
    <col min="22" max="22" width="7.125" style="63" hidden="1" customWidth="1" outlineLevel="1"/>
    <col min="23" max="23" width="6.875" style="63" hidden="1" customWidth="1" outlineLevel="1"/>
    <col min="24" max="24" width="7.5" style="63" hidden="1" customWidth="1" outlineLevel="1"/>
    <col min="25" max="25" width="9" style="63" customWidth="1" collapsed="1"/>
    <col min="26" max="16384" width="8.75" style="63"/>
  </cols>
  <sheetData>
    <row r="1" spans="2:6" ht="15" thickBot="1"/>
    <row r="2" spans="2:6" ht="27" customHeight="1" thickBot="1">
      <c r="B2" s="335" t="s">
        <v>54</v>
      </c>
      <c r="C2" s="336"/>
      <c r="D2" s="336"/>
      <c r="E2" s="336"/>
      <c r="F2" s="337"/>
    </row>
    <row r="3" spans="2:6" ht="10.5" customHeight="1">
      <c r="B3" s="64"/>
      <c r="C3" s="64"/>
    </row>
    <row r="4" spans="2:6" ht="14.1" customHeight="1"/>
    <row r="5" spans="2:6" ht="14.1" customHeight="1"/>
    <row r="6" spans="2:6" ht="14.1" customHeight="1"/>
    <row r="7" spans="2:6" ht="14.1" customHeight="1"/>
    <row r="8" spans="2:6" ht="14.1" customHeight="1"/>
    <row r="9" spans="2:6" ht="14.1" customHeight="1"/>
    <row r="10" spans="2:6" ht="14.1" customHeight="1"/>
    <row r="11" spans="2:6" ht="14.1" customHeight="1"/>
    <row r="12" spans="2:6" ht="14.1" customHeight="1"/>
    <row r="13" spans="2:6" ht="14.1" customHeight="1"/>
    <row r="14" spans="2:6" ht="14.1" customHeight="1"/>
    <row r="15" spans="2:6" ht="14.1" customHeight="1"/>
    <row r="16" spans="2:6" ht="14.1" customHeight="1"/>
    <row r="17" spans="1:24" ht="14.1" customHeight="1"/>
    <row r="18" spans="1:24" ht="14.1" customHeight="1"/>
    <row r="19" spans="1:24" ht="14.1" customHeight="1"/>
    <row r="20" spans="1:24" ht="14.1" customHeight="1"/>
    <row r="21" spans="1:24" ht="14.1" customHeight="1"/>
    <row r="22" spans="1:24" ht="14.1" customHeight="1"/>
    <row r="23" spans="1:24" ht="14.1" customHeight="1"/>
    <row r="24" spans="1:24" ht="14.1" customHeight="1"/>
    <row r="25" spans="1:24" ht="14.1" customHeight="1"/>
    <row r="26" spans="1:24" ht="14.1" customHeight="1"/>
    <row r="27" spans="1:24" ht="14.1" customHeight="1"/>
    <row r="28" spans="1:24" ht="14.1" customHeight="1"/>
    <row r="29" spans="1:24" ht="14.1" customHeight="1"/>
    <row r="30" spans="1:24" ht="25.5" customHeight="1"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T30" s="179" t="s">
        <v>46</v>
      </c>
    </row>
    <row r="31" spans="1:24" ht="48.6" customHeight="1">
      <c r="B31" s="253" t="s">
        <v>4</v>
      </c>
      <c r="C31" s="67" t="s">
        <v>23</v>
      </c>
      <c r="D31" s="68" t="s">
        <v>8</v>
      </c>
      <c r="E31" s="69" t="s">
        <v>9</v>
      </c>
      <c r="F31" s="70" t="s">
        <v>10</v>
      </c>
      <c r="G31" s="68" t="s">
        <v>24</v>
      </c>
      <c r="H31" s="69" t="s">
        <v>11</v>
      </c>
      <c r="I31" s="71" t="s">
        <v>12</v>
      </c>
      <c r="J31" s="68" t="s">
        <v>13</v>
      </c>
      <c r="K31" s="69" t="s">
        <v>25</v>
      </c>
      <c r="L31" s="71" t="s">
        <v>14</v>
      </c>
      <c r="M31" s="68" t="s">
        <v>15</v>
      </c>
      <c r="N31" s="69" t="s">
        <v>16</v>
      </c>
      <c r="O31" s="71" t="s">
        <v>17</v>
      </c>
      <c r="P31" s="62"/>
      <c r="Q31" s="258" t="s">
        <v>33</v>
      </c>
      <c r="R31" s="259" t="s">
        <v>34</v>
      </c>
      <c r="S31" s="259" t="s">
        <v>35</v>
      </c>
      <c r="T31" s="259" t="s">
        <v>36</v>
      </c>
      <c r="V31" s="72" t="s">
        <v>5</v>
      </c>
      <c r="W31" s="73" t="s">
        <v>6</v>
      </c>
      <c r="X31" s="74" t="s">
        <v>7</v>
      </c>
    </row>
    <row r="32" spans="1:24" ht="14.1" customHeight="1">
      <c r="A32" s="75"/>
      <c r="B32" s="240" t="s">
        <v>18</v>
      </c>
      <c r="C32" s="198">
        <f>AVERAGE(D32:O32)</f>
        <v>1.7625000000000002</v>
      </c>
      <c r="D32" s="181">
        <v>8.4</v>
      </c>
      <c r="E32" s="182">
        <v>1.88</v>
      </c>
      <c r="F32" s="183">
        <v>1.28</v>
      </c>
      <c r="G32" s="181">
        <v>1.17</v>
      </c>
      <c r="H32" s="182">
        <v>1.89</v>
      </c>
      <c r="I32" s="184">
        <v>0.37</v>
      </c>
      <c r="J32" s="181">
        <v>0.88</v>
      </c>
      <c r="K32" s="182">
        <v>0.81</v>
      </c>
      <c r="L32" s="184">
        <v>0.94</v>
      </c>
      <c r="M32" s="181">
        <v>1.32</v>
      </c>
      <c r="N32" s="182">
        <v>1.48</v>
      </c>
      <c r="O32" s="184">
        <v>0.73</v>
      </c>
      <c r="P32" s="78"/>
      <c r="Q32" s="260">
        <f>SUM(D32:F32)</f>
        <v>11.56</v>
      </c>
      <c r="R32" s="220">
        <f>SUM(G32:I32)</f>
        <v>3.4299999999999997</v>
      </c>
      <c r="S32" s="220">
        <f>SUM(J32:L32)</f>
        <v>2.63</v>
      </c>
      <c r="T32" s="220">
        <f>SUM(M32:O32)</f>
        <v>3.53</v>
      </c>
      <c r="V32" s="80">
        <v>12.65635</v>
      </c>
      <c r="W32" s="77">
        <v>14.046419999999999</v>
      </c>
      <c r="X32" s="79">
        <v>14.67</v>
      </c>
    </row>
    <row r="33" spans="1:24" ht="14.1" customHeight="1" thickBot="1">
      <c r="A33" s="75"/>
      <c r="B33" s="241" t="s">
        <v>22</v>
      </c>
      <c r="C33" s="82"/>
      <c r="D33" s="295">
        <v>2.0670000000000002</v>
      </c>
      <c r="E33" s="296">
        <v>2.0699999999999998</v>
      </c>
      <c r="F33" s="302">
        <v>2.0699999999999998</v>
      </c>
      <c r="G33" s="295">
        <v>2.0699999999999998</v>
      </c>
      <c r="H33" s="296">
        <v>2.0699999999999998</v>
      </c>
      <c r="I33" s="297">
        <v>2.0699999999999998</v>
      </c>
      <c r="J33" s="295">
        <v>2.0699999999999998</v>
      </c>
      <c r="K33" s="296">
        <v>2.0699999999999998</v>
      </c>
      <c r="L33" s="302">
        <v>2.0699999999999998</v>
      </c>
      <c r="M33" s="295">
        <v>2.0699999999999998</v>
      </c>
      <c r="N33" s="296">
        <v>2.0699999999999998</v>
      </c>
      <c r="O33" s="297">
        <v>2.0699999999999998</v>
      </c>
      <c r="P33" s="78"/>
      <c r="Q33" s="228">
        <f>SUM(D33:F33)</f>
        <v>6.2070000000000007</v>
      </c>
      <c r="R33" s="196">
        <f>SUM(G33:I33)</f>
        <v>6.2099999999999991</v>
      </c>
      <c r="S33" s="196">
        <f>SUM(J33:L33)</f>
        <v>6.2099999999999991</v>
      </c>
      <c r="T33" s="196">
        <f>SUM(M33:O33)</f>
        <v>6.2099999999999991</v>
      </c>
      <c r="V33" s="86">
        <v>13.666666666666666</v>
      </c>
      <c r="W33" s="82">
        <v>13.666666666666666</v>
      </c>
      <c r="X33" s="84">
        <v>13.666666666666666</v>
      </c>
    </row>
    <row r="34" spans="1:24" ht="14.1" customHeight="1">
      <c r="A34" s="75"/>
      <c r="B34" s="87" t="s">
        <v>19</v>
      </c>
      <c r="C34" s="88"/>
      <c r="D34" s="303">
        <v>3</v>
      </c>
      <c r="E34" s="304">
        <v>3</v>
      </c>
      <c r="F34" s="305">
        <v>3</v>
      </c>
      <c r="G34" s="332">
        <v>3</v>
      </c>
      <c r="H34" s="304">
        <v>3</v>
      </c>
      <c r="I34" s="305">
        <v>3</v>
      </c>
      <c r="J34" s="332">
        <v>3</v>
      </c>
      <c r="K34" s="304">
        <v>3</v>
      </c>
      <c r="L34" s="305">
        <v>3</v>
      </c>
      <c r="M34" s="332">
        <v>3</v>
      </c>
      <c r="N34" s="304">
        <v>3</v>
      </c>
      <c r="O34" s="331">
        <v>3</v>
      </c>
      <c r="P34" s="78"/>
      <c r="Q34" s="261">
        <f>SUM(D34:F34)</f>
        <v>9</v>
      </c>
      <c r="R34" s="221">
        <f>SUM(G34:I34)</f>
        <v>9</v>
      </c>
      <c r="S34" s="221">
        <f>SUM(J34:L34)</f>
        <v>9</v>
      </c>
      <c r="T34" s="221">
        <f>SUM(M34:O34)</f>
        <v>9</v>
      </c>
      <c r="U34" s="229"/>
      <c r="V34" s="86"/>
      <c r="W34" s="82"/>
      <c r="X34" s="84"/>
    </row>
    <row r="35" spans="1:24" ht="14.1" hidden="1" customHeight="1">
      <c r="A35" s="75"/>
      <c r="B35" s="178" t="s">
        <v>44</v>
      </c>
      <c r="C35" s="82"/>
      <c r="D35" s="306"/>
      <c r="E35" s="194"/>
      <c r="F35" s="195"/>
      <c r="G35" s="193"/>
      <c r="H35" s="194"/>
      <c r="I35" s="196"/>
      <c r="J35" s="193"/>
      <c r="K35" s="194"/>
      <c r="L35" s="195"/>
      <c r="M35" s="185"/>
      <c r="N35" s="186"/>
      <c r="O35" s="307"/>
      <c r="P35" s="78"/>
      <c r="Q35" s="228"/>
      <c r="R35" s="196"/>
      <c r="S35" s="196"/>
      <c r="T35" s="196"/>
      <c r="U35" s="229"/>
      <c r="V35" s="86"/>
      <c r="W35" s="82"/>
      <c r="X35" s="84"/>
    </row>
    <row r="36" spans="1:24" ht="14.1" customHeight="1" thickBot="1">
      <c r="A36" s="75"/>
      <c r="B36" s="238" t="s">
        <v>29</v>
      </c>
      <c r="C36" s="239"/>
      <c r="D36" s="308">
        <v>0.67</v>
      </c>
      <c r="E36" s="309">
        <v>1.53</v>
      </c>
      <c r="F36" s="316">
        <v>3.74</v>
      </c>
      <c r="G36" s="317">
        <v>2.2999999999999998</v>
      </c>
      <c r="H36" s="316">
        <v>1.89</v>
      </c>
      <c r="I36" s="318">
        <v>1.1399999999999999</v>
      </c>
      <c r="J36" s="319"/>
      <c r="K36" s="320"/>
      <c r="L36" s="320"/>
      <c r="M36" s="319"/>
      <c r="N36" s="320"/>
      <c r="O36" s="321"/>
      <c r="P36" s="78"/>
      <c r="Q36" s="252">
        <f>SUM(D36:F36)</f>
        <v>5.94</v>
      </c>
      <c r="R36" s="244">
        <f>SUM(G36:I36)</f>
        <v>5.3299999999999992</v>
      </c>
      <c r="S36" s="244">
        <f>SUM(J36:L36)</f>
        <v>0</v>
      </c>
      <c r="T36" s="252">
        <f>SUM(M36:O36)</f>
        <v>0</v>
      </c>
      <c r="U36" s="229"/>
      <c r="V36" s="99">
        <v>19.239999999999998</v>
      </c>
      <c r="W36" s="100">
        <v>13.79</v>
      </c>
      <c r="X36" s="101">
        <v>12.41</v>
      </c>
    </row>
    <row r="37" spans="1:24" ht="14.1" customHeight="1">
      <c r="A37" s="75"/>
      <c r="B37" s="76" t="s">
        <v>21</v>
      </c>
      <c r="C37" s="77"/>
      <c r="D37" s="102">
        <f t="shared" ref="D37:O37" si="0">D36/D32</f>
        <v>7.976190476190477E-2</v>
      </c>
      <c r="E37" s="103">
        <f t="shared" si="0"/>
        <v>0.81382978723404265</v>
      </c>
      <c r="F37" s="104">
        <f t="shared" si="0"/>
        <v>2.921875</v>
      </c>
      <c r="G37" s="102">
        <f t="shared" si="0"/>
        <v>1.9658119658119657</v>
      </c>
      <c r="H37" s="103">
        <f t="shared" si="0"/>
        <v>1</v>
      </c>
      <c r="I37" s="105">
        <f t="shared" si="0"/>
        <v>3.0810810810810807</v>
      </c>
      <c r="J37" s="102">
        <f t="shared" si="0"/>
        <v>0</v>
      </c>
      <c r="K37" s="103">
        <f t="shared" si="0"/>
        <v>0</v>
      </c>
      <c r="L37" s="104">
        <f t="shared" si="0"/>
        <v>0</v>
      </c>
      <c r="M37" s="102">
        <f t="shared" si="0"/>
        <v>0</v>
      </c>
      <c r="N37" s="103">
        <f t="shared" si="0"/>
        <v>0</v>
      </c>
      <c r="O37" s="105">
        <f t="shared" si="0"/>
        <v>0</v>
      </c>
      <c r="P37" s="78"/>
      <c r="Q37" s="149">
        <f>Q36/Q32</f>
        <v>0.51384083044982698</v>
      </c>
      <c r="R37" s="106">
        <f>R36/R32</f>
        <v>1.5539358600583089</v>
      </c>
      <c r="S37" s="106">
        <f>S36/S32</f>
        <v>0</v>
      </c>
      <c r="T37" s="149">
        <f>T36/T32</f>
        <v>0</v>
      </c>
      <c r="V37" s="107">
        <f>V36/V32</f>
        <v>1.520185519521821</v>
      </c>
      <c r="W37" s="108">
        <f>W36/W32</f>
        <v>0.98174481469299646</v>
      </c>
      <c r="X37" s="106">
        <f>X36/X32</f>
        <v>0.84594410361281525</v>
      </c>
    </row>
    <row r="38" spans="1:24" ht="14.1" customHeight="1">
      <c r="A38" s="75"/>
      <c r="B38" s="81" t="s">
        <v>28</v>
      </c>
      <c r="C38" s="82"/>
      <c r="D38" s="109">
        <f t="shared" ref="D38:O38" si="1">D36/D33</f>
        <v>0.32414126753749395</v>
      </c>
      <c r="E38" s="110">
        <f t="shared" si="1"/>
        <v>0.73913043478260876</v>
      </c>
      <c r="F38" s="111">
        <f t="shared" si="1"/>
        <v>1.8067632850241548</v>
      </c>
      <c r="G38" s="109">
        <f t="shared" si="1"/>
        <v>1.1111111111111112</v>
      </c>
      <c r="H38" s="110">
        <f t="shared" si="1"/>
        <v>0.91304347826086962</v>
      </c>
      <c r="I38" s="112">
        <f t="shared" si="1"/>
        <v>0.55072463768115942</v>
      </c>
      <c r="J38" s="109">
        <f t="shared" si="1"/>
        <v>0</v>
      </c>
      <c r="K38" s="110">
        <f t="shared" si="1"/>
        <v>0</v>
      </c>
      <c r="L38" s="111">
        <f t="shared" si="1"/>
        <v>0</v>
      </c>
      <c r="M38" s="109">
        <f t="shared" si="1"/>
        <v>0</v>
      </c>
      <c r="N38" s="110">
        <f t="shared" si="1"/>
        <v>0</v>
      </c>
      <c r="O38" s="112">
        <f t="shared" si="1"/>
        <v>0</v>
      </c>
      <c r="P38" s="78"/>
      <c r="Q38" s="262">
        <f>Q36/Q33</f>
        <v>0.95698405026582889</v>
      </c>
      <c r="R38" s="125">
        <f>R36/R33</f>
        <v>0.85829307568438007</v>
      </c>
      <c r="S38" s="125">
        <f>S36/S33</f>
        <v>0</v>
      </c>
      <c r="T38" s="262">
        <f>T36/T33</f>
        <v>0</v>
      </c>
      <c r="V38" s="113">
        <f>V36/V33</f>
        <v>1.4078048780487804</v>
      </c>
      <c r="W38" s="114">
        <f>W36/W33</f>
        <v>1.0090243902439024</v>
      </c>
      <c r="X38" s="115">
        <f>X36/X33</f>
        <v>0.90804878048780491</v>
      </c>
    </row>
    <row r="39" spans="1:24" ht="14.1" customHeight="1">
      <c r="A39" s="75"/>
      <c r="B39" s="116" t="s">
        <v>26</v>
      </c>
      <c r="C39" s="117"/>
      <c r="D39" s="118">
        <f t="shared" ref="D39:O39" si="2">D36/D34</f>
        <v>0.22333333333333336</v>
      </c>
      <c r="E39" s="119">
        <f t="shared" si="2"/>
        <v>0.51</v>
      </c>
      <c r="F39" s="120">
        <f t="shared" si="2"/>
        <v>1.2466666666666668</v>
      </c>
      <c r="G39" s="118">
        <f t="shared" si="2"/>
        <v>0.76666666666666661</v>
      </c>
      <c r="H39" s="119">
        <f t="shared" si="2"/>
        <v>0.63</v>
      </c>
      <c r="I39" s="121">
        <f t="shared" si="2"/>
        <v>0.37999999999999995</v>
      </c>
      <c r="J39" s="118">
        <f t="shared" si="2"/>
        <v>0</v>
      </c>
      <c r="K39" s="119">
        <f t="shared" si="2"/>
        <v>0</v>
      </c>
      <c r="L39" s="121">
        <f t="shared" si="2"/>
        <v>0</v>
      </c>
      <c r="M39" s="248">
        <f t="shared" si="2"/>
        <v>0</v>
      </c>
      <c r="N39" s="119">
        <f t="shared" si="2"/>
        <v>0</v>
      </c>
      <c r="O39" s="121">
        <f t="shared" si="2"/>
        <v>0</v>
      </c>
      <c r="P39" s="78"/>
      <c r="Q39" s="122"/>
      <c r="R39" s="122"/>
      <c r="S39" s="122"/>
      <c r="T39" s="122"/>
      <c r="V39" s="123"/>
      <c r="W39" s="124"/>
      <c r="X39" s="125"/>
    </row>
    <row r="40" spans="1:24" ht="14.1" customHeight="1">
      <c r="D40" s="126"/>
      <c r="E40" s="127"/>
      <c r="F40" s="128"/>
      <c r="I40" s="127"/>
      <c r="J40" s="129"/>
      <c r="K40" s="127"/>
      <c r="L40" s="128"/>
      <c r="M40" s="127"/>
      <c r="N40" s="130"/>
      <c r="O40" s="130"/>
      <c r="P40" s="78"/>
      <c r="V40" s="131"/>
      <c r="W40" s="131"/>
      <c r="X40" s="131"/>
    </row>
    <row r="41" spans="1:24" ht="48">
      <c r="B41" s="159" t="s">
        <v>27</v>
      </c>
      <c r="C41" s="158" t="s">
        <v>23</v>
      </c>
      <c r="D41" s="68" t="s">
        <v>8</v>
      </c>
      <c r="E41" s="69" t="s">
        <v>9</v>
      </c>
      <c r="F41" s="70" t="s">
        <v>10</v>
      </c>
      <c r="G41" s="68" t="s">
        <v>24</v>
      </c>
      <c r="H41" s="69" t="s">
        <v>11</v>
      </c>
      <c r="I41" s="71" t="s">
        <v>12</v>
      </c>
      <c r="J41" s="68" t="s">
        <v>13</v>
      </c>
      <c r="K41" s="69" t="s">
        <v>25</v>
      </c>
      <c r="L41" s="71" t="s">
        <v>14</v>
      </c>
      <c r="M41" s="68" t="s">
        <v>15</v>
      </c>
      <c r="N41" s="69" t="s">
        <v>16</v>
      </c>
      <c r="O41" s="71" t="s">
        <v>17</v>
      </c>
      <c r="P41" s="78"/>
      <c r="Q41" s="271" t="s">
        <v>40</v>
      </c>
      <c r="R41" s="272" t="s">
        <v>41</v>
      </c>
      <c r="S41" s="272" t="s">
        <v>42</v>
      </c>
      <c r="T41" s="272" t="s">
        <v>43</v>
      </c>
      <c r="V41" s="72" t="s">
        <v>5</v>
      </c>
      <c r="W41" s="73" t="s">
        <v>6</v>
      </c>
      <c r="X41" s="74" t="s">
        <v>7</v>
      </c>
    </row>
    <row r="42" spans="1:24" ht="14.1" customHeight="1">
      <c r="B42" s="76" t="s">
        <v>18</v>
      </c>
      <c r="C42" s="202">
        <f>C32</f>
        <v>1.7625000000000002</v>
      </c>
      <c r="D42" s="203">
        <f>D32</f>
        <v>8.4</v>
      </c>
      <c r="E42" s="204">
        <f t="shared" ref="E42:L42" si="3">D42+E32</f>
        <v>10.280000000000001</v>
      </c>
      <c r="F42" s="207">
        <f t="shared" si="3"/>
        <v>11.56</v>
      </c>
      <c r="G42" s="203">
        <f t="shared" si="3"/>
        <v>12.73</v>
      </c>
      <c r="H42" s="204">
        <f t="shared" si="3"/>
        <v>14.620000000000001</v>
      </c>
      <c r="I42" s="205">
        <f t="shared" si="3"/>
        <v>14.99</v>
      </c>
      <c r="J42" s="206">
        <f t="shared" si="3"/>
        <v>15.870000000000001</v>
      </c>
      <c r="K42" s="204">
        <f t="shared" si="3"/>
        <v>16.68</v>
      </c>
      <c r="L42" s="207">
        <f t="shared" si="3"/>
        <v>17.62</v>
      </c>
      <c r="M42" s="203">
        <f>L42+M32</f>
        <v>18.940000000000001</v>
      </c>
      <c r="N42" s="204">
        <f>M42+N32</f>
        <v>20.420000000000002</v>
      </c>
      <c r="O42" s="205">
        <f>N42+O32</f>
        <v>21.150000000000002</v>
      </c>
      <c r="P42" s="78"/>
      <c r="Q42" s="227">
        <f>F42</f>
        <v>11.56</v>
      </c>
      <c r="R42" s="227">
        <f>I42</f>
        <v>14.99</v>
      </c>
      <c r="S42" s="227">
        <f>L42</f>
        <v>17.62</v>
      </c>
      <c r="T42" s="227">
        <f>O42</f>
        <v>21.150000000000002</v>
      </c>
      <c r="V42" s="139">
        <f>V32</f>
        <v>12.65635</v>
      </c>
      <c r="W42" s="132">
        <f>V42+W32</f>
        <v>26.702770000000001</v>
      </c>
      <c r="X42" s="140">
        <f>W42+X32</f>
        <v>41.372770000000003</v>
      </c>
    </row>
    <row r="43" spans="1:24" ht="14.1" customHeight="1">
      <c r="B43" s="81" t="s">
        <v>22</v>
      </c>
      <c r="C43" s="195"/>
      <c r="D43" s="185">
        <f>D33</f>
        <v>2.0670000000000002</v>
      </c>
      <c r="E43" s="186">
        <f t="shared" ref="E43:O43" si="4">D43+E33</f>
        <v>4.1370000000000005</v>
      </c>
      <c r="F43" s="187">
        <f t="shared" si="4"/>
        <v>6.2070000000000007</v>
      </c>
      <c r="G43" s="185">
        <f t="shared" si="4"/>
        <v>8.277000000000001</v>
      </c>
      <c r="H43" s="186">
        <f t="shared" si="4"/>
        <v>10.347000000000001</v>
      </c>
      <c r="I43" s="188">
        <f t="shared" si="4"/>
        <v>12.417000000000002</v>
      </c>
      <c r="J43" s="200">
        <f t="shared" si="4"/>
        <v>14.487000000000002</v>
      </c>
      <c r="K43" s="186">
        <f t="shared" si="4"/>
        <v>16.557000000000002</v>
      </c>
      <c r="L43" s="187">
        <f t="shared" si="4"/>
        <v>18.627000000000002</v>
      </c>
      <c r="M43" s="185">
        <f t="shared" si="4"/>
        <v>20.697000000000003</v>
      </c>
      <c r="N43" s="186">
        <f t="shared" si="4"/>
        <v>22.767000000000003</v>
      </c>
      <c r="O43" s="188">
        <f t="shared" si="4"/>
        <v>24.837000000000003</v>
      </c>
      <c r="P43" s="78"/>
      <c r="Q43" s="228">
        <f>F43</f>
        <v>6.2070000000000007</v>
      </c>
      <c r="R43" s="228">
        <f>I43</f>
        <v>12.417000000000002</v>
      </c>
      <c r="S43" s="228">
        <f>L43</f>
        <v>18.627000000000002</v>
      </c>
      <c r="T43" s="228">
        <f>O43</f>
        <v>24.837000000000003</v>
      </c>
      <c r="V43" s="86">
        <f>V33</f>
        <v>13.666666666666666</v>
      </c>
      <c r="W43" s="82">
        <f>V43+W33</f>
        <v>27.333333333333332</v>
      </c>
      <c r="X43" s="84">
        <f>W43+X33</f>
        <v>41</v>
      </c>
    </row>
    <row r="44" spans="1:24" ht="14.1" customHeight="1">
      <c r="B44" s="238" t="s">
        <v>30</v>
      </c>
      <c r="C44" s="239"/>
      <c r="D44" s="242">
        <f>D36</f>
        <v>0.67</v>
      </c>
      <c r="E44" s="249">
        <f t="shared" ref="E44:O44" si="5">+D44+E36</f>
        <v>2.2000000000000002</v>
      </c>
      <c r="F44" s="249">
        <f t="shared" si="5"/>
        <v>5.94</v>
      </c>
      <c r="G44" s="243">
        <f>+F44+G36</f>
        <v>8.24</v>
      </c>
      <c r="H44" s="249">
        <f t="shared" si="5"/>
        <v>10.130000000000001</v>
      </c>
      <c r="I44" s="244">
        <f t="shared" si="5"/>
        <v>11.270000000000001</v>
      </c>
      <c r="J44" s="250">
        <f t="shared" si="5"/>
        <v>11.270000000000001</v>
      </c>
      <c r="K44" s="249">
        <f t="shared" si="5"/>
        <v>11.270000000000001</v>
      </c>
      <c r="L44" s="251">
        <f t="shared" si="5"/>
        <v>11.270000000000001</v>
      </c>
      <c r="M44" s="243">
        <f t="shared" si="5"/>
        <v>11.270000000000001</v>
      </c>
      <c r="N44" s="249">
        <f t="shared" si="5"/>
        <v>11.270000000000001</v>
      </c>
      <c r="O44" s="244">
        <f t="shared" si="5"/>
        <v>11.270000000000001</v>
      </c>
      <c r="P44" s="78"/>
      <c r="Q44" s="242">
        <f>F44</f>
        <v>5.94</v>
      </c>
      <c r="R44" s="252">
        <f>I44</f>
        <v>11.270000000000001</v>
      </c>
      <c r="S44" s="252">
        <f>L44</f>
        <v>11.270000000000001</v>
      </c>
      <c r="T44" s="252">
        <f>O44</f>
        <v>11.270000000000001</v>
      </c>
      <c r="V44" s="145">
        <f>V36</f>
        <v>19.239999999999998</v>
      </c>
      <c r="W44" s="146">
        <f>V44+W36</f>
        <v>33.03</v>
      </c>
      <c r="X44" s="144">
        <f>W44+X36</f>
        <v>45.44</v>
      </c>
    </row>
    <row r="45" spans="1:24" ht="14.1" customHeight="1">
      <c r="B45" s="76" t="s">
        <v>20</v>
      </c>
      <c r="C45" s="77"/>
      <c r="D45" s="102">
        <f t="shared" ref="D45:J45" si="6">D44/D42</f>
        <v>7.976190476190477E-2</v>
      </c>
      <c r="E45" s="103">
        <f t="shared" si="6"/>
        <v>0.2140077821011673</v>
      </c>
      <c r="F45" s="104">
        <f t="shared" si="6"/>
        <v>0.51384083044982698</v>
      </c>
      <c r="G45" s="102">
        <f t="shared" si="6"/>
        <v>0.64728986645718778</v>
      </c>
      <c r="H45" s="103">
        <f t="shared" si="6"/>
        <v>0.69288645690834472</v>
      </c>
      <c r="I45" s="105">
        <f t="shared" si="6"/>
        <v>0.75183455637091401</v>
      </c>
      <c r="J45" s="147">
        <f t="shared" si="6"/>
        <v>0.71014492753623193</v>
      </c>
      <c r="K45" s="103">
        <f>K44/K42</f>
        <v>0.67565947242206248</v>
      </c>
      <c r="L45" s="104">
        <f>L44/L42</f>
        <v>0.63961407491486955</v>
      </c>
      <c r="M45" s="102">
        <f>M44/M42</f>
        <v>0.59503695881731788</v>
      </c>
      <c r="N45" s="103">
        <f>N44/N42</f>
        <v>0.55190989226248777</v>
      </c>
      <c r="O45" s="148">
        <f>O44/O42</f>
        <v>0.53286052009456264</v>
      </c>
      <c r="P45" s="122"/>
      <c r="Q45" s="149">
        <f>Q44/Q42</f>
        <v>0.51384083044982698</v>
      </c>
      <c r="R45" s="149">
        <f>R44/R42</f>
        <v>0.75183455637091401</v>
      </c>
      <c r="S45" s="149">
        <f>S44/S42</f>
        <v>0.63961407491486955</v>
      </c>
      <c r="T45" s="149">
        <f>T44/T42</f>
        <v>0.53286052009456264</v>
      </c>
      <c r="V45" s="107">
        <f>V44/V42</f>
        <v>1.520185519521821</v>
      </c>
      <c r="W45" s="108">
        <f>W44/W42</f>
        <v>1.2369503238802566</v>
      </c>
      <c r="X45" s="106">
        <f>X44/X42</f>
        <v>1.098306929896161</v>
      </c>
    </row>
    <row r="46" spans="1:24" ht="14.1" customHeight="1">
      <c r="B46" s="150" t="s">
        <v>28</v>
      </c>
      <c r="C46" s="151"/>
      <c r="D46" s="152">
        <f t="shared" ref="D46:J46" si="7">D44/D43</f>
        <v>0.32414126753749395</v>
      </c>
      <c r="E46" s="119">
        <f t="shared" si="7"/>
        <v>0.53178631858834902</v>
      </c>
      <c r="F46" s="120">
        <f t="shared" si="7"/>
        <v>0.95698405026582889</v>
      </c>
      <c r="G46" s="152">
        <f t="shared" si="7"/>
        <v>0.99552978132173486</v>
      </c>
      <c r="H46" s="119">
        <f t="shared" si="7"/>
        <v>0.97902773750845651</v>
      </c>
      <c r="I46" s="121">
        <f t="shared" si="7"/>
        <v>0.90762664089554645</v>
      </c>
      <c r="J46" s="153">
        <f t="shared" si="7"/>
        <v>0.77793884172016292</v>
      </c>
      <c r="K46" s="119">
        <f>K44/K43</f>
        <v>0.68067886694449475</v>
      </c>
      <c r="L46" s="120">
        <f>L44/L43</f>
        <v>0.60503570086433667</v>
      </c>
      <c r="M46" s="152">
        <f>M44/M43</f>
        <v>0.54452336087355657</v>
      </c>
      <c r="N46" s="119">
        <f>N44/N43</f>
        <v>0.49501471427943955</v>
      </c>
      <c r="O46" s="121">
        <f>O44/O43</f>
        <v>0.45375850545557034</v>
      </c>
      <c r="P46" s="122"/>
      <c r="Q46" s="262">
        <f>Q44/Q43</f>
        <v>0.95698405026582889</v>
      </c>
      <c r="R46" s="262">
        <f>R44/R43</f>
        <v>0.90762664089554645</v>
      </c>
      <c r="S46" s="262">
        <f>S44/S43</f>
        <v>0.60503570086433667</v>
      </c>
      <c r="T46" s="262">
        <f>T44/T43</f>
        <v>0.45375850545557034</v>
      </c>
      <c r="V46" s="154">
        <f>V44/V43</f>
        <v>1.4078048780487804</v>
      </c>
      <c r="W46" s="124">
        <f>W44/W43</f>
        <v>1.2084146341463415</v>
      </c>
      <c r="X46" s="125">
        <f>X44/X43</f>
        <v>1.1082926829268291</v>
      </c>
    </row>
    <row r="47" spans="1:24" ht="14.1" customHeight="1">
      <c r="D47" s="155"/>
      <c r="E47" s="155"/>
      <c r="F47" s="155"/>
      <c r="G47" s="155"/>
      <c r="O47" s="127"/>
    </row>
    <row r="48" spans="1:24" ht="14.1" customHeight="1"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7"/>
      <c r="P48" s="157"/>
      <c r="Q48" s="157"/>
      <c r="R48" s="157"/>
      <c r="S48" s="157"/>
      <c r="T48" s="157"/>
    </row>
    <row r="49" spans="1:24" ht="14.1" customHeight="1">
      <c r="A49" s="75"/>
      <c r="B49" s="160" t="s">
        <v>31</v>
      </c>
      <c r="C49" s="132"/>
      <c r="D49" s="230">
        <v>3</v>
      </c>
      <c r="E49" s="231">
        <v>3</v>
      </c>
      <c r="F49" s="232">
        <v>3</v>
      </c>
      <c r="G49" s="230">
        <v>3</v>
      </c>
      <c r="H49" s="231">
        <v>3</v>
      </c>
      <c r="I49" s="232">
        <v>3</v>
      </c>
      <c r="J49" s="230">
        <v>3</v>
      </c>
      <c r="K49" s="231">
        <v>3</v>
      </c>
      <c r="L49" s="232">
        <v>3</v>
      </c>
      <c r="M49" s="233">
        <v>3</v>
      </c>
      <c r="N49" s="231">
        <v>3</v>
      </c>
      <c r="O49" s="232">
        <v>3</v>
      </c>
      <c r="P49" s="78"/>
      <c r="Q49" s="138">
        <f>SUM(D49:F49)</f>
        <v>9</v>
      </c>
      <c r="R49" s="140">
        <f>SUM(G49:I49)</f>
        <v>9</v>
      </c>
      <c r="S49" s="140">
        <f>SUM(J49:L49)</f>
        <v>9</v>
      </c>
      <c r="T49" s="140">
        <f>SUM(M49:O49)</f>
        <v>9</v>
      </c>
      <c r="V49" s="86">
        <f>176.16/12</f>
        <v>14.68</v>
      </c>
      <c r="W49" s="82">
        <f>176.16/12</f>
        <v>14.68</v>
      </c>
      <c r="X49" s="84">
        <f>176.16/12</f>
        <v>14.68</v>
      </c>
    </row>
    <row r="50" spans="1:24" ht="14.1" customHeight="1">
      <c r="B50" s="150" t="s">
        <v>32</v>
      </c>
      <c r="C50" s="151"/>
      <c r="D50" s="234">
        <f>D49</f>
        <v>3</v>
      </c>
      <c r="E50" s="235">
        <f t="shared" ref="E50:O50" si="8">D50+E49</f>
        <v>6</v>
      </c>
      <c r="F50" s="236">
        <f t="shared" si="8"/>
        <v>9</v>
      </c>
      <c r="G50" s="234">
        <f t="shared" si="8"/>
        <v>12</v>
      </c>
      <c r="H50" s="235">
        <f t="shared" si="8"/>
        <v>15</v>
      </c>
      <c r="I50" s="236">
        <f t="shared" si="8"/>
        <v>18</v>
      </c>
      <c r="J50" s="234">
        <f t="shared" si="8"/>
        <v>21</v>
      </c>
      <c r="K50" s="235">
        <f t="shared" si="8"/>
        <v>24</v>
      </c>
      <c r="L50" s="236">
        <f t="shared" si="8"/>
        <v>27</v>
      </c>
      <c r="M50" s="237">
        <f t="shared" si="8"/>
        <v>30</v>
      </c>
      <c r="N50" s="235">
        <f t="shared" si="8"/>
        <v>33</v>
      </c>
      <c r="O50" s="236">
        <f t="shared" si="8"/>
        <v>36</v>
      </c>
      <c r="P50" s="78"/>
      <c r="Q50" s="168">
        <f>F50</f>
        <v>9</v>
      </c>
      <c r="R50" s="168">
        <f>I50</f>
        <v>18</v>
      </c>
      <c r="S50" s="168">
        <f>L50</f>
        <v>27</v>
      </c>
      <c r="T50" s="168">
        <f>O50</f>
        <v>36</v>
      </c>
      <c r="V50" s="86">
        <f>V49</f>
        <v>14.68</v>
      </c>
      <c r="W50" s="82">
        <f>V50+W49</f>
        <v>29.36</v>
      </c>
      <c r="X50" s="84">
        <f>W50+X49</f>
        <v>44.04</v>
      </c>
    </row>
    <row r="51" spans="1:24" ht="15"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</row>
    <row r="52" spans="1:24" ht="15"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</row>
    <row r="53" spans="1:24" ht="15"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</row>
  </sheetData>
  <mergeCells count="1">
    <mergeCell ref="B2:F2"/>
  </mergeCells>
  <phoneticPr fontId="4"/>
  <pageMargins left="0.70866141732283472" right="0.70866141732283472" top="0.74803149606299213" bottom="0.74803149606299213" header="0.31496062992125984" footer="0.31496062992125984"/>
  <pageSetup paperSize="8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56"/>
  <sheetViews>
    <sheetView showGridLines="0" tabSelected="1" zoomScale="85" zoomScaleNormal="85" workbookViewId="0">
      <selection activeCell="AG31" sqref="AG31"/>
    </sheetView>
  </sheetViews>
  <sheetFormatPr defaultRowHeight="16.5" outlineLevelRow="1" outlineLevelCol="2"/>
  <cols>
    <col min="1" max="1" width="0.375" style="1" customWidth="1"/>
    <col min="2" max="2" width="29.625" customWidth="1"/>
    <col min="3" max="20" width="8.875" customWidth="1"/>
    <col min="21" max="21" width="1" hidden="1" customWidth="1"/>
    <col min="22" max="22" width="6.875" hidden="1" customWidth="1" outlineLevel="1"/>
    <col min="23" max="23" width="0.875" hidden="1" customWidth="1" outlineLevel="1"/>
    <col min="24" max="26" width="7" hidden="1" customWidth="1" outlineLevel="2"/>
    <col min="27" max="27" width="9" hidden="1" customWidth="1" outlineLevel="1" collapsed="1"/>
    <col min="28" max="28" width="9" customWidth="1" collapsed="1"/>
  </cols>
  <sheetData>
    <row r="1" spans="2:5" ht="17.25" thickBot="1"/>
    <row r="2" spans="2:5" ht="27" customHeight="1" thickBot="1">
      <c r="B2" s="338" t="s">
        <v>53</v>
      </c>
      <c r="C2" s="339"/>
      <c r="D2" s="339"/>
      <c r="E2" s="340"/>
    </row>
    <row r="3" spans="2:5" ht="10.5" customHeight="1">
      <c r="B3" s="24"/>
      <c r="C3" s="24"/>
    </row>
    <row r="4" spans="2:5" ht="14.1" customHeight="1"/>
    <row r="5" spans="2:5" ht="14.1" customHeight="1"/>
    <row r="6" spans="2:5" ht="14.1" customHeight="1"/>
    <row r="7" spans="2:5" ht="14.1" customHeight="1"/>
    <row r="8" spans="2:5" ht="14.1" customHeight="1"/>
    <row r="9" spans="2:5" ht="14.1" customHeight="1"/>
    <row r="10" spans="2:5" ht="14.1" customHeight="1"/>
    <row r="11" spans="2:5" ht="14.1" customHeight="1"/>
    <row r="12" spans="2:5" ht="14.1" customHeight="1"/>
    <row r="13" spans="2:5" ht="14.1" customHeight="1"/>
    <row r="14" spans="2:5" ht="14.1" customHeight="1"/>
    <row r="15" spans="2:5" ht="14.1" customHeight="1"/>
    <row r="16" spans="2:5" ht="14.1" customHeight="1"/>
    <row r="17" spans="1:26" ht="14.1" customHeight="1"/>
    <row r="18" spans="1:26" ht="14.1" customHeight="1"/>
    <row r="19" spans="1:26" ht="14.1" customHeight="1"/>
    <row r="20" spans="1:26" ht="14.1" customHeight="1"/>
    <row r="21" spans="1:26" ht="14.1" customHeight="1"/>
    <row r="22" spans="1:26" ht="14.1" customHeight="1"/>
    <row r="23" spans="1:26" ht="14.1" customHeight="1"/>
    <row r="24" spans="1:26" ht="14.1" customHeight="1"/>
    <row r="25" spans="1:26" ht="14.1" customHeight="1"/>
    <row r="26" spans="1:26" ht="14.1" customHeight="1"/>
    <row r="27" spans="1:26" ht="14.1" customHeight="1"/>
    <row r="28" spans="1:26" ht="14.1" customHeight="1">
      <c r="W28" s="42"/>
    </row>
    <row r="29" spans="1:26" ht="14.1" customHeight="1">
      <c r="W29" s="42"/>
    </row>
    <row r="30" spans="1:26" ht="25.5" customHeight="1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T30" s="334" t="s">
        <v>46</v>
      </c>
      <c r="V30" s="2" t="s">
        <v>38</v>
      </c>
      <c r="W30" s="49"/>
      <c r="X30" t="s">
        <v>39</v>
      </c>
    </row>
    <row r="31" spans="1:26" ht="48.6" customHeight="1">
      <c r="B31" s="253" t="s">
        <v>4</v>
      </c>
      <c r="C31" s="67" t="s">
        <v>23</v>
      </c>
      <c r="D31" s="68" t="s">
        <v>8</v>
      </c>
      <c r="E31" s="69" t="s">
        <v>9</v>
      </c>
      <c r="F31" s="71" t="s">
        <v>10</v>
      </c>
      <c r="G31" s="68" t="s">
        <v>24</v>
      </c>
      <c r="H31" s="69" t="s">
        <v>11</v>
      </c>
      <c r="I31" s="71" t="s">
        <v>12</v>
      </c>
      <c r="J31" s="68" t="s">
        <v>13</v>
      </c>
      <c r="K31" s="69" t="s">
        <v>25</v>
      </c>
      <c r="L31" s="71" t="s">
        <v>14</v>
      </c>
      <c r="M31" s="246" t="s">
        <v>15</v>
      </c>
      <c r="N31" s="69" t="s">
        <v>16</v>
      </c>
      <c r="O31" s="71" t="s">
        <v>17</v>
      </c>
      <c r="P31" s="62"/>
      <c r="Q31" s="258" t="s">
        <v>40</v>
      </c>
      <c r="R31" s="259" t="s">
        <v>41</v>
      </c>
      <c r="S31" s="259" t="s">
        <v>42</v>
      </c>
      <c r="T31" s="259" t="s">
        <v>43</v>
      </c>
      <c r="V31" s="50" t="s">
        <v>2</v>
      </c>
      <c r="W31" s="45"/>
      <c r="X31" s="29" t="s">
        <v>3</v>
      </c>
      <c r="Y31" s="4" t="s">
        <v>0</v>
      </c>
      <c r="Z31" s="3" t="s">
        <v>1</v>
      </c>
    </row>
    <row r="32" spans="1:26">
      <c r="A32" s="5"/>
      <c r="B32" s="240" t="s">
        <v>18</v>
      </c>
      <c r="C32" s="198">
        <f>AVERAGE(D32:O32)</f>
        <v>2.1774999999999998</v>
      </c>
      <c r="D32" s="181">
        <v>2.65</v>
      </c>
      <c r="E32" s="182">
        <v>0.89</v>
      </c>
      <c r="F32" s="184">
        <v>8.3699999999999992</v>
      </c>
      <c r="G32" s="181">
        <v>1.76</v>
      </c>
      <c r="H32" s="182">
        <v>0.93</v>
      </c>
      <c r="I32" s="184">
        <v>1.48</v>
      </c>
      <c r="J32" s="181">
        <v>1.29</v>
      </c>
      <c r="K32" s="182">
        <v>1.02</v>
      </c>
      <c r="L32" s="184">
        <v>2.86</v>
      </c>
      <c r="M32" s="199">
        <v>1.28</v>
      </c>
      <c r="N32" s="182">
        <v>1.41</v>
      </c>
      <c r="O32" s="184">
        <v>2.19</v>
      </c>
      <c r="P32" s="333"/>
      <c r="Q32" s="260">
        <f>SUM(D32:F32)</f>
        <v>11.91</v>
      </c>
      <c r="R32" s="220">
        <f>SUM(G32:I32)</f>
        <v>4.17</v>
      </c>
      <c r="S32" s="220">
        <f>SUM(J32:L32)</f>
        <v>5.17</v>
      </c>
      <c r="T32" s="220">
        <f>SUM(M32:O32)</f>
        <v>4.88</v>
      </c>
      <c r="V32" s="51"/>
      <c r="W32" s="44"/>
      <c r="X32" s="30"/>
      <c r="Y32" s="6"/>
      <c r="Z32" s="7"/>
    </row>
    <row r="33" spans="1:26" ht="17.25" thickBot="1">
      <c r="A33" s="5"/>
      <c r="B33" s="241" t="s">
        <v>22</v>
      </c>
      <c r="C33" s="195"/>
      <c r="D33" s="185">
        <v>2.0670000000000002</v>
      </c>
      <c r="E33" s="186">
        <v>2.0699999999999998</v>
      </c>
      <c r="F33" s="188">
        <v>2.0699999999999998</v>
      </c>
      <c r="G33" s="185">
        <v>2.0699999999999998</v>
      </c>
      <c r="H33" s="186">
        <v>2.0699999999999998</v>
      </c>
      <c r="I33" s="188">
        <v>2.0699999999999998</v>
      </c>
      <c r="J33" s="185">
        <v>2.0699999999999998</v>
      </c>
      <c r="K33" s="186">
        <v>2.0699999999999998</v>
      </c>
      <c r="L33" s="188">
        <v>2.0699999999999998</v>
      </c>
      <c r="M33" s="200">
        <v>2.0699999999999998</v>
      </c>
      <c r="N33" s="186">
        <v>2.0699999999999998</v>
      </c>
      <c r="O33" s="188">
        <v>2.0699999999999998</v>
      </c>
      <c r="P33" s="78"/>
      <c r="Q33" s="228">
        <f>SUM(D33:F33)</f>
        <v>6.2070000000000007</v>
      </c>
      <c r="R33" s="196">
        <f>SUM(G33:I33)</f>
        <v>6.2099999999999991</v>
      </c>
      <c r="S33" s="196">
        <f>SUM(J33:L33)</f>
        <v>6.2099999999999991</v>
      </c>
      <c r="T33" s="196">
        <f>SUM(M33:O33)</f>
        <v>6.2099999999999991</v>
      </c>
      <c r="V33" s="52"/>
      <c r="W33" s="44"/>
      <c r="X33" s="31"/>
      <c r="Y33" s="8"/>
      <c r="Z33" s="9"/>
    </row>
    <row r="34" spans="1:26" ht="14.1" hidden="1" customHeight="1">
      <c r="A34" s="5"/>
      <c r="B34" s="87" t="s">
        <v>19</v>
      </c>
      <c r="C34" s="201"/>
      <c r="D34" s="295">
        <v>1.6</v>
      </c>
      <c r="E34" s="296">
        <v>2.5</v>
      </c>
      <c r="F34" s="297">
        <v>2.5</v>
      </c>
      <c r="G34" s="295">
        <v>2.5</v>
      </c>
      <c r="H34" s="296">
        <v>2.5</v>
      </c>
      <c r="I34" s="297">
        <v>2.5</v>
      </c>
      <c r="J34" s="295">
        <v>2.5</v>
      </c>
      <c r="K34" s="296">
        <v>2.5</v>
      </c>
      <c r="L34" s="297">
        <v>2.5</v>
      </c>
      <c r="M34" s="298">
        <v>2.5</v>
      </c>
      <c r="N34" s="296">
        <v>2.5</v>
      </c>
      <c r="O34" s="297">
        <v>2.5</v>
      </c>
      <c r="P34" s="78"/>
      <c r="Q34" s="261"/>
      <c r="R34" s="221"/>
      <c r="S34" s="221"/>
      <c r="T34" s="267"/>
      <c r="V34" s="52"/>
      <c r="W34" s="44"/>
      <c r="X34" s="31"/>
      <c r="Y34" s="8"/>
      <c r="Z34" s="9"/>
    </row>
    <row r="35" spans="1:26" ht="18.75">
      <c r="A35" s="5"/>
      <c r="B35" s="245" t="s">
        <v>48</v>
      </c>
      <c r="C35" s="195"/>
      <c r="D35" s="310">
        <v>1.53</v>
      </c>
      <c r="E35" s="311">
        <v>8.3000000000000007</v>
      </c>
      <c r="F35" s="312">
        <v>1.1499999999999999</v>
      </c>
      <c r="G35" s="313">
        <v>5.82</v>
      </c>
      <c r="H35" s="311">
        <v>4.9800000000000004</v>
      </c>
      <c r="I35" s="312">
        <v>4.4400000000000004</v>
      </c>
      <c r="J35" s="313">
        <v>5.53</v>
      </c>
      <c r="K35" s="311">
        <v>2.1</v>
      </c>
      <c r="L35" s="312">
        <v>1.39</v>
      </c>
      <c r="M35" s="314">
        <v>1.33</v>
      </c>
      <c r="N35" s="311">
        <v>1.68</v>
      </c>
      <c r="O35" s="315">
        <v>0.33</v>
      </c>
      <c r="P35" s="78"/>
      <c r="Q35" s="228">
        <f>SUM(D35:F35)</f>
        <v>10.98</v>
      </c>
      <c r="R35" s="196">
        <f>SUM(G35:I35)</f>
        <v>15.240000000000002</v>
      </c>
      <c r="S35" s="196">
        <f>SUM(J35:L35)</f>
        <v>9.0200000000000014</v>
      </c>
      <c r="T35" s="228">
        <f>SUM(M35:O35)</f>
        <v>3.34</v>
      </c>
      <c r="V35" s="52"/>
      <c r="W35" s="44"/>
      <c r="X35" s="31"/>
      <c r="Y35" s="8"/>
      <c r="Z35" s="9"/>
    </row>
    <row r="36" spans="1:26" ht="15" customHeight="1" outlineLevel="1" thickBot="1">
      <c r="A36" s="5"/>
      <c r="B36" s="322" t="s">
        <v>49</v>
      </c>
      <c r="C36" s="323"/>
      <c r="D36" s="324">
        <v>0</v>
      </c>
      <c r="E36" s="325">
        <v>0</v>
      </c>
      <c r="F36" s="326">
        <v>0</v>
      </c>
      <c r="G36" s="327">
        <v>0</v>
      </c>
      <c r="H36" s="328">
        <v>0</v>
      </c>
      <c r="I36" s="326">
        <v>0</v>
      </c>
      <c r="J36" s="327">
        <v>0</v>
      </c>
      <c r="K36" s="328">
        <v>0</v>
      </c>
      <c r="L36" s="326">
        <v>0</v>
      </c>
      <c r="M36" s="329">
        <v>0</v>
      </c>
      <c r="N36" s="325">
        <v>0</v>
      </c>
      <c r="O36" s="330">
        <v>0</v>
      </c>
      <c r="P36" s="78"/>
      <c r="Q36" s="288"/>
      <c r="R36" s="289"/>
      <c r="S36" s="289"/>
      <c r="T36" s="288"/>
      <c r="V36" s="61"/>
      <c r="W36" s="44"/>
      <c r="X36" s="38"/>
      <c r="Y36" s="10"/>
      <c r="Z36" s="11"/>
    </row>
    <row r="37" spans="1:26" outlineLevel="1">
      <c r="A37" s="5"/>
      <c r="B37" s="291" t="s">
        <v>51</v>
      </c>
      <c r="C37" s="292"/>
      <c r="D37" s="299">
        <f>D35+D36</f>
        <v>1.53</v>
      </c>
      <c r="E37" s="300">
        <f t="shared" ref="E37:M37" si="0">E35+E36</f>
        <v>8.3000000000000007</v>
      </c>
      <c r="F37" s="301">
        <f>F35+F36</f>
        <v>1.1499999999999999</v>
      </c>
      <c r="G37" s="299">
        <f t="shared" si="0"/>
        <v>5.82</v>
      </c>
      <c r="H37" s="300">
        <f>H35+H36</f>
        <v>4.9800000000000004</v>
      </c>
      <c r="I37" s="301">
        <f t="shared" si="0"/>
        <v>4.4400000000000004</v>
      </c>
      <c r="J37" s="299">
        <f t="shared" si="0"/>
        <v>5.53</v>
      </c>
      <c r="K37" s="300">
        <f t="shared" si="0"/>
        <v>2.1</v>
      </c>
      <c r="L37" s="301">
        <f t="shared" si="0"/>
        <v>1.39</v>
      </c>
      <c r="M37" s="299">
        <f t="shared" si="0"/>
        <v>1.33</v>
      </c>
      <c r="N37" s="300">
        <f>N35+N36</f>
        <v>1.68</v>
      </c>
      <c r="O37" s="301">
        <f>O35+O36</f>
        <v>0.33</v>
      </c>
      <c r="P37" s="78"/>
      <c r="Q37" s="294">
        <f>SUM(D37:F37)</f>
        <v>10.98</v>
      </c>
      <c r="R37" s="293">
        <f>SUM(G37:I37)</f>
        <v>15.240000000000002</v>
      </c>
      <c r="S37" s="293">
        <f>SUM(J37:L37)</f>
        <v>9.0200000000000014</v>
      </c>
      <c r="T37" s="294">
        <f>SUM(M37:O37)</f>
        <v>3.34</v>
      </c>
      <c r="V37" s="281"/>
      <c r="W37" s="44"/>
      <c r="X37" s="38"/>
      <c r="Y37" s="10"/>
      <c r="Z37" s="11"/>
    </row>
    <row r="38" spans="1:26" outlineLevel="1">
      <c r="A38" s="5"/>
      <c r="B38" s="282" t="s">
        <v>50</v>
      </c>
      <c r="C38" s="283"/>
      <c r="D38" s="284">
        <f>IF(D39="","",D35-D39)</f>
        <v>0.65</v>
      </c>
      <c r="E38" s="285">
        <f t="shared" ref="E38:O38" si="1">IF(E39="","",E35-E39)</f>
        <v>6.7200000000000006</v>
      </c>
      <c r="F38" s="286">
        <f>IF(F39="","",F35-F39)</f>
        <v>-0.55000000000000004</v>
      </c>
      <c r="G38" s="284">
        <f t="shared" si="1"/>
        <v>3.0600000000000005</v>
      </c>
      <c r="H38" s="285">
        <f t="shared" si="1"/>
        <v>2.7600000000000002</v>
      </c>
      <c r="I38" s="286">
        <f t="shared" si="1"/>
        <v>1.4300000000000006</v>
      </c>
      <c r="J38" s="284" t="str">
        <f t="shared" si="1"/>
        <v/>
      </c>
      <c r="K38" s="285" t="str">
        <f t="shared" si="1"/>
        <v/>
      </c>
      <c r="L38" s="286" t="str">
        <f t="shared" si="1"/>
        <v/>
      </c>
      <c r="M38" s="287" t="str">
        <f t="shared" si="1"/>
        <v/>
      </c>
      <c r="N38" s="285" t="str">
        <f t="shared" si="1"/>
        <v/>
      </c>
      <c r="O38" s="286" t="str">
        <f t="shared" si="1"/>
        <v/>
      </c>
      <c r="P38" s="78"/>
      <c r="Q38" s="290">
        <f>SUM(D38:F38)</f>
        <v>6.8200000000000012</v>
      </c>
      <c r="R38" s="286">
        <f>SUM(G38:I38)</f>
        <v>7.2500000000000009</v>
      </c>
      <c r="S38" s="286">
        <f>SUM(J38:L38)</f>
        <v>0</v>
      </c>
      <c r="T38" s="290">
        <f>SUM(M38:O38)</f>
        <v>0</v>
      </c>
      <c r="V38" s="281"/>
      <c r="W38" s="44"/>
      <c r="X38" s="38"/>
      <c r="Y38" s="10"/>
      <c r="Z38" s="11"/>
    </row>
    <row r="39" spans="1:26" ht="14.1" customHeight="1">
      <c r="A39" s="5"/>
      <c r="B39" s="238" t="s">
        <v>29</v>
      </c>
      <c r="C39" s="239"/>
      <c r="D39" s="238">
        <v>0.88</v>
      </c>
      <c r="E39" s="279">
        <v>1.58</v>
      </c>
      <c r="F39" s="280">
        <v>1.7</v>
      </c>
      <c r="G39" s="238">
        <v>2.76</v>
      </c>
      <c r="H39" s="279">
        <v>2.2200000000000002</v>
      </c>
      <c r="I39" s="280">
        <v>3.01</v>
      </c>
      <c r="J39" s="243"/>
      <c r="K39" s="279"/>
      <c r="L39" s="244"/>
      <c r="M39" s="250"/>
      <c r="N39" s="279"/>
      <c r="O39" s="280"/>
      <c r="P39" s="169"/>
      <c r="Q39" s="252">
        <f>SUM(D39:F39)</f>
        <v>4.16</v>
      </c>
      <c r="R39" s="244">
        <f>SUM(G39:I39)</f>
        <v>7.99</v>
      </c>
      <c r="S39" s="244">
        <f>SUM(J39:L39)</f>
        <v>0</v>
      </c>
      <c r="T39" s="252">
        <f>SUM(M39:O39)</f>
        <v>0</v>
      </c>
      <c r="V39" s="53">
        <v>15.530049999999999</v>
      </c>
      <c r="W39" s="44"/>
      <c r="X39" s="34">
        <v>11.55</v>
      </c>
      <c r="Y39" s="39">
        <v>14.34</v>
      </c>
      <c r="Z39" s="28">
        <v>16.059999999999999</v>
      </c>
    </row>
    <row r="40" spans="1:26" ht="14.1" customHeight="1">
      <c r="A40" s="5"/>
      <c r="B40" s="76" t="s">
        <v>21</v>
      </c>
      <c r="C40" s="77"/>
      <c r="D40" s="102">
        <f>D39/D32</f>
        <v>0.33207547169811324</v>
      </c>
      <c r="E40" s="103">
        <f>E39/E32</f>
        <v>1.7752808988764046</v>
      </c>
      <c r="F40" s="105">
        <f>F39/F32</f>
        <v>0.20310633213859022</v>
      </c>
      <c r="G40" s="102">
        <f>G39/G32</f>
        <v>1.5681818181818181</v>
      </c>
      <c r="H40" s="147">
        <f>H39/H32</f>
        <v>2.3870967741935485</v>
      </c>
      <c r="I40" s="105">
        <f t="shared" ref="I40:O40" si="2">I39/I32</f>
        <v>2.0337837837837838</v>
      </c>
      <c r="J40" s="102">
        <v>0.09</v>
      </c>
      <c r="K40" s="103">
        <f t="shared" si="2"/>
        <v>0</v>
      </c>
      <c r="L40" s="105">
        <f t="shared" si="2"/>
        <v>0</v>
      </c>
      <c r="M40" s="147">
        <f t="shared" si="2"/>
        <v>0</v>
      </c>
      <c r="N40" s="103">
        <f t="shared" si="2"/>
        <v>0</v>
      </c>
      <c r="O40" s="105">
        <f t="shared" si="2"/>
        <v>0</v>
      </c>
      <c r="P40" s="170"/>
      <c r="Q40" s="268">
        <f>Q39/Q32</f>
        <v>0.34928631402183041</v>
      </c>
      <c r="R40" s="269">
        <f>R39/R32</f>
        <v>1.9160671462829737</v>
      </c>
      <c r="S40" s="269">
        <f>S39/S32</f>
        <v>0</v>
      </c>
      <c r="T40" s="268">
        <f>T39/T32</f>
        <v>0</v>
      </c>
      <c r="V40" s="54" t="e">
        <f>V39/V32</f>
        <v>#DIV/0!</v>
      </c>
      <c r="W40" s="46"/>
      <c r="X40" s="35" t="e">
        <f>X39/X32</f>
        <v>#DIV/0!</v>
      </c>
      <c r="Y40" s="13" t="e">
        <f>Y39/Y32</f>
        <v>#DIV/0!</v>
      </c>
      <c r="Z40" s="12" t="e">
        <f>Z39/Z32</f>
        <v>#DIV/0!</v>
      </c>
    </row>
    <row r="41" spans="1:26" ht="14.1" customHeight="1" thickBot="1">
      <c r="A41" s="5"/>
      <c r="B41" s="81" t="s">
        <v>28</v>
      </c>
      <c r="C41" s="82"/>
      <c r="D41" s="109">
        <f>D39/D33</f>
        <v>0.42573778422835024</v>
      </c>
      <c r="E41" s="110">
        <f t="shared" ref="E41:O41" si="3">E39/E33</f>
        <v>0.76328502415458943</v>
      </c>
      <c r="F41" s="112">
        <f t="shared" si="3"/>
        <v>0.82125603864734309</v>
      </c>
      <c r="G41" s="109">
        <f t="shared" si="3"/>
        <v>1.3333333333333333</v>
      </c>
      <c r="H41" s="110">
        <f t="shared" si="3"/>
        <v>1.0724637681159421</v>
      </c>
      <c r="I41" s="112">
        <f t="shared" si="3"/>
        <v>1.4541062801932367</v>
      </c>
      <c r="J41" s="109">
        <f t="shared" si="3"/>
        <v>0</v>
      </c>
      <c r="K41" s="110">
        <f t="shared" si="3"/>
        <v>0</v>
      </c>
      <c r="L41" s="112">
        <f t="shared" si="3"/>
        <v>0</v>
      </c>
      <c r="M41" s="171">
        <f t="shared" si="3"/>
        <v>0</v>
      </c>
      <c r="N41" s="110">
        <f t="shared" si="3"/>
        <v>0</v>
      </c>
      <c r="O41" s="112">
        <f t="shared" si="3"/>
        <v>0</v>
      </c>
      <c r="P41" s="170"/>
      <c r="Q41" s="255">
        <f>Q39/Q33</f>
        <v>0.67021105203802156</v>
      </c>
      <c r="R41" s="256">
        <f>R39/R33</f>
        <v>1.2866344605475042</v>
      </c>
      <c r="S41" s="256">
        <f>S39/S33</f>
        <v>0</v>
      </c>
      <c r="T41" s="257">
        <f>T39/T33</f>
        <v>0</v>
      </c>
      <c r="V41" s="55" t="e">
        <f>V39/V33</f>
        <v>#DIV/0!</v>
      </c>
      <c r="W41" s="46"/>
      <c r="X41" s="32" t="e">
        <f>X39/X33</f>
        <v>#DIV/0!</v>
      </c>
      <c r="Y41" s="15" t="e">
        <f>Y39/Y33</f>
        <v>#DIV/0!</v>
      </c>
      <c r="Z41" s="14" t="e">
        <f>Z39/Z33</f>
        <v>#DIV/0!</v>
      </c>
    </row>
    <row r="42" spans="1:26" ht="14.1" customHeight="1">
      <c r="A42" s="5"/>
      <c r="B42" s="116" t="s">
        <v>26</v>
      </c>
      <c r="C42" s="117"/>
      <c r="D42" s="118">
        <f t="shared" ref="D42:O42" si="4">D39/D34</f>
        <v>0.54999999999999993</v>
      </c>
      <c r="E42" s="119">
        <f t="shared" si="4"/>
        <v>0.63200000000000001</v>
      </c>
      <c r="F42" s="121">
        <f t="shared" si="4"/>
        <v>0.67999999999999994</v>
      </c>
      <c r="G42" s="172">
        <f t="shared" si="4"/>
        <v>1.1039999999999999</v>
      </c>
      <c r="H42" s="173">
        <f t="shared" si="4"/>
        <v>0.88800000000000012</v>
      </c>
      <c r="I42" s="174">
        <f t="shared" si="4"/>
        <v>1.204</v>
      </c>
      <c r="J42" s="152">
        <f t="shared" si="4"/>
        <v>0</v>
      </c>
      <c r="K42" s="153">
        <f t="shared" si="4"/>
        <v>0</v>
      </c>
      <c r="L42" s="247">
        <f t="shared" si="4"/>
        <v>0</v>
      </c>
      <c r="M42" s="153">
        <f t="shared" si="4"/>
        <v>0</v>
      </c>
      <c r="N42" s="153">
        <f t="shared" si="4"/>
        <v>0</v>
      </c>
      <c r="O42" s="121">
        <f t="shared" si="4"/>
        <v>0</v>
      </c>
      <c r="P42" s="170"/>
      <c r="Q42" s="122"/>
      <c r="R42" s="122"/>
      <c r="S42" s="122"/>
      <c r="T42" s="122"/>
      <c r="V42" s="56" t="e">
        <f>V39/V34</f>
        <v>#DIV/0!</v>
      </c>
      <c r="W42" s="46"/>
      <c r="X42" s="25"/>
      <c r="Y42" s="22"/>
      <c r="Z42" s="21"/>
    </row>
    <row r="43" spans="1:26" ht="48.6" customHeight="1" thickBot="1">
      <c r="B43" s="63"/>
      <c r="C43" s="63"/>
      <c r="D43" s="130"/>
      <c r="E43" s="131"/>
      <c r="F43" s="131"/>
      <c r="G43" s="131"/>
      <c r="H43" s="131"/>
      <c r="I43" s="130"/>
      <c r="J43" s="131"/>
      <c r="K43" s="131"/>
      <c r="L43" s="130"/>
      <c r="M43" s="130"/>
      <c r="N43" s="130"/>
      <c r="O43" s="175"/>
      <c r="P43" s="169"/>
      <c r="Q43" s="274"/>
      <c r="R43" s="275"/>
      <c r="S43" s="275"/>
      <c r="T43" s="276"/>
      <c r="V43" s="43"/>
      <c r="W43" s="48"/>
      <c r="X43" s="27"/>
      <c r="Z43" s="27"/>
    </row>
    <row r="44" spans="1:26" ht="48">
      <c r="B44" s="159" t="s">
        <v>27</v>
      </c>
      <c r="C44" s="158" t="s">
        <v>23</v>
      </c>
      <c r="D44" s="68" t="s">
        <v>8</v>
      </c>
      <c r="E44" s="69" t="s">
        <v>9</v>
      </c>
      <c r="F44" s="70" t="s">
        <v>10</v>
      </c>
      <c r="G44" s="68" t="s">
        <v>24</v>
      </c>
      <c r="H44" s="69" t="s">
        <v>11</v>
      </c>
      <c r="I44" s="71" t="s">
        <v>12</v>
      </c>
      <c r="J44" s="68" t="s">
        <v>13</v>
      </c>
      <c r="K44" s="69" t="s">
        <v>25</v>
      </c>
      <c r="L44" s="71" t="s">
        <v>14</v>
      </c>
      <c r="M44" s="68" t="s">
        <v>15</v>
      </c>
      <c r="N44" s="69" t="s">
        <v>16</v>
      </c>
      <c r="O44" s="71" t="s">
        <v>17</v>
      </c>
      <c r="P44" s="169"/>
      <c r="Q44" s="277" t="s">
        <v>40</v>
      </c>
      <c r="R44" s="176" t="s">
        <v>41</v>
      </c>
      <c r="S44" s="176" t="s">
        <v>42</v>
      </c>
      <c r="T44" s="277" t="s">
        <v>43</v>
      </c>
      <c r="V44" s="57" t="s">
        <v>2</v>
      </c>
      <c r="W44" s="47"/>
      <c r="X44" s="36" t="s">
        <v>3</v>
      </c>
      <c r="Y44" s="17" t="s">
        <v>0</v>
      </c>
      <c r="Z44" s="16" t="s">
        <v>1</v>
      </c>
    </row>
    <row r="45" spans="1:26" ht="14.1" customHeight="1">
      <c r="B45" s="240" t="s">
        <v>18</v>
      </c>
      <c r="C45" s="202">
        <f>C32</f>
        <v>2.1774999999999998</v>
      </c>
      <c r="D45" s="203">
        <f>D32</f>
        <v>2.65</v>
      </c>
      <c r="E45" s="204">
        <f>D45+E32</f>
        <v>3.54</v>
      </c>
      <c r="F45" s="205">
        <f t="shared" ref="F45:O45" si="5">E45+F32</f>
        <v>11.91</v>
      </c>
      <c r="G45" s="206">
        <f t="shared" si="5"/>
        <v>13.67</v>
      </c>
      <c r="H45" s="204">
        <f t="shared" si="5"/>
        <v>14.6</v>
      </c>
      <c r="I45" s="207">
        <f t="shared" si="5"/>
        <v>16.079999999999998</v>
      </c>
      <c r="J45" s="203">
        <f t="shared" si="5"/>
        <v>17.369999999999997</v>
      </c>
      <c r="K45" s="204">
        <f t="shared" si="5"/>
        <v>18.389999999999997</v>
      </c>
      <c r="L45" s="205">
        <f t="shared" si="5"/>
        <v>21.249999999999996</v>
      </c>
      <c r="M45" s="206">
        <f t="shared" si="5"/>
        <v>22.529999999999998</v>
      </c>
      <c r="N45" s="204">
        <f t="shared" si="5"/>
        <v>23.939999999999998</v>
      </c>
      <c r="O45" s="205">
        <f t="shared" si="5"/>
        <v>26.13</v>
      </c>
      <c r="P45" s="169"/>
      <c r="Q45" s="223">
        <f>F45</f>
        <v>11.91</v>
      </c>
      <c r="R45" s="223">
        <f>I45</f>
        <v>16.079999999999998</v>
      </c>
      <c r="S45" s="223">
        <f>L45</f>
        <v>21.249999999999996</v>
      </c>
      <c r="T45" s="223">
        <f>O45</f>
        <v>26.13</v>
      </c>
      <c r="V45" s="58"/>
      <c r="W45" s="48"/>
      <c r="X45" s="33"/>
      <c r="Y45" s="18"/>
      <c r="Z45" s="19"/>
    </row>
    <row r="46" spans="1:26" ht="14.1" customHeight="1">
      <c r="B46" s="241" t="s">
        <v>22</v>
      </c>
      <c r="C46" s="195"/>
      <c r="D46" s="185">
        <f>D33</f>
        <v>2.0670000000000002</v>
      </c>
      <c r="E46" s="186">
        <f>D46+E33</f>
        <v>4.1370000000000005</v>
      </c>
      <c r="F46" s="188">
        <f>E46+F33</f>
        <v>6.2070000000000007</v>
      </c>
      <c r="G46" s="200">
        <f t="shared" ref="G46:O46" si="6">F46+G33</f>
        <v>8.277000000000001</v>
      </c>
      <c r="H46" s="186">
        <f t="shared" si="6"/>
        <v>10.347000000000001</v>
      </c>
      <c r="I46" s="188">
        <f t="shared" si="6"/>
        <v>12.417000000000002</v>
      </c>
      <c r="J46" s="200">
        <f t="shared" si="6"/>
        <v>14.487000000000002</v>
      </c>
      <c r="K46" s="186">
        <f t="shared" si="6"/>
        <v>16.557000000000002</v>
      </c>
      <c r="L46" s="188">
        <f t="shared" si="6"/>
        <v>18.627000000000002</v>
      </c>
      <c r="M46" s="200">
        <f t="shared" si="6"/>
        <v>20.697000000000003</v>
      </c>
      <c r="N46" s="186">
        <f t="shared" si="6"/>
        <v>22.767000000000003</v>
      </c>
      <c r="O46" s="188">
        <f t="shared" si="6"/>
        <v>24.837000000000003</v>
      </c>
      <c r="P46" s="169"/>
      <c r="Q46" s="224">
        <f>F46</f>
        <v>6.2070000000000007</v>
      </c>
      <c r="R46" s="224">
        <f>I46</f>
        <v>12.417000000000002</v>
      </c>
      <c r="S46" s="224">
        <f>L46</f>
        <v>18.627000000000002</v>
      </c>
      <c r="T46" s="224">
        <f>O46</f>
        <v>24.837000000000003</v>
      </c>
      <c r="V46" s="59"/>
      <c r="W46" s="48"/>
      <c r="X46" s="31"/>
      <c r="Y46" s="8"/>
      <c r="Z46" s="9"/>
    </row>
    <row r="47" spans="1:26" ht="14.1" customHeight="1">
      <c r="B47" s="238" t="s">
        <v>30</v>
      </c>
      <c r="C47" s="251"/>
      <c r="D47" s="242">
        <f>D39</f>
        <v>0.88</v>
      </c>
      <c r="E47" s="242">
        <f>D47+E39</f>
        <v>2.46</v>
      </c>
      <c r="F47" s="242">
        <f t="shared" ref="F47:O47" si="7">E47+F39</f>
        <v>4.16</v>
      </c>
      <c r="G47" s="243">
        <f t="shared" si="7"/>
        <v>6.92</v>
      </c>
      <c r="H47" s="249">
        <f t="shared" si="7"/>
        <v>9.14</v>
      </c>
      <c r="I47" s="244">
        <f t="shared" si="7"/>
        <v>12.15</v>
      </c>
      <c r="J47" s="250">
        <f t="shared" si="7"/>
        <v>12.15</v>
      </c>
      <c r="K47" s="250">
        <f t="shared" si="7"/>
        <v>12.15</v>
      </c>
      <c r="L47" s="250">
        <f t="shared" si="7"/>
        <v>12.15</v>
      </c>
      <c r="M47" s="243">
        <f t="shared" si="7"/>
        <v>12.15</v>
      </c>
      <c r="N47" s="249">
        <f t="shared" si="7"/>
        <v>12.15</v>
      </c>
      <c r="O47" s="244">
        <f t="shared" si="7"/>
        <v>12.15</v>
      </c>
      <c r="P47" s="169"/>
      <c r="Q47" s="278">
        <f>F47</f>
        <v>4.16</v>
      </c>
      <c r="R47" s="254">
        <f>I47</f>
        <v>12.15</v>
      </c>
      <c r="S47" s="254">
        <f>L47</f>
        <v>12.15</v>
      </c>
      <c r="T47" s="254">
        <f>O47</f>
        <v>12.15</v>
      </c>
      <c r="V47" s="41"/>
      <c r="W47" s="44"/>
      <c r="X47" s="37"/>
      <c r="Y47" s="40"/>
      <c r="Z47" s="20"/>
    </row>
    <row r="48" spans="1:26" ht="14.1" customHeight="1">
      <c r="B48" s="76" t="s">
        <v>20</v>
      </c>
      <c r="C48" s="77"/>
      <c r="D48" s="102">
        <f t="shared" ref="D48:J48" si="8">D47/D45</f>
        <v>0.33207547169811324</v>
      </c>
      <c r="E48" s="103">
        <f t="shared" si="8"/>
        <v>0.69491525423728817</v>
      </c>
      <c r="F48" s="105">
        <f t="shared" si="8"/>
        <v>0.34928631402183041</v>
      </c>
      <c r="G48" s="147">
        <f t="shared" si="8"/>
        <v>0.50621799561082659</v>
      </c>
      <c r="H48" s="103">
        <f t="shared" si="8"/>
        <v>0.62602739726027401</v>
      </c>
      <c r="I48" s="105">
        <f t="shared" si="8"/>
        <v>0.75559701492537323</v>
      </c>
      <c r="J48" s="147">
        <f t="shared" si="8"/>
        <v>0.69948186528497425</v>
      </c>
      <c r="K48" s="103">
        <f>K47/K45</f>
        <v>0.66068515497553026</v>
      </c>
      <c r="L48" s="105">
        <f>L47/L45</f>
        <v>0.57176470588235306</v>
      </c>
      <c r="M48" s="147">
        <f>M47/M45</f>
        <v>0.53928095872170445</v>
      </c>
      <c r="N48" s="103">
        <f>N47/N45</f>
        <v>0.50751879699248126</v>
      </c>
      <c r="O48" s="105">
        <f>O47/O45</f>
        <v>0.46498277841561425</v>
      </c>
      <c r="P48" s="122"/>
      <c r="Q48" s="268">
        <f>Q47/Q45</f>
        <v>0.34928631402183041</v>
      </c>
      <c r="R48" s="268">
        <f>R47/R45</f>
        <v>0.75559701492537323</v>
      </c>
      <c r="S48" s="268">
        <f>S47/S45</f>
        <v>0.57176470588235306</v>
      </c>
      <c r="T48" s="268">
        <f>T47/T45</f>
        <v>0.46498277841561425</v>
      </c>
      <c r="V48" s="54" t="e">
        <f>V47/V45</f>
        <v>#DIV/0!</v>
      </c>
      <c r="W48" s="46"/>
      <c r="X48" s="35" t="e">
        <f>X47/X45</f>
        <v>#DIV/0!</v>
      </c>
      <c r="Y48" s="13" t="e">
        <f>Y47/Y45</f>
        <v>#DIV/0!</v>
      </c>
      <c r="Z48" s="12" t="e">
        <f>Z47/Z45</f>
        <v>#DIV/0!</v>
      </c>
    </row>
    <row r="49" spans="1:26" ht="14.1" customHeight="1" thickBot="1">
      <c r="B49" s="150" t="s">
        <v>28</v>
      </c>
      <c r="C49" s="151"/>
      <c r="D49" s="152">
        <f t="shared" ref="D49:O49" si="9">D47/D46</f>
        <v>0.42573778422835024</v>
      </c>
      <c r="E49" s="119">
        <f t="shared" si="9"/>
        <v>0.59463379260333571</v>
      </c>
      <c r="F49" s="121">
        <f t="shared" si="9"/>
        <v>0.67021105203802156</v>
      </c>
      <c r="G49" s="153">
        <f t="shared" si="9"/>
        <v>0.83605170955660257</v>
      </c>
      <c r="H49" s="119">
        <f t="shared" si="9"/>
        <v>0.88334783028897257</v>
      </c>
      <c r="I49" s="120">
        <f t="shared" si="9"/>
        <v>0.97849722155109919</v>
      </c>
      <c r="J49" s="152">
        <f t="shared" si="9"/>
        <v>0.83868295713398211</v>
      </c>
      <c r="K49" s="119">
        <f t="shared" si="9"/>
        <v>0.73382859213625651</v>
      </c>
      <c r="L49" s="121">
        <f t="shared" si="9"/>
        <v>0.65227894991141888</v>
      </c>
      <c r="M49" s="153">
        <f t="shared" si="9"/>
        <v>0.58704160023191765</v>
      </c>
      <c r="N49" s="119">
        <f t="shared" si="9"/>
        <v>0.53366714982211094</v>
      </c>
      <c r="O49" s="121">
        <f t="shared" si="9"/>
        <v>0.48918951564198571</v>
      </c>
      <c r="P49" s="122"/>
      <c r="Q49" s="255">
        <f>Q47/Q46</f>
        <v>0.67021105203802156</v>
      </c>
      <c r="R49" s="270">
        <f>R47/R46</f>
        <v>0.97849722155109919</v>
      </c>
      <c r="S49" s="270">
        <f>S47/S46</f>
        <v>0.65227894991141888</v>
      </c>
      <c r="T49" s="257">
        <f>T47/T46</f>
        <v>0.48918951564198571</v>
      </c>
      <c r="V49" s="60" t="e">
        <f>V47/V46</f>
        <v>#DIV/0!</v>
      </c>
      <c r="W49" s="46"/>
      <c r="X49" s="26" t="e">
        <f>X47/X46</f>
        <v>#DIV/0!</v>
      </c>
      <c r="Y49" s="22" t="e">
        <f>Y47/Y46</f>
        <v>#DIV/0!</v>
      </c>
      <c r="Z49" s="21" t="e">
        <f>Z47/Z46</f>
        <v>#DIV/0!</v>
      </c>
    </row>
    <row r="50" spans="1:26" ht="14.1" customHeight="1">
      <c r="B50" s="63"/>
      <c r="C50" s="63"/>
      <c r="D50" s="155"/>
      <c r="E50" s="177"/>
      <c r="F50" s="155"/>
      <c r="G50" s="155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W50" s="42"/>
    </row>
    <row r="51" spans="1:26" ht="14.1" customHeight="1"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7"/>
      <c r="P51" s="157"/>
      <c r="Q51" s="157"/>
      <c r="R51" s="157"/>
      <c r="S51" s="157"/>
      <c r="T51" s="157"/>
    </row>
    <row r="52" spans="1:26" ht="14.1" customHeight="1">
      <c r="A52" s="5"/>
      <c r="B52" s="160" t="s">
        <v>31</v>
      </c>
      <c r="C52" s="132"/>
      <c r="D52" s="161">
        <v>2.5</v>
      </c>
      <c r="E52" s="162">
        <v>2.5</v>
      </c>
      <c r="F52" s="140">
        <v>2.5</v>
      </c>
      <c r="G52" s="167">
        <v>2.5</v>
      </c>
      <c r="H52" s="162">
        <v>2.5</v>
      </c>
      <c r="I52" s="132">
        <v>2.5</v>
      </c>
      <c r="J52" s="161">
        <v>2.5</v>
      </c>
      <c r="K52" s="162">
        <v>2.5</v>
      </c>
      <c r="L52" s="140">
        <v>2.5</v>
      </c>
      <c r="M52" s="167">
        <v>2.5</v>
      </c>
      <c r="N52" s="162">
        <v>2.5</v>
      </c>
      <c r="O52" s="140">
        <v>2.5</v>
      </c>
      <c r="P52" s="78"/>
      <c r="Q52" s="83">
        <f>SUM(D52:F52)</f>
        <v>7.5</v>
      </c>
      <c r="R52" s="84">
        <f>SUM(G52:I52)</f>
        <v>7.5</v>
      </c>
      <c r="S52" s="84">
        <f>SUM(J52:L52)</f>
        <v>7.5</v>
      </c>
      <c r="T52" s="85">
        <f>SUM(M52:O52)</f>
        <v>7.5</v>
      </c>
      <c r="X52" s="31">
        <f>176.16/12</f>
        <v>14.68</v>
      </c>
      <c r="Y52" s="8">
        <f>176.16/12</f>
        <v>14.68</v>
      </c>
      <c r="Z52" s="9">
        <f>176.16/12</f>
        <v>14.68</v>
      </c>
    </row>
    <row r="53" spans="1:26">
      <c r="B53" s="150" t="s">
        <v>32</v>
      </c>
      <c r="C53" s="151"/>
      <c r="D53" s="163">
        <f>D52</f>
        <v>2.5</v>
      </c>
      <c r="E53" s="164">
        <f t="shared" ref="E53:O53" si="10">D53+E52</f>
        <v>5</v>
      </c>
      <c r="F53" s="165">
        <f t="shared" si="10"/>
        <v>7.5</v>
      </c>
      <c r="G53" s="166">
        <f t="shared" si="10"/>
        <v>10</v>
      </c>
      <c r="H53" s="164">
        <f t="shared" si="10"/>
        <v>12.5</v>
      </c>
      <c r="I53" s="151">
        <f t="shared" si="10"/>
        <v>15</v>
      </c>
      <c r="J53" s="163">
        <f t="shared" si="10"/>
        <v>17.5</v>
      </c>
      <c r="K53" s="164">
        <f t="shared" si="10"/>
        <v>20</v>
      </c>
      <c r="L53" s="165">
        <f t="shared" si="10"/>
        <v>22.5</v>
      </c>
      <c r="M53" s="166">
        <f t="shared" si="10"/>
        <v>25</v>
      </c>
      <c r="N53" s="164">
        <f t="shared" si="10"/>
        <v>27.5</v>
      </c>
      <c r="O53" s="165">
        <f t="shared" si="10"/>
        <v>30</v>
      </c>
      <c r="P53" s="78"/>
      <c r="Q53" s="83">
        <f>F53</f>
        <v>7.5</v>
      </c>
      <c r="R53" s="141">
        <f>I53</f>
        <v>15</v>
      </c>
      <c r="S53" s="141">
        <f>L53</f>
        <v>22.5</v>
      </c>
      <c r="T53" s="142">
        <f>O53</f>
        <v>30</v>
      </c>
      <c r="X53" s="31">
        <f>X52</f>
        <v>14.68</v>
      </c>
      <c r="Y53" s="8">
        <f>X53+Y52</f>
        <v>29.36</v>
      </c>
      <c r="Z53" s="9">
        <f>Y53+Z52</f>
        <v>44.04</v>
      </c>
    </row>
    <row r="54" spans="1:26" ht="17.25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6" ht="17.2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6" ht="17.25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</sheetData>
  <mergeCells count="1">
    <mergeCell ref="B2:E2"/>
  </mergeCells>
  <phoneticPr fontId="7"/>
  <pageMargins left="0.70866141732283472" right="0.70866141732283472" top="0.74803149606299213" bottom="0.74803149606299213" header="0.31496062992125984" footer="0.31496062992125984"/>
  <pageSetup paperSize="8" scale="8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53"/>
  <sheetViews>
    <sheetView showGridLines="0" zoomScaleNormal="100" workbookViewId="0">
      <selection activeCell="E35" sqref="E35"/>
    </sheetView>
  </sheetViews>
  <sheetFormatPr defaultColWidth="8.75" defaultRowHeight="14.25" outlineLevelCol="1"/>
  <cols>
    <col min="1" max="1" width="0.75" style="62" customWidth="1"/>
    <col min="2" max="2" width="29.625" style="63" customWidth="1"/>
    <col min="3" max="20" width="8.75" style="63" customWidth="1"/>
    <col min="21" max="21" width="0.875" style="63" customWidth="1"/>
    <col min="22" max="22" width="7.125" style="63" hidden="1" customWidth="1" outlineLevel="1"/>
    <col min="23" max="23" width="6.875" style="63" hidden="1" customWidth="1" outlineLevel="1"/>
    <col min="24" max="24" width="7.5" style="63" hidden="1" customWidth="1" outlineLevel="1"/>
    <col min="25" max="25" width="9" style="63" customWidth="1" collapsed="1"/>
    <col min="26" max="16384" width="8.75" style="63"/>
  </cols>
  <sheetData>
    <row r="1" spans="2:6" ht="15" thickBot="1"/>
    <row r="2" spans="2:6" ht="27" customHeight="1" thickBot="1">
      <c r="B2" s="335" t="s">
        <v>37</v>
      </c>
      <c r="C2" s="336"/>
      <c r="D2" s="336"/>
      <c r="E2" s="336"/>
      <c r="F2" s="337"/>
    </row>
    <row r="3" spans="2:6" ht="10.5" customHeight="1">
      <c r="B3" s="64"/>
      <c r="C3" s="64"/>
    </row>
    <row r="4" spans="2:6" ht="14.1" customHeight="1"/>
    <row r="5" spans="2:6" ht="14.1" customHeight="1"/>
    <row r="6" spans="2:6" ht="14.1" customHeight="1"/>
    <row r="7" spans="2:6" ht="14.1" customHeight="1"/>
    <row r="8" spans="2:6" ht="14.1" customHeight="1"/>
    <row r="9" spans="2:6" ht="14.1" customHeight="1"/>
    <row r="10" spans="2:6" ht="14.1" customHeight="1"/>
    <row r="11" spans="2:6" ht="14.1" customHeight="1"/>
    <row r="12" spans="2:6" ht="14.1" customHeight="1"/>
    <row r="13" spans="2:6" ht="14.1" customHeight="1"/>
    <row r="14" spans="2:6" ht="14.1" customHeight="1"/>
    <row r="15" spans="2:6" ht="14.1" customHeight="1"/>
    <row r="16" spans="2:6" ht="14.1" customHeight="1"/>
    <row r="17" spans="1:24" ht="14.1" customHeight="1"/>
    <row r="18" spans="1:24" ht="14.1" customHeight="1"/>
    <row r="19" spans="1:24" ht="14.1" customHeight="1"/>
    <row r="20" spans="1:24" ht="14.1" customHeight="1"/>
    <row r="21" spans="1:24" ht="14.1" customHeight="1"/>
    <row r="22" spans="1:24" ht="14.1" customHeight="1"/>
    <row r="23" spans="1:24" ht="14.1" customHeight="1"/>
    <row r="24" spans="1:24" ht="14.1" customHeight="1"/>
    <row r="25" spans="1:24" ht="14.1" customHeight="1"/>
    <row r="26" spans="1:24" ht="14.1" customHeight="1"/>
    <row r="27" spans="1:24" ht="14.1" customHeight="1"/>
    <row r="28" spans="1:24" ht="14.1" customHeight="1"/>
    <row r="29" spans="1:24" ht="14.1" customHeight="1"/>
    <row r="30" spans="1:24" ht="25.5" customHeight="1"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T30" s="180" t="s">
        <v>47</v>
      </c>
    </row>
    <row r="31" spans="1:24" ht="48.6" customHeight="1">
      <c r="B31" s="66" t="s">
        <v>4</v>
      </c>
      <c r="C31" s="67" t="s">
        <v>23</v>
      </c>
      <c r="D31" s="68" t="s">
        <v>8</v>
      </c>
      <c r="E31" s="69" t="s">
        <v>9</v>
      </c>
      <c r="F31" s="70" t="s">
        <v>10</v>
      </c>
      <c r="G31" s="68" t="s">
        <v>24</v>
      </c>
      <c r="H31" s="69" t="s">
        <v>11</v>
      </c>
      <c r="I31" s="71" t="s">
        <v>12</v>
      </c>
      <c r="J31" s="68" t="s">
        <v>13</v>
      </c>
      <c r="K31" s="69" t="s">
        <v>25</v>
      </c>
      <c r="L31" s="71" t="s">
        <v>14</v>
      </c>
      <c r="M31" s="68" t="s">
        <v>15</v>
      </c>
      <c r="N31" s="69" t="s">
        <v>16</v>
      </c>
      <c r="O31" s="71" t="s">
        <v>17</v>
      </c>
      <c r="P31" s="62"/>
      <c r="Q31" s="263" t="s">
        <v>33</v>
      </c>
      <c r="R31" s="264" t="s">
        <v>34</v>
      </c>
      <c r="S31" s="264" t="s">
        <v>35</v>
      </c>
      <c r="T31" s="264" t="s">
        <v>36</v>
      </c>
      <c r="V31" s="72" t="s">
        <v>5</v>
      </c>
      <c r="W31" s="73" t="s">
        <v>6</v>
      </c>
      <c r="X31" s="74" t="s">
        <v>7</v>
      </c>
    </row>
    <row r="32" spans="1:24" ht="14.1" customHeight="1">
      <c r="A32" s="75"/>
      <c r="B32" s="76" t="s">
        <v>18</v>
      </c>
      <c r="C32" s="198">
        <v>2</v>
      </c>
      <c r="D32" s="181">
        <v>2</v>
      </c>
      <c r="E32" s="182">
        <v>2</v>
      </c>
      <c r="F32" s="183">
        <v>2</v>
      </c>
      <c r="G32" s="181">
        <v>2</v>
      </c>
      <c r="H32" s="182">
        <v>2</v>
      </c>
      <c r="I32" s="184">
        <v>2</v>
      </c>
      <c r="J32" s="181">
        <v>2</v>
      </c>
      <c r="K32" s="182">
        <v>2</v>
      </c>
      <c r="L32" s="184">
        <v>2</v>
      </c>
      <c r="M32" s="181">
        <v>2</v>
      </c>
      <c r="N32" s="182">
        <v>2</v>
      </c>
      <c r="O32" s="184">
        <v>2</v>
      </c>
      <c r="P32" s="78"/>
      <c r="Q32" s="260">
        <f>SUM(D32:F32)</f>
        <v>6</v>
      </c>
      <c r="R32" s="220">
        <f>SUM(G32:I32)</f>
        <v>6</v>
      </c>
      <c r="S32" s="220">
        <f>SUM(J32:L32)</f>
        <v>6</v>
      </c>
      <c r="T32" s="220">
        <f>SUM(M32:O32)</f>
        <v>6</v>
      </c>
      <c r="V32" s="80">
        <v>12.65635</v>
      </c>
      <c r="W32" s="77">
        <v>14.046419999999999</v>
      </c>
      <c r="X32" s="79">
        <v>14.67</v>
      </c>
    </row>
    <row r="33" spans="1:24" ht="14.1" customHeight="1">
      <c r="A33" s="75"/>
      <c r="B33" s="81" t="s">
        <v>22</v>
      </c>
      <c r="C33" s="195"/>
      <c r="D33" s="185">
        <v>2</v>
      </c>
      <c r="E33" s="186">
        <v>2</v>
      </c>
      <c r="F33" s="187">
        <v>2</v>
      </c>
      <c r="G33" s="185">
        <v>2</v>
      </c>
      <c r="H33" s="186">
        <v>2</v>
      </c>
      <c r="I33" s="188">
        <v>2</v>
      </c>
      <c r="J33" s="185">
        <v>2</v>
      </c>
      <c r="K33" s="186">
        <v>2</v>
      </c>
      <c r="L33" s="187">
        <v>2</v>
      </c>
      <c r="M33" s="185">
        <v>2</v>
      </c>
      <c r="N33" s="186">
        <v>2</v>
      </c>
      <c r="O33" s="188">
        <v>2</v>
      </c>
      <c r="P33" s="78"/>
      <c r="Q33" s="228">
        <f>SUM(D33:F33)</f>
        <v>6</v>
      </c>
      <c r="R33" s="196">
        <f>SUM(G33:I33)</f>
        <v>6</v>
      </c>
      <c r="S33" s="196">
        <f>SUM(J33:L33)</f>
        <v>6</v>
      </c>
      <c r="T33" s="196">
        <f>SUM(M33:O33)</f>
        <v>6</v>
      </c>
      <c r="V33" s="86">
        <v>13.666666666666666</v>
      </c>
      <c r="W33" s="82">
        <v>13.666666666666666</v>
      </c>
      <c r="X33" s="84">
        <v>13.666666666666666</v>
      </c>
    </row>
    <row r="34" spans="1:24" ht="14.1" customHeight="1">
      <c r="A34" s="75"/>
      <c r="B34" s="87" t="s">
        <v>19</v>
      </c>
      <c r="C34" s="201"/>
      <c r="D34" s="189">
        <v>2</v>
      </c>
      <c r="E34" s="190">
        <v>2</v>
      </c>
      <c r="F34" s="191">
        <v>2</v>
      </c>
      <c r="G34" s="189">
        <v>2</v>
      </c>
      <c r="H34" s="190">
        <v>2</v>
      </c>
      <c r="I34" s="192">
        <v>2</v>
      </c>
      <c r="J34" s="189">
        <v>2</v>
      </c>
      <c r="K34" s="190">
        <v>2</v>
      </c>
      <c r="L34" s="191">
        <v>2</v>
      </c>
      <c r="M34" s="189">
        <v>2</v>
      </c>
      <c r="N34" s="190">
        <v>2</v>
      </c>
      <c r="O34" s="188">
        <v>2</v>
      </c>
      <c r="P34" s="78"/>
      <c r="Q34" s="261"/>
      <c r="R34" s="221"/>
      <c r="S34" s="221"/>
      <c r="T34" s="221"/>
      <c r="V34" s="86"/>
      <c r="W34" s="82"/>
      <c r="X34" s="84"/>
    </row>
    <row r="35" spans="1:24" ht="14.1" customHeight="1">
      <c r="A35" s="75"/>
      <c r="B35" s="178" t="s">
        <v>45</v>
      </c>
      <c r="C35" s="195"/>
      <c r="D35" s="193"/>
      <c r="E35" s="194" t="s">
        <v>52</v>
      </c>
      <c r="F35" s="195"/>
      <c r="G35" s="193"/>
      <c r="H35" s="194"/>
      <c r="I35" s="196">
        <v>1.08</v>
      </c>
      <c r="J35" s="193">
        <v>0.24</v>
      </c>
      <c r="K35" s="194">
        <v>0.36</v>
      </c>
      <c r="L35" s="195">
        <v>0.45</v>
      </c>
      <c r="M35" s="185">
        <v>0.08</v>
      </c>
      <c r="N35" s="186">
        <v>0.36</v>
      </c>
      <c r="O35" s="188">
        <v>0.17</v>
      </c>
      <c r="P35" s="78"/>
      <c r="Q35" s="228"/>
      <c r="R35" s="196"/>
      <c r="S35" s="196"/>
      <c r="T35" s="196"/>
      <c r="V35" s="86"/>
      <c r="W35" s="82"/>
      <c r="X35" s="84"/>
    </row>
    <row r="36" spans="1:24" ht="14.1" customHeight="1">
      <c r="A36" s="75"/>
      <c r="B36" s="89" t="s">
        <v>29</v>
      </c>
      <c r="C36" s="90"/>
      <c r="D36" s="91">
        <v>2</v>
      </c>
      <c r="E36" s="92">
        <v>2</v>
      </c>
      <c r="F36" s="92">
        <v>2</v>
      </c>
      <c r="G36" s="93">
        <v>2</v>
      </c>
      <c r="H36" s="94">
        <v>2</v>
      </c>
      <c r="I36" s="95">
        <v>2</v>
      </c>
      <c r="J36" s="96">
        <v>2</v>
      </c>
      <c r="K36" s="97">
        <v>2</v>
      </c>
      <c r="L36" s="98">
        <v>2</v>
      </c>
      <c r="M36" s="96">
        <v>2</v>
      </c>
      <c r="N36" s="97">
        <v>2</v>
      </c>
      <c r="O36" s="98">
        <v>2</v>
      </c>
      <c r="P36" s="78"/>
      <c r="Q36" s="265">
        <f>SUM(D36:F36)</f>
        <v>6</v>
      </c>
      <c r="R36" s="197">
        <f>SUM(G36:I36)</f>
        <v>6</v>
      </c>
      <c r="S36" s="197">
        <f>SUM(J36:L36)</f>
        <v>6</v>
      </c>
      <c r="T36" s="265">
        <f>SUM(M36:O36)</f>
        <v>6</v>
      </c>
      <c r="V36" s="99">
        <v>19.239999999999998</v>
      </c>
      <c r="W36" s="100">
        <v>13.79</v>
      </c>
      <c r="X36" s="101">
        <v>12.41</v>
      </c>
    </row>
    <row r="37" spans="1:24" ht="14.1" customHeight="1">
      <c r="A37" s="75"/>
      <c r="B37" s="76" t="s">
        <v>21</v>
      </c>
      <c r="C37" s="77"/>
      <c r="D37" s="102">
        <f t="shared" ref="D37:O37" si="0">D36/D32</f>
        <v>1</v>
      </c>
      <c r="E37" s="103">
        <f t="shared" si="0"/>
        <v>1</v>
      </c>
      <c r="F37" s="104">
        <f t="shared" si="0"/>
        <v>1</v>
      </c>
      <c r="G37" s="102">
        <f t="shared" si="0"/>
        <v>1</v>
      </c>
      <c r="H37" s="103">
        <f t="shared" si="0"/>
        <v>1</v>
      </c>
      <c r="I37" s="105">
        <f t="shared" si="0"/>
        <v>1</v>
      </c>
      <c r="J37" s="102">
        <f t="shared" si="0"/>
        <v>1</v>
      </c>
      <c r="K37" s="103">
        <f t="shared" si="0"/>
        <v>1</v>
      </c>
      <c r="L37" s="104">
        <f t="shared" si="0"/>
        <v>1</v>
      </c>
      <c r="M37" s="102">
        <f t="shared" si="0"/>
        <v>1</v>
      </c>
      <c r="N37" s="103">
        <f t="shared" si="0"/>
        <v>1</v>
      </c>
      <c r="O37" s="105">
        <f t="shared" si="0"/>
        <v>1</v>
      </c>
      <c r="P37" s="78"/>
      <c r="Q37" s="266">
        <f>Q36/Q32</f>
        <v>1</v>
      </c>
      <c r="R37" s="222">
        <f>R36/R32</f>
        <v>1</v>
      </c>
      <c r="S37" s="222">
        <f>S36/S32</f>
        <v>1</v>
      </c>
      <c r="T37" s="266">
        <f>T36/T32</f>
        <v>1</v>
      </c>
      <c r="V37" s="107">
        <f>V36/V32</f>
        <v>1.520185519521821</v>
      </c>
      <c r="W37" s="108">
        <f>W36/W32</f>
        <v>0.98174481469299646</v>
      </c>
      <c r="X37" s="106">
        <f>X36/X32</f>
        <v>0.84594410361281525</v>
      </c>
    </row>
    <row r="38" spans="1:24" ht="14.1" customHeight="1">
      <c r="A38" s="75"/>
      <c r="B38" s="81" t="s">
        <v>28</v>
      </c>
      <c r="C38" s="82"/>
      <c r="D38" s="109">
        <f t="shared" ref="D38:O38" si="1">D36/D33</f>
        <v>1</v>
      </c>
      <c r="E38" s="110">
        <f t="shared" si="1"/>
        <v>1</v>
      </c>
      <c r="F38" s="111">
        <f t="shared" si="1"/>
        <v>1</v>
      </c>
      <c r="G38" s="109">
        <f t="shared" si="1"/>
        <v>1</v>
      </c>
      <c r="H38" s="110">
        <f t="shared" si="1"/>
        <v>1</v>
      </c>
      <c r="I38" s="112">
        <f t="shared" si="1"/>
        <v>1</v>
      </c>
      <c r="J38" s="109">
        <f t="shared" si="1"/>
        <v>1</v>
      </c>
      <c r="K38" s="110">
        <f t="shared" si="1"/>
        <v>1</v>
      </c>
      <c r="L38" s="111">
        <f t="shared" si="1"/>
        <v>1</v>
      </c>
      <c r="M38" s="109">
        <f t="shared" si="1"/>
        <v>1</v>
      </c>
      <c r="N38" s="110">
        <f t="shared" si="1"/>
        <v>1</v>
      </c>
      <c r="O38" s="112">
        <f t="shared" si="1"/>
        <v>1</v>
      </c>
      <c r="P38" s="78"/>
      <c r="Q38" s="262">
        <f>Q36/Q33</f>
        <v>1</v>
      </c>
      <c r="R38" s="125">
        <f>R36/R33</f>
        <v>1</v>
      </c>
      <c r="S38" s="125">
        <f>S36/S33</f>
        <v>1</v>
      </c>
      <c r="T38" s="262">
        <f>T36/T33</f>
        <v>1</v>
      </c>
      <c r="V38" s="113">
        <f>V36/V33</f>
        <v>1.4078048780487804</v>
      </c>
      <c r="W38" s="114">
        <f>W36/W33</f>
        <v>1.0090243902439024</v>
      </c>
      <c r="X38" s="115">
        <f>X36/X33</f>
        <v>0.90804878048780491</v>
      </c>
    </row>
    <row r="39" spans="1:24" ht="14.1" customHeight="1">
      <c r="A39" s="75"/>
      <c r="B39" s="116" t="s">
        <v>26</v>
      </c>
      <c r="C39" s="117"/>
      <c r="D39" s="118">
        <f t="shared" ref="D39:O39" si="2">D36/D34</f>
        <v>1</v>
      </c>
      <c r="E39" s="119">
        <f t="shared" si="2"/>
        <v>1</v>
      </c>
      <c r="F39" s="120">
        <f t="shared" si="2"/>
        <v>1</v>
      </c>
      <c r="G39" s="118">
        <f t="shared" si="2"/>
        <v>1</v>
      </c>
      <c r="H39" s="119">
        <f t="shared" si="2"/>
        <v>1</v>
      </c>
      <c r="I39" s="121">
        <f t="shared" si="2"/>
        <v>1</v>
      </c>
      <c r="J39" s="118">
        <f t="shared" si="2"/>
        <v>1</v>
      </c>
      <c r="K39" s="119">
        <f t="shared" si="2"/>
        <v>1</v>
      </c>
      <c r="L39" s="121">
        <f t="shared" si="2"/>
        <v>1</v>
      </c>
      <c r="M39" s="120">
        <f t="shared" si="2"/>
        <v>1</v>
      </c>
      <c r="N39" s="119">
        <f t="shared" si="2"/>
        <v>1</v>
      </c>
      <c r="O39" s="121">
        <f t="shared" si="2"/>
        <v>1</v>
      </c>
      <c r="P39" s="78"/>
      <c r="Q39" s="122"/>
      <c r="R39" s="122"/>
      <c r="S39" s="122"/>
      <c r="T39" s="122"/>
      <c r="V39" s="123"/>
      <c r="W39" s="124"/>
      <c r="X39" s="125"/>
    </row>
    <row r="40" spans="1:24" ht="14.1" customHeight="1">
      <c r="D40" s="126"/>
      <c r="E40" s="127"/>
      <c r="F40" s="128"/>
      <c r="I40" s="127"/>
      <c r="J40" s="129"/>
      <c r="K40" s="127"/>
      <c r="L40" s="128"/>
      <c r="M40" s="127"/>
      <c r="N40" s="130"/>
      <c r="O40" s="130"/>
      <c r="P40" s="78"/>
      <c r="V40" s="131"/>
      <c r="W40" s="131"/>
      <c r="X40" s="131"/>
    </row>
    <row r="41" spans="1:24" ht="48.6" customHeight="1">
      <c r="B41" s="159" t="s">
        <v>27</v>
      </c>
      <c r="C41" s="158" t="s">
        <v>23</v>
      </c>
      <c r="D41" s="68" t="s">
        <v>8</v>
      </c>
      <c r="E41" s="69" t="s">
        <v>9</v>
      </c>
      <c r="F41" s="70" t="s">
        <v>10</v>
      </c>
      <c r="G41" s="68" t="s">
        <v>24</v>
      </c>
      <c r="H41" s="69" t="s">
        <v>11</v>
      </c>
      <c r="I41" s="71" t="s">
        <v>12</v>
      </c>
      <c r="J41" s="68" t="s">
        <v>13</v>
      </c>
      <c r="K41" s="69" t="s">
        <v>25</v>
      </c>
      <c r="L41" s="71" t="s">
        <v>14</v>
      </c>
      <c r="M41" s="68" t="s">
        <v>15</v>
      </c>
      <c r="N41" s="69" t="s">
        <v>16</v>
      </c>
      <c r="O41" s="71" t="s">
        <v>17</v>
      </c>
      <c r="P41" s="78"/>
      <c r="Q41" s="271" t="s">
        <v>40</v>
      </c>
      <c r="R41" s="272" t="s">
        <v>41</v>
      </c>
      <c r="S41" s="272" t="s">
        <v>42</v>
      </c>
      <c r="T41" s="272" t="s">
        <v>43</v>
      </c>
      <c r="V41" s="72" t="s">
        <v>5</v>
      </c>
      <c r="W41" s="73" t="s">
        <v>6</v>
      </c>
      <c r="X41" s="74" t="s">
        <v>7</v>
      </c>
    </row>
    <row r="42" spans="1:24">
      <c r="B42" s="76" t="s">
        <v>18</v>
      </c>
      <c r="C42" s="132">
        <f>C32</f>
        <v>2</v>
      </c>
      <c r="D42" s="133">
        <f>D32</f>
        <v>2</v>
      </c>
      <c r="E42" s="134">
        <f t="shared" ref="E42:O43" si="3">D42+E32</f>
        <v>4</v>
      </c>
      <c r="F42" s="135">
        <f t="shared" si="3"/>
        <v>6</v>
      </c>
      <c r="G42" s="133">
        <f t="shared" si="3"/>
        <v>8</v>
      </c>
      <c r="H42" s="134">
        <f t="shared" si="3"/>
        <v>10</v>
      </c>
      <c r="I42" s="136">
        <f t="shared" si="3"/>
        <v>12</v>
      </c>
      <c r="J42" s="137">
        <f t="shared" si="3"/>
        <v>14</v>
      </c>
      <c r="K42" s="134">
        <f t="shared" si="3"/>
        <v>16</v>
      </c>
      <c r="L42" s="135">
        <f t="shared" si="3"/>
        <v>18</v>
      </c>
      <c r="M42" s="133">
        <f t="shared" si="3"/>
        <v>20</v>
      </c>
      <c r="N42" s="134">
        <f t="shared" si="3"/>
        <v>22</v>
      </c>
      <c r="O42" s="136">
        <f t="shared" si="3"/>
        <v>24</v>
      </c>
      <c r="P42" s="78"/>
      <c r="Q42" s="138">
        <f>F42</f>
        <v>6</v>
      </c>
      <c r="R42" s="138">
        <f>I42</f>
        <v>12</v>
      </c>
      <c r="S42" s="138">
        <f>L42</f>
        <v>18</v>
      </c>
      <c r="T42" s="138">
        <f>O42</f>
        <v>24</v>
      </c>
      <c r="V42" s="139">
        <f>V32</f>
        <v>12.65635</v>
      </c>
      <c r="W42" s="132">
        <f>V42+W32</f>
        <v>26.702770000000001</v>
      </c>
      <c r="X42" s="140">
        <f>W42+X32</f>
        <v>41.372770000000003</v>
      </c>
    </row>
    <row r="43" spans="1:24" ht="14.1" customHeight="1">
      <c r="B43" s="81" t="s">
        <v>22</v>
      </c>
      <c r="C43" s="195"/>
      <c r="D43" s="185">
        <f>D33</f>
        <v>2</v>
      </c>
      <c r="E43" s="186">
        <f t="shared" si="3"/>
        <v>4</v>
      </c>
      <c r="F43" s="187">
        <f t="shared" si="3"/>
        <v>6</v>
      </c>
      <c r="G43" s="185">
        <f t="shared" si="3"/>
        <v>8</v>
      </c>
      <c r="H43" s="186">
        <f t="shared" si="3"/>
        <v>10</v>
      </c>
      <c r="I43" s="188">
        <f t="shared" si="3"/>
        <v>12</v>
      </c>
      <c r="J43" s="200">
        <f t="shared" si="3"/>
        <v>14</v>
      </c>
      <c r="K43" s="186">
        <f t="shared" si="3"/>
        <v>16</v>
      </c>
      <c r="L43" s="187">
        <f t="shared" si="3"/>
        <v>18</v>
      </c>
      <c r="M43" s="185">
        <f t="shared" si="3"/>
        <v>20</v>
      </c>
      <c r="N43" s="186">
        <f t="shared" si="3"/>
        <v>22</v>
      </c>
      <c r="O43" s="188">
        <f t="shared" si="3"/>
        <v>24</v>
      </c>
      <c r="P43" s="78"/>
      <c r="Q43" s="224">
        <f>F43</f>
        <v>6</v>
      </c>
      <c r="R43" s="224">
        <f>I43</f>
        <v>12</v>
      </c>
      <c r="S43" s="224">
        <f>L43</f>
        <v>18</v>
      </c>
      <c r="T43" s="224">
        <f>O43</f>
        <v>24</v>
      </c>
      <c r="V43" s="86">
        <f>V33</f>
        <v>13.666666666666666</v>
      </c>
      <c r="W43" s="82">
        <f>V43+W33</f>
        <v>27.333333333333332</v>
      </c>
      <c r="X43" s="84">
        <f>W43+X33</f>
        <v>41</v>
      </c>
    </row>
    <row r="44" spans="1:24" ht="14.1" customHeight="1">
      <c r="B44" s="143" t="s">
        <v>30</v>
      </c>
      <c r="C44" s="208"/>
      <c r="D44" s="209">
        <f>D36</f>
        <v>2</v>
      </c>
      <c r="E44" s="210">
        <f t="shared" ref="E44:O44" si="4">+D44+E36</f>
        <v>4</v>
      </c>
      <c r="F44" s="210">
        <f t="shared" si="4"/>
        <v>6</v>
      </c>
      <c r="G44" s="211">
        <f t="shared" si="4"/>
        <v>8</v>
      </c>
      <c r="H44" s="210">
        <f t="shared" si="4"/>
        <v>10</v>
      </c>
      <c r="I44" s="212">
        <f t="shared" si="4"/>
        <v>12</v>
      </c>
      <c r="J44" s="213">
        <f t="shared" si="4"/>
        <v>14</v>
      </c>
      <c r="K44" s="210">
        <f t="shared" si="4"/>
        <v>16</v>
      </c>
      <c r="L44" s="208">
        <f t="shared" si="4"/>
        <v>18</v>
      </c>
      <c r="M44" s="211">
        <f t="shared" si="4"/>
        <v>20</v>
      </c>
      <c r="N44" s="210">
        <f t="shared" si="4"/>
        <v>22</v>
      </c>
      <c r="O44" s="212">
        <f t="shared" si="4"/>
        <v>24</v>
      </c>
      <c r="P44" s="78"/>
      <c r="Q44" s="273">
        <f>F44</f>
        <v>6</v>
      </c>
      <c r="R44" s="225">
        <f>I44</f>
        <v>12</v>
      </c>
      <c r="S44" s="225">
        <f>L44</f>
        <v>18</v>
      </c>
      <c r="T44" s="225">
        <f>O44</f>
        <v>24</v>
      </c>
      <c r="V44" s="145">
        <f>V36</f>
        <v>19.239999999999998</v>
      </c>
      <c r="W44" s="146">
        <f>V44+W36</f>
        <v>33.03</v>
      </c>
      <c r="X44" s="144">
        <f>W44+X36</f>
        <v>45.44</v>
      </c>
    </row>
    <row r="45" spans="1:24" ht="14.1" customHeight="1">
      <c r="B45" s="76" t="s">
        <v>20</v>
      </c>
      <c r="C45" s="198"/>
      <c r="D45" s="214">
        <f t="shared" ref="D45:J45" si="5">D44/D42</f>
        <v>1</v>
      </c>
      <c r="E45" s="215">
        <f t="shared" si="5"/>
        <v>1</v>
      </c>
      <c r="F45" s="216">
        <f t="shared" si="5"/>
        <v>1</v>
      </c>
      <c r="G45" s="214">
        <f t="shared" si="5"/>
        <v>1</v>
      </c>
      <c r="H45" s="215">
        <f t="shared" si="5"/>
        <v>1</v>
      </c>
      <c r="I45" s="217">
        <f t="shared" si="5"/>
        <v>1</v>
      </c>
      <c r="J45" s="218">
        <f t="shared" si="5"/>
        <v>1</v>
      </c>
      <c r="K45" s="215">
        <f>K44/K42</f>
        <v>1</v>
      </c>
      <c r="L45" s="216">
        <f>L44/L42</f>
        <v>1</v>
      </c>
      <c r="M45" s="214">
        <f>M44/M42</f>
        <v>1</v>
      </c>
      <c r="N45" s="215">
        <f>N44/N42</f>
        <v>1</v>
      </c>
      <c r="O45" s="219">
        <f>O44/O42</f>
        <v>1</v>
      </c>
      <c r="P45" s="122"/>
      <c r="Q45" s="226">
        <f>Q44/Q42</f>
        <v>1</v>
      </c>
      <c r="R45" s="226">
        <f>R44/R42</f>
        <v>1</v>
      </c>
      <c r="S45" s="226">
        <f>S44/S42</f>
        <v>1</v>
      </c>
      <c r="T45" s="226">
        <f>T44/T42</f>
        <v>1</v>
      </c>
      <c r="V45" s="107">
        <f>V44/V42</f>
        <v>1.520185519521821</v>
      </c>
      <c r="W45" s="108">
        <f>W44/W42</f>
        <v>1.2369503238802566</v>
      </c>
      <c r="X45" s="106">
        <f>X44/X42</f>
        <v>1.098306929896161</v>
      </c>
    </row>
    <row r="46" spans="1:24" ht="14.1" customHeight="1">
      <c r="B46" s="150" t="s">
        <v>28</v>
      </c>
      <c r="C46" s="151"/>
      <c r="D46" s="152">
        <f t="shared" ref="D46:J46" si="6">D44/D43</f>
        <v>1</v>
      </c>
      <c r="E46" s="119">
        <f t="shared" si="6"/>
        <v>1</v>
      </c>
      <c r="F46" s="120">
        <f t="shared" si="6"/>
        <v>1</v>
      </c>
      <c r="G46" s="152">
        <f t="shared" si="6"/>
        <v>1</v>
      </c>
      <c r="H46" s="119">
        <f t="shared" si="6"/>
        <v>1</v>
      </c>
      <c r="I46" s="121">
        <f t="shared" si="6"/>
        <v>1</v>
      </c>
      <c r="J46" s="153">
        <f t="shared" si="6"/>
        <v>1</v>
      </c>
      <c r="K46" s="119">
        <f>K44/K43</f>
        <v>1</v>
      </c>
      <c r="L46" s="120">
        <f>L44/L43</f>
        <v>1</v>
      </c>
      <c r="M46" s="152">
        <f>M44/M43</f>
        <v>1</v>
      </c>
      <c r="N46" s="119">
        <f>N44/N43</f>
        <v>1</v>
      </c>
      <c r="O46" s="121">
        <f>O44/O43</f>
        <v>1</v>
      </c>
      <c r="P46" s="122"/>
      <c r="Q46" s="262">
        <f>Q44/Q43</f>
        <v>1</v>
      </c>
      <c r="R46" s="262">
        <f>R44/R43</f>
        <v>1</v>
      </c>
      <c r="S46" s="262">
        <f>S44/S43</f>
        <v>1</v>
      </c>
      <c r="T46" s="262">
        <f>T44/T43</f>
        <v>1</v>
      </c>
      <c r="V46" s="154">
        <f>V44/V43</f>
        <v>1.4078048780487804</v>
      </c>
      <c r="W46" s="124">
        <f>W44/W43</f>
        <v>1.2084146341463415</v>
      </c>
      <c r="X46" s="125">
        <f>X44/X43</f>
        <v>1.1082926829268291</v>
      </c>
    </row>
    <row r="47" spans="1:24" ht="14.1" customHeight="1">
      <c r="D47" s="155"/>
      <c r="E47" s="155"/>
      <c r="F47" s="155"/>
      <c r="G47" s="155"/>
      <c r="O47" s="127"/>
    </row>
    <row r="48" spans="1:24" ht="14.1" customHeight="1"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7"/>
      <c r="P48" s="157"/>
      <c r="Q48" s="157"/>
      <c r="R48" s="157"/>
      <c r="S48" s="157"/>
      <c r="T48" s="157"/>
    </row>
    <row r="49" spans="1:24" ht="14.1" customHeight="1">
      <c r="A49" s="75"/>
      <c r="B49" s="160" t="s">
        <v>31</v>
      </c>
      <c r="C49" s="132"/>
      <c r="D49" s="161">
        <v>1</v>
      </c>
      <c r="E49" s="162">
        <v>1</v>
      </c>
      <c r="F49" s="140">
        <v>1</v>
      </c>
      <c r="G49" s="167">
        <v>1</v>
      </c>
      <c r="H49" s="162">
        <v>1</v>
      </c>
      <c r="I49" s="132">
        <v>1</v>
      </c>
      <c r="J49" s="161">
        <v>1</v>
      </c>
      <c r="K49" s="162">
        <v>1</v>
      </c>
      <c r="L49" s="140">
        <v>1</v>
      </c>
      <c r="M49" s="167">
        <v>1</v>
      </c>
      <c r="N49" s="162">
        <v>1</v>
      </c>
      <c r="O49" s="140">
        <v>1</v>
      </c>
      <c r="P49" s="78"/>
      <c r="Q49" s="138">
        <f>SUM(D49:F49)</f>
        <v>3</v>
      </c>
      <c r="R49" s="140">
        <f>SUM(G49:I49)</f>
        <v>3</v>
      </c>
      <c r="S49" s="140">
        <f>SUM(J49:L49)</f>
        <v>3</v>
      </c>
      <c r="T49" s="140">
        <f>SUM(M49:O49)</f>
        <v>3</v>
      </c>
      <c r="V49" s="86">
        <f>176.16/12</f>
        <v>14.68</v>
      </c>
      <c r="W49" s="82">
        <f>176.16/12</f>
        <v>14.68</v>
      </c>
      <c r="X49" s="84">
        <f>176.16/12</f>
        <v>14.68</v>
      </c>
    </row>
    <row r="50" spans="1:24" ht="14.1" customHeight="1">
      <c r="B50" s="150" t="s">
        <v>32</v>
      </c>
      <c r="C50" s="151"/>
      <c r="D50" s="163">
        <f>D49</f>
        <v>1</v>
      </c>
      <c r="E50" s="164">
        <f t="shared" ref="E50:O50" si="7">D50+E49</f>
        <v>2</v>
      </c>
      <c r="F50" s="165">
        <f t="shared" si="7"/>
        <v>3</v>
      </c>
      <c r="G50" s="166">
        <f t="shared" si="7"/>
        <v>4</v>
      </c>
      <c r="H50" s="164">
        <f t="shared" si="7"/>
        <v>5</v>
      </c>
      <c r="I50" s="151">
        <f t="shared" si="7"/>
        <v>6</v>
      </c>
      <c r="J50" s="163">
        <f t="shared" si="7"/>
        <v>7</v>
      </c>
      <c r="K50" s="164">
        <f t="shared" si="7"/>
        <v>8</v>
      </c>
      <c r="L50" s="165">
        <f t="shared" si="7"/>
        <v>9</v>
      </c>
      <c r="M50" s="166">
        <f t="shared" si="7"/>
        <v>10</v>
      </c>
      <c r="N50" s="164">
        <f t="shared" si="7"/>
        <v>11</v>
      </c>
      <c r="O50" s="165">
        <f t="shared" si="7"/>
        <v>12</v>
      </c>
      <c r="P50" s="78"/>
      <c r="Q50" s="168">
        <f>F50</f>
        <v>3</v>
      </c>
      <c r="R50" s="168">
        <f>I50</f>
        <v>6</v>
      </c>
      <c r="S50" s="168">
        <f>L50</f>
        <v>9</v>
      </c>
      <c r="T50" s="168">
        <f>O50</f>
        <v>12</v>
      </c>
      <c r="V50" s="86">
        <f>V49</f>
        <v>14.68</v>
      </c>
      <c r="W50" s="82">
        <f>V50+W49</f>
        <v>29.36</v>
      </c>
      <c r="X50" s="84">
        <f>W50+X49</f>
        <v>44.04</v>
      </c>
    </row>
    <row r="51" spans="1:24" ht="15"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</row>
    <row r="52" spans="1:24" ht="15"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</row>
    <row r="53" spans="1:24" ht="15"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</row>
  </sheetData>
  <mergeCells count="1">
    <mergeCell ref="B2:F2"/>
  </mergeCells>
  <phoneticPr fontId="7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Order</vt:lpstr>
      <vt:lpstr>Sales</vt:lpstr>
      <vt:lpstr>Profit</vt:lpstr>
      <vt:lpstr>Order!Print_Area</vt:lpstr>
      <vt:lpstr>Profit!Print_Area</vt:lpstr>
      <vt:lpstr>Sales!Print_Area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拓哉</dc:creator>
  <cp:lastModifiedBy>최지영</cp:lastModifiedBy>
  <cp:lastPrinted>2021-04-06T05:35:13Z</cp:lastPrinted>
  <dcterms:created xsi:type="dcterms:W3CDTF">2014-06-01T23:47:15Z</dcterms:created>
  <dcterms:modified xsi:type="dcterms:W3CDTF">2025-07-03T01:44:50Z</dcterms:modified>
</cp:coreProperties>
</file>