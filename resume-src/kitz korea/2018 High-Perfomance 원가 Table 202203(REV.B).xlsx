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4350" yWindow="-75" windowWidth="21960" windowHeight="12030" tabRatio="926" activeTab="13"/>
  </bookViews>
  <sheets>
    <sheet name="BFLY" sheetId="1" r:id="rId1"/>
    <sheet name="50A" sheetId="56" r:id="rId2"/>
    <sheet name="65A" sheetId="80" r:id="rId3"/>
    <sheet name="80A" sheetId="81" r:id="rId4"/>
    <sheet name="100A" sheetId="98" r:id="rId5"/>
    <sheet name="125A" sheetId="99" r:id="rId6"/>
    <sheet name="150A" sheetId="100" r:id="rId7"/>
    <sheet name="200A" sheetId="101" r:id="rId8"/>
    <sheet name="250A" sheetId="102" r:id="rId9"/>
    <sheet name="300A" sheetId="92" r:id="rId10"/>
    <sheet name="350A" sheetId="91" r:id="rId11"/>
    <sheet name="400A" sheetId="90" r:id="rId12"/>
    <sheet name="450A" sheetId="89" r:id="rId13"/>
    <sheet name="500A" sheetId="93" r:id="rId14"/>
    <sheet name="600A" sheetId="94" r:id="rId15"/>
    <sheet name="650A" sheetId="95" r:id="rId16"/>
    <sheet name="700A" sheetId="96" r:id="rId17"/>
    <sheet name="750A" sheetId="97" r:id="rId18"/>
    <sheet name="800A" sheetId="84" r:id="rId19"/>
    <sheet name="900A" sheetId="83" r:id="rId20"/>
    <sheet name="1000A" sheetId="82" r:id="rId21"/>
    <sheet name="PATTERN" sheetId="104" r:id="rId22"/>
    <sheet name="가격 비교표 OLD, NEW" sheetId="105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123Graph_A" hidden="1">[1]TTL!$G$31:$AU$31</definedName>
    <definedName name="__123Graph_B" hidden="1">[1]TTL!$G$32:$AU$32</definedName>
    <definedName name="__123Graph_C" hidden="1">[1]TTL!$G$37:$AU$37</definedName>
    <definedName name="__123Graph_D" hidden="1">[1]TTL!$G$38:$AU$38</definedName>
    <definedName name="__123Graph_X" hidden="1">[1]TTL!$G$6:$AU$6</definedName>
    <definedName name="_1">#N/A</definedName>
    <definedName name="_11">#N/A</definedName>
    <definedName name="_2">#N/A</definedName>
    <definedName name="_22">#N/A</definedName>
    <definedName name="_AOC2">#REF!</definedName>
    <definedName name="_ELL45">#REF!</definedName>
    <definedName name="_ELL90">#REF!</definedName>
    <definedName name="_Fill" hidden="1">#REF!</definedName>
    <definedName name="_xlnm._FilterDatabase" localSheetId="0" hidden="1">BFLY!#REF!</definedName>
    <definedName name="_xlnm._FilterDatabase" localSheetId="21" hidden="1">PATTERN!$A$4:$N$4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100">#REF!</definedName>
    <definedName name="_RE104">#REF!</definedName>
    <definedName name="_RE112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\a">#N/A</definedName>
    <definedName name="\p">'[2]FWBS7000,8000'!#REF!</definedName>
    <definedName name="A7JB_WIRES">[3]A7!$S$68</definedName>
    <definedName name="AAA">5</definedName>
    <definedName name="AIR">#REF!</definedName>
    <definedName name="air_trap">#REF!</definedName>
    <definedName name="angle">#REF!</definedName>
    <definedName name="B_FLG">#REF!</definedName>
    <definedName name="back_pressure">#REF!</definedName>
    <definedName name="ball">#REF!</definedName>
    <definedName name="BOLT">#REF!</definedName>
    <definedName name="BOSS">#REF!</definedName>
    <definedName name="butterfly">#REF!</definedName>
    <definedName name="CAP">#REF!</definedName>
    <definedName name="CCS">'[4]Product-part-a'!$R$11</definedName>
    <definedName name="check">#REF!</definedName>
    <definedName name="COM">#REF!</definedName>
    <definedName name="CPLG">#REF!</definedName>
    <definedName name="CS">#REF!</definedName>
    <definedName name="CS_DB">#REF!</definedName>
    <definedName name="data">#REF!</definedName>
    <definedName name="_xlnm.Database">[5]Sheet1!#REF!</definedName>
    <definedName name="DESCRIPTION">#REF!</definedName>
    <definedName name="diameter">#REF!</definedName>
    <definedName name="diaphragm">#REF!</definedName>
    <definedName name="drain_trap">#REF!</definedName>
    <definedName name="dual_plate_check">#REF!</definedName>
    <definedName name="duplex_strainer">#REF!</definedName>
    <definedName name="EOL">#REF!</definedName>
    <definedName name="ex_joint">#REF!</definedName>
    <definedName name="FFF" localSheetId="2" hidden="1">{#N/A,#N/A,TRUE,"SUMMARY";#N/A,#N/A,TRUE,"ISBL";#N/A,#N/A,TRUE,"OSBL";#N/A,#N/A,TRUE,"OFFSITE";#N/A,#N/A,TRUE,"STEAM"}</definedName>
    <definedName name="FFF" localSheetId="3" hidden="1">{#N/A,#N/A,TRUE,"SUMMARY";#N/A,#N/A,TRUE,"ISBL";#N/A,#N/A,TRUE,"OSBL";#N/A,#N/A,TRUE,"OFFSITE";#N/A,#N/A,TRUE,"STEAM"}</definedName>
    <definedName name="FFF" hidden="1">{#N/A,#N/A,TRUE,"SUMMARY";#N/A,#N/A,TRUE,"ISBL";#N/A,#N/A,TRUE,"OSBL";#N/A,#N/A,TRUE,"OFFSITE";#N/A,#N/A,TRUE,"STEAM"}</definedName>
    <definedName name="FLG">#REF!</definedName>
    <definedName name="Flg_DB">#REF!</definedName>
    <definedName name="FLG_Orifice">#REF!</definedName>
    <definedName name="Flgd">[4]Sheet1!#REF!</definedName>
    <definedName name="gate">#REF!</definedName>
    <definedName name="globe">#REF!</definedName>
    <definedName name="JAOV_C">#REF!</definedName>
    <definedName name="JAOV_U">#REF!</definedName>
    <definedName name="JCER_C">#REF!</definedName>
    <definedName name="JCER_U">#REF!</definedName>
    <definedName name="JCVE_C">#REF!</definedName>
    <definedName name="JCVE_U">#REF!</definedName>
    <definedName name="JCVES_C">#REF!</definedName>
    <definedName name="JCVES_U">#REF!</definedName>
    <definedName name="JCVP_C">#REF!</definedName>
    <definedName name="JCVP_U">#REF!</definedName>
    <definedName name="JECB_C">#REF!</definedName>
    <definedName name="JECB_U">#REF!</definedName>
    <definedName name="JMOT_C">#REF!</definedName>
    <definedName name="JMOT_U">#REF!</definedName>
    <definedName name="JMOV_C">#REF!</definedName>
    <definedName name="JMOV_U">#REF!</definedName>
    <definedName name="JMOVS_C">#REF!</definedName>
    <definedName name="JMOVS_U">#REF!</definedName>
    <definedName name="JPROSV_C">#REF!</definedName>
    <definedName name="JPROSV_U">#REF!</definedName>
    <definedName name="JRER_C">#REF!</definedName>
    <definedName name="JRER_U">#REF!</definedName>
    <definedName name="JTC_C">#REF!</definedName>
    <definedName name="JTC_U">#REF!</definedName>
    <definedName name="JTR_C">#REF!</definedName>
    <definedName name="JTR_U">#REF!</definedName>
    <definedName name="JTTC_C">#REF!</definedName>
    <definedName name="JTTC_U">#REF!</definedName>
    <definedName name="JTTR_C">#REF!</definedName>
    <definedName name="JTTR_U">#REF!</definedName>
    <definedName name="JXS_C">#REF!</definedName>
    <definedName name="JXS_U">#REF!</definedName>
    <definedName name="JXT_C">#REF!</definedName>
    <definedName name="JXT_U">#REF!</definedName>
    <definedName name="JZS_C">#REF!</definedName>
    <definedName name="JZS_U">#REF!</definedName>
    <definedName name="KAOV_C">#REF!</definedName>
    <definedName name="KAOV_U">#REF!</definedName>
    <definedName name="KCVE_C">#REF!</definedName>
    <definedName name="KCVE_U">#REF!</definedName>
    <definedName name="KCVES_C">#REF!</definedName>
    <definedName name="KCVES_U">#REF!</definedName>
    <definedName name="KCVP_C">#REF!</definedName>
    <definedName name="KCVP_U">#REF!</definedName>
    <definedName name="kib">#REF!</definedName>
    <definedName name="KPROSV_C">#REF!</definedName>
    <definedName name="KPROSV_U">#REF!</definedName>
    <definedName name="KRER_C">#REF!</definedName>
    <definedName name="KRER_U">#REF!</definedName>
    <definedName name="KSEPTTC_C">#REF!</definedName>
    <definedName name="KSEPTTC_U">#REF!</definedName>
    <definedName name="KTC_C">#REF!</definedName>
    <definedName name="KTC_U">#REF!</definedName>
    <definedName name="KTR_C">#REF!</definedName>
    <definedName name="KTR_U">#REF!</definedName>
    <definedName name="KTTC_C">#REF!</definedName>
    <definedName name="KTTC_U">#REF!</definedName>
    <definedName name="KTTR_C">#REF!</definedName>
    <definedName name="KTTR_U">#REF!</definedName>
    <definedName name="KXS_C">#REF!</definedName>
    <definedName name="KXS_U">#REF!</definedName>
    <definedName name="KXT_C">#REF!</definedName>
    <definedName name="KXT_U">#REF!</definedName>
    <definedName name="KZS_C">#REF!</definedName>
    <definedName name="KZS_U">#REF!</definedName>
    <definedName name="latent">'[6]steam table'!$N$5:$Q$102</definedName>
    <definedName name="Matl">[4]Sheet1!$L$4</definedName>
    <definedName name="Matl_markup">#REF!</definedName>
    <definedName name="needle">#REF!</definedName>
    <definedName name="NIPP">#REF!</definedName>
    <definedName name="PA" localSheetId="2" hidden="1">{#N/A,#N/A,TRUE,"FIELDOFF";#N/A,#N/A,TRUE,"SCAFF";#N/A,#N/A,TRUE,"CONSTEQP";#N/A,#N/A,TRUE,"FUELUBE";#N/A,#N/A,TRUE,"CONSUME";#N/A,#N/A,TRUE,"FIELDEXP";#N/A,#N/A,TRUE,"MANPLAN";#N/A,#N/A,TRUE,"EQPLAN"}</definedName>
    <definedName name="PA" localSheetId="3" hidden="1">{#N/A,#N/A,TRUE,"FIELDOFF";#N/A,#N/A,TRUE,"SCAFF";#N/A,#N/A,TRUE,"CONSTEQP";#N/A,#N/A,TRUE,"FUELUBE";#N/A,#N/A,TRUE,"CONSUME";#N/A,#N/A,TRUE,"FIELDEXP";#N/A,#N/A,TRUE,"MANPLAN";#N/A,#N/A,TRUE,"EQPLAN"}</definedName>
    <definedName name="PA" hidden="1">{#N/A,#N/A,TRUE,"FIELDOFF";#N/A,#N/A,TRUE,"SCAFF";#N/A,#N/A,TRUE,"CONSTEQP";#N/A,#N/A,TRUE,"FUELUBE";#N/A,#N/A,TRUE,"CONSUME";#N/A,#N/A,TRUE,"FIELDEXP";#N/A,#N/A,TRUE,"MANPLAN";#N/A,#N/A,TRUE,"EQPLAN"}</definedName>
    <definedName name="PIPE">#REF!</definedName>
    <definedName name="PLUG">#REF!</definedName>
    <definedName name="pound">#REF!</definedName>
    <definedName name="PPP">5</definedName>
    <definedName name="_xlnm.Print_Area" localSheetId="20">'1000A'!$A$1:$K$41</definedName>
    <definedName name="_xlnm.Print_Area" localSheetId="4">'100A'!$A$1:$K$44</definedName>
    <definedName name="_xlnm.Print_Area" localSheetId="5">'125A'!$A$1:$K$44</definedName>
    <definedName name="_xlnm.Print_Area" localSheetId="6">'150A'!$A$1:$K$44</definedName>
    <definedName name="_xlnm.Print_Area" localSheetId="7">'200A'!$A$1:$K$44</definedName>
    <definedName name="_xlnm.Print_Area" localSheetId="8">'250A'!$A$1:$K$44</definedName>
    <definedName name="_xlnm.Print_Area" localSheetId="9">'300A'!$A$1:$K$44</definedName>
    <definedName name="_xlnm.Print_Area" localSheetId="10">'350A'!$A$1:$K$41</definedName>
    <definedName name="_xlnm.Print_Area" localSheetId="11">'400A'!$A$1:$K$41</definedName>
    <definedName name="_xlnm.Print_Area" localSheetId="12">'450A'!$A$1:$K$41</definedName>
    <definedName name="_xlnm.Print_Area" localSheetId="13">'500A'!$A$1:$K$41</definedName>
    <definedName name="_xlnm.Print_Area" localSheetId="1">'50A'!$A$1:$K$43</definedName>
    <definedName name="_xlnm.Print_Area" localSheetId="14">'600A'!$A$1:$K$41</definedName>
    <definedName name="_xlnm.Print_Area" localSheetId="15">'650A'!$A$1:$K$41</definedName>
    <definedName name="_xlnm.Print_Area" localSheetId="2">'65A'!$A$1:$K$44</definedName>
    <definedName name="_xlnm.Print_Area" localSheetId="16">'700A'!$A$1:$K$41</definedName>
    <definedName name="_xlnm.Print_Area" localSheetId="17">'750A'!$A$1:$K$41</definedName>
    <definedName name="_xlnm.Print_Area" localSheetId="18">'800A'!$A$1:$K$41</definedName>
    <definedName name="_xlnm.Print_Area" localSheetId="3">'80A'!$A$1:$K$44</definedName>
    <definedName name="_xlnm.Print_Area" localSheetId="19">'900A'!$A$1:$K$41</definedName>
    <definedName name="_xlnm.Print_Area" localSheetId="0">BFLY!$A$1:$K$41</definedName>
    <definedName name="_xlnm.Print_Area" localSheetId="22">'가격 비교표 OLD, NEW'!$A$1:$E$23</definedName>
    <definedName name="_xlnm.Print_Area">#REF!</definedName>
    <definedName name="Print_Area_MI">#REF!</definedName>
    <definedName name="_xlnm.Print_Titles" localSheetId="0">BFLY!#REF!</definedName>
    <definedName name="_xlnm.Print_Titles">#REF!</definedName>
    <definedName name="PRINT_TITLES_MI">#REF!</definedName>
    <definedName name="PROJECT">'[7]CBE-VSL'!$G$4</definedName>
    <definedName name="Q">'[8]Mech CIF'!#REF!</definedName>
    <definedName name="RE_SIZE">#REF!</definedName>
    <definedName name="RED">#REF!</definedName>
    <definedName name="sal">#REF!</definedName>
    <definedName name="SIZE">#REF!</definedName>
    <definedName name="SIZEC">#REF!</definedName>
    <definedName name="SOL">#REF!</definedName>
    <definedName name="SS">#REF!</definedName>
    <definedName name="SS_DB">#REF!</definedName>
    <definedName name="steam_trap">#REF!</definedName>
    <definedName name="TEE">#REF!</definedName>
    <definedName name="temp">#REF!</definedName>
    <definedName name="temp_strainer">#REF!</definedName>
    <definedName name="test1">'[9]steam table'!$N$5:$Q$102</definedName>
    <definedName name="THK">#REF!</definedName>
    <definedName name="Thrd">[4]Sheet1!#REF!</definedName>
    <definedName name="Thrd_DB">#REF!</definedName>
    <definedName name="TOL">#REF!</definedName>
    <definedName name="TRD">#REF!</definedName>
    <definedName name="ttt">#REF!</definedName>
    <definedName name="tube_test_press1_12">#REF!</definedName>
    <definedName name="UNION">#REF!</definedName>
    <definedName name="UNIT">'[7]CBE-VSL'!$O$6</definedName>
    <definedName name="Vendor">'[10]w''t table'!$AE$2:$AF$5</definedName>
    <definedName name="WOL">#REF!</definedName>
    <definedName name="wrn.BIDSUM." localSheetId="2" hidden="1">{#N/A,#N/A,TRUE,"SUMMARY";#N/A,#N/A,TRUE,"ISBL";#N/A,#N/A,TRUE,"OSBL";#N/A,#N/A,TRUE,"OFFSITE";#N/A,#N/A,TRUE,"STEAM"}</definedName>
    <definedName name="wrn.BIDSUM." localSheetId="3" hidden="1">{#N/A,#N/A,TRUE,"SUMMARY";#N/A,#N/A,TRUE,"ISBL";#N/A,#N/A,TRUE,"OSBL";#N/A,#N/A,TRUE,"OFFSITE";#N/A,#N/A,TRUE,"STEAM"}</definedName>
    <definedName name="wrn.BIDSUM." hidden="1">{#N/A,#N/A,TRUE,"SUMMARY";#N/A,#N/A,TRUE,"ISBL";#N/A,#N/A,TRUE,"OSBL";#N/A,#N/A,TRUE,"OFFSITE";#N/A,#N/A,TRUE,"STEAM"}</definedName>
    <definedName name="wrn.DIRLABR." localSheetId="2" hidden="1">{#N/A,#N/A,TRUE,"CS&amp;SS(AG)";#N/A,#N/A,TRUE,"CS(UG)";#N/A,#N/A,TRUE,"CSCL(UG)";#N/A,#N/A,TRUE,"KYNAR";#N/A,#N/A,TRUE,"ALLOY904";#N/A,#N/A,TRUE,"TITANIUM";#N/A,#N/A,TRUE,"STMTRACE"}</definedName>
    <definedName name="wrn.DIRLABR." localSheetId="3" hidden="1">{#N/A,#N/A,TRUE,"CS&amp;SS(AG)";#N/A,#N/A,TRUE,"CS(UG)";#N/A,#N/A,TRUE,"CSCL(UG)";#N/A,#N/A,TRUE,"KYNAR";#N/A,#N/A,TRUE,"ALLOY904";#N/A,#N/A,TRUE,"TITANIUM";#N/A,#N/A,TRUE,"STMTRACE"}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INDIRCOS." localSheetId="2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3" hidden="1">{#N/A,#N/A,TRUE,"FIELDOFF";#N/A,#N/A,TRUE,"SCAFF";#N/A,#N/A,TRUE,"CONSTEQP";#N/A,#N/A,TRUE,"FUELUBE";#N/A,#N/A,TRUE,"CONSUME";#N/A,#N/A,TRUE,"FIELDEXP";#N/A,#N/A,TRUE,"MANPLAN";#N/A,#N/A,TRUE,"EQPLAN"}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w" localSheetId="2" hidden="1">{#N/A,#N/A,TRUE,"SUMMARY";#N/A,#N/A,TRUE,"ISBL";#N/A,#N/A,TRUE,"OSBL";#N/A,#N/A,TRUE,"OFFSITE";#N/A,#N/A,TRUE,"STEAM"}</definedName>
    <definedName name="ww" localSheetId="3" hidden="1">{#N/A,#N/A,TRUE,"SUMMARY";#N/A,#N/A,TRUE,"ISBL";#N/A,#N/A,TRUE,"OSBL";#N/A,#N/A,TRUE,"OFFSITE";#N/A,#N/A,TRUE,"STEAM"}</definedName>
    <definedName name="ww" hidden="1">{#N/A,#N/A,TRUE,"SUMMARY";#N/A,#N/A,TRUE,"ISBL";#N/A,#N/A,TRUE,"OSBL";#N/A,#N/A,TRUE,"OFFSITE";#N/A,#N/A,TRUE,"STEAM"}</definedName>
    <definedName name="y_strainer">#REF!</definedName>
    <definedName name="환률">'[7]CBE-VSL'!$O$5</definedName>
  </definedNames>
  <calcPr calcId="145621" calcMode="manual"/>
</workbook>
</file>

<file path=xl/calcChain.xml><?xml version="1.0" encoding="utf-8"?>
<calcChain xmlns="http://schemas.openxmlformats.org/spreadsheetml/2006/main">
  <c r="F8" i="93" l="1"/>
  <c r="F8" i="94"/>
  <c r="C6" i="94" l="1"/>
  <c r="B23" i="105" l="1"/>
  <c r="B21" i="105"/>
  <c r="B20" i="105"/>
  <c r="B19" i="105"/>
  <c r="B18" i="105"/>
  <c r="B17" i="105"/>
  <c r="B16" i="105"/>
  <c r="B15" i="105"/>
  <c r="B14" i="105"/>
  <c r="B12" i="105"/>
  <c r="B11" i="105"/>
  <c r="B10" i="105"/>
  <c r="B9" i="105"/>
  <c r="B7" i="105"/>
  <c r="B8" i="105"/>
  <c r="B6" i="105"/>
  <c r="B5" i="105"/>
  <c r="B4" i="105"/>
  <c r="I10" i="89"/>
  <c r="K10" i="89"/>
  <c r="I10" i="90"/>
  <c r="K10" i="90"/>
  <c r="I10" i="98"/>
  <c r="J10" i="98"/>
  <c r="D14" i="105"/>
  <c r="D23" i="105"/>
  <c r="I10" i="84"/>
  <c r="I10" i="97"/>
  <c r="T12" i="82"/>
  <c r="T12" i="83"/>
  <c r="T12" i="84"/>
  <c r="T12" i="97"/>
  <c r="T12" i="96"/>
  <c r="T12" i="95"/>
  <c r="T12" i="94"/>
  <c r="T12" i="93"/>
  <c r="T12" i="89"/>
  <c r="T12" i="90"/>
  <c r="T12" i="91"/>
  <c r="Q12" i="92"/>
  <c r="Q12" i="102"/>
  <c r="T12" i="102"/>
  <c r="Q12" i="101"/>
  <c r="T12" i="101"/>
  <c r="Q12" i="100"/>
  <c r="Q12" i="99"/>
  <c r="Q12" i="98"/>
  <c r="Q12" i="80"/>
  <c r="T16" i="102"/>
  <c r="T16" i="101"/>
  <c r="K16" i="101"/>
  <c r="T20" i="92"/>
  <c r="T19" i="92"/>
  <c r="T18" i="92"/>
  <c r="T16" i="92"/>
  <c r="T14" i="92"/>
  <c r="T12" i="92"/>
  <c r="T20" i="102"/>
  <c r="T19" i="102"/>
  <c r="T18" i="102"/>
  <c r="T14" i="102"/>
  <c r="T20" i="101"/>
  <c r="T19" i="101"/>
  <c r="T18" i="101"/>
  <c r="T14" i="101"/>
  <c r="T20" i="100"/>
  <c r="T19" i="100"/>
  <c r="T18" i="100"/>
  <c r="T16" i="100"/>
  <c r="T14" i="100"/>
  <c r="T12" i="100"/>
  <c r="T20" i="99"/>
  <c r="T19" i="99"/>
  <c r="T18" i="99"/>
  <c r="T16" i="99"/>
  <c r="T14" i="99"/>
  <c r="T12" i="99"/>
  <c r="T20" i="98"/>
  <c r="T19" i="98"/>
  <c r="T18" i="98"/>
  <c r="T16" i="98"/>
  <c r="T14" i="98"/>
  <c r="T12" i="98"/>
  <c r="T11" i="92"/>
  <c r="T11" i="102"/>
  <c r="T11" i="101"/>
  <c r="T11" i="100"/>
  <c r="T11" i="99"/>
  <c r="T11" i="98"/>
  <c r="J10" i="91"/>
  <c r="J10" i="97"/>
  <c r="J10" i="84"/>
  <c r="J10" i="99"/>
  <c r="J10" i="80"/>
  <c r="J8" i="99"/>
  <c r="T8" i="92"/>
  <c r="T7" i="92"/>
  <c r="T6" i="92"/>
  <c r="T8" i="102"/>
  <c r="T7" i="102"/>
  <c r="T6" i="102"/>
  <c r="T8" i="101"/>
  <c r="T7" i="101"/>
  <c r="T6" i="101"/>
  <c r="T8" i="100"/>
  <c r="T7" i="100"/>
  <c r="T6" i="100"/>
  <c r="T8" i="99"/>
  <c r="T7" i="99"/>
  <c r="T6" i="99"/>
  <c r="T8" i="98"/>
  <c r="T7" i="98"/>
  <c r="T6" i="98"/>
  <c r="T8" i="81"/>
  <c r="T7" i="81"/>
  <c r="T6" i="81"/>
  <c r="Q12" i="81"/>
  <c r="T12" i="81"/>
  <c r="T20" i="81"/>
  <c r="T19" i="81"/>
  <c r="T18" i="81"/>
  <c r="T16" i="81"/>
  <c r="T14" i="81"/>
  <c r="T11" i="81"/>
  <c r="T20" i="80"/>
  <c r="T16" i="80"/>
  <c r="T12" i="80"/>
  <c r="T11" i="80"/>
  <c r="T19" i="80"/>
  <c r="T18" i="80"/>
  <c r="T14" i="80"/>
  <c r="T9" i="80"/>
  <c r="T8" i="80"/>
  <c r="T7" i="80"/>
  <c r="R20" i="56"/>
  <c r="R16" i="56"/>
  <c r="Q12" i="56"/>
  <c r="T11" i="56"/>
  <c r="T19" i="56"/>
  <c r="T20" i="56"/>
  <c r="T8" i="56"/>
  <c r="T7" i="56"/>
  <c r="T6" i="56"/>
  <c r="T18" i="56"/>
  <c r="T17" i="56"/>
  <c r="T14" i="56"/>
  <c r="T13" i="56"/>
  <c r="T12" i="56"/>
  <c r="C11" i="94"/>
  <c r="F8" i="82"/>
  <c r="F8" i="83"/>
  <c r="F8" i="84"/>
  <c r="F8" i="97"/>
  <c r="F8" i="96"/>
  <c r="F8" i="95"/>
  <c r="I8" i="94"/>
  <c r="I8" i="93"/>
  <c r="F8" i="89"/>
  <c r="I8" i="89"/>
  <c r="F8" i="90"/>
  <c r="F8" i="91"/>
  <c r="F8" i="92"/>
  <c r="F8" i="102"/>
  <c r="F8" i="101"/>
  <c r="F8" i="100"/>
  <c r="I8" i="100"/>
  <c r="F8" i="99"/>
  <c r="I8" i="99"/>
  <c r="K8" i="99"/>
  <c r="F8" i="98"/>
  <c r="F8" i="81"/>
  <c r="I8" i="81"/>
  <c r="F8" i="80"/>
  <c r="F8" i="56"/>
  <c r="H8" i="101"/>
  <c r="I8" i="101"/>
  <c r="H7" i="101"/>
  <c r="H7" i="100"/>
  <c r="H8" i="100"/>
  <c r="H8" i="99"/>
  <c r="H7" i="99"/>
  <c r="H7" i="98"/>
  <c r="H8" i="98"/>
  <c r="I8" i="98"/>
  <c r="H8" i="81"/>
  <c r="H7" i="81"/>
  <c r="H8" i="80"/>
  <c r="I8" i="80"/>
  <c r="H7" i="80"/>
  <c r="H8" i="56"/>
  <c r="I8" i="56"/>
  <c r="H7" i="56"/>
  <c r="H8" i="102"/>
  <c r="I8" i="102"/>
  <c r="H8" i="92"/>
  <c r="I8" i="92"/>
  <c r="H8" i="91"/>
  <c r="I8" i="91"/>
  <c r="H8" i="90"/>
  <c r="I8" i="90"/>
  <c r="H8" i="89"/>
  <c r="H8" i="93"/>
  <c r="H8" i="94"/>
  <c r="H8" i="95"/>
  <c r="I8" i="95"/>
  <c r="H8" i="96"/>
  <c r="I8" i="96"/>
  <c r="H8" i="97"/>
  <c r="I8" i="97"/>
  <c r="H8" i="84"/>
  <c r="I8" i="84"/>
  <c r="H8" i="83"/>
  <c r="I8" i="83"/>
  <c r="H8" i="82"/>
  <c r="I8" i="82"/>
  <c r="C8" i="80"/>
  <c r="J8" i="80" s="1"/>
  <c r="K8" i="80" s="1"/>
  <c r="C8" i="81"/>
  <c r="J8" i="81" s="1"/>
  <c r="K8" i="81" s="1"/>
  <c r="C8" i="98"/>
  <c r="J8" i="98" s="1"/>
  <c r="K8" i="98" s="1"/>
  <c r="C8" i="99"/>
  <c r="C8" i="100"/>
  <c r="J8" i="100"/>
  <c r="K8" i="100" s="1"/>
  <c r="C8" i="101"/>
  <c r="J8" i="101" s="1"/>
  <c r="K8" i="101" s="1"/>
  <c r="C8" i="102"/>
  <c r="J8" i="102"/>
  <c r="K8" i="102" s="1"/>
  <c r="C8" i="92"/>
  <c r="J8" i="92"/>
  <c r="K8" i="92" s="1"/>
  <c r="C8" i="91"/>
  <c r="J8" i="91" s="1"/>
  <c r="K8" i="91" s="1"/>
  <c r="C8" i="90"/>
  <c r="J8" i="90"/>
  <c r="K8" i="90" s="1"/>
  <c r="C8" i="89"/>
  <c r="J8" i="89" s="1"/>
  <c r="K8" i="89" s="1"/>
  <c r="C8" i="93"/>
  <c r="J8" i="93" s="1"/>
  <c r="J8" i="94"/>
  <c r="C8" i="95"/>
  <c r="J8" i="95"/>
  <c r="K8" i="95" s="1"/>
  <c r="C8" i="96"/>
  <c r="J8" i="96" s="1"/>
  <c r="K8" i="96" s="1"/>
  <c r="C8" i="97"/>
  <c r="J8" i="97"/>
  <c r="K8" i="97" s="1"/>
  <c r="C8" i="84"/>
  <c r="J8" i="84"/>
  <c r="K8" i="84" s="1"/>
  <c r="C8" i="83"/>
  <c r="J8" i="83" s="1"/>
  <c r="K8" i="83" s="1"/>
  <c r="C8" i="82"/>
  <c r="J8" i="82" s="1"/>
  <c r="K8" i="82" s="1"/>
  <c r="C8" i="56"/>
  <c r="J8" i="56"/>
  <c r="C27" i="80"/>
  <c r="K27" i="80" s="1"/>
  <c r="C27" i="81"/>
  <c r="J27" i="81" s="1"/>
  <c r="C27" i="98"/>
  <c r="K27" i="98" s="1"/>
  <c r="C27" i="99"/>
  <c r="J27" i="99" s="1"/>
  <c r="C27" i="100"/>
  <c r="K27" i="100" s="1"/>
  <c r="C27" i="101"/>
  <c r="J27" i="101" s="1"/>
  <c r="C27" i="102"/>
  <c r="J27" i="102" s="1"/>
  <c r="C27" i="92"/>
  <c r="C27" i="91"/>
  <c r="K27" i="91" s="1"/>
  <c r="C27" i="90"/>
  <c r="J27" i="90" s="1"/>
  <c r="C27" i="89"/>
  <c r="K27" i="89" s="1"/>
  <c r="C27" i="93"/>
  <c r="J27" i="93" s="1"/>
  <c r="C27" i="94"/>
  <c r="K27" i="94" s="1"/>
  <c r="C27" i="95"/>
  <c r="K27" i="95" s="1"/>
  <c r="C27" i="96"/>
  <c r="J27" i="96" s="1"/>
  <c r="C27" i="97"/>
  <c r="J27" i="97" s="1"/>
  <c r="C27" i="84"/>
  <c r="K27" i="84" s="1"/>
  <c r="C27" i="83"/>
  <c r="J27" i="83" s="1"/>
  <c r="C27" i="82"/>
  <c r="J27" i="82" s="1"/>
  <c r="C27" i="56"/>
  <c r="J27" i="56" s="1"/>
  <c r="O10" i="81"/>
  <c r="O10" i="98"/>
  <c r="O10" i="99"/>
  <c r="O10" i="100"/>
  <c r="O10" i="101"/>
  <c r="O10" i="102"/>
  <c r="O10" i="92"/>
  <c r="O10" i="91"/>
  <c r="O10" i="90"/>
  <c r="O10" i="89"/>
  <c r="O10" i="93"/>
  <c r="O10" i="94"/>
  <c r="O10" i="95"/>
  <c r="O10" i="96"/>
  <c r="O10" i="97"/>
  <c r="O10" i="84"/>
  <c r="O10" i="83"/>
  <c r="O10" i="82"/>
  <c r="O10" i="80"/>
  <c r="O10" i="56"/>
  <c r="K26" i="101"/>
  <c r="C7" i="96"/>
  <c r="F7" i="96"/>
  <c r="I7" i="96" s="1"/>
  <c r="K7" i="96" s="1"/>
  <c r="H7" i="96"/>
  <c r="C6" i="96"/>
  <c r="J6" i="96" s="1"/>
  <c r="H6" i="96"/>
  <c r="H11" i="96"/>
  <c r="I11" i="96"/>
  <c r="K11" i="96"/>
  <c r="C10" i="96"/>
  <c r="I10" i="96"/>
  <c r="J39" i="96"/>
  <c r="K26" i="92"/>
  <c r="C6" i="101"/>
  <c r="F6" i="101" s="1"/>
  <c r="I6" i="101" s="1"/>
  <c r="K6" i="101" s="1"/>
  <c r="J6" i="101"/>
  <c r="H6" i="101"/>
  <c r="C9" i="101"/>
  <c r="F9" i="101"/>
  <c r="H9" i="101"/>
  <c r="I9" i="101"/>
  <c r="K9" i="101"/>
  <c r="H11" i="101"/>
  <c r="I11" i="101"/>
  <c r="K11" i="101"/>
  <c r="C7" i="101"/>
  <c r="J7" i="101" s="1"/>
  <c r="C10" i="101"/>
  <c r="J10" i="101"/>
  <c r="I12" i="101"/>
  <c r="K12" i="101"/>
  <c r="K13" i="101"/>
  <c r="K14" i="101"/>
  <c r="I15" i="101"/>
  <c r="K15" i="101"/>
  <c r="I16" i="101"/>
  <c r="I17" i="101"/>
  <c r="K17" i="101"/>
  <c r="I18" i="101"/>
  <c r="K18" i="101"/>
  <c r="I19" i="101"/>
  <c r="K19" i="101"/>
  <c r="I20" i="101"/>
  <c r="I21" i="101"/>
  <c r="K21" i="101"/>
  <c r="I22" i="101"/>
  <c r="K22" i="101"/>
  <c r="I23" i="101"/>
  <c r="K23" i="101"/>
  <c r="I24" i="101"/>
  <c r="K24" i="101"/>
  <c r="I25" i="101"/>
  <c r="K25" i="101"/>
  <c r="K28" i="101"/>
  <c r="J40" i="101"/>
  <c r="K33" i="101"/>
  <c r="I36" i="101"/>
  <c r="K36" i="101"/>
  <c r="K34" i="101"/>
  <c r="K14" i="56"/>
  <c r="K14" i="80"/>
  <c r="K14" i="81"/>
  <c r="K14" i="98"/>
  <c r="K14" i="99"/>
  <c r="K14" i="102"/>
  <c r="K14" i="92"/>
  <c r="C6" i="100"/>
  <c r="J6" i="100" s="1"/>
  <c r="C7" i="100"/>
  <c r="F7" i="100" s="1"/>
  <c r="I7" i="100" s="1"/>
  <c r="K7" i="100" s="1"/>
  <c r="J7" i="100"/>
  <c r="C10" i="100"/>
  <c r="I10" i="100"/>
  <c r="C6" i="99"/>
  <c r="F6" i="99"/>
  <c r="I6" i="99" s="1"/>
  <c r="K6" i="99" s="1"/>
  <c r="C7" i="99"/>
  <c r="F7" i="99" s="1"/>
  <c r="I7" i="99" s="1"/>
  <c r="K7" i="99" s="1"/>
  <c r="J7" i="99"/>
  <c r="C10" i="99"/>
  <c r="I10" i="99"/>
  <c r="K10" i="99"/>
  <c r="C6" i="98"/>
  <c r="F6" i="98" s="1"/>
  <c r="I6" i="98" s="1"/>
  <c r="K6" i="98" s="1"/>
  <c r="J6" i="98"/>
  <c r="C7" i="98"/>
  <c r="J7" i="98" s="1"/>
  <c r="C10" i="98"/>
  <c r="C6" i="81"/>
  <c r="F6" i="81"/>
  <c r="I6" i="81" s="1"/>
  <c r="K6" i="81" s="1"/>
  <c r="C7" i="81"/>
  <c r="J7" i="81"/>
  <c r="C10" i="81"/>
  <c r="I10" i="81"/>
  <c r="C6" i="80"/>
  <c r="J6" i="80" s="1"/>
  <c r="F6" i="80"/>
  <c r="C7" i="80"/>
  <c r="J7" i="80" s="1"/>
  <c r="C10" i="80"/>
  <c r="I10" i="80"/>
  <c r="C6" i="56"/>
  <c r="J6" i="56" s="1"/>
  <c r="C7" i="56"/>
  <c r="J7" i="56" s="1"/>
  <c r="K7" i="56" s="1"/>
  <c r="F7" i="56"/>
  <c r="I7" i="56"/>
  <c r="C9" i="56"/>
  <c r="J9" i="56"/>
  <c r="C6" i="82"/>
  <c r="F6" i="82" s="1"/>
  <c r="I6" i="82" s="1"/>
  <c r="K6" i="82" s="1"/>
  <c r="J6" i="82"/>
  <c r="H6" i="82"/>
  <c r="C7" i="82"/>
  <c r="F7" i="82"/>
  <c r="I7" i="82" s="1"/>
  <c r="K7" i="82" s="1"/>
  <c r="H7" i="82"/>
  <c r="C9" i="82"/>
  <c r="J9" i="82"/>
  <c r="H9" i="82"/>
  <c r="C10" i="82"/>
  <c r="I10" i="82"/>
  <c r="H11" i="82"/>
  <c r="I11" i="82"/>
  <c r="K11" i="82"/>
  <c r="J40" i="82"/>
  <c r="J39" i="82"/>
  <c r="I12" i="82"/>
  <c r="K12" i="82"/>
  <c r="K13" i="82"/>
  <c r="K14" i="82"/>
  <c r="I15" i="82"/>
  <c r="K15" i="82"/>
  <c r="I16" i="82"/>
  <c r="K16" i="82"/>
  <c r="I17" i="82"/>
  <c r="K17" i="82"/>
  <c r="I18" i="82"/>
  <c r="K18" i="82"/>
  <c r="I19" i="82"/>
  <c r="K19" i="82"/>
  <c r="I20" i="82"/>
  <c r="K20" i="82"/>
  <c r="I21" i="82"/>
  <c r="K21" i="82"/>
  <c r="I22" i="82"/>
  <c r="K22" i="82"/>
  <c r="I23" i="82"/>
  <c r="K23" i="82"/>
  <c r="I24" i="82"/>
  <c r="K24" i="82"/>
  <c r="I26" i="82"/>
  <c r="K26" i="82"/>
  <c r="K28" i="82"/>
  <c r="K32" i="82"/>
  <c r="K33" i="82"/>
  <c r="I35" i="82"/>
  <c r="K35" i="82"/>
  <c r="I13" i="82"/>
  <c r="C11" i="82"/>
  <c r="C6" i="83"/>
  <c r="J6" i="83"/>
  <c r="H6" i="83"/>
  <c r="C7" i="83"/>
  <c r="J7" i="83" s="1"/>
  <c r="H7" i="83"/>
  <c r="C9" i="83"/>
  <c r="J9" i="83"/>
  <c r="H9" i="83"/>
  <c r="C10" i="83"/>
  <c r="I10" i="83"/>
  <c r="H11" i="83"/>
  <c r="I11" i="83"/>
  <c r="K11" i="83"/>
  <c r="J40" i="83"/>
  <c r="J39" i="83"/>
  <c r="I12" i="83"/>
  <c r="K12" i="83"/>
  <c r="K13" i="83"/>
  <c r="K14" i="83"/>
  <c r="I15" i="83"/>
  <c r="K15" i="83"/>
  <c r="I16" i="83"/>
  <c r="K16" i="83"/>
  <c r="I17" i="83"/>
  <c r="K17" i="83"/>
  <c r="I18" i="83"/>
  <c r="K18" i="83"/>
  <c r="I19" i="83"/>
  <c r="K19" i="83"/>
  <c r="I20" i="83"/>
  <c r="K20" i="83"/>
  <c r="I21" i="83"/>
  <c r="K21" i="83"/>
  <c r="I22" i="83"/>
  <c r="K22" i="83"/>
  <c r="I23" i="83"/>
  <c r="K23" i="83"/>
  <c r="I24" i="83"/>
  <c r="K24" i="83"/>
  <c r="I26" i="83"/>
  <c r="K26" i="83"/>
  <c r="K28" i="83"/>
  <c r="K32" i="83"/>
  <c r="K33" i="83"/>
  <c r="I35" i="83"/>
  <c r="K35" i="83"/>
  <c r="I13" i="83"/>
  <c r="C11" i="83"/>
  <c r="C6" i="84"/>
  <c r="J6" i="84" s="1"/>
  <c r="H6" i="84"/>
  <c r="C7" i="84"/>
  <c r="J7" i="84"/>
  <c r="H7" i="84"/>
  <c r="C9" i="84"/>
  <c r="J9" i="84"/>
  <c r="H9" i="84"/>
  <c r="C10" i="84"/>
  <c r="H11" i="84"/>
  <c r="I11" i="84"/>
  <c r="K11" i="84"/>
  <c r="J40" i="84"/>
  <c r="J39" i="84"/>
  <c r="I12" i="84"/>
  <c r="K12" i="84"/>
  <c r="K13" i="84"/>
  <c r="K14" i="84"/>
  <c r="I15" i="84"/>
  <c r="K15" i="84"/>
  <c r="I16" i="84"/>
  <c r="K16" i="84"/>
  <c r="I17" i="84"/>
  <c r="K17" i="84"/>
  <c r="I18" i="84"/>
  <c r="K18" i="84"/>
  <c r="I19" i="84"/>
  <c r="K19" i="84"/>
  <c r="I20" i="84"/>
  <c r="K20" i="84"/>
  <c r="I21" i="84"/>
  <c r="K21" i="84"/>
  <c r="I22" i="84"/>
  <c r="K22" i="84"/>
  <c r="I23" i="84"/>
  <c r="K23" i="84"/>
  <c r="I24" i="84"/>
  <c r="K24" i="84"/>
  <c r="I26" i="84"/>
  <c r="K26" i="84"/>
  <c r="K28" i="84"/>
  <c r="K32" i="84"/>
  <c r="K33" i="84"/>
  <c r="I13" i="84"/>
  <c r="C11" i="84"/>
  <c r="K14" i="97"/>
  <c r="C6" i="97"/>
  <c r="J6" i="97" s="1"/>
  <c r="F6" i="97"/>
  <c r="H6" i="97"/>
  <c r="C7" i="97"/>
  <c r="J7" i="97"/>
  <c r="H7" i="97"/>
  <c r="I7" i="97" s="1"/>
  <c r="K7" i="97" s="1"/>
  <c r="C9" i="97"/>
  <c r="J9" i="97"/>
  <c r="F9" i="97"/>
  <c r="H9" i="97"/>
  <c r="C10" i="97"/>
  <c r="H11" i="97"/>
  <c r="I11" i="97"/>
  <c r="K11" i="97"/>
  <c r="J40" i="97"/>
  <c r="J39" i="97"/>
  <c r="I12" i="97"/>
  <c r="K12" i="97"/>
  <c r="K13" i="97"/>
  <c r="I15" i="97"/>
  <c r="K15" i="97"/>
  <c r="I16" i="97"/>
  <c r="K16" i="97"/>
  <c r="I17" i="97"/>
  <c r="K17" i="97"/>
  <c r="I18" i="97"/>
  <c r="K18" i="97"/>
  <c r="I19" i="97"/>
  <c r="K19" i="97"/>
  <c r="I20" i="97"/>
  <c r="K20" i="97"/>
  <c r="I21" i="97"/>
  <c r="K21" i="97"/>
  <c r="I22" i="97"/>
  <c r="K22" i="97"/>
  <c r="I23" i="97"/>
  <c r="K23" i="97"/>
  <c r="I24" i="97"/>
  <c r="K24" i="97"/>
  <c r="I26" i="97"/>
  <c r="K26" i="97"/>
  <c r="K28" i="97"/>
  <c r="K32" i="97"/>
  <c r="K33" i="97"/>
  <c r="I35" i="97"/>
  <c r="K35" i="97"/>
  <c r="I13" i="97"/>
  <c r="C11" i="97"/>
  <c r="C9" i="96"/>
  <c r="J9" i="96"/>
  <c r="H9" i="96"/>
  <c r="J40" i="96"/>
  <c r="I12" i="96"/>
  <c r="K12" i="96"/>
  <c r="K13" i="96"/>
  <c r="K14" i="96"/>
  <c r="I15" i="96"/>
  <c r="K15" i="96"/>
  <c r="I16" i="96"/>
  <c r="K16" i="96"/>
  <c r="I17" i="96"/>
  <c r="K17" i="96"/>
  <c r="I18" i="96"/>
  <c r="K18" i="96"/>
  <c r="I19" i="96"/>
  <c r="K19" i="96"/>
  <c r="I20" i="96"/>
  <c r="K20" i="96"/>
  <c r="I21" i="96"/>
  <c r="K21" i="96"/>
  <c r="I22" i="96"/>
  <c r="K22" i="96"/>
  <c r="I23" i="96"/>
  <c r="K23" i="96"/>
  <c r="I24" i="96"/>
  <c r="K24" i="96"/>
  <c r="I26" i="96"/>
  <c r="K26" i="96"/>
  <c r="K28" i="96"/>
  <c r="K32" i="96"/>
  <c r="I35" i="96"/>
  <c r="K35" i="96"/>
  <c r="K33" i="96"/>
  <c r="I13" i="96"/>
  <c r="C11" i="96"/>
  <c r="C6" i="95"/>
  <c r="H6" i="95"/>
  <c r="C7" i="95"/>
  <c r="J7" i="95" s="1"/>
  <c r="H7" i="95"/>
  <c r="C9" i="95"/>
  <c r="J9" i="95"/>
  <c r="F9" i="95"/>
  <c r="I9" i="95"/>
  <c r="H9" i="95"/>
  <c r="C10" i="95"/>
  <c r="I10" i="95"/>
  <c r="H11" i="95"/>
  <c r="I11" i="95"/>
  <c r="K11" i="95"/>
  <c r="J40" i="95"/>
  <c r="J39" i="95"/>
  <c r="I12" i="95"/>
  <c r="K12" i="95"/>
  <c r="K13" i="95"/>
  <c r="K14" i="95"/>
  <c r="I15" i="95"/>
  <c r="K15" i="95"/>
  <c r="I16" i="95"/>
  <c r="K16" i="95"/>
  <c r="I17" i="95"/>
  <c r="K17" i="95"/>
  <c r="I18" i="95"/>
  <c r="K18" i="95"/>
  <c r="I19" i="95"/>
  <c r="K19" i="95"/>
  <c r="I20" i="95"/>
  <c r="K20" i="95"/>
  <c r="I21" i="95"/>
  <c r="K21" i="95"/>
  <c r="I22" i="95"/>
  <c r="K22" i="95"/>
  <c r="I23" i="95"/>
  <c r="K23" i="95"/>
  <c r="I24" i="95"/>
  <c r="K24" i="95"/>
  <c r="I26" i="95"/>
  <c r="K26" i="95"/>
  <c r="K28" i="95"/>
  <c r="K32" i="95"/>
  <c r="I35" i="95"/>
  <c r="K35" i="95"/>
  <c r="K33" i="95"/>
  <c r="I13" i="95"/>
  <c r="C11" i="95"/>
  <c r="I6" i="94"/>
  <c r="H6" i="94"/>
  <c r="C7" i="94"/>
  <c r="I7" i="94"/>
  <c r="K7" i="94" s="1"/>
  <c r="H7" i="94"/>
  <c r="C9" i="94"/>
  <c r="F9" i="94"/>
  <c r="I9" i="94"/>
  <c r="H9" i="94"/>
  <c r="C10" i="94"/>
  <c r="H11" i="94"/>
  <c r="I11" i="94"/>
  <c r="K11" i="94"/>
  <c r="J40" i="94"/>
  <c r="J39" i="94"/>
  <c r="I19" i="94"/>
  <c r="K19" i="94"/>
  <c r="I12" i="94"/>
  <c r="K12" i="94"/>
  <c r="K13" i="94"/>
  <c r="K14" i="94"/>
  <c r="I15" i="94"/>
  <c r="K15" i="94"/>
  <c r="I16" i="94"/>
  <c r="K16" i="94"/>
  <c r="I17" i="94"/>
  <c r="K17" i="94"/>
  <c r="I18" i="94"/>
  <c r="K18" i="94"/>
  <c r="I20" i="94"/>
  <c r="K20" i="94"/>
  <c r="I21" i="94"/>
  <c r="K21" i="94"/>
  <c r="I22" i="94"/>
  <c r="K22" i="94"/>
  <c r="I23" i="94"/>
  <c r="K23" i="94"/>
  <c r="I24" i="94"/>
  <c r="K24" i="94"/>
  <c r="I26" i="94"/>
  <c r="K26" i="94"/>
  <c r="K28" i="94"/>
  <c r="K32" i="94"/>
  <c r="K33" i="94"/>
  <c r="I13" i="94"/>
  <c r="C6" i="93"/>
  <c r="F6" i="93" s="1"/>
  <c r="I6" i="93" s="1"/>
  <c r="K6" i="93" s="1"/>
  <c r="H6" i="93"/>
  <c r="C7" i="93"/>
  <c r="J7" i="93"/>
  <c r="H7" i="93"/>
  <c r="C9" i="93"/>
  <c r="J9" i="93"/>
  <c r="H9" i="93"/>
  <c r="C10" i="93"/>
  <c r="H11" i="93"/>
  <c r="I11" i="93"/>
  <c r="K11" i="93"/>
  <c r="J40" i="93"/>
  <c r="J39" i="93"/>
  <c r="I24" i="93"/>
  <c r="I23" i="93"/>
  <c r="K23" i="93"/>
  <c r="I12" i="93"/>
  <c r="K12" i="93"/>
  <c r="K13" i="93"/>
  <c r="K14" i="93"/>
  <c r="I15" i="93"/>
  <c r="K15" i="93"/>
  <c r="I16" i="93"/>
  <c r="K16" i="93"/>
  <c r="I17" i="93"/>
  <c r="K17" i="93"/>
  <c r="I18" i="93"/>
  <c r="K18" i="93"/>
  <c r="I19" i="93"/>
  <c r="K19" i="93"/>
  <c r="I20" i="93"/>
  <c r="K20" i="93"/>
  <c r="I21" i="93"/>
  <c r="K21" i="93"/>
  <c r="I22" i="93"/>
  <c r="K22" i="93"/>
  <c r="K24" i="93"/>
  <c r="I26" i="93"/>
  <c r="K26" i="93"/>
  <c r="K28" i="93"/>
  <c r="K32" i="93"/>
  <c r="I35" i="93"/>
  <c r="K35" i="93"/>
  <c r="K33" i="93"/>
  <c r="I13" i="93"/>
  <c r="C11" i="93"/>
  <c r="I19" i="89"/>
  <c r="K19" i="89"/>
  <c r="C6" i="89"/>
  <c r="F6" i="89"/>
  <c r="H6" i="89"/>
  <c r="C7" i="89"/>
  <c r="F7" i="89" s="1"/>
  <c r="I7" i="89" s="1"/>
  <c r="K7" i="89" s="1"/>
  <c r="H7" i="89"/>
  <c r="C9" i="89"/>
  <c r="F9" i="89"/>
  <c r="I9" i="89"/>
  <c r="H9" i="89"/>
  <c r="C10" i="89"/>
  <c r="J10" i="89"/>
  <c r="H11" i="89"/>
  <c r="I11" i="89"/>
  <c r="K11" i="89"/>
  <c r="J40" i="89"/>
  <c r="J39" i="89"/>
  <c r="I12" i="89"/>
  <c r="K12" i="89"/>
  <c r="K13" i="89"/>
  <c r="K14" i="89"/>
  <c r="I15" i="89"/>
  <c r="K15" i="89"/>
  <c r="I16" i="89"/>
  <c r="K16" i="89"/>
  <c r="I17" i="89"/>
  <c r="K17" i="89"/>
  <c r="I18" i="89"/>
  <c r="K18" i="89"/>
  <c r="I20" i="89"/>
  <c r="K20" i="89"/>
  <c r="I21" i="89"/>
  <c r="K21" i="89"/>
  <c r="I22" i="89"/>
  <c r="K22" i="89"/>
  <c r="K23" i="89"/>
  <c r="K24" i="89"/>
  <c r="I26" i="89"/>
  <c r="K26" i="89"/>
  <c r="K28" i="89"/>
  <c r="K32" i="89"/>
  <c r="I35" i="89"/>
  <c r="K35" i="89"/>
  <c r="K33" i="89"/>
  <c r="I13" i="89"/>
  <c r="C11" i="89"/>
  <c r="C6" i="90"/>
  <c r="F6" i="90" s="1"/>
  <c r="I6" i="90" s="1"/>
  <c r="K6" i="90" s="1"/>
  <c r="H6" i="90"/>
  <c r="C7" i="90"/>
  <c r="F7" i="90" s="1"/>
  <c r="I7" i="90" s="1"/>
  <c r="K7" i="90" s="1"/>
  <c r="H7" i="90"/>
  <c r="C9" i="90"/>
  <c r="J9" i="90"/>
  <c r="H9" i="90"/>
  <c r="C10" i="90"/>
  <c r="J10" i="90"/>
  <c r="H11" i="90"/>
  <c r="I11" i="90"/>
  <c r="K11" i="90"/>
  <c r="J40" i="90"/>
  <c r="J39" i="90"/>
  <c r="I19" i="90"/>
  <c r="K19" i="90"/>
  <c r="I12" i="90"/>
  <c r="K12" i="90"/>
  <c r="K13" i="90"/>
  <c r="K14" i="90"/>
  <c r="I15" i="90"/>
  <c r="K15" i="90"/>
  <c r="I16" i="90"/>
  <c r="K16" i="90"/>
  <c r="I17" i="90"/>
  <c r="K17" i="90"/>
  <c r="I18" i="90"/>
  <c r="K18" i="90"/>
  <c r="I20" i="90"/>
  <c r="K20" i="90"/>
  <c r="I21" i="90"/>
  <c r="K21" i="90"/>
  <c r="I22" i="90"/>
  <c r="K22" i="90"/>
  <c r="K23" i="90"/>
  <c r="K24" i="90"/>
  <c r="I25" i="90"/>
  <c r="K25" i="90"/>
  <c r="I26" i="90"/>
  <c r="K26" i="90"/>
  <c r="K28" i="90"/>
  <c r="K32" i="90"/>
  <c r="I35" i="90"/>
  <c r="K35" i="90"/>
  <c r="K33" i="90"/>
  <c r="I13" i="90"/>
  <c r="C11" i="90"/>
  <c r="C6" i="91"/>
  <c r="F6" i="91" s="1"/>
  <c r="I6" i="91" s="1"/>
  <c r="K6" i="91" s="1"/>
  <c r="H6" i="91"/>
  <c r="C7" i="91"/>
  <c r="F7" i="91" s="1"/>
  <c r="I7" i="91" s="1"/>
  <c r="K7" i="91" s="1"/>
  <c r="H7" i="91"/>
  <c r="C9" i="91"/>
  <c r="J9" i="91"/>
  <c r="H9" i="91"/>
  <c r="C10" i="91"/>
  <c r="I10" i="91"/>
  <c r="K10" i="91"/>
  <c r="H11" i="91"/>
  <c r="I11" i="91"/>
  <c r="K11" i="91"/>
  <c r="J40" i="91"/>
  <c r="J39" i="91"/>
  <c r="K24" i="91"/>
  <c r="K23" i="91"/>
  <c r="K14" i="91"/>
  <c r="I26" i="91"/>
  <c r="K26" i="91"/>
  <c r="I12" i="91"/>
  <c r="K12" i="91"/>
  <c r="K13" i="91"/>
  <c r="I15" i="91"/>
  <c r="K15" i="91"/>
  <c r="I16" i="91"/>
  <c r="K16" i="91"/>
  <c r="I18" i="91"/>
  <c r="K18" i="91"/>
  <c r="I19" i="91"/>
  <c r="K19" i="91"/>
  <c r="I20" i="91"/>
  <c r="K20" i="91"/>
  <c r="I21" i="91"/>
  <c r="K21" i="91"/>
  <c r="I22" i="91"/>
  <c r="K22" i="91"/>
  <c r="I25" i="91"/>
  <c r="K25" i="91"/>
  <c r="K28" i="91"/>
  <c r="K32" i="91"/>
  <c r="K33" i="91"/>
  <c r="I17" i="91"/>
  <c r="K17" i="91"/>
  <c r="I13" i="91"/>
  <c r="C11" i="91"/>
  <c r="J40" i="92"/>
  <c r="H7" i="92"/>
  <c r="C7" i="92"/>
  <c r="J7" i="92"/>
  <c r="I16" i="92"/>
  <c r="K16" i="92"/>
  <c r="I20" i="92"/>
  <c r="H11" i="92"/>
  <c r="I11" i="92"/>
  <c r="K11" i="92"/>
  <c r="C6" i="92"/>
  <c r="F6" i="92" s="1"/>
  <c r="I6" i="92" s="1"/>
  <c r="K6" i="92" s="1"/>
  <c r="J6" i="92"/>
  <c r="H6" i="92"/>
  <c r="C9" i="92"/>
  <c r="J9" i="92"/>
  <c r="H9" i="92"/>
  <c r="C10" i="92"/>
  <c r="I10" i="92"/>
  <c r="I12" i="92"/>
  <c r="K12" i="92"/>
  <c r="K13" i="92"/>
  <c r="I15" i="92"/>
  <c r="K15" i="92"/>
  <c r="I17" i="92"/>
  <c r="K17" i="92"/>
  <c r="I18" i="92"/>
  <c r="K18" i="92"/>
  <c r="I19" i="92"/>
  <c r="K19" i="92"/>
  <c r="I21" i="92"/>
  <c r="K21" i="92"/>
  <c r="I22" i="92"/>
  <c r="K22" i="92"/>
  <c r="I23" i="92"/>
  <c r="K23" i="92"/>
  <c r="I24" i="92"/>
  <c r="K24" i="92"/>
  <c r="I25" i="92"/>
  <c r="K25" i="92"/>
  <c r="K28" i="92"/>
  <c r="K33" i="92"/>
  <c r="I36" i="92"/>
  <c r="K36" i="92"/>
  <c r="K34" i="92"/>
  <c r="J39" i="92"/>
  <c r="J38" i="92"/>
  <c r="I13" i="92"/>
  <c r="C11" i="92"/>
  <c r="J40" i="102"/>
  <c r="H7" i="102"/>
  <c r="C7" i="102"/>
  <c r="J7" i="102"/>
  <c r="C6" i="102"/>
  <c r="J6" i="102" s="1"/>
  <c r="H6" i="102"/>
  <c r="C9" i="102"/>
  <c r="F9" i="102"/>
  <c r="I9" i="102"/>
  <c r="H9" i="102"/>
  <c r="C10" i="102"/>
  <c r="I10" i="102"/>
  <c r="H11" i="102"/>
  <c r="I11" i="102"/>
  <c r="K11" i="102"/>
  <c r="I12" i="102"/>
  <c r="K12" i="102"/>
  <c r="K13" i="102"/>
  <c r="I15" i="102"/>
  <c r="K15" i="102"/>
  <c r="I16" i="102"/>
  <c r="K16" i="102"/>
  <c r="I17" i="102"/>
  <c r="K17" i="102"/>
  <c r="I18" i="102"/>
  <c r="K18" i="102"/>
  <c r="I19" i="102"/>
  <c r="K19" i="102"/>
  <c r="I20" i="102"/>
  <c r="I21" i="102"/>
  <c r="K21" i="102"/>
  <c r="I22" i="102"/>
  <c r="K22" i="102"/>
  <c r="I23" i="102"/>
  <c r="K23" i="102"/>
  <c r="I24" i="102"/>
  <c r="K24" i="102"/>
  <c r="I25" i="102"/>
  <c r="K25" i="102"/>
  <c r="K28" i="102"/>
  <c r="K33" i="102"/>
  <c r="K34" i="102"/>
  <c r="J39" i="102"/>
  <c r="K26" i="102"/>
  <c r="J38" i="102"/>
  <c r="J39" i="101"/>
  <c r="J38" i="101"/>
  <c r="I13" i="102"/>
  <c r="C11" i="102"/>
  <c r="I13" i="101"/>
  <c r="C11" i="101"/>
  <c r="I19" i="100"/>
  <c r="K19" i="100"/>
  <c r="H6" i="100"/>
  <c r="C9" i="100"/>
  <c r="F9" i="100"/>
  <c r="I9" i="100"/>
  <c r="K9" i="100"/>
  <c r="H9" i="100"/>
  <c r="H11" i="100"/>
  <c r="I11" i="100"/>
  <c r="K11" i="100"/>
  <c r="I12" i="100"/>
  <c r="K12" i="100"/>
  <c r="K13" i="100"/>
  <c r="K14" i="100"/>
  <c r="I15" i="100"/>
  <c r="K15" i="100"/>
  <c r="I16" i="100"/>
  <c r="K16" i="100"/>
  <c r="I17" i="100"/>
  <c r="K17" i="100"/>
  <c r="I18" i="100"/>
  <c r="K18" i="100"/>
  <c r="I20" i="100"/>
  <c r="I21" i="100"/>
  <c r="K21" i="100"/>
  <c r="I22" i="100"/>
  <c r="K22" i="100"/>
  <c r="I23" i="100"/>
  <c r="K23" i="100"/>
  <c r="I24" i="100"/>
  <c r="K24" i="100"/>
  <c r="I25" i="100"/>
  <c r="K25" i="100"/>
  <c r="K28" i="100"/>
  <c r="J40" i="100"/>
  <c r="J39" i="100"/>
  <c r="J38" i="100"/>
  <c r="I19" i="99"/>
  <c r="K19" i="99"/>
  <c r="H6" i="99"/>
  <c r="C9" i="99"/>
  <c r="F9" i="99"/>
  <c r="I9" i="99"/>
  <c r="K9" i="99"/>
  <c r="H9" i="99"/>
  <c r="H11" i="99"/>
  <c r="I11" i="99"/>
  <c r="K11" i="99"/>
  <c r="I12" i="99"/>
  <c r="K12" i="99"/>
  <c r="K13" i="99"/>
  <c r="I15" i="99"/>
  <c r="K15" i="99"/>
  <c r="I16" i="99"/>
  <c r="K16" i="99"/>
  <c r="I17" i="99"/>
  <c r="K17" i="99"/>
  <c r="I18" i="99"/>
  <c r="K18" i="99"/>
  <c r="I20" i="99"/>
  <c r="I21" i="99"/>
  <c r="K21" i="99"/>
  <c r="I22" i="99"/>
  <c r="K22" i="99"/>
  <c r="I23" i="99"/>
  <c r="K23" i="99"/>
  <c r="I24" i="99"/>
  <c r="K24" i="99"/>
  <c r="I25" i="99"/>
  <c r="K25" i="99"/>
  <c r="K28" i="99"/>
  <c r="J40" i="99"/>
  <c r="J39" i="99"/>
  <c r="J38" i="99"/>
  <c r="J40" i="98"/>
  <c r="H6" i="98"/>
  <c r="C9" i="98"/>
  <c r="F9" i="98"/>
  <c r="I9" i="98"/>
  <c r="K9" i="98"/>
  <c r="H9" i="98"/>
  <c r="H11" i="98"/>
  <c r="I11" i="98"/>
  <c r="K11" i="98"/>
  <c r="I19" i="98"/>
  <c r="K19" i="98"/>
  <c r="I12" i="98"/>
  <c r="K12" i="98"/>
  <c r="K13" i="98"/>
  <c r="I15" i="98"/>
  <c r="K15" i="98"/>
  <c r="I16" i="98"/>
  <c r="K16" i="98"/>
  <c r="I17" i="98"/>
  <c r="K17" i="98"/>
  <c r="I18" i="98"/>
  <c r="K18" i="98"/>
  <c r="I20" i="98"/>
  <c r="I21" i="98"/>
  <c r="K21" i="98"/>
  <c r="I22" i="98"/>
  <c r="K22" i="98"/>
  <c r="I23" i="98"/>
  <c r="K23" i="98"/>
  <c r="I24" i="98"/>
  <c r="K24" i="98"/>
  <c r="I25" i="98"/>
  <c r="K25" i="98"/>
  <c r="K28" i="98"/>
  <c r="J39" i="98"/>
  <c r="J38" i="98"/>
  <c r="J40" i="81"/>
  <c r="H6" i="81"/>
  <c r="C9" i="81"/>
  <c r="F9" i="81"/>
  <c r="H9" i="81"/>
  <c r="H11" i="81"/>
  <c r="I11" i="81"/>
  <c r="K11" i="81"/>
  <c r="I12" i="81"/>
  <c r="K12" i="81"/>
  <c r="K13" i="81"/>
  <c r="I15" i="81"/>
  <c r="K15" i="81"/>
  <c r="I16" i="81"/>
  <c r="K16" i="81"/>
  <c r="I17" i="81"/>
  <c r="K17" i="81"/>
  <c r="I18" i="81"/>
  <c r="K18" i="81"/>
  <c r="I19" i="81"/>
  <c r="K19" i="81"/>
  <c r="I20" i="81"/>
  <c r="I21" i="81"/>
  <c r="K21" i="81"/>
  <c r="I22" i="81"/>
  <c r="K22" i="81"/>
  <c r="I23" i="81"/>
  <c r="K23" i="81"/>
  <c r="I24" i="81"/>
  <c r="K24" i="81"/>
  <c r="I25" i="81"/>
  <c r="K25" i="81"/>
  <c r="K28" i="81"/>
  <c r="J39" i="81"/>
  <c r="J38" i="81"/>
  <c r="J40" i="80"/>
  <c r="H6" i="80"/>
  <c r="I6" i="80"/>
  <c r="K6" i="80" s="1"/>
  <c r="C9" i="80"/>
  <c r="F9" i="80"/>
  <c r="I9" i="80"/>
  <c r="K9" i="80"/>
  <c r="H9" i="80"/>
  <c r="H11" i="80"/>
  <c r="I11" i="80"/>
  <c r="K11" i="80"/>
  <c r="I12" i="80"/>
  <c r="K12" i="80"/>
  <c r="K13" i="80"/>
  <c r="I15" i="80"/>
  <c r="I16" i="80"/>
  <c r="I17" i="80"/>
  <c r="K17" i="80"/>
  <c r="I18" i="80"/>
  <c r="K18" i="80"/>
  <c r="I19" i="80"/>
  <c r="K19" i="80"/>
  <c r="I20" i="80"/>
  <c r="I21" i="80"/>
  <c r="K21" i="80"/>
  <c r="I22" i="80"/>
  <c r="K22" i="80"/>
  <c r="I23" i="80"/>
  <c r="K23" i="80"/>
  <c r="I24" i="80"/>
  <c r="K24" i="80"/>
  <c r="I25" i="80"/>
  <c r="K25" i="80"/>
  <c r="K28" i="80"/>
  <c r="J39" i="80"/>
  <c r="J38" i="80"/>
  <c r="H6" i="56"/>
  <c r="H9" i="56"/>
  <c r="C10" i="56"/>
  <c r="J10" i="56"/>
  <c r="H11" i="56"/>
  <c r="I11" i="56"/>
  <c r="K11" i="56"/>
  <c r="I12" i="56"/>
  <c r="K12" i="56"/>
  <c r="K13" i="56"/>
  <c r="I15" i="56"/>
  <c r="K15" i="56"/>
  <c r="I16" i="56"/>
  <c r="K16" i="56"/>
  <c r="I17" i="56"/>
  <c r="K17" i="56"/>
  <c r="I18" i="56"/>
  <c r="K18" i="56"/>
  <c r="I19" i="56"/>
  <c r="K19" i="56"/>
  <c r="I20" i="56"/>
  <c r="I21" i="56"/>
  <c r="K21" i="56"/>
  <c r="I22" i="56"/>
  <c r="K22" i="56"/>
  <c r="I23" i="56"/>
  <c r="K23" i="56"/>
  <c r="I24" i="56"/>
  <c r="K24" i="56"/>
  <c r="I25" i="56"/>
  <c r="K25" i="56"/>
  <c r="K28" i="56"/>
  <c r="J38" i="56"/>
  <c r="J39" i="56"/>
  <c r="J40" i="56"/>
  <c r="K33" i="100"/>
  <c r="K34" i="100"/>
  <c r="I36" i="100"/>
  <c r="K36" i="100"/>
  <c r="I13" i="100"/>
  <c r="C11" i="100"/>
  <c r="K33" i="99"/>
  <c r="I36" i="99"/>
  <c r="K36" i="99"/>
  <c r="K34" i="99"/>
  <c r="I13" i="99"/>
  <c r="C11" i="99"/>
  <c r="K33" i="98"/>
  <c r="I36" i="98"/>
  <c r="K36" i="98"/>
  <c r="K34" i="98"/>
  <c r="I13" i="98"/>
  <c r="C11" i="98"/>
  <c r="C11" i="81"/>
  <c r="I13" i="81"/>
  <c r="K33" i="81"/>
  <c r="I36" i="81"/>
  <c r="K36" i="81"/>
  <c r="K34" i="81"/>
  <c r="C11" i="80"/>
  <c r="I13" i="80"/>
  <c r="K33" i="80"/>
  <c r="K34" i="80"/>
  <c r="I13" i="56"/>
  <c r="K33" i="56"/>
  <c r="K34" i="56"/>
  <c r="I36" i="56"/>
  <c r="K36" i="56"/>
  <c r="C11" i="56"/>
  <c r="C19" i="56"/>
  <c r="I36" i="80"/>
  <c r="K36" i="80"/>
  <c r="I35" i="91"/>
  <c r="K35" i="91"/>
  <c r="F6" i="84"/>
  <c r="I6" i="84" s="1"/>
  <c r="K6" i="84" s="1"/>
  <c r="K27" i="81"/>
  <c r="K27" i="99"/>
  <c r="K27" i="101"/>
  <c r="K27" i="83"/>
  <c r="J27" i="84"/>
  <c r="J27" i="94"/>
  <c r="J27" i="91"/>
  <c r="J27" i="80"/>
  <c r="F9" i="84"/>
  <c r="I9" i="84"/>
  <c r="K9" i="84"/>
  <c r="J27" i="95"/>
  <c r="J27" i="89"/>
  <c r="F6" i="96"/>
  <c r="I6" i="96" s="1"/>
  <c r="K6" i="96" s="1"/>
  <c r="J9" i="101"/>
  <c r="F9" i="56"/>
  <c r="I9" i="56"/>
  <c r="K9" i="56"/>
  <c r="I35" i="84"/>
  <c r="K35" i="84"/>
  <c r="J6" i="93"/>
  <c r="J6" i="90"/>
  <c r="F9" i="93"/>
  <c r="I9" i="93"/>
  <c r="K9" i="93"/>
  <c r="F9" i="83"/>
  <c r="F9" i="82"/>
  <c r="I9" i="82"/>
  <c r="K9" i="82"/>
  <c r="J6" i="89"/>
  <c r="I6" i="97"/>
  <c r="K6" i="97" s="1"/>
  <c r="F6" i="83"/>
  <c r="I6" i="83" s="1"/>
  <c r="K6" i="83" s="1"/>
  <c r="J7" i="90"/>
  <c r="F9" i="91"/>
  <c r="I9" i="91"/>
  <c r="K9" i="91"/>
  <c r="F9" i="90"/>
  <c r="I9" i="90"/>
  <c r="K9" i="90"/>
  <c r="F6" i="56"/>
  <c r="I6" i="56" s="1"/>
  <c r="K6" i="56" s="1"/>
  <c r="K9" i="95"/>
  <c r="F7" i="81"/>
  <c r="I7" i="81" s="1"/>
  <c r="K7" i="81" s="1"/>
  <c r="F7" i="93"/>
  <c r="I7" i="93"/>
  <c r="J7" i="89"/>
  <c r="F7" i="84"/>
  <c r="I7" i="84" s="1"/>
  <c r="K7" i="84" s="1"/>
  <c r="I9" i="97"/>
  <c r="K9" i="97"/>
  <c r="J7" i="91"/>
  <c r="J7" i="94"/>
  <c r="F7" i="83"/>
  <c r="I7" i="83"/>
  <c r="K7" i="83" s="1"/>
  <c r="F7" i="95"/>
  <c r="I7" i="95" s="1"/>
  <c r="F7" i="102"/>
  <c r="I7" i="102" s="1"/>
  <c r="K7" i="102" s="1"/>
  <c r="F7" i="92"/>
  <c r="I7" i="92"/>
  <c r="K7" i="92" s="1"/>
  <c r="J7" i="82"/>
  <c r="F7" i="98"/>
  <c r="I7" i="98" s="1"/>
  <c r="K7" i="98" s="1"/>
  <c r="J7" i="96"/>
  <c r="I6" i="89"/>
  <c r="K6" i="89"/>
  <c r="K10" i="98"/>
  <c r="K10" i="80"/>
  <c r="I9" i="81"/>
  <c r="K9" i="81"/>
  <c r="I9" i="83"/>
  <c r="K9" i="83"/>
  <c r="K9" i="94"/>
  <c r="F9" i="96"/>
  <c r="I9" i="96"/>
  <c r="K9" i="96"/>
  <c r="J9" i="94"/>
  <c r="K7" i="93"/>
  <c r="J27" i="92"/>
  <c r="K27" i="92"/>
  <c r="I36" i="102"/>
  <c r="K36" i="102"/>
  <c r="F7" i="80"/>
  <c r="I7" i="80" s="1"/>
  <c r="K7" i="80" s="1"/>
  <c r="J10" i="94"/>
  <c r="I10" i="94"/>
  <c r="K10" i="94"/>
  <c r="J9" i="89"/>
  <c r="K9" i="89"/>
  <c r="J6" i="94"/>
  <c r="K6" i="94" s="1"/>
  <c r="J9" i="102"/>
  <c r="J6" i="95"/>
  <c r="F6" i="95"/>
  <c r="I6" i="95" s="1"/>
  <c r="K6" i="95" s="1"/>
  <c r="K27" i="93"/>
  <c r="J6" i="91"/>
  <c r="K9" i="102"/>
  <c r="K8" i="56"/>
  <c r="F9" i="92"/>
  <c r="I9" i="92"/>
  <c r="K9" i="92"/>
  <c r="J10" i="93"/>
  <c r="I10" i="93"/>
  <c r="J6" i="81"/>
  <c r="K10" i="97"/>
  <c r="I35" i="94"/>
  <c r="K35" i="94"/>
  <c r="K10" i="84"/>
  <c r="J10" i="92"/>
  <c r="K10" i="92"/>
  <c r="J10" i="96"/>
  <c r="K10" i="96"/>
  <c r="J6" i="99"/>
  <c r="J10" i="102"/>
  <c r="K10" i="102"/>
  <c r="J10" i="95"/>
  <c r="K10" i="95"/>
  <c r="I10" i="101"/>
  <c r="K10" i="101"/>
  <c r="I10" i="56"/>
  <c r="K10" i="56"/>
  <c r="J10" i="100"/>
  <c r="K10" i="100"/>
  <c r="J10" i="82"/>
  <c r="K10" i="82"/>
  <c r="J10" i="81"/>
  <c r="K10" i="81"/>
  <c r="J10" i="83"/>
  <c r="K10" i="83"/>
  <c r="K10" i="93"/>
  <c r="K8" i="93" l="1"/>
  <c r="K8" i="94"/>
  <c r="K29" i="83"/>
  <c r="K29" i="84"/>
  <c r="K29" i="82"/>
  <c r="I37" i="82" s="1"/>
  <c r="K37" i="82" s="1"/>
  <c r="K29" i="97"/>
  <c r="I37" i="97" s="1"/>
  <c r="K37" i="97" s="1"/>
  <c r="K29" i="90"/>
  <c r="I37" i="90" s="1"/>
  <c r="K37" i="90" s="1"/>
  <c r="K29" i="89"/>
  <c r="I37" i="89" s="1"/>
  <c r="K37" i="89" s="1"/>
  <c r="K29" i="93"/>
  <c r="I37" i="93" s="1"/>
  <c r="K37" i="93" s="1"/>
  <c r="K29" i="56"/>
  <c r="K30" i="56"/>
  <c r="K29" i="96"/>
  <c r="K29" i="91"/>
  <c r="K39" i="82"/>
  <c r="I32" i="1" s="1"/>
  <c r="F32" i="1"/>
  <c r="K30" i="81"/>
  <c r="K29" i="81"/>
  <c r="K29" i="95"/>
  <c r="C20" i="105"/>
  <c r="D20" i="105" s="1"/>
  <c r="K29" i="92"/>
  <c r="K30" i="92"/>
  <c r="K29" i="94"/>
  <c r="K7" i="95"/>
  <c r="K30" i="95" s="1"/>
  <c r="I38" i="95" s="1"/>
  <c r="K38" i="95" s="1"/>
  <c r="C15" i="105"/>
  <c r="D15" i="105" s="1"/>
  <c r="I37" i="83"/>
  <c r="K37" i="83" s="1"/>
  <c r="C22" i="105"/>
  <c r="D22" i="105" s="1"/>
  <c r="F23" i="1"/>
  <c r="K39" i="90"/>
  <c r="I23" i="1" s="1"/>
  <c r="K30" i="80"/>
  <c r="K29" i="80"/>
  <c r="K29" i="99"/>
  <c r="K30" i="99"/>
  <c r="C21" i="105"/>
  <c r="D21" i="105" s="1"/>
  <c r="I37" i="84"/>
  <c r="K37" i="84" s="1"/>
  <c r="K30" i="98"/>
  <c r="K29" i="98"/>
  <c r="F7" i="101"/>
  <c r="I7" i="101" s="1"/>
  <c r="K7" i="101" s="1"/>
  <c r="K29" i="101" s="1"/>
  <c r="K30" i="94"/>
  <c r="I38" i="94" s="1"/>
  <c r="K38" i="94" s="1"/>
  <c r="K40" i="94" s="1"/>
  <c r="K26" i="1" s="1"/>
  <c r="K31" i="100"/>
  <c r="H18" i="1" s="1"/>
  <c r="F6" i="102"/>
  <c r="I6" i="102" s="1"/>
  <c r="K6" i="102" s="1"/>
  <c r="K30" i="93"/>
  <c r="I38" i="93" s="1"/>
  <c r="K38" i="93" s="1"/>
  <c r="H25" i="1" s="1"/>
  <c r="K30" i="83"/>
  <c r="I38" i="83" s="1"/>
  <c r="K38" i="83" s="1"/>
  <c r="K31" i="101"/>
  <c r="I40" i="101" s="1"/>
  <c r="K40" i="101" s="1"/>
  <c r="K43" i="101" s="1"/>
  <c r="K19" i="1" s="1"/>
  <c r="K30" i="89"/>
  <c r="I38" i="89" s="1"/>
  <c r="K38" i="89" s="1"/>
  <c r="H24" i="1" s="1"/>
  <c r="K31" i="98"/>
  <c r="I40" i="98" s="1"/>
  <c r="K40" i="98" s="1"/>
  <c r="K43" i="98" s="1"/>
  <c r="K16" i="1" s="1"/>
  <c r="K31" i="99"/>
  <c r="H17" i="1" s="1"/>
  <c r="K31" i="92"/>
  <c r="I40" i="92" s="1"/>
  <c r="K40" i="92" s="1"/>
  <c r="K43" i="92" s="1"/>
  <c r="K21" i="1" s="1"/>
  <c r="K31" i="81"/>
  <c r="K30" i="84"/>
  <c r="I38" i="84" s="1"/>
  <c r="K38" i="84" s="1"/>
  <c r="K30" i="91"/>
  <c r="I38" i="91" s="1"/>
  <c r="K38" i="91" s="1"/>
  <c r="H22" i="1" s="1"/>
  <c r="K31" i="80"/>
  <c r="I40" i="80" s="1"/>
  <c r="K40" i="80" s="1"/>
  <c r="K43" i="80" s="1"/>
  <c r="K14" i="1" s="1"/>
  <c r="F6" i="100"/>
  <c r="I6" i="100" s="1"/>
  <c r="K6" i="100" s="1"/>
  <c r="K27" i="96"/>
  <c r="K30" i="96" s="1"/>
  <c r="I38" i="96" s="1"/>
  <c r="K38" i="96" s="1"/>
  <c r="H28" i="1" s="1"/>
  <c r="K27" i="56"/>
  <c r="K31" i="56" s="1"/>
  <c r="H13" i="1" s="1"/>
  <c r="J27" i="100"/>
  <c r="K27" i="82"/>
  <c r="K30" i="82" s="1"/>
  <c r="I38" i="82" s="1"/>
  <c r="K38" i="82" s="1"/>
  <c r="H32" i="1" s="1"/>
  <c r="K27" i="97"/>
  <c r="K30" i="97" s="1"/>
  <c r="I38" i="97" s="1"/>
  <c r="K38" i="97" s="1"/>
  <c r="H29" i="1" s="1"/>
  <c r="K27" i="90"/>
  <c r="K30" i="90" s="1"/>
  <c r="I38" i="90" s="1"/>
  <c r="K38" i="90" s="1"/>
  <c r="H23" i="1" s="1"/>
  <c r="H21" i="1"/>
  <c r="I40" i="81"/>
  <c r="K40" i="81" s="1"/>
  <c r="K43" i="81" s="1"/>
  <c r="K15" i="1" s="1"/>
  <c r="H15" i="1"/>
  <c r="H31" i="1"/>
  <c r="K40" i="83"/>
  <c r="K31" i="1" s="1"/>
  <c r="K40" i="93"/>
  <c r="K25" i="1" s="1"/>
  <c r="K40" i="89"/>
  <c r="K24" i="1" s="1"/>
  <c r="H30" i="1"/>
  <c r="K40" i="84"/>
  <c r="K30" i="1" s="1"/>
  <c r="J27" i="98"/>
  <c r="K27" i="102"/>
  <c r="K31" i="102" s="1"/>
  <c r="H26" i="1" l="1"/>
  <c r="C16" i="105"/>
  <c r="D16" i="105" s="1"/>
  <c r="H16" i="1"/>
  <c r="I40" i="99"/>
  <c r="K40" i="99" s="1"/>
  <c r="K43" i="99" s="1"/>
  <c r="K17" i="1" s="1"/>
  <c r="F19" i="1"/>
  <c r="C10" i="105"/>
  <c r="D10" i="105" s="1"/>
  <c r="I38" i="101"/>
  <c r="K38" i="101" s="1"/>
  <c r="K41" i="101" s="1"/>
  <c r="I19" i="1" s="1"/>
  <c r="K40" i="95"/>
  <c r="K27" i="1" s="1"/>
  <c r="H27" i="1"/>
  <c r="G16" i="1"/>
  <c r="I39" i="98"/>
  <c r="K39" i="98" s="1"/>
  <c r="K42" i="98" s="1"/>
  <c r="J16" i="1" s="1"/>
  <c r="F17" i="1"/>
  <c r="C8" i="105"/>
  <c r="D8" i="105" s="1"/>
  <c r="I38" i="99"/>
  <c r="K38" i="99" s="1"/>
  <c r="K41" i="99" s="1"/>
  <c r="I17" i="1" s="1"/>
  <c r="C6" i="105"/>
  <c r="D6" i="105" s="1"/>
  <c r="F15" i="1"/>
  <c r="I38" i="81"/>
  <c r="K38" i="81" s="1"/>
  <c r="K41" i="81" s="1"/>
  <c r="I15" i="1" s="1"/>
  <c r="C5" i="105"/>
  <c r="D5" i="105" s="1"/>
  <c r="I38" i="80"/>
  <c r="K38" i="80" s="1"/>
  <c r="K41" i="80" s="1"/>
  <c r="I14" i="1" s="1"/>
  <c r="F14" i="1"/>
  <c r="I39" i="81"/>
  <c r="K39" i="81" s="1"/>
  <c r="K42" i="81" s="1"/>
  <c r="J15" i="1" s="1"/>
  <c r="G15" i="1"/>
  <c r="K29" i="102"/>
  <c r="K30" i="102"/>
  <c r="F25" i="1"/>
  <c r="K39" i="93"/>
  <c r="I25" i="1" s="1"/>
  <c r="I39" i="80"/>
  <c r="K39" i="80" s="1"/>
  <c r="K42" i="80" s="1"/>
  <c r="J14" i="1" s="1"/>
  <c r="G14" i="1"/>
  <c r="C17" i="105"/>
  <c r="D17" i="105" s="1"/>
  <c r="I37" i="94"/>
  <c r="K37" i="94" s="1"/>
  <c r="K39" i="84"/>
  <c r="I30" i="1" s="1"/>
  <c r="F30" i="1"/>
  <c r="G21" i="1"/>
  <c r="I39" i="92"/>
  <c r="K39" i="92" s="1"/>
  <c r="K42" i="92" s="1"/>
  <c r="J21" i="1" s="1"/>
  <c r="F21" i="1"/>
  <c r="I38" i="92"/>
  <c r="K38" i="92" s="1"/>
  <c r="K41" i="92" s="1"/>
  <c r="I21" i="1" s="1"/>
  <c r="C12" i="105"/>
  <c r="D12" i="105" s="1"/>
  <c r="I37" i="91"/>
  <c r="K37" i="91" s="1"/>
  <c r="C13" i="105"/>
  <c r="D13" i="105" s="1"/>
  <c r="H14" i="1"/>
  <c r="K40" i="91"/>
  <c r="K22" i="1" s="1"/>
  <c r="I40" i="100"/>
  <c r="K40" i="100" s="1"/>
  <c r="K43" i="100" s="1"/>
  <c r="K18" i="1" s="1"/>
  <c r="K30" i="101"/>
  <c r="I37" i="96"/>
  <c r="K37" i="96" s="1"/>
  <c r="C19" i="105"/>
  <c r="D19" i="105" s="1"/>
  <c r="H19" i="1"/>
  <c r="K29" i="100"/>
  <c r="K30" i="100"/>
  <c r="F31" i="1"/>
  <c r="K39" i="83"/>
  <c r="I31" i="1" s="1"/>
  <c r="F29" i="1"/>
  <c r="K39" i="97"/>
  <c r="I29" i="1" s="1"/>
  <c r="G13" i="1"/>
  <c r="I39" i="56"/>
  <c r="K39" i="56" s="1"/>
  <c r="K42" i="56" s="1"/>
  <c r="J13" i="1" s="1"/>
  <c r="F16" i="1"/>
  <c r="C7" i="105"/>
  <c r="D7" i="105" s="1"/>
  <c r="I38" i="98"/>
  <c r="K38" i="98" s="1"/>
  <c r="K41" i="98" s="1"/>
  <c r="I16" i="1" s="1"/>
  <c r="G17" i="1"/>
  <c r="I39" i="99"/>
  <c r="K39" i="99" s="1"/>
  <c r="K42" i="99" s="1"/>
  <c r="J17" i="1" s="1"/>
  <c r="K39" i="89"/>
  <c r="I24" i="1" s="1"/>
  <c r="F24" i="1"/>
  <c r="C18" i="105"/>
  <c r="D18" i="105" s="1"/>
  <c r="I37" i="95"/>
  <c r="K37" i="95" s="1"/>
  <c r="F13" i="1"/>
  <c r="C4" i="105"/>
  <c r="D4" i="105" s="1"/>
  <c r="I38" i="56"/>
  <c r="K38" i="56" s="1"/>
  <c r="K41" i="56" s="1"/>
  <c r="I13" i="1" s="1"/>
  <c r="K40" i="96"/>
  <c r="K28" i="1" s="1"/>
  <c r="I40" i="56"/>
  <c r="K40" i="56" s="1"/>
  <c r="K43" i="56" s="1"/>
  <c r="K13" i="1" s="1"/>
  <c r="K40" i="82"/>
  <c r="K32" i="1" s="1"/>
  <c r="K40" i="90"/>
  <c r="K23" i="1" s="1"/>
  <c r="K40" i="97"/>
  <c r="K29" i="1" s="1"/>
  <c r="I40" i="102"/>
  <c r="K40" i="102" s="1"/>
  <c r="K43" i="102" s="1"/>
  <c r="K20" i="1" s="1"/>
  <c r="H20" i="1"/>
  <c r="F28" i="1" l="1"/>
  <c r="K39" i="96"/>
  <c r="I28" i="1" s="1"/>
  <c r="G19" i="1"/>
  <c r="I39" i="101"/>
  <c r="K39" i="101" s="1"/>
  <c r="K42" i="101" s="1"/>
  <c r="J19" i="1" s="1"/>
  <c r="G18" i="1"/>
  <c r="I39" i="100"/>
  <c r="K39" i="100" s="1"/>
  <c r="K42" i="100" s="1"/>
  <c r="J18" i="1" s="1"/>
  <c r="G20" i="1"/>
  <c r="I39" i="102"/>
  <c r="K39" i="102" s="1"/>
  <c r="K42" i="102" s="1"/>
  <c r="J20" i="1" s="1"/>
  <c r="K39" i="95"/>
  <c r="I27" i="1" s="1"/>
  <c r="F27" i="1"/>
  <c r="F18" i="1"/>
  <c r="C9" i="105"/>
  <c r="D9" i="105" s="1"/>
  <c r="I38" i="100"/>
  <c r="K38" i="100" s="1"/>
  <c r="K41" i="100" s="1"/>
  <c r="I18" i="1" s="1"/>
  <c r="F20" i="1"/>
  <c r="C11" i="105"/>
  <c r="D11" i="105" s="1"/>
  <c r="I38" i="102"/>
  <c r="K38" i="102" s="1"/>
  <c r="K41" i="102" s="1"/>
  <c r="I20" i="1" s="1"/>
  <c r="F22" i="1"/>
  <c r="K39" i="91"/>
  <c r="I22" i="1" s="1"/>
  <c r="F26" i="1"/>
  <c r="K39" i="94"/>
  <c r="I26" i="1" s="1"/>
</calcChain>
</file>

<file path=xl/comments1.xml><?xml version="1.0" encoding="utf-8"?>
<comments xmlns="http://schemas.openxmlformats.org/spreadsheetml/2006/main">
  <authors>
    <author>안지민-PC</author>
    <author>이승민</author>
  </authors>
  <commentList>
    <comment ref="J6" authorId="0">
      <text>
        <r>
          <rPr>
            <b/>
            <sz val="9"/>
            <color indexed="81"/>
            <rFont val="Tahoma"/>
            <family val="2"/>
          </rPr>
          <t>25000 -&gt;30000</t>
        </r>
      </text>
    </comment>
    <comment ref="J7" authorId="0">
      <text>
        <r>
          <rPr>
            <b/>
            <sz val="9"/>
            <color indexed="81"/>
            <rFont val="Tahoma"/>
            <family val="2"/>
          </rPr>
          <t>28000 -&gt;30000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" authorId="0">
      <text>
        <r>
          <rPr>
            <b/>
            <sz val="9"/>
            <color indexed="81"/>
            <rFont val="Tahoma"/>
            <family val="2"/>
          </rPr>
          <t>35000 -&gt; 40000</t>
        </r>
      </text>
    </comment>
    <comment ref="J10" authorId="0">
      <text>
        <r>
          <rPr>
            <sz val="9"/>
            <color indexed="81"/>
            <rFont val="Tahoma"/>
            <family val="2"/>
          </rPr>
          <t>RTFE + METAL</t>
        </r>
        <r>
          <rPr>
            <sz val="9"/>
            <color indexed="81"/>
            <rFont val="돋움"/>
            <family val="3"/>
            <charset val="129"/>
          </rPr>
          <t>가공비</t>
        </r>
        <r>
          <rPr>
            <sz val="9"/>
            <color indexed="81"/>
            <rFont val="Tahoma"/>
            <family val="2"/>
          </rPr>
          <t>;
-&gt;8000</t>
        </r>
      </text>
    </comment>
    <comment ref="L10" authorId="0">
      <text>
        <r>
          <rPr>
            <sz val="9"/>
            <color indexed="81"/>
            <rFont val="Tahoma"/>
            <family val="2"/>
          </rPr>
          <t>2560-&gt;4400</t>
        </r>
      </text>
    </comment>
    <comment ref="M10" authorId="0">
      <text>
        <r>
          <rPr>
            <b/>
            <sz val="9"/>
            <color indexed="81"/>
            <rFont val="돋움"/>
            <family val="3"/>
            <charset val="129"/>
          </rPr>
          <t>2560-&gt;2700</t>
        </r>
      </text>
    </comment>
    <comment ref="N10" authorId="0">
      <text>
        <r>
          <rPr>
            <b/>
            <sz val="9"/>
            <color indexed="81"/>
            <rFont val="돋움"/>
            <family val="3"/>
            <charset val="129"/>
          </rPr>
          <t>5000-&gt;1500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6250 -&gt; 4500
</t>
        </r>
      </text>
    </comment>
    <comment ref="J12" authorId="0">
      <text>
        <r>
          <rPr>
            <b/>
            <sz val="9"/>
            <color indexed="81"/>
            <rFont val="돋움"/>
            <family val="3"/>
            <charset val="129"/>
          </rPr>
          <t>안지민</t>
        </r>
        <r>
          <rPr>
            <b/>
            <sz val="9"/>
            <color indexed="81"/>
            <rFont val="Tahoma"/>
            <family val="2"/>
          </rPr>
          <t>-PC: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0">
      <text>
        <r>
          <rPr>
            <b/>
            <sz val="9"/>
            <color indexed="81"/>
            <rFont val="Tahoma"/>
            <family val="2"/>
          </rPr>
          <t>3500 -&gt;2050</t>
        </r>
      </text>
    </comment>
    <comment ref="K16" authorId="0">
      <text/>
    </comment>
    <comment ref="K20" authorId="0">
      <text/>
    </comment>
    <comment ref="L27" authorId="1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PIYAKE
</t>
        </r>
      </text>
    </comment>
    <comment ref="M27" authorId="1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10BAR
</t>
        </r>
      </text>
    </comment>
    <comment ref="N27" authorId="1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10BAR
</t>
        </r>
      </text>
    </comment>
  </commentList>
</comments>
</file>

<file path=xl/comments2.xml><?xml version="1.0" encoding="utf-8"?>
<comments xmlns="http://schemas.openxmlformats.org/spreadsheetml/2006/main">
  <authors>
    <author>안지민-PC</author>
  </authors>
  <commentList>
    <comment ref="J6" authorId="0">
      <text>
        <r>
          <rPr>
            <b/>
            <sz val="9"/>
            <color indexed="81"/>
            <rFont val="돋움"/>
            <family val="3"/>
            <charset val="129"/>
          </rPr>
          <t>25000-&gt;35000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" authorId="0">
      <text>
        <r>
          <rPr>
            <b/>
            <sz val="9"/>
            <color indexed="81"/>
            <rFont val="Tahoma"/>
            <family val="2"/>
          </rPr>
          <t>28000-&gt;40000</t>
        </r>
      </text>
    </comment>
    <comment ref="J8" authorId="0">
      <text>
        <r>
          <rPr>
            <b/>
            <sz val="9"/>
            <color indexed="81"/>
            <rFont val="Tahoma"/>
            <family val="2"/>
          </rPr>
          <t>35000-&gt;45000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>7000-&gt;8000</t>
        </r>
      </text>
    </comment>
    <comment ref="L10" authorId="0">
      <text>
        <r>
          <rPr>
            <sz val="9"/>
            <color indexed="81"/>
            <rFont val="Tahoma"/>
            <family val="2"/>
          </rPr>
          <t xml:space="preserve">3870-&gt;5600
</t>
        </r>
      </text>
    </comment>
    <comment ref="M10" authorId="0">
      <text>
        <r>
          <rPr>
            <b/>
            <sz val="9"/>
            <color indexed="81"/>
            <rFont val="Tahoma"/>
            <family val="2"/>
          </rPr>
          <t>3870-&gt;3200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5000-&gt;2000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 xml:space="preserve">7500-&gt;5570
</t>
        </r>
      </text>
    </comment>
    <comment ref="K15" authorId="0">
      <text>
        <r>
          <rPr>
            <b/>
            <sz val="9"/>
            <color indexed="81"/>
            <rFont val="Tahoma"/>
            <family val="2"/>
          </rPr>
          <t>3900-&gt;2100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1256-&gt;1150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735 -&gt;2900</t>
        </r>
      </text>
    </comment>
  </commentList>
</comments>
</file>

<file path=xl/comments3.xml><?xml version="1.0" encoding="utf-8"?>
<comments xmlns="http://schemas.openxmlformats.org/spreadsheetml/2006/main">
  <authors>
    <author>안지민-PC</author>
  </authors>
  <commentList>
    <comment ref="J6" authorId="0">
      <text>
        <r>
          <rPr>
            <b/>
            <sz val="9"/>
            <color indexed="81"/>
            <rFont val="돋움"/>
            <family val="3"/>
            <charset val="129"/>
          </rPr>
          <t>25000-&gt;40000</t>
        </r>
      </text>
    </comment>
    <comment ref="J7" authorId="0">
      <text>
        <r>
          <rPr>
            <b/>
            <sz val="9"/>
            <color indexed="81"/>
            <rFont val="Tahoma"/>
            <family val="2"/>
          </rPr>
          <t>29000-&gt;45000</t>
        </r>
      </text>
    </comment>
    <comment ref="J8" authorId="0">
      <text>
        <r>
          <rPr>
            <b/>
            <sz val="9"/>
            <color indexed="81"/>
            <rFont val="돋움"/>
            <family val="3"/>
            <charset val="129"/>
          </rPr>
          <t>35000-&gt;50000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5250-&gt;8000</t>
        </r>
      </text>
    </comment>
    <comment ref="L10" authorId="0">
      <text>
        <r>
          <rPr>
            <sz val="9"/>
            <color indexed="81"/>
            <rFont val="Tahoma"/>
            <family val="2"/>
          </rPr>
          <t xml:space="preserve">5970-&gt;7300
</t>
        </r>
      </text>
    </comment>
    <comment ref="M10" authorId="0">
      <text>
        <r>
          <rPr>
            <b/>
            <sz val="9"/>
            <color indexed="81"/>
            <rFont val="Tahoma"/>
            <family val="2"/>
          </rPr>
          <t>5870-&gt;3600</t>
        </r>
      </text>
    </comment>
    <comment ref="N10" authorId="0">
      <text>
        <r>
          <rPr>
            <b/>
            <sz val="9"/>
            <color indexed="81"/>
            <rFont val="돋움"/>
            <family val="3"/>
            <charset val="129"/>
          </rPr>
          <t>2500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8000-&gt;3500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12500-&gt;7440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735-&gt;2900</t>
        </r>
      </text>
    </comment>
  </commentList>
</comments>
</file>

<file path=xl/comments4.xml><?xml version="1.0" encoding="utf-8"?>
<comments xmlns="http://schemas.openxmlformats.org/spreadsheetml/2006/main">
  <authors>
    <author>안지민-PC</author>
  </authors>
  <commentList>
    <comment ref="J6" authorId="0">
      <text>
        <r>
          <rPr>
            <b/>
            <sz val="9"/>
            <color indexed="81"/>
            <rFont val="돋움"/>
            <family val="3"/>
            <charset val="129"/>
          </rPr>
          <t>30000-&gt;45000</t>
        </r>
      </text>
    </comment>
    <comment ref="J7" authorId="0">
      <text>
        <r>
          <rPr>
            <b/>
            <sz val="9"/>
            <color indexed="81"/>
            <rFont val="Tahoma"/>
            <family val="2"/>
          </rPr>
          <t>36000-&gt;50000</t>
        </r>
      </text>
    </comment>
    <comment ref="J8" authorId="0">
      <text>
        <r>
          <rPr>
            <b/>
            <sz val="9"/>
            <color indexed="81"/>
            <rFont val="Tahoma"/>
            <family val="2"/>
          </rPr>
          <t>45000-&gt;55000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6180-&gt;8000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7620-&gt;8500</t>
        </r>
      </text>
    </comment>
    <comment ref="M10" authorId="0">
      <text>
        <r>
          <rPr>
            <b/>
            <sz val="9"/>
            <color indexed="81"/>
            <rFont val="Tahoma"/>
            <family val="2"/>
          </rPr>
          <t>7620-&gt;5800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5000-&gt;3000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8000-&gt;4000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15940-&gt;10900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911-&gt;3350</t>
        </r>
      </text>
    </comment>
  </commentList>
</comments>
</file>

<file path=xl/comments5.xml><?xml version="1.0" encoding="utf-8"?>
<comments xmlns="http://schemas.openxmlformats.org/spreadsheetml/2006/main">
  <authors>
    <author>안지민-PC</author>
  </authors>
  <commentList>
    <comment ref="J6" authorId="0">
      <text>
        <r>
          <rPr>
            <b/>
            <sz val="9"/>
            <color indexed="81"/>
            <rFont val="돋움"/>
            <family val="3"/>
            <charset val="129"/>
          </rPr>
          <t>40000-&gt;50000</t>
        </r>
      </text>
    </comment>
    <comment ref="J7" authorId="0">
      <text>
        <r>
          <rPr>
            <b/>
            <sz val="9"/>
            <color indexed="81"/>
            <rFont val="Tahoma"/>
            <family val="2"/>
          </rPr>
          <t>48000-&gt;53000</t>
        </r>
      </text>
    </comment>
    <comment ref="J8" authorId="0">
      <text>
        <r>
          <rPr>
            <b/>
            <sz val="9"/>
            <color indexed="81"/>
            <rFont val="Tahoma"/>
            <family val="2"/>
          </rPr>
          <t>60000-&gt;58000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8610-&gt;8000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10310-&gt;8900</t>
        </r>
      </text>
    </comment>
    <comment ref="M10" authorId="0">
      <text>
        <r>
          <rPr>
            <b/>
            <sz val="9"/>
            <color indexed="81"/>
            <rFont val="Tahoma"/>
            <family val="2"/>
          </rPr>
          <t>10000-&gt;8300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5000-&gt;3500</t>
        </r>
      </text>
    </comment>
    <comment ref="J11" authorId="0">
      <text>
        <r>
          <rPr>
            <sz val="9"/>
            <color indexed="81"/>
            <rFont val="Tahoma"/>
            <family val="2"/>
          </rPr>
          <t xml:space="preserve">9000-&gt;4000
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21875-&gt;14050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911-&gt;3350</t>
        </r>
      </text>
    </comment>
  </commentList>
</comments>
</file>

<file path=xl/comments6.xml><?xml version="1.0" encoding="utf-8"?>
<comments xmlns="http://schemas.openxmlformats.org/spreadsheetml/2006/main">
  <authors>
    <author>안지민-PC</author>
  </authors>
  <commentList>
    <comment ref="J6" authorId="0">
      <text>
        <r>
          <rPr>
            <b/>
            <sz val="9"/>
            <color indexed="81"/>
            <rFont val="Tahoma"/>
            <family val="2"/>
          </rPr>
          <t>41000-&gt;55000</t>
        </r>
      </text>
    </comment>
    <comment ref="J7" authorId="0">
      <text>
        <r>
          <rPr>
            <b/>
            <sz val="9"/>
            <color indexed="81"/>
            <rFont val="Tahoma"/>
            <family val="2"/>
          </rPr>
          <t>49000-&gt;63000</t>
        </r>
      </text>
    </comment>
    <comment ref="J8" authorId="0">
      <text>
        <r>
          <rPr>
            <b/>
            <sz val="9"/>
            <color indexed="81"/>
            <rFont val="Tahoma"/>
            <family val="2"/>
          </rPr>
          <t>63000-&gt;68000</t>
        </r>
      </text>
    </comment>
    <comment ref="J10" authorId="0">
      <text>
        <r>
          <rPr>
            <sz val="9"/>
            <color indexed="81"/>
            <rFont val="Tahoma"/>
            <family val="2"/>
          </rPr>
          <t xml:space="preserve">RTFE+METAL </t>
        </r>
        <r>
          <rPr>
            <sz val="9"/>
            <color indexed="81"/>
            <rFont val="돋움"/>
            <family val="3"/>
            <charset val="129"/>
          </rPr>
          <t>가공비</t>
        </r>
        <r>
          <rPr>
            <sz val="9"/>
            <color indexed="81"/>
            <rFont val="Tahoma"/>
            <family val="2"/>
          </rPr>
          <t xml:space="preserve"> ;
12960-&gt;10000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18560-&gt;15700</t>
        </r>
      </text>
    </comment>
    <comment ref="M10" authorId="0">
      <text>
        <r>
          <rPr>
            <b/>
            <sz val="9"/>
            <color indexed="81"/>
            <rFont val="Tahoma"/>
            <family val="2"/>
          </rPr>
          <t>15370-&gt;11900</t>
        </r>
      </text>
    </comment>
    <comment ref="N10" authorId="0">
      <text>
        <r>
          <rPr>
            <b/>
            <sz val="9"/>
            <color indexed="81"/>
            <rFont val="돋움"/>
            <family val="3"/>
            <charset val="129"/>
          </rPr>
          <t>10200-&gt;5200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9000-&gt;4000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29500-&gt;19200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911-&gt;3350</t>
        </r>
      </text>
    </comment>
  </commentList>
</comments>
</file>

<file path=xl/comments7.xml><?xml version="1.0" encoding="utf-8"?>
<comments xmlns="http://schemas.openxmlformats.org/spreadsheetml/2006/main">
  <authors>
    <author>안지민-PC</author>
  </authors>
  <commentList>
    <comment ref="J6" authorId="0">
      <text>
        <r>
          <rPr>
            <b/>
            <sz val="9"/>
            <color indexed="81"/>
            <rFont val="돋움"/>
            <family val="3"/>
            <charset val="129"/>
          </rPr>
          <t>45000-&gt;70000</t>
        </r>
      </text>
    </comment>
    <comment ref="J7" authorId="0">
      <text>
        <r>
          <rPr>
            <b/>
            <sz val="9"/>
            <color indexed="81"/>
            <rFont val="Tahoma"/>
            <family val="2"/>
          </rPr>
          <t>55000-&gt;85000</t>
        </r>
      </text>
    </comment>
    <comment ref="J8" authorId="0">
      <text>
        <r>
          <rPr>
            <b/>
            <sz val="9"/>
            <color indexed="81"/>
            <rFont val="Tahoma"/>
            <family val="2"/>
          </rPr>
          <t>70000-&gt;90000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16000-&gt;10000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20870-&gt;20100</t>
        </r>
      </text>
    </comment>
    <comment ref="M10" authorId="0">
      <text>
        <r>
          <rPr>
            <b/>
            <sz val="9"/>
            <color indexed="81"/>
            <rFont val="Tahoma"/>
            <family val="2"/>
          </rPr>
          <t>20620-&gt;18800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11300-&gt;6300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12000-&gt;6000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71875-&gt;33500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1250-&gt;5200</t>
        </r>
      </text>
    </comment>
  </commentList>
</comments>
</file>

<file path=xl/comments8.xml><?xml version="1.0" encoding="utf-8"?>
<comments xmlns="http://schemas.openxmlformats.org/spreadsheetml/2006/main">
  <authors>
    <author>안지민-PC</author>
  </authors>
  <commentList>
    <comment ref="J6" authorId="0">
      <text>
        <r>
          <rPr>
            <b/>
            <sz val="9"/>
            <color indexed="81"/>
            <rFont val="돋움"/>
            <family val="3"/>
            <charset val="129"/>
          </rPr>
          <t>50000-&gt;90000</t>
        </r>
      </text>
    </comment>
    <comment ref="J7" authorId="0">
      <text>
        <r>
          <rPr>
            <b/>
            <sz val="9"/>
            <color indexed="81"/>
            <rFont val="Tahoma"/>
            <family val="2"/>
          </rPr>
          <t>65000-&gt;11000</t>
        </r>
      </text>
    </comment>
    <comment ref="J8" authorId="0">
      <text>
        <r>
          <rPr>
            <b/>
            <sz val="9"/>
            <color indexed="81"/>
            <rFont val="Tahoma"/>
            <family val="2"/>
          </rPr>
          <t>80000-&gt;130000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24310-&gt;10000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31250-&gt;30800</t>
        </r>
      </text>
    </comment>
    <comment ref="M10" authorId="0">
      <text>
        <r>
          <rPr>
            <b/>
            <sz val="9"/>
            <color indexed="81"/>
            <rFont val="Tahoma"/>
            <family val="2"/>
          </rPr>
          <t>29930-&gt;30800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12100-&gt;7100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15000-&gt;6000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101875-&gt;41500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3270-&gt;6670</t>
        </r>
      </text>
    </comment>
  </commentList>
</comments>
</file>

<file path=xl/comments9.xml><?xml version="1.0" encoding="utf-8"?>
<comments xmlns="http://schemas.openxmlformats.org/spreadsheetml/2006/main">
  <authors>
    <author>안지민-PC</author>
  </authors>
  <commentList>
    <comment ref="J6" authorId="0">
      <text>
        <r>
          <rPr>
            <b/>
            <sz val="9"/>
            <color indexed="81"/>
            <rFont val="돋움"/>
            <family val="3"/>
            <charset val="129"/>
          </rPr>
          <t>60000-&gt;110000</t>
        </r>
      </text>
    </comment>
    <comment ref="J7" authorId="0">
      <text>
        <r>
          <rPr>
            <b/>
            <sz val="9"/>
            <color indexed="81"/>
            <rFont val="Tahoma"/>
            <family val="2"/>
          </rPr>
          <t>75000-&gt;130000</t>
        </r>
      </text>
    </comment>
    <comment ref="J8" authorId="0">
      <text>
        <r>
          <rPr>
            <b/>
            <sz val="9"/>
            <color indexed="81"/>
            <rFont val="돋움"/>
            <family val="3"/>
            <charset val="129"/>
          </rPr>
          <t>90000-&gt;160000</t>
        </r>
      </text>
    </comment>
    <comment ref="J10" authorId="0">
      <text>
        <r>
          <rPr>
            <b/>
            <sz val="9"/>
            <color indexed="81"/>
            <rFont val="돋움"/>
            <family val="3"/>
            <charset val="129"/>
          </rPr>
          <t>RTFE+METAL 가공비 ;
31960-&gt;10000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41000-&gt;48100</t>
        </r>
      </text>
    </comment>
    <comment ref="M10" authorId="0">
      <text>
        <r>
          <rPr>
            <b/>
            <sz val="9"/>
            <color indexed="81"/>
            <rFont val="Tahoma"/>
            <family val="2"/>
          </rPr>
          <t>39930-&gt;35200</t>
        </r>
      </text>
    </comment>
    <comment ref="N10" authorId="0">
      <text>
        <r>
          <rPr>
            <b/>
            <sz val="9"/>
            <color indexed="81"/>
            <rFont val="돋움"/>
            <family val="3"/>
            <charset val="129"/>
          </rPr>
          <t>17500-&gt;12500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17000-&gt;6000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137500-&gt;61200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3795-&gt;7100</t>
        </r>
      </text>
    </comment>
  </commentList>
</comments>
</file>

<file path=xl/comments10.xml><?xml version="1.0" encoding="utf-8"?>
<comments xmlns="http://schemas.openxmlformats.org/spreadsheetml/2006/main">
  <authors>
    <author>안지민-PC</author>
  </authors>
  <commentList>
    <comment ref="I10" authorId="0">
      <text>
        <r>
          <rPr>
            <b/>
            <sz val="9"/>
            <color indexed="81"/>
            <rFont val="Tahoma"/>
            <family val="2"/>
          </rPr>
          <t xml:space="preserve">RTFE </t>
        </r>
        <r>
          <rPr>
            <b/>
            <sz val="9"/>
            <color indexed="81"/>
            <rFont val="돋움"/>
            <family val="3"/>
            <charset val="129"/>
          </rPr>
          <t>소재</t>
        </r>
        <r>
          <rPr>
            <b/>
            <sz val="9"/>
            <color indexed="81"/>
            <rFont val="Tahoma"/>
            <family val="2"/>
          </rPr>
          <t xml:space="preserve"> ;
79300-&gt;60000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44000-&gt;10000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26000-&gt;16000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25000-&gt;40000</t>
        </r>
      </text>
    </comment>
  </commentList>
</comments>
</file>

<file path=xl/comments11.xml><?xml version="1.0" encoding="utf-8"?>
<comments xmlns="http://schemas.openxmlformats.org/spreadsheetml/2006/main">
  <authors>
    <author>안지민-PC</author>
  </authors>
  <commentList>
    <comment ref="I10" authorId="0">
      <text>
        <r>
          <rPr>
            <b/>
            <sz val="9"/>
            <color indexed="81"/>
            <rFont val="Tahoma"/>
            <family val="2"/>
          </rPr>
          <t xml:space="preserve">RTFE </t>
        </r>
        <r>
          <rPr>
            <b/>
            <sz val="9"/>
            <color indexed="81"/>
            <rFont val="돋움"/>
            <family val="3"/>
            <charset val="129"/>
          </rPr>
          <t>소재</t>
        </r>
        <r>
          <rPr>
            <b/>
            <sz val="9"/>
            <color indexed="81"/>
            <rFont val="Tahoma"/>
            <family val="2"/>
          </rPr>
          <t xml:space="preserve"> ;
85800-&gt;65000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58000-&gt;10000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78620-&gt;65000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30000-&gt;20000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35000-&gt;45000</t>
        </r>
      </text>
    </comment>
  </commentList>
</comments>
</file>

<file path=xl/comments12.xml><?xml version="1.0" encoding="utf-8"?>
<comments xmlns="http://schemas.openxmlformats.org/spreadsheetml/2006/main">
  <authors>
    <author>안지민-PC</author>
  </authors>
  <commentList>
    <comment ref="I10" authorId="0">
      <text>
        <r>
          <rPr>
            <b/>
            <sz val="9"/>
            <color indexed="81"/>
            <rFont val="Tahoma"/>
            <family val="2"/>
          </rPr>
          <t xml:space="preserve">RTFE </t>
        </r>
        <r>
          <rPr>
            <b/>
            <sz val="9"/>
            <color indexed="81"/>
            <rFont val="돋움"/>
            <family val="3"/>
            <charset val="129"/>
          </rPr>
          <t>소재</t>
        </r>
        <r>
          <rPr>
            <b/>
            <sz val="9"/>
            <color indexed="81"/>
            <rFont val="Tahoma"/>
            <family val="2"/>
          </rPr>
          <t xml:space="preserve"> ;
97500-&gt;115000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60100-&gt;10000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142500-&gt;115000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32000-&gt;22000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91000-&gt;50000</t>
        </r>
      </text>
    </comment>
  </commentList>
</comments>
</file>

<file path=xl/comments13.xml><?xml version="1.0" encoding="utf-8"?>
<comments xmlns="http://schemas.openxmlformats.org/spreadsheetml/2006/main">
  <authors>
    <author>안지민-PC</author>
  </authors>
  <commentList>
    <comment ref="I10" authorId="0">
      <text>
        <r>
          <rPr>
            <b/>
            <sz val="9"/>
            <color indexed="81"/>
            <rFont val="Tahoma"/>
            <family val="2"/>
          </rPr>
          <t xml:space="preserve">RTFE </t>
        </r>
        <r>
          <rPr>
            <b/>
            <sz val="9"/>
            <color indexed="81"/>
            <rFont val="돋움"/>
            <family val="3"/>
            <charset val="129"/>
          </rPr>
          <t>소재</t>
        </r>
        <r>
          <rPr>
            <b/>
            <sz val="9"/>
            <color indexed="81"/>
            <rFont val="Tahoma"/>
            <family val="2"/>
          </rPr>
          <t xml:space="preserve"> ;
110000-&gt;140000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56000-&gt;10000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146250-&gt;140000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45000-&gt;30000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100000-&gt;55000</t>
        </r>
      </text>
    </comment>
  </commentList>
</comments>
</file>

<file path=xl/comments14.xml><?xml version="1.0" encoding="utf-8"?>
<comments xmlns="http://schemas.openxmlformats.org/spreadsheetml/2006/main">
  <authors>
    <author>안지민-PC</author>
  </authors>
  <commentList>
    <comment ref="I10" authorId="0">
      <text>
        <r>
          <rPr>
            <b/>
            <sz val="9"/>
            <color indexed="81"/>
            <rFont val="Tahoma"/>
            <family val="2"/>
          </rPr>
          <t xml:space="preserve">RTFE </t>
        </r>
        <r>
          <rPr>
            <b/>
            <sz val="9"/>
            <color indexed="81"/>
            <rFont val="돋움"/>
            <family val="3"/>
            <charset val="129"/>
          </rPr>
          <t>소재</t>
        </r>
        <r>
          <rPr>
            <b/>
            <sz val="9"/>
            <color indexed="81"/>
            <rFont val="Tahoma"/>
            <family val="2"/>
          </rPr>
          <t xml:space="preserve"> ;
204600-&gt;250000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124760-&gt;30000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281250-&gt;250000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70000-&gt;40000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110000-&gt;65000</t>
        </r>
      </text>
    </comment>
  </commentList>
</comments>
</file>

<file path=xl/comments15.xml><?xml version="1.0" encoding="utf-8"?>
<comments xmlns="http://schemas.openxmlformats.org/spreadsheetml/2006/main">
  <authors>
    <author>안지민-PC</author>
  </authors>
  <commentList>
    <comment ref="I10" authorId="0">
      <text>
        <r>
          <rPr>
            <b/>
            <sz val="9"/>
            <color indexed="81"/>
            <rFont val="Tahoma"/>
            <family val="2"/>
          </rPr>
          <t xml:space="preserve">RTFE </t>
        </r>
        <r>
          <rPr>
            <b/>
            <sz val="9"/>
            <color indexed="81"/>
            <rFont val="돋움"/>
            <family val="3"/>
            <charset val="129"/>
          </rPr>
          <t>소재</t>
        </r>
        <r>
          <rPr>
            <b/>
            <sz val="9"/>
            <color indexed="81"/>
            <rFont val="Tahoma"/>
            <family val="2"/>
          </rPr>
          <t xml:space="preserve"> ;
235000-&gt;290000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0-&gt;50000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110000-&gt;60000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130000-&gt;70000</t>
        </r>
      </text>
    </comment>
  </commentList>
</comments>
</file>

<file path=xl/comments16.xml><?xml version="1.0" encoding="utf-8"?>
<comments xmlns="http://schemas.openxmlformats.org/spreadsheetml/2006/main">
  <authors>
    <author>안지민-PC</author>
  </authors>
  <commentLis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158100-&gt;65000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0-&gt;70000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136000-&gt;75000</t>
        </r>
      </text>
    </comment>
  </commentList>
</comments>
</file>

<file path=xl/comments17.xml><?xml version="1.0" encoding="utf-8"?>
<comments xmlns="http://schemas.openxmlformats.org/spreadsheetml/2006/main">
  <authors>
    <author>안지민-PC</author>
  </authors>
  <commentList>
    <comment ref="I10" authorId="0">
      <text>
        <r>
          <rPr>
            <b/>
            <sz val="9"/>
            <color indexed="81"/>
            <rFont val="Tahoma"/>
            <family val="2"/>
          </rPr>
          <t xml:space="preserve">RTFE </t>
        </r>
        <r>
          <rPr>
            <b/>
            <sz val="9"/>
            <color indexed="81"/>
            <rFont val="돋움"/>
            <family val="3"/>
            <charset val="129"/>
          </rPr>
          <t>소재</t>
        </r>
        <r>
          <rPr>
            <b/>
            <sz val="9"/>
            <color indexed="81"/>
            <rFont val="Tahoma"/>
            <family val="2"/>
          </rPr>
          <t xml:space="preserve"> ;
787000-&gt;500000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290000-&gt;65000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578750-&gt;500000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135000-&gt;70000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140000-&gt;80000</t>
        </r>
      </text>
    </comment>
  </commentList>
</comments>
</file>

<file path=xl/comments18.xml><?xml version="1.0" encoding="utf-8"?>
<comments xmlns="http://schemas.openxmlformats.org/spreadsheetml/2006/main">
  <authors>
    <author>안지민-PC</author>
  </authors>
  <commentList>
    <comment ref="I10" authorId="0">
      <text>
        <r>
          <rPr>
            <b/>
            <sz val="9"/>
            <color indexed="81"/>
            <rFont val="Tahoma"/>
            <family val="2"/>
          </rPr>
          <t xml:space="preserve">RTFE </t>
        </r>
        <r>
          <rPr>
            <b/>
            <sz val="9"/>
            <color indexed="81"/>
            <rFont val="돋움"/>
            <family val="3"/>
            <charset val="129"/>
          </rPr>
          <t>소재</t>
        </r>
        <r>
          <rPr>
            <b/>
            <sz val="9"/>
            <color indexed="81"/>
            <rFont val="Tahoma"/>
            <family val="2"/>
          </rPr>
          <t xml:space="preserve"> ;
856250-&gt;550000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0-&gt;70000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856250-&gt;550000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144000-&gt;74000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170000-&gt;85000</t>
        </r>
      </text>
    </comment>
  </commentList>
</comments>
</file>

<file path=xl/comments19.xml><?xml version="1.0" encoding="utf-8"?>
<comments xmlns="http://schemas.openxmlformats.org/spreadsheetml/2006/main">
  <authors>
    <author>안지민-PC</author>
  </authors>
  <commentList>
    <comment ref="I10" authorId="0">
      <text>
        <r>
          <rPr>
            <b/>
            <sz val="9"/>
            <color indexed="81"/>
            <rFont val="Tahoma"/>
            <family val="2"/>
          </rPr>
          <t xml:space="preserve">RTFE </t>
        </r>
        <r>
          <rPr>
            <b/>
            <sz val="9"/>
            <color indexed="81"/>
            <rFont val="돋움"/>
            <family val="3"/>
            <charset val="129"/>
          </rPr>
          <t>소재</t>
        </r>
        <r>
          <rPr>
            <b/>
            <sz val="9"/>
            <color indexed="81"/>
            <rFont val="Tahoma"/>
            <family val="2"/>
          </rPr>
          <t xml:space="preserve"> ;
1062500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0-&gt;80000</t>
        </r>
      </text>
    </comment>
    <comment ref="L10" authorId="0">
      <text>
        <r>
          <rPr>
            <sz val="9"/>
            <color indexed="81"/>
            <rFont val="Tahoma"/>
            <family val="2"/>
          </rPr>
          <t xml:space="preserve">1062500-&gt;795000
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165000-&gt;85000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180000-&gt;95000</t>
        </r>
      </text>
    </comment>
  </commentList>
</comments>
</file>

<file path=xl/comments20.xml><?xml version="1.0" encoding="utf-8"?>
<comments xmlns="http://schemas.openxmlformats.org/spreadsheetml/2006/main">
  <authors>
    <author>안지민-PC</author>
  </authors>
  <commentList>
    <comment ref="I10" authorId="0">
      <text>
        <r>
          <rPr>
            <b/>
            <sz val="9"/>
            <color indexed="81"/>
            <rFont val="Tahoma"/>
            <family val="2"/>
          </rPr>
          <t xml:space="preserve">RTFE </t>
        </r>
        <r>
          <rPr>
            <b/>
            <sz val="9"/>
            <color indexed="81"/>
            <rFont val="돋움"/>
            <family val="3"/>
            <charset val="129"/>
          </rPr>
          <t>소재</t>
        </r>
        <r>
          <rPr>
            <b/>
            <sz val="9"/>
            <color indexed="81"/>
            <rFont val="Tahoma"/>
            <family val="2"/>
          </rPr>
          <t xml:space="preserve"> ;
1300000-&gt;1115000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 xml:space="preserve">RTFE+METAL </t>
        </r>
        <r>
          <rPr>
            <b/>
            <sz val="9"/>
            <color indexed="81"/>
            <rFont val="돋움"/>
            <family val="3"/>
            <charset val="129"/>
          </rPr>
          <t>가공비</t>
        </r>
        <r>
          <rPr>
            <b/>
            <sz val="9"/>
            <color indexed="81"/>
            <rFont val="Tahoma"/>
            <family val="2"/>
          </rPr>
          <t xml:space="preserve"> ;
0-&gt;96000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18600-&gt;96000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220000-&gt;110000</t>
        </r>
      </text>
    </comment>
  </commentList>
</comments>
</file>

<file path=xl/sharedStrings.xml><?xml version="1.0" encoding="utf-8"?>
<sst xmlns="http://schemas.openxmlformats.org/spreadsheetml/2006/main" count="2014" uniqueCount="393">
  <si>
    <t>NO.</t>
    <phoneticPr fontId="8" type="noConversion"/>
  </si>
  <si>
    <t>부품명</t>
    <phoneticPr fontId="8" type="noConversion"/>
  </si>
  <si>
    <t>재질</t>
    <phoneticPr fontId="8" type="noConversion"/>
  </si>
  <si>
    <t>수량</t>
    <phoneticPr fontId="8" type="noConversion"/>
  </si>
  <si>
    <t>규격</t>
    <phoneticPr fontId="8" type="noConversion"/>
  </si>
  <si>
    <t>단중</t>
    <phoneticPr fontId="8" type="noConversion"/>
  </si>
  <si>
    <t>업체</t>
    <phoneticPr fontId="8" type="noConversion"/>
  </si>
  <si>
    <t>단가</t>
    <phoneticPr fontId="8" type="noConversion"/>
  </si>
  <si>
    <t>소계</t>
    <phoneticPr fontId="8" type="noConversion"/>
  </si>
  <si>
    <t>가공비</t>
    <phoneticPr fontId="8" type="noConversion"/>
  </si>
  <si>
    <t>합계</t>
    <phoneticPr fontId="8" type="noConversion"/>
  </si>
  <si>
    <r>
      <t>환</t>
    </r>
    <r>
      <rPr>
        <sz val="10"/>
        <rFont val="Arial"/>
        <family val="2"/>
      </rPr>
      <t xml:space="preserve">        </t>
    </r>
    <r>
      <rPr>
        <sz val="10"/>
        <rFont val="돋움"/>
        <family val="3"/>
        <charset val="129"/>
      </rPr>
      <t>율</t>
    </r>
  </si>
  <si>
    <t>SIZE</t>
  </si>
  <si>
    <r>
      <t>소재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단가</t>
    </r>
  </si>
  <si>
    <t>DISC</t>
  </si>
  <si>
    <t>STEM</t>
    <phoneticPr fontId="8" type="noConversion"/>
  </si>
  <si>
    <t>A126 (FC250) GG25</t>
  </si>
  <si>
    <t>A536 (FCD400) GGG40</t>
  </si>
  <si>
    <t>A216 (WCB)</t>
  </si>
  <si>
    <t>304 (CF8) SCS13</t>
  </si>
  <si>
    <t>316 (CF8M) SCS14</t>
  </si>
  <si>
    <t>316L (CF3M) SCS16</t>
  </si>
  <si>
    <t>B148 (ALBC3)</t>
  </si>
  <si>
    <t>BARE</t>
    <phoneticPr fontId="8" type="noConversion"/>
  </si>
  <si>
    <t>LEVER</t>
    <phoneticPr fontId="8" type="noConversion"/>
  </si>
  <si>
    <t>GEAR</t>
    <phoneticPr fontId="8" type="noConversion"/>
  </si>
  <si>
    <t>BASIC COST</t>
    <phoneticPr fontId="7" type="noConversion"/>
  </si>
  <si>
    <t>TOTAL COST</t>
    <phoneticPr fontId="7" type="noConversion"/>
  </si>
  <si>
    <t>BARE</t>
    <phoneticPr fontId="7" type="noConversion"/>
  </si>
  <si>
    <t>LEVER</t>
    <phoneticPr fontId="7" type="noConversion"/>
  </si>
  <si>
    <t>GEAR</t>
    <phoneticPr fontId="7" type="noConversion"/>
  </si>
  <si>
    <t>SEAT</t>
    <phoneticPr fontId="7" type="noConversion"/>
  </si>
  <si>
    <t>50A</t>
    <phoneticPr fontId="7" type="noConversion"/>
  </si>
  <si>
    <t>65A</t>
    <phoneticPr fontId="7" type="noConversion"/>
  </si>
  <si>
    <t>80A</t>
    <phoneticPr fontId="7" type="noConversion"/>
  </si>
  <si>
    <t>100A</t>
    <phoneticPr fontId="7" type="noConversion"/>
  </si>
  <si>
    <t>125A</t>
    <phoneticPr fontId="7" type="noConversion"/>
  </si>
  <si>
    <t>150A</t>
    <phoneticPr fontId="7" type="noConversion"/>
  </si>
  <si>
    <t>200A</t>
    <phoneticPr fontId="7" type="noConversion"/>
  </si>
  <si>
    <t>250A</t>
    <phoneticPr fontId="7" type="noConversion"/>
  </si>
  <si>
    <t>300A</t>
    <phoneticPr fontId="7" type="noConversion"/>
  </si>
  <si>
    <t>350A</t>
    <phoneticPr fontId="7" type="noConversion"/>
  </si>
  <si>
    <t>400A</t>
    <phoneticPr fontId="7" type="noConversion"/>
  </si>
  <si>
    <t>450A</t>
    <phoneticPr fontId="7" type="noConversion"/>
  </si>
  <si>
    <t>500A</t>
    <phoneticPr fontId="7" type="noConversion"/>
  </si>
  <si>
    <t>600A</t>
    <phoneticPr fontId="7" type="noConversion"/>
  </si>
  <si>
    <t>650A</t>
    <phoneticPr fontId="7" type="noConversion"/>
  </si>
  <si>
    <t>700A</t>
    <phoneticPr fontId="7" type="noConversion"/>
  </si>
  <si>
    <t>750A</t>
    <phoneticPr fontId="7" type="noConversion"/>
  </si>
  <si>
    <t>800A</t>
    <phoneticPr fontId="7" type="noConversion"/>
  </si>
  <si>
    <t>900A</t>
    <phoneticPr fontId="7" type="noConversion"/>
  </si>
  <si>
    <t>1000A</t>
    <phoneticPr fontId="7" type="noConversion"/>
  </si>
  <si>
    <t>MATERIAL</t>
    <phoneticPr fontId="7" type="noConversion"/>
  </si>
  <si>
    <t>A217 GR CA 15</t>
    <phoneticPr fontId="7" type="noConversion"/>
  </si>
  <si>
    <t>317L</t>
    <phoneticPr fontId="7" type="noConversion"/>
  </si>
  <si>
    <r>
      <t xml:space="preserve">A276 </t>
    </r>
    <r>
      <rPr>
        <sz val="10"/>
        <rFont val="돋움"/>
        <family val="3"/>
        <charset val="129"/>
      </rPr>
      <t>가공비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≒</t>
    </r>
    <r>
      <rPr>
        <sz val="10"/>
        <rFont val="Arial"/>
        <family val="2"/>
      </rPr>
      <t xml:space="preserve"> 316 </t>
    </r>
    <r>
      <rPr>
        <sz val="10"/>
        <rFont val="돋움"/>
        <family val="3"/>
        <charset val="129"/>
      </rPr>
      <t>가공비</t>
    </r>
    <phoneticPr fontId="7" type="noConversion"/>
  </si>
  <si>
    <t>MONEL(K400)</t>
    <phoneticPr fontId="7" type="noConversion"/>
  </si>
  <si>
    <t>MONEL(K500)</t>
    <phoneticPr fontId="7" type="noConversion"/>
  </si>
  <si>
    <t>MATERIAL</t>
    <phoneticPr fontId="7" type="noConversion"/>
  </si>
  <si>
    <r>
      <t>KG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비용</t>
    </r>
    <phoneticPr fontId="7" type="noConversion"/>
  </si>
  <si>
    <t>DUPLEX(CD4MCU)</t>
    <phoneticPr fontId="7" type="noConversion"/>
  </si>
  <si>
    <t>US $</t>
    <phoneticPr fontId="7" type="noConversion"/>
  </si>
  <si>
    <t>WCB</t>
    <phoneticPr fontId="7" type="noConversion"/>
  </si>
  <si>
    <t>CF8</t>
    <phoneticPr fontId="7" type="noConversion"/>
  </si>
  <si>
    <t>CF8M</t>
    <phoneticPr fontId="7" type="noConversion"/>
  </si>
  <si>
    <t>B148</t>
    <phoneticPr fontId="7" type="noConversion"/>
  </si>
  <si>
    <t>CF3M</t>
    <phoneticPr fontId="7" type="noConversion"/>
  </si>
  <si>
    <t>RTFE</t>
    <phoneticPr fontId="7" type="noConversion"/>
  </si>
  <si>
    <t>RTFE-A</t>
    <phoneticPr fontId="7" type="noConversion"/>
  </si>
  <si>
    <t>METAL-B</t>
    <phoneticPr fontId="7" type="noConversion"/>
  </si>
  <si>
    <t>RTFE + METAL</t>
    <phoneticPr fontId="7" type="noConversion"/>
  </si>
  <si>
    <t>SS630</t>
    <phoneticPr fontId="7" type="noConversion"/>
  </si>
  <si>
    <t>NO.</t>
    <phoneticPr fontId="8" type="noConversion"/>
  </si>
  <si>
    <t>부품명</t>
    <phoneticPr fontId="8" type="noConversion"/>
  </si>
  <si>
    <t>재질</t>
    <phoneticPr fontId="8" type="noConversion"/>
  </si>
  <si>
    <t>수량</t>
    <phoneticPr fontId="8" type="noConversion"/>
  </si>
  <si>
    <t>규격</t>
    <phoneticPr fontId="8" type="noConversion"/>
  </si>
  <si>
    <t>단중</t>
    <phoneticPr fontId="8" type="noConversion"/>
  </si>
  <si>
    <t>업체</t>
    <phoneticPr fontId="8" type="noConversion"/>
  </si>
  <si>
    <t>단가</t>
    <phoneticPr fontId="8" type="noConversion"/>
  </si>
  <si>
    <t>소계</t>
    <phoneticPr fontId="8" type="noConversion"/>
  </si>
  <si>
    <t>가공비</t>
    <phoneticPr fontId="8" type="noConversion"/>
  </si>
  <si>
    <t>합계</t>
    <phoneticPr fontId="8" type="noConversion"/>
  </si>
  <si>
    <t>밸브외 사급품 비용 연산</t>
    <phoneticPr fontId="8" type="noConversion"/>
  </si>
  <si>
    <r>
      <t>FACTOR</t>
    </r>
    <r>
      <rPr>
        <i/>
        <sz val="9"/>
        <rFont val="굴림"/>
        <family val="3"/>
        <charset val="129"/>
      </rPr>
      <t>(BEAR)</t>
    </r>
    <phoneticPr fontId="8" type="noConversion"/>
  </si>
  <si>
    <r>
      <t>FACTOR</t>
    </r>
    <r>
      <rPr>
        <i/>
        <sz val="9"/>
        <rFont val="굴림"/>
        <family val="3"/>
        <charset val="129"/>
      </rPr>
      <t>(LEVER)</t>
    </r>
    <phoneticPr fontId="8" type="noConversion"/>
  </si>
  <si>
    <r>
      <t>FACTOR</t>
    </r>
    <r>
      <rPr>
        <i/>
        <sz val="9"/>
        <rFont val="굴림"/>
        <family val="3"/>
        <charset val="129"/>
      </rPr>
      <t>(GEAR)</t>
    </r>
    <phoneticPr fontId="8" type="noConversion"/>
  </si>
  <si>
    <t>견적가격(TOTAL금액) - BEAR</t>
    <phoneticPr fontId="8" type="noConversion"/>
  </si>
  <si>
    <t>견적가격(TOTAL금액) - LEVER</t>
    <phoneticPr fontId="8" type="noConversion"/>
  </si>
  <si>
    <t>견적가격(TOTAL금액) - GEAR</t>
    <phoneticPr fontId="8" type="noConversion"/>
  </si>
  <si>
    <t>NO.</t>
    <phoneticPr fontId="8" type="noConversion"/>
  </si>
  <si>
    <t>부품명</t>
    <phoneticPr fontId="8" type="noConversion"/>
  </si>
  <si>
    <t>재질</t>
    <phoneticPr fontId="8" type="noConversion"/>
  </si>
  <si>
    <t>수량</t>
    <phoneticPr fontId="8" type="noConversion"/>
  </si>
  <si>
    <t>규격</t>
    <phoneticPr fontId="8" type="noConversion"/>
  </si>
  <si>
    <t>단중</t>
    <phoneticPr fontId="8" type="noConversion"/>
  </si>
  <si>
    <t>업체</t>
    <phoneticPr fontId="8" type="noConversion"/>
  </si>
  <si>
    <t>단가</t>
    <phoneticPr fontId="8" type="noConversion"/>
  </si>
  <si>
    <t>소계</t>
    <phoneticPr fontId="8" type="noConversion"/>
  </si>
  <si>
    <t>가공비</t>
    <phoneticPr fontId="8" type="noConversion"/>
  </si>
  <si>
    <t>합계</t>
    <phoneticPr fontId="8" type="noConversion"/>
  </si>
  <si>
    <t>밸브외 사급품 비용 연산</t>
    <phoneticPr fontId="8" type="noConversion"/>
  </si>
  <si>
    <r>
      <t>FACTOR</t>
    </r>
    <r>
      <rPr>
        <i/>
        <sz val="9"/>
        <rFont val="굴림"/>
        <family val="3"/>
        <charset val="129"/>
      </rPr>
      <t>(BEAR)</t>
    </r>
    <phoneticPr fontId="8" type="noConversion"/>
  </si>
  <si>
    <r>
      <t>FACTOR</t>
    </r>
    <r>
      <rPr>
        <i/>
        <sz val="9"/>
        <rFont val="굴림"/>
        <family val="3"/>
        <charset val="129"/>
      </rPr>
      <t>(LEVER)</t>
    </r>
    <phoneticPr fontId="8" type="noConversion"/>
  </si>
  <si>
    <r>
      <t>FACTOR</t>
    </r>
    <r>
      <rPr>
        <i/>
        <sz val="9"/>
        <rFont val="굴림"/>
        <family val="3"/>
        <charset val="129"/>
      </rPr>
      <t>(GEAR)</t>
    </r>
    <phoneticPr fontId="8" type="noConversion"/>
  </si>
  <si>
    <t>견적가격(TOTAL금액) - BEAR</t>
    <phoneticPr fontId="8" type="noConversion"/>
  </si>
  <si>
    <t>견적가격(TOTAL금액) - LEVER</t>
    <phoneticPr fontId="8" type="noConversion"/>
  </si>
  <si>
    <t>견적가격(TOTAL금액) - GEAR</t>
    <phoneticPr fontId="8" type="noConversion"/>
  </si>
  <si>
    <t>T410</t>
    <phoneticPr fontId="7" type="noConversion"/>
  </si>
  <si>
    <t>PRESSURE</t>
    <phoneticPr fontId="7" type="noConversion"/>
  </si>
  <si>
    <t>PIYAKE</t>
    <phoneticPr fontId="7" type="noConversion"/>
  </si>
  <si>
    <t>10 BAR</t>
    <phoneticPr fontId="7" type="noConversion"/>
  </si>
  <si>
    <t>20 BAR</t>
    <phoneticPr fontId="7" type="noConversion"/>
  </si>
  <si>
    <t xml:space="preserve">   </t>
    <phoneticPr fontId="7" type="noConversion"/>
  </si>
  <si>
    <t>FACTOR</t>
    <phoneticPr fontId="7" type="noConversion"/>
  </si>
  <si>
    <t>SRS924</t>
    <phoneticPr fontId="7" type="noConversion"/>
  </si>
  <si>
    <t>SRS925</t>
    <phoneticPr fontId="7" type="noConversion"/>
  </si>
  <si>
    <t>SRS926</t>
    <phoneticPr fontId="7" type="noConversion"/>
  </si>
  <si>
    <t>A564T630</t>
    <phoneticPr fontId="7" type="noConversion"/>
  </si>
  <si>
    <t>A276T316</t>
    <phoneticPr fontId="7" type="noConversion"/>
  </si>
  <si>
    <t>A276T304</t>
    <phoneticPr fontId="7" type="noConversion"/>
  </si>
  <si>
    <t>BODY(WAFER)</t>
    <phoneticPr fontId="8" type="noConversion"/>
  </si>
  <si>
    <t>BODY(LUG)</t>
    <phoneticPr fontId="8" type="noConversion"/>
  </si>
  <si>
    <t>BODY(FLANGE)</t>
    <phoneticPr fontId="7" type="noConversion"/>
  </si>
  <si>
    <r>
      <rPr>
        <b/>
        <sz val="9"/>
        <rFont val="굴림"/>
        <family val="3"/>
        <charset val="129"/>
      </rPr>
      <t>밸브외</t>
    </r>
    <r>
      <rPr>
        <b/>
        <sz val="9"/>
        <rFont val="Arial"/>
        <family val="2"/>
      </rPr>
      <t xml:space="preserve"> </t>
    </r>
    <r>
      <rPr>
        <b/>
        <sz val="9"/>
        <rFont val="굴림"/>
        <family val="3"/>
        <charset val="129"/>
      </rPr>
      <t>사급품</t>
    </r>
    <r>
      <rPr>
        <b/>
        <sz val="9"/>
        <rFont val="Arial"/>
        <family val="2"/>
      </rPr>
      <t xml:space="preserve"> </t>
    </r>
    <r>
      <rPr>
        <b/>
        <sz val="9"/>
        <rFont val="굴림"/>
        <family val="3"/>
        <charset val="129"/>
      </rPr>
      <t>비용</t>
    </r>
    <r>
      <rPr>
        <b/>
        <sz val="9"/>
        <rFont val="Arial"/>
        <family val="2"/>
      </rPr>
      <t xml:space="preserve"> </t>
    </r>
    <r>
      <rPr>
        <b/>
        <sz val="9"/>
        <rFont val="굴림"/>
        <family val="3"/>
        <charset val="129"/>
      </rPr>
      <t>연산</t>
    </r>
    <phoneticPr fontId="8" type="noConversion"/>
  </si>
  <si>
    <r>
      <t>FACTOR</t>
    </r>
    <r>
      <rPr>
        <i/>
        <sz val="9"/>
        <rFont val="Arial"/>
        <family val="2"/>
      </rPr>
      <t>(BEAR)</t>
    </r>
    <phoneticPr fontId="8" type="noConversion"/>
  </si>
  <si>
    <r>
      <t>FACTOR</t>
    </r>
    <r>
      <rPr>
        <i/>
        <sz val="9"/>
        <rFont val="Arial"/>
        <family val="2"/>
      </rPr>
      <t>(LEVER)</t>
    </r>
    <phoneticPr fontId="8" type="noConversion"/>
  </si>
  <si>
    <r>
      <t>FACTOR</t>
    </r>
    <r>
      <rPr>
        <i/>
        <sz val="9"/>
        <rFont val="Arial"/>
        <family val="2"/>
      </rPr>
      <t>(GEAR)</t>
    </r>
    <phoneticPr fontId="8" type="noConversion"/>
  </si>
  <si>
    <r>
      <rPr>
        <b/>
        <sz val="9"/>
        <rFont val="굴림"/>
        <family val="3"/>
        <charset val="129"/>
      </rPr>
      <t>견적가격</t>
    </r>
    <r>
      <rPr>
        <b/>
        <sz val="9"/>
        <rFont val="Arial"/>
        <family val="2"/>
      </rPr>
      <t>(TOTAL</t>
    </r>
    <r>
      <rPr>
        <b/>
        <sz val="9"/>
        <rFont val="굴림"/>
        <family val="3"/>
        <charset val="129"/>
      </rPr>
      <t>금액</t>
    </r>
    <r>
      <rPr>
        <b/>
        <sz val="9"/>
        <rFont val="Arial"/>
        <family val="2"/>
      </rPr>
      <t>) - BEAR</t>
    </r>
    <phoneticPr fontId="8" type="noConversion"/>
  </si>
  <si>
    <r>
      <rPr>
        <b/>
        <sz val="9"/>
        <rFont val="굴림"/>
        <family val="3"/>
        <charset val="129"/>
      </rPr>
      <t>견적가격</t>
    </r>
    <r>
      <rPr>
        <b/>
        <sz val="9"/>
        <rFont val="Arial"/>
        <family val="2"/>
      </rPr>
      <t>(TOTAL</t>
    </r>
    <r>
      <rPr>
        <b/>
        <sz val="9"/>
        <rFont val="굴림"/>
        <family val="3"/>
        <charset val="129"/>
      </rPr>
      <t>금액</t>
    </r>
    <r>
      <rPr>
        <b/>
        <sz val="9"/>
        <rFont val="Arial"/>
        <family val="2"/>
      </rPr>
      <t>) - LEVER</t>
    </r>
    <phoneticPr fontId="8" type="noConversion"/>
  </si>
  <si>
    <r>
      <rPr>
        <b/>
        <sz val="9"/>
        <rFont val="굴림"/>
        <family val="3"/>
        <charset val="129"/>
      </rPr>
      <t>견적가격</t>
    </r>
    <r>
      <rPr>
        <b/>
        <sz val="9"/>
        <rFont val="Arial"/>
        <family val="2"/>
      </rPr>
      <t>(TOTAL</t>
    </r>
    <r>
      <rPr>
        <b/>
        <sz val="9"/>
        <rFont val="굴림"/>
        <family val="3"/>
        <charset val="129"/>
      </rPr>
      <t>금액</t>
    </r>
    <r>
      <rPr>
        <b/>
        <sz val="9"/>
        <rFont val="Arial"/>
        <family val="2"/>
      </rPr>
      <t>) - GEAR</t>
    </r>
    <phoneticPr fontId="8" type="noConversion"/>
  </si>
  <si>
    <r>
      <t xml:space="preserve">HIGH PERFORMANCE BFV </t>
    </r>
    <r>
      <rPr>
        <b/>
        <sz val="16"/>
        <rFont val="견명조"/>
        <family val="1"/>
        <charset val="129"/>
      </rPr>
      <t>원가</t>
    </r>
    <r>
      <rPr>
        <b/>
        <sz val="16"/>
        <rFont val="Arial"/>
        <family val="2"/>
      </rPr>
      <t xml:space="preserve"> </t>
    </r>
    <r>
      <rPr>
        <b/>
        <sz val="16"/>
        <rFont val="견명조"/>
        <family val="1"/>
        <charset val="129"/>
      </rPr>
      <t>分析表</t>
    </r>
    <phoneticPr fontId="8" type="noConversion"/>
  </si>
  <si>
    <t>SIZE : 50A</t>
    <phoneticPr fontId="8" type="noConversion"/>
  </si>
  <si>
    <r>
      <rPr>
        <b/>
        <sz val="14"/>
        <rFont val="돋움"/>
        <family val="3"/>
        <charset val="129"/>
      </rPr>
      <t>압력</t>
    </r>
    <r>
      <rPr>
        <b/>
        <sz val="14"/>
        <rFont val="Arial"/>
        <family val="2"/>
      </rPr>
      <t xml:space="preserve"> : 150#</t>
    </r>
    <phoneticPr fontId="8" type="noConversion"/>
  </si>
  <si>
    <t xml:space="preserve">PJT : </t>
    <phoneticPr fontId="8" type="noConversion"/>
  </si>
  <si>
    <t>BODY(WAFER)</t>
    <phoneticPr fontId="8" type="noConversion"/>
  </si>
  <si>
    <t>BODY(LUG)</t>
    <phoneticPr fontId="8" type="noConversion"/>
  </si>
  <si>
    <t>BODY(FLANGE)</t>
    <phoneticPr fontId="8" type="noConversion"/>
  </si>
  <si>
    <t>TEFLON SEAT</t>
    <phoneticPr fontId="8" type="noConversion"/>
  </si>
  <si>
    <t>METAL TEFLON SEAT</t>
    <phoneticPr fontId="8" type="noConversion"/>
  </si>
  <si>
    <t>DISC</t>
    <phoneticPr fontId="8" type="noConversion"/>
  </si>
  <si>
    <t xml:space="preserve">TEFLON </t>
    <phoneticPr fontId="8" type="noConversion"/>
  </si>
  <si>
    <t xml:space="preserve">METAL </t>
    <phoneticPr fontId="8" type="noConversion"/>
  </si>
  <si>
    <r>
      <rPr>
        <b/>
        <sz val="9"/>
        <rFont val="굴림"/>
        <family val="3"/>
        <charset val="129"/>
      </rPr>
      <t>합계</t>
    </r>
    <phoneticPr fontId="8" type="noConversion"/>
  </si>
  <si>
    <t>SEAT</t>
    <phoneticPr fontId="8" type="noConversion"/>
  </si>
  <si>
    <r>
      <t>STEM(</t>
    </r>
    <r>
      <rPr>
        <sz val="9"/>
        <rFont val="굴림"/>
        <family val="3"/>
        <charset val="129"/>
      </rPr>
      <t>上</t>
    </r>
    <r>
      <rPr>
        <sz val="9"/>
        <rFont val="Arial"/>
        <family val="2"/>
      </rPr>
      <t>,</t>
    </r>
    <r>
      <rPr>
        <sz val="9"/>
        <rFont val="굴림"/>
        <family val="3"/>
        <charset val="129"/>
      </rPr>
      <t>下</t>
    </r>
    <r>
      <rPr>
        <sz val="9"/>
        <rFont val="Arial"/>
        <family val="2"/>
      </rPr>
      <t>)</t>
    </r>
    <phoneticPr fontId="8" type="noConversion"/>
  </si>
  <si>
    <t>RETAINER RING</t>
    <phoneticPr fontId="8" type="noConversion"/>
  </si>
  <si>
    <t>SS316</t>
    <phoneticPr fontId="8" type="noConversion"/>
  </si>
  <si>
    <t>RETAINER BOLT</t>
    <phoneticPr fontId="8" type="noConversion"/>
  </si>
  <si>
    <t>B8M</t>
    <phoneticPr fontId="8" type="noConversion"/>
  </si>
  <si>
    <t>BUSH</t>
    <phoneticPr fontId="8" type="noConversion"/>
  </si>
  <si>
    <t>PACKING</t>
    <phoneticPr fontId="8" type="noConversion"/>
  </si>
  <si>
    <t>GRAPHITE</t>
    <phoneticPr fontId="8" type="noConversion"/>
  </si>
  <si>
    <t>PACKING GLAND</t>
    <phoneticPr fontId="8" type="noConversion"/>
  </si>
  <si>
    <t>CF8/CF8M</t>
    <phoneticPr fontId="8" type="noConversion"/>
  </si>
  <si>
    <t>GLAND BOLT/NUT</t>
    <phoneticPr fontId="8" type="noConversion"/>
  </si>
  <si>
    <t>COLOR</t>
    <phoneticPr fontId="8" type="noConversion"/>
  </si>
  <si>
    <t>DISCK PIN</t>
    <phoneticPr fontId="8" type="noConversion"/>
  </si>
  <si>
    <t>SS630</t>
    <phoneticPr fontId="8" type="noConversion"/>
  </si>
  <si>
    <t>END COVER</t>
    <phoneticPr fontId="8" type="noConversion"/>
  </si>
  <si>
    <t>END COVER BOLT</t>
    <phoneticPr fontId="8" type="noConversion"/>
  </si>
  <si>
    <t>GASKET</t>
    <phoneticPr fontId="8" type="noConversion"/>
  </si>
  <si>
    <t>N-ASBESTOS</t>
    <phoneticPr fontId="8" type="noConversion"/>
  </si>
  <si>
    <t>TOP COVER BOLT</t>
    <phoneticPr fontId="8" type="noConversion"/>
  </si>
  <si>
    <t>B8</t>
    <phoneticPr fontId="8" type="noConversion"/>
  </si>
  <si>
    <t>G/BOX BOLT</t>
    <phoneticPr fontId="8" type="noConversion"/>
  </si>
  <si>
    <t>TOP COVER</t>
    <phoneticPr fontId="8" type="noConversion"/>
  </si>
  <si>
    <t>GEAR BOX</t>
    <phoneticPr fontId="8" type="noConversion"/>
  </si>
  <si>
    <r>
      <rPr>
        <sz val="9"/>
        <rFont val="굴림"/>
        <family val="3"/>
        <charset val="129"/>
      </rPr>
      <t>페인트</t>
    </r>
    <r>
      <rPr>
        <sz val="9"/>
        <rFont val="Arial"/>
        <family val="2"/>
      </rPr>
      <t xml:space="preserve">, </t>
    </r>
    <r>
      <rPr>
        <sz val="9"/>
        <rFont val="굴림"/>
        <family val="3"/>
        <charset val="129"/>
      </rPr>
      <t>조립</t>
    </r>
    <phoneticPr fontId="8" type="noConversion"/>
  </si>
  <si>
    <t>CEPHAS</t>
    <phoneticPr fontId="8" type="noConversion"/>
  </si>
  <si>
    <r>
      <rPr>
        <b/>
        <sz val="9"/>
        <rFont val="굴림"/>
        <family val="3"/>
        <charset val="129"/>
      </rPr>
      <t>밸브합산</t>
    </r>
    <r>
      <rPr>
        <i/>
        <sz val="9"/>
        <rFont val="Arial"/>
        <family val="2"/>
      </rPr>
      <t>(BEAR)</t>
    </r>
    <phoneticPr fontId="8" type="noConversion"/>
  </si>
  <si>
    <r>
      <rPr>
        <b/>
        <sz val="9"/>
        <rFont val="굴림"/>
        <family val="3"/>
        <charset val="129"/>
      </rPr>
      <t>밸브합산</t>
    </r>
    <r>
      <rPr>
        <i/>
        <sz val="9"/>
        <rFont val="Arial"/>
        <family val="2"/>
      </rPr>
      <t>(GEAR)</t>
    </r>
    <phoneticPr fontId="8" type="noConversion"/>
  </si>
  <si>
    <t>ACTUATOR</t>
    <phoneticPr fontId="8" type="noConversion"/>
  </si>
  <si>
    <t>ACTUATOR
BOLT/WASHER</t>
    <phoneticPr fontId="8" type="noConversion"/>
  </si>
  <si>
    <r>
      <rPr>
        <sz val="9"/>
        <rFont val="굴림"/>
        <family val="3"/>
        <charset val="129"/>
      </rPr>
      <t>포장비용</t>
    </r>
    <phoneticPr fontId="8" type="noConversion"/>
  </si>
  <si>
    <r>
      <rPr>
        <b/>
        <sz val="9"/>
        <rFont val="굴림"/>
        <family val="3"/>
        <charset val="129"/>
      </rPr>
      <t>밸브외</t>
    </r>
    <r>
      <rPr>
        <b/>
        <sz val="9"/>
        <rFont val="Arial"/>
        <family val="2"/>
      </rPr>
      <t xml:space="preserve"> </t>
    </r>
    <r>
      <rPr>
        <b/>
        <sz val="9"/>
        <rFont val="굴림"/>
        <family val="3"/>
        <charset val="129"/>
      </rPr>
      <t>사급품</t>
    </r>
    <r>
      <rPr>
        <b/>
        <sz val="9"/>
        <rFont val="Arial"/>
        <family val="2"/>
      </rPr>
      <t xml:space="preserve"> </t>
    </r>
    <r>
      <rPr>
        <b/>
        <sz val="9"/>
        <rFont val="굴림"/>
        <family val="3"/>
        <charset val="129"/>
      </rPr>
      <t>비용</t>
    </r>
    <r>
      <rPr>
        <b/>
        <sz val="9"/>
        <rFont val="Arial"/>
        <family val="2"/>
      </rPr>
      <t xml:space="preserve"> </t>
    </r>
    <r>
      <rPr>
        <b/>
        <sz val="9"/>
        <rFont val="굴림"/>
        <family val="3"/>
        <charset val="129"/>
      </rPr>
      <t>연산</t>
    </r>
    <phoneticPr fontId="8" type="noConversion"/>
  </si>
  <si>
    <t>PTFE</t>
    <phoneticPr fontId="8" type="noConversion"/>
  </si>
  <si>
    <t>TAG</t>
    <phoneticPr fontId="8" type="noConversion"/>
  </si>
  <si>
    <t>SS304</t>
    <phoneticPr fontId="8" type="noConversion"/>
  </si>
  <si>
    <t>INDICATOR</t>
    <phoneticPr fontId="8" type="noConversion"/>
  </si>
  <si>
    <t>INDICATOR BOLT/NUT</t>
    <phoneticPr fontId="8" type="noConversion"/>
  </si>
  <si>
    <t>LEVER</t>
    <phoneticPr fontId="8" type="noConversion"/>
  </si>
  <si>
    <r>
      <rPr>
        <b/>
        <sz val="9"/>
        <rFont val="굴림"/>
        <family val="3"/>
        <charset val="129"/>
      </rPr>
      <t>밸브합산</t>
    </r>
    <r>
      <rPr>
        <i/>
        <sz val="9"/>
        <rFont val="Arial"/>
        <family val="2"/>
      </rPr>
      <t>(LEVER)</t>
    </r>
    <phoneticPr fontId="8" type="noConversion"/>
  </si>
  <si>
    <t>SUS</t>
    <phoneticPr fontId="8" type="noConversion"/>
  </si>
  <si>
    <t>WCB</t>
    <phoneticPr fontId="8" type="noConversion"/>
  </si>
  <si>
    <t>PATTERN 관리 대장</t>
    <phoneticPr fontId="44" type="noConversion"/>
  </si>
  <si>
    <t>품 명</t>
    <phoneticPr fontId="44" type="noConversion"/>
  </si>
  <si>
    <t>H.P FLANGE BODY</t>
    <phoneticPr fontId="44" type="noConversion"/>
  </si>
  <si>
    <t>MODEL 
NO.</t>
    <phoneticPr fontId="44" type="noConversion"/>
  </si>
  <si>
    <t>SRS 926</t>
    <phoneticPr fontId="44" type="noConversion"/>
  </si>
  <si>
    <t>SIZE
(DN)</t>
    <phoneticPr fontId="44" type="noConversion"/>
  </si>
  <si>
    <t>압력</t>
    <phoneticPr fontId="44" type="noConversion"/>
  </si>
  <si>
    <t>형태</t>
    <phoneticPr fontId="44" type="noConversion"/>
  </si>
  <si>
    <t>재질</t>
    <phoneticPr fontId="44" type="noConversion"/>
  </si>
  <si>
    <t>●</t>
  </si>
  <si>
    <t>규격</t>
    <phoneticPr fontId="44" type="noConversion"/>
  </si>
  <si>
    <t>소재중량
(KG)</t>
    <phoneticPr fontId="44" type="noConversion"/>
  </si>
  <si>
    <t>제작일자
/업체</t>
    <phoneticPr fontId="44" type="noConversion"/>
  </si>
  <si>
    <t>보관장소</t>
    <phoneticPr fontId="44" type="noConversion"/>
  </si>
  <si>
    <t>관리NO.</t>
    <phoneticPr fontId="44" type="noConversion"/>
  </si>
  <si>
    <t>비고</t>
    <phoneticPr fontId="44" type="noConversion"/>
  </si>
  <si>
    <t>목형</t>
    <phoneticPr fontId="44" type="noConversion"/>
  </si>
  <si>
    <t>금형</t>
    <phoneticPr fontId="44" type="noConversion"/>
  </si>
  <si>
    <t>SC/SCS</t>
    <phoneticPr fontId="44" type="noConversion"/>
  </si>
  <si>
    <t>면간</t>
    <phoneticPr fontId="44" type="noConversion"/>
  </si>
  <si>
    <t>외경</t>
    <phoneticPr fontId="44" type="noConversion"/>
  </si>
  <si>
    <t>두께</t>
    <phoneticPr fontId="44" type="noConversion"/>
  </si>
  <si>
    <t>편심</t>
    <phoneticPr fontId="44" type="noConversion"/>
  </si>
  <si>
    <t>150LB</t>
    <phoneticPr fontId="44" type="noConversion"/>
  </si>
  <si>
    <t>SC</t>
    <phoneticPr fontId="44" type="noConversion"/>
  </si>
  <si>
    <t>SRS926S-02-U</t>
    <phoneticPr fontId="8" type="noConversion"/>
  </si>
  <si>
    <t>API (TUBE)</t>
    <phoneticPr fontId="44" type="noConversion"/>
  </si>
  <si>
    <t>SRS926S-02.5-U</t>
    <phoneticPr fontId="8" type="noConversion"/>
  </si>
  <si>
    <t>5K</t>
    <phoneticPr fontId="8" type="noConversion"/>
  </si>
  <si>
    <t>07.알바</t>
    <phoneticPr fontId="8" type="noConversion"/>
  </si>
  <si>
    <t>SRS926S-03-5K</t>
    <phoneticPr fontId="8" type="noConversion"/>
  </si>
  <si>
    <t>H3023</t>
    <phoneticPr fontId="8" type="noConversion"/>
  </si>
  <si>
    <t>150LB</t>
    <phoneticPr fontId="8" type="noConversion"/>
  </si>
  <si>
    <t>11.한일</t>
    <phoneticPr fontId="8" type="noConversion"/>
  </si>
  <si>
    <t>SRS926S-03-U</t>
    <phoneticPr fontId="8" type="noConversion"/>
  </si>
  <si>
    <t>BE110027</t>
    <phoneticPr fontId="8" type="noConversion"/>
  </si>
  <si>
    <t>SRS926S-04-U</t>
    <phoneticPr fontId="8" type="noConversion"/>
  </si>
  <si>
    <t>16K</t>
    <phoneticPr fontId="8" type="noConversion"/>
  </si>
  <si>
    <t>07알바</t>
    <phoneticPr fontId="8" type="noConversion"/>
  </si>
  <si>
    <t>SRS926S-05-16K</t>
    <phoneticPr fontId="8" type="noConversion"/>
  </si>
  <si>
    <t>H3023(BS)</t>
    <phoneticPr fontId="8" type="noConversion"/>
  </si>
  <si>
    <t>SRS926S-05-U</t>
    <phoneticPr fontId="8" type="noConversion"/>
  </si>
  <si>
    <t>SRS926S-06-U</t>
    <phoneticPr fontId="8" type="noConversion"/>
  </si>
  <si>
    <t>SRS926S-06-16K</t>
    <phoneticPr fontId="8" type="noConversion"/>
  </si>
  <si>
    <t>12.03팔공</t>
    <phoneticPr fontId="8" type="noConversion"/>
  </si>
  <si>
    <t>두산면간127(BD110280)</t>
    <phoneticPr fontId="8" type="noConversion"/>
  </si>
  <si>
    <t>300LB</t>
    <phoneticPr fontId="8" type="noConversion"/>
  </si>
  <si>
    <t>12.06팔공</t>
    <phoneticPr fontId="8" type="noConversion"/>
  </si>
  <si>
    <t>BD120058</t>
    <phoneticPr fontId="8" type="noConversion"/>
  </si>
  <si>
    <t>08.알바</t>
    <phoneticPr fontId="8" type="noConversion"/>
  </si>
  <si>
    <t>SRS926S-08-16K</t>
    <phoneticPr fontId="8" type="noConversion"/>
  </si>
  <si>
    <t>H3024</t>
    <phoneticPr fontId="8" type="noConversion"/>
  </si>
  <si>
    <t>10.09정광</t>
    <phoneticPr fontId="8" type="noConversion"/>
  </si>
  <si>
    <t>SRS926S-08-30L</t>
    <phoneticPr fontId="8" type="noConversion"/>
  </si>
  <si>
    <t>BD100043</t>
    <phoneticPr fontId="8" type="noConversion"/>
  </si>
  <si>
    <t>11.03한일</t>
    <phoneticPr fontId="8" type="noConversion"/>
  </si>
  <si>
    <t>SRS926S-08-U</t>
    <phoneticPr fontId="8" type="noConversion"/>
  </si>
  <si>
    <t>BD110003</t>
    <phoneticPr fontId="8" type="noConversion"/>
  </si>
  <si>
    <t>11.정광</t>
    <phoneticPr fontId="8" type="noConversion"/>
  </si>
  <si>
    <t>SRS926S-10-U</t>
    <phoneticPr fontId="8" type="noConversion"/>
  </si>
  <si>
    <t>SRS926S-10-30L</t>
    <phoneticPr fontId="8" type="noConversion"/>
  </si>
  <si>
    <t>11.알바</t>
    <phoneticPr fontId="8" type="noConversion"/>
  </si>
  <si>
    <t>SRS926S-12-U</t>
    <phoneticPr fontId="8" type="noConversion"/>
  </si>
  <si>
    <t>10.10알바</t>
    <phoneticPr fontId="8" type="noConversion"/>
  </si>
  <si>
    <t>SRS926S-12-30L</t>
    <phoneticPr fontId="8" type="noConversion"/>
  </si>
  <si>
    <t>BD120209 수정</t>
    <phoneticPr fontId="8" type="noConversion"/>
  </si>
  <si>
    <t>12.한국</t>
    <phoneticPr fontId="8" type="noConversion"/>
  </si>
  <si>
    <t>SRS926S-14-30L</t>
    <phoneticPr fontId="8" type="noConversion"/>
  </si>
  <si>
    <t>BD120209</t>
    <phoneticPr fontId="8" type="noConversion"/>
  </si>
  <si>
    <t>5K</t>
    <phoneticPr fontId="44" type="noConversion"/>
  </si>
  <si>
    <t>SRS926S-14-5K</t>
    <phoneticPr fontId="8" type="noConversion"/>
  </si>
  <si>
    <t>BD110277</t>
    <phoneticPr fontId="44" type="noConversion"/>
  </si>
  <si>
    <t>SRS926S-14-U</t>
    <phoneticPr fontId="8" type="noConversion"/>
  </si>
  <si>
    <t>SRS926S-16-U</t>
    <phoneticPr fontId="8" type="noConversion"/>
  </si>
  <si>
    <t>B110027중자 전장수정</t>
    <phoneticPr fontId="8" type="noConversion"/>
  </si>
  <si>
    <t>SRS926S-16-30L</t>
    <phoneticPr fontId="8" type="noConversion"/>
  </si>
  <si>
    <t>12.02.팔공</t>
    <phoneticPr fontId="8" type="noConversion"/>
  </si>
  <si>
    <t>SRS926S-18-U</t>
    <phoneticPr fontId="8" type="noConversion"/>
  </si>
  <si>
    <t>BD110217 면간222</t>
    <phoneticPr fontId="8" type="noConversion"/>
  </si>
  <si>
    <t>12.03.팔공</t>
    <phoneticPr fontId="8" type="noConversion"/>
  </si>
  <si>
    <t>두산면간203
(BD110280)</t>
    <phoneticPr fontId="8" type="noConversion"/>
  </si>
  <si>
    <t>12.팔공</t>
    <phoneticPr fontId="8" type="noConversion"/>
  </si>
  <si>
    <t>SRS926S-18-30L</t>
    <phoneticPr fontId="8" type="noConversion"/>
  </si>
  <si>
    <t>SRS926S-20-U</t>
    <phoneticPr fontId="8" type="noConversion"/>
  </si>
  <si>
    <t>BD110217</t>
    <phoneticPr fontId="8" type="noConversion"/>
  </si>
  <si>
    <t>10.07.알바</t>
    <phoneticPr fontId="8" type="noConversion"/>
  </si>
  <si>
    <t>BD100003</t>
    <phoneticPr fontId="8" type="noConversion"/>
  </si>
  <si>
    <t>SRS926S-22-U</t>
    <phoneticPr fontId="8" type="noConversion"/>
  </si>
  <si>
    <t>SRS926S-24-30L</t>
    <phoneticPr fontId="8" type="noConversion"/>
  </si>
  <si>
    <t>12.05.정광</t>
    <phoneticPr fontId="8" type="noConversion"/>
  </si>
  <si>
    <t>SRS926S-24-U</t>
    <phoneticPr fontId="8" type="noConversion"/>
  </si>
  <si>
    <t>BD110219
CENTER 85</t>
    <phoneticPr fontId="8" type="noConversion"/>
  </si>
  <si>
    <t>11.02.알바</t>
    <phoneticPr fontId="8" type="noConversion"/>
  </si>
  <si>
    <t>BD100091</t>
    <phoneticPr fontId="8" type="noConversion"/>
  </si>
  <si>
    <t>SRS926S-26-U</t>
    <phoneticPr fontId="8" type="noConversion"/>
  </si>
  <si>
    <t>12.09.팔공</t>
    <phoneticPr fontId="8" type="noConversion"/>
  </si>
  <si>
    <t>SRS926S-28-U</t>
    <phoneticPr fontId="8" type="noConversion"/>
  </si>
  <si>
    <t>SERIES A BE120088</t>
    <phoneticPr fontId="8" type="noConversion"/>
  </si>
  <si>
    <t>SRS926S-30-U</t>
    <phoneticPr fontId="8" type="noConversion"/>
  </si>
  <si>
    <t>12.01.팔공</t>
    <phoneticPr fontId="8" type="noConversion"/>
  </si>
  <si>
    <t>SRS926S-32-U</t>
    <phoneticPr fontId="8" type="noConversion"/>
  </si>
  <si>
    <t>BE110149</t>
    <phoneticPr fontId="8" type="noConversion"/>
  </si>
  <si>
    <t>10.11.알바</t>
    <phoneticPr fontId="8" type="noConversion"/>
  </si>
  <si>
    <t>SRS926S-34-U</t>
    <phoneticPr fontId="8" type="noConversion"/>
  </si>
  <si>
    <t>11.10.한국</t>
    <phoneticPr fontId="8" type="noConversion"/>
  </si>
  <si>
    <t>SRS926S-36-U</t>
    <phoneticPr fontId="8" type="noConversion"/>
  </si>
  <si>
    <t>BD110132
면간330, 두께53T</t>
    <phoneticPr fontId="8" type="noConversion"/>
  </si>
  <si>
    <t>12.01정광</t>
    <phoneticPr fontId="8" type="noConversion"/>
  </si>
  <si>
    <t>면간330, 두께91.9 BE110149</t>
    <phoneticPr fontId="8" type="noConversion"/>
  </si>
  <si>
    <t>SRS926S-36-30L</t>
    <phoneticPr fontId="8" type="noConversion"/>
  </si>
  <si>
    <t>BD100090, SERIES. B</t>
    <phoneticPr fontId="8" type="noConversion"/>
  </si>
  <si>
    <t>SRS926S-38-U</t>
    <phoneticPr fontId="8" type="noConversion"/>
  </si>
  <si>
    <t>11.05.정광</t>
    <phoneticPr fontId="8" type="noConversion"/>
  </si>
  <si>
    <t>SRS926S-40-U</t>
    <phoneticPr fontId="8" type="noConversion"/>
  </si>
  <si>
    <t>BE110030</t>
    <phoneticPr fontId="8" type="noConversion"/>
  </si>
  <si>
    <t>11.05.알바</t>
    <phoneticPr fontId="8" type="noConversion"/>
  </si>
  <si>
    <t>SRS926S-42-U</t>
    <phoneticPr fontId="8" type="noConversion"/>
  </si>
  <si>
    <t>10.06.알바</t>
    <phoneticPr fontId="8" type="noConversion"/>
  </si>
  <si>
    <t xml:space="preserve"> BD100003</t>
    <phoneticPr fontId="8" type="noConversion"/>
  </si>
  <si>
    <t>SRS926S-44-U</t>
    <phoneticPr fontId="8" type="noConversion"/>
  </si>
  <si>
    <t>SRS926S-46-U</t>
    <phoneticPr fontId="8" type="noConversion"/>
  </si>
  <si>
    <t>10.09.정광</t>
    <phoneticPr fontId="8" type="noConversion"/>
  </si>
  <si>
    <t>SRS926S-48-U</t>
    <phoneticPr fontId="8" type="noConversion"/>
  </si>
  <si>
    <t>11.08.한일</t>
    <phoneticPr fontId="8" type="noConversion"/>
  </si>
  <si>
    <t>SRS926S-52-U</t>
    <phoneticPr fontId="8" type="noConversion"/>
  </si>
  <si>
    <t>BD110132</t>
    <phoneticPr fontId="8" type="noConversion"/>
  </si>
  <si>
    <t>10.11
알바목형</t>
    <phoneticPr fontId="44" type="noConversion"/>
  </si>
  <si>
    <t>BD100091</t>
    <phoneticPr fontId="44" type="noConversion"/>
  </si>
  <si>
    <t>10-09.알바</t>
    <phoneticPr fontId="8" type="noConversion"/>
  </si>
  <si>
    <t>SRS926S-56-U</t>
    <phoneticPr fontId="8" type="noConversion"/>
  </si>
  <si>
    <t>10-10.알바</t>
    <phoneticPr fontId="8" type="noConversion"/>
  </si>
  <si>
    <t>SRS926S-60-U</t>
    <phoneticPr fontId="8" type="noConversion"/>
  </si>
  <si>
    <t>HIGH PERFORMANCE BFV 원가 分析表</t>
    <phoneticPr fontId="8" type="noConversion"/>
  </si>
  <si>
    <t>SIZE : 65A</t>
    <phoneticPr fontId="8" type="noConversion"/>
  </si>
  <si>
    <t>압력 : 150#</t>
    <phoneticPr fontId="8" type="noConversion"/>
  </si>
  <si>
    <t xml:space="preserve">PJT : </t>
    <phoneticPr fontId="8" type="noConversion"/>
  </si>
  <si>
    <t>SIZE : 1000A</t>
    <phoneticPr fontId="8" type="noConversion"/>
  </si>
  <si>
    <t>SIZE : 900A</t>
    <phoneticPr fontId="8" type="noConversion"/>
  </si>
  <si>
    <t>SIZE : 800A</t>
    <phoneticPr fontId="8" type="noConversion"/>
  </si>
  <si>
    <t>SIZE : 750A</t>
    <phoneticPr fontId="8" type="noConversion"/>
  </si>
  <si>
    <t>SIZE : 700A</t>
    <phoneticPr fontId="8" type="noConversion"/>
  </si>
  <si>
    <t>SIZE : 650A</t>
    <phoneticPr fontId="8" type="noConversion"/>
  </si>
  <si>
    <t>SIZE : 600A</t>
    <phoneticPr fontId="8" type="noConversion"/>
  </si>
  <si>
    <t>SIZE : 500A</t>
    <phoneticPr fontId="8" type="noConversion"/>
  </si>
  <si>
    <t>SIZE : 450A</t>
    <phoneticPr fontId="8" type="noConversion"/>
  </si>
  <si>
    <t>SIZE : 400A</t>
    <phoneticPr fontId="8" type="noConversion"/>
  </si>
  <si>
    <t>SIZE : 350A</t>
    <phoneticPr fontId="8" type="noConversion"/>
  </si>
  <si>
    <t>SIZE : 300A</t>
    <phoneticPr fontId="8" type="noConversion"/>
  </si>
  <si>
    <t>SIZE : 250A</t>
    <phoneticPr fontId="8" type="noConversion"/>
  </si>
  <si>
    <t>SIZE : 200A</t>
    <phoneticPr fontId="8" type="noConversion"/>
  </si>
  <si>
    <t>SIZE : 150A</t>
    <phoneticPr fontId="8" type="noConversion"/>
  </si>
  <si>
    <t>SIZE : 125A</t>
    <phoneticPr fontId="8" type="noConversion"/>
  </si>
  <si>
    <t>SIZE : 100A</t>
    <phoneticPr fontId="8" type="noConversion"/>
  </si>
  <si>
    <t>SIZE : 80A</t>
    <phoneticPr fontId="8" type="noConversion"/>
  </si>
  <si>
    <t>DIMESION TABLE</t>
    <phoneticPr fontId="7" type="noConversion"/>
  </si>
  <si>
    <t>DISC</t>
    <phoneticPr fontId="7" type="noConversion"/>
  </si>
  <si>
    <t>SEAT</t>
    <phoneticPr fontId="7" type="noConversion"/>
  </si>
  <si>
    <t>BODY</t>
    <phoneticPr fontId="7" type="noConversion"/>
  </si>
  <si>
    <t>STEM</t>
    <phoneticPr fontId="7" type="noConversion"/>
  </si>
  <si>
    <t>GEAR</t>
    <phoneticPr fontId="7" type="noConversion"/>
  </si>
  <si>
    <r>
      <rPr>
        <u/>
        <sz val="10"/>
        <color indexed="12"/>
        <rFont val="돋움"/>
        <family val="3"/>
        <charset val="129"/>
      </rPr>
      <t>목형관리대장</t>
    </r>
    <phoneticPr fontId="7" type="noConversion"/>
  </si>
  <si>
    <t>A564T630</t>
  </si>
  <si>
    <t>CF8M</t>
  </si>
  <si>
    <t>RTFE</t>
  </si>
  <si>
    <r>
      <t>PACKING GLAND (</t>
    </r>
    <r>
      <rPr>
        <b/>
        <sz val="9"/>
        <rFont val="돋움"/>
        <family val="3"/>
        <charset val="129"/>
      </rPr>
      <t>소재</t>
    </r>
    <r>
      <rPr>
        <b/>
        <sz val="9"/>
        <rFont val="Arial"/>
        <family val="2"/>
      </rPr>
      <t>+</t>
    </r>
    <r>
      <rPr>
        <b/>
        <sz val="9"/>
        <rFont val="돋움"/>
        <family val="3"/>
        <charset val="129"/>
      </rPr>
      <t>가공비</t>
    </r>
    <r>
      <rPr>
        <b/>
        <sz val="9"/>
        <rFont val="Arial"/>
        <family val="2"/>
      </rPr>
      <t>)</t>
    </r>
    <phoneticPr fontId="8" type="noConversion"/>
  </si>
  <si>
    <r>
      <t>END COVER (</t>
    </r>
    <r>
      <rPr>
        <b/>
        <sz val="9"/>
        <rFont val="돋움"/>
        <family val="3"/>
        <charset val="129"/>
      </rPr>
      <t>소재</t>
    </r>
    <r>
      <rPr>
        <b/>
        <sz val="9"/>
        <rFont val="Arial"/>
        <family val="2"/>
      </rPr>
      <t>+</t>
    </r>
    <r>
      <rPr>
        <b/>
        <sz val="9"/>
        <rFont val="돋움"/>
        <family val="3"/>
        <charset val="129"/>
      </rPr>
      <t>가공비</t>
    </r>
    <r>
      <rPr>
        <b/>
        <sz val="9"/>
        <rFont val="Arial"/>
        <family val="2"/>
      </rPr>
      <t>)</t>
    </r>
    <phoneticPr fontId="8" type="noConversion"/>
  </si>
  <si>
    <t>소재비</t>
    <phoneticPr fontId="8" type="noConversion"/>
  </si>
  <si>
    <t>합</t>
    <phoneticPr fontId="8" type="noConversion"/>
  </si>
  <si>
    <t>외주가공 WAFER</t>
    <phoneticPr fontId="8" type="noConversion"/>
  </si>
  <si>
    <t>외주가공 LUG</t>
    <phoneticPr fontId="8" type="noConversion"/>
  </si>
  <si>
    <t>외주가공 FLANGE</t>
    <phoneticPr fontId="8" type="noConversion"/>
  </si>
  <si>
    <t>RETAINER RING</t>
    <phoneticPr fontId="8" type="noConversion"/>
  </si>
  <si>
    <t>STEM</t>
    <phoneticPr fontId="8" type="noConversion"/>
  </si>
  <si>
    <r>
      <t>PACKING (</t>
    </r>
    <r>
      <rPr>
        <b/>
        <sz val="9"/>
        <rFont val="돋움"/>
        <family val="3"/>
        <charset val="129"/>
      </rPr>
      <t>완제품</t>
    </r>
    <r>
      <rPr>
        <b/>
        <sz val="9"/>
        <rFont val="Arial"/>
        <family val="2"/>
      </rPr>
      <t>)</t>
    </r>
    <phoneticPr fontId="8" type="noConversion"/>
  </si>
  <si>
    <t>RTFE</t>
    <phoneticPr fontId="8" type="noConversion"/>
  </si>
  <si>
    <r>
      <t>PTFE PACKING (</t>
    </r>
    <r>
      <rPr>
        <b/>
        <sz val="9"/>
        <rFont val="돋움"/>
        <family val="3"/>
        <charset val="129"/>
      </rPr>
      <t>완제품</t>
    </r>
    <r>
      <rPr>
        <b/>
        <sz val="9"/>
        <rFont val="Arial"/>
        <family val="2"/>
      </rPr>
      <t>)</t>
    </r>
    <phoneticPr fontId="8" type="noConversion"/>
  </si>
  <si>
    <t>OLD</t>
    <phoneticPr fontId="8" type="noConversion"/>
  </si>
  <si>
    <t>NEW</t>
    <phoneticPr fontId="8" type="noConversion"/>
  </si>
  <si>
    <t>SIZE</t>
    <phoneticPr fontId="8" type="noConversion"/>
  </si>
  <si>
    <t>DN50</t>
    <phoneticPr fontId="8" type="noConversion"/>
  </si>
  <si>
    <t>DN65</t>
    <phoneticPr fontId="8" type="noConversion"/>
  </si>
  <si>
    <t>DN80</t>
    <phoneticPr fontId="8" type="noConversion"/>
  </si>
  <si>
    <t>DN100</t>
    <phoneticPr fontId="8" type="noConversion"/>
  </si>
  <si>
    <t>DN125</t>
    <phoneticPr fontId="8" type="noConversion"/>
  </si>
  <si>
    <t>DN150</t>
    <phoneticPr fontId="8" type="noConversion"/>
  </si>
  <si>
    <t>DN200</t>
    <phoneticPr fontId="8" type="noConversion"/>
  </si>
  <si>
    <t>DN250</t>
    <phoneticPr fontId="8" type="noConversion"/>
  </si>
  <si>
    <t>DN300</t>
  </si>
  <si>
    <t>DN350</t>
  </si>
  <si>
    <t>DN400</t>
  </si>
  <si>
    <t>DN450</t>
  </si>
  <si>
    <t>DN500</t>
  </si>
  <si>
    <t>DN600</t>
  </si>
  <si>
    <t>DN650</t>
  </si>
  <si>
    <t>DN700</t>
  </si>
  <si>
    <t>DN750</t>
  </si>
  <si>
    <t>DN800</t>
  </si>
  <si>
    <t>DN900</t>
  </si>
  <si>
    <t>DN1000</t>
  </si>
  <si>
    <t>차액</t>
    <phoneticPr fontId="8" type="noConversion"/>
  </si>
  <si>
    <t>REMARK ( 변경 내용)
구매부로 확인 받은 소재</t>
    <phoneticPr fontId="8" type="noConversion"/>
  </si>
  <si>
    <t>(1)BODY 외주 가공비 반영
(2)TEFLON SEAT/ METAL TEFLON SEAT 가격 반영
(3)RETAINER RING 반영
(4)PACKING 반영
(5)PACKING GLANGD 반영
(6)END COVER 반영
(7)STEM 가공비 반영</t>
    <phoneticPr fontId="8" type="noConversion"/>
  </si>
  <si>
    <t>(1)TEFLON SEAT / METAL TEFLON SEAT 반영
(2)RETAINER RING 반영</t>
    <phoneticPr fontId="8" type="noConversion"/>
  </si>
  <si>
    <t>Hi-performance - LUG 기준 (BODY : WCB / DISC : CF8M/ SEAT : RTFE/ STEM : A564 T630)</t>
    <phoneticPr fontId="8" type="noConversion"/>
  </si>
  <si>
    <r>
      <rPr>
        <sz val="11"/>
        <rFont val="돋움"/>
        <family val="3"/>
        <charset val="129"/>
      </rPr>
      <t>주강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콘센트릭</t>
    </r>
    <phoneticPr fontId="8" type="noConversion"/>
  </si>
  <si>
    <t>10 BAR</t>
  </si>
  <si>
    <t>CF8</t>
  </si>
  <si>
    <t>CF8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</si>
</sst>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6" formatCode="&quot;₩&quot;#,##0;[Red]\-&quot;₩&quot;#,##0"/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&quot;₩&quot;#,##0;[Red]&quot;₩&quot;&quot;₩&quot;&quot;₩&quot;&quot;₩&quot;&quot;₩&quot;&quot;₩&quot;\-&quot;₩&quot;#,##0"/>
    <numFmt numFmtId="179" formatCode="_-* #,##0.0_-;\-* #,##0.0_-;_-* &quot;-&quot;_-;_-@_-"/>
    <numFmt numFmtId="180" formatCode="_ &quot;₩&quot;* #,##0_ ;_ &quot;₩&quot;* \-#,##0_ ;_ &quot;₩&quot;* &quot;-&quot;_ ;_ @_ "/>
    <numFmt numFmtId="181" formatCode="_-* #,##0.00_-;\-* #,##0.00_-;_-* &quot;-&quot;_-;_-@_-"/>
    <numFmt numFmtId="182" formatCode="#,###&quot; / MM &quot;"/>
    <numFmt numFmtId="183" formatCode="&quot;$&quot;#,##0.00;\-&quot;$&quot;#,##0.00"/>
    <numFmt numFmtId="184" formatCode="&quot;$&quot;#,##0;[Red]\-&quot;$&quot;#,##0"/>
    <numFmt numFmtId="185" formatCode="&quot;$&quot;#,##0.00;[Red]\-&quot;$&quot;#,##0.00"/>
    <numFmt numFmtId="186" formatCode="0.00_)"/>
    <numFmt numFmtId="187" formatCode="_([$€-2]* #,##0.00_);_([$€-2]* \(#,##0.00\);_([$€-2]* &quot;-&quot;??_)"/>
    <numFmt numFmtId="188" formatCode="0.0_ "/>
    <numFmt numFmtId="189" formatCode="0_);[Red]\(0\)"/>
    <numFmt numFmtId="190" formatCode="&quot;US$&quot;#,##0.00"/>
    <numFmt numFmtId="191" formatCode="&quot;₩&quot;#,##0"/>
    <numFmt numFmtId="192" formatCode="#,##0_ "/>
    <numFmt numFmtId="193" formatCode="#,##0.0_ "/>
    <numFmt numFmtId="194" formatCode="0.00_);[Red]\(0.00\)"/>
    <numFmt numFmtId="195" formatCode="&quot;₩&quot;#,##0_);[Red]\(&quot;₩&quot;#,##0\)"/>
  </numFmts>
  <fonts count="58"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뼻뮝"/>
      <family val="1"/>
      <charset val="129"/>
    </font>
    <font>
      <sz val="10"/>
      <name val="Arial"/>
      <family val="2"/>
    </font>
    <font>
      <sz val="10"/>
      <name val="明朝"/>
      <family val="1"/>
      <charset val="128"/>
    </font>
    <font>
      <u/>
      <sz val="10"/>
      <color indexed="12"/>
      <name val="Arial"/>
      <family val="2"/>
    </font>
    <font>
      <sz val="12"/>
      <name val="¹UAAA¼"/>
      <family val="3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9"/>
      <name val="굴림"/>
      <family val="3"/>
      <charset val="129"/>
    </font>
    <font>
      <sz val="11"/>
      <name val="Arial"/>
      <family val="2"/>
    </font>
    <font>
      <sz val="11"/>
      <name val="돋움"/>
      <family val="3"/>
      <charset val="129"/>
    </font>
    <font>
      <sz val="12"/>
      <name val="Tms Rmn"/>
      <family val="1"/>
    </font>
    <font>
      <sz val="1"/>
      <color indexed="8"/>
      <name val="Courier"/>
      <family val="3"/>
    </font>
    <font>
      <sz val="10"/>
      <name val="MS Sans Serif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i/>
      <sz val="12"/>
      <color indexed="10"/>
      <name val="Courier New"/>
      <family val="3"/>
    </font>
    <font>
      <sz val="7"/>
      <name val="Small Fonts"/>
      <family val="2"/>
    </font>
    <font>
      <b/>
      <i/>
      <sz val="16"/>
      <name val="Helv"/>
      <family val="2"/>
    </font>
    <font>
      <b/>
      <sz val="12"/>
      <color indexed="8"/>
      <name val="ConGEsansBol67"/>
      <family val="1"/>
    </font>
    <font>
      <sz val="18"/>
      <color indexed="12"/>
      <name val="MS Sans Serif"/>
      <family val="2"/>
    </font>
    <font>
      <b/>
      <sz val="16"/>
      <name val="견명조"/>
      <family val="1"/>
      <charset val="129"/>
    </font>
    <font>
      <b/>
      <sz val="14"/>
      <name val="돋움"/>
      <family val="3"/>
      <charset val="129"/>
    </font>
    <font>
      <b/>
      <sz val="9"/>
      <name val="돋움"/>
      <family val="3"/>
      <charset val="129"/>
    </font>
    <font>
      <b/>
      <sz val="9"/>
      <name val="굴림"/>
      <family val="3"/>
      <charset val="129"/>
    </font>
    <font>
      <sz val="9"/>
      <color indexed="10"/>
      <name val="굴림"/>
      <family val="3"/>
      <charset val="129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sz val="10"/>
      <name val="돋움"/>
      <family val="3"/>
      <charset val="129"/>
    </font>
    <font>
      <i/>
      <sz val="9"/>
      <name val="굴림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name val="Arial"/>
      <family val="2"/>
    </font>
    <font>
      <sz val="9"/>
      <color indexed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8"/>
      <name val="맑은 고딕"/>
      <family val="3"/>
      <charset val="129"/>
    </font>
    <font>
      <u/>
      <sz val="10"/>
      <color indexed="12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name val="바탕"/>
      <family val="1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11"/>
      <name val="맑은 고딕"/>
      <family val="3"/>
      <charset val="129"/>
      <scheme val="major"/>
    </font>
    <font>
      <b/>
      <sz val="15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12" fillId="0" borderId="0" applyNumberFormat="0" applyFill="0" applyBorder="0" applyAlignment="0" applyProtection="0"/>
    <xf numFmtId="0" fontId="6" fillId="0" borderId="0"/>
    <xf numFmtId="0" fontId="13" fillId="0" borderId="0">
      <protection locked="0"/>
    </xf>
    <xf numFmtId="38" fontId="14" fillId="0" borderId="0" applyFont="0" applyFill="0" applyBorder="0" applyAlignment="0" applyProtection="0"/>
    <xf numFmtId="177" fontId="3" fillId="0" borderId="0" applyFont="0" applyFill="0" applyBorder="0" applyAlignment="0" applyProtection="0"/>
    <xf numFmtId="3" fontId="15" fillId="0" borderId="0" applyFont="0" applyFill="0" applyBorder="0" applyAlignment="0" applyProtection="0"/>
    <xf numFmtId="183" fontId="3" fillId="0" borderId="0" applyFill="0" applyBorder="0" applyAlignment="0" applyProtection="0"/>
    <xf numFmtId="182" fontId="7" fillId="0" borderId="0" applyFont="0" applyFill="0" applyBorder="0" applyAlignment="0" applyProtection="0"/>
    <xf numFmtId="178" fontId="3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15" fillId="0" borderId="0" applyFont="0" applyFill="0" applyBorder="0" applyAlignment="0" applyProtection="0"/>
    <xf numFmtId="187" fontId="3" fillId="0" borderId="0" applyFont="0" applyFill="0" applyBorder="0" applyAlignment="0" applyProtection="0"/>
    <xf numFmtId="2" fontId="15" fillId="0" borderId="0" applyFont="0" applyFill="0" applyBorder="0" applyAlignment="0" applyProtection="0"/>
    <xf numFmtId="38" fontId="16" fillId="2" borderId="0" applyNumberFormat="0" applyBorder="0" applyAlignment="0" applyProtection="0"/>
    <xf numFmtId="0" fontId="17" fillId="0" borderId="1" applyNumberFormat="0" applyAlignment="0" applyProtection="0">
      <alignment horizontal="left" vertical="center"/>
    </xf>
    <xf numFmtId="0" fontId="17" fillId="0" borderId="2">
      <alignment horizontal="left"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0" fontId="16" fillId="3" borderId="3" applyNumberFormat="0" applyBorder="0" applyAlignment="0" applyProtection="0"/>
    <xf numFmtId="0" fontId="20" fillId="0" borderId="4" applyNumberFormat="0" applyBorder="0" applyAlignment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37" fontId="21" fillId="0" borderId="0"/>
    <xf numFmtId="0" fontId="3" fillId="0" borderId="0" applyNumberFormat="0" applyFill="0" applyBorder="0" applyAlignment="0" applyProtection="0"/>
    <xf numFmtId="186" fontId="22" fillId="0" borderId="0"/>
    <xf numFmtId="0" fontId="3" fillId="0" borderId="0"/>
    <xf numFmtId="10" fontId="3" fillId="0" borderId="0" applyFill="0" applyBorder="0" applyAlignment="0" applyProtection="0"/>
    <xf numFmtId="10" fontId="3" fillId="0" borderId="0" applyFont="0" applyFill="0" applyBorder="0" applyAlignment="0" applyProtection="0"/>
    <xf numFmtId="9" fontId="14" fillId="0" borderId="5" applyNumberFormat="0" applyBorder="0"/>
    <xf numFmtId="0" fontId="23" fillId="0" borderId="0" applyProtection="0"/>
    <xf numFmtId="0" fontId="24" fillId="2" borderId="0">
      <alignment horizontal="centerContinuous"/>
    </xf>
    <xf numFmtId="0" fontId="15" fillId="0" borderId="6" applyNumberFormat="0" applyFont="0" applyFill="0" applyAlignment="0" applyProtection="0"/>
    <xf numFmtId="0" fontId="2" fillId="0" borderId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20">
    <xf numFmtId="0" fontId="0" fillId="0" borderId="0" xfId="0"/>
    <xf numFmtId="0" fontId="3" fillId="0" borderId="0" xfId="40" applyFont="1" applyAlignment="1">
      <alignment vertical="center"/>
    </xf>
    <xf numFmtId="0" fontId="3" fillId="0" borderId="0" xfId="40" applyNumberFormat="1" applyFont="1" applyAlignment="1">
      <alignment vertical="center"/>
    </xf>
    <xf numFmtId="0" fontId="11" fillId="0" borderId="0" xfId="42" applyAlignment="1">
      <alignment vertical="center"/>
    </xf>
    <xf numFmtId="41" fontId="27" fillId="0" borderId="0" xfId="36" applyFont="1" applyAlignment="1">
      <alignment vertical="center"/>
    </xf>
    <xf numFmtId="0" fontId="28" fillId="4" borderId="3" xfId="42" applyFont="1" applyFill="1" applyBorder="1" applyAlignment="1">
      <alignment horizontal="center" vertical="center"/>
    </xf>
    <xf numFmtId="0" fontId="28" fillId="4" borderId="3" xfId="42" applyFont="1" applyFill="1" applyBorder="1" applyAlignment="1">
      <alignment vertical="center"/>
    </xf>
    <xf numFmtId="0" fontId="28" fillId="0" borderId="0" xfId="42" applyFont="1" applyBorder="1" applyAlignment="1">
      <alignment horizontal="center" vertical="center"/>
    </xf>
    <xf numFmtId="0" fontId="9" fillId="0" borderId="0" xfId="42" applyFont="1" applyAlignment="1">
      <alignment vertical="center"/>
    </xf>
    <xf numFmtId="0" fontId="9" fillId="0" borderId="3" xfId="42" applyFont="1" applyBorder="1" applyAlignment="1">
      <alignment vertical="center" shrinkToFit="1"/>
    </xf>
    <xf numFmtId="0" fontId="9" fillId="0" borderId="3" xfId="42" applyFont="1" applyBorder="1" applyAlignment="1">
      <alignment horizontal="center" vertical="center" shrinkToFit="1"/>
    </xf>
    <xf numFmtId="0" fontId="9" fillId="0" borderId="3" xfId="42" applyFont="1" applyBorder="1" applyAlignment="1">
      <alignment vertical="center"/>
    </xf>
    <xf numFmtId="41" fontId="28" fillId="0" borderId="0" xfId="36" applyFont="1" applyAlignment="1">
      <alignment vertical="center"/>
    </xf>
    <xf numFmtId="0" fontId="9" fillId="4" borderId="3" xfId="42" applyFont="1" applyFill="1" applyBorder="1" applyAlignment="1">
      <alignment horizontal="center" vertical="center" shrinkToFit="1"/>
    </xf>
    <xf numFmtId="0" fontId="9" fillId="4" borderId="3" xfId="42" applyFont="1" applyFill="1" applyBorder="1" applyAlignment="1">
      <alignment vertical="center"/>
    </xf>
    <xf numFmtId="41" fontId="28" fillId="4" borderId="3" xfId="42" applyNumberFormat="1" applyFont="1" applyFill="1" applyBorder="1" applyAlignment="1">
      <alignment vertical="center"/>
    </xf>
    <xf numFmtId="181" fontId="9" fillId="4" borderId="3" xfId="36" applyNumberFormat="1" applyFont="1" applyFill="1" applyBorder="1" applyAlignment="1">
      <alignment horizontal="center" vertical="center" shrinkToFit="1"/>
    </xf>
    <xf numFmtId="41" fontId="28" fillId="4" borderId="3" xfId="36" applyFont="1" applyFill="1" applyBorder="1" applyAlignment="1">
      <alignment vertical="center"/>
    </xf>
    <xf numFmtId="188" fontId="9" fillId="4" borderId="3" xfId="42" applyNumberFormat="1" applyFont="1" applyFill="1" applyBorder="1" applyAlignment="1">
      <alignment horizontal="center" vertical="center"/>
    </xf>
    <xf numFmtId="0" fontId="9" fillId="0" borderId="3" xfId="42" applyFont="1" applyBorder="1" applyAlignment="1">
      <alignment horizontal="center" vertical="center"/>
    </xf>
    <xf numFmtId="0" fontId="28" fillId="4" borderId="3" xfId="42" applyFont="1" applyFill="1" applyBorder="1" applyAlignment="1">
      <alignment vertical="center" shrinkToFit="1"/>
    </xf>
    <xf numFmtId="0" fontId="9" fillId="4" borderId="3" xfId="42" applyFont="1" applyFill="1" applyBorder="1" applyAlignment="1">
      <alignment horizontal="center" vertical="center"/>
    </xf>
    <xf numFmtId="41" fontId="28" fillId="0" borderId="0" xfId="36" applyFont="1" applyAlignment="1">
      <alignment horizontal="center" vertical="center"/>
    </xf>
    <xf numFmtId="0" fontId="30" fillId="0" borderId="0" xfId="42" applyFont="1" applyAlignment="1">
      <alignment vertical="center"/>
    </xf>
    <xf numFmtId="41" fontId="31" fillId="0" borderId="0" xfId="36" applyFont="1" applyAlignment="1">
      <alignment vertical="center"/>
    </xf>
    <xf numFmtId="0" fontId="32" fillId="0" borderId="0" xfId="42" applyFont="1" applyAlignment="1">
      <alignment vertical="center"/>
    </xf>
    <xf numFmtId="0" fontId="3" fillId="0" borderId="0" xfId="4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3" fillId="5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28" fillId="4" borderId="8" xfId="42" applyFont="1" applyFill="1" applyBorder="1" applyAlignment="1">
      <alignment horizontal="center" vertical="center"/>
    </xf>
    <xf numFmtId="41" fontId="28" fillId="0" borderId="0" xfId="36" applyFont="1" applyBorder="1" applyAlignment="1">
      <alignment horizontal="right" vertical="center"/>
    </xf>
    <xf numFmtId="0" fontId="10" fillId="0" borderId="1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192" fontId="3" fillId="6" borderId="7" xfId="4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92" fontId="10" fillId="7" borderId="3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9" fillId="6" borderId="3" xfId="42" applyFont="1" applyFill="1" applyBorder="1" applyAlignment="1">
      <alignment horizontal="center" vertical="center" shrinkToFit="1"/>
    </xf>
    <xf numFmtId="0" fontId="9" fillId="6" borderId="3" xfId="42" applyFont="1" applyFill="1" applyBorder="1" applyAlignment="1">
      <alignment vertical="center"/>
    </xf>
    <xf numFmtId="41" fontId="28" fillId="6" borderId="3" xfId="42" applyNumberFormat="1" applyFont="1" applyFill="1" applyBorder="1" applyAlignment="1">
      <alignment vertical="center"/>
    </xf>
    <xf numFmtId="0" fontId="9" fillId="6" borderId="3" xfId="42" applyFont="1" applyFill="1" applyBorder="1" applyAlignment="1">
      <alignment horizontal="center" vertical="center"/>
    </xf>
    <xf numFmtId="0" fontId="28" fillId="6" borderId="3" xfId="42" applyFont="1" applyFill="1" applyBorder="1" applyAlignment="1">
      <alignment vertical="center"/>
    </xf>
    <xf numFmtId="41" fontId="9" fillId="6" borderId="3" xfId="42" applyNumberFormat="1" applyFont="1" applyFill="1" applyBorder="1" applyAlignment="1">
      <alignment vertical="center" shrinkToFit="1"/>
    </xf>
    <xf numFmtId="43" fontId="10" fillId="4" borderId="3" xfId="0" applyNumberFormat="1" applyFont="1" applyFill="1" applyBorder="1" applyAlignment="1">
      <alignment horizontal="center"/>
    </xf>
    <xf numFmtId="0" fontId="10" fillId="0" borderId="0" xfId="0" applyFont="1" applyFill="1" applyBorder="1" applyAlignment="1"/>
    <xf numFmtId="0" fontId="10" fillId="0" borderId="5" xfId="0" applyFont="1" applyFill="1" applyBorder="1" applyAlignment="1">
      <alignment horizontal="center"/>
    </xf>
    <xf numFmtId="0" fontId="3" fillId="0" borderId="0" xfId="40" applyFont="1" applyBorder="1" applyAlignment="1">
      <alignment vertical="center"/>
    </xf>
    <xf numFmtId="0" fontId="3" fillId="6" borderId="7" xfId="40" applyFont="1" applyFill="1" applyBorder="1" applyAlignment="1">
      <alignment horizontal="center" vertical="center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/>
    <xf numFmtId="192" fontId="3" fillId="0" borderId="0" xfId="40" applyNumberFormat="1" applyFont="1" applyFill="1" applyBorder="1" applyAlignment="1">
      <alignment vertical="center" wrapText="1"/>
    </xf>
    <xf numFmtId="192" fontId="3" fillId="0" borderId="0" xfId="40" applyNumberFormat="1" applyFont="1" applyFill="1" applyBorder="1" applyAlignment="1">
      <alignment vertical="center"/>
    </xf>
    <xf numFmtId="0" fontId="3" fillId="8" borderId="0" xfId="40" applyNumberFormat="1" applyFont="1" applyFill="1" applyAlignment="1">
      <alignment vertical="center"/>
    </xf>
    <xf numFmtId="0" fontId="10" fillId="3" borderId="10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29" fillId="0" borderId="11" xfId="42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shrinkToFit="1"/>
    </xf>
    <xf numFmtId="0" fontId="10" fillId="4" borderId="7" xfId="0" applyFont="1" applyFill="1" applyBorder="1" applyAlignment="1">
      <alignment horizontal="center" vertical="center" shrinkToFit="1"/>
    </xf>
    <xf numFmtId="43" fontId="10" fillId="0" borderId="0" xfId="0" applyNumberFormat="1" applyFont="1" applyFill="1" applyBorder="1" applyAlignment="1">
      <alignment horizontal="center"/>
    </xf>
    <xf numFmtId="0" fontId="10" fillId="0" borderId="11" xfId="0" applyFont="1" applyFill="1" applyBorder="1" applyAlignment="1"/>
    <xf numFmtId="0" fontId="10" fillId="6" borderId="7" xfId="0" applyFont="1" applyFill="1" applyBorder="1" applyAlignment="1">
      <alignment horizontal="center" vertical="center"/>
    </xf>
    <xf numFmtId="0" fontId="38" fillId="0" borderId="8" xfId="42" applyFont="1" applyFill="1" applyBorder="1" applyAlignment="1">
      <alignment horizontal="left" vertical="center" shrinkToFit="1"/>
    </xf>
    <xf numFmtId="0" fontId="38" fillId="0" borderId="10" xfId="42" applyFont="1" applyFill="1" applyBorder="1" applyAlignment="1">
      <alignment horizontal="center" vertical="center" shrinkToFit="1"/>
    </xf>
    <xf numFmtId="0" fontId="38" fillId="0" borderId="3" xfId="42" applyFont="1" applyFill="1" applyBorder="1" applyAlignment="1">
      <alignment vertical="center"/>
    </xf>
    <xf numFmtId="179" fontId="38" fillId="0" borderId="3" xfId="36" applyNumberFormat="1" applyFont="1" applyFill="1" applyBorder="1" applyAlignment="1">
      <alignment vertical="center"/>
    </xf>
    <xf numFmtId="41" fontId="38" fillId="0" borderId="12" xfId="36" applyFont="1" applyFill="1" applyBorder="1" applyAlignment="1">
      <alignment vertical="center"/>
    </xf>
    <xf numFmtId="0" fontId="38" fillId="0" borderId="13" xfId="42" applyFont="1" applyFill="1" applyBorder="1" applyAlignment="1">
      <alignment horizontal="left" vertical="center" shrinkToFit="1"/>
    </xf>
    <xf numFmtId="0" fontId="38" fillId="0" borderId="3" xfId="42" applyFont="1" applyFill="1" applyBorder="1" applyAlignment="1">
      <alignment horizontal="center" vertical="center"/>
    </xf>
    <xf numFmtId="41" fontId="38" fillId="0" borderId="3" xfId="36" applyFont="1" applyFill="1" applyBorder="1" applyAlignment="1">
      <alignment vertical="center"/>
    </xf>
    <xf numFmtId="0" fontId="38" fillId="0" borderId="3" xfId="42" applyFont="1" applyFill="1" applyBorder="1" applyAlignment="1">
      <alignment vertical="center" shrinkToFit="1"/>
    </xf>
    <xf numFmtId="0" fontId="38" fillId="0" borderId="14" xfId="42" applyFont="1" applyFill="1" applyBorder="1" applyAlignment="1">
      <alignment horizontal="center" vertical="center" shrinkToFit="1"/>
    </xf>
    <xf numFmtId="0" fontId="38" fillId="0" borderId="3" xfId="42" applyFont="1" applyFill="1" applyBorder="1" applyAlignment="1">
      <alignment horizontal="center" vertical="center" shrinkToFit="1"/>
    </xf>
    <xf numFmtId="181" fontId="38" fillId="0" borderId="3" xfId="36" applyNumberFormat="1" applyFont="1" applyFill="1" applyBorder="1" applyAlignment="1">
      <alignment vertical="center"/>
    </xf>
    <xf numFmtId="179" fontId="39" fillId="0" borderId="3" xfId="36" applyNumberFormat="1" applyFont="1" applyFill="1" applyBorder="1" applyAlignment="1">
      <alignment vertical="center"/>
    </xf>
    <xf numFmtId="179" fontId="38" fillId="0" borderId="3" xfId="42" applyNumberFormat="1" applyFont="1" applyFill="1" applyBorder="1" applyAlignment="1">
      <alignment vertical="center"/>
    </xf>
    <xf numFmtId="0" fontId="38" fillId="4" borderId="3" xfId="42" applyFont="1" applyFill="1" applyBorder="1" applyAlignment="1">
      <alignment horizontal="center" vertical="center"/>
    </xf>
    <xf numFmtId="0" fontId="40" fillId="4" borderId="3" xfId="42" applyFont="1" applyFill="1" applyBorder="1" applyAlignment="1">
      <alignment horizontal="left" vertical="center" shrinkToFit="1"/>
    </xf>
    <xf numFmtId="0" fontId="38" fillId="4" borderId="3" xfId="42" applyFont="1" applyFill="1" applyBorder="1" applyAlignment="1">
      <alignment horizontal="center" vertical="center" shrinkToFit="1"/>
    </xf>
    <xf numFmtId="0" fontId="38" fillId="4" borderId="3" xfId="42" applyFont="1" applyFill="1" applyBorder="1" applyAlignment="1">
      <alignment vertical="center"/>
    </xf>
    <xf numFmtId="41" fontId="38" fillId="4" borderId="3" xfId="36" applyFont="1" applyFill="1" applyBorder="1" applyAlignment="1">
      <alignment vertical="center"/>
    </xf>
    <xf numFmtId="41" fontId="40" fillId="4" borderId="3" xfId="42" applyNumberFormat="1" applyFont="1" applyFill="1" applyBorder="1" applyAlignment="1">
      <alignment vertical="center"/>
    </xf>
    <xf numFmtId="41" fontId="40" fillId="0" borderId="0" xfId="36" applyFont="1" applyAlignment="1">
      <alignment vertical="center"/>
    </xf>
    <xf numFmtId="0" fontId="38" fillId="0" borderId="0" xfId="42" applyFont="1" applyAlignment="1">
      <alignment vertical="center"/>
    </xf>
    <xf numFmtId="0" fontId="38" fillId="0" borderId="3" xfId="42" applyFont="1" applyBorder="1" applyAlignment="1">
      <alignment vertical="center" shrinkToFit="1"/>
    </xf>
    <xf numFmtId="0" fontId="38" fillId="0" borderId="3" xfId="42" applyFont="1" applyBorder="1" applyAlignment="1">
      <alignment horizontal="center" vertical="center" shrinkToFit="1"/>
    </xf>
    <xf numFmtId="0" fontId="38" fillId="0" borderId="3" xfId="42" applyFont="1" applyBorder="1" applyAlignment="1">
      <alignment vertical="center"/>
    </xf>
    <xf numFmtId="0" fontId="40" fillId="4" borderId="3" xfId="42" applyFont="1" applyFill="1" applyBorder="1" applyAlignment="1">
      <alignment vertical="center"/>
    </xf>
    <xf numFmtId="181" fontId="38" fillId="4" borderId="3" xfId="36" applyNumberFormat="1" applyFont="1" applyFill="1" applyBorder="1" applyAlignment="1">
      <alignment horizontal="center" vertical="center" shrinkToFit="1"/>
    </xf>
    <xf numFmtId="41" fontId="40" fillId="4" borderId="3" xfId="36" applyFont="1" applyFill="1" applyBorder="1" applyAlignment="1">
      <alignment vertical="center"/>
    </xf>
    <xf numFmtId="188" fontId="38" fillId="4" borderId="3" xfId="42" applyNumberFormat="1" applyFont="1" applyFill="1" applyBorder="1" applyAlignment="1">
      <alignment horizontal="center" vertical="center"/>
    </xf>
    <xf numFmtId="0" fontId="38" fillId="0" borderId="3" xfId="42" applyFont="1" applyBorder="1" applyAlignment="1">
      <alignment horizontal="center" vertical="center"/>
    </xf>
    <xf numFmtId="0" fontId="40" fillId="4" borderId="3" xfId="42" applyFont="1" applyFill="1" applyBorder="1" applyAlignment="1">
      <alignment vertical="center" shrinkToFit="1"/>
    </xf>
    <xf numFmtId="41" fontId="40" fillId="0" borderId="0" xfId="36" applyFont="1" applyAlignment="1">
      <alignment horizontal="center" vertical="center"/>
    </xf>
    <xf numFmtId="0" fontId="40" fillId="6" borderId="3" xfId="42" applyFont="1" applyFill="1" applyBorder="1" applyAlignment="1">
      <alignment vertical="center"/>
    </xf>
    <xf numFmtId="0" fontId="38" fillId="6" borderId="3" xfId="42" applyFont="1" applyFill="1" applyBorder="1" applyAlignment="1">
      <alignment horizontal="center" vertical="center" shrinkToFit="1"/>
    </xf>
    <xf numFmtId="0" fontId="38" fillId="6" borderId="3" xfId="42" applyFont="1" applyFill="1" applyBorder="1" applyAlignment="1">
      <alignment horizontal="center" vertical="center"/>
    </xf>
    <xf numFmtId="41" fontId="38" fillId="6" borderId="3" xfId="42" applyNumberFormat="1" applyFont="1" applyFill="1" applyBorder="1" applyAlignment="1">
      <alignment vertical="center" shrinkToFit="1"/>
    </xf>
    <xf numFmtId="0" fontId="38" fillId="6" borderId="3" xfId="42" applyFont="1" applyFill="1" applyBorder="1" applyAlignment="1">
      <alignment vertical="center"/>
    </xf>
    <xf numFmtId="41" fontId="40" fillId="6" borderId="3" xfId="42" applyNumberFormat="1" applyFont="1" applyFill="1" applyBorder="1" applyAlignment="1">
      <alignment vertical="center"/>
    </xf>
    <xf numFmtId="0" fontId="38" fillId="0" borderId="3" xfId="0" applyFont="1" applyFill="1" applyBorder="1" applyAlignment="1">
      <alignment horizontal="center" vertical="center"/>
    </xf>
    <xf numFmtId="41" fontId="38" fillId="0" borderId="3" xfId="36" applyFont="1" applyFill="1" applyBorder="1" applyAlignment="1">
      <alignment horizontal="center" vertical="center"/>
    </xf>
    <xf numFmtId="193" fontId="38" fillId="0" borderId="3" xfId="40" applyNumberFormat="1" applyFont="1" applyFill="1" applyBorder="1" applyAlignment="1">
      <alignment horizontal="center" vertical="center"/>
    </xf>
    <xf numFmtId="194" fontId="38" fillId="0" borderId="3" xfId="36" applyNumberFormat="1" applyFont="1" applyFill="1" applyBorder="1" applyAlignment="1">
      <alignment horizontal="center" vertical="center"/>
    </xf>
    <xf numFmtId="41" fontId="38" fillId="0" borderId="3" xfId="36" applyFont="1" applyFill="1" applyBorder="1" applyAlignment="1">
      <alignment horizontal="right" vertical="center"/>
    </xf>
    <xf numFmtId="41" fontId="38" fillId="0" borderId="10" xfId="36" applyFont="1" applyFill="1" applyBorder="1" applyAlignment="1">
      <alignment vertical="center"/>
    </xf>
    <xf numFmtId="0" fontId="42" fillId="0" borderId="0" xfId="42" applyFont="1" applyAlignment="1">
      <alignment horizontal="centerContinuous" vertical="center"/>
    </xf>
    <xf numFmtId="0" fontId="42" fillId="0" borderId="0" xfId="42" applyFont="1" applyAlignment="1">
      <alignment horizontal="center" vertical="center"/>
    </xf>
    <xf numFmtId="0" fontId="10" fillId="0" borderId="0" xfId="42" applyFont="1" applyAlignment="1">
      <alignment vertical="center"/>
    </xf>
    <xf numFmtId="0" fontId="43" fillId="0" borderId="0" xfId="42" applyFont="1" applyAlignment="1">
      <alignment horizontal="left" vertical="center"/>
    </xf>
    <xf numFmtId="0" fontId="43" fillId="0" borderId="0" xfId="42" applyFont="1" applyAlignment="1">
      <alignment vertical="center"/>
    </xf>
    <xf numFmtId="31" fontId="43" fillId="0" borderId="0" xfId="42" applyNumberFormat="1" applyFont="1" applyAlignment="1">
      <alignment vertical="center"/>
    </xf>
    <xf numFmtId="194" fontId="38" fillId="0" borderId="3" xfId="36" applyNumberFormat="1" applyFont="1" applyFill="1" applyBorder="1" applyAlignment="1">
      <alignment vertical="center"/>
    </xf>
    <xf numFmtId="41" fontId="38" fillId="0" borderId="3" xfId="42" applyNumberFormat="1" applyFont="1" applyFill="1" applyBorder="1" applyAlignment="1">
      <alignment vertical="center"/>
    </xf>
    <xf numFmtId="41" fontId="38" fillId="0" borderId="3" xfId="42" applyNumberFormat="1" applyFont="1" applyFill="1" applyBorder="1" applyAlignment="1">
      <alignment horizontal="right" vertical="center"/>
    </xf>
    <xf numFmtId="41" fontId="40" fillId="0" borderId="0" xfId="36" applyFont="1" applyFill="1" applyBorder="1" applyAlignment="1">
      <alignment vertical="center"/>
    </xf>
    <xf numFmtId="0" fontId="38" fillId="0" borderId="0" xfId="42" applyFont="1" applyFill="1" applyBorder="1" applyAlignment="1">
      <alignment vertical="center"/>
    </xf>
    <xf numFmtId="0" fontId="38" fillId="0" borderId="0" xfId="42" applyFont="1" applyFill="1" applyAlignment="1">
      <alignment vertical="center"/>
    </xf>
    <xf numFmtId="41" fontId="40" fillId="0" borderId="3" xfId="36" applyFont="1" applyFill="1" applyBorder="1" applyAlignment="1">
      <alignment horizontal="center" vertical="center"/>
    </xf>
    <xf numFmtId="0" fontId="40" fillId="0" borderId="3" xfId="42" applyFont="1" applyFill="1" applyBorder="1" applyAlignment="1">
      <alignment horizontal="center" vertical="center"/>
    </xf>
    <xf numFmtId="41" fontId="40" fillId="0" borderId="3" xfId="36" applyFont="1" applyFill="1" applyBorder="1" applyAlignment="1">
      <alignment vertical="center"/>
    </xf>
    <xf numFmtId="41" fontId="40" fillId="0" borderId="0" xfId="36" applyFont="1" applyFill="1" applyAlignment="1">
      <alignment vertical="center"/>
    </xf>
    <xf numFmtId="193" fontId="38" fillId="0" borderId="3" xfId="40" applyNumberFormat="1" applyFont="1" applyFill="1" applyBorder="1" applyAlignment="1">
      <alignment horizontal="right" vertical="center"/>
    </xf>
    <xf numFmtId="192" fontId="38" fillId="0" borderId="3" xfId="40" applyNumberFormat="1" applyFont="1" applyFill="1" applyBorder="1" applyAlignment="1">
      <alignment horizontal="right" vertical="center"/>
    </xf>
    <xf numFmtId="41" fontId="38" fillId="0" borderId="10" xfId="42" applyNumberFormat="1" applyFont="1" applyFill="1" applyBorder="1" applyAlignment="1">
      <alignment vertical="center"/>
    </xf>
    <xf numFmtId="189" fontId="38" fillId="0" borderId="3" xfId="36" applyNumberFormat="1" applyFont="1" applyFill="1" applyBorder="1" applyAlignment="1">
      <alignment vertical="center"/>
    </xf>
    <xf numFmtId="41" fontId="40" fillId="0" borderId="3" xfId="42" applyNumberFormat="1" applyFont="1" applyFill="1" applyBorder="1" applyAlignment="1">
      <alignment horizontal="center" vertical="center"/>
    </xf>
    <xf numFmtId="41" fontId="40" fillId="0" borderId="3" xfId="42" applyNumberFormat="1" applyFont="1" applyFill="1" applyBorder="1" applyAlignment="1">
      <alignment vertical="center"/>
    </xf>
    <xf numFmtId="0" fontId="38" fillId="0" borderId="3" xfId="42" applyFont="1" applyFill="1" applyBorder="1" applyAlignment="1">
      <alignment vertical="center" wrapText="1"/>
    </xf>
    <xf numFmtId="0" fontId="40" fillId="0" borderId="3" xfId="42" applyFont="1" applyFill="1" applyBorder="1" applyAlignment="1">
      <alignment vertical="center"/>
    </xf>
    <xf numFmtId="181" fontId="38" fillId="0" borderId="3" xfId="36" applyNumberFormat="1" applyFont="1" applyFill="1" applyBorder="1" applyAlignment="1">
      <alignment horizontal="center" vertical="center" shrinkToFit="1"/>
    </xf>
    <xf numFmtId="188" fontId="38" fillId="0" borderId="3" xfId="42" applyNumberFormat="1" applyFont="1" applyFill="1" applyBorder="1" applyAlignment="1">
      <alignment horizontal="center" vertical="center"/>
    </xf>
    <xf numFmtId="0" fontId="9" fillId="0" borderId="11" xfId="42" applyFont="1" applyFill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 wrapText="1"/>
    </xf>
    <xf numFmtId="0" fontId="48" fillId="0" borderId="3" xfId="0" applyFont="1" applyBorder="1" applyAlignment="1">
      <alignment vertical="center"/>
    </xf>
    <xf numFmtId="0" fontId="48" fillId="0" borderId="14" xfId="0" applyFont="1" applyBorder="1" applyAlignment="1">
      <alignment vertical="center"/>
    </xf>
    <xf numFmtId="0" fontId="33" fillId="0" borderId="3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shrinkToFit="1"/>
    </xf>
    <xf numFmtId="0" fontId="33" fillId="0" borderId="3" xfId="0" applyFont="1" applyBorder="1" applyAlignment="1">
      <alignment horizontal="left" vertical="center" wrapText="1"/>
    </xf>
    <xf numFmtId="0" fontId="33" fillId="0" borderId="3" xfId="0" applyFont="1" applyFill="1" applyBorder="1" applyAlignment="1">
      <alignment horizontal="center" vertical="center"/>
    </xf>
    <xf numFmtId="0" fontId="49" fillId="0" borderId="12" xfId="0" applyFont="1" applyFill="1" applyBorder="1" applyAlignment="1">
      <alignment horizontal="center" vertical="center"/>
    </xf>
    <xf numFmtId="0" fontId="50" fillId="0" borderId="3" xfId="0" applyFont="1" applyFill="1" applyBorder="1" applyAlignment="1">
      <alignment horizontal="center" vertical="center"/>
    </xf>
    <xf numFmtId="0" fontId="33" fillId="0" borderId="3" xfId="0" applyFont="1" applyFill="1" applyBorder="1" applyAlignment="1">
      <alignment horizontal="center" vertical="center" shrinkToFit="1"/>
    </xf>
    <xf numFmtId="0" fontId="33" fillId="0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0" fontId="49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49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3" fillId="10" borderId="3" xfId="0" applyFont="1" applyFill="1" applyBorder="1" applyAlignment="1">
      <alignment horizontal="center" vertical="center"/>
    </xf>
    <xf numFmtId="0" fontId="51" fillId="8" borderId="0" xfId="40" applyNumberFormat="1" applyFont="1" applyFill="1" applyAlignment="1">
      <alignment vertical="center"/>
    </xf>
    <xf numFmtId="0" fontId="51" fillId="0" borderId="0" xfId="40" applyFont="1" applyAlignment="1">
      <alignment vertical="center"/>
    </xf>
    <xf numFmtId="0" fontId="38" fillId="10" borderId="3" xfId="0" applyFont="1" applyFill="1" applyBorder="1" applyAlignment="1">
      <alignment horizontal="center" vertical="center"/>
    </xf>
    <xf numFmtId="0" fontId="38" fillId="10" borderId="3" xfId="42" applyFont="1" applyFill="1" applyBorder="1" applyAlignment="1">
      <alignment horizontal="center" vertical="center" shrinkToFit="1"/>
    </xf>
    <xf numFmtId="194" fontId="38" fillId="10" borderId="3" xfId="36" applyNumberFormat="1" applyFont="1" applyFill="1" applyBorder="1" applyAlignment="1">
      <alignment vertical="center"/>
    </xf>
    <xf numFmtId="193" fontId="38" fillId="10" borderId="3" xfId="40" applyNumberFormat="1" applyFont="1" applyFill="1" applyBorder="1" applyAlignment="1">
      <alignment horizontal="right" vertical="center"/>
    </xf>
    <xf numFmtId="43" fontId="52" fillId="4" borderId="3" xfId="0" applyNumberFormat="1" applyFont="1" applyFill="1" applyBorder="1" applyAlignment="1">
      <alignment horizontal="center"/>
    </xf>
    <xf numFmtId="41" fontId="53" fillId="10" borderId="3" xfId="36" applyFont="1" applyFill="1" applyBorder="1" applyAlignment="1">
      <alignment vertical="center"/>
    </xf>
    <xf numFmtId="190" fontId="40" fillId="0" borderId="0" xfId="36" applyNumberFormat="1" applyFont="1" applyFill="1" applyBorder="1" applyAlignment="1">
      <alignment vertical="center"/>
    </xf>
    <xf numFmtId="41" fontId="54" fillId="10" borderId="3" xfId="36" applyFont="1" applyFill="1" applyBorder="1" applyAlignment="1">
      <alignment vertical="center"/>
    </xf>
    <xf numFmtId="191" fontId="28" fillId="0" borderId="0" xfId="42" applyNumberFormat="1" applyFont="1" applyAlignment="1">
      <alignment vertical="center"/>
    </xf>
    <xf numFmtId="191" fontId="38" fillId="0" borderId="0" xfId="42" applyNumberFormat="1" applyFont="1" applyFill="1" applyAlignment="1">
      <alignment vertical="center"/>
    </xf>
    <xf numFmtId="191" fontId="27" fillId="0" borderId="0" xfId="42" applyNumberFormat="1" applyFont="1" applyFill="1" applyAlignment="1">
      <alignment vertical="center"/>
    </xf>
    <xf numFmtId="191" fontId="40" fillId="0" borderId="0" xfId="36" applyNumberFormat="1" applyFont="1" applyFill="1" applyBorder="1" applyAlignment="1">
      <alignment vertical="center"/>
    </xf>
    <xf numFmtId="195" fontId="38" fillId="0" borderId="0" xfId="42" applyNumberFormat="1" applyFont="1" applyFill="1" applyAlignment="1">
      <alignment vertical="center"/>
    </xf>
    <xf numFmtId="195" fontId="40" fillId="0" borderId="0" xfId="36" applyNumberFormat="1" applyFont="1" applyFill="1" applyBorder="1" applyAlignment="1">
      <alignment vertical="center"/>
    </xf>
    <xf numFmtId="41" fontId="54" fillId="10" borderId="3" xfId="36" applyFont="1" applyFill="1" applyBorder="1" applyAlignment="1">
      <alignment horizontal="right" vertical="center"/>
    </xf>
    <xf numFmtId="192" fontId="54" fillId="10" borderId="3" xfId="40" applyNumberFormat="1" applyFont="1" applyFill="1" applyBorder="1" applyAlignment="1">
      <alignment horizontal="right" vertical="center"/>
    </xf>
    <xf numFmtId="41" fontId="53" fillId="10" borderId="3" xfId="42" applyNumberFormat="1" applyFont="1" applyFill="1" applyBorder="1" applyAlignment="1">
      <alignment vertical="center"/>
    </xf>
    <xf numFmtId="41" fontId="54" fillId="10" borderId="3" xfId="42" applyNumberFormat="1" applyFont="1" applyFill="1" applyBorder="1" applyAlignment="1">
      <alignment vertical="center"/>
    </xf>
    <xf numFmtId="41" fontId="53" fillId="10" borderId="3" xfId="42" applyNumberFormat="1" applyFont="1" applyFill="1" applyBorder="1" applyAlignment="1">
      <alignment horizontal="right" vertical="center"/>
    </xf>
    <xf numFmtId="41" fontId="54" fillId="10" borderId="3" xfId="42" applyNumberFormat="1" applyFont="1" applyFill="1" applyBorder="1" applyAlignment="1">
      <alignment horizontal="right" vertical="center"/>
    </xf>
    <xf numFmtId="41" fontId="40" fillId="10" borderId="3" xfId="36" applyFont="1" applyFill="1" applyBorder="1" applyAlignment="1">
      <alignment vertical="center"/>
    </xf>
    <xf numFmtId="0" fontId="55" fillId="0" borderId="0" xfId="0" applyFont="1"/>
    <xf numFmtId="0" fontId="55" fillId="0" borderId="0" xfId="0" applyFont="1" applyAlignment="1">
      <alignment horizontal="center"/>
    </xf>
    <xf numFmtId="191" fontId="55" fillId="0" borderId="0" xfId="0" applyNumberFormat="1" applyFont="1" applyAlignment="1">
      <alignment horizontal="center"/>
    </xf>
    <xf numFmtId="0" fontId="56" fillId="0" borderId="0" xfId="0" applyFont="1"/>
    <xf numFmtId="0" fontId="55" fillId="0" borderId="3" xfId="0" applyFont="1" applyBorder="1" applyAlignment="1">
      <alignment horizontal="center" vertical="center"/>
    </xf>
    <xf numFmtId="191" fontId="55" fillId="0" borderId="3" xfId="0" applyNumberFormat="1" applyFont="1" applyBorder="1" applyAlignment="1">
      <alignment horizontal="center" vertical="center"/>
    </xf>
    <xf numFmtId="6" fontId="55" fillId="0" borderId="3" xfId="0" applyNumberFormat="1" applyFont="1" applyBorder="1" applyAlignment="1">
      <alignment horizontal="center" vertical="center"/>
    </xf>
    <xf numFmtId="0" fontId="55" fillId="10" borderId="3" xfId="0" applyFont="1" applyFill="1" applyBorder="1" applyAlignment="1">
      <alignment horizontal="center" vertical="center"/>
    </xf>
    <xf numFmtId="0" fontId="55" fillId="10" borderId="3" xfId="0" applyFont="1" applyFill="1" applyBorder="1" applyAlignment="1">
      <alignment horizontal="center" vertical="center" wrapText="1"/>
    </xf>
    <xf numFmtId="0" fontId="55" fillId="0" borderId="15" xfId="0" applyFont="1" applyBorder="1" applyAlignment="1">
      <alignment horizontal="center"/>
    </xf>
    <xf numFmtId="0" fontId="55" fillId="0" borderId="3" xfId="0" applyFont="1" applyBorder="1" applyAlignment="1">
      <alignment horizontal="left" vertical="top" wrapText="1"/>
    </xf>
    <xf numFmtId="0" fontId="0" fillId="0" borderId="0" xfId="42" applyFont="1" applyAlignment="1">
      <alignment vertical="center"/>
    </xf>
    <xf numFmtId="0" fontId="47" fillId="0" borderId="0" xfId="42" applyFont="1" applyAlignment="1">
      <alignment vertical="center"/>
    </xf>
    <xf numFmtId="0" fontId="10" fillId="0" borderId="8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5" fillId="4" borderId="17" xfId="43" applyFill="1" applyBorder="1" applyAlignment="1" applyProtection="1">
      <alignment horizontal="center"/>
    </xf>
    <xf numFmtId="0" fontId="5" fillId="4" borderId="18" xfId="43" applyFill="1" applyBorder="1" applyAlignment="1" applyProtection="1">
      <alignment horizontal="center"/>
    </xf>
    <xf numFmtId="0" fontId="38" fillId="0" borderId="3" xfId="42" applyFont="1" applyFill="1" applyBorder="1" applyAlignment="1">
      <alignment horizontal="center" vertical="center"/>
    </xf>
    <xf numFmtId="0" fontId="40" fillId="0" borderId="12" xfId="42" applyFont="1" applyFill="1" applyBorder="1" applyAlignment="1">
      <alignment horizontal="center" vertical="center"/>
    </xf>
    <xf numFmtId="0" fontId="40" fillId="0" borderId="2" xfId="42" applyFont="1" applyFill="1" applyBorder="1" applyAlignment="1">
      <alignment horizontal="center" vertical="center"/>
    </xf>
    <xf numFmtId="0" fontId="40" fillId="0" borderId="10" xfId="42" applyFont="1" applyFill="1" applyBorder="1" applyAlignment="1">
      <alignment horizontal="center" vertical="center"/>
    </xf>
    <xf numFmtId="0" fontId="38" fillId="0" borderId="8" xfId="42" applyFont="1" applyFill="1" applyBorder="1" applyAlignment="1">
      <alignment horizontal="center" vertical="center"/>
    </xf>
    <xf numFmtId="0" fontId="38" fillId="0" borderId="16" xfId="42" applyFont="1" applyFill="1" applyBorder="1" applyAlignment="1">
      <alignment horizontal="center" vertical="center"/>
    </xf>
    <xf numFmtId="0" fontId="38" fillId="0" borderId="14" xfId="42" applyFont="1" applyFill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48" fillId="0" borderId="12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/>
    </xf>
  </cellXfs>
  <cellStyles count="44">
    <cellStyle name="Body" xfId="1"/>
    <cellStyle name="C￥AØ_¿μ¾÷CoE² " xfId="2"/>
    <cellStyle name="Comma" xfId="3"/>
    <cellStyle name="Comma [0]" xfId="4"/>
    <cellStyle name="Comma_ SG&amp;A Bridge " xfId="5"/>
    <cellStyle name="Comma0" xfId="6"/>
    <cellStyle name="Currency" xfId="7"/>
    <cellStyle name="Currency [0]" xfId="8"/>
    <cellStyle name="Currency_ SG&amp;A Bridge " xfId="9"/>
    <cellStyle name="Currency0" xfId="10"/>
    <cellStyle name="Date" xfId="11"/>
    <cellStyle name="Euro" xfId="12"/>
    <cellStyle name="Fixed" xfId="13"/>
    <cellStyle name="Grey" xfId="14"/>
    <cellStyle name="Header1" xfId="15"/>
    <cellStyle name="Header2" xfId="16"/>
    <cellStyle name="Heading 1" xfId="17"/>
    <cellStyle name="Heading 2" xfId="18"/>
    <cellStyle name="Input [yellow]" xfId="19"/>
    <cellStyle name="KIB" xfId="20"/>
    <cellStyle name="Milliers [0]_AR1194" xfId="21"/>
    <cellStyle name="Milliers_AR1194" xfId="22"/>
    <cellStyle name="Monétaire [0]_AR1194" xfId="23"/>
    <cellStyle name="Monétaire_AR1194" xfId="24"/>
    <cellStyle name="no dec" xfId="25"/>
    <cellStyle name="normal" xfId="26"/>
    <cellStyle name="Normal - Style1" xfId="27"/>
    <cellStyle name="Normal_ SG&amp;A Bridge " xfId="28"/>
    <cellStyle name="Percent" xfId="29"/>
    <cellStyle name="Percent [2]" xfId="30"/>
    <cellStyle name="PERCENTAGE" xfId="31"/>
    <cellStyle name="Red Title" xfId="32"/>
    <cellStyle name="Title" xfId="33"/>
    <cellStyle name="Total" xfId="34"/>
    <cellStyle name="뷭?_BOOKSHIP" xfId="35"/>
    <cellStyle name="쉼표 [0]" xfId="36" builtinId="6"/>
    <cellStyle name="쉼표 [0] 2" xfId="37"/>
    <cellStyle name="콤마 [0]_#16" xfId="38"/>
    <cellStyle name="콤마_#16" xfId="39"/>
    <cellStyle name="표준" xfId="0" builtinId="0"/>
    <cellStyle name="표준_계장MOV BM" xfId="40"/>
    <cellStyle name="標準_物性値_1" xfId="41"/>
    <cellStyle name="표준_원가분석-RASLAFFAN-AB2" xfId="42"/>
    <cellStyle name="하이퍼링크" xfId="4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731520</xdr:colOff>
      <xdr:row>2</xdr:row>
      <xdr:rowOff>91440</xdr:rowOff>
    </xdr:from>
    <xdr:to>
      <xdr:col>10</xdr:col>
      <xdr:colOff>243840</xdr:colOff>
      <xdr:row>7</xdr:row>
      <xdr:rowOff>144780</xdr:rowOff>
    </xdr:to>
    <xdr:sp macro="" textlink="">
      <xdr:nvSpPr>
        <xdr:cNvPr id="1849" name="AutoShape 2"/>
        <xdr:cNvSpPr>
          <a:spLocks noChangeArrowheads="1"/>
        </xdr:cNvSpPr>
      </xdr:nvSpPr>
      <xdr:spPr bwMode="auto">
        <a:xfrm>
          <a:off x="731520" y="426720"/>
          <a:ext cx="8656320" cy="891540"/>
        </a:xfrm>
        <a:prstGeom prst="ribbon2">
          <a:avLst>
            <a:gd name="adj1" fmla="val 12500"/>
            <a:gd name="adj2" fmla="val 50000"/>
          </a:avLst>
        </a:prstGeom>
        <a:solidFill>
          <a:srgbClr val="FFFFCC">
            <a:alpha val="61960"/>
          </a:srgbClr>
        </a:solidFill>
        <a:ln w="9525">
          <a:solidFill>
            <a:srgbClr val="800080"/>
          </a:solidFill>
          <a:prstDash val="lgDash"/>
          <a:round/>
          <a:headEnd/>
          <a:tailEnd/>
        </a:ln>
      </xdr:spPr>
    </xdr:sp>
    <xdr:clientData/>
  </xdr:twoCellAnchor>
  <xdr:twoCellAnchor>
    <xdr:from>
      <xdr:col>2</xdr:col>
      <xdr:colOff>575717</xdr:colOff>
      <xdr:row>2</xdr:row>
      <xdr:rowOff>154040</xdr:rowOff>
    </xdr:from>
    <xdr:to>
      <xdr:col>8</xdr:col>
      <xdr:colOff>46121</xdr:colOff>
      <xdr:row>7</xdr:row>
      <xdr:rowOff>38173</xdr:rowOff>
    </xdr:to>
    <xdr:sp macro="" textlink="">
      <xdr:nvSpPr>
        <xdr:cNvPr id="1027" name="AutoShape 3"/>
        <xdr:cNvSpPr>
          <a:spLocks noChangeArrowheads="1"/>
        </xdr:cNvSpPr>
      </xdr:nvSpPr>
      <xdr:spPr bwMode="auto">
        <a:xfrm>
          <a:off x="2828925" y="455294"/>
          <a:ext cx="4454581" cy="694055"/>
        </a:xfrm>
        <a:prstGeom prst="flowChartProcess">
          <a:avLst/>
        </a:prstGeom>
        <a:solidFill>
          <a:srgbClr val="FFFFCC">
            <a:alpha val="70000"/>
          </a:srgbClr>
        </a:solidFill>
        <a:ln>
          <a:noFill/>
        </a:ln>
      </xdr:spPr>
      <xdr:txBody>
        <a:bodyPr vertOverflow="clip" wrap="square" lIns="54864" tIns="32004" rIns="54864" bIns="0" anchor="t" upright="1"/>
        <a:lstStyle/>
        <a:p>
          <a:pPr algn="ctr" rtl="0">
            <a:lnSpc>
              <a:spcPts val="2400"/>
            </a:lnSpc>
            <a:defRPr sz="1000"/>
          </a:pPr>
          <a:r>
            <a:rPr lang="en-US" altLang="ko-KR" sz="2000" b="1" i="0" u="none" strike="noStrike" baseline="0">
              <a:solidFill>
                <a:srgbClr val="808000"/>
              </a:solidFill>
              <a:latin typeface="돋움"/>
              <a:ea typeface="돋움"/>
            </a:rPr>
            <a:t>2018 HIGH PERFORMANCE </a:t>
          </a:r>
          <a:r>
            <a:rPr lang="ko-KR" altLang="en-US" sz="2000" b="1" i="0" u="none" strike="noStrike" baseline="0">
              <a:solidFill>
                <a:srgbClr val="808000"/>
              </a:solidFill>
              <a:latin typeface="돋움"/>
              <a:ea typeface="돋움"/>
            </a:rPr>
            <a:t>원가분석표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&#49900;&#44221;&#49453;\My%20Documents\Jebel%20Ali%20KII\MOBI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ydj\&#48376;&#49324;&#44204;&#51201;\&#46748;&#47476;&#45124;\&#51105;&#46041;&#49324;&#45768;\&#49884;&#54665;&#44552;&#5052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My%20Documents\Gulf(Enel)\&#44228;&#51109;\EREC%20SUM(REV.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WINNT\Profiles\eric.gocho\Personal\Book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Program%20Files\Microsoft%20Office\office\price.x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Proposal_PJT&#51088;&#47308;\PROPOSAL\Fujairah%20Desal\&#50696;&#47049;&#44396;&#47588;(Fujairah%20Piping)\&#50696;&#47049;&#44396;&#47588;BOM\Piping%20Specialty\PMS\loss&#44228;&#49328;-TAWEELAH-msf-jan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&#48320;&#50864;&#50689;\project%20files\Forcados%20project\piping\piping\CBE_HHI_R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44053;&#54805;&#44540;\KANNUR2000\BM_Kannu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posal_PJT&#51088;&#47308;\PROPOSAL\Fujairah%20Desal\&#50696;&#47049;&#44396;&#47588;(Fujairah%20Piping)\&#50696;&#47049;&#44396;&#47588;BOM\Piping%20Specialty\PMS\loss&#44228;&#49328;-TAWEELAH-msf-jan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Project\Fujairah\Valve\Valve%20list%20&#51228;&#52636;\My%20Documents\Excel\Jebel-K\Valvelist-Jebel-'K'(4Units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50896;&#44032;%20TABLE/02.HP/2014%20High-Perfomance%20&#50896;&#44032;%20Tab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100A"/>
      <sheetName val="125A"/>
      <sheetName val="150A"/>
      <sheetName val="200A"/>
      <sheetName val="250A"/>
      <sheetName val="300A"/>
      <sheetName val="350A"/>
      <sheetName val="400A"/>
      <sheetName val="450A"/>
      <sheetName val="500A"/>
      <sheetName val="550A"/>
      <sheetName val="600A"/>
      <sheetName val="650A"/>
      <sheetName val="700A"/>
      <sheetName val="750A"/>
      <sheetName val="800A"/>
      <sheetName val="850A"/>
      <sheetName val="900A"/>
      <sheetName val="950A"/>
      <sheetName val="1000A"/>
      <sheetName val="1050A"/>
      <sheetName val="1100A"/>
      <sheetName val="1200A"/>
      <sheetName val="1300A"/>
      <sheetName val="1400A"/>
      <sheetName val="1500A"/>
      <sheetName val="1600A"/>
      <sheetName val="1700A"/>
      <sheetName val="1800A"/>
      <sheetName val="1900A"/>
      <sheetName val="1950A"/>
      <sheetName val="2000A"/>
      <sheetName val="2100A"/>
      <sheetName val="2250A"/>
      <sheetName val="2500A"/>
      <sheetName val="h-013211-2"/>
      <sheetName val="A7"/>
      <sheetName val="MOBIL"/>
      <sheetName val="COVER"/>
      <sheetName val="영업2"/>
      <sheetName val="영업3"/>
      <sheetName val="Sheet1"/>
      <sheetName val="Reference"/>
      <sheetName val="Eq. Mobilization"/>
      <sheetName val="DRUM"/>
      <sheetName val="대비표"/>
      <sheetName val="집계표(OPTION)"/>
      <sheetName val="Sheet2"/>
      <sheetName val="물량"/>
      <sheetName val="은행"/>
      <sheetName val="ENE-CAL"/>
      <sheetName val="실행(ALT1)"/>
      <sheetName val="토목주소"/>
      <sheetName val="프랜트면허"/>
      <sheetName val="잡철물"/>
      <sheetName val="시화점실행"/>
      <sheetName val="CAL1"/>
      <sheetName val="배명(단가)"/>
      <sheetName val="CB"/>
      <sheetName val="집계표"/>
      <sheetName val="Labour Norms"/>
      <sheetName val="Hot Pipe Rem Rep New"/>
      <sheetName val="Cold Pipe Rem Rep New"/>
    </sheetNames>
    <sheetDataSet>
      <sheetData sheetId="0" refreshError="1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결재용 대비 금액"/>
      <sheetName val="견적대비 시행 "/>
      <sheetName val="FWBS7000,8000"/>
      <sheetName val="비교표"/>
      <sheetName val="MANPOWER"/>
      <sheetName val="CONSUMABLE"/>
      <sheetName val="산출근거"/>
      <sheetName val="BULK"/>
      <sheetName val="TOOL"/>
      <sheetName val="TEST"/>
      <sheetName val="CABLE TRAY"/>
      <sheetName val="Sheet1"/>
      <sheetName val="문제점"/>
      <sheetName val="DCS"/>
      <sheetName val="CMS"/>
      <sheetName val="INSTRUMENT"/>
      <sheetName val="VALVE"/>
      <sheetName val="CABLETRN"/>
      <sheetName val="CBLINJ"/>
      <sheetName val="F.O CABLE TERMI"/>
      <sheetName val="TRAY&amp;LADDER"/>
      <sheetName val="LOCAL INDICATION"/>
      <sheetName val="ANALYSER"/>
      <sheetName val="F&amp;G"/>
      <sheetName val="CABLE"/>
      <sheetName val="ANALYSIS SYS"/>
      <sheetName val="condition"/>
      <sheetName val="견적근거"/>
      <sheetName val="DCS ESD 3RD FG"/>
      <sheetName val="F&amp;G DETECTOR"/>
      <sheetName val="LOCAL FIELD"/>
      <sheetName val="FO RO VALVE"/>
      <sheetName val="package"/>
      <sheetName val="CABLErev1"/>
      <sheetName val="CABLE TC rev1"/>
      <sheetName val="TUBE"/>
      <sheetName val="TFTG"/>
      <sheetName val="PIPE"/>
      <sheetName val="PFTrev"/>
      <sheetName val="VLVrev1"/>
      <sheetName val="GLDrev1"/>
      <sheetName val="JB"/>
      <sheetName val="TRAY"/>
      <sheetName val="SUPPrev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추가"/>
      <sheetName val="총괄"/>
      <sheetName val="EREC SUM"/>
      <sheetName val="비교"/>
      <sheetName val="A1"/>
      <sheetName val="A2"/>
      <sheetName val="A3"/>
      <sheetName val="A4"/>
      <sheetName val="A5"/>
      <sheetName val="A6"/>
      <sheetName val="A7"/>
      <sheetName val="A8"/>
      <sheetName val="PRE-COMM'G"/>
      <sheetName val="SUM"/>
      <sheetName val="SUPPORT"/>
      <sheetName val="S-MATL"/>
      <sheetName val="SUM (물량비교))"/>
      <sheetName val="FWBS7000,8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>
        <row r="68">
          <cell r="S68">
            <v>16</v>
          </cell>
        </row>
      </sheetData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Book1"/>
      <sheetName val="#REF"/>
      <sheetName val="summary"/>
      <sheetName val="TF&amp;PS"/>
      <sheetName val="Piping Summary"/>
      <sheetName val="Product-part-a"/>
      <sheetName val="IO Mod List (2)"/>
      <sheetName val="IO Mod List (1)"/>
      <sheetName val="080-HIS-159"/>
      <sheetName val="080-HIS-160"/>
      <sheetName val="080-HIS-161"/>
      <sheetName val="080-HIS-162"/>
      <sheetName val="080-HIS-257"/>
      <sheetName val="080-HIS-258"/>
      <sheetName val="080-HIS-259"/>
      <sheetName val="080-HIS-260"/>
      <sheetName val="080-HIS-261"/>
      <sheetName val="080-HIS-262"/>
      <sheetName val="080-HIS-263"/>
      <sheetName val="080-HIS-264"/>
      <sheetName val="080-DCS-101"/>
      <sheetName val="080-DCS-102"/>
      <sheetName val="080-DCS-103"/>
      <sheetName val="080-DCS-104"/>
      <sheetName val="080-DCS-201"/>
      <sheetName val="080-DCS-202"/>
      <sheetName val="080-DCS-203"/>
      <sheetName val="080-DCS-204"/>
      <sheetName val="080-DCS-205"/>
      <sheetName val="080-DCS-206"/>
      <sheetName val="080-DCS-207"/>
      <sheetName val="14962"/>
      <sheetName val="14963"/>
      <sheetName val="14923"/>
      <sheetName val="55010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PumpSpec"/>
      <sheetName val="M-EQPT-Z"/>
      <sheetName val="ut"/>
      <sheetName val="t"/>
      <sheetName val="os"/>
      <sheetName val="PRO_DCI"/>
      <sheetName val="INST_DCI"/>
      <sheetName val="HVAC_DCI"/>
      <sheetName val="PIPE_DCI"/>
      <sheetName val="COVER"/>
      <sheetName val="SPARES"/>
      <sheetName val="일위대가집계표(이윤)"/>
      <sheetName val="일위대가집계표"/>
      <sheetName val="직접노무비산출근거(단가)"/>
      <sheetName val="목차"/>
      <sheetName val="공사설명서외"/>
      <sheetName val="설계명세서"/>
      <sheetName val="예산내역서"/>
      <sheetName val="일위대가"/>
      <sheetName val="XL4Poppy"/>
      <sheetName val="_x0001__x0000__x0001__x0000__xffff__xffff_ꤘ_x0000_"/>
      <sheetName val="[Command not available][Command"/>
      <sheetName val="#REF!"/>
      <sheetName val="7.6.3(B) UG Piping"/>
      <sheetName val="BQ"/>
      <sheetName val="Testing"/>
      <sheetName val="표지-2"/>
      <sheetName val="표지-1"/>
      <sheetName val="철골세우기"/>
      <sheetName val="장비사용계획"/>
      <sheetName val="판재LIST "/>
      <sheetName val="도장면적"/>
      <sheetName val="도장집계"/>
      <sheetName val="비파괴 검사"/>
      <sheetName val="형강재판재산출 "/>
      <sheetName val="비계공"/>
      <sheetName val="용접집계 "/>
      <sheetName val="용접집계표"/>
      <sheetName val="운반중량산출"/>
      <sheetName val="운반중량집계"/>
      <sheetName val="자재LIST"/>
      <sheetName val="가공총괄표"/>
      <sheetName val="총집계표"/>
      <sheetName val="철골가공조립"/>
      <sheetName val="단위중량표"/>
      <sheetName val="2공구산출내역"/>
      <sheetName val="단중표"/>
      <sheetName val="용선 C.L"/>
      <sheetName val="EXPAN-1"/>
      <sheetName val="cover "/>
      <sheetName val="제출"/>
      <sheetName val="제출 (2)"/>
      <sheetName val="compare"/>
      <sheetName val="1ST"/>
      <sheetName val="2F 회의실견적(5_14 일대)"/>
      <sheetName val="방수(씨텍)"/>
      <sheetName val="AL창호(기현-일성)"/>
      <sheetName val="인테리어(바우하우스전체)"/>
      <sheetName val="수리결과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환율표"/>
      <sheetName val="정부노임단가"/>
      <sheetName val="연돌일위집계"/>
      <sheetName val="당초"/>
      <sheetName val="DB_ET200(R. A)"/>
      <sheetName val="PSV2701F"/>
      <sheetName val="CODE"/>
      <sheetName val="TABLE"/>
      <sheetName val="인원현황"/>
      <sheetName val="공문"/>
      <sheetName val="참고"/>
      <sheetName val="LOAD 5 Wind "/>
      <sheetName val="D-3109"/>
      <sheetName val=" 견적서"/>
      <sheetName val="FCS0101-AIO"/>
      <sheetName val="FCS020101-AIO"/>
      <sheetName val="예산서"/>
      <sheetName val="REQDELTA"/>
      <sheetName val="Base_Data"/>
      <sheetName val="6.3.E.Insul (2)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Product-part-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lar bundle"/>
      <sheetName val="steam table"/>
      <sheetName val="loss계산-TAWEELAH-msf-jan6"/>
      <sheetName val="환율-LIBOR"/>
      <sheetName val="가시설(TYPE-A)"/>
      <sheetName val="1호맨홀가감수량"/>
      <sheetName val="1-1평균터파기고(1)"/>
      <sheetName val="1호맨홀수량산출"/>
    </sheetNames>
    <sheetDataSet>
      <sheetData sheetId="0" refreshError="1"/>
      <sheetData sheetId="1" refreshError="1">
        <row r="5">
          <cell r="N5">
            <v>20</v>
          </cell>
          <cell r="O5">
            <v>2454.3000000000002</v>
          </cell>
          <cell r="P5">
            <v>21</v>
          </cell>
          <cell r="Q5">
            <v>2452</v>
          </cell>
        </row>
        <row r="6">
          <cell r="N6">
            <v>21</v>
          </cell>
          <cell r="O6">
            <v>2452</v>
          </cell>
          <cell r="P6">
            <v>22</v>
          </cell>
          <cell r="Q6">
            <v>2449.6</v>
          </cell>
        </row>
        <row r="7">
          <cell r="N7">
            <v>22</v>
          </cell>
          <cell r="O7">
            <v>2449.6</v>
          </cell>
          <cell r="P7">
            <v>23</v>
          </cell>
          <cell r="Q7">
            <v>2447.1999999999998</v>
          </cell>
        </row>
        <row r="8">
          <cell r="N8">
            <v>23</v>
          </cell>
          <cell r="O8">
            <v>2447.1999999999998</v>
          </cell>
          <cell r="P8">
            <v>24</v>
          </cell>
          <cell r="Q8">
            <v>2444.9</v>
          </cell>
        </row>
        <row r="9">
          <cell r="N9">
            <v>24</v>
          </cell>
          <cell r="O9">
            <v>2444.9</v>
          </cell>
          <cell r="P9">
            <v>25</v>
          </cell>
          <cell r="Q9">
            <v>2442.5</v>
          </cell>
        </row>
        <row r="10">
          <cell r="N10">
            <v>25</v>
          </cell>
          <cell r="O10">
            <v>2442.5</v>
          </cell>
          <cell r="P10">
            <v>26</v>
          </cell>
          <cell r="Q10">
            <v>2440.1999999999998</v>
          </cell>
        </row>
        <row r="11">
          <cell r="N11">
            <v>26</v>
          </cell>
          <cell r="O11">
            <v>2440.1999999999998</v>
          </cell>
          <cell r="P11">
            <v>27</v>
          </cell>
          <cell r="Q11">
            <v>2437.8000000000002</v>
          </cell>
        </row>
        <row r="12">
          <cell r="N12">
            <v>27</v>
          </cell>
          <cell r="O12">
            <v>2437.8000000000002</v>
          </cell>
          <cell r="P12">
            <v>28</v>
          </cell>
          <cell r="Q12">
            <v>2435.4</v>
          </cell>
        </row>
        <row r="13">
          <cell r="N13">
            <v>28</v>
          </cell>
          <cell r="O13">
            <v>2435.4</v>
          </cell>
          <cell r="P13">
            <v>29</v>
          </cell>
          <cell r="Q13">
            <v>2433.1</v>
          </cell>
        </row>
        <row r="14">
          <cell r="N14">
            <v>29</v>
          </cell>
          <cell r="O14">
            <v>2433.1</v>
          </cell>
          <cell r="P14">
            <v>30</v>
          </cell>
          <cell r="Q14">
            <v>2430.6999999999998</v>
          </cell>
        </row>
        <row r="15">
          <cell r="N15">
            <v>30</v>
          </cell>
          <cell r="O15">
            <v>2430.6999999999998</v>
          </cell>
          <cell r="P15">
            <v>31</v>
          </cell>
          <cell r="Q15">
            <v>2428.3000000000002</v>
          </cell>
        </row>
        <row r="16">
          <cell r="N16">
            <v>31</v>
          </cell>
          <cell r="O16">
            <v>2428.3000000000002</v>
          </cell>
          <cell r="P16">
            <v>32</v>
          </cell>
          <cell r="Q16">
            <v>2425.9</v>
          </cell>
        </row>
        <row r="17">
          <cell r="N17">
            <v>32</v>
          </cell>
          <cell r="O17">
            <v>2425.9</v>
          </cell>
          <cell r="P17">
            <v>33</v>
          </cell>
          <cell r="Q17">
            <v>2423.6</v>
          </cell>
        </row>
        <row r="18">
          <cell r="N18">
            <v>33</v>
          </cell>
          <cell r="O18">
            <v>2423.6</v>
          </cell>
          <cell r="P18">
            <v>34</v>
          </cell>
          <cell r="Q18">
            <v>2421.1999999999998</v>
          </cell>
        </row>
        <row r="19">
          <cell r="N19">
            <v>34</v>
          </cell>
          <cell r="O19">
            <v>2421.1999999999998</v>
          </cell>
          <cell r="P19">
            <v>35</v>
          </cell>
          <cell r="Q19">
            <v>2418.8000000000002</v>
          </cell>
        </row>
        <row r="20">
          <cell r="N20">
            <v>35</v>
          </cell>
          <cell r="O20">
            <v>2418.8000000000002</v>
          </cell>
          <cell r="P20">
            <v>36</v>
          </cell>
          <cell r="Q20">
            <v>2416.4</v>
          </cell>
        </row>
        <row r="21">
          <cell r="N21">
            <v>36</v>
          </cell>
          <cell r="O21">
            <v>2416.4</v>
          </cell>
          <cell r="P21">
            <v>37</v>
          </cell>
          <cell r="Q21">
            <v>2414.1</v>
          </cell>
        </row>
        <row r="22">
          <cell r="N22">
            <v>37</v>
          </cell>
          <cell r="O22">
            <v>2414.1</v>
          </cell>
          <cell r="P22">
            <v>38</v>
          </cell>
          <cell r="Q22">
            <v>2411.6999999999998</v>
          </cell>
        </row>
        <row r="23">
          <cell r="N23">
            <v>38</v>
          </cell>
          <cell r="O23">
            <v>2411.6999999999998</v>
          </cell>
          <cell r="P23">
            <v>39</v>
          </cell>
          <cell r="Q23">
            <v>2409.3000000000002</v>
          </cell>
        </row>
        <row r="24">
          <cell r="N24">
            <v>39</v>
          </cell>
          <cell r="O24">
            <v>2409.3000000000002</v>
          </cell>
          <cell r="P24">
            <v>40</v>
          </cell>
          <cell r="Q24">
            <v>2406.9</v>
          </cell>
        </row>
        <row r="25">
          <cell r="N25">
            <v>40</v>
          </cell>
          <cell r="O25">
            <v>2406.9</v>
          </cell>
          <cell r="P25">
            <v>41</v>
          </cell>
          <cell r="Q25">
            <v>2404.5</v>
          </cell>
        </row>
        <row r="26">
          <cell r="N26">
            <v>41</v>
          </cell>
          <cell r="O26">
            <v>2404.5</v>
          </cell>
          <cell r="P26">
            <v>42</v>
          </cell>
          <cell r="Q26">
            <v>2402.1</v>
          </cell>
        </row>
        <row r="27">
          <cell r="N27">
            <v>42</v>
          </cell>
          <cell r="O27">
            <v>2402.1</v>
          </cell>
          <cell r="P27">
            <v>43</v>
          </cell>
          <cell r="Q27">
            <v>2399.6999999999998</v>
          </cell>
        </row>
        <row r="28">
          <cell r="N28">
            <v>43</v>
          </cell>
          <cell r="O28">
            <v>2399.6999999999998</v>
          </cell>
          <cell r="P28">
            <v>44</v>
          </cell>
          <cell r="Q28">
            <v>2397.3000000000002</v>
          </cell>
        </row>
        <row r="29">
          <cell r="N29">
            <v>44</v>
          </cell>
          <cell r="O29">
            <v>2397.3000000000002</v>
          </cell>
          <cell r="P29">
            <v>45</v>
          </cell>
          <cell r="Q29">
            <v>2394.9</v>
          </cell>
        </row>
        <row r="30">
          <cell r="N30">
            <v>45</v>
          </cell>
          <cell r="O30">
            <v>2394.9</v>
          </cell>
          <cell r="P30">
            <v>46</v>
          </cell>
          <cell r="Q30">
            <v>2392.5</v>
          </cell>
        </row>
        <row r="31">
          <cell r="N31">
            <v>46</v>
          </cell>
          <cell r="O31">
            <v>2392.5</v>
          </cell>
          <cell r="P31">
            <v>47</v>
          </cell>
          <cell r="Q31">
            <v>2390.1</v>
          </cell>
        </row>
        <row r="32">
          <cell r="N32">
            <v>47</v>
          </cell>
          <cell r="O32">
            <v>2390.1</v>
          </cell>
          <cell r="P32">
            <v>48</v>
          </cell>
          <cell r="Q32">
            <v>2387.6999999999998</v>
          </cell>
        </row>
        <row r="33">
          <cell r="N33">
            <v>48</v>
          </cell>
          <cell r="O33">
            <v>2387.6999999999998</v>
          </cell>
          <cell r="P33">
            <v>49</v>
          </cell>
          <cell r="Q33">
            <v>2385.3000000000002</v>
          </cell>
        </row>
        <row r="34">
          <cell r="N34">
            <v>49</v>
          </cell>
          <cell r="O34">
            <v>2385.3000000000002</v>
          </cell>
          <cell r="P34">
            <v>50</v>
          </cell>
          <cell r="Q34">
            <v>2382.9</v>
          </cell>
        </row>
        <row r="35">
          <cell r="N35">
            <v>50</v>
          </cell>
          <cell r="O35">
            <v>2382.9</v>
          </cell>
          <cell r="P35">
            <v>51</v>
          </cell>
          <cell r="Q35">
            <v>2380.5</v>
          </cell>
        </row>
        <row r="36">
          <cell r="N36">
            <v>51</v>
          </cell>
          <cell r="O36">
            <v>2380.5</v>
          </cell>
          <cell r="P36">
            <v>52</v>
          </cell>
          <cell r="Q36">
            <v>2378.1</v>
          </cell>
        </row>
        <row r="37">
          <cell r="N37">
            <v>52</v>
          </cell>
          <cell r="O37">
            <v>2378.1</v>
          </cell>
          <cell r="P37">
            <v>53</v>
          </cell>
          <cell r="Q37">
            <v>2375.6999999999998</v>
          </cell>
        </row>
        <row r="38">
          <cell r="N38">
            <v>53</v>
          </cell>
          <cell r="O38">
            <v>2375.6999999999998</v>
          </cell>
          <cell r="P38">
            <v>54</v>
          </cell>
          <cell r="Q38">
            <v>2373.1999999999998</v>
          </cell>
        </row>
        <row r="39">
          <cell r="N39">
            <v>54</v>
          </cell>
          <cell r="O39">
            <v>2373.1999999999998</v>
          </cell>
          <cell r="P39">
            <v>55</v>
          </cell>
          <cell r="Q39">
            <v>2370.8000000000002</v>
          </cell>
        </row>
        <row r="40">
          <cell r="N40">
            <v>55</v>
          </cell>
          <cell r="O40">
            <v>2370.8000000000002</v>
          </cell>
          <cell r="P40">
            <v>56</v>
          </cell>
          <cell r="Q40">
            <v>2368.4</v>
          </cell>
        </row>
        <row r="41">
          <cell r="N41">
            <v>56</v>
          </cell>
          <cell r="O41">
            <v>2368.4</v>
          </cell>
          <cell r="P41">
            <v>57</v>
          </cell>
          <cell r="Q41">
            <v>2365.9</v>
          </cell>
        </row>
        <row r="42">
          <cell r="N42">
            <v>57</v>
          </cell>
          <cell r="O42">
            <v>2365.9</v>
          </cell>
          <cell r="P42">
            <v>58</v>
          </cell>
          <cell r="Q42">
            <v>2363.5</v>
          </cell>
        </row>
        <row r="43">
          <cell r="N43">
            <v>58</v>
          </cell>
          <cell r="O43">
            <v>2363.5</v>
          </cell>
          <cell r="P43">
            <v>59</v>
          </cell>
          <cell r="Q43">
            <v>2361.1</v>
          </cell>
        </row>
        <row r="44">
          <cell r="N44">
            <v>59</v>
          </cell>
          <cell r="O44">
            <v>2361.1</v>
          </cell>
          <cell r="P44">
            <v>60</v>
          </cell>
          <cell r="Q44">
            <v>2358.6</v>
          </cell>
        </row>
        <row r="45">
          <cell r="N45">
            <v>60</v>
          </cell>
          <cell r="O45">
            <v>2358.6</v>
          </cell>
          <cell r="P45">
            <v>61</v>
          </cell>
          <cell r="Q45">
            <v>2356.1999999999998</v>
          </cell>
        </row>
        <row r="46">
          <cell r="N46">
            <v>61</v>
          </cell>
          <cell r="O46">
            <v>2356.1999999999998</v>
          </cell>
          <cell r="P46">
            <v>62</v>
          </cell>
          <cell r="Q46">
            <v>2353.6999999999998</v>
          </cell>
        </row>
        <row r="47">
          <cell r="N47">
            <v>62</v>
          </cell>
          <cell r="O47">
            <v>2353.6999999999998</v>
          </cell>
          <cell r="P47">
            <v>63</v>
          </cell>
          <cell r="Q47">
            <v>2351.3000000000002</v>
          </cell>
        </row>
        <row r="48">
          <cell r="N48">
            <v>63</v>
          </cell>
          <cell r="O48">
            <v>2351.3000000000002</v>
          </cell>
          <cell r="P48">
            <v>64</v>
          </cell>
          <cell r="Q48">
            <v>2348.8000000000002</v>
          </cell>
        </row>
        <row r="49">
          <cell r="N49">
            <v>64</v>
          </cell>
          <cell r="O49">
            <v>2348.8000000000002</v>
          </cell>
          <cell r="P49">
            <v>65</v>
          </cell>
          <cell r="Q49">
            <v>2346.3000000000002</v>
          </cell>
        </row>
        <row r="50">
          <cell r="N50">
            <v>65</v>
          </cell>
          <cell r="O50">
            <v>2346.3000000000002</v>
          </cell>
          <cell r="P50">
            <v>66</v>
          </cell>
          <cell r="Q50">
            <v>2343.9</v>
          </cell>
        </row>
        <row r="51">
          <cell r="N51">
            <v>66</v>
          </cell>
          <cell r="O51">
            <v>2343.9</v>
          </cell>
          <cell r="P51">
            <v>67</v>
          </cell>
          <cell r="Q51">
            <v>2341.4</v>
          </cell>
        </row>
        <row r="52">
          <cell r="N52">
            <v>67</v>
          </cell>
          <cell r="O52">
            <v>2341.4</v>
          </cell>
          <cell r="P52">
            <v>68</v>
          </cell>
          <cell r="Q52">
            <v>2338.9</v>
          </cell>
        </row>
        <row r="53">
          <cell r="N53">
            <v>68</v>
          </cell>
          <cell r="O53">
            <v>2338.9</v>
          </cell>
          <cell r="P53">
            <v>69</v>
          </cell>
          <cell r="Q53">
            <v>2336.4</v>
          </cell>
        </row>
        <row r="54">
          <cell r="N54">
            <v>69</v>
          </cell>
          <cell r="O54">
            <v>2336.4</v>
          </cell>
          <cell r="P54">
            <v>70</v>
          </cell>
          <cell r="Q54">
            <v>2334</v>
          </cell>
        </row>
        <row r="55">
          <cell r="N55">
            <v>70</v>
          </cell>
          <cell r="O55">
            <v>2334</v>
          </cell>
          <cell r="P55">
            <v>71</v>
          </cell>
          <cell r="Q55">
            <v>2331.5</v>
          </cell>
        </row>
        <row r="56">
          <cell r="N56">
            <v>71</v>
          </cell>
          <cell r="O56">
            <v>2331.5</v>
          </cell>
          <cell r="P56">
            <v>72</v>
          </cell>
          <cell r="Q56">
            <v>2329</v>
          </cell>
        </row>
        <row r="57">
          <cell r="N57">
            <v>72</v>
          </cell>
          <cell r="O57">
            <v>2329</v>
          </cell>
          <cell r="P57">
            <v>73</v>
          </cell>
          <cell r="Q57">
            <v>2326.5</v>
          </cell>
        </row>
        <row r="58">
          <cell r="N58">
            <v>73</v>
          </cell>
          <cell r="O58">
            <v>2326.5</v>
          </cell>
          <cell r="P58">
            <v>74</v>
          </cell>
          <cell r="Q58">
            <v>2324</v>
          </cell>
        </row>
        <row r="59">
          <cell r="N59">
            <v>74</v>
          </cell>
          <cell r="O59">
            <v>2324</v>
          </cell>
          <cell r="P59">
            <v>75</v>
          </cell>
          <cell r="Q59">
            <v>2321.5</v>
          </cell>
        </row>
        <row r="60">
          <cell r="N60">
            <v>75</v>
          </cell>
          <cell r="O60">
            <v>2321.5</v>
          </cell>
          <cell r="P60">
            <v>76</v>
          </cell>
          <cell r="Q60">
            <v>2318.9</v>
          </cell>
        </row>
        <row r="61">
          <cell r="N61">
            <v>76</v>
          </cell>
          <cell r="O61">
            <v>2318.9</v>
          </cell>
          <cell r="P61">
            <v>77</v>
          </cell>
          <cell r="Q61">
            <v>2316.4</v>
          </cell>
        </row>
        <row r="62">
          <cell r="N62">
            <v>77</v>
          </cell>
          <cell r="O62">
            <v>2316.4</v>
          </cell>
          <cell r="P62">
            <v>78</v>
          </cell>
          <cell r="Q62">
            <v>2313.9</v>
          </cell>
        </row>
        <row r="63">
          <cell r="N63">
            <v>78</v>
          </cell>
          <cell r="O63">
            <v>2313.9</v>
          </cell>
          <cell r="P63">
            <v>79</v>
          </cell>
          <cell r="Q63">
            <v>2311.4</v>
          </cell>
        </row>
        <row r="64">
          <cell r="N64">
            <v>79</v>
          </cell>
          <cell r="O64">
            <v>2311.4</v>
          </cell>
          <cell r="P64">
            <v>80</v>
          </cell>
          <cell r="Q64">
            <v>2308.8000000000002</v>
          </cell>
        </row>
        <row r="65">
          <cell r="N65">
            <v>80</v>
          </cell>
          <cell r="O65">
            <v>2308.8000000000002</v>
          </cell>
          <cell r="P65">
            <v>81</v>
          </cell>
          <cell r="Q65">
            <v>2306.3000000000002</v>
          </cell>
        </row>
        <row r="66">
          <cell r="N66">
            <v>81</v>
          </cell>
          <cell r="O66">
            <v>2306.3000000000002</v>
          </cell>
          <cell r="P66">
            <v>82</v>
          </cell>
          <cell r="Q66">
            <v>2303.8000000000002</v>
          </cell>
        </row>
        <row r="67">
          <cell r="N67">
            <v>82</v>
          </cell>
          <cell r="O67">
            <v>2303.8000000000002</v>
          </cell>
          <cell r="P67">
            <v>83</v>
          </cell>
          <cell r="Q67">
            <v>2301.1999999999998</v>
          </cell>
        </row>
        <row r="68">
          <cell r="N68">
            <v>83</v>
          </cell>
          <cell r="O68">
            <v>2301.1999999999998</v>
          </cell>
          <cell r="P68">
            <v>84</v>
          </cell>
          <cell r="Q68">
            <v>2298.6999999999998</v>
          </cell>
        </row>
        <row r="69">
          <cell r="N69">
            <v>84</v>
          </cell>
          <cell r="O69">
            <v>2298.6999999999998</v>
          </cell>
          <cell r="P69">
            <v>85</v>
          </cell>
          <cell r="Q69">
            <v>2296.5</v>
          </cell>
        </row>
        <row r="70">
          <cell r="N70">
            <v>85</v>
          </cell>
          <cell r="O70">
            <v>2296.5</v>
          </cell>
          <cell r="P70">
            <v>86</v>
          </cell>
          <cell r="Q70">
            <v>2293.1</v>
          </cell>
        </row>
        <row r="71">
          <cell r="N71">
            <v>86</v>
          </cell>
          <cell r="O71">
            <v>2293.1</v>
          </cell>
          <cell r="P71">
            <v>87</v>
          </cell>
          <cell r="Q71">
            <v>2290.9</v>
          </cell>
        </row>
        <row r="72">
          <cell r="N72">
            <v>87</v>
          </cell>
          <cell r="O72">
            <v>2290.9</v>
          </cell>
          <cell r="P72">
            <v>88</v>
          </cell>
          <cell r="Q72">
            <v>2288.4</v>
          </cell>
        </row>
        <row r="73">
          <cell r="N73">
            <v>88</v>
          </cell>
          <cell r="O73">
            <v>2288.4</v>
          </cell>
          <cell r="P73">
            <v>89</v>
          </cell>
          <cell r="Q73">
            <v>2285.8000000000002</v>
          </cell>
        </row>
        <row r="74">
          <cell r="N74">
            <v>89</v>
          </cell>
          <cell r="O74">
            <v>2285.8000000000002</v>
          </cell>
          <cell r="P74">
            <v>90</v>
          </cell>
          <cell r="Q74">
            <v>2283.1999999999998</v>
          </cell>
        </row>
        <row r="75">
          <cell r="N75">
            <v>90</v>
          </cell>
          <cell r="O75">
            <v>2283.1999999999998</v>
          </cell>
          <cell r="P75">
            <v>91</v>
          </cell>
          <cell r="Q75">
            <v>2280.6</v>
          </cell>
        </row>
        <row r="76">
          <cell r="N76">
            <v>91</v>
          </cell>
          <cell r="O76">
            <v>2280.6</v>
          </cell>
          <cell r="P76">
            <v>92</v>
          </cell>
          <cell r="Q76">
            <v>2278</v>
          </cell>
        </row>
        <row r="77">
          <cell r="N77">
            <v>92</v>
          </cell>
          <cell r="O77">
            <v>2278</v>
          </cell>
          <cell r="P77">
            <v>93</v>
          </cell>
          <cell r="Q77">
            <v>2275.4</v>
          </cell>
        </row>
        <row r="78">
          <cell r="N78">
            <v>93</v>
          </cell>
          <cell r="O78">
            <v>2275.4</v>
          </cell>
          <cell r="P78">
            <v>94</v>
          </cell>
          <cell r="Q78">
            <v>2272.8000000000002</v>
          </cell>
        </row>
        <row r="79">
          <cell r="N79">
            <v>94</v>
          </cell>
          <cell r="O79">
            <v>2272.8000000000002</v>
          </cell>
          <cell r="P79">
            <v>95</v>
          </cell>
          <cell r="Q79">
            <v>2270.1999999999998</v>
          </cell>
        </row>
        <row r="80">
          <cell r="N80">
            <v>95</v>
          </cell>
          <cell r="O80">
            <v>2270.1999999999998</v>
          </cell>
          <cell r="P80">
            <v>96</v>
          </cell>
          <cell r="Q80">
            <v>2267.5</v>
          </cell>
        </row>
        <row r="81">
          <cell r="N81">
            <v>96</v>
          </cell>
          <cell r="O81">
            <v>2267.5</v>
          </cell>
          <cell r="P81">
            <v>97</v>
          </cell>
          <cell r="Q81">
            <v>2264.9</v>
          </cell>
        </row>
        <row r="82">
          <cell r="N82">
            <v>97</v>
          </cell>
          <cell r="O82">
            <v>2264.9</v>
          </cell>
          <cell r="P82">
            <v>98</v>
          </cell>
          <cell r="Q82">
            <v>2262.1999999999998</v>
          </cell>
        </row>
        <row r="83">
          <cell r="N83">
            <v>98</v>
          </cell>
          <cell r="O83">
            <v>2262.1999999999998</v>
          </cell>
          <cell r="P83">
            <v>99</v>
          </cell>
          <cell r="Q83">
            <v>2259.6</v>
          </cell>
        </row>
        <row r="84">
          <cell r="N84">
            <v>99</v>
          </cell>
          <cell r="O84">
            <v>2259.6</v>
          </cell>
          <cell r="P84">
            <v>100</v>
          </cell>
          <cell r="Q84">
            <v>2256.9</v>
          </cell>
        </row>
        <row r="85">
          <cell r="N85">
            <v>100</v>
          </cell>
          <cell r="O85">
            <v>2256.9</v>
          </cell>
          <cell r="P85">
            <v>101</v>
          </cell>
          <cell r="Q85">
            <v>2254.3000000000002</v>
          </cell>
        </row>
        <row r="86">
          <cell r="N86">
            <v>101</v>
          </cell>
          <cell r="O86">
            <v>2254.3000000000002</v>
          </cell>
          <cell r="P86">
            <v>102</v>
          </cell>
          <cell r="Q86">
            <v>2251.6</v>
          </cell>
        </row>
        <row r="87">
          <cell r="N87">
            <v>102</v>
          </cell>
          <cell r="O87">
            <v>2251.6</v>
          </cell>
          <cell r="P87">
            <v>103</v>
          </cell>
          <cell r="Q87">
            <v>2248.9</v>
          </cell>
        </row>
        <row r="88">
          <cell r="N88">
            <v>103</v>
          </cell>
          <cell r="O88">
            <v>2248.9</v>
          </cell>
          <cell r="P88">
            <v>104</v>
          </cell>
          <cell r="Q88">
            <v>2246.3000000000002</v>
          </cell>
        </row>
        <row r="89">
          <cell r="N89">
            <v>104</v>
          </cell>
          <cell r="O89">
            <v>2246.3000000000002</v>
          </cell>
          <cell r="P89">
            <v>105</v>
          </cell>
          <cell r="Q89">
            <v>2243.6</v>
          </cell>
        </row>
        <row r="90">
          <cell r="N90">
            <v>105</v>
          </cell>
          <cell r="O90">
            <v>2243.6</v>
          </cell>
          <cell r="P90">
            <v>106</v>
          </cell>
          <cell r="Q90">
            <v>2240.9</v>
          </cell>
        </row>
        <row r="91">
          <cell r="N91">
            <v>106</v>
          </cell>
          <cell r="O91">
            <v>2240.9</v>
          </cell>
          <cell r="P91">
            <v>107</v>
          </cell>
          <cell r="Q91">
            <v>2238.1999999999998</v>
          </cell>
        </row>
        <row r="92">
          <cell r="N92">
            <v>107</v>
          </cell>
          <cell r="O92">
            <v>2238.1999999999998</v>
          </cell>
          <cell r="P92">
            <v>108</v>
          </cell>
          <cell r="Q92">
            <v>2235.4</v>
          </cell>
        </row>
        <row r="93">
          <cell r="N93">
            <v>108</v>
          </cell>
          <cell r="O93">
            <v>2235.4</v>
          </cell>
          <cell r="P93">
            <v>109</v>
          </cell>
          <cell r="Q93">
            <v>2232.6999999999998</v>
          </cell>
        </row>
        <row r="94">
          <cell r="N94">
            <v>109</v>
          </cell>
          <cell r="O94">
            <v>2232.6999999999998</v>
          </cell>
          <cell r="P94">
            <v>110</v>
          </cell>
          <cell r="Q94">
            <v>2230</v>
          </cell>
        </row>
        <row r="95">
          <cell r="N95">
            <v>110</v>
          </cell>
          <cell r="O95">
            <v>2230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BE-VSL"/>
      <sheetName val="CBE-COLUMN"/>
      <sheetName val="CBE-INTERNAL"/>
      <sheetName val="CBE-TANK"/>
      <sheetName val="CBE-HEX"/>
      <sheetName val="CBE-AC"/>
      <sheetName val="CBE-FH"/>
      <sheetName val="CBE-PUMP"/>
      <sheetName val="CBE-COMPRESSOR"/>
      <sheetName val="CBE-PKG"/>
      <sheetName val="CBE-OTHERS"/>
      <sheetName val="CBE-PKG (4)"/>
      <sheetName val="IT-BAT"/>
    </sheetNames>
    <sheetDataSet>
      <sheetData sheetId="0" refreshError="1"/>
      <sheetData sheetId="1" refreshError="1">
        <row r="4">
          <cell r="G4" t="str">
            <v>(PROJECT : KGB PROJECT )</v>
          </cell>
        </row>
        <row r="5">
          <cell r="O5" t="str">
            <v>환률 : 1100\/$ 1.25P/$</v>
          </cell>
        </row>
        <row r="6">
          <cell r="O6" t="str">
            <v>UNIT : USD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ch CIF"/>
      <sheetName val="Elec CIF"/>
      <sheetName val="CNI CIF"/>
      <sheetName val="Piping CIF"/>
      <sheetName val="내역서"/>
      <sheetName val="Baby일위대가"/>
      <sheetName val="INSTR"/>
      <sheetName val="INPUT"/>
      <sheetName val="PipWT"/>
      <sheetName val="집계표(OPTION)"/>
      <sheetName val="CBE-VSL"/>
      <sheetName val="COVERSHEET PAGE"/>
      <sheetName val="98TSON4A"/>
      <sheetName val="Cover sheet"/>
      <sheetName val="Ox-Air"/>
      <sheetName val="영업소실적"/>
      <sheetName val="IT-BAT"/>
      <sheetName val="Units"/>
      <sheetName val="Instructions"/>
      <sheetName val="CABLE BULK"/>
      <sheetName val="CONT10"/>
      <sheetName val="Sohar담수Target"/>
      <sheetName val="Sheet1"/>
      <sheetName val="piping"/>
      <sheetName val="WE'T"/>
      <sheetName val="Baseplate(MAX COMP)"/>
      <sheetName val="DESCRIPTION"/>
      <sheetName val="BM DATA SHEET"/>
      <sheetName val="급여일반"/>
      <sheetName val="eq_data"/>
      <sheetName val="UG분석표"/>
      <sheetName val="Sheet3"/>
      <sheetName val="선가(조선)"/>
      <sheetName val="CABLE BM"/>
      <sheetName val="Macro"/>
      <sheetName val="Taux"/>
      <sheetName val="CABLE"/>
      <sheetName val="SVCS"/>
      <sheetName val="ORIGN"/>
      <sheetName val="STATUS"/>
      <sheetName val="TTL"/>
      <sheetName val="SENSOR LIST"/>
      <sheetName val="매출현황"/>
      <sheetName val="deviation"/>
      <sheetName val="UOP 508 PG 2-9"/>
      <sheetName val="Code"/>
      <sheetName val="CMTD"/>
      <sheetName val="주_부자재"/>
      <sheetName val="PAGE 1"/>
      <sheetName val="COA-17"/>
      <sheetName val="C-18"/>
      <sheetName val="PAGE 2"/>
      <sheetName val="IN"/>
      <sheetName val="Graph (LGEN)"/>
      <sheetName val="out_prog"/>
      <sheetName val="선적schedule (2)"/>
      <sheetName val="BM_Kannu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lar bundle"/>
      <sheetName val="steam table"/>
      <sheetName val="loss계산-TAWEELAH-msf-jan6"/>
      <sheetName val="환율-LIBOR"/>
      <sheetName val="내역(한신APT)"/>
      <sheetName val="INSULTABLE"/>
    </sheetNames>
    <sheetDataSet>
      <sheetData sheetId="0" refreshError="1"/>
      <sheetData sheetId="1" refreshError="1">
        <row r="5">
          <cell r="N5">
            <v>20</v>
          </cell>
          <cell r="O5">
            <v>2454.3000000000002</v>
          </cell>
          <cell r="P5">
            <v>21</v>
          </cell>
          <cell r="Q5">
            <v>2452</v>
          </cell>
        </row>
        <row r="6">
          <cell r="N6">
            <v>21</v>
          </cell>
          <cell r="O6">
            <v>2452</v>
          </cell>
          <cell r="P6">
            <v>22</v>
          </cell>
          <cell r="Q6">
            <v>2449.6</v>
          </cell>
        </row>
        <row r="7">
          <cell r="N7">
            <v>22</v>
          </cell>
          <cell r="O7">
            <v>2449.6</v>
          </cell>
          <cell r="P7">
            <v>23</v>
          </cell>
          <cell r="Q7">
            <v>2447.1999999999998</v>
          </cell>
        </row>
        <row r="8">
          <cell r="N8">
            <v>23</v>
          </cell>
          <cell r="O8">
            <v>2447.1999999999998</v>
          </cell>
          <cell r="P8">
            <v>24</v>
          </cell>
          <cell r="Q8">
            <v>2444.9</v>
          </cell>
        </row>
        <row r="9">
          <cell r="N9">
            <v>24</v>
          </cell>
          <cell r="O9">
            <v>2444.9</v>
          </cell>
          <cell r="P9">
            <v>25</v>
          </cell>
          <cell r="Q9">
            <v>2442.5</v>
          </cell>
        </row>
        <row r="10">
          <cell r="N10">
            <v>25</v>
          </cell>
          <cell r="O10">
            <v>2442.5</v>
          </cell>
          <cell r="P10">
            <v>26</v>
          </cell>
          <cell r="Q10">
            <v>2440.1999999999998</v>
          </cell>
        </row>
        <row r="11">
          <cell r="N11">
            <v>26</v>
          </cell>
          <cell r="O11">
            <v>2440.1999999999998</v>
          </cell>
          <cell r="P11">
            <v>27</v>
          </cell>
          <cell r="Q11">
            <v>2437.8000000000002</v>
          </cell>
        </row>
        <row r="12">
          <cell r="N12">
            <v>27</v>
          </cell>
          <cell r="O12">
            <v>2437.8000000000002</v>
          </cell>
          <cell r="P12">
            <v>28</v>
          </cell>
          <cell r="Q12">
            <v>2435.4</v>
          </cell>
        </row>
        <row r="13">
          <cell r="N13">
            <v>28</v>
          </cell>
          <cell r="O13">
            <v>2435.4</v>
          </cell>
          <cell r="P13">
            <v>29</v>
          </cell>
          <cell r="Q13">
            <v>2433.1</v>
          </cell>
        </row>
        <row r="14">
          <cell r="N14">
            <v>29</v>
          </cell>
          <cell r="O14">
            <v>2433.1</v>
          </cell>
          <cell r="P14">
            <v>30</v>
          </cell>
          <cell r="Q14">
            <v>2430.6999999999998</v>
          </cell>
        </row>
        <row r="15">
          <cell r="N15">
            <v>30</v>
          </cell>
          <cell r="O15">
            <v>2430.6999999999998</v>
          </cell>
          <cell r="P15">
            <v>31</v>
          </cell>
          <cell r="Q15">
            <v>2428.3000000000002</v>
          </cell>
        </row>
        <row r="16">
          <cell r="N16">
            <v>31</v>
          </cell>
          <cell r="O16">
            <v>2428.3000000000002</v>
          </cell>
          <cell r="P16">
            <v>32</v>
          </cell>
          <cell r="Q16">
            <v>2425.9</v>
          </cell>
        </row>
        <row r="17">
          <cell r="N17">
            <v>32</v>
          </cell>
          <cell r="O17">
            <v>2425.9</v>
          </cell>
          <cell r="P17">
            <v>33</v>
          </cell>
          <cell r="Q17">
            <v>2423.6</v>
          </cell>
        </row>
        <row r="18">
          <cell r="N18">
            <v>33</v>
          </cell>
          <cell r="O18">
            <v>2423.6</v>
          </cell>
          <cell r="P18">
            <v>34</v>
          </cell>
          <cell r="Q18">
            <v>2421.1999999999998</v>
          </cell>
        </row>
        <row r="19">
          <cell r="N19">
            <v>34</v>
          </cell>
          <cell r="O19">
            <v>2421.1999999999998</v>
          </cell>
          <cell r="P19">
            <v>35</v>
          </cell>
          <cell r="Q19">
            <v>2418.8000000000002</v>
          </cell>
        </row>
        <row r="20">
          <cell r="N20">
            <v>35</v>
          </cell>
          <cell r="O20">
            <v>2418.8000000000002</v>
          </cell>
          <cell r="P20">
            <v>36</v>
          </cell>
          <cell r="Q20">
            <v>2416.4</v>
          </cell>
        </row>
        <row r="21">
          <cell r="N21">
            <v>36</v>
          </cell>
          <cell r="O21">
            <v>2416.4</v>
          </cell>
          <cell r="P21">
            <v>37</v>
          </cell>
          <cell r="Q21">
            <v>2414.1</v>
          </cell>
        </row>
        <row r="22">
          <cell r="N22">
            <v>37</v>
          </cell>
          <cell r="O22">
            <v>2414.1</v>
          </cell>
          <cell r="P22">
            <v>38</v>
          </cell>
          <cell r="Q22">
            <v>2411.6999999999998</v>
          </cell>
        </row>
        <row r="23">
          <cell r="N23">
            <v>38</v>
          </cell>
          <cell r="O23">
            <v>2411.6999999999998</v>
          </cell>
          <cell r="P23">
            <v>39</v>
          </cell>
          <cell r="Q23">
            <v>2409.3000000000002</v>
          </cell>
        </row>
        <row r="24">
          <cell r="N24">
            <v>39</v>
          </cell>
          <cell r="O24">
            <v>2409.3000000000002</v>
          </cell>
          <cell r="P24">
            <v>40</v>
          </cell>
          <cell r="Q24">
            <v>2406.9</v>
          </cell>
        </row>
        <row r="25">
          <cell r="N25">
            <v>40</v>
          </cell>
          <cell r="O25">
            <v>2406.9</v>
          </cell>
          <cell r="P25">
            <v>41</v>
          </cell>
          <cell r="Q25">
            <v>2404.5</v>
          </cell>
        </row>
        <row r="26">
          <cell r="N26">
            <v>41</v>
          </cell>
          <cell r="O26">
            <v>2404.5</v>
          </cell>
          <cell r="P26">
            <v>42</v>
          </cell>
          <cell r="Q26">
            <v>2402.1</v>
          </cell>
        </row>
        <row r="27">
          <cell r="N27">
            <v>42</v>
          </cell>
          <cell r="O27">
            <v>2402.1</v>
          </cell>
          <cell r="P27">
            <v>43</v>
          </cell>
          <cell r="Q27">
            <v>2399.6999999999998</v>
          </cell>
        </row>
        <row r="28">
          <cell r="N28">
            <v>43</v>
          </cell>
          <cell r="O28">
            <v>2399.6999999999998</v>
          </cell>
          <cell r="P28">
            <v>44</v>
          </cell>
          <cell r="Q28">
            <v>2397.3000000000002</v>
          </cell>
        </row>
        <row r="29">
          <cell r="N29">
            <v>44</v>
          </cell>
          <cell r="O29">
            <v>2397.3000000000002</v>
          </cell>
          <cell r="P29">
            <v>45</v>
          </cell>
          <cell r="Q29">
            <v>2394.9</v>
          </cell>
        </row>
        <row r="30">
          <cell r="N30">
            <v>45</v>
          </cell>
          <cell r="O30">
            <v>2394.9</v>
          </cell>
          <cell r="P30">
            <v>46</v>
          </cell>
          <cell r="Q30">
            <v>2392.5</v>
          </cell>
        </row>
        <row r="31">
          <cell r="N31">
            <v>46</v>
          </cell>
          <cell r="O31">
            <v>2392.5</v>
          </cell>
          <cell r="P31">
            <v>47</v>
          </cell>
          <cell r="Q31">
            <v>2390.1</v>
          </cell>
        </row>
        <row r="32">
          <cell r="N32">
            <v>47</v>
          </cell>
          <cell r="O32">
            <v>2390.1</v>
          </cell>
          <cell r="P32">
            <v>48</v>
          </cell>
          <cell r="Q32">
            <v>2387.6999999999998</v>
          </cell>
        </row>
        <row r="33">
          <cell r="N33">
            <v>48</v>
          </cell>
          <cell r="O33">
            <v>2387.6999999999998</v>
          </cell>
          <cell r="P33">
            <v>49</v>
          </cell>
          <cell r="Q33">
            <v>2385.3000000000002</v>
          </cell>
        </row>
        <row r="34">
          <cell r="N34">
            <v>49</v>
          </cell>
          <cell r="O34">
            <v>2385.3000000000002</v>
          </cell>
          <cell r="P34">
            <v>50</v>
          </cell>
          <cell r="Q34">
            <v>2382.9</v>
          </cell>
        </row>
        <row r="35">
          <cell r="N35">
            <v>50</v>
          </cell>
          <cell r="O35">
            <v>2382.9</v>
          </cell>
          <cell r="P35">
            <v>51</v>
          </cell>
          <cell r="Q35">
            <v>2380.5</v>
          </cell>
        </row>
        <row r="36">
          <cell r="N36">
            <v>51</v>
          </cell>
          <cell r="O36">
            <v>2380.5</v>
          </cell>
          <cell r="P36">
            <v>52</v>
          </cell>
          <cell r="Q36">
            <v>2378.1</v>
          </cell>
        </row>
        <row r="37">
          <cell r="N37">
            <v>52</v>
          </cell>
          <cell r="O37">
            <v>2378.1</v>
          </cell>
          <cell r="P37">
            <v>53</v>
          </cell>
          <cell r="Q37">
            <v>2375.6999999999998</v>
          </cell>
        </row>
        <row r="38">
          <cell r="N38">
            <v>53</v>
          </cell>
          <cell r="O38">
            <v>2375.6999999999998</v>
          </cell>
          <cell r="P38">
            <v>54</v>
          </cell>
          <cell r="Q38">
            <v>2373.1999999999998</v>
          </cell>
        </row>
        <row r="39">
          <cell r="N39">
            <v>54</v>
          </cell>
          <cell r="O39">
            <v>2373.1999999999998</v>
          </cell>
          <cell r="P39">
            <v>55</v>
          </cell>
          <cell r="Q39">
            <v>2370.8000000000002</v>
          </cell>
        </row>
        <row r="40">
          <cell r="N40">
            <v>55</v>
          </cell>
          <cell r="O40">
            <v>2370.8000000000002</v>
          </cell>
          <cell r="P40">
            <v>56</v>
          </cell>
          <cell r="Q40">
            <v>2368.4</v>
          </cell>
        </row>
        <row r="41">
          <cell r="N41">
            <v>56</v>
          </cell>
          <cell r="O41">
            <v>2368.4</v>
          </cell>
          <cell r="P41">
            <v>57</v>
          </cell>
          <cell r="Q41">
            <v>2365.9</v>
          </cell>
        </row>
        <row r="42">
          <cell r="N42">
            <v>57</v>
          </cell>
          <cell r="O42">
            <v>2365.9</v>
          </cell>
          <cell r="P42">
            <v>58</v>
          </cell>
          <cell r="Q42">
            <v>2363.5</v>
          </cell>
        </row>
        <row r="43">
          <cell r="N43">
            <v>58</v>
          </cell>
          <cell r="O43">
            <v>2363.5</v>
          </cell>
          <cell r="P43">
            <v>59</v>
          </cell>
          <cell r="Q43">
            <v>2361.1</v>
          </cell>
        </row>
        <row r="44">
          <cell r="N44">
            <v>59</v>
          </cell>
          <cell r="O44">
            <v>2361.1</v>
          </cell>
          <cell r="P44">
            <v>60</v>
          </cell>
          <cell r="Q44">
            <v>2358.6</v>
          </cell>
        </row>
        <row r="45">
          <cell r="N45">
            <v>60</v>
          </cell>
          <cell r="O45">
            <v>2358.6</v>
          </cell>
          <cell r="P45">
            <v>61</v>
          </cell>
          <cell r="Q45">
            <v>2356.1999999999998</v>
          </cell>
        </row>
        <row r="46">
          <cell r="N46">
            <v>61</v>
          </cell>
          <cell r="O46">
            <v>2356.1999999999998</v>
          </cell>
          <cell r="P46">
            <v>62</v>
          </cell>
          <cell r="Q46">
            <v>2353.6999999999998</v>
          </cell>
        </row>
        <row r="47">
          <cell r="N47">
            <v>62</v>
          </cell>
          <cell r="O47">
            <v>2353.6999999999998</v>
          </cell>
          <cell r="P47">
            <v>63</v>
          </cell>
          <cell r="Q47">
            <v>2351.3000000000002</v>
          </cell>
        </row>
        <row r="48">
          <cell r="N48">
            <v>63</v>
          </cell>
          <cell r="O48">
            <v>2351.3000000000002</v>
          </cell>
          <cell r="P48">
            <v>64</v>
          </cell>
          <cell r="Q48">
            <v>2348.8000000000002</v>
          </cell>
        </row>
        <row r="49">
          <cell r="N49">
            <v>64</v>
          </cell>
          <cell r="O49">
            <v>2348.8000000000002</v>
          </cell>
          <cell r="P49">
            <v>65</v>
          </cell>
          <cell r="Q49">
            <v>2346.3000000000002</v>
          </cell>
        </row>
        <row r="50">
          <cell r="N50">
            <v>65</v>
          </cell>
          <cell r="O50">
            <v>2346.3000000000002</v>
          </cell>
          <cell r="P50">
            <v>66</v>
          </cell>
          <cell r="Q50">
            <v>2343.9</v>
          </cell>
        </row>
        <row r="51">
          <cell r="N51">
            <v>66</v>
          </cell>
          <cell r="O51">
            <v>2343.9</v>
          </cell>
          <cell r="P51">
            <v>67</v>
          </cell>
          <cell r="Q51">
            <v>2341.4</v>
          </cell>
        </row>
        <row r="52">
          <cell r="N52">
            <v>67</v>
          </cell>
          <cell r="O52">
            <v>2341.4</v>
          </cell>
          <cell r="P52">
            <v>68</v>
          </cell>
          <cell r="Q52">
            <v>2338.9</v>
          </cell>
        </row>
        <row r="53">
          <cell r="N53">
            <v>68</v>
          </cell>
          <cell r="O53">
            <v>2338.9</v>
          </cell>
          <cell r="P53">
            <v>69</v>
          </cell>
          <cell r="Q53">
            <v>2336.4</v>
          </cell>
        </row>
        <row r="54">
          <cell r="N54">
            <v>69</v>
          </cell>
          <cell r="O54">
            <v>2336.4</v>
          </cell>
          <cell r="P54">
            <v>70</v>
          </cell>
          <cell r="Q54">
            <v>2334</v>
          </cell>
        </row>
        <row r="55">
          <cell r="N55">
            <v>70</v>
          </cell>
          <cell r="O55">
            <v>2334</v>
          </cell>
          <cell r="P55">
            <v>71</v>
          </cell>
          <cell r="Q55">
            <v>2331.5</v>
          </cell>
        </row>
        <row r="56">
          <cell r="N56">
            <v>71</v>
          </cell>
          <cell r="O56">
            <v>2331.5</v>
          </cell>
          <cell r="P56">
            <v>72</v>
          </cell>
          <cell r="Q56">
            <v>2329</v>
          </cell>
        </row>
        <row r="57">
          <cell r="N57">
            <v>72</v>
          </cell>
          <cell r="O57">
            <v>2329</v>
          </cell>
          <cell r="P57">
            <v>73</v>
          </cell>
          <cell r="Q57">
            <v>2326.5</v>
          </cell>
        </row>
        <row r="58">
          <cell r="N58">
            <v>73</v>
          </cell>
          <cell r="O58">
            <v>2326.5</v>
          </cell>
          <cell r="P58">
            <v>74</v>
          </cell>
          <cell r="Q58">
            <v>2324</v>
          </cell>
        </row>
        <row r="59">
          <cell r="N59">
            <v>74</v>
          </cell>
          <cell r="O59">
            <v>2324</v>
          </cell>
          <cell r="P59">
            <v>75</v>
          </cell>
          <cell r="Q59">
            <v>2321.5</v>
          </cell>
        </row>
        <row r="60">
          <cell r="N60">
            <v>75</v>
          </cell>
          <cell r="O60">
            <v>2321.5</v>
          </cell>
          <cell r="P60">
            <v>76</v>
          </cell>
          <cell r="Q60">
            <v>2318.9</v>
          </cell>
        </row>
        <row r="61">
          <cell r="N61">
            <v>76</v>
          </cell>
          <cell r="O61">
            <v>2318.9</v>
          </cell>
          <cell r="P61">
            <v>77</v>
          </cell>
          <cell r="Q61">
            <v>2316.4</v>
          </cell>
        </row>
        <row r="62">
          <cell r="N62">
            <v>77</v>
          </cell>
          <cell r="O62">
            <v>2316.4</v>
          </cell>
          <cell r="P62">
            <v>78</v>
          </cell>
          <cell r="Q62">
            <v>2313.9</v>
          </cell>
        </row>
        <row r="63">
          <cell r="N63">
            <v>78</v>
          </cell>
          <cell r="O63">
            <v>2313.9</v>
          </cell>
          <cell r="P63">
            <v>79</v>
          </cell>
          <cell r="Q63">
            <v>2311.4</v>
          </cell>
        </row>
        <row r="64">
          <cell r="N64">
            <v>79</v>
          </cell>
          <cell r="O64">
            <v>2311.4</v>
          </cell>
          <cell r="P64">
            <v>80</v>
          </cell>
          <cell r="Q64">
            <v>2308.8000000000002</v>
          </cell>
        </row>
        <row r="65">
          <cell r="N65">
            <v>80</v>
          </cell>
          <cell r="O65">
            <v>2308.8000000000002</v>
          </cell>
          <cell r="P65">
            <v>81</v>
          </cell>
          <cell r="Q65">
            <v>2306.3000000000002</v>
          </cell>
        </row>
        <row r="66">
          <cell r="N66">
            <v>81</v>
          </cell>
          <cell r="O66">
            <v>2306.3000000000002</v>
          </cell>
          <cell r="P66">
            <v>82</v>
          </cell>
          <cell r="Q66">
            <v>2303.8000000000002</v>
          </cell>
        </row>
        <row r="67">
          <cell r="N67">
            <v>82</v>
          </cell>
          <cell r="O67">
            <v>2303.8000000000002</v>
          </cell>
          <cell r="P67">
            <v>83</v>
          </cell>
          <cell r="Q67">
            <v>2301.1999999999998</v>
          </cell>
        </row>
        <row r="68">
          <cell r="N68">
            <v>83</v>
          </cell>
          <cell r="O68">
            <v>2301.1999999999998</v>
          </cell>
          <cell r="P68">
            <v>84</v>
          </cell>
          <cell r="Q68">
            <v>2298.6999999999998</v>
          </cell>
        </row>
        <row r="69">
          <cell r="N69">
            <v>84</v>
          </cell>
          <cell r="O69">
            <v>2298.6999999999998</v>
          </cell>
          <cell r="P69">
            <v>85</v>
          </cell>
          <cell r="Q69">
            <v>2296.5</v>
          </cell>
        </row>
        <row r="70">
          <cell r="N70">
            <v>85</v>
          </cell>
          <cell r="O70">
            <v>2296.5</v>
          </cell>
          <cell r="P70">
            <v>86</v>
          </cell>
          <cell r="Q70">
            <v>2293.1</v>
          </cell>
        </row>
        <row r="71">
          <cell r="N71">
            <v>86</v>
          </cell>
          <cell r="O71">
            <v>2293.1</v>
          </cell>
          <cell r="P71">
            <v>87</v>
          </cell>
          <cell r="Q71">
            <v>2290.9</v>
          </cell>
        </row>
        <row r="72">
          <cell r="N72">
            <v>87</v>
          </cell>
          <cell r="O72">
            <v>2290.9</v>
          </cell>
          <cell r="P72">
            <v>88</v>
          </cell>
          <cell r="Q72">
            <v>2288.4</v>
          </cell>
        </row>
        <row r="73">
          <cell r="N73">
            <v>88</v>
          </cell>
          <cell r="O73">
            <v>2288.4</v>
          </cell>
          <cell r="P73">
            <v>89</v>
          </cell>
          <cell r="Q73">
            <v>2285.8000000000002</v>
          </cell>
        </row>
        <row r="74">
          <cell r="N74">
            <v>89</v>
          </cell>
          <cell r="O74">
            <v>2285.8000000000002</v>
          </cell>
          <cell r="P74">
            <v>90</v>
          </cell>
          <cell r="Q74">
            <v>2283.1999999999998</v>
          </cell>
        </row>
        <row r="75">
          <cell r="N75">
            <v>90</v>
          </cell>
          <cell r="O75">
            <v>2283.1999999999998</v>
          </cell>
          <cell r="P75">
            <v>91</v>
          </cell>
          <cell r="Q75">
            <v>2280.6</v>
          </cell>
        </row>
        <row r="76">
          <cell r="N76">
            <v>91</v>
          </cell>
          <cell r="O76">
            <v>2280.6</v>
          </cell>
          <cell r="P76">
            <v>92</v>
          </cell>
          <cell r="Q76">
            <v>2278</v>
          </cell>
        </row>
        <row r="77">
          <cell r="N77">
            <v>92</v>
          </cell>
          <cell r="O77">
            <v>2278</v>
          </cell>
          <cell r="P77">
            <v>93</v>
          </cell>
          <cell r="Q77">
            <v>2275.4</v>
          </cell>
        </row>
        <row r="78">
          <cell r="N78">
            <v>93</v>
          </cell>
          <cell r="O78">
            <v>2275.4</v>
          </cell>
          <cell r="P78">
            <v>94</v>
          </cell>
          <cell r="Q78">
            <v>2272.8000000000002</v>
          </cell>
        </row>
        <row r="79">
          <cell r="N79">
            <v>94</v>
          </cell>
          <cell r="O79">
            <v>2272.8000000000002</v>
          </cell>
          <cell r="P79">
            <v>95</v>
          </cell>
          <cell r="Q79">
            <v>2270.1999999999998</v>
          </cell>
        </row>
        <row r="80">
          <cell r="N80">
            <v>95</v>
          </cell>
          <cell r="O80">
            <v>2270.1999999999998</v>
          </cell>
          <cell r="P80">
            <v>96</v>
          </cell>
          <cell r="Q80">
            <v>2267.5</v>
          </cell>
        </row>
        <row r="81">
          <cell r="N81">
            <v>96</v>
          </cell>
          <cell r="O81">
            <v>2267.5</v>
          </cell>
          <cell r="P81">
            <v>97</v>
          </cell>
          <cell r="Q81">
            <v>2264.9</v>
          </cell>
        </row>
        <row r="82">
          <cell r="N82">
            <v>97</v>
          </cell>
          <cell r="O82">
            <v>2264.9</v>
          </cell>
          <cell r="P82">
            <v>98</v>
          </cell>
          <cell r="Q82">
            <v>2262.1999999999998</v>
          </cell>
        </row>
        <row r="83">
          <cell r="N83">
            <v>98</v>
          </cell>
          <cell r="O83">
            <v>2262.1999999999998</v>
          </cell>
          <cell r="P83">
            <v>99</v>
          </cell>
          <cell r="Q83">
            <v>2259.6</v>
          </cell>
        </row>
        <row r="84">
          <cell r="N84">
            <v>99</v>
          </cell>
          <cell r="O84">
            <v>2259.6</v>
          </cell>
          <cell r="P84">
            <v>100</v>
          </cell>
          <cell r="Q84">
            <v>2256.9</v>
          </cell>
        </row>
        <row r="85">
          <cell r="N85">
            <v>100</v>
          </cell>
          <cell r="O85">
            <v>2256.9</v>
          </cell>
          <cell r="P85">
            <v>101</v>
          </cell>
          <cell r="Q85">
            <v>2254.3000000000002</v>
          </cell>
        </row>
        <row r="86">
          <cell r="N86">
            <v>101</v>
          </cell>
          <cell r="O86">
            <v>2254.3000000000002</v>
          </cell>
          <cell r="P86">
            <v>102</v>
          </cell>
          <cell r="Q86">
            <v>2251.6</v>
          </cell>
        </row>
        <row r="87">
          <cell r="N87">
            <v>102</v>
          </cell>
          <cell r="O87">
            <v>2251.6</v>
          </cell>
          <cell r="P87">
            <v>103</v>
          </cell>
          <cell r="Q87">
            <v>2248.9</v>
          </cell>
        </row>
        <row r="88">
          <cell r="N88">
            <v>103</v>
          </cell>
          <cell r="O88">
            <v>2248.9</v>
          </cell>
          <cell r="P88">
            <v>104</v>
          </cell>
          <cell r="Q88">
            <v>2246.3000000000002</v>
          </cell>
        </row>
        <row r="89">
          <cell r="N89">
            <v>104</v>
          </cell>
          <cell r="O89">
            <v>2246.3000000000002</v>
          </cell>
          <cell r="P89">
            <v>105</v>
          </cell>
          <cell r="Q89">
            <v>2243.6</v>
          </cell>
        </row>
        <row r="90">
          <cell r="N90">
            <v>105</v>
          </cell>
          <cell r="O90">
            <v>2243.6</v>
          </cell>
          <cell r="P90">
            <v>106</v>
          </cell>
          <cell r="Q90">
            <v>2240.9</v>
          </cell>
        </row>
        <row r="91">
          <cell r="N91">
            <v>106</v>
          </cell>
          <cell r="O91">
            <v>2240.9</v>
          </cell>
          <cell r="P91">
            <v>107</v>
          </cell>
          <cell r="Q91">
            <v>2238.1999999999998</v>
          </cell>
        </row>
        <row r="92">
          <cell r="N92">
            <v>107</v>
          </cell>
          <cell r="O92">
            <v>2238.1999999999998</v>
          </cell>
          <cell r="P92">
            <v>108</v>
          </cell>
          <cell r="Q92">
            <v>2235.4</v>
          </cell>
        </row>
        <row r="93">
          <cell r="N93">
            <v>108</v>
          </cell>
          <cell r="O93">
            <v>2235.4</v>
          </cell>
          <cell r="P93">
            <v>109</v>
          </cell>
          <cell r="Q93">
            <v>2232.6999999999998</v>
          </cell>
        </row>
        <row r="94">
          <cell r="N94">
            <v>109</v>
          </cell>
          <cell r="O94">
            <v>2232.6999999999998</v>
          </cell>
          <cell r="P94">
            <v>110</v>
          </cell>
          <cell r="Q94">
            <v>2230</v>
          </cell>
        </row>
        <row r="95">
          <cell r="N95">
            <v>110</v>
          </cell>
          <cell r="O95">
            <v>2230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ve total"/>
      <sheetName val="Weight"/>
      <sheetName val="Valve total(4units)"/>
      <sheetName val="Valve"/>
      <sheetName val="Control valve"/>
      <sheetName val="Specialty"/>
      <sheetName val="S.Cooler"/>
      <sheetName val="Pivot"/>
      <sheetName val="Pivot2"/>
      <sheetName val="Vendor 집계표"/>
      <sheetName val="Project별 집계표"/>
      <sheetName val="Vendor"/>
      <sheetName val="w't table"/>
      <sheetName val="steam table"/>
      <sheetName val="내역(한신APT)"/>
      <sheetName val="CBE-VS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2">
          <cell r="AE2" t="str">
            <v>bw</v>
          </cell>
          <cell r="AF2" t="str">
            <v>flanged</v>
          </cell>
        </row>
        <row r="3">
          <cell r="AE3">
            <v>35</v>
          </cell>
          <cell r="AF3">
            <v>34</v>
          </cell>
        </row>
        <row r="4">
          <cell r="AE4">
            <v>35</v>
          </cell>
          <cell r="AF4">
            <v>34</v>
          </cell>
        </row>
        <row r="5">
          <cell r="AE5">
            <v>35</v>
          </cell>
          <cell r="AF5">
            <v>34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FLY"/>
      <sheetName val="50A"/>
      <sheetName val="65A"/>
      <sheetName val="80A"/>
      <sheetName val="100A"/>
      <sheetName val="125A"/>
      <sheetName val="150A"/>
      <sheetName val="200A"/>
      <sheetName val="250A"/>
      <sheetName val="300A"/>
      <sheetName val="350A"/>
      <sheetName val="400A"/>
      <sheetName val="450A"/>
      <sheetName val="500A"/>
      <sheetName val="600A"/>
      <sheetName val="650A"/>
      <sheetName val="700A"/>
      <sheetName val="750A"/>
      <sheetName val="800A"/>
      <sheetName val="900A"/>
      <sheetName val="1000A"/>
      <sheetName val="PATTERN"/>
    </sheetNames>
    <sheetDataSet>
      <sheetData sheetId="0" refreshError="1"/>
      <sheetData sheetId="1">
        <row r="29">
          <cell r="K29">
            <v>131131</v>
          </cell>
        </row>
      </sheetData>
      <sheetData sheetId="2">
        <row r="29">
          <cell r="K29">
            <v>143761</v>
          </cell>
        </row>
      </sheetData>
      <sheetData sheetId="3">
        <row r="29">
          <cell r="K29">
            <v>166688</v>
          </cell>
        </row>
      </sheetData>
      <sheetData sheetId="4">
        <row r="29">
          <cell r="K29">
            <v>219713</v>
          </cell>
        </row>
      </sheetData>
      <sheetData sheetId="5">
        <row r="29">
          <cell r="K29">
            <v>270515</v>
          </cell>
        </row>
      </sheetData>
      <sheetData sheetId="6">
        <row r="29">
          <cell r="K29">
            <v>310461</v>
          </cell>
        </row>
      </sheetData>
      <sheetData sheetId="7">
        <row r="29">
          <cell r="K29">
            <v>425357</v>
          </cell>
        </row>
      </sheetData>
      <sheetData sheetId="8">
        <row r="29">
          <cell r="K29">
            <v>608000</v>
          </cell>
        </row>
      </sheetData>
      <sheetData sheetId="9">
        <row r="29">
          <cell r="K29">
            <v>838700</v>
          </cell>
        </row>
      </sheetData>
      <sheetData sheetId="10" refreshError="1"/>
      <sheetData sheetId="11">
        <row r="29">
          <cell r="K29">
            <v>1748520</v>
          </cell>
        </row>
      </sheetData>
      <sheetData sheetId="12">
        <row r="29">
          <cell r="K29">
            <v>2128310</v>
          </cell>
        </row>
      </sheetData>
      <sheetData sheetId="13">
        <row r="29">
          <cell r="K29">
            <v>2550800</v>
          </cell>
        </row>
      </sheetData>
      <sheetData sheetId="14">
        <row r="29">
          <cell r="K29">
            <v>3855686</v>
          </cell>
        </row>
      </sheetData>
      <sheetData sheetId="15">
        <row r="29">
          <cell r="K29">
            <v>4349910</v>
          </cell>
        </row>
      </sheetData>
      <sheetData sheetId="16">
        <row r="29">
          <cell r="K29">
            <v>5806380</v>
          </cell>
        </row>
      </sheetData>
      <sheetData sheetId="17">
        <row r="29">
          <cell r="K29">
            <v>6260760</v>
          </cell>
        </row>
      </sheetData>
      <sheetData sheetId="18">
        <row r="29">
          <cell r="K29">
            <v>6842440</v>
          </cell>
        </row>
      </sheetData>
      <sheetData sheetId="19" refreshError="1"/>
      <sheetData sheetId="20">
        <row r="29">
          <cell r="K29">
            <v>11785550</v>
          </cell>
        </row>
      </sheetData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99.&#44204;&#51201;&#51088;&#47308;\2.Dimension%20Table\DIMENSION%20TABLE-HP(09.04.04).xlsx" TargetMode="External"/><Relationship Id="rId1" Type="http://schemas.openxmlformats.org/officeDocument/2006/relationships/hyperlink" Target="..\..\..\&#48184;&#48652;&#51088;&#47308;\1.&#44204;&#51201;&#51088;&#47308;\7.&#47785;&#54805;\5.&#52572;&#49888;&#47785;&#54805;LIST(140312)\PATTERN&#44288;&#47532;&#45824;&#51109;(140312).xlsx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8:P52"/>
  <sheetViews>
    <sheetView showGridLines="0" view="pageBreakPreview" topLeftCell="A4" zoomScaleNormal="100" zoomScaleSheetLayoutView="100" workbookViewId="0">
      <selection activeCell="C15" sqref="C15"/>
    </sheetView>
  </sheetViews>
  <sheetFormatPr defaultColWidth="8.88671875" defaultRowHeight="12.75"/>
  <cols>
    <col min="1" max="1" width="20.44140625" style="2" bestFit="1" customWidth="1"/>
    <col min="2" max="2" width="9" style="2" bestFit="1" customWidth="1"/>
    <col min="3" max="3" width="9.109375" style="1" bestFit="1" customWidth="1"/>
    <col min="4" max="5" width="9.44140625" style="1" bestFit="1" customWidth="1"/>
    <col min="6" max="11" width="12.44140625" style="1" bestFit="1" customWidth="1"/>
    <col min="12" max="12" width="9.44140625" style="26" bestFit="1" customWidth="1"/>
    <col min="13" max="16" width="8.88671875" style="26" customWidth="1"/>
    <col min="17" max="16384" width="8.88671875" style="1"/>
  </cols>
  <sheetData>
    <row r="8" spans="1:11" customFormat="1" ht="13.5"/>
    <row r="9" spans="1:11" customFormat="1" ht="13.5"/>
    <row r="10" spans="1:11" s="27" customFormat="1" ht="15" thickBot="1"/>
    <row r="11" spans="1:11" s="27" customFormat="1" ht="15" thickBot="1">
      <c r="A11" s="28" t="s">
        <v>11</v>
      </c>
      <c r="B11" s="29">
        <v>1000</v>
      </c>
      <c r="E11" s="59" t="s">
        <v>61</v>
      </c>
      <c r="F11" s="204" t="s">
        <v>26</v>
      </c>
      <c r="G11" s="204"/>
      <c r="H11" s="204"/>
      <c r="I11" s="203" t="s">
        <v>27</v>
      </c>
      <c r="J11" s="203"/>
      <c r="K11" s="203"/>
    </row>
    <row r="12" spans="1:11" s="27" customFormat="1" ht="15" thickBot="1">
      <c r="B12" s="30" t="s">
        <v>52</v>
      </c>
      <c r="C12" s="31" t="s">
        <v>13</v>
      </c>
      <c r="E12" s="38" t="s">
        <v>12</v>
      </c>
      <c r="F12" s="38" t="s">
        <v>23</v>
      </c>
      <c r="G12" s="38" t="s">
        <v>24</v>
      </c>
      <c r="H12" s="38" t="s">
        <v>25</v>
      </c>
      <c r="I12" s="38" t="s">
        <v>28</v>
      </c>
      <c r="J12" s="38" t="s">
        <v>29</v>
      </c>
      <c r="K12" s="38" t="s">
        <v>30</v>
      </c>
    </row>
    <row r="13" spans="1:11" s="27" customFormat="1" ht="15" thickBot="1">
      <c r="A13" s="65" t="s">
        <v>121</v>
      </c>
      <c r="B13" s="51" t="s">
        <v>391</v>
      </c>
      <c r="C13" s="37">
        <v>4000</v>
      </c>
      <c r="D13" s="52"/>
      <c r="E13" s="57" t="s">
        <v>32</v>
      </c>
      <c r="F13" s="47">
        <f>'50A'!$K$29/$B$11</f>
        <v>159.82599999999999</v>
      </c>
      <c r="G13" s="47">
        <f>'50A'!$K$30/$B$11</f>
        <v>182.82599999999999</v>
      </c>
      <c r="H13" s="47">
        <f>'50A'!$K$31/$B$11</f>
        <v>257.82600000000002</v>
      </c>
      <c r="I13" s="47">
        <f>'50A'!$K$41/$B$11</f>
        <v>169.32599999999999</v>
      </c>
      <c r="J13" s="47">
        <f>'50A'!$K$42/$B$11</f>
        <v>192.32599999999999</v>
      </c>
      <c r="K13" s="47">
        <f>'50A'!$K$43/$B$11</f>
        <v>267.32600000000002</v>
      </c>
    </row>
    <row r="14" spans="1:11" s="27" customFormat="1" ht="15" thickBot="1">
      <c r="A14" s="65" t="s">
        <v>122</v>
      </c>
      <c r="B14" s="51"/>
      <c r="C14" s="37"/>
      <c r="D14" s="53"/>
      <c r="E14" s="57" t="s">
        <v>33</v>
      </c>
      <c r="F14" s="47">
        <f>'65A'!$K$29/$B$11</f>
        <v>172.23</v>
      </c>
      <c r="G14" s="47">
        <f>'65A'!$K$30/$B$11</f>
        <v>195.23</v>
      </c>
      <c r="H14" s="47">
        <f>'65A'!$K$31/$B$11</f>
        <v>270.23</v>
      </c>
      <c r="I14" s="47">
        <f>'65A'!$K$41/$B$11</f>
        <v>181.73</v>
      </c>
      <c r="J14" s="47">
        <f>'65A'!$K$42/$B$11</f>
        <v>204.73</v>
      </c>
      <c r="K14" s="47">
        <f>'65A'!$K$43/$B$11</f>
        <v>279.73</v>
      </c>
    </row>
    <row r="15" spans="1:11" s="27" customFormat="1" ht="15" thickBot="1">
      <c r="A15" s="65" t="s">
        <v>123</v>
      </c>
      <c r="B15" s="51" t="s">
        <v>391</v>
      </c>
      <c r="C15" s="37"/>
      <c r="D15" s="53"/>
      <c r="E15" s="58" t="s">
        <v>34</v>
      </c>
      <c r="F15" s="47">
        <f>'80A'!$K$29/$B$11</f>
        <v>192.25299999999999</v>
      </c>
      <c r="G15" s="47">
        <f>'80A'!$K$30/$B$11</f>
        <v>215.25299999999999</v>
      </c>
      <c r="H15" s="47">
        <f>'80A'!$K$31/$B$11</f>
        <v>290.25299999999999</v>
      </c>
      <c r="I15" s="47">
        <f>'80A'!$K$41/$B$11</f>
        <v>202.25299999999999</v>
      </c>
      <c r="J15" s="47">
        <f>'80A'!$K$42/$B$11</f>
        <v>225.25299999999999</v>
      </c>
      <c r="K15" s="47">
        <f>'80A'!$K$43/$B$11</f>
        <v>300.25299999999999</v>
      </c>
    </row>
    <row r="16" spans="1:11" s="27" customFormat="1" ht="15" thickBot="1">
      <c r="A16" s="65" t="s">
        <v>14</v>
      </c>
      <c r="B16" s="32" t="s">
        <v>347</v>
      </c>
      <c r="C16" s="37">
        <v>8000</v>
      </c>
      <c r="D16" s="53"/>
      <c r="E16" s="58" t="s">
        <v>35</v>
      </c>
      <c r="F16" s="47">
        <f>'100A'!$K$29/$B$11</f>
        <v>228.91200000000001</v>
      </c>
      <c r="G16" s="47">
        <f>'100A'!$K$30/$B$11</f>
        <v>251.91200000000001</v>
      </c>
      <c r="H16" s="47">
        <f>'100A'!$K$31/$B$11</f>
        <v>326.91199999999998</v>
      </c>
      <c r="I16" s="47">
        <f>'100A'!$K$41/$B$11</f>
        <v>243.41200000000001</v>
      </c>
      <c r="J16" s="47">
        <f>'100A'!$K$42/$B$11</f>
        <v>266.41199999999998</v>
      </c>
      <c r="K16" s="170">
        <f>'100A'!$K$43/$B$11</f>
        <v>341.41199999999998</v>
      </c>
    </row>
    <row r="17" spans="1:11" s="27" customFormat="1" ht="15" thickBot="1">
      <c r="A17" s="32" t="s">
        <v>15</v>
      </c>
      <c r="B17" s="61" t="s">
        <v>346</v>
      </c>
      <c r="C17" s="37">
        <v>8000</v>
      </c>
      <c r="E17" s="58" t="s">
        <v>36</v>
      </c>
      <c r="F17" s="47">
        <f>'125A'!$K$29/$B$11</f>
        <v>258.02999999999997</v>
      </c>
      <c r="G17" s="47">
        <f>'125A'!$K$30/$B$11</f>
        <v>281.02999999999997</v>
      </c>
      <c r="H17" s="47">
        <f>'125A'!$K$31/$B$11</f>
        <v>356.03</v>
      </c>
      <c r="I17" s="47">
        <f>'125A'!$K$41/$B$11</f>
        <v>272.02999999999997</v>
      </c>
      <c r="J17" s="47">
        <f>'125A'!$K$42/$B$11</f>
        <v>295.02999999999997</v>
      </c>
      <c r="K17" s="47">
        <f>'125A'!$K$43/$B$11</f>
        <v>370.03</v>
      </c>
    </row>
    <row r="18" spans="1:11" s="27" customFormat="1" ht="15" thickBot="1">
      <c r="A18" s="35"/>
      <c r="B18" s="35"/>
      <c r="C18" s="49"/>
      <c r="E18" s="58" t="s">
        <v>37</v>
      </c>
      <c r="F18" s="47">
        <f>'150A'!$K$29/$B$11</f>
        <v>338.76</v>
      </c>
      <c r="G18" s="47">
        <f>'150A'!$K$30/$B$11</f>
        <v>361.76</v>
      </c>
      <c r="H18" s="47">
        <f>'150A'!$K$31/$B$11</f>
        <v>436.76</v>
      </c>
      <c r="I18" s="47">
        <f>'150A'!$K$41/$B$11</f>
        <v>353.76</v>
      </c>
      <c r="J18" s="47">
        <f>'150A'!$K$42/$B$11</f>
        <v>376.76</v>
      </c>
      <c r="K18" s="47">
        <f>'150A'!$K$43/$B$11</f>
        <v>451.76</v>
      </c>
    </row>
    <row r="19" spans="1:11" s="27" customFormat="1" ht="15" thickBot="1">
      <c r="A19" s="36" t="s">
        <v>31</v>
      </c>
      <c r="B19" s="62" t="s">
        <v>348</v>
      </c>
      <c r="C19" s="54"/>
      <c r="E19" s="58" t="s">
        <v>38</v>
      </c>
      <c r="F19" s="47">
        <f>'200A'!$K$29/$B$11</f>
        <v>448.53199999999998</v>
      </c>
      <c r="G19" s="47">
        <f>'200A'!$K$30/$B$11</f>
        <v>474.452</v>
      </c>
      <c r="H19" s="47">
        <f>'200A'!$K$31/$B$11</f>
        <v>546.53200000000004</v>
      </c>
      <c r="I19" s="47">
        <f>'200A'!$K$41/$B$11</f>
        <v>465.53199999999998</v>
      </c>
      <c r="J19" s="47">
        <f>'200A'!$K$42/$B$11</f>
        <v>491.452</v>
      </c>
      <c r="K19" s="47">
        <f>'200A'!$K$43/$B$11</f>
        <v>563.53200000000004</v>
      </c>
    </row>
    <row r="20" spans="1:11" s="27" customFormat="1" ht="15" thickBot="1">
      <c r="A20" s="36" t="s">
        <v>109</v>
      </c>
      <c r="B20" s="62" t="s">
        <v>390</v>
      </c>
      <c r="C20" s="55"/>
      <c r="E20" s="58" t="s">
        <v>39</v>
      </c>
      <c r="F20" s="47">
        <f>'250A'!$K$29/$B$11</f>
        <v>628.02499999999998</v>
      </c>
      <c r="G20" s="47">
        <f>'250A'!$K$30/$B$11</f>
        <v>653.94500000000005</v>
      </c>
      <c r="H20" s="47">
        <f>'250A'!$K$31/$B$11</f>
        <v>726.02499999999998</v>
      </c>
      <c r="I20" s="47">
        <f>'250A'!$K$41/$B$11</f>
        <v>652.22500000000002</v>
      </c>
      <c r="J20" s="47">
        <f>'250A'!$K$42/$B$11</f>
        <v>678.14499999999998</v>
      </c>
      <c r="K20" s="47">
        <f>'250A'!$K$43/$B$11</f>
        <v>750.22500000000002</v>
      </c>
    </row>
    <row r="21" spans="1:11" s="27" customFormat="1" ht="15" thickBot="1">
      <c r="A21" s="36" t="s">
        <v>114</v>
      </c>
      <c r="B21" s="62">
        <v>1</v>
      </c>
      <c r="C21" s="55"/>
      <c r="E21" s="58" t="s">
        <v>40</v>
      </c>
      <c r="F21" s="47">
        <f>'300A'!$K$29/$B$11</f>
        <v>808.60500000000002</v>
      </c>
      <c r="G21" s="47">
        <f>'300A'!$K$30/$B$11</f>
        <v>836.46500000000003</v>
      </c>
      <c r="H21" s="47">
        <f>'300A'!$K$31/$B$11</f>
        <v>1011.605</v>
      </c>
      <c r="I21" s="47">
        <f>'300A'!$K$41/$B$11</f>
        <v>842.60500000000002</v>
      </c>
      <c r="J21" s="47">
        <f>'300A'!$K$42/$B$11</f>
        <v>870.46500000000003</v>
      </c>
      <c r="K21" s="47">
        <f>'300A'!$K$43/$B$11</f>
        <v>1045.605</v>
      </c>
    </row>
    <row r="22" spans="1:11" s="27" customFormat="1" ht="15" thickBot="1">
      <c r="A22" s="205" t="s">
        <v>345</v>
      </c>
      <c r="B22" s="206"/>
      <c r="E22" s="58" t="s">
        <v>41</v>
      </c>
      <c r="F22" s="47">
        <f>'350A'!$K$37/$B$11</f>
        <v>1370.1</v>
      </c>
      <c r="G22" s="200"/>
      <c r="H22" s="47">
        <f>'350A'!$K$38/$B$11</f>
        <v>1573.1</v>
      </c>
      <c r="I22" s="47">
        <f>'350A'!$K$39/$B$11</f>
        <v>1370.1</v>
      </c>
      <c r="J22" s="200"/>
      <c r="K22" s="47">
        <f>'350A'!$K$40/$B$11</f>
        <v>1573.1</v>
      </c>
    </row>
    <row r="23" spans="1:11" s="27" customFormat="1" ht="15" thickBot="1">
      <c r="A23" s="205" t="s">
        <v>339</v>
      </c>
      <c r="B23" s="206"/>
      <c r="E23" s="58" t="s">
        <v>42</v>
      </c>
      <c r="F23" s="47">
        <f>'400A'!$K$37/$B$11</f>
        <v>1900.32</v>
      </c>
      <c r="G23" s="201"/>
      <c r="H23" s="47">
        <f>'400A'!$K$38/$B$11</f>
        <v>2205.3200000000002</v>
      </c>
      <c r="I23" s="47">
        <f>'400A'!$K$39/$B$11</f>
        <v>1900.32</v>
      </c>
      <c r="J23" s="201"/>
      <c r="K23" s="47">
        <f>'400A'!$K$40/$B$11</f>
        <v>2205.3200000000002</v>
      </c>
    </row>
    <row r="24" spans="1:11" s="27" customFormat="1" ht="14.25">
      <c r="E24" s="58" t="s">
        <v>43</v>
      </c>
      <c r="F24" s="47">
        <f>'450A'!$K$37/$B$11</f>
        <v>2198.81</v>
      </c>
      <c r="G24" s="201"/>
      <c r="H24" s="47">
        <f>'450A'!$K$38/$B$11</f>
        <v>2503.81</v>
      </c>
      <c r="I24" s="47">
        <f>'450A'!$K$39/$B$11</f>
        <v>2198.81</v>
      </c>
      <c r="J24" s="201"/>
      <c r="K24" s="47">
        <f>'450A'!$K$40/$B$11</f>
        <v>2503.81</v>
      </c>
    </row>
    <row r="25" spans="1:11" s="27" customFormat="1" ht="14.25">
      <c r="D25" s="27" t="s">
        <v>113</v>
      </c>
      <c r="E25" s="58" t="s">
        <v>44</v>
      </c>
      <c r="F25" s="47">
        <f>'500A'!$K$37/$B$11</f>
        <v>2678.8</v>
      </c>
      <c r="G25" s="201"/>
      <c r="H25" s="47">
        <f>'500A'!$K$38/$B$11</f>
        <v>2983.8</v>
      </c>
      <c r="I25" s="47">
        <f>'500A'!$K$39/$B$11</f>
        <v>2678.8</v>
      </c>
      <c r="J25" s="201"/>
      <c r="K25" s="47">
        <f>'500A'!$K$40/$B$11</f>
        <v>2983.8</v>
      </c>
    </row>
    <row r="26" spans="1:11" s="27" customFormat="1" ht="14.25">
      <c r="A26" s="27" t="s">
        <v>58</v>
      </c>
      <c r="B26" s="27" t="s">
        <v>59</v>
      </c>
      <c r="E26" s="58" t="s">
        <v>45</v>
      </c>
      <c r="F26" s="47">
        <f>'600A'!$K$37/$B$11</f>
        <v>3336.0859999999998</v>
      </c>
      <c r="G26" s="201"/>
      <c r="H26" s="47">
        <f>'600A'!$K$38/$B$11</f>
        <v>3691.0859999999998</v>
      </c>
      <c r="I26" s="47">
        <f>'600A'!$K$39/$B$11</f>
        <v>3336.0859999999998</v>
      </c>
      <c r="J26" s="201"/>
      <c r="K26" s="47">
        <f>'600A'!$K$40/$B$11</f>
        <v>3691.0859999999998</v>
      </c>
    </row>
    <row r="27" spans="1:11" s="27" customFormat="1" ht="14.25">
      <c r="A27" s="38" t="s">
        <v>16</v>
      </c>
      <c r="B27" s="39">
        <v>2500</v>
      </c>
      <c r="E27" s="58" t="s">
        <v>46</v>
      </c>
      <c r="F27" s="47">
        <f>'650A'!$K$37/$B$11</f>
        <v>4422.3100000000004</v>
      </c>
      <c r="G27" s="201"/>
      <c r="H27" s="47">
        <f>'650A'!$K$38/$B$11</f>
        <v>4777.3100000000004</v>
      </c>
      <c r="I27" s="47">
        <f>'650A'!$K$39/$B$11</f>
        <v>4422.3100000000004</v>
      </c>
      <c r="J27" s="201"/>
      <c r="K27" s="47">
        <f>'650A'!$K$40/$B$11</f>
        <v>4777.3100000000004</v>
      </c>
    </row>
    <row r="28" spans="1:11" s="27" customFormat="1" ht="14.25">
      <c r="A28" s="38" t="s">
        <v>17</v>
      </c>
      <c r="B28" s="39">
        <v>2500</v>
      </c>
      <c r="E28" s="58" t="s">
        <v>47</v>
      </c>
      <c r="F28" s="47">
        <f>'700A'!$K$37/$B$11</f>
        <v>5458.38</v>
      </c>
      <c r="G28" s="201"/>
      <c r="H28" s="47">
        <f>'700A'!$K$38/$B$11</f>
        <v>6047.38</v>
      </c>
      <c r="I28" s="47">
        <f>'700A'!$K$39/$B$11</f>
        <v>5458.38</v>
      </c>
      <c r="J28" s="201"/>
      <c r="K28" s="47">
        <f>'700A'!$K$40/$B$11</f>
        <v>6047.38</v>
      </c>
    </row>
    <row r="29" spans="1:11" s="27" customFormat="1" ht="14.25">
      <c r="A29" s="38" t="s">
        <v>18</v>
      </c>
      <c r="B29" s="39">
        <v>3100</v>
      </c>
      <c r="E29" s="58" t="s">
        <v>48</v>
      </c>
      <c r="F29" s="47">
        <f>'750A'!$K$37/$B$11</f>
        <v>5953.56</v>
      </c>
      <c r="G29" s="201"/>
      <c r="H29" s="47">
        <f>'750A'!$K$38/$B$11</f>
        <v>6542.56</v>
      </c>
      <c r="I29" s="47">
        <f>'750A'!$K$39/$B$11</f>
        <v>5953.56</v>
      </c>
      <c r="J29" s="201"/>
      <c r="K29" s="47">
        <f>'750A'!$K$40/$B$11</f>
        <v>6542.56</v>
      </c>
    </row>
    <row r="30" spans="1:11" s="27" customFormat="1" ht="14.25">
      <c r="A30" s="38" t="s">
        <v>19</v>
      </c>
      <c r="B30" s="39">
        <v>7000</v>
      </c>
      <c r="E30" s="58" t="s">
        <v>49</v>
      </c>
      <c r="F30" s="47">
        <f>'800A'!$K$37/$B$11</f>
        <v>6533.99</v>
      </c>
      <c r="G30" s="201"/>
      <c r="H30" s="47">
        <f>'800A'!$K$38/$B$11</f>
        <v>7122.99</v>
      </c>
      <c r="I30" s="47">
        <f>'800A'!$K$39/$B$11</f>
        <v>6533.99</v>
      </c>
      <c r="J30" s="201"/>
      <c r="K30" s="47">
        <f>'800A'!$K$40/$B$11</f>
        <v>7122.99</v>
      </c>
    </row>
    <row r="31" spans="1:11" s="27" customFormat="1" ht="14.25">
      <c r="A31" s="38" t="s">
        <v>20</v>
      </c>
      <c r="B31" s="39">
        <v>9000</v>
      </c>
      <c r="E31" s="58" t="s">
        <v>50</v>
      </c>
      <c r="F31" s="47">
        <f>'900A'!$K$37/$B$11</f>
        <v>10098.379999999999</v>
      </c>
      <c r="G31" s="201"/>
      <c r="H31" s="47">
        <f>'900A'!$K$38/$B$11</f>
        <v>10846.38</v>
      </c>
      <c r="I31" s="47">
        <f>'900A'!$K$39/$B$11</f>
        <v>10098.379999999999</v>
      </c>
      <c r="J31" s="201"/>
      <c r="K31" s="47">
        <f>'900A'!$K$40/$B$11</f>
        <v>10846.38</v>
      </c>
    </row>
    <row r="32" spans="1:11" s="27" customFormat="1" ht="14.25">
      <c r="A32" s="38" t="s">
        <v>21</v>
      </c>
      <c r="B32" s="39">
        <v>11000</v>
      </c>
      <c r="E32" s="58" t="s">
        <v>51</v>
      </c>
      <c r="F32" s="47">
        <f>'1000A'!$K$37/$B$11</f>
        <v>11403.15</v>
      </c>
      <c r="G32" s="202"/>
      <c r="H32" s="47">
        <f>'1000A'!$K$38/$B$11</f>
        <v>12151.15</v>
      </c>
      <c r="I32" s="47">
        <f>'1000A'!$K$39/$B$11</f>
        <v>11403.15</v>
      </c>
      <c r="J32" s="202"/>
      <c r="K32" s="47">
        <f>'1000A'!$K$40/$B$11</f>
        <v>12151.15</v>
      </c>
    </row>
    <row r="33" spans="1:16" s="27" customFormat="1" ht="14.25">
      <c r="A33" s="38" t="s">
        <v>22</v>
      </c>
      <c r="B33" s="39">
        <v>15000</v>
      </c>
      <c r="C33" s="40"/>
      <c r="E33" s="64"/>
      <c r="F33" s="64"/>
      <c r="G33" s="64"/>
      <c r="H33" s="64"/>
      <c r="I33" s="64"/>
      <c r="J33" s="64"/>
      <c r="K33" s="64"/>
    </row>
    <row r="34" spans="1:16" s="27" customFormat="1" ht="14.25">
      <c r="A34" s="38" t="s">
        <v>56</v>
      </c>
      <c r="B34" s="39">
        <v>55000</v>
      </c>
      <c r="C34" s="40"/>
      <c r="E34" s="48"/>
      <c r="F34" s="48"/>
      <c r="G34" s="48"/>
      <c r="H34" s="48"/>
      <c r="I34" s="48"/>
      <c r="J34" s="48"/>
      <c r="K34" s="48"/>
    </row>
    <row r="35" spans="1:16" s="27" customFormat="1" ht="14.25">
      <c r="A35" s="38" t="s">
        <v>57</v>
      </c>
      <c r="B35" s="39">
        <v>62000</v>
      </c>
      <c r="C35" s="40"/>
      <c r="E35" s="50"/>
      <c r="F35" s="63"/>
      <c r="G35" s="50"/>
      <c r="H35" s="50"/>
      <c r="I35" s="50"/>
      <c r="J35" s="50"/>
      <c r="K35" s="50"/>
    </row>
    <row r="36" spans="1:16" s="27" customFormat="1" ht="14.25">
      <c r="A36" s="38" t="s">
        <v>60</v>
      </c>
      <c r="B36" s="39">
        <v>23000</v>
      </c>
      <c r="C36" s="48"/>
      <c r="E36" s="50"/>
      <c r="F36" s="63"/>
      <c r="G36" s="50"/>
      <c r="H36" s="50"/>
      <c r="I36" s="50"/>
      <c r="J36" s="50"/>
      <c r="K36" s="50"/>
    </row>
    <row r="37" spans="1:16" s="27" customFormat="1" ht="14.25">
      <c r="A37" s="38" t="s">
        <v>53</v>
      </c>
      <c r="B37" s="39">
        <v>3000</v>
      </c>
      <c r="C37" s="48"/>
      <c r="E37" s="1"/>
      <c r="F37" s="63"/>
      <c r="G37" s="1"/>
      <c r="H37" s="1"/>
      <c r="I37" s="1"/>
      <c r="J37" s="1"/>
      <c r="K37" s="1"/>
    </row>
    <row r="38" spans="1:16" s="27" customFormat="1" ht="14.25">
      <c r="A38" s="38" t="s">
        <v>54</v>
      </c>
      <c r="B38" s="39">
        <v>12500</v>
      </c>
      <c r="C38" s="48"/>
      <c r="E38" s="1"/>
      <c r="F38" s="63"/>
      <c r="G38" s="1"/>
      <c r="H38" s="1"/>
      <c r="I38" s="1"/>
      <c r="J38" s="1"/>
      <c r="K38" s="1"/>
    </row>
    <row r="39" spans="1:16" ht="14.25">
      <c r="A39" s="38" t="s">
        <v>71</v>
      </c>
      <c r="B39" s="39">
        <v>10500</v>
      </c>
      <c r="F39" s="63"/>
    </row>
    <row r="40" spans="1:16" ht="14.25">
      <c r="A40" s="38" t="s">
        <v>108</v>
      </c>
      <c r="B40" s="39">
        <v>6000</v>
      </c>
      <c r="F40" s="50"/>
    </row>
    <row r="41" spans="1:16">
      <c r="A41" s="2" t="s">
        <v>55</v>
      </c>
      <c r="F41" s="50"/>
      <c r="J41" s="26"/>
      <c r="K41" s="26"/>
    </row>
    <row r="43" spans="1:16">
      <c r="A43" s="56"/>
      <c r="B43" s="56"/>
    </row>
    <row r="44" spans="1:16">
      <c r="A44" s="56"/>
      <c r="B44" s="56"/>
    </row>
    <row r="45" spans="1:16">
      <c r="A45" s="56"/>
      <c r="B45" s="56"/>
    </row>
    <row r="46" spans="1:16">
      <c r="A46" s="164" t="s">
        <v>340</v>
      </c>
      <c r="B46" s="164" t="s">
        <v>341</v>
      </c>
      <c r="C46" s="165"/>
      <c r="D46" s="165" t="s">
        <v>342</v>
      </c>
      <c r="E46" s="165"/>
      <c r="F46" s="165" t="s">
        <v>343</v>
      </c>
      <c r="G46" s="165" t="s">
        <v>344</v>
      </c>
    </row>
    <row r="47" spans="1:16">
      <c r="A47" s="56" t="s">
        <v>63</v>
      </c>
      <c r="B47" s="56" t="s">
        <v>67</v>
      </c>
      <c r="D47" s="1" t="s">
        <v>62</v>
      </c>
      <c r="F47" s="1" t="s">
        <v>118</v>
      </c>
      <c r="G47" s="1" t="s">
        <v>110</v>
      </c>
      <c r="H47" s="1" t="s">
        <v>115</v>
      </c>
    </row>
    <row r="48" spans="1:16">
      <c r="A48" s="56" t="s">
        <v>64</v>
      </c>
      <c r="B48" s="56" t="s">
        <v>68</v>
      </c>
      <c r="D48" s="1" t="s">
        <v>63</v>
      </c>
      <c r="F48" s="1" t="s">
        <v>119</v>
      </c>
      <c r="G48" s="1" t="s">
        <v>111</v>
      </c>
      <c r="H48" s="1" t="s">
        <v>116</v>
      </c>
      <c r="O48" s="1"/>
      <c r="P48" s="1"/>
    </row>
    <row r="49" spans="1:8">
      <c r="A49" s="56" t="s">
        <v>66</v>
      </c>
      <c r="B49" s="56" t="s">
        <v>69</v>
      </c>
      <c r="D49" s="1" t="s">
        <v>64</v>
      </c>
      <c r="F49" s="1" t="s">
        <v>120</v>
      </c>
      <c r="G49" s="1" t="s">
        <v>112</v>
      </c>
      <c r="H49" s="1" t="s">
        <v>117</v>
      </c>
    </row>
    <row r="50" spans="1:8">
      <c r="A50" s="56" t="s">
        <v>65</v>
      </c>
      <c r="B50" s="56" t="s">
        <v>70</v>
      </c>
    </row>
    <row r="51" spans="1:8">
      <c r="A51" s="56"/>
      <c r="B51" s="56"/>
    </row>
    <row r="52" spans="1:8">
      <c r="A52" s="56"/>
      <c r="B52" s="56"/>
    </row>
  </sheetData>
  <dataConsolidate/>
  <mergeCells count="6">
    <mergeCell ref="G22:G32"/>
    <mergeCell ref="J22:J32"/>
    <mergeCell ref="I11:K11"/>
    <mergeCell ref="F11:H11"/>
    <mergeCell ref="A22:B22"/>
    <mergeCell ref="A23:B23"/>
  </mergeCells>
  <phoneticPr fontId="7" type="noConversion"/>
  <dataValidations count="6">
    <dataValidation type="list" allowBlank="1" showInputMessage="1" showErrorMessage="1" sqref="C43">
      <formula1>$A$42:$A$45</formula1>
    </dataValidation>
    <dataValidation type="list" allowBlank="1" showInputMessage="1" showErrorMessage="1" sqref="B16">
      <formula1>$A$47:$A$52</formula1>
    </dataValidation>
    <dataValidation type="list" allowBlank="1" showInputMessage="1" showErrorMessage="1" sqref="B19">
      <formula1>$B$47:$B$50</formula1>
    </dataValidation>
    <dataValidation type="list" allowBlank="1" showInputMessage="1" showErrorMessage="1" sqref="B13:B15">
      <formula1>$D$46:$D$50</formula1>
    </dataValidation>
    <dataValidation type="list" allowBlank="1" showInputMessage="1" showErrorMessage="1" sqref="B17">
      <formula1>$F$47:$F$49</formula1>
    </dataValidation>
    <dataValidation type="list" allowBlank="1" showInputMessage="1" showErrorMessage="1" sqref="B20">
      <formula1>$G$47:$G$49</formula1>
    </dataValidation>
  </dataValidations>
  <hyperlinks>
    <hyperlink ref="A22:B22" r:id="rId1" display="목형관리대장"/>
    <hyperlink ref="A23:B23" r:id="rId2" display="DIMESION TABLE"/>
  </hyperlinks>
  <printOptions horizontalCentered="1" gridLinesSet="0"/>
  <pageMargins left="0.22" right="0.21" top="0.32" bottom="0.3" header="0.17" footer="0.15748031496062992"/>
  <pageSetup paperSize="9" scale="92" fitToHeight="0" orientation="landscape" horizontalDpi="300" verticalDpi="300" r:id="rId3"/>
  <headerFooter alignWithMargins="0"/>
  <ignoredErrors>
    <ignoredError sqref="F14:K14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T58"/>
  <sheetViews>
    <sheetView view="pageBreakPreview" topLeftCell="A2" zoomScaleNormal="100" zoomScaleSheetLayoutView="100" workbookViewId="0">
      <selection activeCell="M18" sqref="M18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customWidth="1"/>
    <col min="13" max="13" width="13.44140625" style="3" customWidth="1"/>
    <col min="14" max="14" width="12.109375" style="3" customWidth="1"/>
    <col min="15" max="15" width="8.88671875" style="3" customWidth="1"/>
    <col min="16" max="16" width="26.109375" style="3" bestFit="1" customWidth="1"/>
    <col min="17" max="18" width="9.88671875" style="3" bestFit="1" customWidth="1"/>
    <col min="19" max="19" width="9.88671875" style="3" hidden="1" customWidth="1"/>
    <col min="20" max="20" width="9.88671875" style="3" bestFit="1" customWidth="1"/>
    <col min="21" max="16384" width="8.88671875" style="3"/>
  </cols>
  <sheetData>
    <row r="1" spans="1:20" s="112" customFormat="1" ht="20.25">
      <c r="A1" s="110" t="s">
        <v>131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.75">
      <c r="A3" s="113" t="s">
        <v>132</v>
      </c>
      <c r="B3" s="114"/>
      <c r="C3" s="114" t="s">
        <v>133</v>
      </c>
      <c r="D3" s="114"/>
      <c r="E3" s="114"/>
      <c r="F3" s="114" t="s">
        <v>134</v>
      </c>
      <c r="G3" s="114"/>
      <c r="H3" s="114"/>
      <c r="I3" s="115"/>
      <c r="J3" s="114"/>
      <c r="K3" s="114"/>
      <c r="L3" s="86"/>
    </row>
    <row r="4" spans="1:20" ht="12.2" customHeight="1"/>
    <row r="5" spans="1:20" s="8" customFormat="1" ht="18" customHeight="1">
      <c r="A5" s="5" t="s">
        <v>0</v>
      </c>
      <c r="B5" s="5" t="s">
        <v>1</v>
      </c>
      <c r="C5" s="33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33" t="s">
        <v>9</v>
      </c>
      <c r="K5" s="5" t="s">
        <v>10</v>
      </c>
      <c r="L5" s="34"/>
      <c r="M5" s="7"/>
      <c r="P5" s="174"/>
      <c r="Q5" s="8" t="s">
        <v>351</v>
      </c>
      <c r="R5" s="8" t="s">
        <v>9</v>
      </c>
      <c r="T5" s="8" t="s">
        <v>352</v>
      </c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06">
        <f>IF(C6="WCB",3,IF(C6="CF8",3,IF(C6="CF8M",3)))</f>
        <v>3</v>
      </c>
      <c r="G6" s="69"/>
      <c r="H6" s="108">
        <f>BFLY!C13</f>
        <v>4000</v>
      </c>
      <c r="I6" s="70">
        <f>D6*F6*H6</f>
        <v>12000</v>
      </c>
      <c r="J6" s="180">
        <f>IF(C6="WCB",30000,IF(C6="CF8",30000,IF(C6="CF8M",30000)))</f>
        <v>30000</v>
      </c>
      <c r="K6" s="109">
        <f>I6+J6</f>
        <v>42000</v>
      </c>
      <c r="L6" s="119"/>
      <c r="M6" s="120"/>
      <c r="P6" s="176" t="s">
        <v>353</v>
      </c>
      <c r="R6" s="175">
        <v>30000</v>
      </c>
      <c r="S6" s="175"/>
      <c r="T6" s="178">
        <f>R6+Q6</f>
        <v>30000</v>
      </c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06" t="b">
        <f>IF(C7="WCB",3.63,IF(C7="CF8",3.63,IF(C7="CF8M",4.4)))</f>
        <v>0</v>
      </c>
      <c r="G7" s="69"/>
      <c r="H7" s="108">
        <f>BFLY!C14</f>
        <v>0</v>
      </c>
      <c r="I7" s="70">
        <f>D7*F7*H7</f>
        <v>0</v>
      </c>
      <c r="J7" s="180" t="b">
        <f>IF(C7="WCB",28000,IF(C7="CF8",28000,IF(C7="CF8M",28000)))</f>
        <v>0</v>
      </c>
      <c r="K7" s="109">
        <f>I7+J7</f>
        <v>0</v>
      </c>
      <c r="P7" s="176" t="s">
        <v>354</v>
      </c>
      <c r="R7" s="175">
        <v>35000</v>
      </c>
      <c r="S7" s="175"/>
      <c r="T7" s="178">
        <f>R7+Q7</f>
        <v>35000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06">
        <f>12*1.1</f>
        <v>13.200000000000001</v>
      </c>
      <c r="G8" s="69"/>
      <c r="H8" s="108">
        <f>BFLY!C15</f>
        <v>0</v>
      </c>
      <c r="I8" s="70">
        <f>D8*F8*H8</f>
        <v>0</v>
      </c>
      <c r="J8" s="180">
        <f>IF(C8="WCB",40000,IF(C8="CF8",40000,IF(C8="CF8M",40000)))</f>
        <v>40000</v>
      </c>
      <c r="K8" s="109">
        <f>I8+J8</f>
        <v>40000</v>
      </c>
      <c r="L8" s="122" t="s">
        <v>138</v>
      </c>
      <c r="M8" s="208" t="s">
        <v>139</v>
      </c>
      <c r="N8" s="209"/>
      <c r="O8" s="210"/>
      <c r="P8" s="176" t="s">
        <v>355</v>
      </c>
      <c r="R8" s="175">
        <v>40000</v>
      </c>
      <c r="S8" s="175"/>
      <c r="T8" s="178">
        <f>R8+Q8</f>
        <v>40000</v>
      </c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07">
        <f>IF(C9="CF8",0.12,IF(C9="CF8M",0.12,IF(C9="CF3M",0.12,IF(C9="B148",0.5))))</f>
        <v>0.12</v>
      </c>
      <c r="G9" s="69"/>
      <c r="H9" s="108">
        <f>BFLY!C16</f>
        <v>8000</v>
      </c>
      <c r="I9" s="73">
        <f>D9*F9*H9</f>
        <v>960</v>
      </c>
      <c r="J9" s="73">
        <f>IF(C9="WCB",8000,IF(C9="CF8",8000,IF(C9="CF8M",8000)))</f>
        <v>8000</v>
      </c>
      <c r="K9" s="73">
        <f>I9+J9</f>
        <v>8960</v>
      </c>
      <c r="L9" s="122" t="s">
        <v>141</v>
      </c>
      <c r="M9" s="123" t="s">
        <v>141</v>
      </c>
      <c r="N9" s="123" t="s">
        <v>142</v>
      </c>
      <c r="O9" s="123" t="s">
        <v>143</v>
      </c>
      <c r="T9" s="178"/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07"/>
      <c r="G10" s="69"/>
      <c r="H10" s="108"/>
      <c r="I10" s="180">
        <f>IF(C10="RTFE",4400,IF(C10="RTFE-A",4400,IF(C10="METAL-B",2000,IF(C10="RTFE + METAL",4200))))</f>
        <v>4400</v>
      </c>
      <c r="J10" s="180">
        <f>IF(C10="RTFE",1500,IF(C10="METAL-B",10000,IF(C10="RTFE + METAL",8000)))</f>
        <v>1500</v>
      </c>
      <c r="K10" s="73">
        <f>I10+J10</f>
        <v>5900</v>
      </c>
      <c r="L10" s="186">
        <v>4400</v>
      </c>
      <c r="M10" s="186">
        <v>2700</v>
      </c>
      <c r="N10" s="186">
        <v>1500</v>
      </c>
      <c r="O10" s="124">
        <f>M10+N10</f>
        <v>4200</v>
      </c>
      <c r="T10" s="178"/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07">
        <v>0.32</v>
      </c>
      <c r="G11" s="77"/>
      <c r="H11" s="108">
        <f>BFLY!C17</f>
        <v>8000</v>
      </c>
      <c r="I11" s="73">
        <f t="shared" ref="I11:I24" si="0">D11*F11*H11</f>
        <v>2560</v>
      </c>
      <c r="J11" s="73">
        <v>7000</v>
      </c>
      <c r="K11" s="73">
        <f t="shared" ref="K11:K25" si="1">I11+J11</f>
        <v>9560</v>
      </c>
      <c r="L11" s="119"/>
      <c r="M11" s="120"/>
      <c r="P11" s="121" t="s">
        <v>357</v>
      </c>
      <c r="Q11" s="119"/>
      <c r="R11" s="175">
        <v>3500</v>
      </c>
      <c r="S11" s="175"/>
      <c r="T11" s="178">
        <f>R11+Q11</f>
        <v>3500</v>
      </c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80">
        <v>4500</v>
      </c>
      <c r="I12" s="73">
        <f t="shared" si="0"/>
        <v>4500</v>
      </c>
      <c r="J12" s="173">
        <v>7000</v>
      </c>
      <c r="K12" s="73">
        <f t="shared" si="1"/>
        <v>11500</v>
      </c>
      <c r="L12" s="172"/>
      <c r="M12" s="120"/>
      <c r="P12" s="119" t="s">
        <v>356</v>
      </c>
      <c r="Q12" s="177">
        <f>ROUND(3.67*1200,0)</f>
        <v>4404</v>
      </c>
      <c r="R12" s="177">
        <v>7000</v>
      </c>
      <c r="S12" s="177"/>
      <c r="T12" s="178">
        <f>R12+Q12</f>
        <v>11404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4</v>
      </c>
      <c r="E13" s="68"/>
      <c r="F13" s="78">
        <v>1</v>
      </c>
      <c r="G13" s="77"/>
      <c r="H13" s="108">
        <v>600</v>
      </c>
      <c r="I13" s="73">
        <f t="shared" si="0"/>
        <v>2400</v>
      </c>
      <c r="J13" s="73"/>
      <c r="K13" s="73">
        <f>H13*D13</f>
        <v>2400</v>
      </c>
      <c r="L13" s="119"/>
      <c r="M13" s="120"/>
      <c r="Q13" s="119"/>
      <c r="R13" s="120"/>
      <c r="S13" s="120"/>
      <c r="T13" s="178">
        <f>R13+Q13</f>
        <v>0</v>
      </c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08"/>
      <c r="I14" s="73">
        <v>2170</v>
      </c>
      <c r="J14" s="73">
        <v>4980</v>
      </c>
      <c r="K14" s="73">
        <f>(I14+J14)*D14</f>
        <v>14300</v>
      </c>
      <c r="L14" s="119"/>
      <c r="M14" s="120"/>
      <c r="Q14" s="119"/>
      <c r="R14" s="120"/>
      <c r="S14" s="120"/>
      <c r="T14" s="178">
        <f>R14+Q14</f>
        <v>0</v>
      </c>
    </row>
    <row r="15" spans="1:20" s="121" customFormat="1" ht="18" customHeight="1">
      <c r="A15" s="72">
        <v>8</v>
      </c>
      <c r="B15" s="74" t="s">
        <v>151</v>
      </c>
      <c r="C15" s="76" t="s">
        <v>176</v>
      </c>
      <c r="D15" s="76">
        <v>1</v>
      </c>
      <c r="E15" s="68"/>
      <c r="F15" s="78">
        <v>1</v>
      </c>
      <c r="G15" s="77"/>
      <c r="H15" s="108">
        <v>3500</v>
      </c>
      <c r="I15" s="73">
        <f t="shared" si="0"/>
        <v>3500</v>
      </c>
      <c r="J15" s="73"/>
      <c r="K15" s="173">
        <f t="shared" si="1"/>
        <v>3500</v>
      </c>
      <c r="L15" s="119"/>
      <c r="M15" s="120"/>
      <c r="P15" s="119" t="s">
        <v>360</v>
      </c>
      <c r="Q15" s="179"/>
      <c r="R15" s="179"/>
      <c r="S15" s="172"/>
      <c r="T15" s="178">
        <v>2050</v>
      </c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08">
        <v>956</v>
      </c>
      <c r="I16" s="73">
        <f t="shared" si="0"/>
        <v>956</v>
      </c>
      <c r="J16" s="73">
        <v>300</v>
      </c>
      <c r="K16" s="173">
        <f t="shared" si="1"/>
        <v>1256</v>
      </c>
      <c r="L16" s="172"/>
      <c r="M16" s="120"/>
      <c r="P16" s="119" t="s">
        <v>349</v>
      </c>
      <c r="Q16" s="119"/>
      <c r="R16" s="177">
        <f>ROUND(0.96*1200,-2)</f>
        <v>1200</v>
      </c>
      <c r="S16" s="172"/>
      <c r="T16" s="178"/>
    </row>
    <row r="17" spans="1:20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08">
        <v>600</v>
      </c>
      <c r="I17" s="73">
        <f t="shared" si="0"/>
        <v>1200</v>
      </c>
      <c r="J17" s="73"/>
      <c r="K17" s="73">
        <f t="shared" si="1"/>
        <v>1200</v>
      </c>
      <c r="L17" s="119"/>
      <c r="M17" s="120"/>
      <c r="Q17" s="119"/>
      <c r="R17" s="120"/>
      <c r="S17" s="120"/>
      <c r="T17" s="178">
        <f>R17+Q17</f>
        <v>0</v>
      </c>
    </row>
    <row r="18" spans="1:20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08">
        <v>80</v>
      </c>
      <c r="I18" s="73">
        <f t="shared" si="0"/>
        <v>80</v>
      </c>
      <c r="J18" s="73">
        <v>100</v>
      </c>
      <c r="K18" s="73">
        <f t="shared" si="1"/>
        <v>180</v>
      </c>
      <c r="L18" s="119"/>
      <c r="M18" s="120"/>
      <c r="Q18" s="119"/>
      <c r="R18" s="120"/>
      <c r="S18" s="120"/>
      <c r="T18" s="178">
        <f>R18+Q18</f>
        <v>0</v>
      </c>
    </row>
    <row r="19" spans="1:20" s="121" customFormat="1" ht="18" customHeight="1">
      <c r="A19" s="72">
        <v>12</v>
      </c>
      <c r="B19" s="74" t="s">
        <v>157</v>
      </c>
      <c r="C19" s="76" t="str">
        <f>C11</f>
        <v>A564T630</v>
      </c>
      <c r="D19" s="76">
        <v>1</v>
      </c>
      <c r="E19" s="68"/>
      <c r="F19" s="78">
        <v>1</v>
      </c>
      <c r="G19" s="69"/>
      <c r="H19" s="108">
        <v>150</v>
      </c>
      <c r="I19" s="73">
        <f t="shared" si="0"/>
        <v>150</v>
      </c>
      <c r="J19" s="73">
        <v>160</v>
      </c>
      <c r="K19" s="73">
        <f t="shared" si="1"/>
        <v>310</v>
      </c>
      <c r="L19" s="119"/>
      <c r="M19" s="120"/>
      <c r="P19" s="119"/>
      <c r="Q19" s="119"/>
      <c r="R19" s="172"/>
      <c r="S19" s="172"/>
      <c r="T19" s="178">
        <f>R19+Q19</f>
        <v>0</v>
      </c>
    </row>
    <row r="20" spans="1:20" s="121" customFormat="1" ht="18" customHeight="1">
      <c r="A20" s="72">
        <v>13</v>
      </c>
      <c r="B20" s="74" t="s">
        <v>159</v>
      </c>
      <c r="C20" s="76" t="s">
        <v>184</v>
      </c>
      <c r="D20" s="76">
        <v>1</v>
      </c>
      <c r="E20" s="68"/>
      <c r="F20" s="78">
        <v>1</v>
      </c>
      <c r="G20" s="69"/>
      <c r="H20" s="108">
        <v>435</v>
      </c>
      <c r="I20" s="73">
        <f t="shared" si="0"/>
        <v>435</v>
      </c>
      <c r="J20" s="73">
        <v>300</v>
      </c>
      <c r="K20" s="173">
        <v>2900</v>
      </c>
      <c r="L20" s="172"/>
      <c r="M20" s="120"/>
      <c r="P20" s="119" t="s">
        <v>350</v>
      </c>
      <c r="Q20" s="172"/>
      <c r="R20" s="177">
        <f>ROUND(2.43*1200,-2)</f>
        <v>2900</v>
      </c>
      <c r="S20" s="172"/>
      <c r="T20" s="178">
        <f>R20+Q20</f>
        <v>2900</v>
      </c>
    </row>
    <row r="21" spans="1:20" s="121" customFormat="1" ht="18" customHeight="1">
      <c r="A21" s="72">
        <v>14</v>
      </c>
      <c r="B21" s="74" t="s">
        <v>160</v>
      </c>
      <c r="C21" s="76" t="s">
        <v>149</v>
      </c>
      <c r="D21" s="76">
        <v>4</v>
      </c>
      <c r="E21" s="68"/>
      <c r="F21" s="78">
        <v>1</v>
      </c>
      <c r="G21" s="69"/>
      <c r="H21" s="108">
        <v>100</v>
      </c>
      <c r="I21" s="73">
        <f t="shared" si="0"/>
        <v>400</v>
      </c>
      <c r="J21" s="73"/>
      <c r="K21" s="73">
        <f t="shared" si="1"/>
        <v>400</v>
      </c>
      <c r="L21" s="119"/>
      <c r="M21" s="120"/>
    </row>
    <row r="22" spans="1:20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08">
        <v>920</v>
      </c>
      <c r="I22" s="73">
        <f t="shared" si="0"/>
        <v>920</v>
      </c>
      <c r="J22" s="73"/>
      <c r="K22" s="73">
        <f t="shared" si="1"/>
        <v>920</v>
      </c>
      <c r="L22" s="119"/>
      <c r="M22" s="120"/>
    </row>
    <row r="23" spans="1:20" s="121" customFormat="1" ht="18" customHeight="1">
      <c r="A23" s="72">
        <v>16</v>
      </c>
      <c r="B23" s="74" t="s">
        <v>177</v>
      </c>
      <c r="C23" s="76" t="s">
        <v>147</v>
      </c>
      <c r="D23" s="76">
        <v>1</v>
      </c>
      <c r="E23" s="68"/>
      <c r="F23" s="78">
        <v>1</v>
      </c>
      <c r="G23" s="69"/>
      <c r="H23" s="108">
        <v>900</v>
      </c>
      <c r="I23" s="73">
        <f t="shared" si="0"/>
        <v>900</v>
      </c>
      <c r="J23" s="73"/>
      <c r="K23" s="73">
        <f>I23+J23</f>
        <v>900</v>
      </c>
      <c r="L23" s="119"/>
      <c r="M23" s="120"/>
    </row>
    <row r="24" spans="1:20" s="121" customFormat="1" ht="18" customHeight="1">
      <c r="A24" s="72">
        <v>17</v>
      </c>
      <c r="B24" s="74" t="s">
        <v>179</v>
      </c>
      <c r="C24" s="76" t="s">
        <v>178</v>
      </c>
      <c r="D24" s="76">
        <v>1</v>
      </c>
      <c r="E24" s="68"/>
      <c r="F24" s="78">
        <v>1</v>
      </c>
      <c r="G24" s="69"/>
      <c r="H24" s="108">
        <v>3000</v>
      </c>
      <c r="I24" s="73">
        <f t="shared" si="0"/>
        <v>3000</v>
      </c>
      <c r="J24" s="73"/>
      <c r="K24" s="73">
        <f t="shared" si="1"/>
        <v>3000</v>
      </c>
      <c r="L24" s="119"/>
      <c r="M24" s="120"/>
    </row>
    <row r="25" spans="1:20" s="121" customFormat="1" ht="18" customHeight="1">
      <c r="A25" s="72">
        <v>18</v>
      </c>
      <c r="B25" s="74" t="s">
        <v>180</v>
      </c>
      <c r="C25" s="76" t="s">
        <v>149</v>
      </c>
      <c r="D25" s="76">
        <v>4</v>
      </c>
      <c r="E25" s="68"/>
      <c r="F25" s="78">
        <v>1</v>
      </c>
      <c r="G25" s="69"/>
      <c r="H25" s="108">
        <v>160</v>
      </c>
      <c r="I25" s="73">
        <f>D25*F25*H25</f>
        <v>640</v>
      </c>
      <c r="J25" s="73"/>
      <c r="K25" s="73">
        <f t="shared" si="1"/>
        <v>640</v>
      </c>
      <c r="L25" s="119"/>
      <c r="M25" s="120"/>
    </row>
    <row r="26" spans="1:20" s="121" customFormat="1" ht="18" customHeight="1">
      <c r="A26" s="72">
        <v>19</v>
      </c>
      <c r="B26" s="74" t="s">
        <v>181</v>
      </c>
      <c r="C26" s="76" t="s">
        <v>178</v>
      </c>
      <c r="D26" s="76">
        <v>1</v>
      </c>
      <c r="E26" s="68"/>
      <c r="F26" s="78">
        <v>1</v>
      </c>
      <c r="G26" s="79"/>
      <c r="H26" s="108"/>
      <c r="I26" s="73"/>
      <c r="J26" s="105" t="s">
        <v>183</v>
      </c>
      <c r="K26" s="73">
        <v>23000</v>
      </c>
      <c r="L26" s="119">
        <v>11000</v>
      </c>
      <c r="M26" s="120"/>
    </row>
    <row r="27" spans="1:20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08"/>
      <c r="I27" s="73"/>
      <c r="J27" s="105" t="str">
        <f>C27</f>
        <v>10 BAR</v>
      </c>
      <c r="K27" s="73">
        <f>IF(C27="PIYAKE",L27,IF(C27="10 BAR",M27,IF(C27="20 BAR",N27)))</f>
        <v>98000</v>
      </c>
      <c r="L27" s="125">
        <v>16410</v>
      </c>
      <c r="M27" s="125">
        <v>98000</v>
      </c>
      <c r="N27" s="125">
        <v>98000</v>
      </c>
    </row>
    <row r="28" spans="1:20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73"/>
      <c r="I28" s="73">
        <v>5000</v>
      </c>
      <c r="J28" s="73">
        <v>5000</v>
      </c>
      <c r="K28" s="73">
        <f>I28+J28</f>
        <v>10000</v>
      </c>
      <c r="L28" s="125"/>
    </row>
    <row r="29" spans="1:20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SUM(K6:K25,K28)</f>
        <v>159826</v>
      </c>
      <c r="L29" s="86"/>
    </row>
    <row r="30" spans="1:20" s="87" customFormat="1" ht="18" customHeight="1">
      <c r="A30" s="80">
        <v>23</v>
      </c>
      <c r="B30" s="81" t="s">
        <v>182</v>
      </c>
      <c r="C30" s="82"/>
      <c r="D30" s="82"/>
      <c r="E30" s="83"/>
      <c r="F30" s="83"/>
      <c r="G30" s="83"/>
      <c r="H30" s="83"/>
      <c r="I30" s="84"/>
      <c r="J30" s="84"/>
      <c r="K30" s="85">
        <f>SUM(K6:K26,K28)</f>
        <v>182826</v>
      </c>
      <c r="L30" s="86"/>
    </row>
    <row r="31" spans="1:20" s="87" customFormat="1" ht="18" customHeight="1">
      <c r="A31" s="80">
        <v>24</v>
      </c>
      <c r="B31" s="81" t="s">
        <v>171</v>
      </c>
      <c r="C31" s="82"/>
      <c r="D31" s="82"/>
      <c r="E31" s="83"/>
      <c r="F31" s="83"/>
      <c r="G31" s="83"/>
      <c r="H31" s="83"/>
      <c r="I31" s="84"/>
      <c r="J31" s="84"/>
      <c r="K31" s="85">
        <f>SUM(K6:K25,K27:K28)</f>
        <v>257826</v>
      </c>
      <c r="L31" s="86"/>
    </row>
    <row r="32" spans="1:20" s="121" customFormat="1" ht="18" customHeight="1">
      <c r="A32" s="72">
        <v>25</v>
      </c>
      <c r="B32" s="74"/>
      <c r="C32" s="76"/>
      <c r="D32" s="76"/>
      <c r="E32" s="68"/>
      <c r="F32" s="68"/>
      <c r="G32" s="68"/>
      <c r="H32" s="68"/>
      <c r="I32" s="68"/>
      <c r="J32" s="68"/>
      <c r="K32" s="68"/>
      <c r="L32" s="125"/>
    </row>
    <row r="33" spans="1:13" s="121" customFormat="1" ht="18" customHeight="1">
      <c r="A33" s="72">
        <v>26</v>
      </c>
      <c r="B33" s="74" t="s">
        <v>172</v>
      </c>
      <c r="C33" s="76"/>
      <c r="D33" s="76">
        <v>1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>
      <c r="A34" s="207">
        <v>27</v>
      </c>
      <c r="B34" s="132" t="s">
        <v>173</v>
      </c>
      <c r="C34" s="76"/>
      <c r="D34" s="76">
        <v>4</v>
      </c>
      <c r="E34" s="68"/>
      <c r="F34" s="78"/>
      <c r="G34" s="79"/>
      <c r="H34" s="68"/>
      <c r="I34" s="73"/>
      <c r="J34" s="73"/>
      <c r="K34" s="117">
        <f>I34+J34</f>
        <v>0</v>
      </c>
      <c r="L34" s="125"/>
    </row>
    <row r="35" spans="1:13" s="121" customFormat="1" ht="24" customHeight="1">
      <c r="A35" s="207"/>
      <c r="B35" s="74" t="s">
        <v>174</v>
      </c>
      <c r="C35" s="76" t="s">
        <v>169</v>
      </c>
      <c r="D35" s="76">
        <v>1</v>
      </c>
      <c r="E35" s="68"/>
      <c r="F35" s="78"/>
      <c r="G35" s="68"/>
      <c r="H35" s="68"/>
      <c r="I35" s="68"/>
      <c r="J35" s="68"/>
      <c r="K35" s="117">
        <v>9500</v>
      </c>
      <c r="L35" s="125"/>
    </row>
    <row r="36" spans="1:13" s="87" customFormat="1" ht="18" customHeight="1">
      <c r="A36" s="80">
        <v>28</v>
      </c>
      <c r="B36" s="91" t="s">
        <v>124</v>
      </c>
      <c r="C36" s="82"/>
      <c r="D36" s="92"/>
      <c r="E36" s="83"/>
      <c r="F36" s="83"/>
      <c r="G36" s="83"/>
      <c r="H36" s="83"/>
      <c r="I36" s="93">
        <f>SUM(K32:K35)</f>
        <v>9500</v>
      </c>
      <c r="J36" s="94">
        <v>1</v>
      </c>
      <c r="K36" s="93">
        <f>J36*I36</f>
        <v>9500</v>
      </c>
      <c r="L36" s="86"/>
    </row>
    <row r="37" spans="1:13" s="87" customFormat="1" ht="18" customHeight="1">
      <c r="A37" s="80">
        <v>29</v>
      </c>
      <c r="B37" s="88"/>
      <c r="C37" s="89"/>
      <c r="D37" s="89"/>
      <c r="E37" s="90"/>
      <c r="F37" s="90"/>
      <c r="G37" s="90"/>
      <c r="H37" s="90"/>
      <c r="I37" s="90"/>
      <c r="J37" s="95"/>
      <c r="K37" s="90"/>
      <c r="L37" s="86"/>
    </row>
    <row r="38" spans="1:13" s="87" customFormat="1" ht="18" customHeight="1">
      <c r="A38" s="80">
        <v>30</v>
      </c>
      <c r="B38" s="96" t="s">
        <v>125</v>
      </c>
      <c r="C38" s="82"/>
      <c r="D38" s="82"/>
      <c r="E38" s="83"/>
      <c r="F38" s="83"/>
      <c r="G38" s="83"/>
      <c r="H38" s="83"/>
      <c r="I38" s="85">
        <f>K29</f>
        <v>159826</v>
      </c>
      <c r="J38" s="80">
        <f>BFLY!B21</f>
        <v>1</v>
      </c>
      <c r="K38" s="93">
        <f>J38*I38</f>
        <v>159826</v>
      </c>
      <c r="L38" s="86"/>
    </row>
    <row r="39" spans="1:13" s="87" customFormat="1" ht="18" customHeight="1">
      <c r="A39" s="80">
        <v>31</v>
      </c>
      <c r="B39" s="96" t="s">
        <v>126</v>
      </c>
      <c r="C39" s="82"/>
      <c r="D39" s="82"/>
      <c r="E39" s="83"/>
      <c r="F39" s="83"/>
      <c r="G39" s="83"/>
      <c r="H39" s="83"/>
      <c r="I39" s="85">
        <f>K30</f>
        <v>182826</v>
      </c>
      <c r="J39" s="80">
        <f>BFLY!B21</f>
        <v>1</v>
      </c>
      <c r="K39" s="93">
        <f>J39*I39</f>
        <v>182826</v>
      </c>
      <c r="L39" s="97"/>
    </row>
    <row r="40" spans="1:13" s="87" customFormat="1" ht="18" customHeight="1">
      <c r="A40" s="80">
        <v>32</v>
      </c>
      <c r="B40" s="96" t="s">
        <v>127</v>
      </c>
      <c r="C40" s="82"/>
      <c r="D40" s="82"/>
      <c r="E40" s="83"/>
      <c r="F40" s="83"/>
      <c r="G40" s="83"/>
      <c r="H40" s="83"/>
      <c r="I40" s="85">
        <f>K31</f>
        <v>257826</v>
      </c>
      <c r="J40" s="80">
        <f>BFLY!B21</f>
        <v>1</v>
      </c>
      <c r="K40" s="93">
        <f>J40*I40</f>
        <v>257826</v>
      </c>
      <c r="L40" s="97"/>
    </row>
    <row r="41" spans="1:13" s="87" customFormat="1" ht="18" customHeight="1">
      <c r="A41" s="80">
        <v>33</v>
      </c>
      <c r="B41" s="98" t="s">
        <v>128</v>
      </c>
      <c r="C41" s="99"/>
      <c r="D41" s="99"/>
      <c r="E41" s="100"/>
      <c r="F41" s="101"/>
      <c r="G41" s="101"/>
      <c r="H41" s="102"/>
      <c r="I41" s="102"/>
      <c r="J41" s="100"/>
      <c r="K41" s="103">
        <f>SUM(K36,K38)</f>
        <v>169326</v>
      </c>
      <c r="L41" s="97"/>
    </row>
    <row r="42" spans="1:13" s="87" customFormat="1" ht="18" customHeight="1">
      <c r="A42" s="80">
        <v>34</v>
      </c>
      <c r="B42" s="98" t="s">
        <v>129</v>
      </c>
      <c r="C42" s="99"/>
      <c r="D42" s="99"/>
      <c r="E42" s="100"/>
      <c r="F42" s="101"/>
      <c r="G42" s="101"/>
      <c r="H42" s="102"/>
      <c r="I42" s="102"/>
      <c r="J42" s="100"/>
      <c r="K42" s="103">
        <f>SUM(K36,K39)</f>
        <v>192326</v>
      </c>
      <c r="L42" s="97"/>
    </row>
    <row r="43" spans="1:13" s="87" customFormat="1" ht="18" customHeight="1">
      <c r="A43" s="80">
        <v>35</v>
      </c>
      <c r="B43" s="98" t="s">
        <v>130</v>
      </c>
      <c r="C43" s="99"/>
      <c r="D43" s="99"/>
      <c r="E43" s="100"/>
      <c r="F43" s="101"/>
      <c r="G43" s="101"/>
      <c r="H43" s="102"/>
      <c r="I43" s="102"/>
      <c r="J43" s="100"/>
      <c r="K43" s="103">
        <f>SUM(K36,K40)</f>
        <v>267326</v>
      </c>
      <c r="L43" s="97"/>
    </row>
    <row r="44" spans="1:13" s="23" customFormat="1" ht="18" customHeight="1">
      <c r="A44" s="60"/>
      <c r="L44" s="22"/>
      <c r="M44" s="8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L49" s="24"/>
    </row>
    <row r="50" spans="2:12" s="23" customFormat="1" ht="18" customHeight="1">
      <c r="L50" s="24"/>
    </row>
    <row r="51" spans="2:12" s="23" customFormat="1" ht="18" customHeight="1">
      <c r="L51" s="24"/>
    </row>
    <row r="52" spans="2:12" s="23" customFormat="1" ht="18" customHeight="1">
      <c r="D52" s="24"/>
      <c r="L52" s="24"/>
    </row>
    <row r="53" spans="2:12" s="23" customFormat="1" ht="12"/>
    <row r="54" spans="2:12" s="23" customFormat="1" ht="12">
      <c r="L54" s="24"/>
    </row>
    <row r="55" spans="2:12" s="23" customFormat="1" ht="1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4"/>
    </row>
    <row r="56" spans="2:12" s="25" customFormat="1" ht="15">
      <c r="L56" s="24"/>
    </row>
    <row r="57" spans="2:12" s="25" customFormat="1" ht="15">
      <c r="L57" s="24"/>
    </row>
    <row r="58" spans="2:12" s="25" customFormat="1" ht="15">
      <c r="B58" s="3"/>
      <c r="C58" s="3"/>
      <c r="D58" s="3"/>
      <c r="E58" s="3"/>
      <c r="F58" s="3"/>
      <c r="G58" s="3"/>
      <c r="H58" s="3"/>
      <c r="I58" s="3"/>
      <c r="J58" s="3"/>
      <c r="K58" s="3"/>
      <c r="L58" s="24"/>
    </row>
  </sheetData>
  <mergeCells count="3">
    <mergeCell ref="A34:A35"/>
    <mergeCell ref="M8:O8"/>
    <mergeCell ref="A6:A8"/>
  </mergeCells>
  <phoneticPr fontId="8" type="noConversion"/>
  <pageMargins left="0.74803149606299213" right="0.74803149606299213" top="0.98425196850393704" bottom="0.98425196850393704" header="0.51181102362204722" footer="0.51181102362204722"/>
  <pageSetup paperSize="9" scale="88" orientation="portrait" r:id="rId1"/>
  <headerFooter alignWithMargins="0"/>
  <ignoredErrors>
    <ignoredError sqref="K13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T58"/>
  <sheetViews>
    <sheetView view="pageBreakPreview" topLeftCell="A10" zoomScaleNormal="100" zoomScaleSheetLayoutView="100" workbookViewId="0">
      <selection activeCell="O23" sqref="O23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5" width="8.88671875" style="3"/>
    <col min="16" max="16" width="26.109375" style="3" bestFit="1" customWidth="1"/>
    <col min="17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318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/>
    <row r="5" spans="1:20" s="8" customFormat="1" ht="18" customHeight="1">
      <c r="A5" s="5" t="s">
        <v>72</v>
      </c>
      <c r="B5" s="5" t="s">
        <v>73</v>
      </c>
      <c r="C5" s="33" t="s">
        <v>74</v>
      </c>
      <c r="D5" s="6" t="s">
        <v>75</v>
      </c>
      <c r="E5" s="5" t="s">
        <v>76</v>
      </c>
      <c r="F5" s="5" t="s">
        <v>77</v>
      </c>
      <c r="G5" s="5" t="s">
        <v>78</v>
      </c>
      <c r="H5" s="5" t="s">
        <v>79</v>
      </c>
      <c r="I5" s="5" t="s">
        <v>80</v>
      </c>
      <c r="J5" s="33" t="s">
        <v>81</v>
      </c>
      <c r="K5" s="5" t="s">
        <v>82</v>
      </c>
      <c r="L5" s="34"/>
      <c r="M5" s="7"/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IF(C6="WCB",3,IF(C6="CF8",3,IF(C6="CF8M",3)))</f>
        <v>3</v>
      </c>
      <c r="G6" s="69"/>
      <c r="H6" s="118">
        <f>BFLY!C13</f>
        <v>4000</v>
      </c>
      <c r="I6" s="70">
        <f>D6*F6*H6</f>
        <v>12000</v>
      </c>
      <c r="J6" s="181">
        <f>IF(C6="WCB",35000,IF(C6="CF8",35000,IF(C6="CF8M",35000)))</f>
        <v>35000</v>
      </c>
      <c r="K6" s="128">
        <f t="shared" ref="K6:K12" si="0">I6+J6</f>
        <v>47000</v>
      </c>
      <c r="L6" s="119"/>
      <c r="M6" s="120"/>
      <c r="P6" s="174"/>
      <c r="Q6" s="8" t="s">
        <v>351</v>
      </c>
      <c r="R6" s="8" t="s">
        <v>9</v>
      </c>
      <c r="S6" s="8"/>
      <c r="T6" s="8" t="s">
        <v>352</v>
      </c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IF(C7="WCB",4.44,IF(C7="CF8",4.44,IF(C7="CF8M",4.44)))</f>
        <v>0</v>
      </c>
      <c r="G7" s="69"/>
      <c r="H7" s="118">
        <f>BFLY!C14</f>
        <v>0</v>
      </c>
      <c r="I7" s="70">
        <f>D7*F7*H7</f>
        <v>0</v>
      </c>
      <c r="J7" s="181" t="b">
        <f>IF(C7="WCB",40000,IF(C7="CF8",40000,IF(C7="CF8M",40000)))</f>
        <v>0</v>
      </c>
      <c r="K7" s="128">
        <f t="shared" si="0"/>
        <v>0</v>
      </c>
      <c r="P7" s="176" t="s">
        <v>353</v>
      </c>
      <c r="R7" s="175">
        <v>35000</v>
      </c>
      <c r="S7" s="175"/>
      <c r="T7" s="178">
        <f>R7+Q7</f>
        <v>35000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13*1.1</f>
        <v>14.3</v>
      </c>
      <c r="G8" s="69"/>
      <c r="H8" s="118">
        <f>BFLY!C15</f>
        <v>0</v>
      </c>
      <c r="I8" s="70">
        <f>D8*F8*H8</f>
        <v>0</v>
      </c>
      <c r="J8" s="181">
        <f>IF(C8="WCB",45000,IF(C8="CF8",45000,IF(C8="CF8M",45000)))</f>
        <v>45000</v>
      </c>
      <c r="K8" s="128">
        <f t="shared" si="0"/>
        <v>45000</v>
      </c>
      <c r="L8" s="122" t="s">
        <v>138</v>
      </c>
      <c r="M8" s="208" t="s">
        <v>139</v>
      </c>
      <c r="N8" s="209"/>
      <c r="O8" s="210"/>
      <c r="P8" s="176" t="s">
        <v>354</v>
      </c>
      <c r="R8" s="175">
        <v>40000</v>
      </c>
      <c r="S8" s="175"/>
      <c r="T8" s="178">
        <f>R8+Q8</f>
        <v>40000</v>
      </c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IF(C9="CF8",0.21,IF(C9="CF8M",0.21,IF(C9="CF3M",0.21,IF(C9="B148",0.6))))</f>
        <v>0.21</v>
      </c>
      <c r="G9" s="69"/>
      <c r="H9" s="118">
        <f>BFLY!C16</f>
        <v>8000</v>
      </c>
      <c r="I9" s="73">
        <f>D9*F9*H9</f>
        <v>1680</v>
      </c>
      <c r="J9" s="129">
        <v>8000</v>
      </c>
      <c r="K9" s="117">
        <f t="shared" si="0"/>
        <v>9680</v>
      </c>
      <c r="L9" s="122" t="s">
        <v>141</v>
      </c>
      <c r="M9" s="123" t="s">
        <v>141</v>
      </c>
      <c r="N9" s="123" t="s">
        <v>142</v>
      </c>
      <c r="O9" s="123" t="s">
        <v>143</v>
      </c>
      <c r="P9" s="176" t="s">
        <v>355</v>
      </c>
      <c r="R9" s="175">
        <v>45000</v>
      </c>
      <c r="S9" s="175"/>
      <c r="T9" s="178">
        <f>R9+Q9</f>
        <v>45000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IF(C10="RTFE",5600,IF(C10="RTFE-A",3120,IF(C10="METAL-B",2260,IF(C10="RTFE + METAL",5200))))</f>
        <v>5600</v>
      </c>
      <c r="J10" s="173">
        <f>IF(C10="RTFE",1500,IF(C10="METAL-B",10000,IF(C10="RTFE + METAL",8000)))</f>
        <v>1500</v>
      </c>
      <c r="K10" s="117">
        <f t="shared" si="0"/>
        <v>7100</v>
      </c>
      <c r="L10" s="173">
        <v>5600</v>
      </c>
      <c r="M10" s="173">
        <v>3200</v>
      </c>
      <c r="N10" s="173">
        <v>2000</v>
      </c>
      <c r="O10" s="124">
        <f>M10+N10</f>
        <v>5200</v>
      </c>
      <c r="T10" s="178"/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0.45</v>
      </c>
      <c r="G11" s="77"/>
      <c r="H11" s="118">
        <f>BFLY!C17</f>
        <v>8000</v>
      </c>
      <c r="I11" s="73">
        <f>D11*F11*H11</f>
        <v>3600</v>
      </c>
      <c r="J11" s="73">
        <v>3500</v>
      </c>
      <c r="K11" s="117">
        <f t="shared" si="0"/>
        <v>7100</v>
      </c>
      <c r="L11" s="119"/>
      <c r="M11" s="120"/>
      <c r="P11" s="121" t="s">
        <v>357</v>
      </c>
      <c r="Q11" s="119"/>
      <c r="R11" s="175">
        <v>3500</v>
      </c>
      <c r="S11" s="175"/>
      <c r="T11" s="178">
        <f>R11+Q11</f>
        <v>3500</v>
      </c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85">
        <v>5570</v>
      </c>
      <c r="I12" s="73">
        <f>D12*F12*H12</f>
        <v>5570</v>
      </c>
      <c r="J12" s="73">
        <v>7000</v>
      </c>
      <c r="K12" s="117">
        <f t="shared" si="0"/>
        <v>12570</v>
      </c>
      <c r="L12" s="172"/>
      <c r="M12" s="120"/>
      <c r="P12" s="119" t="s">
        <v>356</v>
      </c>
      <c r="Q12" s="177">
        <f>4.64*1200</f>
        <v>5568</v>
      </c>
      <c r="R12" s="177">
        <v>7000</v>
      </c>
      <c r="S12" s="177"/>
      <c r="T12" s="178">
        <f>R12+Q12</f>
        <v>12568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4</v>
      </c>
      <c r="E13" s="68"/>
      <c r="F13" s="78">
        <v>1</v>
      </c>
      <c r="G13" s="77"/>
      <c r="H13" s="118">
        <v>600</v>
      </c>
      <c r="I13" s="73">
        <f>D13*F13*H13</f>
        <v>2400</v>
      </c>
      <c r="J13" s="73"/>
      <c r="K13" s="117">
        <f>H13*D13</f>
        <v>2400</v>
      </c>
      <c r="L13" s="119"/>
      <c r="M13" s="120"/>
      <c r="P13" s="119"/>
      <c r="Q13" s="177"/>
      <c r="R13" s="177"/>
      <c r="S13" s="177"/>
      <c r="T13" s="178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2800</v>
      </c>
      <c r="J14" s="73">
        <v>5950</v>
      </c>
      <c r="K14" s="117">
        <f>(I14+J14)*D14</f>
        <v>17500</v>
      </c>
      <c r="L14" s="119"/>
      <c r="M14" s="120"/>
      <c r="Q14" s="119"/>
      <c r="R14" s="120"/>
      <c r="S14" s="120"/>
      <c r="T14" s="178">
        <f>R14+Q14</f>
        <v>0</v>
      </c>
    </row>
    <row r="15" spans="1:20" s="121" customFormat="1" ht="18" customHeight="1">
      <c r="A15" s="72">
        <v>8</v>
      </c>
      <c r="B15" s="74" t="s">
        <v>151</v>
      </c>
      <c r="C15" s="76" t="s">
        <v>359</v>
      </c>
      <c r="D15" s="76">
        <v>1</v>
      </c>
      <c r="E15" s="68"/>
      <c r="F15" s="78">
        <v>1</v>
      </c>
      <c r="G15" s="77"/>
      <c r="H15" s="118">
        <v>3900</v>
      </c>
      <c r="I15" s="73">
        <f t="shared" ref="I15:I25" si="1">D15*F15*H15</f>
        <v>3900</v>
      </c>
      <c r="J15" s="73"/>
      <c r="K15" s="183">
        <v>2100</v>
      </c>
      <c r="L15" s="119"/>
      <c r="M15" s="120"/>
      <c r="P15" s="119" t="s">
        <v>358</v>
      </c>
      <c r="Q15" s="179"/>
      <c r="R15" s="179"/>
      <c r="S15" s="172"/>
      <c r="T15" s="178">
        <v>2100</v>
      </c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956</v>
      </c>
      <c r="I16" s="73">
        <f t="shared" si="1"/>
        <v>956</v>
      </c>
      <c r="J16" s="73">
        <v>300</v>
      </c>
      <c r="K16" s="183">
        <v>1150</v>
      </c>
      <c r="L16" s="172"/>
      <c r="M16" s="120"/>
      <c r="P16" s="119" t="s">
        <v>349</v>
      </c>
      <c r="Q16" s="119"/>
      <c r="R16" s="177"/>
      <c r="S16" s="172"/>
      <c r="T16" s="178">
        <f>0.96*1200</f>
        <v>1152</v>
      </c>
    </row>
    <row r="17" spans="1:20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600</v>
      </c>
      <c r="I17" s="73">
        <f t="shared" si="1"/>
        <v>1200</v>
      </c>
      <c r="J17" s="73"/>
      <c r="K17" s="117">
        <f t="shared" ref="K17:K28" si="2">I17+J17</f>
        <v>1200</v>
      </c>
      <c r="L17" s="119"/>
      <c r="M17" s="120"/>
      <c r="P17" s="119"/>
      <c r="Q17" s="119"/>
      <c r="R17" s="177"/>
      <c r="S17" s="172"/>
      <c r="T17" s="178"/>
    </row>
    <row r="18" spans="1:20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80</v>
      </c>
      <c r="I18" s="73">
        <f t="shared" si="1"/>
        <v>80</v>
      </c>
      <c r="J18" s="73">
        <v>100</v>
      </c>
      <c r="K18" s="117">
        <f t="shared" si="2"/>
        <v>180</v>
      </c>
      <c r="L18" s="119"/>
      <c r="M18" s="120"/>
      <c r="Q18" s="119"/>
      <c r="R18" s="120"/>
      <c r="S18" s="120"/>
      <c r="T18" s="178">
        <f>R18+Q18</f>
        <v>0</v>
      </c>
    </row>
    <row r="19" spans="1:20" s="121" customFormat="1" ht="18" customHeight="1">
      <c r="A19" s="72">
        <v>12</v>
      </c>
      <c r="B19" s="74" t="s">
        <v>157</v>
      </c>
      <c r="C19" s="76" t="s">
        <v>158</v>
      </c>
      <c r="D19" s="76">
        <v>1</v>
      </c>
      <c r="E19" s="68"/>
      <c r="F19" s="78">
        <v>1</v>
      </c>
      <c r="G19" s="69"/>
      <c r="H19" s="118">
        <v>150</v>
      </c>
      <c r="I19" s="73">
        <f t="shared" si="1"/>
        <v>150</v>
      </c>
      <c r="J19" s="73">
        <v>160</v>
      </c>
      <c r="K19" s="117">
        <f t="shared" si="2"/>
        <v>310</v>
      </c>
      <c r="L19" s="119"/>
      <c r="M19" s="120"/>
      <c r="Q19" s="119"/>
      <c r="R19" s="120"/>
      <c r="S19" s="120"/>
      <c r="T19" s="178">
        <f>R19+Q19</f>
        <v>0</v>
      </c>
    </row>
    <row r="20" spans="1:20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435</v>
      </c>
      <c r="I20" s="73">
        <f t="shared" si="1"/>
        <v>435</v>
      </c>
      <c r="J20" s="73">
        <v>300</v>
      </c>
      <c r="K20" s="183">
        <v>2900</v>
      </c>
      <c r="L20" s="172"/>
      <c r="M20" s="120"/>
      <c r="P20" s="119" t="s">
        <v>350</v>
      </c>
      <c r="Q20" s="172"/>
      <c r="R20" s="177"/>
      <c r="S20" s="172"/>
      <c r="T20" s="178">
        <f>2.43*1200</f>
        <v>2916</v>
      </c>
    </row>
    <row r="21" spans="1:20" s="121" customFormat="1" ht="18" customHeight="1">
      <c r="A21" s="72">
        <v>14</v>
      </c>
      <c r="B21" s="74" t="s">
        <v>160</v>
      </c>
      <c r="C21" s="76" t="s">
        <v>149</v>
      </c>
      <c r="D21" s="76">
        <v>4</v>
      </c>
      <c r="E21" s="68"/>
      <c r="F21" s="78">
        <v>1</v>
      </c>
      <c r="G21" s="69"/>
      <c r="H21" s="118">
        <v>100</v>
      </c>
      <c r="I21" s="73">
        <f t="shared" si="1"/>
        <v>400</v>
      </c>
      <c r="J21" s="73"/>
      <c r="K21" s="117">
        <f t="shared" si="2"/>
        <v>400</v>
      </c>
      <c r="L21" s="119"/>
      <c r="M21" s="120"/>
      <c r="P21" s="119"/>
      <c r="Q21" s="172"/>
      <c r="R21" s="177"/>
      <c r="S21" s="172"/>
      <c r="T21" s="178"/>
    </row>
    <row r="22" spans="1:20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1100</v>
      </c>
      <c r="I22" s="73">
        <f t="shared" si="1"/>
        <v>1100</v>
      </c>
      <c r="J22" s="73"/>
      <c r="K22" s="117">
        <f t="shared" si="2"/>
        <v>1100</v>
      </c>
      <c r="L22" s="119"/>
      <c r="M22" s="120"/>
    </row>
    <row r="23" spans="1:20" s="121" customFormat="1" ht="18" customHeight="1">
      <c r="A23" s="72">
        <v>16</v>
      </c>
      <c r="B23" s="74" t="s">
        <v>177</v>
      </c>
      <c r="C23" s="76" t="s">
        <v>147</v>
      </c>
      <c r="D23" s="76">
        <v>1</v>
      </c>
      <c r="E23" s="68"/>
      <c r="F23" s="78">
        <v>1</v>
      </c>
      <c r="G23" s="69"/>
      <c r="H23" s="118">
        <v>900</v>
      </c>
      <c r="I23" s="73">
        <f t="shared" si="1"/>
        <v>900</v>
      </c>
      <c r="J23" s="73"/>
      <c r="K23" s="117">
        <f t="shared" si="2"/>
        <v>900</v>
      </c>
      <c r="L23" s="119"/>
      <c r="M23" s="120"/>
    </row>
    <row r="24" spans="1:20" s="121" customFormat="1" ht="18" customHeight="1">
      <c r="A24" s="72">
        <v>17</v>
      </c>
      <c r="B24" s="74" t="s">
        <v>179</v>
      </c>
      <c r="C24" s="76" t="s">
        <v>178</v>
      </c>
      <c r="D24" s="76">
        <v>1</v>
      </c>
      <c r="E24" s="68"/>
      <c r="F24" s="78">
        <v>1</v>
      </c>
      <c r="G24" s="69"/>
      <c r="H24" s="118">
        <v>3000</v>
      </c>
      <c r="I24" s="73">
        <f t="shared" si="1"/>
        <v>3000</v>
      </c>
      <c r="J24" s="73"/>
      <c r="K24" s="117">
        <f t="shared" si="2"/>
        <v>3000</v>
      </c>
      <c r="L24" s="119"/>
      <c r="M24" s="120"/>
    </row>
    <row r="25" spans="1:20" s="121" customFormat="1" ht="18" customHeight="1">
      <c r="A25" s="72">
        <v>18</v>
      </c>
      <c r="B25" s="74" t="s">
        <v>180</v>
      </c>
      <c r="C25" s="76" t="s">
        <v>149</v>
      </c>
      <c r="D25" s="76">
        <v>4</v>
      </c>
      <c r="E25" s="68"/>
      <c r="F25" s="78">
        <v>1</v>
      </c>
      <c r="G25" s="69"/>
      <c r="H25" s="118">
        <v>160</v>
      </c>
      <c r="I25" s="73">
        <f t="shared" si="1"/>
        <v>640</v>
      </c>
      <c r="J25" s="73"/>
      <c r="K25" s="117">
        <f t="shared" si="2"/>
        <v>640</v>
      </c>
      <c r="L25" s="119"/>
      <c r="M25" s="120"/>
    </row>
    <row r="26" spans="1:20" s="121" customFormat="1" ht="18" customHeight="1">
      <c r="A26" s="72">
        <v>19</v>
      </c>
      <c r="B26" s="74" t="s">
        <v>181</v>
      </c>
      <c r="C26" s="76" t="s">
        <v>178</v>
      </c>
      <c r="D26" s="76">
        <v>1</v>
      </c>
      <c r="E26" s="68"/>
      <c r="F26" s="78">
        <v>1</v>
      </c>
      <c r="G26" s="79"/>
      <c r="H26" s="118"/>
      <c r="I26" s="73">
        <v>11000</v>
      </c>
      <c r="J26" s="124" t="s">
        <v>183</v>
      </c>
      <c r="K26" s="124">
        <v>23000</v>
      </c>
      <c r="L26" s="119">
        <v>11000</v>
      </c>
      <c r="M26" s="120"/>
    </row>
    <row r="27" spans="1:20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98000</v>
      </c>
      <c r="L27" s="125">
        <v>16410</v>
      </c>
      <c r="M27" s="125">
        <v>98000</v>
      </c>
      <c r="N27" s="125">
        <v>98000</v>
      </c>
    </row>
    <row r="28" spans="1:20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5000</v>
      </c>
      <c r="J28" s="117">
        <v>5000</v>
      </c>
      <c r="K28" s="117">
        <f t="shared" si="2"/>
        <v>10000</v>
      </c>
      <c r="L28" s="125"/>
    </row>
    <row r="29" spans="1:20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SUM(K6:K25,K28)</f>
        <v>172230</v>
      </c>
      <c r="L29" s="86"/>
    </row>
    <row r="30" spans="1:20" s="87" customFormat="1" ht="18" customHeight="1">
      <c r="A30" s="80">
        <v>23</v>
      </c>
      <c r="B30" s="81" t="s">
        <v>182</v>
      </c>
      <c r="C30" s="82"/>
      <c r="D30" s="82"/>
      <c r="E30" s="83"/>
      <c r="F30" s="83"/>
      <c r="G30" s="83"/>
      <c r="H30" s="83"/>
      <c r="I30" s="84"/>
      <c r="J30" s="84"/>
      <c r="K30" s="85">
        <f>SUM(K6:K26,K28)</f>
        <v>195230</v>
      </c>
      <c r="L30" s="86"/>
    </row>
    <row r="31" spans="1:20" s="87" customFormat="1" ht="18" customHeight="1">
      <c r="A31" s="80">
        <v>24</v>
      </c>
      <c r="B31" s="81" t="s">
        <v>171</v>
      </c>
      <c r="C31" s="82"/>
      <c r="D31" s="82"/>
      <c r="E31" s="83"/>
      <c r="F31" s="83"/>
      <c r="G31" s="83"/>
      <c r="H31" s="83"/>
      <c r="I31" s="84"/>
      <c r="J31" s="84"/>
      <c r="K31" s="85">
        <f>SUM(K6:K25,K27:K28)</f>
        <v>270230</v>
      </c>
      <c r="L31" s="86"/>
    </row>
    <row r="32" spans="1:20" s="121" customFormat="1" ht="18" customHeight="1">
      <c r="A32" s="72">
        <v>25</v>
      </c>
      <c r="B32" s="74"/>
      <c r="C32" s="76"/>
      <c r="D32" s="76"/>
      <c r="E32" s="68"/>
      <c r="F32" s="68"/>
      <c r="G32" s="68"/>
      <c r="H32" s="68"/>
      <c r="I32" s="68"/>
      <c r="J32" s="68"/>
      <c r="K32" s="68"/>
      <c r="L32" s="125"/>
    </row>
    <row r="33" spans="1:13" s="121" customFormat="1" ht="18" customHeight="1">
      <c r="A33" s="72">
        <v>26</v>
      </c>
      <c r="B33" s="74" t="s">
        <v>172</v>
      </c>
      <c r="C33" s="76"/>
      <c r="D33" s="76">
        <v>1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>
      <c r="A34" s="207">
        <v>27</v>
      </c>
      <c r="B34" s="132" t="s">
        <v>173</v>
      </c>
      <c r="C34" s="76"/>
      <c r="D34" s="76">
        <v>4</v>
      </c>
      <c r="E34" s="68"/>
      <c r="F34" s="78"/>
      <c r="G34" s="79"/>
      <c r="H34" s="68"/>
      <c r="I34" s="73"/>
      <c r="J34" s="73"/>
      <c r="K34" s="117">
        <f>I34+J34</f>
        <v>0</v>
      </c>
      <c r="L34" s="125"/>
    </row>
    <row r="35" spans="1:13" s="121" customFormat="1" ht="24" customHeight="1">
      <c r="A35" s="207"/>
      <c r="B35" s="74" t="s">
        <v>174</v>
      </c>
      <c r="C35" s="76"/>
      <c r="D35" s="76">
        <v>1</v>
      </c>
      <c r="E35" s="68"/>
      <c r="F35" s="78"/>
      <c r="G35" s="68"/>
      <c r="H35" s="68"/>
      <c r="I35" s="68"/>
      <c r="J35" s="68"/>
      <c r="K35" s="117">
        <v>9500</v>
      </c>
      <c r="L35" s="125"/>
    </row>
    <row r="36" spans="1:13" s="8" customFormat="1" ht="18" customHeight="1">
      <c r="A36" s="21">
        <v>28</v>
      </c>
      <c r="B36" s="6" t="s">
        <v>83</v>
      </c>
      <c r="C36" s="13"/>
      <c r="D36" s="16"/>
      <c r="E36" s="14"/>
      <c r="F36" s="14"/>
      <c r="G36" s="14"/>
      <c r="H36" s="14"/>
      <c r="I36" s="17">
        <f>SUM(K32:K35)</f>
        <v>9500</v>
      </c>
      <c r="J36" s="18">
        <v>1</v>
      </c>
      <c r="K36" s="17">
        <f>J36*I36</f>
        <v>9500</v>
      </c>
      <c r="L36" s="12"/>
    </row>
    <row r="37" spans="1:13" s="8" customFormat="1" ht="18" customHeight="1">
      <c r="A37" s="21">
        <v>29</v>
      </c>
      <c r="B37" s="9"/>
      <c r="C37" s="10"/>
      <c r="D37" s="10"/>
      <c r="E37" s="11"/>
      <c r="F37" s="11"/>
      <c r="G37" s="11"/>
      <c r="H37" s="11"/>
      <c r="I37" s="11"/>
      <c r="J37" s="19"/>
      <c r="K37" s="11"/>
      <c r="L37" s="12"/>
    </row>
    <row r="38" spans="1:13" s="8" customFormat="1" ht="18" customHeight="1">
      <c r="A38" s="21">
        <v>30</v>
      </c>
      <c r="B38" s="20" t="s">
        <v>84</v>
      </c>
      <c r="C38" s="13"/>
      <c r="D38" s="13"/>
      <c r="E38" s="14"/>
      <c r="F38" s="14"/>
      <c r="G38" s="14"/>
      <c r="H38" s="14"/>
      <c r="I38" s="15">
        <f>K29</f>
        <v>172230</v>
      </c>
      <c r="J38" s="21">
        <f>BFLY!B21</f>
        <v>1</v>
      </c>
      <c r="K38" s="17">
        <f>J38*I38</f>
        <v>172230</v>
      </c>
      <c r="L38" s="12"/>
    </row>
    <row r="39" spans="1:13" s="8" customFormat="1" ht="18" customHeight="1">
      <c r="A39" s="21">
        <v>31</v>
      </c>
      <c r="B39" s="20" t="s">
        <v>85</v>
      </c>
      <c r="C39" s="13"/>
      <c r="D39" s="13"/>
      <c r="E39" s="14"/>
      <c r="F39" s="14"/>
      <c r="G39" s="14"/>
      <c r="H39" s="14"/>
      <c r="I39" s="15">
        <f>K30</f>
        <v>195230</v>
      </c>
      <c r="J39" s="21">
        <f>BFLY!B21</f>
        <v>1</v>
      </c>
      <c r="K39" s="17">
        <f>J39*I39</f>
        <v>195230</v>
      </c>
      <c r="L39" s="22"/>
    </row>
    <row r="40" spans="1:13" s="8" customFormat="1" ht="18" customHeight="1">
      <c r="A40" s="21">
        <v>32</v>
      </c>
      <c r="B40" s="20" t="s">
        <v>86</v>
      </c>
      <c r="C40" s="13"/>
      <c r="D40" s="13"/>
      <c r="E40" s="14"/>
      <c r="F40" s="14"/>
      <c r="G40" s="14"/>
      <c r="H40" s="14"/>
      <c r="I40" s="15">
        <f>K31</f>
        <v>270230</v>
      </c>
      <c r="J40" s="21">
        <f>BFLY!B21</f>
        <v>1</v>
      </c>
      <c r="K40" s="17">
        <f>J40*I40</f>
        <v>270230</v>
      </c>
      <c r="L40" s="22"/>
    </row>
    <row r="41" spans="1:13" s="8" customFormat="1" ht="18" customHeight="1">
      <c r="A41" s="21">
        <v>33</v>
      </c>
      <c r="B41" s="45" t="s">
        <v>87</v>
      </c>
      <c r="C41" s="41"/>
      <c r="D41" s="41"/>
      <c r="E41" s="44"/>
      <c r="F41" s="46"/>
      <c r="G41" s="46"/>
      <c r="H41" s="42"/>
      <c r="I41" s="42"/>
      <c r="J41" s="44"/>
      <c r="K41" s="43">
        <f>SUM(K36,K38)</f>
        <v>181730</v>
      </c>
      <c r="L41" s="22"/>
    </row>
    <row r="42" spans="1:13" s="23" customFormat="1" ht="18" customHeight="1">
      <c r="A42" s="21">
        <v>34</v>
      </c>
      <c r="B42" s="45" t="s">
        <v>88</v>
      </c>
      <c r="C42" s="41"/>
      <c r="D42" s="41"/>
      <c r="E42" s="44"/>
      <c r="F42" s="46"/>
      <c r="G42" s="46"/>
      <c r="H42" s="42"/>
      <c r="I42" s="42"/>
      <c r="J42" s="44"/>
      <c r="K42" s="43">
        <f>SUM(K36,K39)</f>
        <v>204730</v>
      </c>
      <c r="L42" s="22"/>
      <c r="M42" s="8"/>
    </row>
    <row r="43" spans="1:13" s="23" customFormat="1" ht="18" customHeight="1">
      <c r="A43" s="21">
        <v>35</v>
      </c>
      <c r="B43" s="45" t="s">
        <v>89</v>
      </c>
      <c r="C43" s="41"/>
      <c r="D43" s="41"/>
      <c r="E43" s="44"/>
      <c r="F43" s="46"/>
      <c r="G43" s="46"/>
      <c r="H43" s="42"/>
      <c r="I43" s="42"/>
      <c r="J43" s="44"/>
      <c r="K43" s="43">
        <f>SUM(K36,K40)</f>
        <v>279730</v>
      </c>
      <c r="L43" s="22"/>
      <c r="M43" s="8"/>
    </row>
    <row r="44" spans="1:13" s="23" customFormat="1" ht="18" customHeight="1">
      <c r="A44" s="60"/>
      <c r="L44" s="22"/>
      <c r="M44" s="8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L49" s="24"/>
    </row>
    <row r="50" spans="2:12" s="23" customFormat="1" ht="18" customHeight="1">
      <c r="L50" s="24"/>
    </row>
    <row r="51" spans="2:12" s="23" customFormat="1" ht="18" customHeight="1">
      <c r="L51" s="24"/>
    </row>
    <row r="52" spans="2:12" s="23" customFormat="1" ht="18" customHeight="1">
      <c r="D52" s="24"/>
      <c r="L52" s="24"/>
    </row>
    <row r="53" spans="2:12" s="23" customFormat="1" ht="12"/>
    <row r="54" spans="2:12" s="23" customFormat="1" ht="12">
      <c r="L54" s="24"/>
    </row>
    <row r="55" spans="2:12" s="23" customFormat="1" ht="1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4"/>
    </row>
    <row r="56" spans="2:12" s="25" customFormat="1" ht="15">
      <c r="L56" s="24"/>
    </row>
    <row r="57" spans="2:12" s="25" customFormat="1" ht="15">
      <c r="L57" s="24"/>
    </row>
    <row r="58" spans="2:12" s="25" customFormat="1" ht="15">
      <c r="B58" s="3"/>
      <c r="C58" s="3"/>
      <c r="D58" s="3"/>
      <c r="E58" s="3"/>
      <c r="F58" s="3"/>
      <c r="G58" s="3"/>
      <c r="H58" s="3"/>
      <c r="I58" s="3"/>
      <c r="J58" s="3"/>
      <c r="K58" s="3"/>
      <c r="L58" s="24"/>
    </row>
  </sheetData>
  <mergeCells count="3">
    <mergeCell ref="A34:A35"/>
    <mergeCell ref="M8:O8"/>
    <mergeCell ref="A6:A8"/>
  </mergeCells>
  <phoneticPr fontId="8" type="noConversion"/>
  <pageMargins left="0.75" right="0.75" top="1" bottom="1" header="0.5" footer="0.5"/>
  <pageSetup paperSize="9" scale="68" orientation="portrait" r:id="rId1"/>
  <headerFooter alignWithMargins="0"/>
  <colBreaks count="1" manualBreakCount="1">
    <brk id="11" max="43" man="1"/>
  </colBreaks>
  <ignoredErrors>
    <ignoredError sqref="K1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T58"/>
  <sheetViews>
    <sheetView view="pageBreakPreview" zoomScaleNormal="100" zoomScaleSheetLayoutView="100" workbookViewId="0">
      <selection activeCell="O23" sqref="O23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5" width="8.88671875" style="3"/>
    <col min="16" max="16" width="26.109375" style="3" bestFit="1" customWidth="1"/>
    <col min="17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338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/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  <c r="P5" s="174"/>
      <c r="Q5" s="8" t="s">
        <v>351</v>
      </c>
      <c r="R5" s="8" t="s">
        <v>9</v>
      </c>
      <c r="T5" s="8" t="s">
        <v>352</v>
      </c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IF(C6="WCB",3.44,IF(C6="CF8",3.44,IF(C6="CF8M",3.44)))</f>
        <v>3.44</v>
      </c>
      <c r="G6" s="69"/>
      <c r="H6" s="118">
        <f>BFLY!C13</f>
        <v>4000</v>
      </c>
      <c r="I6" s="70">
        <f>D6*F6*H6</f>
        <v>13760</v>
      </c>
      <c r="J6" s="181">
        <f>IF(C6="WCB",40000,IF(C6="CF8",40000,IF(C6="CF8M",40000)))</f>
        <v>40000</v>
      </c>
      <c r="K6" s="128">
        <f t="shared" ref="K6:K12" si="0">I6+J6</f>
        <v>53760</v>
      </c>
      <c r="L6" s="119"/>
      <c r="M6" s="120"/>
      <c r="P6" s="176" t="s">
        <v>353</v>
      </c>
      <c r="R6" s="175">
        <v>40000</v>
      </c>
      <c r="S6" s="175"/>
      <c r="T6" s="178">
        <f>R6+Q6</f>
        <v>40000</v>
      </c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IF(C7="WCB",7.4,IF(C7="CF8",7.4,IF(C7="CF8M",7.4)))</f>
        <v>0</v>
      </c>
      <c r="G7" s="69"/>
      <c r="H7" s="118">
        <f>BFLY!C14</f>
        <v>0</v>
      </c>
      <c r="I7" s="70">
        <f>D7*F7*H7</f>
        <v>0</v>
      </c>
      <c r="J7" s="181" t="b">
        <f>IF(C7="WCB",45000,IF(C7="CF8",45000,IF(C7="CF8M",45000)))</f>
        <v>0</v>
      </c>
      <c r="K7" s="128">
        <f t="shared" si="0"/>
        <v>0</v>
      </c>
      <c r="P7" s="176" t="s">
        <v>354</v>
      </c>
      <c r="R7" s="175">
        <v>45000</v>
      </c>
      <c r="S7" s="175"/>
      <c r="T7" s="178">
        <f>R7+Q7</f>
        <v>45000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16*1.1</f>
        <v>17.600000000000001</v>
      </c>
      <c r="G8" s="69"/>
      <c r="H8" s="118">
        <f>BFLY!C15</f>
        <v>0</v>
      </c>
      <c r="I8" s="70">
        <f>D8*F8*H8</f>
        <v>0</v>
      </c>
      <c r="J8" s="181">
        <f>IF(C8="WCB",50000,IF(C8="CF8",50000,IF(C8="CF8M",50000)))</f>
        <v>50000</v>
      </c>
      <c r="K8" s="128">
        <f t="shared" si="0"/>
        <v>50000</v>
      </c>
      <c r="L8" s="122" t="s">
        <v>138</v>
      </c>
      <c r="M8" s="208" t="s">
        <v>139</v>
      </c>
      <c r="N8" s="209"/>
      <c r="O8" s="210"/>
      <c r="P8" s="176" t="s">
        <v>355</v>
      </c>
      <c r="R8" s="175">
        <v>50000</v>
      </c>
      <c r="S8" s="175"/>
      <c r="T8" s="178">
        <f>R8+Q8</f>
        <v>50000</v>
      </c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IF(C9="CF8",0.31,IF(C9="CF8M",0.31,IF(C9="CF3M",0.31,IF(C9="B148",0.7))))</f>
        <v>0.31</v>
      </c>
      <c r="G9" s="69"/>
      <c r="H9" s="118">
        <f>BFLY!C16</f>
        <v>8000</v>
      </c>
      <c r="I9" s="73">
        <f>D9*F9*H9</f>
        <v>2480</v>
      </c>
      <c r="J9" s="129">
        <v>8000</v>
      </c>
      <c r="K9" s="117">
        <f t="shared" si="0"/>
        <v>10480</v>
      </c>
      <c r="L9" s="122" t="s">
        <v>141</v>
      </c>
      <c r="M9" s="123" t="s">
        <v>141</v>
      </c>
      <c r="N9" s="123" t="s">
        <v>142</v>
      </c>
      <c r="O9" s="123" t="s">
        <v>143</v>
      </c>
      <c r="P9" s="176"/>
      <c r="R9" s="175"/>
      <c r="S9" s="175"/>
      <c r="T9" s="178"/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IF(C10="RTFE",7300,IF(C10="RTFE-A",4820,IF(C10="METAL-B",2440,IF(C10="RTFE + METAL",8370))))</f>
        <v>7300</v>
      </c>
      <c r="J10" s="185">
        <f>IF(C10="RTFE",1800,IF(C10="METAL-B",10000,IF(C10="RTFE + METAL",8000)))</f>
        <v>1800</v>
      </c>
      <c r="K10" s="117">
        <f t="shared" si="0"/>
        <v>9100</v>
      </c>
      <c r="L10" s="173">
        <v>7300</v>
      </c>
      <c r="M10" s="173">
        <v>5870</v>
      </c>
      <c r="N10" s="173">
        <v>2500</v>
      </c>
      <c r="O10" s="124">
        <f>M10+N10</f>
        <v>8370</v>
      </c>
      <c r="T10" s="178"/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0.48599999999999999</v>
      </c>
      <c r="G11" s="77"/>
      <c r="H11" s="118">
        <f>BFLY!C17</f>
        <v>8000</v>
      </c>
      <c r="I11" s="73">
        <f>D11*F11*H11</f>
        <v>3888</v>
      </c>
      <c r="J11" s="173">
        <v>3500</v>
      </c>
      <c r="K11" s="117">
        <f t="shared" si="0"/>
        <v>7388</v>
      </c>
      <c r="L11" s="119"/>
      <c r="M11" s="120"/>
      <c r="P11" s="121" t="s">
        <v>357</v>
      </c>
      <c r="Q11" s="119"/>
      <c r="R11" s="175">
        <v>3500</v>
      </c>
      <c r="S11" s="175"/>
      <c r="T11" s="178">
        <f>R11+Q11</f>
        <v>3500</v>
      </c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85">
        <v>7440</v>
      </c>
      <c r="I12" s="73">
        <f>D12*F12*H12</f>
        <v>7440</v>
      </c>
      <c r="J12" s="73">
        <v>8000</v>
      </c>
      <c r="K12" s="117">
        <f t="shared" si="0"/>
        <v>15440</v>
      </c>
      <c r="L12" s="172"/>
      <c r="M12" s="120"/>
      <c r="P12" s="119" t="s">
        <v>356</v>
      </c>
      <c r="Q12" s="177">
        <f>6.2*1200</f>
        <v>7440</v>
      </c>
      <c r="R12" s="177">
        <v>8000</v>
      </c>
      <c r="S12" s="177"/>
      <c r="T12" s="178">
        <f>R12+Q12</f>
        <v>15440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4</v>
      </c>
      <c r="E13" s="68"/>
      <c r="F13" s="78">
        <v>1</v>
      </c>
      <c r="G13" s="77"/>
      <c r="H13" s="118">
        <v>600</v>
      </c>
      <c r="I13" s="73">
        <f>D13*F13*H13</f>
        <v>2400</v>
      </c>
      <c r="J13" s="73"/>
      <c r="K13" s="117">
        <f>H13*D13</f>
        <v>2400</v>
      </c>
      <c r="L13" s="119"/>
      <c r="M13" s="120"/>
      <c r="P13" s="119"/>
      <c r="Q13" s="177"/>
      <c r="R13" s="177"/>
      <c r="S13" s="177"/>
      <c r="T13" s="178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2870</v>
      </c>
      <c r="J14" s="73">
        <v>6040</v>
      </c>
      <c r="K14" s="117">
        <f>(I14+J14)*D14</f>
        <v>17820</v>
      </c>
      <c r="L14" s="119"/>
      <c r="M14" s="120"/>
      <c r="Q14" s="119"/>
      <c r="R14" s="120"/>
      <c r="S14" s="120"/>
      <c r="T14" s="178">
        <f>R14+Q14</f>
        <v>0</v>
      </c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3900</v>
      </c>
      <c r="I15" s="73">
        <f t="shared" ref="I15:I25" si="1">D15*F15*H15</f>
        <v>3900</v>
      </c>
      <c r="J15" s="73"/>
      <c r="K15" s="117">
        <f t="shared" ref="K15:K28" si="2">I15+J15</f>
        <v>3900</v>
      </c>
      <c r="L15" s="119"/>
      <c r="M15" s="120"/>
      <c r="P15" s="119" t="s">
        <v>358</v>
      </c>
      <c r="Q15" s="179"/>
      <c r="R15" s="179"/>
      <c r="S15" s="172"/>
      <c r="T15" s="178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960</v>
      </c>
      <c r="I16" s="73">
        <f t="shared" si="1"/>
        <v>960</v>
      </c>
      <c r="J16" s="73">
        <v>300</v>
      </c>
      <c r="K16" s="117">
        <f t="shared" si="2"/>
        <v>1260</v>
      </c>
      <c r="L16" s="172"/>
      <c r="M16" s="120"/>
      <c r="P16" s="119" t="s">
        <v>349</v>
      </c>
      <c r="Q16" s="119"/>
      <c r="R16" s="177"/>
      <c r="S16" s="172"/>
      <c r="T16" s="178">
        <f>0.96*1200</f>
        <v>1152</v>
      </c>
    </row>
    <row r="17" spans="1:20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600</v>
      </c>
      <c r="I17" s="73">
        <f t="shared" si="1"/>
        <v>1200</v>
      </c>
      <c r="J17" s="73"/>
      <c r="K17" s="117">
        <f t="shared" si="2"/>
        <v>1200</v>
      </c>
      <c r="L17" s="119"/>
      <c r="M17" s="120"/>
      <c r="P17" s="119"/>
      <c r="Q17" s="119"/>
      <c r="R17" s="177"/>
      <c r="S17" s="172"/>
      <c r="T17" s="178"/>
    </row>
    <row r="18" spans="1:20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80</v>
      </c>
      <c r="I18" s="73">
        <f t="shared" si="1"/>
        <v>80</v>
      </c>
      <c r="J18" s="73">
        <v>100</v>
      </c>
      <c r="K18" s="117">
        <f t="shared" si="2"/>
        <v>180</v>
      </c>
      <c r="L18" s="119"/>
      <c r="M18" s="120"/>
      <c r="Q18" s="119"/>
      <c r="R18" s="120"/>
      <c r="S18" s="120"/>
      <c r="T18" s="178">
        <f>R18+Q18</f>
        <v>0</v>
      </c>
    </row>
    <row r="19" spans="1:20" s="121" customFormat="1" ht="18" customHeight="1">
      <c r="A19" s="72">
        <v>12</v>
      </c>
      <c r="B19" s="74" t="s">
        <v>157</v>
      </c>
      <c r="C19" s="76" t="s">
        <v>158</v>
      </c>
      <c r="D19" s="76">
        <v>1</v>
      </c>
      <c r="E19" s="68"/>
      <c r="F19" s="78">
        <v>1</v>
      </c>
      <c r="G19" s="69"/>
      <c r="H19" s="118">
        <v>225</v>
      </c>
      <c r="I19" s="73">
        <f t="shared" si="1"/>
        <v>225</v>
      </c>
      <c r="J19" s="73">
        <v>160</v>
      </c>
      <c r="K19" s="117">
        <f t="shared" si="2"/>
        <v>385</v>
      </c>
      <c r="L19" s="119"/>
      <c r="M19" s="120"/>
      <c r="Q19" s="119"/>
      <c r="R19" s="120"/>
      <c r="S19" s="120"/>
      <c r="T19" s="178">
        <f>R19+Q19</f>
        <v>0</v>
      </c>
    </row>
    <row r="20" spans="1:20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435</v>
      </c>
      <c r="I20" s="73">
        <f t="shared" si="1"/>
        <v>435</v>
      </c>
      <c r="J20" s="73">
        <v>300</v>
      </c>
      <c r="K20" s="183">
        <v>2900</v>
      </c>
      <c r="L20" s="172"/>
      <c r="M20" s="120"/>
      <c r="P20" s="119" t="s">
        <v>350</v>
      </c>
      <c r="Q20" s="172"/>
      <c r="R20" s="177"/>
      <c r="S20" s="172"/>
      <c r="T20" s="178">
        <f>2.43*1200</f>
        <v>2916</v>
      </c>
    </row>
    <row r="21" spans="1:20" s="121" customFormat="1" ht="18" customHeight="1">
      <c r="A21" s="72">
        <v>14</v>
      </c>
      <c r="B21" s="74" t="s">
        <v>160</v>
      </c>
      <c r="C21" s="76" t="s">
        <v>149</v>
      </c>
      <c r="D21" s="76">
        <v>4</v>
      </c>
      <c r="E21" s="68"/>
      <c r="F21" s="78">
        <v>1</v>
      </c>
      <c r="G21" s="69"/>
      <c r="H21" s="118">
        <v>100</v>
      </c>
      <c r="I21" s="73">
        <f t="shared" si="1"/>
        <v>400</v>
      </c>
      <c r="J21" s="73"/>
      <c r="K21" s="117">
        <f t="shared" si="2"/>
        <v>400</v>
      </c>
      <c r="L21" s="119"/>
      <c r="M21" s="120"/>
    </row>
    <row r="22" spans="1:20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1100</v>
      </c>
      <c r="I22" s="73">
        <f t="shared" si="1"/>
        <v>1100</v>
      </c>
      <c r="J22" s="73"/>
      <c r="K22" s="117">
        <f t="shared" si="2"/>
        <v>1100</v>
      </c>
      <c r="L22" s="119"/>
      <c r="M22" s="120"/>
    </row>
    <row r="23" spans="1:20" s="121" customFormat="1" ht="18" customHeight="1">
      <c r="A23" s="72">
        <v>16</v>
      </c>
      <c r="B23" s="74" t="s">
        <v>177</v>
      </c>
      <c r="C23" s="76" t="s">
        <v>147</v>
      </c>
      <c r="D23" s="76">
        <v>1</v>
      </c>
      <c r="E23" s="68"/>
      <c r="F23" s="78">
        <v>1</v>
      </c>
      <c r="G23" s="69"/>
      <c r="H23" s="118">
        <v>900</v>
      </c>
      <c r="I23" s="73">
        <f t="shared" si="1"/>
        <v>900</v>
      </c>
      <c r="J23" s="73"/>
      <c r="K23" s="117">
        <f t="shared" si="2"/>
        <v>900</v>
      </c>
      <c r="L23" s="119"/>
      <c r="M23" s="120"/>
    </row>
    <row r="24" spans="1:20" s="121" customFormat="1" ht="18" customHeight="1">
      <c r="A24" s="72">
        <v>17</v>
      </c>
      <c r="B24" s="74" t="s">
        <v>179</v>
      </c>
      <c r="C24" s="76" t="s">
        <v>178</v>
      </c>
      <c r="D24" s="76">
        <v>1</v>
      </c>
      <c r="E24" s="68"/>
      <c r="F24" s="78">
        <v>1</v>
      </c>
      <c r="G24" s="69"/>
      <c r="H24" s="118">
        <v>3000</v>
      </c>
      <c r="I24" s="73">
        <f t="shared" si="1"/>
        <v>3000</v>
      </c>
      <c r="J24" s="73"/>
      <c r="K24" s="117">
        <f t="shared" si="2"/>
        <v>3000</v>
      </c>
      <c r="L24" s="119"/>
      <c r="M24" s="120"/>
    </row>
    <row r="25" spans="1:20" s="121" customFormat="1" ht="18" customHeight="1">
      <c r="A25" s="72">
        <v>18</v>
      </c>
      <c r="B25" s="74" t="s">
        <v>180</v>
      </c>
      <c r="C25" s="76" t="s">
        <v>149</v>
      </c>
      <c r="D25" s="76">
        <v>4</v>
      </c>
      <c r="E25" s="68"/>
      <c r="F25" s="78">
        <v>1</v>
      </c>
      <c r="G25" s="69"/>
      <c r="H25" s="118">
        <v>160</v>
      </c>
      <c r="I25" s="73">
        <f t="shared" si="1"/>
        <v>640</v>
      </c>
      <c r="J25" s="73"/>
      <c r="K25" s="117">
        <f t="shared" si="2"/>
        <v>640</v>
      </c>
      <c r="L25" s="119"/>
      <c r="M25" s="120"/>
    </row>
    <row r="26" spans="1:20" s="121" customFormat="1" ht="18" customHeight="1">
      <c r="A26" s="72">
        <v>19</v>
      </c>
      <c r="B26" s="74" t="s">
        <v>181</v>
      </c>
      <c r="C26" s="76" t="s">
        <v>178</v>
      </c>
      <c r="D26" s="76">
        <v>1</v>
      </c>
      <c r="E26" s="68"/>
      <c r="F26" s="78">
        <v>1</v>
      </c>
      <c r="G26" s="79"/>
      <c r="H26" s="118"/>
      <c r="I26" s="73"/>
      <c r="J26" s="124" t="s">
        <v>183</v>
      </c>
      <c r="K26" s="124">
        <v>23000</v>
      </c>
      <c r="L26" s="119">
        <v>11000</v>
      </c>
      <c r="M26" s="120"/>
    </row>
    <row r="27" spans="1:20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98000</v>
      </c>
      <c r="L27" s="125">
        <v>16410</v>
      </c>
      <c r="M27" s="125">
        <v>98000</v>
      </c>
      <c r="N27" s="125">
        <v>98000</v>
      </c>
    </row>
    <row r="28" spans="1:20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5000</v>
      </c>
      <c r="J28" s="117">
        <v>5000</v>
      </c>
      <c r="K28" s="117">
        <f t="shared" si="2"/>
        <v>10000</v>
      </c>
      <c r="L28" s="125"/>
    </row>
    <row r="29" spans="1:20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SUM(K6:K25,K28)</f>
        <v>192253</v>
      </c>
      <c r="L29" s="86"/>
    </row>
    <row r="30" spans="1:20" s="87" customFormat="1" ht="18" customHeight="1">
      <c r="A30" s="80">
        <v>23</v>
      </c>
      <c r="B30" s="81" t="s">
        <v>182</v>
      </c>
      <c r="C30" s="82"/>
      <c r="D30" s="82"/>
      <c r="E30" s="83"/>
      <c r="F30" s="83"/>
      <c r="G30" s="83"/>
      <c r="H30" s="83"/>
      <c r="I30" s="84"/>
      <c r="J30" s="84"/>
      <c r="K30" s="85">
        <f>SUM(K6:K26,K28)</f>
        <v>215253</v>
      </c>
      <c r="L30" s="86"/>
    </row>
    <row r="31" spans="1:20" s="87" customFormat="1" ht="18" customHeight="1">
      <c r="A31" s="80">
        <v>24</v>
      </c>
      <c r="B31" s="81" t="s">
        <v>171</v>
      </c>
      <c r="C31" s="82"/>
      <c r="D31" s="82"/>
      <c r="E31" s="83"/>
      <c r="F31" s="83"/>
      <c r="G31" s="83"/>
      <c r="H31" s="83"/>
      <c r="I31" s="84"/>
      <c r="J31" s="84"/>
      <c r="K31" s="85">
        <f>SUM(K6:K25,K27:K28)</f>
        <v>290253</v>
      </c>
      <c r="L31" s="86"/>
    </row>
    <row r="32" spans="1:20" s="121" customFormat="1" ht="18" customHeight="1">
      <c r="A32" s="72">
        <v>25</v>
      </c>
      <c r="B32" s="74"/>
      <c r="C32" s="76"/>
      <c r="D32" s="76"/>
      <c r="E32" s="68"/>
      <c r="F32" s="68"/>
      <c r="G32" s="68"/>
      <c r="H32" s="68"/>
      <c r="I32" s="68"/>
      <c r="J32" s="68"/>
      <c r="K32" s="68"/>
      <c r="L32" s="125"/>
    </row>
    <row r="33" spans="1:13" s="121" customFormat="1" ht="18" customHeight="1">
      <c r="A33" s="72">
        <v>26</v>
      </c>
      <c r="B33" s="74" t="s">
        <v>172</v>
      </c>
      <c r="C33" s="76"/>
      <c r="D33" s="76">
        <v>1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>
      <c r="A34" s="207">
        <v>27</v>
      </c>
      <c r="B34" s="132" t="s">
        <v>173</v>
      </c>
      <c r="C34" s="76"/>
      <c r="D34" s="76">
        <v>4</v>
      </c>
      <c r="E34" s="68"/>
      <c r="F34" s="78"/>
      <c r="G34" s="79"/>
      <c r="H34" s="68"/>
      <c r="I34" s="73"/>
      <c r="J34" s="73"/>
      <c r="K34" s="117">
        <f>I34+J34</f>
        <v>0</v>
      </c>
      <c r="L34" s="125"/>
    </row>
    <row r="35" spans="1:13" s="121" customFormat="1" ht="24" customHeight="1">
      <c r="A35" s="207"/>
      <c r="B35" s="74" t="s">
        <v>174</v>
      </c>
      <c r="C35" s="76"/>
      <c r="D35" s="76">
        <v>1</v>
      </c>
      <c r="E35" s="68"/>
      <c r="F35" s="78"/>
      <c r="G35" s="68"/>
      <c r="H35" s="68"/>
      <c r="I35" s="68"/>
      <c r="J35" s="68"/>
      <c r="K35" s="117">
        <v>10000</v>
      </c>
      <c r="L35" s="125"/>
    </row>
    <row r="36" spans="1:13" s="8" customFormat="1" ht="18" customHeight="1">
      <c r="A36" s="21">
        <v>28</v>
      </c>
      <c r="B36" s="6" t="s">
        <v>101</v>
      </c>
      <c r="C36" s="13"/>
      <c r="D36" s="16"/>
      <c r="E36" s="14"/>
      <c r="F36" s="14"/>
      <c r="G36" s="14"/>
      <c r="H36" s="14"/>
      <c r="I36" s="17">
        <f>SUM(K32:K35)</f>
        <v>10000</v>
      </c>
      <c r="J36" s="18">
        <v>1</v>
      </c>
      <c r="K36" s="17">
        <f>J36*I36</f>
        <v>10000</v>
      </c>
      <c r="L36" s="12"/>
    </row>
    <row r="37" spans="1:13" s="8" customFormat="1" ht="18" customHeight="1">
      <c r="A37" s="21">
        <v>29</v>
      </c>
      <c r="B37" s="9"/>
      <c r="C37" s="10"/>
      <c r="D37" s="10"/>
      <c r="E37" s="11"/>
      <c r="F37" s="11"/>
      <c r="G37" s="11"/>
      <c r="H37" s="11"/>
      <c r="I37" s="11"/>
      <c r="J37" s="19"/>
      <c r="K37" s="11"/>
      <c r="L37" s="12"/>
    </row>
    <row r="38" spans="1:13" s="8" customFormat="1" ht="18" customHeight="1">
      <c r="A38" s="21">
        <v>30</v>
      </c>
      <c r="B38" s="20" t="s">
        <v>102</v>
      </c>
      <c r="C38" s="13"/>
      <c r="D38" s="13"/>
      <c r="E38" s="14"/>
      <c r="F38" s="14"/>
      <c r="G38" s="14"/>
      <c r="H38" s="14"/>
      <c r="I38" s="15">
        <f>K29</f>
        <v>192253</v>
      </c>
      <c r="J38" s="21">
        <f>BFLY!B21</f>
        <v>1</v>
      </c>
      <c r="K38" s="17">
        <f>J38*I38</f>
        <v>192253</v>
      </c>
      <c r="L38" s="12"/>
    </row>
    <row r="39" spans="1:13" s="8" customFormat="1" ht="18" customHeight="1">
      <c r="A39" s="21">
        <v>31</v>
      </c>
      <c r="B39" s="20" t="s">
        <v>103</v>
      </c>
      <c r="C39" s="13"/>
      <c r="D39" s="13"/>
      <c r="E39" s="14"/>
      <c r="F39" s="14"/>
      <c r="G39" s="14"/>
      <c r="H39" s="14"/>
      <c r="I39" s="15">
        <f>K30</f>
        <v>215253</v>
      </c>
      <c r="J39" s="21">
        <f>BFLY!B21</f>
        <v>1</v>
      </c>
      <c r="K39" s="17">
        <f>J39*I39</f>
        <v>215253</v>
      </c>
      <c r="L39" s="22"/>
    </row>
    <row r="40" spans="1:13" s="8" customFormat="1" ht="18" customHeight="1">
      <c r="A40" s="21">
        <v>32</v>
      </c>
      <c r="B40" s="20" t="s">
        <v>104</v>
      </c>
      <c r="C40" s="13"/>
      <c r="D40" s="13"/>
      <c r="E40" s="14"/>
      <c r="F40" s="14"/>
      <c r="G40" s="14"/>
      <c r="H40" s="14"/>
      <c r="I40" s="15">
        <f>K31</f>
        <v>290253</v>
      </c>
      <c r="J40" s="21">
        <f>BFLY!B21</f>
        <v>1</v>
      </c>
      <c r="K40" s="17">
        <f>J40*I40</f>
        <v>290253</v>
      </c>
      <c r="L40" s="22"/>
    </row>
    <row r="41" spans="1:13" s="8" customFormat="1" ht="18" customHeight="1">
      <c r="A41" s="21">
        <v>33</v>
      </c>
      <c r="B41" s="45" t="s">
        <v>105</v>
      </c>
      <c r="C41" s="41"/>
      <c r="D41" s="41"/>
      <c r="E41" s="44"/>
      <c r="F41" s="46"/>
      <c r="G41" s="46"/>
      <c r="H41" s="42"/>
      <c r="I41" s="42"/>
      <c r="J41" s="44"/>
      <c r="K41" s="43">
        <f>SUM(K36,K38)</f>
        <v>202253</v>
      </c>
      <c r="L41" s="22"/>
    </row>
    <row r="42" spans="1:13" s="23" customFormat="1" ht="18" customHeight="1">
      <c r="A42" s="21">
        <v>34</v>
      </c>
      <c r="B42" s="45" t="s">
        <v>106</v>
      </c>
      <c r="C42" s="41"/>
      <c r="D42" s="41"/>
      <c r="E42" s="44"/>
      <c r="F42" s="46"/>
      <c r="G42" s="46"/>
      <c r="H42" s="42"/>
      <c r="I42" s="42"/>
      <c r="J42" s="44"/>
      <c r="K42" s="43">
        <f>SUM(K36,K39)</f>
        <v>225253</v>
      </c>
      <c r="L42" s="22"/>
      <c r="M42" s="8"/>
    </row>
    <row r="43" spans="1:13" s="23" customFormat="1" ht="18" customHeight="1">
      <c r="A43" s="21">
        <v>35</v>
      </c>
      <c r="B43" s="45" t="s">
        <v>107</v>
      </c>
      <c r="C43" s="41"/>
      <c r="D43" s="41"/>
      <c r="E43" s="44"/>
      <c r="F43" s="46"/>
      <c r="G43" s="46"/>
      <c r="H43" s="42"/>
      <c r="I43" s="42"/>
      <c r="J43" s="44"/>
      <c r="K43" s="43">
        <f>SUM(K36,K40)</f>
        <v>300253</v>
      </c>
      <c r="L43" s="22"/>
      <c r="M43" s="8"/>
    </row>
    <row r="44" spans="1:13" s="23" customFormat="1" ht="18" customHeight="1">
      <c r="A44" s="60"/>
      <c r="L44" s="22"/>
      <c r="M44" s="8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L49" s="24"/>
    </row>
    <row r="50" spans="2:12" s="23" customFormat="1" ht="18" customHeight="1">
      <c r="L50" s="24"/>
    </row>
    <row r="51" spans="2:12" s="23" customFormat="1" ht="18" customHeight="1">
      <c r="L51" s="24"/>
    </row>
    <row r="52" spans="2:12" s="23" customFormat="1" ht="18" customHeight="1">
      <c r="D52" s="24"/>
      <c r="L52" s="24"/>
    </row>
    <row r="53" spans="2:12" s="23" customFormat="1" ht="12"/>
    <row r="54" spans="2:12" s="23" customFormat="1" ht="12">
      <c r="L54" s="24"/>
    </row>
    <row r="55" spans="2:12" s="23" customFormat="1" ht="1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4"/>
    </row>
    <row r="56" spans="2:12" s="25" customFormat="1" ht="15">
      <c r="L56" s="24"/>
    </row>
    <row r="57" spans="2:12" s="25" customFormat="1" ht="15">
      <c r="L57" s="24"/>
    </row>
    <row r="58" spans="2:12" s="25" customFormat="1" ht="15">
      <c r="B58" s="3"/>
      <c r="C58" s="3"/>
      <c r="D58" s="3"/>
      <c r="E58" s="3"/>
      <c r="F58" s="3"/>
      <c r="G58" s="3"/>
      <c r="H58" s="3"/>
      <c r="I58" s="3"/>
      <c r="J58" s="3"/>
      <c r="K58" s="3"/>
      <c r="L58" s="24"/>
    </row>
  </sheetData>
  <mergeCells count="3">
    <mergeCell ref="A34:A35"/>
    <mergeCell ref="M8:O8"/>
    <mergeCell ref="A6:A8"/>
  </mergeCells>
  <phoneticPr fontId="8" type="noConversion"/>
  <pageMargins left="0.75" right="0.75" top="1" bottom="1" header="0.5" footer="0.5"/>
  <pageSetup paperSize="9" scale="87" orientation="portrait" r:id="rId1"/>
  <headerFooter alignWithMargins="0"/>
  <colBreaks count="1" manualBreakCount="1">
    <brk id="11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58"/>
  <sheetViews>
    <sheetView view="pageBreakPreview" topLeftCell="A3" zoomScale="90" zoomScaleNormal="100" zoomScaleSheetLayoutView="90" workbookViewId="0">
      <selection activeCell="O23" sqref="O23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337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/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  <c r="P5" s="174"/>
      <c r="Q5" s="8" t="s">
        <v>351</v>
      </c>
      <c r="R5" s="8" t="s">
        <v>9</v>
      </c>
      <c r="T5" s="8" t="s">
        <v>352</v>
      </c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IF(C6="WCB",5,IF(C6="CF8",5,IF(C6="CF8M",5)))</f>
        <v>5</v>
      </c>
      <c r="G6" s="69"/>
      <c r="H6" s="118">
        <f>BFLY!C13</f>
        <v>4000</v>
      </c>
      <c r="I6" s="70">
        <f>D6*F6*H6</f>
        <v>20000</v>
      </c>
      <c r="J6" s="181">
        <f>IF(C6="WCB",45000,IF(C6="CF8",45000,IF(C6="CF8M",45000)))</f>
        <v>45000</v>
      </c>
      <c r="K6" s="128">
        <f t="shared" ref="K6:K12" si="0">I6+J6</f>
        <v>65000</v>
      </c>
      <c r="L6" s="119"/>
      <c r="M6" s="120"/>
      <c r="P6" s="176" t="s">
        <v>353</v>
      </c>
      <c r="R6" s="175">
        <v>45000</v>
      </c>
      <c r="S6" s="175"/>
      <c r="T6" s="178">
        <f>R6+Q6</f>
        <v>45000</v>
      </c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IF(C7="WCB",13,IF(C7="CF8",13,IF(C7="CF8M",13)))</f>
        <v>0</v>
      </c>
      <c r="G7" s="69"/>
      <c r="H7" s="118">
        <f>BFLY!C14</f>
        <v>0</v>
      </c>
      <c r="I7" s="70">
        <f>D7*F7*H7</f>
        <v>0</v>
      </c>
      <c r="J7" s="181" t="b">
        <f>IF(C7="WCB",50000,IF(C7="CF8",50000,IF(C7="CF8M",50000)))</f>
        <v>0</v>
      </c>
      <c r="K7" s="128">
        <f t="shared" si="0"/>
        <v>0</v>
      </c>
      <c r="P7" s="176" t="s">
        <v>354</v>
      </c>
      <c r="R7" s="175">
        <v>50000</v>
      </c>
      <c r="S7" s="175"/>
      <c r="T7" s="178">
        <f>R7+Q7</f>
        <v>50000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26*1.1</f>
        <v>28.6</v>
      </c>
      <c r="G8" s="69"/>
      <c r="H8" s="118">
        <f>BFLY!C15</f>
        <v>0</v>
      </c>
      <c r="I8" s="70">
        <f>D8*F8*H8</f>
        <v>0</v>
      </c>
      <c r="J8" s="181">
        <f>IF(C8="WCB",55000,IF(C8="CF8",55000,IF(C8="CF8M",55000)))</f>
        <v>55000</v>
      </c>
      <c r="K8" s="128">
        <f t="shared" si="0"/>
        <v>55000</v>
      </c>
      <c r="L8" s="122" t="s">
        <v>138</v>
      </c>
      <c r="M8" s="208" t="s">
        <v>139</v>
      </c>
      <c r="N8" s="209"/>
      <c r="O8" s="210"/>
      <c r="P8" s="176" t="s">
        <v>355</v>
      </c>
      <c r="R8" s="175">
        <v>55000</v>
      </c>
      <c r="S8" s="175"/>
      <c r="T8" s="178">
        <f>R8+Q8</f>
        <v>55000</v>
      </c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IF(C9="CF8",0.72,IF(C9="CF8M",0.72,IF(C9="CF3M",0.72,IF(C9="B148",1.3))))</f>
        <v>0.72</v>
      </c>
      <c r="G9" s="69"/>
      <c r="H9" s="118">
        <f>BFLY!C16</f>
        <v>8000</v>
      </c>
      <c r="I9" s="73">
        <f>D9*F9*H9</f>
        <v>5760</v>
      </c>
      <c r="J9" s="129">
        <v>8000</v>
      </c>
      <c r="K9" s="117">
        <f t="shared" si="0"/>
        <v>13760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IF(C10="RTFE",8500,IF(C10="RTFE-A",6250,IF(C10="METAL-B",2830,IF(C10="RTFE + METAL",8800))))</f>
        <v>8500</v>
      </c>
      <c r="J10" s="185">
        <f>IF(C10="RTFE",2000,IF(C10="METAL-B",12500,IF(C10="RTFE + METAL",8000)))</f>
        <v>2000</v>
      </c>
      <c r="K10" s="117">
        <f t="shared" si="0"/>
        <v>10500</v>
      </c>
      <c r="L10" s="173">
        <v>8500</v>
      </c>
      <c r="M10" s="173">
        <v>5800</v>
      </c>
      <c r="N10" s="173">
        <v>3000</v>
      </c>
      <c r="O10" s="124">
        <f>M10+N10</f>
        <v>8800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0.85399999999999998</v>
      </c>
      <c r="G11" s="77"/>
      <c r="H11" s="118">
        <f>BFLY!C17</f>
        <v>8000</v>
      </c>
      <c r="I11" s="73">
        <f>D11*F11*H11</f>
        <v>6832</v>
      </c>
      <c r="J11" s="173">
        <v>4000</v>
      </c>
      <c r="K11" s="117">
        <f t="shared" si="0"/>
        <v>10832</v>
      </c>
      <c r="L11" s="119"/>
      <c r="M11" s="120"/>
      <c r="P11" s="121" t="s">
        <v>357</v>
      </c>
      <c r="Q11" s="119"/>
      <c r="R11" s="175">
        <v>4000</v>
      </c>
      <c r="S11" s="175"/>
      <c r="T11" s="178">
        <f>R11+Q11</f>
        <v>4000</v>
      </c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84">
        <v>10900</v>
      </c>
      <c r="I12" s="73">
        <f>D12*F12*H12</f>
        <v>10900</v>
      </c>
      <c r="J12" s="73">
        <v>8000</v>
      </c>
      <c r="K12" s="117">
        <f t="shared" si="0"/>
        <v>18900</v>
      </c>
      <c r="L12" s="119"/>
      <c r="M12" s="120"/>
      <c r="P12" s="119" t="s">
        <v>356</v>
      </c>
      <c r="Q12" s="177">
        <f>9.09*1200</f>
        <v>10908</v>
      </c>
      <c r="R12" s="177">
        <v>8000</v>
      </c>
      <c r="S12" s="177"/>
      <c r="T12" s="178">
        <f>R12+Q12</f>
        <v>18908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4</v>
      </c>
      <c r="E13" s="68"/>
      <c r="F13" s="78">
        <v>1</v>
      </c>
      <c r="G13" s="77"/>
      <c r="H13" s="118">
        <v>600</v>
      </c>
      <c r="I13" s="73">
        <f>D13*F13*H13</f>
        <v>2400</v>
      </c>
      <c r="J13" s="73"/>
      <c r="K13" s="117">
        <f>H13*D13</f>
        <v>2400</v>
      </c>
      <c r="L13" s="172"/>
      <c r="M13" s="120"/>
      <c r="P13" s="119"/>
      <c r="Q13" s="177"/>
      <c r="R13" s="177"/>
      <c r="S13" s="177"/>
      <c r="T13" s="178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3420</v>
      </c>
      <c r="J14" s="73">
        <v>7530</v>
      </c>
      <c r="K14" s="117">
        <f>(I14+J14)*D14</f>
        <v>21900</v>
      </c>
      <c r="L14" s="119"/>
      <c r="M14" s="120"/>
      <c r="Q14" s="119"/>
      <c r="R14" s="120"/>
      <c r="S14" s="120"/>
      <c r="T14" s="178">
        <f>R14+Q14</f>
        <v>0</v>
      </c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4500</v>
      </c>
      <c r="I15" s="73">
        <f t="shared" ref="I15:I25" si="1">D15*F15*H15</f>
        <v>4500</v>
      </c>
      <c r="J15" s="73"/>
      <c r="K15" s="117">
        <f t="shared" ref="K15:K28" si="2">I15+J15</f>
        <v>4500</v>
      </c>
      <c r="L15" s="119"/>
      <c r="M15" s="120"/>
      <c r="P15" s="119" t="s">
        <v>358</v>
      </c>
      <c r="Q15" s="179"/>
      <c r="R15" s="179"/>
      <c r="S15" s="172"/>
      <c r="T15" s="178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1050</v>
      </c>
      <c r="I16" s="73">
        <f t="shared" si="1"/>
        <v>1050</v>
      </c>
      <c r="J16" s="73">
        <v>300</v>
      </c>
      <c r="K16" s="117">
        <f t="shared" si="2"/>
        <v>1350</v>
      </c>
      <c r="L16" s="119"/>
      <c r="M16" s="120"/>
      <c r="P16" s="119" t="s">
        <v>349</v>
      </c>
      <c r="Q16" s="119"/>
      <c r="R16" s="177"/>
      <c r="S16" s="172"/>
      <c r="T16" s="178">
        <f>0.96*1200</f>
        <v>1152</v>
      </c>
    </row>
    <row r="17" spans="1:20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600</v>
      </c>
      <c r="I17" s="73">
        <f t="shared" si="1"/>
        <v>1200</v>
      </c>
      <c r="J17" s="73"/>
      <c r="K17" s="117">
        <f t="shared" si="2"/>
        <v>1200</v>
      </c>
      <c r="L17" s="172"/>
      <c r="M17" s="120"/>
      <c r="P17" s="119"/>
      <c r="Q17" s="119"/>
      <c r="R17" s="177"/>
      <c r="S17" s="172"/>
      <c r="T17" s="178"/>
    </row>
    <row r="18" spans="1:20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120</v>
      </c>
      <c r="I18" s="73">
        <f t="shared" si="1"/>
        <v>120</v>
      </c>
      <c r="J18" s="73">
        <v>100</v>
      </c>
      <c r="K18" s="117">
        <f t="shared" si="2"/>
        <v>220</v>
      </c>
      <c r="L18" s="119"/>
      <c r="M18" s="120"/>
      <c r="Q18" s="119"/>
      <c r="R18" s="120"/>
      <c r="S18" s="120"/>
      <c r="T18" s="178">
        <f>R18+Q18</f>
        <v>0</v>
      </c>
    </row>
    <row r="19" spans="1:20" s="121" customFormat="1" ht="18" customHeight="1">
      <c r="A19" s="72">
        <v>12</v>
      </c>
      <c r="B19" s="74" t="s">
        <v>157</v>
      </c>
      <c r="C19" s="76" t="s">
        <v>158</v>
      </c>
      <c r="D19" s="76">
        <v>2</v>
      </c>
      <c r="E19" s="68"/>
      <c r="F19" s="78">
        <v>1</v>
      </c>
      <c r="G19" s="69"/>
      <c r="H19" s="118">
        <v>225</v>
      </c>
      <c r="I19" s="73">
        <f t="shared" si="1"/>
        <v>450</v>
      </c>
      <c r="J19" s="73">
        <v>160</v>
      </c>
      <c r="K19" s="117">
        <f t="shared" si="2"/>
        <v>610</v>
      </c>
      <c r="L19" s="119"/>
      <c r="M19" s="120"/>
      <c r="Q19" s="119"/>
      <c r="R19" s="120"/>
      <c r="S19" s="120"/>
      <c r="T19" s="178">
        <f>R19+Q19</f>
        <v>0</v>
      </c>
    </row>
    <row r="20" spans="1:20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611</v>
      </c>
      <c r="I20" s="73">
        <f t="shared" si="1"/>
        <v>611</v>
      </c>
      <c r="J20" s="73">
        <v>300</v>
      </c>
      <c r="K20" s="183">
        <v>3350</v>
      </c>
      <c r="L20" s="119"/>
      <c r="M20" s="120"/>
      <c r="P20" s="119" t="s">
        <v>350</v>
      </c>
      <c r="Q20" s="172"/>
      <c r="R20" s="177"/>
      <c r="S20" s="172"/>
      <c r="T20" s="178">
        <f>2.79*1200</f>
        <v>3348</v>
      </c>
    </row>
    <row r="21" spans="1:20" s="121" customFormat="1" ht="18" customHeight="1">
      <c r="A21" s="72">
        <v>14</v>
      </c>
      <c r="B21" s="74" t="s">
        <v>160</v>
      </c>
      <c r="C21" s="76" t="s">
        <v>149</v>
      </c>
      <c r="D21" s="76">
        <v>4</v>
      </c>
      <c r="E21" s="68"/>
      <c r="F21" s="78">
        <v>1</v>
      </c>
      <c r="G21" s="69"/>
      <c r="H21" s="118">
        <v>100</v>
      </c>
      <c r="I21" s="73">
        <f t="shared" si="1"/>
        <v>400</v>
      </c>
      <c r="J21" s="73"/>
      <c r="K21" s="117">
        <f t="shared" si="2"/>
        <v>400</v>
      </c>
      <c r="L21" s="172"/>
      <c r="M21" s="120"/>
      <c r="P21" s="172"/>
      <c r="Q21" s="120"/>
    </row>
    <row r="22" spans="1:20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1250</v>
      </c>
      <c r="I22" s="73">
        <f t="shared" si="1"/>
        <v>1250</v>
      </c>
      <c r="J22" s="73"/>
      <c r="K22" s="117">
        <f t="shared" si="2"/>
        <v>1250</v>
      </c>
      <c r="L22" s="119"/>
      <c r="M22" s="120"/>
    </row>
    <row r="23" spans="1:20" s="121" customFormat="1" ht="18" customHeight="1">
      <c r="A23" s="72">
        <v>16</v>
      </c>
      <c r="B23" s="74" t="s">
        <v>177</v>
      </c>
      <c r="C23" s="76" t="s">
        <v>147</v>
      </c>
      <c r="D23" s="76">
        <v>1</v>
      </c>
      <c r="E23" s="68"/>
      <c r="F23" s="78">
        <v>1</v>
      </c>
      <c r="G23" s="69"/>
      <c r="H23" s="118">
        <v>900</v>
      </c>
      <c r="I23" s="73">
        <f t="shared" si="1"/>
        <v>900</v>
      </c>
      <c r="J23" s="73"/>
      <c r="K23" s="117">
        <f t="shared" si="2"/>
        <v>900</v>
      </c>
      <c r="L23" s="119"/>
      <c r="M23" s="120"/>
    </row>
    <row r="24" spans="1:20" s="121" customFormat="1" ht="18" customHeight="1">
      <c r="A24" s="72">
        <v>17</v>
      </c>
      <c r="B24" s="74" t="s">
        <v>179</v>
      </c>
      <c r="C24" s="76" t="s">
        <v>178</v>
      </c>
      <c r="D24" s="76">
        <v>1</v>
      </c>
      <c r="E24" s="68"/>
      <c r="F24" s="78">
        <v>1</v>
      </c>
      <c r="G24" s="69"/>
      <c r="H24" s="118">
        <v>3000</v>
      </c>
      <c r="I24" s="73">
        <f t="shared" si="1"/>
        <v>3000</v>
      </c>
      <c r="J24" s="73"/>
      <c r="K24" s="117">
        <f t="shared" si="2"/>
        <v>3000</v>
      </c>
      <c r="L24" s="119"/>
      <c r="M24" s="120"/>
    </row>
    <row r="25" spans="1:20" s="121" customFormat="1" ht="18" customHeight="1">
      <c r="A25" s="72">
        <v>18</v>
      </c>
      <c r="B25" s="74" t="s">
        <v>180</v>
      </c>
      <c r="C25" s="76" t="s">
        <v>149</v>
      </c>
      <c r="D25" s="76">
        <v>4</v>
      </c>
      <c r="E25" s="68"/>
      <c r="F25" s="78">
        <v>1</v>
      </c>
      <c r="G25" s="69"/>
      <c r="H25" s="118">
        <v>160</v>
      </c>
      <c r="I25" s="73">
        <f t="shared" si="1"/>
        <v>640</v>
      </c>
      <c r="J25" s="73"/>
      <c r="K25" s="117">
        <f t="shared" si="2"/>
        <v>640</v>
      </c>
      <c r="L25" s="119"/>
      <c r="M25" s="120"/>
    </row>
    <row r="26" spans="1:20" s="121" customFormat="1" ht="18" customHeight="1">
      <c r="A26" s="72">
        <v>19</v>
      </c>
      <c r="B26" s="74" t="s">
        <v>181</v>
      </c>
      <c r="C26" s="76" t="s">
        <v>178</v>
      </c>
      <c r="D26" s="76">
        <v>1</v>
      </c>
      <c r="E26" s="68"/>
      <c r="F26" s="78">
        <v>1</v>
      </c>
      <c r="G26" s="79"/>
      <c r="H26" s="118"/>
      <c r="I26" s="73"/>
      <c r="J26" s="124" t="s">
        <v>183</v>
      </c>
      <c r="K26" s="124">
        <v>23000</v>
      </c>
      <c r="L26" s="119">
        <v>11000</v>
      </c>
      <c r="M26" s="120"/>
    </row>
    <row r="27" spans="1:20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98000</v>
      </c>
      <c r="L27" s="125">
        <v>16410</v>
      </c>
      <c r="M27" s="125">
        <v>98000</v>
      </c>
      <c r="N27" s="125">
        <v>98000</v>
      </c>
    </row>
    <row r="28" spans="1:20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7200</v>
      </c>
      <c r="J28" s="117">
        <v>6000</v>
      </c>
      <c r="K28" s="117">
        <f t="shared" si="2"/>
        <v>13200</v>
      </c>
      <c r="L28" s="125"/>
    </row>
    <row r="29" spans="1:20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SUM(K6:K25,K28)</f>
        <v>228912</v>
      </c>
      <c r="L29" s="86"/>
    </row>
    <row r="30" spans="1:20" s="87" customFormat="1" ht="18" customHeight="1">
      <c r="A30" s="80">
        <v>23</v>
      </c>
      <c r="B30" s="81" t="s">
        <v>182</v>
      </c>
      <c r="C30" s="82"/>
      <c r="D30" s="82"/>
      <c r="E30" s="83"/>
      <c r="F30" s="83"/>
      <c r="G30" s="83"/>
      <c r="H30" s="83"/>
      <c r="I30" s="84"/>
      <c r="J30" s="84"/>
      <c r="K30" s="85">
        <f>SUM(K6:K26,K28)</f>
        <v>251912</v>
      </c>
      <c r="L30" s="86"/>
    </row>
    <row r="31" spans="1:20" s="87" customFormat="1" ht="18" customHeight="1">
      <c r="A31" s="80">
        <v>24</v>
      </c>
      <c r="B31" s="81" t="s">
        <v>171</v>
      </c>
      <c r="C31" s="82"/>
      <c r="D31" s="82"/>
      <c r="E31" s="83"/>
      <c r="F31" s="83"/>
      <c r="G31" s="83"/>
      <c r="H31" s="83"/>
      <c r="I31" s="84"/>
      <c r="J31" s="84"/>
      <c r="K31" s="85">
        <f>SUM(K6:K25,K27:K28)</f>
        <v>326912</v>
      </c>
      <c r="L31" s="86"/>
    </row>
    <row r="32" spans="1:20" s="121" customFormat="1" ht="18" customHeight="1">
      <c r="A32" s="72">
        <v>25</v>
      </c>
      <c r="B32" s="74"/>
      <c r="C32" s="76"/>
      <c r="D32" s="76"/>
      <c r="E32" s="68"/>
      <c r="F32" s="68"/>
      <c r="G32" s="68"/>
      <c r="H32" s="68"/>
      <c r="I32" s="68"/>
      <c r="J32" s="68"/>
      <c r="K32" s="68"/>
      <c r="L32" s="125"/>
    </row>
    <row r="33" spans="1:13" s="121" customFormat="1" ht="18" customHeight="1">
      <c r="A33" s="72">
        <v>26</v>
      </c>
      <c r="B33" s="74" t="s">
        <v>172</v>
      </c>
      <c r="C33" s="76"/>
      <c r="D33" s="76">
        <v>1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>
      <c r="A34" s="207">
        <v>27</v>
      </c>
      <c r="B34" s="132" t="s">
        <v>173</v>
      </c>
      <c r="C34" s="76"/>
      <c r="D34" s="76">
        <v>4</v>
      </c>
      <c r="E34" s="68"/>
      <c r="F34" s="78"/>
      <c r="G34" s="79"/>
      <c r="H34" s="68"/>
      <c r="I34" s="73"/>
      <c r="J34" s="73"/>
      <c r="K34" s="117">
        <f>I34+J34</f>
        <v>0</v>
      </c>
      <c r="L34" s="125"/>
    </row>
    <row r="35" spans="1:13" s="121" customFormat="1" ht="24" customHeight="1">
      <c r="A35" s="207"/>
      <c r="B35" s="74" t="s">
        <v>174</v>
      </c>
      <c r="C35" s="76"/>
      <c r="D35" s="76">
        <v>1</v>
      </c>
      <c r="E35" s="68"/>
      <c r="F35" s="78"/>
      <c r="G35" s="68"/>
      <c r="H35" s="68"/>
      <c r="I35" s="68"/>
      <c r="J35" s="68"/>
      <c r="K35" s="117">
        <v>14500</v>
      </c>
      <c r="L35" s="125"/>
    </row>
    <row r="36" spans="1:13" s="8" customFormat="1" ht="18" customHeight="1">
      <c r="A36" s="21">
        <v>28</v>
      </c>
      <c r="B36" s="6" t="s">
        <v>101</v>
      </c>
      <c r="C36" s="13"/>
      <c r="D36" s="16"/>
      <c r="E36" s="14"/>
      <c r="F36" s="14"/>
      <c r="G36" s="14"/>
      <c r="H36" s="14"/>
      <c r="I36" s="17">
        <f>SUM(K32:K35)</f>
        <v>14500</v>
      </c>
      <c r="J36" s="18">
        <v>1</v>
      </c>
      <c r="K36" s="17">
        <f>J36*I36</f>
        <v>14500</v>
      </c>
      <c r="L36" s="12"/>
    </row>
    <row r="37" spans="1:13" s="8" customFormat="1" ht="18" customHeight="1">
      <c r="A37" s="21">
        <v>29</v>
      </c>
      <c r="B37" s="9"/>
      <c r="C37" s="10"/>
      <c r="D37" s="10"/>
      <c r="E37" s="11"/>
      <c r="F37" s="11"/>
      <c r="G37" s="11"/>
      <c r="H37" s="11"/>
      <c r="I37" s="11"/>
      <c r="J37" s="19"/>
      <c r="K37" s="11"/>
      <c r="L37" s="12"/>
    </row>
    <row r="38" spans="1:13" s="8" customFormat="1" ht="18" customHeight="1">
      <c r="A38" s="21">
        <v>30</v>
      </c>
      <c r="B38" s="20" t="s">
        <v>102</v>
      </c>
      <c r="C38" s="13"/>
      <c r="D38" s="13"/>
      <c r="E38" s="14"/>
      <c r="F38" s="14"/>
      <c r="G38" s="14"/>
      <c r="H38" s="14"/>
      <c r="I38" s="15">
        <f>K29</f>
        <v>228912</v>
      </c>
      <c r="J38" s="21">
        <f>BFLY!B21</f>
        <v>1</v>
      </c>
      <c r="K38" s="17">
        <f>J38*I38</f>
        <v>228912</v>
      </c>
      <c r="L38" s="12"/>
    </row>
    <row r="39" spans="1:13" s="8" customFormat="1" ht="18" customHeight="1">
      <c r="A39" s="21">
        <v>31</v>
      </c>
      <c r="B39" s="20" t="s">
        <v>103</v>
      </c>
      <c r="C39" s="13"/>
      <c r="D39" s="13"/>
      <c r="E39" s="14"/>
      <c r="F39" s="14"/>
      <c r="G39" s="14"/>
      <c r="H39" s="14"/>
      <c r="I39" s="15">
        <f>K30</f>
        <v>251912</v>
      </c>
      <c r="J39" s="21">
        <f>BFLY!B21</f>
        <v>1</v>
      </c>
      <c r="K39" s="17">
        <f>J39*I39</f>
        <v>251912</v>
      </c>
      <c r="L39" s="22"/>
    </row>
    <row r="40" spans="1:13" s="8" customFormat="1" ht="18" customHeight="1">
      <c r="A40" s="21">
        <v>32</v>
      </c>
      <c r="B40" s="20" t="s">
        <v>104</v>
      </c>
      <c r="C40" s="13"/>
      <c r="D40" s="13"/>
      <c r="E40" s="14"/>
      <c r="F40" s="14"/>
      <c r="G40" s="14"/>
      <c r="H40" s="14"/>
      <c r="I40" s="15">
        <f>K31</f>
        <v>326912</v>
      </c>
      <c r="J40" s="21">
        <f>BFLY!B21</f>
        <v>1</v>
      </c>
      <c r="K40" s="17">
        <f>J40*I40</f>
        <v>326912</v>
      </c>
      <c r="L40" s="22"/>
    </row>
    <row r="41" spans="1:13" s="8" customFormat="1" ht="18" customHeight="1">
      <c r="A41" s="21">
        <v>33</v>
      </c>
      <c r="B41" s="45" t="s">
        <v>105</v>
      </c>
      <c r="C41" s="41"/>
      <c r="D41" s="41"/>
      <c r="E41" s="44"/>
      <c r="F41" s="46"/>
      <c r="G41" s="46"/>
      <c r="H41" s="42"/>
      <c r="I41" s="42"/>
      <c r="J41" s="44"/>
      <c r="K41" s="43">
        <f>SUM(K36,K38)</f>
        <v>243412</v>
      </c>
      <c r="L41" s="22"/>
    </row>
    <row r="42" spans="1:13" s="23" customFormat="1" ht="18" customHeight="1">
      <c r="A42" s="21">
        <v>34</v>
      </c>
      <c r="B42" s="45" t="s">
        <v>106</v>
      </c>
      <c r="C42" s="41"/>
      <c r="D42" s="41"/>
      <c r="E42" s="44"/>
      <c r="F42" s="46"/>
      <c r="G42" s="46"/>
      <c r="H42" s="42"/>
      <c r="I42" s="42"/>
      <c r="J42" s="44"/>
      <c r="K42" s="43">
        <f>SUM(K36,K39)</f>
        <v>266412</v>
      </c>
      <c r="L42" s="22"/>
      <c r="M42" s="8"/>
    </row>
    <row r="43" spans="1:13" s="23" customFormat="1" ht="18" customHeight="1">
      <c r="A43" s="21">
        <v>35</v>
      </c>
      <c r="B43" s="45" t="s">
        <v>107</v>
      </c>
      <c r="C43" s="41"/>
      <c r="D43" s="41"/>
      <c r="E43" s="44"/>
      <c r="F43" s="46"/>
      <c r="G43" s="46"/>
      <c r="H43" s="42"/>
      <c r="I43" s="42"/>
      <c r="J43" s="44"/>
      <c r="K43" s="43">
        <f>SUM(K36,K40)</f>
        <v>341412</v>
      </c>
      <c r="L43" s="22"/>
      <c r="M43" s="8"/>
    </row>
    <row r="44" spans="1:13" s="23" customFormat="1" ht="18" customHeight="1">
      <c r="A44" s="60"/>
      <c r="L44" s="22"/>
      <c r="M44" s="8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L49" s="24"/>
    </row>
    <row r="50" spans="2:12" s="23" customFormat="1" ht="18" customHeight="1">
      <c r="L50" s="24"/>
    </row>
    <row r="51" spans="2:12" s="23" customFormat="1" ht="18" customHeight="1">
      <c r="L51" s="24"/>
    </row>
    <row r="52" spans="2:12" s="23" customFormat="1" ht="18" customHeight="1">
      <c r="D52" s="24"/>
      <c r="L52" s="24"/>
    </row>
    <row r="53" spans="2:12" s="23" customFormat="1" ht="12"/>
    <row r="54" spans="2:12" s="23" customFormat="1" ht="12">
      <c r="L54" s="24"/>
    </row>
    <row r="55" spans="2:12" s="23" customFormat="1" ht="1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4"/>
    </row>
    <row r="56" spans="2:12" s="25" customFormat="1" ht="15">
      <c r="L56" s="24"/>
    </row>
    <row r="57" spans="2:12" s="25" customFormat="1" ht="15">
      <c r="L57" s="24"/>
    </row>
    <row r="58" spans="2:12" s="25" customFormat="1" ht="15">
      <c r="B58" s="3"/>
      <c r="C58" s="3"/>
      <c r="D58" s="3"/>
      <c r="E58" s="3"/>
      <c r="F58" s="3"/>
      <c r="G58" s="3"/>
      <c r="H58" s="3"/>
      <c r="I58" s="3"/>
      <c r="J58" s="3"/>
      <c r="K58" s="3"/>
      <c r="L58" s="24"/>
    </row>
  </sheetData>
  <mergeCells count="3">
    <mergeCell ref="A34:A35"/>
    <mergeCell ref="M8:O8"/>
    <mergeCell ref="A6:A8"/>
  </mergeCells>
  <phoneticPr fontId="8" type="noConversion"/>
  <pageMargins left="0.75" right="0.75" top="1" bottom="1" header="0.5" footer="0.5"/>
  <pageSetup paperSize="9" scale="87" orientation="portrait" r:id="rId1"/>
  <headerFooter alignWithMargins="0"/>
  <ignoredErrors>
    <ignoredError sqref="K13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T58"/>
  <sheetViews>
    <sheetView view="pageBreakPreview" zoomScale="85" zoomScaleNormal="100" zoomScaleSheetLayoutView="85" workbookViewId="0">
      <selection activeCell="O23" sqref="O23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336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  <c r="M3" s="112" t="s">
        <v>389</v>
      </c>
    </row>
    <row r="4" spans="1:20" ht="12.2" customHeight="1"/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  <c r="P5" s="174"/>
      <c r="Q5" s="8" t="s">
        <v>351</v>
      </c>
      <c r="R5" s="8" t="s">
        <v>9</v>
      </c>
      <c r="T5" s="8" t="s">
        <v>352</v>
      </c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IF(C6="WCB",6.7,IF(C6="CF8",6.7,IF(C6="CF8M",6.7)))</f>
        <v>6.7</v>
      </c>
      <c r="G6" s="69"/>
      <c r="H6" s="118">
        <f>BFLY!C13</f>
        <v>4000</v>
      </c>
      <c r="I6" s="70">
        <f>D6*F6*H6</f>
        <v>26800</v>
      </c>
      <c r="J6" s="181">
        <f>IF(C6="WCB",50000,IF(C6="CF8",50000,IF(C6="CF8M",50000)))</f>
        <v>50000</v>
      </c>
      <c r="K6" s="128">
        <f t="shared" ref="K6:K12" si="0">I6+J6</f>
        <v>76800</v>
      </c>
      <c r="L6" s="119"/>
      <c r="M6" s="120"/>
      <c r="P6" s="176" t="s">
        <v>353</v>
      </c>
      <c r="R6" s="175">
        <v>50000</v>
      </c>
      <c r="S6" s="175"/>
      <c r="T6" s="178">
        <f>R6+Q6</f>
        <v>50000</v>
      </c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IF(C7="WCB",16,IF(C7="CF8",16,IF(C7="CF8M",16)))</f>
        <v>0</v>
      </c>
      <c r="G7" s="69"/>
      <c r="H7" s="118">
        <f>BFLY!C14</f>
        <v>0</v>
      </c>
      <c r="I7" s="70">
        <f>D7*F7*H7</f>
        <v>0</v>
      </c>
      <c r="J7" s="181" t="b">
        <f>IF(C7="WCB",53000,IF(C7="CF8",53000,IF(C7="CF8M",53000)))</f>
        <v>0</v>
      </c>
      <c r="K7" s="128">
        <f t="shared" si="0"/>
        <v>0</v>
      </c>
      <c r="P7" s="176" t="s">
        <v>354</v>
      </c>
      <c r="R7" s="175">
        <v>53000</v>
      </c>
      <c r="S7" s="175"/>
      <c r="T7" s="178">
        <f>R7+Q7</f>
        <v>53000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29*1.1</f>
        <v>31.900000000000002</v>
      </c>
      <c r="G8" s="69"/>
      <c r="H8" s="118">
        <f>BFLY!C15</f>
        <v>0</v>
      </c>
      <c r="I8" s="70">
        <f>D8*F8*H8</f>
        <v>0</v>
      </c>
      <c r="J8" s="181">
        <f>IF(C8="WCB",58000,IF(C8="CF8",58000,IF(C8="CF8M",58000)))</f>
        <v>58000</v>
      </c>
      <c r="K8" s="128">
        <f t="shared" si="0"/>
        <v>58000</v>
      </c>
      <c r="L8" s="122" t="s">
        <v>138</v>
      </c>
      <c r="M8" s="208" t="s">
        <v>139</v>
      </c>
      <c r="N8" s="209"/>
      <c r="O8" s="210"/>
      <c r="P8" s="176" t="s">
        <v>355</v>
      </c>
      <c r="R8" s="175">
        <v>58000</v>
      </c>
      <c r="S8" s="175"/>
      <c r="T8" s="178">
        <f>R8+Q8</f>
        <v>58000</v>
      </c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IF(C9="CF8",1.34,IF(C9="CF8M",1.34,IF(C9="CF3M",1.34,IF(C9="B148",2.7))))</f>
        <v>1.34</v>
      </c>
      <c r="G9" s="69"/>
      <c r="H9" s="118">
        <f>BFLY!C16</f>
        <v>8000</v>
      </c>
      <c r="I9" s="73">
        <f>D9*F9*H9</f>
        <v>10720</v>
      </c>
      <c r="J9" s="129">
        <v>10000</v>
      </c>
      <c r="K9" s="117">
        <f t="shared" si="0"/>
        <v>20720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IF(C10="RTFE",8900,IF(C10="RTFE-A",8480,IF(C10="METAL-B",3510,IF(C10="RTFE + METAL",11800))))</f>
        <v>8900</v>
      </c>
      <c r="J10" s="185">
        <f>IF(C10="RTFE",2300,IF(C10="METAL-B",12500,IF(C10="RTFE + METAL",8000)))</f>
        <v>2300</v>
      </c>
      <c r="K10" s="117">
        <f t="shared" si="0"/>
        <v>11200</v>
      </c>
      <c r="L10" s="173">
        <v>8900</v>
      </c>
      <c r="M10" s="173">
        <v>8300</v>
      </c>
      <c r="N10" s="173">
        <v>3500</v>
      </c>
      <c r="O10" s="124">
        <f>M10+N10</f>
        <v>11800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0.92</v>
      </c>
      <c r="G11" s="77"/>
      <c r="H11" s="118">
        <f>BFLY!C17</f>
        <v>8000</v>
      </c>
      <c r="I11" s="73">
        <f>D11*F11*H11</f>
        <v>7360</v>
      </c>
      <c r="J11" s="173">
        <v>4000</v>
      </c>
      <c r="K11" s="117">
        <f t="shared" si="0"/>
        <v>11360</v>
      </c>
      <c r="L11" s="119"/>
      <c r="M11" s="120"/>
      <c r="P11" s="121" t="s">
        <v>357</v>
      </c>
      <c r="Q11" s="119"/>
      <c r="R11" s="175">
        <v>4000</v>
      </c>
      <c r="S11" s="175"/>
      <c r="T11" s="178">
        <f>R11+Q11</f>
        <v>4000</v>
      </c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85">
        <v>14050</v>
      </c>
      <c r="I12" s="73">
        <f>D12*F12*H12</f>
        <v>14050</v>
      </c>
      <c r="J12" s="73">
        <v>9000</v>
      </c>
      <c r="K12" s="117">
        <f t="shared" si="0"/>
        <v>23050</v>
      </c>
      <c r="L12" s="119"/>
      <c r="M12" s="120"/>
      <c r="P12" s="119" t="s">
        <v>356</v>
      </c>
      <c r="Q12" s="177">
        <f>11.71*1200</f>
        <v>14052.000000000002</v>
      </c>
      <c r="R12" s="177">
        <v>9000</v>
      </c>
      <c r="S12" s="177"/>
      <c r="T12" s="178">
        <f>R12+Q12</f>
        <v>23052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4</v>
      </c>
      <c r="E13" s="68"/>
      <c r="F13" s="78">
        <v>1</v>
      </c>
      <c r="G13" s="77"/>
      <c r="H13" s="118">
        <v>600</v>
      </c>
      <c r="I13" s="73">
        <f>D13*F13*H13</f>
        <v>2400</v>
      </c>
      <c r="J13" s="73"/>
      <c r="K13" s="117">
        <f>H13*D13</f>
        <v>2400</v>
      </c>
      <c r="L13" s="172"/>
      <c r="M13" s="120"/>
      <c r="P13" s="119"/>
      <c r="Q13" s="177"/>
      <c r="R13" s="177"/>
      <c r="S13" s="177"/>
      <c r="T13" s="178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3510</v>
      </c>
      <c r="J14" s="73">
        <v>7530</v>
      </c>
      <c r="K14" s="117">
        <f>(I14+J14)*D14</f>
        <v>22080</v>
      </c>
      <c r="L14" s="119"/>
      <c r="M14" s="120"/>
      <c r="Q14" s="119"/>
      <c r="R14" s="120"/>
      <c r="S14" s="120"/>
      <c r="T14" s="178">
        <f>R14+Q14</f>
        <v>0</v>
      </c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4500</v>
      </c>
      <c r="I15" s="73">
        <f t="shared" ref="I15:I25" si="1">D15*F15*H15</f>
        <v>4500</v>
      </c>
      <c r="J15" s="73"/>
      <c r="K15" s="117">
        <f t="shared" ref="K15:K28" si="2">I15+J15</f>
        <v>4500</v>
      </c>
      <c r="L15" s="119"/>
      <c r="M15" s="120"/>
      <c r="P15" s="119" t="s">
        <v>358</v>
      </c>
      <c r="Q15" s="179"/>
      <c r="R15" s="179"/>
      <c r="S15" s="172"/>
      <c r="T15" s="178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1050</v>
      </c>
      <c r="I16" s="73">
        <f t="shared" si="1"/>
        <v>1050</v>
      </c>
      <c r="J16" s="73">
        <v>300</v>
      </c>
      <c r="K16" s="117">
        <f t="shared" si="2"/>
        <v>1350</v>
      </c>
      <c r="L16" s="119"/>
      <c r="M16" s="120"/>
      <c r="P16" s="119" t="s">
        <v>349</v>
      </c>
      <c r="Q16" s="119"/>
      <c r="R16" s="177"/>
      <c r="S16" s="172"/>
      <c r="T16" s="178">
        <f>0.96*1200</f>
        <v>1152</v>
      </c>
    </row>
    <row r="17" spans="1:20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600</v>
      </c>
      <c r="I17" s="73">
        <f t="shared" si="1"/>
        <v>1200</v>
      </c>
      <c r="J17" s="73"/>
      <c r="K17" s="117">
        <f t="shared" si="2"/>
        <v>1200</v>
      </c>
      <c r="L17" s="172"/>
      <c r="M17" s="120"/>
      <c r="P17" s="119"/>
      <c r="Q17" s="119"/>
      <c r="R17" s="177"/>
      <c r="S17" s="172"/>
      <c r="T17" s="178"/>
    </row>
    <row r="18" spans="1:20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120</v>
      </c>
      <c r="I18" s="73">
        <f t="shared" si="1"/>
        <v>120</v>
      </c>
      <c r="J18" s="73">
        <v>100</v>
      </c>
      <c r="K18" s="117">
        <f t="shared" si="2"/>
        <v>220</v>
      </c>
      <c r="L18" s="119"/>
      <c r="M18" s="120"/>
      <c r="Q18" s="119"/>
      <c r="R18" s="120"/>
      <c r="S18" s="120"/>
      <c r="T18" s="178">
        <f>R18+Q18</f>
        <v>0</v>
      </c>
    </row>
    <row r="19" spans="1:20" s="121" customFormat="1" ht="18" customHeight="1">
      <c r="A19" s="72">
        <v>12</v>
      </c>
      <c r="B19" s="74" t="s">
        <v>157</v>
      </c>
      <c r="C19" s="76" t="s">
        <v>158</v>
      </c>
      <c r="D19" s="76">
        <v>2</v>
      </c>
      <c r="E19" s="68"/>
      <c r="F19" s="78">
        <v>1</v>
      </c>
      <c r="G19" s="69"/>
      <c r="H19" s="118">
        <v>225</v>
      </c>
      <c r="I19" s="73">
        <f t="shared" si="1"/>
        <v>450</v>
      </c>
      <c r="J19" s="73">
        <v>160</v>
      </c>
      <c r="K19" s="117">
        <f t="shared" si="2"/>
        <v>610</v>
      </c>
      <c r="L19" s="119"/>
      <c r="M19" s="120"/>
      <c r="Q19" s="119"/>
      <c r="R19" s="120"/>
      <c r="S19" s="120"/>
      <c r="T19" s="178">
        <f>R19+Q19</f>
        <v>0</v>
      </c>
    </row>
    <row r="20" spans="1:20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610</v>
      </c>
      <c r="I20" s="73">
        <f t="shared" si="1"/>
        <v>610</v>
      </c>
      <c r="J20" s="73">
        <v>300</v>
      </c>
      <c r="K20" s="183">
        <v>3350</v>
      </c>
      <c r="L20" s="119"/>
      <c r="M20" s="120"/>
      <c r="P20" s="119" t="s">
        <v>350</v>
      </c>
      <c r="Q20" s="172"/>
      <c r="R20" s="177"/>
      <c r="S20" s="172"/>
      <c r="T20" s="178">
        <f>2.79*1200</f>
        <v>3348</v>
      </c>
    </row>
    <row r="21" spans="1:20" s="121" customFormat="1" ht="18" customHeight="1">
      <c r="A21" s="72">
        <v>14</v>
      </c>
      <c r="B21" s="74" t="s">
        <v>160</v>
      </c>
      <c r="C21" s="76" t="s">
        <v>149</v>
      </c>
      <c r="D21" s="76">
        <v>4</v>
      </c>
      <c r="E21" s="68"/>
      <c r="F21" s="78">
        <v>1</v>
      </c>
      <c r="G21" s="69"/>
      <c r="H21" s="118">
        <v>100</v>
      </c>
      <c r="I21" s="73">
        <f t="shared" si="1"/>
        <v>400</v>
      </c>
      <c r="J21" s="73"/>
      <c r="K21" s="117">
        <f t="shared" si="2"/>
        <v>400</v>
      </c>
      <c r="L21" s="172"/>
      <c r="M21" s="120"/>
    </row>
    <row r="22" spans="1:20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1250</v>
      </c>
      <c r="I22" s="73">
        <f t="shared" si="1"/>
        <v>1250</v>
      </c>
      <c r="J22" s="73"/>
      <c r="K22" s="117">
        <f t="shared" si="2"/>
        <v>1250</v>
      </c>
      <c r="L22" s="119"/>
      <c r="M22" s="120"/>
    </row>
    <row r="23" spans="1:20" s="121" customFormat="1" ht="18" customHeight="1">
      <c r="A23" s="72">
        <v>16</v>
      </c>
      <c r="B23" s="74" t="s">
        <v>177</v>
      </c>
      <c r="C23" s="76" t="s">
        <v>147</v>
      </c>
      <c r="D23" s="76">
        <v>1</v>
      </c>
      <c r="E23" s="68"/>
      <c r="F23" s="78">
        <v>1</v>
      </c>
      <c r="G23" s="69"/>
      <c r="H23" s="118">
        <v>900</v>
      </c>
      <c r="I23" s="73">
        <f t="shared" si="1"/>
        <v>900</v>
      </c>
      <c r="J23" s="73"/>
      <c r="K23" s="117">
        <f t="shared" si="2"/>
        <v>900</v>
      </c>
      <c r="L23" s="119"/>
      <c r="M23" s="120"/>
    </row>
    <row r="24" spans="1:20" s="121" customFormat="1" ht="18" customHeight="1">
      <c r="A24" s="72">
        <v>17</v>
      </c>
      <c r="B24" s="74" t="s">
        <v>179</v>
      </c>
      <c r="C24" s="76" t="s">
        <v>178</v>
      </c>
      <c r="D24" s="76">
        <v>1</v>
      </c>
      <c r="E24" s="68"/>
      <c r="F24" s="78">
        <v>1</v>
      </c>
      <c r="G24" s="69"/>
      <c r="H24" s="118">
        <v>3000</v>
      </c>
      <c r="I24" s="73">
        <f t="shared" si="1"/>
        <v>3000</v>
      </c>
      <c r="J24" s="73"/>
      <c r="K24" s="117">
        <f t="shared" si="2"/>
        <v>3000</v>
      </c>
      <c r="L24" s="119"/>
      <c r="M24" s="120"/>
    </row>
    <row r="25" spans="1:20" s="121" customFormat="1" ht="18" customHeight="1">
      <c r="A25" s="72">
        <v>18</v>
      </c>
      <c r="B25" s="74" t="s">
        <v>180</v>
      </c>
      <c r="C25" s="76" t="s">
        <v>149</v>
      </c>
      <c r="D25" s="76">
        <v>4</v>
      </c>
      <c r="E25" s="68"/>
      <c r="F25" s="78">
        <v>1</v>
      </c>
      <c r="G25" s="69"/>
      <c r="H25" s="118">
        <v>160</v>
      </c>
      <c r="I25" s="73">
        <f t="shared" si="1"/>
        <v>640</v>
      </c>
      <c r="J25" s="73"/>
      <c r="K25" s="117">
        <f t="shared" si="2"/>
        <v>640</v>
      </c>
      <c r="L25" s="119"/>
      <c r="M25" s="120"/>
    </row>
    <row r="26" spans="1:20" s="121" customFormat="1" ht="18" customHeight="1">
      <c r="A26" s="72">
        <v>19</v>
      </c>
      <c r="B26" s="74" t="s">
        <v>181</v>
      </c>
      <c r="C26" s="76" t="s">
        <v>178</v>
      </c>
      <c r="D26" s="76">
        <v>1</v>
      </c>
      <c r="E26" s="68"/>
      <c r="F26" s="78">
        <v>1</v>
      </c>
      <c r="G26" s="79"/>
      <c r="H26" s="118"/>
      <c r="I26" s="73"/>
      <c r="J26" s="124" t="s">
        <v>183</v>
      </c>
      <c r="K26" s="124">
        <v>23000</v>
      </c>
      <c r="L26" s="119">
        <v>11000</v>
      </c>
      <c r="M26" s="120"/>
    </row>
    <row r="27" spans="1:20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98000</v>
      </c>
      <c r="L27" s="125">
        <v>17510</v>
      </c>
      <c r="M27" s="125">
        <v>98000</v>
      </c>
      <c r="N27" s="125">
        <v>98000</v>
      </c>
    </row>
    <row r="28" spans="1:20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9000</v>
      </c>
      <c r="J28" s="117">
        <v>6000</v>
      </c>
      <c r="K28" s="117">
        <f t="shared" si="2"/>
        <v>15000</v>
      </c>
      <c r="L28" s="125"/>
    </row>
    <row r="29" spans="1:20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SUM(K6:K25,K28)</f>
        <v>258030</v>
      </c>
      <c r="L29" s="86"/>
    </row>
    <row r="30" spans="1:20" s="87" customFormat="1" ht="18" customHeight="1">
      <c r="A30" s="80">
        <v>23</v>
      </c>
      <c r="B30" s="81" t="s">
        <v>182</v>
      </c>
      <c r="C30" s="82"/>
      <c r="D30" s="82"/>
      <c r="E30" s="83"/>
      <c r="F30" s="83"/>
      <c r="G30" s="83"/>
      <c r="H30" s="83"/>
      <c r="I30" s="84"/>
      <c r="J30" s="84"/>
      <c r="K30" s="85">
        <f>SUM(K6:K26,K28)</f>
        <v>281030</v>
      </c>
      <c r="L30" s="86"/>
    </row>
    <row r="31" spans="1:20" s="87" customFormat="1" ht="18" customHeight="1">
      <c r="A31" s="80">
        <v>24</v>
      </c>
      <c r="B31" s="81" t="s">
        <v>171</v>
      </c>
      <c r="C31" s="82"/>
      <c r="D31" s="82"/>
      <c r="E31" s="83"/>
      <c r="F31" s="83"/>
      <c r="G31" s="83"/>
      <c r="H31" s="83"/>
      <c r="I31" s="84"/>
      <c r="J31" s="84"/>
      <c r="K31" s="85">
        <f>SUM(K6:K25,K27:K28)</f>
        <v>356030</v>
      </c>
      <c r="L31" s="86"/>
    </row>
    <row r="32" spans="1:20" s="121" customFormat="1" ht="18" customHeight="1">
      <c r="A32" s="72">
        <v>25</v>
      </c>
      <c r="B32" s="74"/>
      <c r="C32" s="76"/>
      <c r="D32" s="76"/>
      <c r="E32" s="68"/>
      <c r="F32" s="68"/>
      <c r="G32" s="68"/>
      <c r="H32" s="68"/>
      <c r="I32" s="68"/>
      <c r="J32" s="68"/>
      <c r="K32" s="68"/>
      <c r="L32" s="125"/>
    </row>
    <row r="33" spans="1:13" s="121" customFormat="1" ht="18" customHeight="1">
      <c r="A33" s="72">
        <v>26</v>
      </c>
      <c r="B33" s="74" t="s">
        <v>172</v>
      </c>
      <c r="C33" s="76"/>
      <c r="D33" s="76">
        <v>1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>
      <c r="A34" s="207">
        <v>27</v>
      </c>
      <c r="B34" s="132" t="s">
        <v>173</v>
      </c>
      <c r="C34" s="76"/>
      <c r="D34" s="76">
        <v>4</v>
      </c>
      <c r="E34" s="68"/>
      <c r="F34" s="78"/>
      <c r="G34" s="79"/>
      <c r="H34" s="68"/>
      <c r="I34" s="73"/>
      <c r="J34" s="73"/>
      <c r="K34" s="117">
        <f>I34+J34</f>
        <v>0</v>
      </c>
      <c r="L34" s="125"/>
    </row>
    <row r="35" spans="1:13" s="121" customFormat="1" ht="24" customHeight="1">
      <c r="A35" s="207"/>
      <c r="B35" s="74" t="s">
        <v>174</v>
      </c>
      <c r="C35" s="76"/>
      <c r="D35" s="76">
        <v>1</v>
      </c>
      <c r="E35" s="68"/>
      <c r="F35" s="78"/>
      <c r="G35" s="68"/>
      <c r="H35" s="68"/>
      <c r="I35" s="68"/>
      <c r="J35" s="68"/>
      <c r="K35" s="117">
        <v>14000</v>
      </c>
      <c r="L35" s="125"/>
    </row>
    <row r="36" spans="1:13" s="8" customFormat="1" ht="18" customHeight="1">
      <c r="A36" s="21">
        <v>28</v>
      </c>
      <c r="B36" s="6" t="s">
        <v>101</v>
      </c>
      <c r="C36" s="13"/>
      <c r="D36" s="16"/>
      <c r="E36" s="14"/>
      <c r="F36" s="14"/>
      <c r="G36" s="14"/>
      <c r="H36" s="14"/>
      <c r="I36" s="17">
        <f>SUM(K32:K35)</f>
        <v>14000</v>
      </c>
      <c r="J36" s="18">
        <v>1</v>
      </c>
      <c r="K36" s="17">
        <f>J36*I36</f>
        <v>14000</v>
      </c>
      <c r="L36" s="12"/>
    </row>
    <row r="37" spans="1:13" s="8" customFormat="1" ht="18" customHeight="1">
      <c r="A37" s="21">
        <v>29</v>
      </c>
      <c r="B37" s="9"/>
      <c r="C37" s="10"/>
      <c r="D37" s="10"/>
      <c r="E37" s="11"/>
      <c r="F37" s="11"/>
      <c r="G37" s="11"/>
      <c r="H37" s="11"/>
      <c r="I37" s="11"/>
      <c r="J37" s="19"/>
      <c r="K37" s="11"/>
      <c r="L37" s="12"/>
    </row>
    <row r="38" spans="1:13" s="8" customFormat="1" ht="18" customHeight="1">
      <c r="A38" s="21">
        <v>30</v>
      </c>
      <c r="B38" s="20" t="s">
        <v>102</v>
      </c>
      <c r="C38" s="13"/>
      <c r="D38" s="13"/>
      <c r="E38" s="14"/>
      <c r="F38" s="14"/>
      <c r="G38" s="14"/>
      <c r="H38" s="14"/>
      <c r="I38" s="15">
        <f>K29</f>
        <v>258030</v>
      </c>
      <c r="J38" s="21">
        <f>BFLY!B21</f>
        <v>1</v>
      </c>
      <c r="K38" s="17">
        <f>J38*I38</f>
        <v>258030</v>
      </c>
      <c r="L38" s="12"/>
    </row>
    <row r="39" spans="1:13" s="8" customFormat="1" ht="18" customHeight="1">
      <c r="A39" s="21">
        <v>31</v>
      </c>
      <c r="B39" s="20" t="s">
        <v>103</v>
      </c>
      <c r="C39" s="13"/>
      <c r="D39" s="13"/>
      <c r="E39" s="14"/>
      <c r="F39" s="14"/>
      <c r="G39" s="14"/>
      <c r="H39" s="14"/>
      <c r="I39" s="15">
        <f>K30</f>
        <v>281030</v>
      </c>
      <c r="J39" s="21">
        <f>BFLY!B21</f>
        <v>1</v>
      </c>
      <c r="K39" s="17">
        <f>J39*I39</f>
        <v>281030</v>
      </c>
      <c r="L39" s="22"/>
    </row>
    <row r="40" spans="1:13" s="8" customFormat="1" ht="18" customHeight="1">
      <c r="A40" s="21">
        <v>32</v>
      </c>
      <c r="B40" s="20" t="s">
        <v>104</v>
      </c>
      <c r="C40" s="13"/>
      <c r="D40" s="13"/>
      <c r="E40" s="14"/>
      <c r="F40" s="14"/>
      <c r="G40" s="14"/>
      <c r="H40" s="14"/>
      <c r="I40" s="15">
        <f>K31</f>
        <v>356030</v>
      </c>
      <c r="J40" s="21">
        <f>BFLY!B21</f>
        <v>1</v>
      </c>
      <c r="K40" s="17">
        <f>J40*I40</f>
        <v>356030</v>
      </c>
      <c r="L40" s="22"/>
    </row>
    <row r="41" spans="1:13" s="8" customFormat="1" ht="18" customHeight="1">
      <c r="A41" s="21">
        <v>33</v>
      </c>
      <c r="B41" s="45" t="s">
        <v>105</v>
      </c>
      <c r="C41" s="41"/>
      <c r="D41" s="41"/>
      <c r="E41" s="44"/>
      <c r="F41" s="46"/>
      <c r="G41" s="46"/>
      <c r="H41" s="42"/>
      <c r="I41" s="42"/>
      <c r="J41" s="44"/>
      <c r="K41" s="43">
        <f>SUM(K36,K38)</f>
        <v>272030</v>
      </c>
      <c r="L41" s="22"/>
    </row>
    <row r="42" spans="1:13" s="23" customFormat="1" ht="18" customHeight="1">
      <c r="A42" s="21">
        <v>34</v>
      </c>
      <c r="B42" s="45" t="s">
        <v>106</v>
      </c>
      <c r="C42" s="41"/>
      <c r="D42" s="41"/>
      <c r="E42" s="44"/>
      <c r="F42" s="46"/>
      <c r="G42" s="46"/>
      <c r="H42" s="42"/>
      <c r="I42" s="42"/>
      <c r="J42" s="44"/>
      <c r="K42" s="43">
        <f>SUM(K36,K39)</f>
        <v>295030</v>
      </c>
      <c r="L42" s="22"/>
      <c r="M42" s="8"/>
    </row>
    <row r="43" spans="1:13" s="23" customFormat="1" ht="18" customHeight="1">
      <c r="A43" s="21">
        <v>35</v>
      </c>
      <c r="B43" s="45" t="s">
        <v>107</v>
      </c>
      <c r="C43" s="41"/>
      <c r="D43" s="41"/>
      <c r="E43" s="44"/>
      <c r="F43" s="46"/>
      <c r="G43" s="46"/>
      <c r="H43" s="42"/>
      <c r="I43" s="42"/>
      <c r="J43" s="44"/>
      <c r="K43" s="43">
        <f>SUM(K36,K40)</f>
        <v>370030</v>
      </c>
      <c r="L43" s="22"/>
      <c r="M43" s="8"/>
    </row>
    <row r="44" spans="1:13" s="23" customFormat="1" ht="18" customHeight="1">
      <c r="A44" s="60"/>
      <c r="L44" s="22"/>
      <c r="M44" s="8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L49" s="24"/>
    </row>
    <row r="50" spans="2:12" s="23" customFormat="1" ht="18" customHeight="1">
      <c r="L50" s="24"/>
    </row>
    <row r="51" spans="2:12" s="23" customFormat="1" ht="18" customHeight="1">
      <c r="L51" s="24"/>
    </row>
    <row r="52" spans="2:12" s="23" customFormat="1" ht="18" customHeight="1">
      <c r="D52" s="24"/>
      <c r="L52" s="24"/>
    </row>
    <row r="53" spans="2:12" s="23" customFormat="1" ht="12"/>
    <row r="54" spans="2:12" s="23" customFormat="1" ht="12">
      <c r="L54" s="24"/>
    </row>
    <row r="55" spans="2:12" s="23" customFormat="1" ht="1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4"/>
    </row>
    <row r="56" spans="2:12" s="25" customFormat="1" ht="15">
      <c r="L56" s="24"/>
    </row>
    <row r="57" spans="2:12" s="25" customFormat="1" ht="15">
      <c r="L57" s="24"/>
    </row>
    <row r="58" spans="2:12" s="25" customFormat="1" ht="15">
      <c r="B58" s="3"/>
      <c r="C58" s="3"/>
      <c r="D58" s="3"/>
      <c r="E58" s="3"/>
      <c r="F58" s="3"/>
      <c r="G58" s="3"/>
      <c r="H58" s="3"/>
      <c r="I58" s="3"/>
      <c r="J58" s="3"/>
      <c r="K58" s="3"/>
      <c r="L58" s="24"/>
    </row>
  </sheetData>
  <mergeCells count="3">
    <mergeCell ref="A34:A35"/>
    <mergeCell ref="M8:O8"/>
    <mergeCell ref="A6:A8"/>
  </mergeCells>
  <phoneticPr fontId="8" type="noConversion"/>
  <pageMargins left="0.75" right="0.75" top="1" bottom="1" header="0.5" footer="0.5"/>
  <pageSetup paperSize="9" scale="87" orientation="portrait" r:id="rId1"/>
  <headerFooter alignWithMargins="0"/>
  <ignoredErrors>
    <ignoredError sqref="K13" 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T58"/>
  <sheetViews>
    <sheetView view="pageBreakPreview" zoomScale="90" zoomScaleNormal="100" zoomScaleSheetLayoutView="90" workbookViewId="0">
      <selection sqref="A1:XFD1048576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335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/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  <c r="P5" s="174"/>
      <c r="Q5" s="8" t="s">
        <v>351</v>
      </c>
      <c r="R5" s="8" t="s">
        <v>9</v>
      </c>
      <c r="T5" s="8" t="s">
        <v>352</v>
      </c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69">
        <f>IF(C6="WCB",11,IF(C6="CF8",11,IF(C6="CF8M",11)))</f>
        <v>11</v>
      </c>
      <c r="G6" s="69"/>
      <c r="H6" s="118">
        <f>BFLY!C13</f>
        <v>4000</v>
      </c>
      <c r="I6" s="70">
        <f>D6*F6*H6</f>
        <v>44000</v>
      </c>
      <c r="J6" s="181">
        <f>IF(C6="WCB",55000,IF(C6="CF8",55000,IF(C6="CF8M",55000)))</f>
        <v>55000</v>
      </c>
      <c r="K6" s="128">
        <f t="shared" ref="K6:K12" si="0">I6+J6</f>
        <v>99000</v>
      </c>
      <c r="L6" s="119"/>
      <c r="M6" s="120"/>
      <c r="P6" s="176" t="s">
        <v>353</v>
      </c>
      <c r="R6" s="175">
        <v>55000</v>
      </c>
      <c r="S6" s="175"/>
      <c r="T6" s="178">
        <f>R6+Q6</f>
        <v>55000</v>
      </c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IF(C7="WCB",16,IF(C7="CF8",16,IF(C7="CF8M",16)))</f>
        <v>0</v>
      </c>
      <c r="G7" s="69"/>
      <c r="H7" s="118">
        <f>BFLY!C14</f>
        <v>0</v>
      </c>
      <c r="I7" s="70">
        <f>D7*F7*H7</f>
        <v>0</v>
      </c>
      <c r="J7" s="181" t="b">
        <f>IF(C7="WCB",63000,IF(C7="CF8",63000,IF(C7="CF8M",63000)))</f>
        <v>0</v>
      </c>
      <c r="K7" s="128">
        <f t="shared" si="0"/>
        <v>0</v>
      </c>
      <c r="P7" s="176" t="s">
        <v>354</v>
      </c>
      <c r="R7" s="175">
        <v>63000</v>
      </c>
      <c r="S7" s="175"/>
      <c r="T7" s="178">
        <f>R7+Q7</f>
        <v>63000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32*1.1</f>
        <v>35.200000000000003</v>
      </c>
      <c r="G8" s="69"/>
      <c r="H8" s="118">
        <f>BFLY!C15</f>
        <v>0</v>
      </c>
      <c r="I8" s="70">
        <f>D8*F8*H8</f>
        <v>0</v>
      </c>
      <c r="J8" s="181">
        <f>IF(C8="WCB",68000,IF(C8="CF8",68000,IF(C8="CF8M",68000)))</f>
        <v>68000</v>
      </c>
      <c r="K8" s="128">
        <f t="shared" si="0"/>
        <v>68000</v>
      </c>
      <c r="L8" s="122" t="s">
        <v>138</v>
      </c>
      <c r="M8" s="208" t="s">
        <v>139</v>
      </c>
      <c r="N8" s="209"/>
      <c r="O8" s="210"/>
      <c r="P8" s="176" t="s">
        <v>355</v>
      </c>
      <c r="R8" s="175">
        <v>68000</v>
      </c>
      <c r="S8" s="175"/>
      <c r="T8" s="178">
        <f>R8+Q8</f>
        <v>68000</v>
      </c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68">
        <f>IF(C9="CF8",3.5,IF(C9="CF8M",3.5,IF(C9="CF3M",3.5,IF(C9="B148",3.5))))</f>
        <v>3.5</v>
      </c>
      <c r="G9" s="69"/>
      <c r="H9" s="118">
        <f>BFLY!C16</f>
        <v>8000</v>
      </c>
      <c r="I9" s="73">
        <f>D9*F9*H9</f>
        <v>28000</v>
      </c>
      <c r="J9" s="129">
        <v>10000</v>
      </c>
      <c r="K9" s="117">
        <f t="shared" si="0"/>
        <v>38000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IF(C10="RTFE",18560,IF(C10="RTFE-A",13050,IF(C10="METAL-B",4800,IF(C10="RTFE + METAL",17100))))</f>
        <v>18560</v>
      </c>
      <c r="J10" s="185">
        <f>IF(C10="RTFE",2500,IF(C10="METAL-B",12500,IF(C10="RTFE + METAL",10000)))</f>
        <v>2500</v>
      </c>
      <c r="K10" s="117">
        <f t="shared" si="0"/>
        <v>21060</v>
      </c>
      <c r="L10" s="173">
        <v>18560</v>
      </c>
      <c r="M10" s="173">
        <v>11900</v>
      </c>
      <c r="N10" s="173">
        <v>5200</v>
      </c>
      <c r="O10" s="124">
        <f>M10+N10</f>
        <v>17100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1</v>
      </c>
      <c r="G11" s="77"/>
      <c r="H11" s="118">
        <f>BFLY!C17</f>
        <v>8000</v>
      </c>
      <c r="I11" s="73">
        <f>D11*F11*H11</f>
        <v>8000</v>
      </c>
      <c r="J11" s="173">
        <v>9000</v>
      </c>
      <c r="K11" s="117">
        <f t="shared" si="0"/>
        <v>17000</v>
      </c>
      <c r="L11" s="119"/>
      <c r="M11" s="120"/>
      <c r="P11" s="121" t="s">
        <v>357</v>
      </c>
      <c r="Q11" s="119"/>
      <c r="R11" s="175">
        <v>4000</v>
      </c>
      <c r="S11" s="175"/>
      <c r="T11" s="178">
        <f>R11+Q11</f>
        <v>4000</v>
      </c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85">
        <v>19200</v>
      </c>
      <c r="I12" s="73">
        <f>D12*F12*H12</f>
        <v>19200</v>
      </c>
      <c r="J12" s="73">
        <v>10000</v>
      </c>
      <c r="K12" s="117">
        <f t="shared" si="0"/>
        <v>29200</v>
      </c>
      <c r="L12" s="119"/>
      <c r="M12" s="120"/>
      <c r="P12" s="119" t="s">
        <v>356</v>
      </c>
      <c r="Q12" s="177">
        <f>15.99*1200</f>
        <v>19188</v>
      </c>
      <c r="R12" s="177">
        <v>10000</v>
      </c>
      <c r="S12" s="177"/>
      <c r="T12" s="178">
        <f>R12+Q12</f>
        <v>29188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4</v>
      </c>
      <c r="E13" s="68"/>
      <c r="F13" s="78">
        <v>1</v>
      </c>
      <c r="G13" s="77"/>
      <c r="H13" s="118">
        <v>600</v>
      </c>
      <c r="I13" s="73">
        <f>D13*F13*H13</f>
        <v>2400</v>
      </c>
      <c r="J13" s="73"/>
      <c r="K13" s="117">
        <f>H13*D13</f>
        <v>2400</v>
      </c>
      <c r="L13" s="172"/>
      <c r="M13" s="120"/>
      <c r="P13" s="119"/>
      <c r="Q13" s="177"/>
      <c r="R13" s="177"/>
      <c r="S13" s="177"/>
      <c r="T13" s="178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4050</v>
      </c>
      <c r="J14" s="73">
        <v>8790</v>
      </c>
      <c r="K14" s="117">
        <f>(I14+J14)*D14</f>
        <v>25680</v>
      </c>
      <c r="L14" s="119"/>
      <c r="M14" s="120"/>
      <c r="Q14" s="119"/>
      <c r="R14" s="120"/>
      <c r="S14" s="120"/>
      <c r="T14" s="178">
        <f>R14+Q14</f>
        <v>0</v>
      </c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4500</v>
      </c>
      <c r="I15" s="73">
        <f t="shared" ref="I15:I25" si="1">D15*F15*H15</f>
        <v>4500</v>
      </c>
      <c r="J15" s="73"/>
      <c r="K15" s="117">
        <f t="shared" ref="K15:K28" si="2">I15+J15</f>
        <v>4500</v>
      </c>
      <c r="L15" s="119"/>
      <c r="M15" s="120"/>
      <c r="P15" s="119" t="s">
        <v>358</v>
      </c>
      <c r="Q15" s="179"/>
      <c r="R15" s="179"/>
      <c r="S15" s="172"/>
      <c r="T15" s="178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1050</v>
      </c>
      <c r="I16" s="73">
        <f t="shared" si="1"/>
        <v>1050</v>
      </c>
      <c r="J16" s="73">
        <v>300</v>
      </c>
      <c r="K16" s="117">
        <f t="shared" si="2"/>
        <v>1350</v>
      </c>
      <c r="L16" s="119"/>
      <c r="M16" s="120"/>
      <c r="P16" s="119" t="s">
        <v>349</v>
      </c>
      <c r="Q16" s="119"/>
      <c r="R16" s="177"/>
      <c r="S16" s="172"/>
      <c r="T16" s="178">
        <f>0.96*1200</f>
        <v>1152</v>
      </c>
    </row>
    <row r="17" spans="1:20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600</v>
      </c>
      <c r="I17" s="73">
        <f t="shared" si="1"/>
        <v>1200</v>
      </c>
      <c r="J17" s="73"/>
      <c r="K17" s="117">
        <f t="shared" si="2"/>
        <v>1200</v>
      </c>
      <c r="L17" s="172"/>
      <c r="M17" s="120"/>
      <c r="P17" s="119"/>
      <c r="Q17" s="119"/>
      <c r="R17" s="177"/>
      <c r="S17" s="172"/>
      <c r="T17" s="178"/>
    </row>
    <row r="18" spans="1:20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120</v>
      </c>
      <c r="I18" s="73">
        <f t="shared" si="1"/>
        <v>120</v>
      </c>
      <c r="J18" s="73">
        <v>100</v>
      </c>
      <c r="K18" s="117">
        <f t="shared" si="2"/>
        <v>220</v>
      </c>
      <c r="L18" s="119"/>
      <c r="M18" s="120"/>
      <c r="Q18" s="119"/>
      <c r="R18" s="120"/>
      <c r="S18" s="120"/>
      <c r="T18" s="178">
        <f>R18+Q18</f>
        <v>0</v>
      </c>
    </row>
    <row r="19" spans="1:20" s="121" customFormat="1" ht="18" customHeight="1">
      <c r="A19" s="72">
        <v>12</v>
      </c>
      <c r="B19" s="74" t="s">
        <v>157</v>
      </c>
      <c r="C19" s="76" t="s">
        <v>158</v>
      </c>
      <c r="D19" s="76">
        <v>2</v>
      </c>
      <c r="E19" s="68"/>
      <c r="F19" s="78">
        <v>1</v>
      </c>
      <c r="G19" s="69"/>
      <c r="H19" s="118">
        <v>225</v>
      </c>
      <c r="I19" s="73">
        <f t="shared" si="1"/>
        <v>450</v>
      </c>
      <c r="J19" s="73">
        <v>160</v>
      </c>
      <c r="K19" s="117">
        <f t="shared" si="2"/>
        <v>610</v>
      </c>
      <c r="L19" s="119"/>
      <c r="M19" s="120"/>
      <c r="Q19" s="119"/>
      <c r="R19" s="120"/>
      <c r="S19" s="120"/>
      <c r="T19" s="178">
        <f>R19+Q19</f>
        <v>0</v>
      </c>
    </row>
    <row r="20" spans="1:20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611</v>
      </c>
      <c r="I20" s="73">
        <f t="shared" si="1"/>
        <v>611</v>
      </c>
      <c r="J20" s="73">
        <v>300</v>
      </c>
      <c r="K20" s="183">
        <v>3350</v>
      </c>
      <c r="L20" s="119"/>
      <c r="M20" s="120"/>
      <c r="P20" s="119" t="s">
        <v>350</v>
      </c>
      <c r="Q20" s="172"/>
      <c r="R20" s="177"/>
      <c r="S20" s="172"/>
      <c r="T20" s="178">
        <f>2.79*1200</f>
        <v>3348</v>
      </c>
    </row>
    <row r="21" spans="1:20" s="121" customFormat="1" ht="18" customHeight="1">
      <c r="A21" s="72">
        <v>14</v>
      </c>
      <c r="B21" s="74" t="s">
        <v>160</v>
      </c>
      <c r="C21" s="76" t="s">
        <v>149</v>
      </c>
      <c r="D21" s="76">
        <v>4</v>
      </c>
      <c r="E21" s="68"/>
      <c r="F21" s="78">
        <v>1</v>
      </c>
      <c r="G21" s="69"/>
      <c r="H21" s="118">
        <v>100</v>
      </c>
      <c r="I21" s="73">
        <f t="shared" si="1"/>
        <v>400</v>
      </c>
      <c r="J21" s="73"/>
      <c r="K21" s="117">
        <f t="shared" si="2"/>
        <v>400</v>
      </c>
      <c r="L21" s="172"/>
      <c r="M21" s="120"/>
    </row>
    <row r="22" spans="1:20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1250</v>
      </c>
      <c r="I22" s="73">
        <f t="shared" si="1"/>
        <v>1250</v>
      </c>
      <c r="J22" s="73"/>
      <c r="K22" s="117">
        <f t="shared" si="2"/>
        <v>1250</v>
      </c>
      <c r="L22" s="119"/>
      <c r="M22" s="120"/>
    </row>
    <row r="23" spans="1:20" s="121" customFormat="1" ht="18" customHeight="1">
      <c r="A23" s="72">
        <v>16</v>
      </c>
      <c r="B23" s="74" t="s">
        <v>177</v>
      </c>
      <c r="C23" s="76" t="s">
        <v>147</v>
      </c>
      <c r="D23" s="76">
        <v>1</v>
      </c>
      <c r="E23" s="68"/>
      <c r="F23" s="78">
        <v>1</v>
      </c>
      <c r="G23" s="69"/>
      <c r="H23" s="118">
        <v>900</v>
      </c>
      <c r="I23" s="73">
        <f t="shared" si="1"/>
        <v>900</v>
      </c>
      <c r="J23" s="73"/>
      <c r="K23" s="117">
        <f t="shared" si="2"/>
        <v>900</v>
      </c>
      <c r="L23" s="119"/>
      <c r="M23" s="120"/>
    </row>
    <row r="24" spans="1:20" s="121" customFormat="1" ht="18" customHeight="1">
      <c r="A24" s="72">
        <v>17</v>
      </c>
      <c r="B24" s="74" t="s">
        <v>179</v>
      </c>
      <c r="C24" s="76" t="s">
        <v>178</v>
      </c>
      <c r="D24" s="76">
        <v>1</v>
      </c>
      <c r="E24" s="68"/>
      <c r="F24" s="78">
        <v>1</v>
      </c>
      <c r="G24" s="69"/>
      <c r="H24" s="118">
        <v>3000</v>
      </c>
      <c r="I24" s="73">
        <f t="shared" si="1"/>
        <v>3000</v>
      </c>
      <c r="J24" s="73"/>
      <c r="K24" s="117">
        <f t="shared" si="2"/>
        <v>3000</v>
      </c>
      <c r="L24" s="119"/>
      <c r="M24" s="120"/>
    </row>
    <row r="25" spans="1:20" s="121" customFormat="1" ht="18" customHeight="1">
      <c r="A25" s="72">
        <v>18</v>
      </c>
      <c r="B25" s="74" t="s">
        <v>180</v>
      </c>
      <c r="C25" s="76" t="s">
        <v>149</v>
      </c>
      <c r="D25" s="76">
        <v>4</v>
      </c>
      <c r="E25" s="68"/>
      <c r="F25" s="78">
        <v>1</v>
      </c>
      <c r="G25" s="69"/>
      <c r="H25" s="118">
        <v>160</v>
      </c>
      <c r="I25" s="73">
        <f t="shared" si="1"/>
        <v>640</v>
      </c>
      <c r="J25" s="73"/>
      <c r="K25" s="117">
        <f t="shared" si="2"/>
        <v>640</v>
      </c>
      <c r="L25" s="119"/>
      <c r="M25" s="120"/>
    </row>
    <row r="26" spans="1:20" s="121" customFormat="1" ht="18" customHeight="1">
      <c r="A26" s="72">
        <v>19</v>
      </c>
      <c r="B26" s="74" t="s">
        <v>181</v>
      </c>
      <c r="C26" s="76" t="s">
        <v>178</v>
      </c>
      <c r="D26" s="76">
        <v>1</v>
      </c>
      <c r="E26" s="68"/>
      <c r="F26" s="78">
        <v>1</v>
      </c>
      <c r="G26" s="79"/>
      <c r="H26" s="118"/>
      <c r="I26" s="73"/>
      <c r="J26" s="124" t="s">
        <v>183</v>
      </c>
      <c r="K26" s="124">
        <v>23000</v>
      </c>
      <c r="L26" s="119">
        <v>11000</v>
      </c>
      <c r="M26" s="120"/>
    </row>
    <row r="27" spans="1:20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98000</v>
      </c>
      <c r="L27" s="125">
        <v>17510</v>
      </c>
      <c r="M27" s="125">
        <v>98000</v>
      </c>
      <c r="N27" s="125">
        <v>98000</v>
      </c>
    </row>
    <row r="28" spans="1:20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15000</v>
      </c>
      <c r="J28" s="117">
        <v>6000</v>
      </c>
      <c r="K28" s="117">
        <f t="shared" si="2"/>
        <v>21000</v>
      </c>
      <c r="L28" s="125"/>
    </row>
    <row r="29" spans="1:20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SUM(K6:K25,K28)</f>
        <v>338760</v>
      </c>
      <c r="L29" s="86"/>
    </row>
    <row r="30" spans="1:20" s="87" customFormat="1" ht="18" customHeight="1">
      <c r="A30" s="80">
        <v>23</v>
      </c>
      <c r="B30" s="81" t="s">
        <v>182</v>
      </c>
      <c r="C30" s="82"/>
      <c r="D30" s="82"/>
      <c r="E30" s="83"/>
      <c r="F30" s="83"/>
      <c r="G30" s="83"/>
      <c r="H30" s="83"/>
      <c r="I30" s="84"/>
      <c r="J30" s="84"/>
      <c r="K30" s="85">
        <f>SUM(K6:K26,K28)</f>
        <v>361760</v>
      </c>
      <c r="L30" s="86"/>
    </row>
    <row r="31" spans="1:20" s="87" customFormat="1" ht="18" customHeight="1">
      <c r="A31" s="80">
        <v>24</v>
      </c>
      <c r="B31" s="81" t="s">
        <v>171</v>
      </c>
      <c r="C31" s="82"/>
      <c r="D31" s="82"/>
      <c r="E31" s="83"/>
      <c r="F31" s="83"/>
      <c r="G31" s="83"/>
      <c r="H31" s="83"/>
      <c r="I31" s="84"/>
      <c r="J31" s="84"/>
      <c r="K31" s="85">
        <f>SUM(K6:K25,K27:K28)</f>
        <v>436760</v>
      </c>
      <c r="L31" s="86"/>
    </row>
    <row r="32" spans="1:20" s="121" customFormat="1" ht="18" customHeight="1">
      <c r="A32" s="72">
        <v>25</v>
      </c>
      <c r="B32" s="74"/>
      <c r="C32" s="76"/>
      <c r="D32" s="76"/>
      <c r="E32" s="68"/>
      <c r="F32" s="68"/>
      <c r="G32" s="68"/>
      <c r="H32" s="68"/>
      <c r="I32" s="68"/>
      <c r="J32" s="68"/>
      <c r="K32" s="68"/>
      <c r="L32" s="125"/>
    </row>
    <row r="33" spans="1:13" s="121" customFormat="1" ht="18" customHeight="1">
      <c r="A33" s="72">
        <v>26</v>
      </c>
      <c r="B33" s="74" t="s">
        <v>172</v>
      </c>
      <c r="C33" s="76"/>
      <c r="D33" s="76">
        <v>1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>
      <c r="A34" s="207">
        <v>27</v>
      </c>
      <c r="B34" s="132" t="s">
        <v>173</v>
      </c>
      <c r="C34" s="76"/>
      <c r="D34" s="76">
        <v>4</v>
      </c>
      <c r="E34" s="68"/>
      <c r="F34" s="78"/>
      <c r="G34" s="79"/>
      <c r="H34" s="68"/>
      <c r="I34" s="73"/>
      <c r="J34" s="73"/>
      <c r="K34" s="117">
        <f>I34+J34</f>
        <v>0</v>
      </c>
      <c r="L34" s="125"/>
    </row>
    <row r="35" spans="1:13" s="121" customFormat="1" ht="24" customHeight="1">
      <c r="A35" s="207"/>
      <c r="B35" s="74" t="s">
        <v>174</v>
      </c>
      <c r="C35" s="76"/>
      <c r="D35" s="76">
        <v>1</v>
      </c>
      <c r="E35" s="68"/>
      <c r="F35" s="78"/>
      <c r="G35" s="68"/>
      <c r="H35" s="68"/>
      <c r="I35" s="68"/>
      <c r="J35" s="68"/>
      <c r="K35" s="117">
        <v>15000</v>
      </c>
      <c r="L35" s="125"/>
    </row>
    <row r="36" spans="1:13" s="8" customFormat="1" ht="18" customHeight="1">
      <c r="A36" s="21">
        <v>28</v>
      </c>
      <c r="B36" s="6" t="s">
        <v>101</v>
      </c>
      <c r="C36" s="13"/>
      <c r="D36" s="16"/>
      <c r="E36" s="14"/>
      <c r="F36" s="14"/>
      <c r="G36" s="14"/>
      <c r="H36" s="14"/>
      <c r="I36" s="17">
        <f>SUM(K32:K35)</f>
        <v>15000</v>
      </c>
      <c r="J36" s="18">
        <v>1</v>
      </c>
      <c r="K36" s="17">
        <f>J36*I36</f>
        <v>15000</v>
      </c>
      <c r="L36" s="12"/>
    </row>
    <row r="37" spans="1:13" s="8" customFormat="1" ht="18" customHeight="1">
      <c r="A37" s="21">
        <v>29</v>
      </c>
      <c r="B37" s="9"/>
      <c r="C37" s="10"/>
      <c r="D37" s="10"/>
      <c r="E37" s="11"/>
      <c r="F37" s="11"/>
      <c r="G37" s="11"/>
      <c r="H37" s="11"/>
      <c r="I37" s="11"/>
      <c r="J37" s="19"/>
      <c r="K37" s="11"/>
      <c r="L37" s="12"/>
    </row>
    <row r="38" spans="1:13" s="8" customFormat="1" ht="18" customHeight="1">
      <c r="A38" s="21">
        <v>30</v>
      </c>
      <c r="B38" s="20" t="s">
        <v>102</v>
      </c>
      <c r="C38" s="13"/>
      <c r="D38" s="13"/>
      <c r="E38" s="14"/>
      <c r="F38" s="14"/>
      <c r="G38" s="14"/>
      <c r="H38" s="14"/>
      <c r="I38" s="15">
        <f>K29</f>
        <v>338760</v>
      </c>
      <c r="J38" s="21">
        <f>BFLY!B21</f>
        <v>1</v>
      </c>
      <c r="K38" s="17">
        <f>J38*I38</f>
        <v>338760</v>
      </c>
      <c r="L38" s="12"/>
    </row>
    <row r="39" spans="1:13" s="8" customFormat="1" ht="18" customHeight="1">
      <c r="A39" s="21">
        <v>31</v>
      </c>
      <c r="B39" s="20" t="s">
        <v>103</v>
      </c>
      <c r="C39" s="13"/>
      <c r="D39" s="13"/>
      <c r="E39" s="14"/>
      <c r="F39" s="14"/>
      <c r="G39" s="14"/>
      <c r="H39" s="14"/>
      <c r="I39" s="15">
        <f>K30</f>
        <v>361760</v>
      </c>
      <c r="J39" s="21">
        <f>BFLY!B21</f>
        <v>1</v>
      </c>
      <c r="K39" s="17">
        <f>J39*I39</f>
        <v>361760</v>
      </c>
      <c r="L39" s="22"/>
    </row>
    <row r="40" spans="1:13" s="8" customFormat="1" ht="18" customHeight="1">
      <c r="A40" s="21">
        <v>32</v>
      </c>
      <c r="B40" s="20" t="s">
        <v>104</v>
      </c>
      <c r="C40" s="13"/>
      <c r="D40" s="13"/>
      <c r="E40" s="14"/>
      <c r="F40" s="14"/>
      <c r="G40" s="14"/>
      <c r="H40" s="14"/>
      <c r="I40" s="15">
        <f>K31</f>
        <v>436760</v>
      </c>
      <c r="J40" s="21">
        <f>BFLY!B21</f>
        <v>1</v>
      </c>
      <c r="K40" s="17">
        <f>J40*I40</f>
        <v>436760</v>
      </c>
      <c r="L40" s="22"/>
    </row>
    <row r="41" spans="1:13" s="8" customFormat="1" ht="18" customHeight="1">
      <c r="A41" s="21">
        <v>33</v>
      </c>
      <c r="B41" s="45" t="s">
        <v>105</v>
      </c>
      <c r="C41" s="41"/>
      <c r="D41" s="41"/>
      <c r="E41" s="44"/>
      <c r="F41" s="46"/>
      <c r="G41" s="46"/>
      <c r="H41" s="42"/>
      <c r="I41" s="42"/>
      <c r="J41" s="44"/>
      <c r="K41" s="43">
        <f>SUM(K36,K38)</f>
        <v>353760</v>
      </c>
      <c r="L41" s="22"/>
    </row>
    <row r="42" spans="1:13" s="23" customFormat="1" ht="18" customHeight="1">
      <c r="A42" s="21">
        <v>34</v>
      </c>
      <c r="B42" s="45" t="s">
        <v>106</v>
      </c>
      <c r="C42" s="41"/>
      <c r="D42" s="41"/>
      <c r="E42" s="44"/>
      <c r="F42" s="46"/>
      <c r="G42" s="46"/>
      <c r="H42" s="42"/>
      <c r="I42" s="42"/>
      <c r="J42" s="44"/>
      <c r="K42" s="43">
        <f>SUM(K36,K39)</f>
        <v>376760</v>
      </c>
      <c r="L42" s="22"/>
      <c r="M42" s="8"/>
    </row>
    <row r="43" spans="1:13" s="23" customFormat="1" ht="18" customHeight="1">
      <c r="A43" s="21">
        <v>35</v>
      </c>
      <c r="B43" s="45" t="s">
        <v>107</v>
      </c>
      <c r="C43" s="41"/>
      <c r="D43" s="41"/>
      <c r="E43" s="44"/>
      <c r="F43" s="46"/>
      <c r="G43" s="46"/>
      <c r="H43" s="42"/>
      <c r="I43" s="42"/>
      <c r="J43" s="44"/>
      <c r="K43" s="43">
        <f>SUM(K36,K40)</f>
        <v>451760</v>
      </c>
      <c r="L43" s="22"/>
      <c r="M43" s="8"/>
    </row>
    <row r="44" spans="1:13" s="23" customFormat="1" ht="18" customHeight="1">
      <c r="A44" s="60"/>
      <c r="L44" s="22"/>
      <c r="M44" s="8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L49" s="24"/>
    </row>
    <row r="50" spans="2:12" s="23" customFormat="1" ht="18" customHeight="1">
      <c r="L50" s="24"/>
    </row>
    <row r="51" spans="2:12" s="23" customFormat="1" ht="18" customHeight="1">
      <c r="L51" s="24"/>
    </row>
    <row r="52" spans="2:12" s="23" customFormat="1" ht="18" customHeight="1">
      <c r="D52" s="24"/>
      <c r="L52" s="24"/>
    </row>
    <row r="53" spans="2:12" s="23" customFormat="1" ht="12"/>
    <row r="54" spans="2:12" s="23" customFormat="1" ht="12">
      <c r="L54" s="24"/>
    </row>
    <row r="55" spans="2:12" s="23" customFormat="1" ht="1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4"/>
    </row>
    <row r="56" spans="2:12" s="25" customFormat="1" ht="15">
      <c r="L56" s="24"/>
    </row>
    <row r="57" spans="2:12" s="25" customFormat="1" ht="15">
      <c r="L57" s="24"/>
    </row>
    <row r="58" spans="2:12" s="25" customFormat="1" ht="15">
      <c r="B58" s="3"/>
      <c r="C58" s="3"/>
      <c r="D58" s="3"/>
      <c r="E58" s="3"/>
      <c r="F58" s="3"/>
      <c r="G58" s="3"/>
      <c r="H58" s="3"/>
      <c r="I58" s="3"/>
      <c r="J58" s="3"/>
      <c r="K58" s="3"/>
      <c r="L58" s="24"/>
    </row>
  </sheetData>
  <mergeCells count="3">
    <mergeCell ref="A34:A35"/>
    <mergeCell ref="M8:O8"/>
    <mergeCell ref="A6:A8"/>
  </mergeCells>
  <phoneticPr fontId="8" type="noConversion"/>
  <pageMargins left="0.75" right="0.75" top="1" bottom="1" header="0.5" footer="0.5"/>
  <pageSetup paperSize="9" scale="87" orientation="portrait" r:id="rId1"/>
  <headerFooter alignWithMargins="0"/>
  <colBreaks count="1" manualBreakCount="1">
    <brk id="11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T58"/>
  <sheetViews>
    <sheetView view="pageBreakPreview" zoomScale="90" zoomScaleNormal="100" zoomScaleSheetLayoutView="90" workbookViewId="0">
      <selection sqref="A1:XFD1048576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3" bestFit="1" customWidth="1"/>
    <col min="13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334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>
      <c r="L4" s="4"/>
      <c r="M4" s="198"/>
    </row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P5" s="174"/>
      <c r="Q5" s="8" t="s">
        <v>351</v>
      </c>
      <c r="R5" s="8" t="s">
        <v>9</v>
      </c>
      <c r="T5" s="8" t="s">
        <v>352</v>
      </c>
    </row>
    <row r="6" spans="1:20" s="121" customFormat="1" ht="18" customHeight="1">
      <c r="A6" s="211">
        <v>1</v>
      </c>
      <c r="B6" s="66" t="s">
        <v>135</v>
      </c>
      <c r="C6" s="166" t="str">
        <f>BFLY!B13</f>
        <v>CF8</v>
      </c>
      <c r="D6" s="67">
        <v>1</v>
      </c>
      <c r="E6" s="68"/>
      <c r="F6" s="169">
        <f>IF(C6="WCB",15,IF(C6="CF8",15,IF(C6="CF8M",15)))</f>
        <v>15</v>
      </c>
      <c r="G6" s="69"/>
      <c r="H6" s="118">
        <f>BFLY!C13</f>
        <v>4000</v>
      </c>
      <c r="I6" s="70">
        <f>D6*F6*H6</f>
        <v>60000</v>
      </c>
      <c r="J6" s="181">
        <f>IF(C6="WCB",70000,IF(C6="CF8",70000,IF(C6="CF8M",70000)))</f>
        <v>70000</v>
      </c>
      <c r="K6" s="128">
        <f t="shared" ref="K6:K12" si="0">I6+J6</f>
        <v>130000</v>
      </c>
      <c r="P6" s="176" t="s">
        <v>353</v>
      </c>
      <c r="R6" s="175">
        <v>70000</v>
      </c>
      <c r="S6" s="175"/>
      <c r="T6" s="178">
        <f>R6+Q6</f>
        <v>70000</v>
      </c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IF(C7="WCB",19,IF(C7="CF8",19,IF(C7="CF8M",19)))</f>
        <v>0</v>
      </c>
      <c r="G7" s="69"/>
      <c r="H7" s="118">
        <f>BFLY!C14</f>
        <v>0</v>
      </c>
      <c r="I7" s="70">
        <f>D7*F7*H7</f>
        <v>0</v>
      </c>
      <c r="J7" s="181" t="b">
        <f>IF(C7="WCB",85000,IF(C7="CF8",85000,IF(C7="CF8M",85000)))</f>
        <v>0</v>
      </c>
      <c r="K7" s="128">
        <f t="shared" si="0"/>
        <v>0</v>
      </c>
      <c r="P7" s="176" t="s">
        <v>354</v>
      </c>
      <c r="R7" s="175">
        <v>85000</v>
      </c>
      <c r="S7" s="175"/>
      <c r="T7" s="178">
        <f>R7+Q7</f>
        <v>85000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52*1.1</f>
        <v>57.2</v>
      </c>
      <c r="G8" s="69"/>
      <c r="H8" s="118">
        <f>BFLY!C15</f>
        <v>0</v>
      </c>
      <c r="I8" s="70">
        <f>D8*F8*H8</f>
        <v>0</v>
      </c>
      <c r="J8" s="181">
        <f>IF(C8="WCB",90000,IF(C8="CF8",90000,IF(C8="CF8M",90000)))</f>
        <v>90000</v>
      </c>
      <c r="K8" s="128">
        <f t="shared" si="0"/>
        <v>90000</v>
      </c>
      <c r="L8" s="122" t="s">
        <v>138</v>
      </c>
      <c r="M8" s="208" t="s">
        <v>139</v>
      </c>
      <c r="N8" s="209"/>
      <c r="O8" s="210"/>
      <c r="P8" s="176" t="s">
        <v>355</v>
      </c>
      <c r="R8" s="175">
        <v>90000</v>
      </c>
      <c r="S8" s="175"/>
      <c r="T8" s="178">
        <f>R8+Q8</f>
        <v>90000</v>
      </c>
    </row>
    <row r="9" spans="1:20" s="121" customFormat="1" ht="18" customHeight="1">
      <c r="A9" s="72">
        <v>2</v>
      </c>
      <c r="B9" s="71" t="s">
        <v>140</v>
      </c>
      <c r="C9" s="166" t="str">
        <f>BFLY!B16</f>
        <v>CF8M</v>
      </c>
      <c r="D9" s="67">
        <v>1</v>
      </c>
      <c r="E9" s="68"/>
      <c r="F9" s="168">
        <f>IF(C9="CF8",4.18,IF(C9="CF8M",4.18,IF(C9="CF3M",4.18,IF(C9="B148",5.5))))</f>
        <v>4.18</v>
      </c>
      <c r="G9" s="69"/>
      <c r="H9" s="118">
        <f>BFLY!C16</f>
        <v>8000</v>
      </c>
      <c r="I9" s="73">
        <f>D9*F9*H9</f>
        <v>33440</v>
      </c>
      <c r="J9" s="129">
        <f>IF(C9="CF8",14000,IF(C9="CF8M",14000,IF(C9="CF3M",14000,IF(C9="B148",20000))))</f>
        <v>14000</v>
      </c>
      <c r="K9" s="117">
        <f t="shared" si="0"/>
        <v>47440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IF(C10="RTFE",20100,IF(C10="RTFE-A",16710,IF(C10="METAL-B",5850,IF(C10="RTFE + METAL",25100))))</f>
        <v>20100</v>
      </c>
      <c r="J10" s="185">
        <f>IF(C10="RTFE",2800,IF(C10="METAL-B",19500,IF(C10="RTFE + METAL",10000)))</f>
        <v>2800</v>
      </c>
      <c r="K10" s="117">
        <f t="shared" si="0"/>
        <v>22900</v>
      </c>
      <c r="L10" s="173">
        <v>20100</v>
      </c>
      <c r="M10" s="173">
        <v>18800</v>
      </c>
      <c r="N10" s="173">
        <v>6300</v>
      </c>
      <c r="O10" s="124">
        <f>M10+N10</f>
        <v>25100</v>
      </c>
    </row>
    <row r="11" spans="1:20" s="121" customFormat="1" ht="18" customHeight="1">
      <c r="A11" s="72">
        <v>4</v>
      </c>
      <c r="B11" s="74" t="s">
        <v>145</v>
      </c>
      <c r="C11" s="167" t="str">
        <f>BFLY!B17</f>
        <v>A564T630</v>
      </c>
      <c r="D11" s="76">
        <v>1</v>
      </c>
      <c r="E11" s="68"/>
      <c r="F11" s="168">
        <v>1.974</v>
      </c>
      <c r="G11" s="77"/>
      <c r="H11" s="118">
        <f>BFLY!C17</f>
        <v>8000</v>
      </c>
      <c r="I11" s="73">
        <f>D11*F11*H11</f>
        <v>15792</v>
      </c>
      <c r="J11" s="173">
        <v>6000</v>
      </c>
      <c r="K11" s="117">
        <f t="shared" si="0"/>
        <v>21792</v>
      </c>
      <c r="L11" s="119"/>
      <c r="P11" s="121" t="s">
        <v>357</v>
      </c>
      <c r="Q11" s="119"/>
      <c r="R11" s="175">
        <v>6000</v>
      </c>
      <c r="S11" s="175"/>
      <c r="T11" s="178">
        <f>R11+Q11</f>
        <v>6000</v>
      </c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85">
        <v>33500</v>
      </c>
      <c r="I12" s="73">
        <f>D12*F12*H12</f>
        <v>33500</v>
      </c>
      <c r="J12" s="73">
        <v>13000</v>
      </c>
      <c r="K12" s="117">
        <f t="shared" si="0"/>
        <v>46500</v>
      </c>
      <c r="L12" s="119"/>
      <c r="P12" s="119" t="s">
        <v>356</v>
      </c>
      <c r="Q12" s="177">
        <f>27.78*1200</f>
        <v>33336</v>
      </c>
      <c r="R12" s="177">
        <v>13000</v>
      </c>
      <c r="S12" s="177"/>
      <c r="T12" s="178">
        <f>R12+Q12</f>
        <v>46336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4</v>
      </c>
      <c r="E13" s="68"/>
      <c r="F13" s="78">
        <v>1</v>
      </c>
      <c r="G13" s="77"/>
      <c r="H13" s="118">
        <v>600</v>
      </c>
      <c r="I13" s="73">
        <f>D13*F13*H13</f>
        <v>2400</v>
      </c>
      <c r="J13" s="73"/>
      <c r="K13" s="117">
        <f>H13*D13</f>
        <v>2400</v>
      </c>
      <c r="L13" s="172"/>
      <c r="P13" s="119"/>
      <c r="Q13" s="177"/>
      <c r="R13" s="177"/>
      <c r="S13" s="177"/>
      <c r="T13" s="178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5670</v>
      </c>
      <c r="J14" s="73">
        <v>13060</v>
      </c>
      <c r="K14" s="117">
        <f>(I14+J14)*D14</f>
        <v>37460</v>
      </c>
      <c r="L14" s="119"/>
      <c r="Q14" s="119"/>
      <c r="R14" s="120"/>
      <c r="S14" s="120"/>
      <c r="T14" s="178">
        <f>R14+Q14</f>
        <v>0</v>
      </c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6500</v>
      </c>
      <c r="I15" s="73">
        <f t="shared" ref="I15:I25" si="1">D15*F15*H15</f>
        <v>6500</v>
      </c>
      <c r="J15" s="73"/>
      <c r="K15" s="117">
        <f t="shared" ref="K15:K28" si="2">I15+J15</f>
        <v>6500</v>
      </c>
      <c r="L15" s="119"/>
      <c r="P15" s="119" t="s">
        <v>358</v>
      </c>
      <c r="Q15" s="179"/>
      <c r="R15" s="179"/>
      <c r="S15" s="172"/>
      <c r="T15" s="178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1310</v>
      </c>
      <c r="I16" s="73">
        <f t="shared" si="1"/>
        <v>1310</v>
      </c>
      <c r="J16" s="73">
        <v>300</v>
      </c>
      <c r="K16" s="117">
        <f t="shared" si="2"/>
        <v>1610</v>
      </c>
      <c r="L16" s="119"/>
      <c r="P16" s="119" t="s">
        <v>349</v>
      </c>
      <c r="Q16" s="119"/>
      <c r="R16" s="177"/>
      <c r="S16" s="172"/>
      <c r="T16" s="178">
        <f>1.22*1200</f>
        <v>1464</v>
      </c>
    </row>
    <row r="17" spans="1:20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600</v>
      </c>
      <c r="I17" s="73">
        <f t="shared" si="1"/>
        <v>1200</v>
      </c>
      <c r="J17" s="73"/>
      <c r="K17" s="117">
        <f t="shared" si="2"/>
        <v>1200</v>
      </c>
      <c r="L17" s="172"/>
      <c r="P17" s="119"/>
      <c r="Q17" s="119"/>
      <c r="R17" s="177"/>
      <c r="S17" s="172"/>
      <c r="T17" s="178"/>
    </row>
    <row r="18" spans="1:20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180</v>
      </c>
      <c r="I18" s="73">
        <f t="shared" si="1"/>
        <v>180</v>
      </c>
      <c r="J18" s="73">
        <v>100</v>
      </c>
      <c r="K18" s="117">
        <f t="shared" si="2"/>
        <v>280</v>
      </c>
      <c r="L18" s="119"/>
      <c r="Q18" s="119"/>
      <c r="R18" s="120"/>
      <c r="S18" s="120"/>
      <c r="T18" s="178">
        <f>R18+Q18</f>
        <v>0</v>
      </c>
    </row>
    <row r="19" spans="1:20" s="121" customFormat="1" ht="18" customHeight="1">
      <c r="A19" s="72">
        <v>12</v>
      </c>
      <c r="B19" s="74" t="s">
        <v>157</v>
      </c>
      <c r="C19" s="76" t="s">
        <v>158</v>
      </c>
      <c r="D19" s="76">
        <v>2</v>
      </c>
      <c r="E19" s="68"/>
      <c r="F19" s="78">
        <v>1</v>
      </c>
      <c r="G19" s="69"/>
      <c r="H19" s="118">
        <v>350</v>
      </c>
      <c r="I19" s="73">
        <f>H19</f>
        <v>350</v>
      </c>
      <c r="J19" s="73">
        <v>180</v>
      </c>
      <c r="K19" s="117">
        <f>(I19+J19)*D19</f>
        <v>1060</v>
      </c>
      <c r="L19" s="119"/>
      <c r="Q19" s="119"/>
      <c r="R19" s="120"/>
      <c r="S19" s="120"/>
      <c r="T19" s="178">
        <f>R19+Q19</f>
        <v>0</v>
      </c>
    </row>
    <row r="20" spans="1:20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950</v>
      </c>
      <c r="I20" s="73">
        <f t="shared" si="1"/>
        <v>950</v>
      </c>
      <c r="J20" s="73">
        <v>300</v>
      </c>
      <c r="K20" s="182">
        <v>5200</v>
      </c>
      <c r="L20" s="119"/>
      <c r="P20" s="119" t="s">
        <v>350</v>
      </c>
      <c r="Q20" s="172"/>
      <c r="R20" s="177"/>
      <c r="S20" s="172"/>
      <c r="T20" s="178">
        <f>4.34*1200</f>
        <v>5208</v>
      </c>
    </row>
    <row r="21" spans="1:20" s="121" customFormat="1" ht="18" customHeight="1">
      <c r="A21" s="72">
        <v>14</v>
      </c>
      <c r="B21" s="74" t="s">
        <v>160</v>
      </c>
      <c r="C21" s="76" t="s">
        <v>149</v>
      </c>
      <c r="D21" s="76">
        <v>4</v>
      </c>
      <c r="E21" s="68"/>
      <c r="F21" s="78">
        <v>1</v>
      </c>
      <c r="G21" s="69"/>
      <c r="H21" s="118">
        <v>100</v>
      </c>
      <c r="I21" s="73">
        <f t="shared" si="1"/>
        <v>400</v>
      </c>
      <c r="J21" s="73"/>
      <c r="K21" s="117">
        <f t="shared" si="2"/>
        <v>400</v>
      </c>
      <c r="L21" s="172"/>
    </row>
    <row r="22" spans="1:20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1500</v>
      </c>
      <c r="I22" s="73">
        <f t="shared" si="1"/>
        <v>1500</v>
      </c>
      <c r="J22" s="73"/>
      <c r="K22" s="117">
        <f t="shared" si="2"/>
        <v>1500</v>
      </c>
    </row>
    <row r="23" spans="1:20" s="121" customFormat="1" ht="18" customHeight="1">
      <c r="A23" s="72">
        <v>16</v>
      </c>
      <c r="B23" s="74" t="s">
        <v>177</v>
      </c>
      <c r="C23" s="76" t="s">
        <v>147</v>
      </c>
      <c r="D23" s="76">
        <v>1</v>
      </c>
      <c r="E23" s="68"/>
      <c r="F23" s="78">
        <v>1</v>
      </c>
      <c r="G23" s="69"/>
      <c r="H23" s="118">
        <v>900</v>
      </c>
      <c r="I23" s="73">
        <f t="shared" si="1"/>
        <v>900</v>
      </c>
      <c r="J23" s="73"/>
      <c r="K23" s="117">
        <f t="shared" si="2"/>
        <v>900</v>
      </c>
    </row>
    <row r="24" spans="1:20" s="121" customFormat="1" ht="18" customHeight="1">
      <c r="A24" s="72">
        <v>17</v>
      </c>
      <c r="B24" s="74" t="s">
        <v>179</v>
      </c>
      <c r="C24" s="76" t="s">
        <v>178</v>
      </c>
      <c r="D24" s="76">
        <v>1</v>
      </c>
      <c r="E24" s="68"/>
      <c r="F24" s="78">
        <v>1</v>
      </c>
      <c r="G24" s="69"/>
      <c r="H24" s="118">
        <v>4950</v>
      </c>
      <c r="I24" s="73">
        <f t="shared" si="1"/>
        <v>4950</v>
      </c>
      <c r="J24" s="73"/>
      <c r="K24" s="117">
        <f t="shared" si="2"/>
        <v>4950</v>
      </c>
    </row>
    <row r="25" spans="1:20" s="121" customFormat="1" ht="18" customHeight="1">
      <c r="A25" s="72">
        <v>18</v>
      </c>
      <c r="B25" s="74" t="s">
        <v>180</v>
      </c>
      <c r="C25" s="76" t="s">
        <v>149</v>
      </c>
      <c r="D25" s="76">
        <v>4</v>
      </c>
      <c r="E25" s="68"/>
      <c r="F25" s="78">
        <v>1</v>
      </c>
      <c r="G25" s="69"/>
      <c r="H25" s="118">
        <v>360</v>
      </c>
      <c r="I25" s="73">
        <f t="shared" si="1"/>
        <v>1440</v>
      </c>
      <c r="J25" s="73"/>
      <c r="K25" s="117">
        <f t="shared" si="2"/>
        <v>1440</v>
      </c>
    </row>
    <row r="26" spans="1:20" s="121" customFormat="1" ht="18" customHeight="1">
      <c r="A26" s="72">
        <v>19</v>
      </c>
      <c r="B26" s="74" t="s">
        <v>181</v>
      </c>
      <c r="C26" s="76" t="s">
        <v>178</v>
      </c>
      <c r="D26" s="76">
        <v>1</v>
      </c>
      <c r="E26" s="68"/>
      <c r="F26" s="78">
        <v>1</v>
      </c>
      <c r="G26" s="79"/>
      <c r="H26" s="118"/>
      <c r="I26" s="73">
        <v>19420</v>
      </c>
      <c r="J26" s="73">
        <v>6500</v>
      </c>
      <c r="K26" s="117">
        <f t="shared" si="2"/>
        <v>25920</v>
      </c>
    </row>
    <row r="27" spans="1:20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98000</v>
      </c>
      <c r="L27" s="125">
        <v>50000</v>
      </c>
      <c r="M27" s="125">
        <v>98000</v>
      </c>
      <c r="N27" s="125">
        <v>98000</v>
      </c>
    </row>
    <row r="28" spans="1:20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15000</v>
      </c>
      <c r="J28" s="117">
        <v>10000</v>
      </c>
      <c r="K28" s="117">
        <f t="shared" si="2"/>
        <v>25000</v>
      </c>
    </row>
    <row r="29" spans="1:20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SUM(K6:K25,K28)</f>
        <v>448532</v>
      </c>
    </row>
    <row r="30" spans="1:20" s="87" customFormat="1" ht="18" customHeight="1">
      <c r="A30" s="80">
        <v>23</v>
      </c>
      <c r="B30" s="81" t="s">
        <v>182</v>
      </c>
      <c r="C30" s="82"/>
      <c r="D30" s="82"/>
      <c r="E30" s="83"/>
      <c r="F30" s="83"/>
      <c r="G30" s="83"/>
      <c r="H30" s="83"/>
      <c r="I30" s="84"/>
      <c r="J30" s="84"/>
      <c r="K30" s="85">
        <f>SUM(K6:K26,K28)</f>
        <v>474452</v>
      </c>
    </row>
    <row r="31" spans="1:20" s="87" customFormat="1" ht="18" customHeight="1">
      <c r="A31" s="80">
        <v>24</v>
      </c>
      <c r="B31" s="81" t="s">
        <v>171</v>
      </c>
      <c r="C31" s="82"/>
      <c r="D31" s="82"/>
      <c r="E31" s="83"/>
      <c r="F31" s="83"/>
      <c r="G31" s="83"/>
      <c r="H31" s="83"/>
      <c r="I31" s="84"/>
      <c r="J31" s="84"/>
      <c r="K31" s="85">
        <f>SUM(K6:K25,K27:K28)</f>
        <v>546532</v>
      </c>
    </row>
    <row r="32" spans="1:20" s="121" customFormat="1" ht="18" customHeight="1">
      <c r="A32" s="72">
        <v>25</v>
      </c>
      <c r="B32" s="74"/>
      <c r="C32" s="76"/>
      <c r="D32" s="76"/>
      <c r="E32" s="68"/>
      <c r="F32" s="68"/>
      <c r="G32" s="68"/>
      <c r="H32" s="68"/>
      <c r="I32" s="68"/>
      <c r="J32" s="68"/>
      <c r="K32" s="68"/>
    </row>
    <row r="33" spans="1:11" s="121" customFormat="1" ht="18" customHeight="1">
      <c r="A33" s="72">
        <v>26</v>
      </c>
      <c r="B33" s="74" t="s">
        <v>172</v>
      </c>
      <c r="C33" s="76"/>
      <c r="D33" s="76">
        <v>1</v>
      </c>
      <c r="E33" s="68"/>
      <c r="F33" s="78"/>
      <c r="G33" s="79"/>
      <c r="H33" s="68"/>
      <c r="I33" s="73"/>
      <c r="J33" s="73"/>
      <c r="K33" s="117">
        <f>I33+J33</f>
        <v>0</v>
      </c>
    </row>
    <row r="34" spans="1:11" s="121" customFormat="1" ht="24">
      <c r="A34" s="207">
        <v>27</v>
      </c>
      <c r="B34" s="132" t="s">
        <v>173</v>
      </c>
      <c r="C34" s="76"/>
      <c r="D34" s="76">
        <v>4</v>
      </c>
      <c r="E34" s="68"/>
      <c r="F34" s="78"/>
      <c r="G34" s="79"/>
      <c r="H34" s="68"/>
      <c r="I34" s="73"/>
      <c r="J34" s="73"/>
      <c r="K34" s="117">
        <f>I34+J34</f>
        <v>0</v>
      </c>
    </row>
    <row r="35" spans="1:11" s="121" customFormat="1" ht="24" customHeight="1">
      <c r="A35" s="207"/>
      <c r="B35" s="74" t="s">
        <v>174</v>
      </c>
      <c r="C35" s="76"/>
      <c r="D35" s="76">
        <v>1</v>
      </c>
      <c r="E35" s="68"/>
      <c r="F35" s="78"/>
      <c r="G35" s="68"/>
      <c r="H35" s="68"/>
      <c r="I35" s="68"/>
      <c r="J35" s="68"/>
      <c r="K35" s="117">
        <v>17000</v>
      </c>
    </row>
    <row r="36" spans="1:11" s="8" customFormat="1" ht="18" customHeight="1">
      <c r="A36" s="21">
        <v>28</v>
      </c>
      <c r="B36" s="6" t="s">
        <v>101</v>
      </c>
      <c r="C36" s="13"/>
      <c r="D36" s="16"/>
      <c r="E36" s="14"/>
      <c r="F36" s="14"/>
      <c r="G36" s="14"/>
      <c r="H36" s="14"/>
      <c r="I36" s="17">
        <f>SUM(K32:K35)</f>
        <v>17000</v>
      </c>
      <c r="J36" s="18">
        <v>1</v>
      </c>
      <c r="K36" s="17">
        <f>J36*I36</f>
        <v>17000</v>
      </c>
    </row>
    <row r="37" spans="1:11" s="8" customFormat="1" ht="18" customHeight="1">
      <c r="A37" s="21">
        <v>29</v>
      </c>
      <c r="B37" s="9"/>
      <c r="C37" s="10"/>
      <c r="D37" s="10"/>
      <c r="E37" s="11"/>
      <c r="F37" s="11"/>
      <c r="G37" s="11"/>
      <c r="H37" s="11"/>
      <c r="I37" s="11"/>
      <c r="J37" s="19"/>
      <c r="K37" s="11"/>
    </row>
    <row r="38" spans="1:11" s="8" customFormat="1" ht="18" customHeight="1">
      <c r="A38" s="21">
        <v>30</v>
      </c>
      <c r="B38" s="20" t="s">
        <v>102</v>
      </c>
      <c r="C38" s="13"/>
      <c r="D38" s="13"/>
      <c r="E38" s="14"/>
      <c r="F38" s="14"/>
      <c r="G38" s="14"/>
      <c r="H38" s="14"/>
      <c r="I38" s="15">
        <f>K29</f>
        <v>448532</v>
      </c>
      <c r="J38" s="21">
        <f>BFLY!B21</f>
        <v>1</v>
      </c>
      <c r="K38" s="17">
        <f>J38*I38</f>
        <v>448532</v>
      </c>
    </row>
    <row r="39" spans="1:11" s="8" customFormat="1" ht="18" customHeight="1">
      <c r="A39" s="21">
        <v>31</v>
      </c>
      <c r="B39" s="20" t="s">
        <v>103</v>
      </c>
      <c r="C39" s="13"/>
      <c r="D39" s="13"/>
      <c r="E39" s="14"/>
      <c r="F39" s="14"/>
      <c r="G39" s="14"/>
      <c r="H39" s="14"/>
      <c r="I39" s="15">
        <f>K30</f>
        <v>474452</v>
      </c>
      <c r="J39" s="21">
        <f>BFLY!B21</f>
        <v>1</v>
      </c>
      <c r="K39" s="17">
        <f>J39*I39</f>
        <v>474452</v>
      </c>
    </row>
    <row r="40" spans="1:11" s="8" customFormat="1" ht="18" customHeight="1">
      <c r="A40" s="21">
        <v>32</v>
      </c>
      <c r="B40" s="20" t="s">
        <v>104</v>
      </c>
      <c r="C40" s="13"/>
      <c r="D40" s="13"/>
      <c r="E40" s="14"/>
      <c r="F40" s="14"/>
      <c r="G40" s="14"/>
      <c r="H40" s="14"/>
      <c r="I40" s="15">
        <f>K31</f>
        <v>546532</v>
      </c>
      <c r="J40" s="21">
        <f>BFLY!B21</f>
        <v>1</v>
      </c>
      <c r="K40" s="17">
        <f>J40*I40</f>
        <v>546532</v>
      </c>
    </row>
    <row r="41" spans="1:11" s="8" customFormat="1" ht="18" customHeight="1">
      <c r="A41" s="21">
        <v>33</v>
      </c>
      <c r="B41" s="45" t="s">
        <v>105</v>
      </c>
      <c r="C41" s="41"/>
      <c r="D41" s="41"/>
      <c r="E41" s="44"/>
      <c r="F41" s="46"/>
      <c r="G41" s="46"/>
      <c r="H41" s="42"/>
      <c r="I41" s="42"/>
      <c r="J41" s="44"/>
      <c r="K41" s="43">
        <f>SUM(K36,K38)</f>
        <v>465532</v>
      </c>
    </row>
    <row r="42" spans="1:11" s="23" customFormat="1" ht="18" customHeight="1">
      <c r="A42" s="21">
        <v>34</v>
      </c>
      <c r="B42" s="45" t="s">
        <v>106</v>
      </c>
      <c r="C42" s="41"/>
      <c r="D42" s="41"/>
      <c r="E42" s="44"/>
      <c r="F42" s="46"/>
      <c r="G42" s="46"/>
      <c r="H42" s="42"/>
      <c r="I42" s="42"/>
      <c r="J42" s="44"/>
      <c r="K42" s="43">
        <f>SUM(K36,K39)</f>
        <v>491452</v>
      </c>
    </row>
    <row r="43" spans="1:11" s="23" customFormat="1" ht="18" customHeight="1">
      <c r="A43" s="21">
        <v>35</v>
      </c>
      <c r="B43" s="45" t="s">
        <v>107</v>
      </c>
      <c r="C43" s="41"/>
      <c r="D43" s="41"/>
      <c r="E43" s="44"/>
      <c r="F43" s="46"/>
      <c r="G43" s="46"/>
      <c r="H43" s="42"/>
      <c r="I43" s="42"/>
      <c r="J43" s="44"/>
      <c r="K43" s="43">
        <f>SUM(K36,K40)</f>
        <v>563532</v>
      </c>
    </row>
    <row r="44" spans="1:11" s="23" customFormat="1" ht="18" customHeight="1">
      <c r="A44" s="60"/>
    </row>
    <row r="45" spans="1:11" s="23" customFormat="1" ht="18" customHeight="1">
      <c r="E45" s="199"/>
    </row>
    <row r="46" spans="1:11" s="23" customFormat="1" ht="18" customHeight="1"/>
    <row r="47" spans="1:11" s="23" customFormat="1" ht="18" customHeight="1"/>
    <row r="48" spans="1:11" s="23" customFormat="1" ht="18" customHeight="1"/>
    <row r="49" spans="2:11" s="23" customFormat="1" ht="18" customHeight="1"/>
    <row r="50" spans="2:11" s="23" customFormat="1" ht="18" customHeight="1"/>
    <row r="51" spans="2:11" s="23" customFormat="1" ht="18" customHeight="1"/>
    <row r="52" spans="2:11" s="23" customFormat="1" ht="18" customHeight="1">
      <c r="D52" s="24"/>
    </row>
    <row r="53" spans="2:11" s="23" customFormat="1" ht="12"/>
    <row r="54" spans="2:11" s="23" customFormat="1" ht="12"/>
    <row r="55" spans="2:11" s="23" customFormat="1" ht="15"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2:11" s="25" customFormat="1" ht="15"/>
    <row r="57" spans="2:11" s="25" customFormat="1" ht="15"/>
    <row r="58" spans="2:11" s="25" customFormat="1" ht="15"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3">
    <mergeCell ref="A34:A35"/>
    <mergeCell ref="M8:O8"/>
    <mergeCell ref="A6:A8"/>
  </mergeCells>
  <phoneticPr fontId="8" type="noConversion"/>
  <pageMargins left="0.75" right="0.75" top="1" bottom="1" header="0.5" footer="0.5"/>
  <pageSetup paperSize="9" scale="87" orientation="portrait" r:id="rId1"/>
  <headerFooter alignWithMargins="0"/>
  <colBreaks count="1" manualBreakCount="1">
    <brk id="11" max="1048575" man="1"/>
  </colBreaks>
  <ignoredErrors>
    <ignoredError sqref="I19 K19 K13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T58"/>
  <sheetViews>
    <sheetView view="pageBreakPreview" topLeftCell="A4" zoomScale="115" zoomScaleNormal="100" zoomScaleSheetLayoutView="115" workbookViewId="0">
      <selection activeCell="E15" sqref="E15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3" bestFit="1" customWidth="1"/>
    <col min="13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333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>
      <c r="L4" s="4"/>
    </row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P5" s="174"/>
      <c r="Q5" s="8" t="s">
        <v>351</v>
      </c>
      <c r="R5" s="8" t="s">
        <v>9</v>
      </c>
      <c r="T5" s="8" t="s">
        <v>352</v>
      </c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IF(C6="WCB",26,IF(C6="CF8",26,IF(C6="CF8M",26)))</f>
        <v>26</v>
      </c>
      <c r="G6" s="69"/>
      <c r="H6" s="118">
        <f>BFLY!C13</f>
        <v>4000</v>
      </c>
      <c r="I6" s="70">
        <f>D6*F6*H6</f>
        <v>104000</v>
      </c>
      <c r="J6" s="181">
        <f>IF(C6="WCB",90000,IF(C6="CF8",90000,IF(C6="CF8M",90000)))</f>
        <v>90000</v>
      </c>
      <c r="K6" s="128">
        <f t="shared" ref="K6:K12" si="0">I6+J6</f>
        <v>194000</v>
      </c>
      <c r="P6" s="176" t="s">
        <v>353</v>
      </c>
      <c r="R6" s="175">
        <v>90000</v>
      </c>
      <c r="S6" s="175"/>
      <c r="T6" s="178">
        <f>R6+Q6</f>
        <v>90000</v>
      </c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IF(C7="WCB",36,IF(C7="CF8",36,IF(C7="CF8M",36)))</f>
        <v>0</v>
      </c>
      <c r="G7" s="69"/>
      <c r="H7" s="118">
        <f>BFLY!C14</f>
        <v>0</v>
      </c>
      <c r="I7" s="70">
        <f>D7*F7*H7</f>
        <v>0</v>
      </c>
      <c r="J7" s="181" t="b">
        <f>IF(C7="WCB",110000,IF(C7="CF8",110000,IF(C7="CF8M",110000)))</f>
        <v>0</v>
      </c>
      <c r="K7" s="128">
        <f t="shared" si="0"/>
        <v>0</v>
      </c>
      <c r="P7" s="176" t="s">
        <v>354</v>
      </c>
      <c r="R7" s="175">
        <v>110000</v>
      </c>
      <c r="S7" s="175"/>
      <c r="T7" s="178">
        <f>R7+Q7</f>
        <v>110000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70*1.1</f>
        <v>77</v>
      </c>
      <c r="G8" s="69"/>
      <c r="H8" s="118">
        <f>BFLY!C15</f>
        <v>0</v>
      </c>
      <c r="I8" s="70">
        <f>D8*F8*H8</f>
        <v>0</v>
      </c>
      <c r="J8" s="181">
        <f>IF(C8="WCB",130000,IF(C8="CF8",130000,IF(C8="CF8M",130000)))</f>
        <v>130000</v>
      </c>
      <c r="K8" s="128">
        <f t="shared" si="0"/>
        <v>130000</v>
      </c>
      <c r="L8" s="122" t="s">
        <v>138</v>
      </c>
      <c r="M8" s="208" t="s">
        <v>139</v>
      </c>
      <c r="N8" s="209"/>
      <c r="O8" s="210"/>
      <c r="P8" s="176" t="s">
        <v>355</v>
      </c>
      <c r="R8" s="175">
        <v>130000</v>
      </c>
      <c r="S8" s="175"/>
      <c r="T8" s="178">
        <f>R8+Q8</f>
        <v>130000</v>
      </c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IF(C9="CF8",8,IF(C9="CF8M",8,IF(C9="CF3M",8,IF(C9="B148",10))))</f>
        <v>8</v>
      </c>
      <c r="G9" s="69"/>
      <c r="H9" s="118">
        <f>BFLY!C16</f>
        <v>8000</v>
      </c>
      <c r="I9" s="73">
        <f>D9*F9*H9</f>
        <v>64000</v>
      </c>
      <c r="J9" s="129">
        <f>IF(C9="CF8",18000,IF(C9="CF8M",18000,IF(C9="CF3M",18000,IF(C9="B148",25000))))</f>
        <v>18000</v>
      </c>
      <c r="K9" s="117">
        <f t="shared" si="0"/>
        <v>82000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18">
        <f>IF(C10="RTFE",30800,IF(C10="RTFE-A",25850,IF(C10="METAL-B",6450,IF(C10="RTFE + METAL",37900))))</f>
        <v>30800</v>
      </c>
      <c r="J10" s="185">
        <f>IF(C10="RTFE",3400,IF(C10="METAL-B",20000,IF(C10="RTFE + METAL",10000)))</f>
        <v>3400</v>
      </c>
      <c r="K10" s="117">
        <f t="shared" si="0"/>
        <v>34200</v>
      </c>
      <c r="L10" s="173">
        <v>30800</v>
      </c>
      <c r="M10" s="173">
        <v>30800</v>
      </c>
      <c r="N10" s="173">
        <v>7100</v>
      </c>
      <c r="O10" s="124">
        <f>M10+N10</f>
        <v>37900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3.1</v>
      </c>
      <c r="G11" s="77"/>
      <c r="H11" s="118">
        <f>BFLY!C17</f>
        <v>8000</v>
      </c>
      <c r="I11" s="73">
        <f>D11*F11*H11</f>
        <v>24800</v>
      </c>
      <c r="J11" s="173">
        <v>6000</v>
      </c>
      <c r="K11" s="117">
        <f t="shared" si="0"/>
        <v>30800</v>
      </c>
      <c r="L11" s="119"/>
      <c r="P11" s="121" t="s">
        <v>357</v>
      </c>
      <c r="Q11" s="119"/>
      <c r="R11" s="175">
        <v>6000</v>
      </c>
      <c r="S11" s="175"/>
      <c r="T11" s="178">
        <f>R11+Q11</f>
        <v>6000</v>
      </c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85">
        <v>41500</v>
      </c>
      <c r="I12" s="73">
        <f>D12*F12*H12</f>
        <v>41500</v>
      </c>
      <c r="J12" s="73">
        <v>15000</v>
      </c>
      <c r="K12" s="117">
        <f t="shared" si="0"/>
        <v>56500</v>
      </c>
      <c r="L12" s="119"/>
      <c r="P12" s="119" t="s">
        <v>356</v>
      </c>
      <c r="Q12" s="177">
        <f>34.59*1200</f>
        <v>41508.000000000007</v>
      </c>
      <c r="R12" s="177">
        <v>15000</v>
      </c>
      <c r="S12" s="177"/>
      <c r="T12" s="178">
        <f>R12+Q12</f>
        <v>56508.000000000007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4</v>
      </c>
      <c r="E13" s="68"/>
      <c r="F13" s="78">
        <v>1</v>
      </c>
      <c r="G13" s="77"/>
      <c r="H13" s="118">
        <v>700</v>
      </c>
      <c r="I13" s="73">
        <f>D13*F13*H13</f>
        <v>2800</v>
      </c>
      <c r="J13" s="73"/>
      <c r="K13" s="117">
        <f>H13*D13</f>
        <v>2800</v>
      </c>
      <c r="L13" s="172"/>
      <c r="P13" s="119"/>
      <c r="Q13" s="177"/>
      <c r="R13" s="177"/>
      <c r="S13" s="177"/>
      <c r="T13" s="178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6080</v>
      </c>
      <c r="J14" s="73">
        <v>15200</v>
      </c>
      <c r="K14" s="117">
        <f>(I14+J14)*D14</f>
        <v>42560</v>
      </c>
      <c r="L14" s="119"/>
      <c r="Q14" s="119"/>
      <c r="R14" s="120"/>
      <c r="S14" s="120"/>
      <c r="T14" s="178">
        <f>R14+Q14</f>
        <v>0</v>
      </c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7000</v>
      </c>
      <c r="I15" s="73">
        <f t="shared" ref="I15:I25" si="1">D15*F15*H15</f>
        <v>7000</v>
      </c>
      <c r="J15" s="73"/>
      <c r="K15" s="117">
        <f t="shared" ref="K15:K28" si="2">I15+J15</f>
        <v>7000</v>
      </c>
      <c r="L15" s="119"/>
      <c r="P15" s="119" t="s">
        <v>358</v>
      </c>
      <c r="Q15" s="179"/>
      <c r="R15" s="179"/>
      <c r="S15" s="172"/>
      <c r="T15" s="178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2445</v>
      </c>
      <c r="I16" s="73">
        <f t="shared" si="1"/>
        <v>2445</v>
      </c>
      <c r="J16" s="73">
        <v>500</v>
      </c>
      <c r="K16" s="117">
        <f t="shared" si="2"/>
        <v>2945</v>
      </c>
      <c r="L16" s="119"/>
      <c r="P16" s="119" t="s">
        <v>349</v>
      </c>
      <c r="Q16" s="119"/>
      <c r="R16" s="177"/>
      <c r="S16" s="172"/>
      <c r="T16" s="178">
        <f>2.45*1200</f>
        <v>2940</v>
      </c>
    </row>
    <row r="17" spans="1:20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600</v>
      </c>
      <c r="I17" s="73">
        <f t="shared" si="1"/>
        <v>1200</v>
      </c>
      <c r="J17" s="73"/>
      <c r="K17" s="117">
        <f t="shared" si="2"/>
        <v>1200</v>
      </c>
      <c r="L17" s="172"/>
      <c r="P17" s="119"/>
      <c r="Q17" s="119"/>
      <c r="R17" s="177"/>
      <c r="S17" s="172"/>
      <c r="T17" s="178"/>
    </row>
    <row r="18" spans="1:20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400</v>
      </c>
      <c r="I18" s="73">
        <f t="shared" si="1"/>
        <v>400</v>
      </c>
      <c r="J18" s="73">
        <v>500</v>
      </c>
      <c r="K18" s="117">
        <f t="shared" si="2"/>
        <v>900</v>
      </c>
      <c r="L18" s="119"/>
      <c r="Q18" s="119"/>
      <c r="R18" s="120"/>
      <c r="S18" s="120"/>
      <c r="T18" s="178">
        <f>R18+Q18</f>
        <v>0</v>
      </c>
    </row>
    <row r="19" spans="1:20" s="121" customFormat="1" ht="18" customHeight="1">
      <c r="A19" s="72">
        <v>12</v>
      </c>
      <c r="B19" s="74" t="s">
        <v>157</v>
      </c>
      <c r="C19" s="76" t="s">
        <v>158</v>
      </c>
      <c r="D19" s="76">
        <v>2</v>
      </c>
      <c r="E19" s="68"/>
      <c r="F19" s="78">
        <v>1</v>
      </c>
      <c r="G19" s="69"/>
      <c r="H19" s="118">
        <v>450</v>
      </c>
      <c r="I19" s="73">
        <f>H19</f>
        <v>450</v>
      </c>
      <c r="J19" s="73">
        <v>480</v>
      </c>
      <c r="K19" s="117">
        <f>(I19+J19)*D19</f>
        <v>1860</v>
      </c>
      <c r="L19" s="119"/>
      <c r="Q19" s="119"/>
      <c r="R19" s="120"/>
      <c r="S19" s="120"/>
      <c r="T19" s="178">
        <f>R19+Q19</f>
        <v>0</v>
      </c>
    </row>
    <row r="20" spans="1:20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2270</v>
      </c>
      <c r="I20" s="73">
        <f t="shared" si="1"/>
        <v>2270</v>
      </c>
      <c r="J20" s="73">
        <v>1000</v>
      </c>
      <c r="K20" s="183">
        <v>6670</v>
      </c>
      <c r="L20" s="119"/>
      <c r="P20" s="119" t="s">
        <v>350</v>
      </c>
      <c r="Q20" s="172"/>
      <c r="R20" s="177"/>
      <c r="S20" s="172"/>
      <c r="T20" s="178">
        <f>5.56*1200</f>
        <v>6671.9999999999991</v>
      </c>
    </row>
    <row r="21" spans="1:20" s="121" customFormat="1" ht="18" customHeight="1">
      <c r="A21" s="72">
        <v>14</v>
      </c>
      <c r="B21" s="74" t="s">
        <v>160</v>
      </c>
      <c r="C21" s="76" t="s">
        <v>149</v>
      </c>
      <c r="D21" s="76">
        <v>4</v>
      </c>
      <c r="E21" s="68"/>
      <c r="F21" s="78">
        <v>1</v>
      </c>
      <c r="G21" s="69"/>
      <c r="H21" s="118">
        <v>100</v>
      </c>
      <c r="I21" s="73">
        <f t="shared" si="1"/>
        <v>400</v>
      </c>
      <c r="J21" s="73"/>
      <c r="K21" s="117">
        <f t="shared" si="2"/>
        <v>400</v>
      </c>
      <c r="L21" s="172"/>
    </row>
    <row r="22" spans="1:20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1900</v>
      </c>
      <c r="I22" s="73">
        <f t="shared" si="1"/>
        <v>1900</v>
      </c>
      <c r="J22" s="73"/>
      <c r="K22" s="117">
        <f t="shared" si="2"/>
        <v>1900</v>
      </c>
    </row>
    <row r="23" spans="1:20" s="121" customFormat="1" ht="18" customHeight="1">
      <c r="A23" s="72">
        <v>16</v>
      </c>
      <c r="B23" s="74" t="s">
        <v>177</v>
      </c>
      <c r="C23" s="76" t="s">
        <v>147</v>
      </c>
      <c r="D23" s="76">
        <v>1</v>
      </c>
      <c r="E23" s="68"/>
      <c r="F23" s="78">
        <v>1</v>
      </c>
      <c r="G23" s="69"/>
      <c r="H23" s="118">
        <v>900</v>
      </c>
      <c r="I23" s="73">
        <f t="shared" si="1"/>
        <v>900</v>
      </c>
      <c r="J23" s="73"/>
      <c r="K23" s="117">
        <f t="shared" si="2"/>
        <v>900</v>
      </c>
    </row>
    <row r="24" spans="1:20" s="121" customFormat="1" ht="18" customHeight="1">
      <c r="A24" s="72">
        <v>17</v>
      </c>
      <c r="B24" s="74" t="s">
        <v>179</v>
      </c>
      <c r="C24" s="76" t="s">
        <v>178</v>
      </c>
      <c r="D24" s="76">
        <v>1</v>
      </c>
      <c r="E24" s="68"/>
      <c r="F24" s="78">
        <v>1</v>
      </c>
      <c r="G24" s="69"/>
      <c r="H24" s="118">
        <v>4950</v>
      </c>
      <c r="I24" s="73">
        <f t="shared" si="1"/>
        <v>4950</v>
      </c>
      <c r="J24" s="73"/>
      <c r="K24" s="117">
        <f t="shared" si="2"/>
        <v>4950</v>
      </c>
    </row>
    <row r="25" spans="1:20" s="121" customFormat="1" ht="18" customHeight="1">
      <c r="A25" s="72">
        <v>18</v>
      </c>
      <c r="B25" s="74" t="s">
        <v>180</v>
      </c>
      <c r="C25" s="76" t="s">
        <v>149</v>
      </c>
      <c r="D25" s="76">
        <v>4</v>
      </c>
      <c r="E25" s="68"/>
      <c r="F25" s="78">
        <v>1</v>
      </c>
      <c r="G25" s="69"/>
      <c r="H25" s="118">
        <v>360</v>
      </c>
      <c r="I25" s="73">
        <f t="shared" si="1"/>
        <v>1440</v>
      </c>
      <c r="J25" s="73"/>
      <c r="K25" s="117">
        <f t="shared" si="2"/>
        <v>1440</v>
      </c>
    </row>
    <row r="26" spans="1:20" s="121" customFormat="1" ht="18" customHeight="1">
      <c r="A26" s="72">
        <v>19</v>
      </c>
      <c r="B26" s="74" t="s">
        <v>181</v>
      </c>
      <c r="C26" s="76" t="s">
        <v>178</v>
      </c>
      <c r="D26" s="76">
        <v>1</v>
      </c>
      <c r="E26" s="68"/>
      <c r="F26" s="78">
        <v>1</v>
      </c>
      <c r="G26" s="79"/>
      <c r="H26" s="118"/>
      <c r="I26" s="73">
        <v>19420</v>
      </c>
      <c r="J26" s="73">
        <v>6500</v>
      </c>
      <c r="K26" s="117">
        <f t="shared" si="2"/>
        <v>25920</v>
      </c>
    </row>
    <row r="27" spans="1:20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2" t="str">
        <f>C27</f>
        <v>10 BAR</v>
      </c>
      <c r="K27" s="130">
        <f>IF(C27="PIYAKE",L27,IF(C27="10 BAR",M27,IF(C27="20 BAR",N27)))</f>
        <v>98000</v>
      </c>
      <c r="M27" s="125">
        <v>98000</v>
      </c>
      <c r="N27" s="125">
        <v>203000</v>
      </c>
    </row>
    <row r="28" spans="1:20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15000</v>
      </c>
      <c r="J28" s="117">
        <v>10000</v>
      </c>
      <c r="K28" s="117">
        <f t="shared" si="2"/>
        <v>25000</v>
      </c>
    </row>
    <row r="29" spans="1:20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SUM(K6:K25,K28)</f>
        <v>628025</v>
      </c>
    </row>
    <row r="30" spans="1:20" s="87" customFormat="1" ht="18" customHeight="1">
      <c r="A30" s="80">
        <v>23</v>
      </c>
      <c r="B30" s="81" t="s">
        <v>182</v>
      </c>
      <c r="C30" s="82"/>
      <c r="D30" s="82"/>
      <c r="E30" s="83"/>
      <c r="F30" s="83"/>
      <c r="G30" s="83"/>
      <c r="H30" s="83"/>
      <c r="I30" s="84"/>
      <c r="J30" s="84"/>
      <c r="K30" s="85">
        <f>SUM(K6:K26,K28)</f>
        <v>653945</v>
      </c>
    </row>
    <row r="31" spans="1:20" s="87" customFormat="1" ht="18" customHeight="1">
      <c r="A31" s="80">
        <v>24</v>
      </c>
      <c r="B31" s="81" t="s">
        <v>171</v>
      </c>
      <c r="C31" s="82"/>
      <c r="D31" s="82"/>
      <c r="E31" s="83"/>
      <c r="F31" s="83"/>
      <c r="G31" s="83"/>
      <c r="H31" s="83"/>
      <c r="I31" s="84"/>
      <c r="J31" s="84"/>
      <c r="K31" s="85">
        <f>SUM(K6:K25,K27:K28)</f>
        <v>726025</v>
      </c>
    </row>
    <row r="32" spans="1:20" s="121" customFormat="1" ht="18" customHeight="1">
      <c r="A32" s="72">
        <v>25</v>
      </c>
      <c r="B32" s="74"/>
      <c r="C32" s="76"/>
      <c r="D32" s="76"/>
      <c r="E32" s="68"/>
      <c r="F32" s="68"/>
      <c r="G32" s="68"/>
      <c r="H32" s="68"/>
      <c r="I32" s="68"/>
      <c r="J32" s="68"/>
      <c r="K32" s="68"/>
    </row>
    <row r="33" spans="1:11" s="121" customFormat="1" ht="18" customHeight="1">
      <c r="A33" s="72">
        <v>26</v>
      </c>
      <c r="B33" s="74" t="s">
        <v>172</v>
      </c>
      <c r="C33" s="76"/>
      <c r="D33" s="76">
        <v>1</v>
      </c>
      <c r="E33" s="68"/>
      <c r="F33" s="78"/>
      <c r="G33" s="79"/>
      <c r="H33" s="68"/>
      <c r="I33" s="73"/>
      <c r="J33" s="73"/>
      <c r="K33" s="117">
        <f>I33+J33</f>
        <v>0</v>
      </c>
    </row>
    <row r="34" spans="1:11" s="121" customFormat="1" ht="24">
      <c r="A34" s="207">
        <v>27</v>
      </c>
      <c r="B34" s="132" t="s">
        <v>173</v>
      </c>
      <c r="C34" s="76"/>
      <c r="D34" s="76">
        <v>4</v>
      </c>
      <c r="E34" s="68"/>
      <c r="F34" s="78"/>
      <c r="G34" s="79"/>
      <c r="H34" s="68"/>
      <c r="I34" s="73"/>
      <c r="J34" s="73"/>
      <c r="K34" s="117">
        <f>I34+J34</f>
        <v>0</v>
      </c>
    </row>
    <row r="35" spans="1:11" s="121" customFormat="1" ht="24" customHeight="1">
      <c r="A35" s="207"/>
      <c r="B35" s="74" t="s">
        <v>174</v>
      </c>
      <c r="C35" s="76"/>
      <c r="D35" s="76">
        <v>1</v>
      </c>
      <c r="E35" s="68"/>
      <c r="F35" s="78"/>
      <c r="G35" s="68"/>
      <c r="H35" s="68"/>
      <c r="I35" s="68"/>
      <c r="J35" s="68"/>
      <c r="K35" s="117">
        <v>24200</v>
      </c>
    </row>
    <row r="36" spans="1:11" s="8" customFormat="1" ht="18" customHeight="1">
      <c r="A36" s="21">
        <v>28</v>
      </c>
      <c r="B36" s="6" t="s">
        <v>101</v>
      </c>
      <c r="C36" s="13"/>
      <c r="D36" s="16"/>
      <c r="E36" s="14"/>
      <c r="F36" s="14"/>
      <c r="G36" s="14"/>
      <c r="H36" s="14"/>
      <c r="I36" s="17">
        <f>SUM(K32:K35)</f>
        <v>24200</v>
      </c>
      <c r="J36" s="18">
        <v>1</v>
      </c>
      <c r="K36" s="17">
        <f>J36*I36</f>
        <v>24200</v>
      </c>
    </row>
    <row r="37" spans="1:11" s="8" customFormat="1" ht="18" customHeight="1">
      <c r="A37" s="21">
        <v>29</v>
      </c>
      <c r="B37" s="9"/>
      <c r="C37" s="10"/>
      <c r="D37" s="10"/>
      <c r="E37" s="11"/>
      <c r="F37" s="11"/>
      <c r="G37" s="11"/>
      <c r="H37" s="11"/>
      <c r="I37" s="11"/>
      <c r="J37" s="19"/>
      <c r="K37" s="11"/>
    </row>
    <row r="38" spans="1:11" s="8" customFormat="1" ht="18" customHeight="1">
      <c r="A38" s="21">
        <v>30</v>
      </c>
      <c r="B38" s="20" t="s">
        <v>102</v>
      </c>
      <c r="C38" s="13"/>
      <c r="D38" s="13"/>
      <c r="E38" s="14"/>
      <c r="F38" s="14"/>
      <c r="G38" s="14"/>
      <c r="H38" s="14"/>
      <c r="I38" s="15">
        <f>K29</f>
        <v>628025</v>
      </c>
      <c r="J38" s="21">
        <f>BFLY!B21</f>
        <v>1</v>
      </c>
      <c r="K38" s="17">
        <f>J38*I38</f>
        <v>628025</v>
      </c>
    </row>
    <row r="39" spans="1:11" s="8" customFormat="1" ht="18" customHeight="1">
      <c r="A39" s="21">
        <v>31</v>
      </c>
      <c r="B39" s="20" t="s">
        <v>103</v>
      </c>
      <c r="C39" s="13"/>
      <c r="D39" s="13"/>
      <c r="E39" s="14"/>
      <c r="F39" s="14"/>
      <c r="G39" s="14"/>
      <c r="H39" s="14"/>
      <c r="I39" s="15">
        <f>K30</f>
        <v>653945</v>
      </c>
      <c r="J39" s="21">
        <f>BFLY!B21</f>
        <v>1</v>
      </c>
      <c r="K39" s="17">
        <f>J39*I39</f>
        <v>653945</v>
      </c>
    </row>
    <row r="40" spans="1:11" s="8" customFormat="1" ht="18" customHeight="1">
      <c r="A40" s="21">
        <v>32</v>
      </c>
      <c r="B40" s="20" t="s">
        <v>104</v>
      </c>
      <c r="C40" s="13"/>
      <c r="D40" s="13"/>
      <c r="E40" s="14"/>
      <c r="F40" s="14"/>
      <c r="G40" s="14"/>
      <c r="H40" s="14"/>
      <c r="I40" s="15">
        <f>K31</f>
        <v>726025</v>
      </c>
      <c r="J40" s="21">
        <f>BFLY!B21</f>
        <v>1</v>
      </c>
      <c r="K40" s="17">
        <f>J40*I40</f>
        <v>726025</v>
      </c>
    </row>
    <row r="41" spans="1:11" s="8" customFormat="1" ht="18" customHeight="1">
      <c r="A41" s="21">
        <v>33</v>
      </c>
      <c r="B41" s="45" t="s">
        <v>105</v>
      </c>
      <c r="C41" s="41"/>
      <c r="D41" s="41"/>
      <c r="E41" s="44"/>
      <c r="F41" s="46"/>
      <c r="G41" s="46"/>
      <c r="H41" s="42"/>
      <c r="I41" s="42"/>
      <c r="J41" s="44"/>
      <c r="K41" s="43">
        <f>SUM(K36,K38)</f>
        <v>652225</v>
      </c>
    </row>
    <row r="42" spans="1:11" s="23" customFormat="1" ht="18" customHeight="1">
      <c r="A42" s="21">
        <v>34</v>
      </c>
      <c r="B42" s="45" t="s">
        <v>106</v>
      </c>
      <c r="C42" s="41"/>
      <c r="D42" s="41"/>
      <c r="E42" s="44"/>
      <c r="F42" s="46"/>
      <c r="G42" s="46"/>
      <c r="H42" s="42"/>
      <c r="I42" s="42"/>
      <c r="J42" s="44"/>
      <c r="K42" s="43">
        <f>SUM(K36,K39)</f>
        <v>678145</v>
      </c>
    </row>
    <row r="43" spans="1:11" s="23" customFormat="1" ht="18" customHeight="1">
      <c r="A43" s="21">
        <v>35</v>
      </c>
      <c r="B43" s="45" t="s">
        <v>107</v>
      </c>
      <c r="C43" s="41"/>
      <c r="D43" s="41"/>
      <c r="E43" s="44"/>
      <c r="F43" s="46"/>
      <c r="G43" s="46"/>
      <c r="H43" s="42"/>
      <c r="I43" s="42"/>
      <c r="J43" s="44"/>
      <c r="K43" s="43">
        <f>SUM(K36,K40)</f>
        <v>750225</v>
      </c>
    </row>
    <row r="44" spans="1:11" s="23" customFormat="1" ht="18" customHeight="1">
      <c r="A44" s="60"/>
    </row>
    <row r="45" spans="1:11" s="23" customFormat="1" ht="18" customHeight="1"/>
    <row r="46" spans="1:11" s="23" customFormat="1" ht="18" customHeight="1"/>
    <row r="47" spans="1:11" s="23" customFormat="1" ht="18" customHeight="1"/>
    <row r="48" spans="1:11" s="23" customFormat="1" ht="18" customHeight="1"/>
    <row r="49" spans="2:11" s="23" customFormat="1" ht="18" customHeight="1"/>
    <row r="50" spans="2:11" s="23" customFormat="1" ht="18" customHeight="1"/>
    <row r="51" spans="2:11" s="23" customFormat="1" ht="18" customHeight="1"/>
    <row r="52" spans="2:11" s="23" customFormat="1" ht="18" customHeight="1">
      <c r="D52" s="24"/>
    </row>
    <row r="53" spans="2:11" s="23" customFormat="1" ht="12"/>
    <row r="54" spans="2:11" s="23" customFormat="1" ht="12"/>
    <row r="55" spans="2:11" s="23" customFormat="1" ht="15"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2:11" s="25" customFormat="1" ht="15"/>
    <row r="57" spans="2:11" s="25" customFormat="1" ht="15"/>
    <row r="58" spans="2:11" s="25" customFormat="1" ht="15"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3">
    <mergeCell ref="A34:A35"/>
    <mergeCell ref="M8:O8"/>
    <mergeCell ref="A6:A8"/>
  </mergeCells>
  <phoneticPr fontId="8" type="noConversion"/>
  <pageMargins left="0.31" right="0.16" top="0.8" bottom="0.69" header="0.5" footer="0.5"/>
  <pageSetup paperSize="9" scale="92" orientation="portrait" r:id="rId1"/>
  <headerFooter alignWithMargins="0"/>
  <ignoredErrors>
    <ignoredError sqref="I19 K19 K13 K27" formula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T58"/>
  <sheetViews>
    <sheetView view="pageBreakPreview" topLeftCell="B2" zoomScaleNormal="100" zoomScaleSheetLayoutView="100" workbookViewId="0">
      <selection activeCell="G13" sqref="G13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332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/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P5" s="174"/>
      <c r="Q5" s="8" t="s">
        <v>351</v>
      </c>
      <c r="R5" s="8" t="s">
        <v>9</v>
      </c>
      <c r="T5" s="8" t="s">
        <v>352</v>
      </c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IF(C6="WCB",36,IF(C6="CF8",36,IF(C6="CF8M",36)))</f>
        <v>36</v>
      </c>
      <c r="G6" s="69"/>
      <c r="H6" s="118">
        <f>BFLY!C13</f>
        <v>4000</v>
      </c>
      <c r="I6" s="70">
        <f>D6*F6*H6</f>
        <v>144000</v>
      </c>
      <c r="J6" s="181">
        <f>IF(C6="WCB",60000,IF(C6="CF8",60000,IF(C6="CF8M",60000)))</f>
        <v>60000</v>
      </c>
      <c r="K6" s="128">
        <f t="shared" ref="K6:K12" si="0">I6+J6</f>
        <v>204000</v>
      </c>
      <c r="L6" s="119"/>
      <c r="P6" s="176" t="s">
        <v>353</v>
      </c>
      <c r="R6" s="175">
        <v>110000</v>
      </c>
      <c r="S6" s="175"/>
      <c r="T6" s="178">
        <f>R6+Q6</f>
        <v>110000</v>
      </c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IF(C7="WCB",56,IF(C7="CF8",56,IF(C7="CF8M",56)))</f>
        <v>0</v>
      </c>
      <c r="G7" s="69"/>
      <c r="H7" s="118">
        <f>BFLY!C14</f>
        <v>0</v>
      </c>
      <c r="I7" s="70">
        <f>D7*F7*H7</f>
        <v>0</v>
      </c>
      <c r="J7" s="181" t="b">
        <f>IF(C7="WCB",130000,IF(C7="CF8",130000,IF(C7="CF8M",130000)))</f>
        <v>0</v>
      </c>
      <c r="K7" s="128">
        <f t="shared" si="0"/>
        <v>0</v>
      </c>
      <c r="P7" s="176" t="s">
        <v>354</v>
      </c>
      <c r="R7" s="175">
        <v>130000</v>
      </c>
      <c r="S7" s="175"/>
      <c r="T7" s="178">
        <f>R7+Q7</f>
        <v>130000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106*1.1</f>
        <v>116.60000000000001</v>
      </c>
      <c r="G8" s="69"/>
      <c r="H8" s="118">
        <f>BFLY!C15</f>
        <v>0</v>
      </c>
      <c r="I8" s="70">
        <f>D8*F8*H8</f>
        <v>0</v>
      </c>
      <c r="J8" s="181">
        <f>IF(C8="WCB",160000,IF(C8="CF8",160000,IF(C8="CF8M",160000)))</f>
        <v>160000</v>
      </c>
      <c r="K8" s="128">
        <f t="shared" si="0"/>
        <v>160000</v>
      </c>
      <c r="L8" s="122" t="s">
        <v>138</v>
      </c>
      <c r="M8" s="208" t="s">
        <v>139</v>
      </c>
      <c r="N8" s="209"/>
      <c r="O8" s="210"/>
      <c r="P8" s="176" t="s">
        <v>355</v>
      </c>
      <c r="R8" s="175">
        <v>160000</v>
      </c>
      <c r="S8" s="175"/>
      <c r="T8" s="178">
        <f>R8+Q8</f>
        <v>160000</v>
      </c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IF(C9="CF8",12.6,IF(C9="CF8M",12.6,IF(C9="CF3M",12.6,IF(C9="B148",14))))</f>
        <v>12.6</v>
      </c>
      <c r="G9" s="69"/>
      <c r="H9" s="118">
        <f>BFLY!C16</f>
        <v>8000</v>
      </c>
      <c r="I9" s="73">
        <f>D9*F9*H9</f>
        <v>100800</v>
      </c>
      <c r="J9" s="129">
        <f>IF(C9="CF8",20000,IF(C9="CF8M",20000,IF(C9="CF3M",20000,IF(C9="B148",27000))))</f>
        <v>20000</v>
      </c>
      <c r="K9" s="117">
        <f t="shared" si="0"/>
        <v>120800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18">
        <f>IF(C10="RTFE",48100,IF(C10="RTFE-A",32820,IF(C10="METAL-B",11700,IF(C10="RTFE + METAL",47700))))</f>
        <v>48100</v>
      </c>
      <c r="J10" s="185">
        <f>IF(C10="RTFE",4000,IF(C10="METAL-B",20000,IF(C10="RTFE + METAL",10000)))</f>
        <v>4000</v>
      </c>
      <c r="K10" s="117">
        <f t="shared" si="0"/>
        <v>52100</v>
      </c>
      <c r="L10" s="173">
        <v>48100</v>
      </c>
      <c r="M10" s="173">
        <v>35200</v>
      </c>
      <c r="N10" s="173">
        <v>12500</v>
      </c>
      <c r="O10" s="124">
        <f>M10+N10</f>
        <v>47700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4.5</v>
      </c>
      <c r="G11" s="77"/>
      <c r="H11" s="118">
        <f>BFLY!C17</f>
        <v>8000</v>
      </c>
      <c r="I11" s="73">
        <f>D11*F11*H11</f>
        <v>36000</v>
      </c>
      <c r="J11" s="173">
        <v>17000</v>
      </c>
      <c r="K11" s="117">
        <f t="shared" si="0"/>
        <v>53000</v>
      </c>
      <c r="L11" s="119"/>
      <c r="P11" s="121" t="s">
        <v>357</v>
      </c>
      <c r="Q11" s="119"/>
      <c r="R11" s="175">
        <v>6000</v>
      </c>
      <c r="S11" s="175"/>
      <c r="T11" s="178">
        <f>R11+Q11</f>
        <v>6000</v>
      </c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84">
        <v>61200</v>
      </c>
      <c r="I12" s="73">
        <f>D12*F12*H12</f>
        <v>61200</v>
      </c>
      <c r="J12" s="73">
        <v>20000</v>
      </c>
      <c r="K12" s="117">
        <f t="shared" si="0"/>
        <v>81200</v>
      </c>
      <c r="L12" s="119"/>
      <c r="P12" s="119" t="s">
        <v>356</v>
      </c>
      <c r="Q12" s="177">
        <f>50.93*1200</f>
        <v>61116</v>
      </c>
      <c r="R12" s="177">
        <v>20000</v>
      </c>
      <c r="S12" s="177"/>
      <c r="T12" s="178">
        <f>R12+Q12</f>
        <v>81116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4</v>
      </c>
      <c r="E13" s="68"/>
      <c r="F13" s="78">
        <v>1</v>
      </c>
      <c r="G13" s="77"/>
      <c r="H13" s="118">
        <v>700</v>
      </c>
      <c r="I13" s="73">
        <f>D13*F13*H13</f>
        <v>2800</v>
      </c>
      <c r="J13" s="73"/>
      <c r="K13" s="117">
        <f>H13*D13</f>
        <v>2800</v>
      </c>
      <c r="L13" s="172"/>
      <c r="P13" s="119"/>
      <c r="Q13" s="177"/>
      <c r="R13" s="177"/>
      <c r="S13" s="177"/>
      <c r="T13" s="178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8030</v>
      </c>
      <c r="J14" s="73">
        <v>23760</v>
      </c>
      <c r="K14" s="117">
        <f>(I14+J14)*D14</f>
        <v>63580</v>
      </c>
      <c r="L14" s="119"/>
      <c r="Q14" s="119"/>
      <c r="R14" s="120"/>
      <c r="S14" s="120"/>
      <c r="T14" s="178">
        <f>R14+Q14</f>
        <v>0</v>
      </c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7900</v>
      </c>
      <c r="I15" s="73">
        <f t="shared" ref="I15:I25" si="1">D15*F15*H15</f>
        <v>7900</v>
      </c>
      <c r="J15" s="73"/>
      <c r="K15" s="117">
        <f t="shared" ref="K15:K28" si="2">I15+J15</f>
        <v>7900</v>
      </c>
      <c r="L15" s="119"/>
      <c r="P15" s="119" t="s">
        <v>358</v>
      </c>
      <c r="Q15" s="179"/>
      <c r="R15" s="179"/>
      <c r="S15" s="172"/>
      <c r="T15" s="178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2445</v>
      </c>
      <c r="I16" s="73">
        <f t="shared" si="1"/>
        <v>2445</v>
      </c>
      <c r="J16" s="73">
        <v>500</v>
      </c>
      <c r="K16" s="117">
        <f t="shared" si="2"/>
        <v>2945</v>
      </c>
      <c r="L16" s="119"/>
      <c r="P16" s="119" t="s">
        <v>349</v>
      </c>
      <c r="Q16" s="119"/>
      <c r="R16" s="177"/>
      <c r="S16" s="172"/>
      <c r="T16" s="178">
        <f>0.96*1200</f>
        <v>1152</v>
      </c>
    </row>
    <row r="17" spans="1:20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700</v>
      </c>
      <c r="I17" s="73">
        <f t="shared" si="1"/>
        <v>1400</v>
      </c>
      <c r="J17" s="73"/>
      <c r="K17" s="117">
        <f t="shared" si="2"/>
        <v>1400</v>
      </c>
      <c r="L17" s="172"/>
      <c r="P17" s="119"/>
      <c r="Q17" s="119"/>
      <c r="R17" s="177"/>
      <c r="S17" s="172"/>
      <c r="T17" s="178"/>
    </row>
    <row r="18" spans="1:20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450</v>
      </c>
      <c r="I18" s="73">
        <f t="shared" si="1"/>
        <v>450</v>
      </c>
      <c r="J18" s="73">
        <v>500</v>
      </c>
      <c r="K18" s="117">
        <f t="shared" si="2"/>
        <v>950</v>
      </c>
      <c r="L18" s="119"/>
      <c r="Q18" s="119"/>
      <c r="R18" s="120"/>
      <c r="S18" s="120"/>
      <c r="T18" s="178">
        <f>R18+Q18</f>
        <v>0</v>
      </c>
    </row>
    <row r="19" spans="1:20" s="121" customFormat="1" ht="18" customHeight="1">
      <c r="A19" s="72">
        <v>12</v>
      </c>
      <c r="B19" s="74" t="s">
        <v>157</v>
      </c>
      <c r="C19" s="76" t="s">
        <v>158</v>
      </c>
      <c r="D19" s="76">
        <v>3</v>
      </c>
      <c r="E19" s="68"/>
      <c r="F19" s="78">
        <v>1</v>
      </c>
      <c r="G19" s="69"/>
      <c r="H19" s="118">
        <v>600</v>
      </c>
      <c r="I19" s="73">
        <f>H19</f>
        <v>600</v>
      </c>
      <c r="J19" s="73">
        <v>480</v>
      </c>
      <c r="K19" s="117">
        <f>(I19+J19)*D19</f>
        <v>3240</v>
      </c>
      <c r="L19" s="119"/>
      <c r="Q19" s="119"/>
      <c r="R19" s="120"/>
      <c r="S19" s="120"/>
      <c r="T19" s="178">
        <f>R19+Q19</f>
        <v>0</v>
      </c>
    </row>
    <row r="20" spans="1:20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2795</v>
      </c>
      <c r="I20" s="73">
        <f t="shared" si="1"/>
        <v>2795</v>
      </c>
      <c r="J20" s="73">
        <v>1000</v>
      </c>
      <c r="K20" s="183">
        <v>7100</v>
      </c>
      <c r="L20" s="119"/>
      <c r="P20" s="119" t="s">
        <v>350</v>
      </c>
      <c r="Q20" s="172"/>
      <c r="R20" s="177"/>
      <c r="S20" s="172"/>
      <c r="T20" s="178">
        <f>5.91*1200</f>
        <v>7092</v>
      </c>
    </row>
    <row r="21" spans="1:20" s="121" customFormat="1" ht="18" customHeight="1">
      <c r="A21" s="72">
        <v>14</v>
      </c>
      <c r="B21" s="74" t="s">
        <v>160</v>
      </c>
      <c r="C21" s="76" t="s">
        <v>149</v>
      </c>
      <c r="D21" s="76">
        <v>4</v>
      </c>
      <c r="E21" s="68"/>
      <c r="F21" s="78">
        <v>1</v>
      </c>
      <c r="G21" s="69"/>
      <c r="H21" s="118">
        <v>100</v>
      </c>
      <c r="I21" s="73">
        <f t="shared" si="1"/>
        <v>400</v>
      </c>
      <c r="J21" s="73"/>
      <c r="K21" s="117">
        <f t="shared" si="2"/>
        <v>400</v>
      </c>
      <c r="L21" s="172"/>
    </row>
    <row r="22" spans="1:20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1900</v>
      </c>
      <c r="I22" s="73">
        <f t="shared" si="1"/>
        <v>1900</v>
      </c>
      <c r="J22" s="73"/>
      <c r="K22" s="117">
        <f t="shared" si="2"/>
        <v>1900</v>
      </c>
      <c r="L22" s="119"/>
    </row>
    <row r="23" spans="1:20" s="121" customFormat="1" ht="18" customHeight="1">
      <c r="A23" s="72">
        <v>16</v>
      </c>
      <c r="B23" s="74" t="s">
        <v>177</v>
      </c>
      <c r="C23" s="76" t="s">
        <v>147</v>
      </c>
      <c r="D23" s="76">
        <v>1</v>
      </c>
      <c r="E23" s="68"/>
      <c r="F23" s="78">
        <v>1</v>
      </c>
      <c r="G23" s="69"/>
      <c r="H23" s="118">
        <v>900</v>
      </c>
      <c r="I23" s="73">
        <f t="shared" si="1"/>
        <v>900</v>
      </c>
      <c r="J23" s="73"/>
      <c r="K23" s="117">
        <f t="shared" si="2"/>
        <v>900</v>
      </c>
      <c r="L23" s="119"/>
    </row>
    <row r="24" spans="1:20" s="121" customFormat="1" ht="18" customHeight="1">
      <c r="A24" s="72">
        <v>17</v>
      </c>
      <c r="B24" s="74" t="s">
        <v>179</v>
      </c>
      <c r="C24" s="76" t="s">
        <v>178</v>
      </c>
      <c r="D24" s="76">
        <v>1</v>
      </c>
      <c r="E24" s="68"/>
      <c r="F24" s="78">
        <v>1</v>
      </c>
      <c r="G24" s="69"/>
      <c r="H24" s="118">
        <v>4950</v>
      </c>
      <c r="I24" s="73">
        <f t="shared" si="1"/>
        <v>4950</v>
      </c>
      <c r="J24" s="73"/>
      <c r="K24" s="117">
        <f t="shared" si="2"/>
        <v>4950</v>
      </c>
      <c r="L24" s="119"/>
    </row>
    <row r="25" spans="1:20" s="121" customFormat="1" ht="18" customHeight="1">
      <c r="A25" s="72">
        <v>18</v>
      </c>
      <c r="B25" s="74" t="s">
        <v>180</v>
      </c>
      <c r="C25" s="76" t="s">
        <v>149</v>
      </c>
      <c r="D25" s="76">
        <v>4</v>
      </c>
      <c r="E25" s="68"/>
      <c r="F25" s="78">
        <v>1</v>
      </c>
      <c r="G25" s="69"/>
      <c r="H25" s="118">
        <v>360</v>
      </c>
      <c r="I25" s="73">
        <f t="shared" si="1"/>
        <v>1440</v>
      </c>
      <c r="J25" s="73"/>
      <c r="K25" s="117">
        <f t="shared" si="2"/>
        <v>1440</v>
      </c>
      <c r="L25" s="119"/>
    </row>
    <row r="26" spans="1:20" s="121" customFormat="1" ht="18" customHeight="1">
      <c r="A26" s="72">
        <v>19</v>
      </c>
      <c r="B26" s="74" t="s">
        <v>181</v>
      </c>
      <c r="C26" s="76" t="s">
        <v>178</v>
      </c>
      <c r="D26" s="76">
        <v>1</v>
      </c>
      <c r="E26" s="68"/>
      <c r="F26" s="78">
        <v>1</v>
      </c>
      <c r="G26" s="79"/>
      <c r="H26" s="118"/>
      <c r="I26" s="73">
        <v>21360</v>
      </c>
      <c r="J26" s="73">
        <v>6500</v>
      </c>
      <c r="K26" s="117">
        <f t="shared" si="2"/>
        <v>27860</v>
      </c>
      <c r="L26" s="119"/>
    </row>
    <row r="27" spans="1:20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203000</v>
      </c>
      <c r="L27" s="125">
        <v>50000</v>
      </c>
      <c r="M27" s="125">
        <v>203000</v>
      </c>
      <c r="N27" s="125">
        <v>225000</v>
      </c>
    </row>
    <row r="28" spans="1:20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28000</v>
      </c>
      <c r="J28" s="117">
        <v>10000</v>
      </c>
      <c r="K28" s="117">
        <f t="shared" si="2"/>
        <v>38000</v>
      </c>
      <c r="L28" s="125"/>
    </row>
    <row r="29" spans="1:20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SUM(K6:K25,K28)</f>
        <v>808605</v>
      </c>
      <c r="L29" s="86"/>
    </row>
    <row r="30" spans="1:20" s="87" customFormat="1" ht="18" customHeight="1">
      <c r="A30" s="80">
        <v>23</v>
      </c>
      <c r="B30" s="81" t="s">
        <v>182</v>
      </c>
      <c r="C30" s="82"/>
      <c r="D30" s="82"/>
      <c r="E30" s="83"/>
      <c r="F30" s="83"/>
      <c r="G30" s="83"/>
      <c r="H30" s="83"/>
      <c r="I30" s="84"/>
      <c r="J30" s="84"/>
      <c r="K30" s="85">
        <f>SUM(K6:K26,K28)</f>
        <v>836465</v>
      </c>
      <c r="L30" s="86"/>
    </row>
    <row r="31" spans="1:20" s="87" customFormat="1" ht="18" customHeight="1">
      <c r="A31" s="80">
        <v>24</v>
      </c>
      <c r="B31" s="81" t="s">
        <v>171</v>
      </c>
      <c r="C31" s="82"/>
      <c r="D31" s="82"/>
      <c r="E31" s="83"/>
      <c r="F31" s="83"/>
      <c r="G31" s="83"/>
      <c r="H31" s="83"/>
      <c r="I31" s="84"/>
      <c r="J31" s="84"/>
      <c r="K31" s="85">
        <f>SUM(K6:K25,K27:K28)</f>
        <v>1011605</v>
      </c>
      <c r="L31" s="86"/>
    </row>
    <row r="32" spans="1:20" s="121" customFormat="1" ht="18" customHeight="1">
      <c r="A32" s="72">
        <v>25</v>
      </c>
      <c r="B32" s="74"/>
      <c r="C32" s="76"/>
      <c r="D32" s="76"/>
      <c r="E32" s="68"/>
      <c r="F32" s="68"/>
      <c r="G32" s="68"/>
      <c r="H32" s="68"/>
      <c r="I32" s="68"/>
      <c r="J32" s="68"/>
      <c r="K32" s="68"/>
      <c r="L32" s="125"/>
    </row>
    <row r="33" spans="1:12" s="121" customFormat="1" ht="18" customHeight="1">
      <c r="A33" s="72">
        <v>26</v>
      </c>
      <c r="B33" s="74" t="s">
        <v>172</v>
      </c>
      <c r="C33" s="76"/>
      <c r="D33" s="76">
        <v>1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2" s="121" customFormat="1" ht="24">
      <c r="A34" s="207">
        <v>27</v>
      </c>
      <c r="B34" s="132" t="s">
        <v>173</v>
      </c>
      <c r="C34" s="76"/>
      <c r="D34" s="76">
        <v>4</v>
      </c>
      <c r="E34" s="68"/>
      <c r="F34" s="78"/>
      <c r="G34" s="79"/>
      <c r="H34" s="68"/>
      <c r="I34" s="73"/>
      <c r="J34" s="73"/>
      <c r="K34" s="117">
        <f>I34+J34</f>
        <v>0</v>
      </c>
      <c r="L34" s="125"/>
    </row>
    <row r="35" spans="1:12" s="121" customFormat="1" ht="24" customHeight="1">
      <c r="A35" s="207"/>
      <c r="B35" s="74" t="s">
        <v>174</v>
      </c>
      <c r="C35" s="76"/>
      <c r="D35" s="76">
        <v>1</v>
      </c>
      <c r="E35" s="68"/>
      <c r="F35" s="78"/>
      <c r="G35" s="68"/>
      <c r="H35" s="68"/>
      <c r="I35" s="68"/>
      <c r="J35" s="68"/>
      <c r="K35" s="117">
        <v>34000</v>
      </c>
      <c r="L35" s="125"/>
    </row>
    <row r="36" spans="1:12" s="8" customFormat="1" ht="18" customHeight="1">
      <c r="A36" s="21">
        <v>28</v>
      </c>
      <c r="B36" s="6" t="s">
        <v>101</v>
      </c>
      <c r="C36" s="13"/>
      <c r="D36" s="16"/>
      <c r="E36" s="14"/>
      <c r="F36" s="14"/>
      <c r="G36" s="14"/>
      <c r="H36" s="14"/>
      <c r="I36" s="17">
        <f>SUM(K32:K35)</f>
        <v>34000</v>
      </c>
      <c r="J36" s="18">
        <v>1</v>
      </c>
      <c r="K36" s="17">
        <f>J36*I36</f>
        <v>34000</v>
      </c>
      <c r="L36" s="12"/>
    </row>
    <row r="37" spans="1:12" s="8" customFormat="1" ht="18" customHeight="1">
      <c r="A37" s="21">
        <v>29</v>
      </c>
      <c r="B37" s="9"/>
      <c r="C37" s="10"/>
      <c r="D37" s="10"/>
      <c r="E37" s="11"/>
      <c r="F37" s="11"/>
      <c r="G37" s="11"/>
      <c r="H37" s="11"/>
      <c r="I37" s="11"/>
      <c r="J37" s="19"/>
      <c r="K37" s="11"/>
      <c r="L37" s="12"/>
    </row>
    <row r="38" spans="1:12" s="8" customFormat="1" ht="18" customHeight="1">
      <c r="A38" s="21">
        <v>30</v>
      </c>
      <c r="B38" s="20" t="s">
        <v>102</v>
      </c>
      <c r="C38" s="13"/>
      <c r="D38" s="13"/>
      <c r="E38" s="14"/>
      <c r="F38" s="14"/>
      <c r="G38" s="14"/>
      <c r="H38" s="14"/>
      <c r="I38" s="15">
        <f>K29</f>
        <v>808605</v>
      </c>
      <c r="J38" s="21">
        <f>BFLY!B21</f>
        <v>1</v>
      </c>
      <c r="K38" s="17">
        <f>J38*I38</f>
        <v>808605</v>
      </c>
      <c r="L38" s="12"/>
    </row>
    <row r="39" spans="1:12" s="8" customFormat="1" ht="18" customHeight="1">
      <c r="A39" s="21">
        <v>31</v>
      </c>
      <c r="B39" s="20" t="s">
        <v>103</v>
      </c>
      <c r="C39" s="13"/>
      <c r="D39" s="13"/>
      <c r="E39" s="14"/>
      <c r="F39" s="14"/>
      <c r="G39" s="14"/>
      <c r="H39" s="14"/>
      <c r="I39" s="15">
        <f>K30</f>
        <v>836465</v>
      </c>
      <c r="J39" s="21">
        <f>BFLY!B21</f>
        <v>1</v>
      </c>
      <c r="K39" s="17">
        <f>J39*I39</f>
        <v>836465</v>
      </c>
      <c r="L39" s="22"/>
    </row>
    <row r="40" spans="1:12" s="8" customFormat="1" ht="18" customHeight="1">
      <c r="A40" s="21">
        <v>32</v>
      </c>
      <c r="B40" s="20" t="s">
        <v>104</v>
      </c>
      <c r="C40" s="13"/>
      <c r="D40" s="13"/>
      <c r="E40" s="14"/>
      <c r="F40" s="14"/>
      <c r="G40" s="14"/>
      <c r="H40" s="14"/>
      <c r="I40" s="15">
        <f>K31</f>
        <v>1011605</v>
      </c>
      <c r="J40" s="21">
        <f>BFLY!B21</f>
        <v>1</v>
      </c>
      <c r="K40" s="17">
        <f>J40*I40</f>
        <v>1011605</v>
      </c>
      <c r="L40" s="22"/>
    </row>
    <row r="41" spans="1:12" s="8" customFormat="1" ht="18" customHeight="1">
      <c r="A41" s="21">
        <v>33</v>
      </c>
      <c r="B41" s="45" t="s">
        <v>105</v>
      </c>
      <c r="C41" s="41"/>
      <c r="D41" s="41"/>
      <c r="E41" s="44"/>
      <c r="F41" s="46"/>
      <c r="G41" s="46"/>
      <c r="H41" s="42"/>
      <c r="I41" s="42"/>
      <c r="J41" s="44"/>
      <c r="K41" s="43">
        <f>SUM(K36,K38)</f>
        <v>842605</v>
      </c>
      <c r="L41" s="22"/>
    </row>
    <row r="42" spans="1:12" s="23" customFormat="1" ht="18" customHeight="1">
      <c r="A42" s="21">
        <v>34</v>
      </c>
      <c r="B42" s="45" t="s">
        <v>106</v>
      </c>
      <c r="C42" s="41"/>
      <c r="D42" s="41"/>
      <c r="E42" s="44"/>
      <c r="F42" s="46"/>
      <c r="G42" s="46"/>
      <c r="H42" s="42"/>
      <c r="I42" s="42"/>
      <c r="J42" s="44"/>
      <c r="K42" s="43">
        <f>SUM(K36,K39)</f>
        <v>870465</v>
      </c>
      <c r="L42" s="22"/>
    </row>
    <row r="43" spans="1:12" s="23" customFormat="1" ht="18" customHeight="1">
      <c r="A43" s="21">
        <v>35</v>
      </c>
      <c r="B43" s="45" t="s">
        <v>107</v>
      </c>
      <c r="C43" s="41"/>
      <c r="D43" s="41"/>
      <c r="E43" s="44"/>
      <c r="F43" s="46"/>
      <c r="G43" s="46"/>
      <c r="H43" s="42"/>
      <c r="I43" s="42"/>
      <c r="J43" s="44"/>
      <c r="K43" s="43">
        <f>SUM(K36,K40)</f>
        <v>1045605</v>
      </c>
      <c r="L43" s="22"/>
    </row>
    <row r="44" spans="1:12" s="23" customFormat="1" ht="18" customHeight="1">
      <c r="A44" s="60"/>
      <c r="L44" s="22"/>
    </row>
    <row r="45" spans="1:12" s="23" customFormat="1" ht="18" customHeight="1">
      <c r="L45" s="24"/>
    </row>
    <row r="46" spans="1:12" s="23" customFormat="1" ht="18" customHeight="1">
      <c r="L46" s="24"/>
    </row>
    <row r="47" spans="1:12" s="23" customFormat="1" ht="18" customHeight="1">
      <c r="L47" s="24"/>
    </row>
    <row r="48" spans="1:12" s="23" customFormat="1" ht="18" customHeight="1">
      <c r="L48" s="24"/>
    </row>
    <row r="49" spans="2:12" s="23" customFormat="1" ht="18" customHeight="1">
      <c r="L49" s="24"/>
    </row>
    <row r="50" spans="2:12" s="23" customFormat="1" ht="18" customHeight="1">
      <c r="L50" s="24"/>
    </row>
    <row r="51" spans="2:12" s="23" customFormat="1" ht="18" customHeight="1">
      <c r="L51" s="24"/>
    </row>
    <row r="52" spans="2:12" s="23" customFormat="1" ht="18" customHeight="1">
      <c r="D52" s="24"/>
      <c r="L52" s="24"/>
    </row>
    <row r="53" spans="2:12" s="23" customFormat="1" ht="12"/>
    <row r="54" spans="2:12" s="23" customFormat="1" ht="12">
      <c r="L54" s="24"/>
    </row>
    <row r="55" spans="2:12" s="23" customFormat="1" ht="1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4"/>
    </row>
    <row r="56" spans="2:12" s="25" customFormat="1" ht="15">
      <c r="L56" s="24"/>
    </row>
    <row r="57" spans="2:12" s="25" customFormat="1" ht="15">
      <c r="L57" s="24"/>
    </row>
    <row r="58" spans="2:12" s="25" customFormat="1" ht="15">
      <c r="B58" s="3"/>
      <c r="C58" s="3"/>
      <c r="D58" s="3"/>
      <c r="E58" s="3"/>
      <c r="F58" s="3"/>
      <c r="G58" s="3"/>
      <c r="H58" s="3"/>
      <c r="I58" s="3"/>
      <c r="J58" s="3"/>
      <c r="K58" s="3"/>
      <c r="L58" s="24"/>
    </row>
  </sheetData>
  <mergeCells count="3">
    <mergeCell ref="A34:A35"/>
    <mergeCell ref="M8:O8"/>
    <mergeCell ref="A6:A8"/>
  </mergeCells>
  <phoneticPr fontId="8" type="noConversion"/>
  <pageMargins left="0.75" right="0.75" top="1" bottom="1" header="0.5" footer="0.5"/>
  <pageSetup paperSize="9" scale="87" orientation="portrait" r:id="rId1"/>
  <headerFooter alignWithMargins="0"/>
  <colBreaks count="1" manualBreakCount="1">
    <brk id="11" max="1048575" man="1"/>
  </colBreaks>
  <ignoredErrors>
    <ignoredError sqref="I19 K19 K13" 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T55"/>
  <sheetViews>
    <sheetView view="pageBreakPreview" topLeftCell="B2" zoomScaleNormal="100" zoomScaleSheetLayoutView="100" workbookViewId="0">
      <selection activeCell="I25" sqref="I25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331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>
      <c r="Q4" s="8" t="s">
        <v>351</v>
      </c>
      <c r="R4" s="8" t="s">
        <v>9</v>
      </c>
      <c r="S4" s="8"/>
      <c r="T4" s="8" t="s">
        <v>352</v>
      </c>
    </row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IF(C6="WCB",51,IF(C6="CF8",51,IF(C6="CF8M",51)))</f>
        <v>51</v>
      </c>
      <c r="G6" s="69"/>
      <c r="H6" s="118">
        <f>BFLY!C13</f>
        <v>4000</v>
      </c>
      <c r="I6" s="70">
        <f>D6*F6*H6</f>
        <v>204000</v>
      </c>
      <c r="J6" s="127">
        <f>IF(C6="WCB",100000,IF(C6="CF8",124800,IF(C6="CF8M",124800)))</f>
        <v>124800</v>
      </c>
      <c r="K6" s="128">
        <f t="shared" ref="K6:K12" si="0">I6+J6</f>
        <v>328800</v>
      </c>
      <c r="L6" s="119"/>
      <c r="M6" s="120"/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IF(C7="WCB",78,IF(C7="CF8",78,IF(C7="CF8M",78)))</f>
        <v>0</v>
      </c>
      <c r="G7" s="69"/>
      <c r="H7" s="118">
        <f>BFLY!C14</f>
        <v>0</v>
      </c>
      <c r="I7" s="70">
        <f>D7*F7*H7</f>
        <v>0</v>
      </c>
      <c r="J7" s="127" t="b">
        <f>IF(C7="WCB",125000,IF(C7="CF8",150000,IF(C7="CF8M",150000)))</f>
        <v>0</v>
      </c>
      <c r="K7" s="128">
        <f t="shared" si="0"/>
        <v>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130*1.1</f>
        <v>143</v>
      </c>
      <c r="G8" s="69"/>
      <c r="H8" s="118">
        <f>BFLY!C15</f>
        <v>0</v>
      </c>
      <c r="I8" s="70">
        <f>D8*F8*H8</f>
        <v>0</v>
      </c>
      <c r="J8" s="127">
        <f>IF(C8="WCB",180000,IF(C8="CF8",180000,IF(C8="CF8M",180000)))</f>
        <v>180000</v>
      </c>
      <c r="K8" s="128">
        <f t="shared" si="0"/>
        <v>180000</v>
      </c>
      <c r="L8" s="122" t="s">
        <v>138</v>
      </c>
      <c r="M8" s="208" t="s">
        <v>139</v>
      </c>
      <c r="N8" s="209"/>
      <c r="O8" s="210"/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IF(C9="CF8",22.5,IF(C9="CF8M",22.5,IF(C9="CF3M",22.5,IF(C9="B148",24.5))))</f>
        <v>22.5</v>
      </c>
      <c r="G9" s="69"/>
      <c r="H9" s="118">
        <f>BFLY!C16</f>
        <v>8000</v>
      </c>
      <c r="I9" s="73">
        <f>D9*F9*H9</f>
        <v>180000</v>
      </c>
      <c r="J9" s="129">
        <f>IF(C9="CF8",48000,IF(C9="CF8M",48000,IF(C9="CF3M",48000,IF(C9="B148",50000))))</f>
        <v>48000</v>
      </c>
      <c r="K9" s="117">
        <f t="shared" si="0"/>
        <v>228000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IF(C10="RTFE",60620,IF(C10="RTFE-A",50000,IF(C10="METAL-B",13750,IF(C10="RTFE + METAL",70750))))</f>
        <v>60620</v>
      </c>
      <c r="J10" s="185">
        <f>IF(C10="RTFE",4800,IF(C10="METAL-B",20000,IF(C10="RTFE + METAL",10000)))</f>
        <v>4800</v>
      </c>
      <c r="K10" s="117">
        <f t="shared" si="0"/>
        <v>65420</v>
      </c>
      <c r="L10" s="173">
        <v>60620</v>
      </c>
      <c r="M10" s="124">
        <v>54750</v>
      </c>
      <c r="N10" s="173">
        <v>16000</v>
      </c>
      <c r="O10" s="124">
        <f>M10+N10</f>
        <v>70750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7.55</v>
      </c>
      <c r="G11" s="77"/>
      <c r="H11" s="118">
        <f>BFLY!C17</f>
        <v>8000</v>
      </c>
      <c r="I11" s="73">
        <f>D11*F11*H11</f>
        <v>60400</v>
      </c>
      <c r="J11" s="73">
        <v>15000</v>
      </c>
      <c r="K11" s="117">
        <f t="shared" si="0"/>
        <v>75400</v>
      </c>
      <c r="L11" s="119"/>
      <c r="M11" s="120"/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18">
        <v>161250</v>
      </c>
      <c r="I12" s="73">
        <f>D12*F12*H12</f>
        <v>161250</v>
      </c>
      <c r="J12" s="173">
        <v>40000</v>
      </c>
      <c r="K12" s="117">
        <f t="shared" si="0"/>
        <v>201250</v>
      </c>
      <c r="L12" s="119"/>
      <c r="M12" s="120"/>
      <c r="P12" s="119" t="s">
        <v>356</v>
      </c>
      <c r="Q12" s="177"/>
      <c r="R12" s="177">
        <v>40000</v>
      </c>
      <c r="S12" s="177"/>
      <c r="T12" s="178">
        <f>R12+Q12</f>
        <v>40000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8</v>
      </c>
      <c r="E13" s="68"/>
      <c r="F13" s="78">
        <v>1</v>
      </c>
      <c r="G13" s="77"/>
      <c r="H13" s="118">
        <v>800</v>
      </c>
      <c r="I13" s="73">
        <f>D13*F13*H13</f>
        <v>6400</v>
      </c>
      <c r="J13" s="73"/>
      <c r="K13" s="117">
        <f>H13*D13</f>
        <v>6400</v>
      </c>
      <c r="L13" s="119"/>
      <c r="M13" s="120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19540</v>
      </c>
      <c r="J14" s="73">
        <v>22290</v>
      </c>
      <c r="K14" s="117">
        <f>I14+J14</f>
        <v>41830</v>
      </c>
      <c r="L14" s="119"/>
      <c r="M14" s="120"/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8600</v>
      </c>
      <c r="I15" s="73">
        <f t="shared" ref="I15:I26" si="1">D15*F15*H15</f>
        <v>8600</v>
      </c>
      <c r="J15" s="73"/>
      <c r="K15" s="117">
        <f t="shared" ref="K15:K28" si="2">I15+J15</f>
        <v>8600</v>
      </c>
      <c r="L15" s="119"/>
      <c r="M15" s="120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9150</v>
      </c>
      <c r="I16" s="73">
        <f t="shared" si="1"/>
        <v>9150</v>
      </c>
      <c r="J16" s="73">
        <v>5000</v>
      </c>
      <c r="K16" s="117">
        <f t="shared" si="2"/>
        <v>14150</v>
      </c>
      <c r="L16" s="119"/>
      <c r="M16" s="120"/>
    </row>
    <row r="17" spans="1:14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700</v>
      </c>
      <c r="I17" s="73">
        <f t="shared" si="1"/>
        <v>1400</v>
      </c>
      <c r="J17" s="73"/>
      <c r="K17" s="117">
        <f t="shared" si="2"/>
        <v>1400</v>
      </c>
      <c r="L17" s="119"/>
      <c r="M17" s="120"/>
    </row>
    <row r="18" spans="1:14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650</v>
      </c>
      <c r="I18" s="73">
        <f t="shared" si="1"/>
        <v>650</v>
      </c>
      <c r="J18" s="73">
        <v>3000</v>
      </c>
      <c r="K18" s="117">
        <f t="shared" si="2"/>
        <v>3650</v>
      </c>
      <c r="L18" s="119"/>
      <c r="M18" s="120"/>
    </row>
    <row r="19" spans="1:14" s="121" customFormat="1" ht="18" customHeight="1">
      <c r="A19" s="72">
        <v>12</v>
      </c>
      <c r="B19" s="74" t="s">
        <v>157</v>
      </c>
      <c r="C19" s="76" t="s">
        <v>158</v>
      </c>
      <c r="D19" s="76">
        <v>4</v>
      </c>
      <c r="E19" s="68"/>
      <c r="F19" s="78">
        <v>1</v>
      </c>
      <c r="G19" s="69"/>
      <c r="H19" s="118">
        <v>400</v>
      </c>
      <c r="I19" s="73">
        <f>H19</f>
        <v>400</v>
      </c>
      <c r="J19" s="73">
        <v>500</v>
      </c>
      <c r="K19" s="117">
        <f>(I19+J19)*D19</f>
        <v>3600</v>
      </c>
      <c r="L19" s="119"/>
      <c r="M19" s="120"/>
    </row>
    <row r="20" spans="1:14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10370</v>
      </c>
      <c r="I20" s="73">
        <f t="shared" si="1"/>
        <v>10370</v>
      </c>
      <c r="J20" s="73">
        <v>6000</v>
      </c>
      <c r="K20" s="117">
        <f t="shared" si="2"/>
        <v>16370</v>
      </c>
      <c r="L20" s="119"/>
      <c r="M20" s="120"/>
    </row>
    <row r="21" spans="1:14" s="121" customFormat="1" ht="18" customHeight="1">
      <c r="A21" s="72">
        <v>14</v>
      </c>
      <c r="B21" s="74" t="s">
        <v>160</v>
      </c>
      <c r="C21" s="76" t="s">
        <v>149</v>
      </c>
      <c r="D21" s="76">
        <v>4</v>
      </c>
      <c r="E21" s="68"/>
      <c r="F21" s="78">
        <v>1</v>
      </c>
      <c r="G21" s="69"/>
      <c r="H21" s="118">
        <v>180</v>
      </c>
      <c r="I21" s="73">
        <f t="shared" si="1"/>
        <v>720</v>
      </c>
      <c r="J21" s="73"/>
      <c r="K21" s="117">
        <f t="shared" si="2"/>
        <v>720</v>
      </c>
      <c r="L21" s="119"/>
      <c r="M21" s="120"/>
    </row>
    <row r="22" spans="1:14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2250</v>
      </c>
      <c r="I22" s="73">
        <f t="shared" si="1"/>
        <v>2250</v>
      </c>
      <c r="J22" s="73"/>
      <c r="K22" s="117">
        <f t="shared" si="2"/>
        <v>2250</v>
      </c>
      <c r="L22" s="119"/>
      <c r="M22" s="120"/>
    </row>
    <row r="23" spans="1:14" s="121" customFormat="1" ht="18" customHeight="1">
      <c r="A23" s="72">
        <v>16</v>
      </c>
      <c r="B23" s="74" t="s">
        <v>163</v>
      </c>
      <c r="C23" s="76" t="s">
        <v>164</v>
      </c>
      <c r="D23" s="76">
        <v>4</v>
      </c>
      <c r="E23" s="68"/>
      <c r="F23" s="78">
        <v>1</v>
      </c>
      <c r="G23" s="69"/>
      <c r="H23" s="118">
        <v>1150</v>
      </c>
      <c r="I23" s="73">
        <v>1150</v>
      </c>
      <c r="J23" s="73"/>
      <c r="K23" s="117">
        <f>(I23+J23)*D23</f>
        <v>4600</v>
      </c>
      <c r="L23" s="119"/>
      <c r="M23" s="120"/>
    </row>
    <row r="24" spans="1:14" s="121" customFormat="1" ht="18" customHeight="1">
      <c r="A24" s="72">
        <v>17</v>
      </c>
      <c r="B24" s="74" t="s">
        <v>165</v>
      </c>
      <c r="C24" s="76" t="s">
        <v>164</v>
      </c>
      <c r="D24" s="76">
        <v>4</v>
      </c>
      <c r="E24" s="68"/>
      <c r="F24" s="78">
        <v>1</v>
      </c>
      <c r="G24" s="69"/>
      <c r="H24" s="118">
        <v>900</v>
      </c>
      <c r="I24" s="73">
        <v>900</v>
      </c>
      <c r="J24" s="73"/>
      <c r="K24" s="117">
        <f>(I24+J24)*D24</f>
        <v>3600</v>
      </c>
      <c r="L24" s="119"/>
      <c r="M24" s="120"/>
    </row>
    <row r="25" spans="1:14" s="121" customFormat="1" ht="18" customHeight="1">
      <c r="A25" s="72">
        <v>18</v>
      </c>
      <c r="B25" s="74" t="s">
        <v>177</v>
      </c>
      <c r="C25" s="76" t="s">
        <v>178</v>
      </c>
      <c r="D25" s="76">
        <v>1</v>
      </c>
      <c r="E25" s="68"/>
      <c r="F25" s="78">
        <v>1</v>
      </c>
      <c r="G25" s="69"/>
      <c r="H25" s="118">
        <v>1200</v>
      </c>
      <c r="I25" s="73">
        <f t="shared" si="1"/>
        <v>1200</v>
      </c>
      <c r="J25" s="73"/>
      <c r="K25" s="117">
        <f t="shared" si="2"/>
        <v>1200</v>
      </c>
      <c r="L25" s="119"/>
      <c r="M25" s="120"/>
    </row>
    <row r="26" spans="1:14" s="121" customFormat="1" ht="18" customHeight="1">
      <c r="A26" s="72">
        <v>19</v>
      </c>
      <c r="B26" s="74" t="s">
        <v>166</v>
      </c>
      <c r="C26" s="76" t="s">
        <v>154</v>
      </c>
      <c r="D26" s="76">
        <v>1</v>
      </c>
      <c r="E26" s="68"/>
      <c r="F26" s="78">
        <v>1</v>
      </c>
      <c r="G26" s="79"/>
      <c r="H26" s="118">
        <v>40260</v>
      </c>
      <c r="I26" s="73">
        <f t="shared" si="1"/>
        <v>40260</v>
      </c>
      <c r="J26" s="73">
        <v>9000</v>
      </c>
      <c r="K26" s="117">
        <f t="shared" si="2"/>
        <v>49260</v>
      </c>
      <c r="L26" s="119"/>
      <c r="M26" s="120"/>
    </row>
    <row r="27" spans="1:14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203000</v>
      </c>
      <c r="L27" s="125">
        <v>49520</v>
      </c>
      <c r="M27" s="125">
        <v>203000</v>
      </c>
      <c r="N27" s="125">
        <v>225000</v>
      </c>
    </row>
    <row r="28" spans="1:14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38400</v>
      </c>
      <c r="J28" s="117">
        <v>38400</v>
      </c>
      <c r="K28" s="117">
        <f t="shared" si="2"/>
        <v>76800</v>
      </c>
      <c r="L28" s="125"/>
    </row>
    <row r="29" spans="1:14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SUM(K6:K26,K28)</f>
        <v>1313300</v>
      </c>
      <c r="L29" s="86"/>
    </row>
    <row r="30" spans="1:14" s="87" customFormat="1" ht="18" customHeight="1">
      <c r="A30" s="80">
        <v>24</v>
      </c>
      <c r="B30" s="81" t="s">
        <v>171</v>
      </c>
      <c r="C30" s="82"/>
      <c r="D30" s="82"/>
      <c r="E30" s="83"/>
      <c r="F30" s="83"/>
      <c r="G30" s="83"/>
      <c r="H30" s="83"/>
      <c r="I30" s="84"/>
      <c r="J30" s="84"/>
      <c r="K30" s="85">
        <f>SUM(K6:K28)</f>
        <v>1516300</v>
      </c>
      <c r="L30" s="86"/>
    </row>
    <row r="31" spans="1:14" s="87" customFormat="1" ht="18" customHeight="1">
      <c r="A31" s="80">
        <v>25</v>
      </c>
      <c r="B31" s="88"/>
      <c r="C31" s="89"/>
      <c r="D31" s="89"/>
      <c r="E31" s="90"/>
      <c r="F31" s="90"/>
      <c r="G31" s="90"/>
      <c r="H31" s="90"/>
      <c r="I31" s="90"/>
      <c r="J31" s="90"/>
      <c r="K31" s="90"/>
      <c r="L31" s="86"/>
    </row>
    <row r="32" spans="1:14" s="121" customFormat="1" ht="18" customHeight="1">
      <c r="A32" s="72">
        <v>26</v>
      </c>
      <c r="B32" s="74" t="s">
        <v>172</v>
      </c>
      <c r="C32" s="76"/>
      <c r="D32" s="76">
        <v>1</v>
      </c>
      <c r="E32" s="68"/>
      <c r="F32" s="78"/>
      <c r="G32" s="79"/>
      <c r="H32" s="68"/>
      <c r="I32" s="73"/>
      <c r="J32" s="73"/>
      <c r="K32" s="117">
        <f>I32+J32</f>
        <v>0</v>
      </c>
      <c r="L32" s="125"/>
    </row>
    <row r="33" spans="1:13" s="121" customFormat="1" ht="24">
      <c r="A33" s="207">
        <v>27</v>
      </c>
      <c r="B33" s="132" t="s">
        <v>173</v>
      </c>
      <c r="C33" s="76"/>
      <c r="D33" s="76">
        <v>4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 customHeight="1">
      <c r="A34" s="207"/>
      <c r="B34" s="74" t="s">
        <v>174</v>
      </c>
      <c r="C34" s="76"/>
      <c r="D34" s="76">
        <v>1</v>
      </c>
      <c r="E34" s="68"/>
      <c r="F34" s="78"/>
      <c r="G34" s="68"/>
      <c r="H34" s="68"/>
      <c r="I34" s="68"/>
      <c r="J34" s="68"/>
      <c r="K34" s="117">
        <v>56800</v>
      </c>
      <c r="L34" s="125"/>
    </row>
    <row r="35" spans="1:13" s="121" customFormat="1" ht="18" customHeight="1">
      <c r="A35" s="72">
        <v>28</v>
      </c>
      <c r="B35" s="133" t="s">
        <v>175</v>
      </c>
      <c r="C35" s="76"/>
      <c r="D35" s="134"/>
      <c r="E35" s="68"/>
      <c r="F35" s="68"/>
      <c r="G35" s="68"/>
      <c r="H35" s="68"/>
      <c r="I35" s="124">
        <f>SUM(K31:K34)</f>
        <v>56800</v>
      </c>
      <c r="J35" s="135">
        <v>1</v>
      </c>
      <c r="K35" s="124">
        <f>J35*I35</f>
        <v>56800</v>
      </c>
      <c r="L35" s="125"/>
    </row>
    <row r="36" spans="1:13" s="8" customFormat="1" ht="18" customHeight="1">
      <c r="A36" s="21">
        <v>29</v>
      </c>
      <c r="B36" s="9"/>
      <c r="C36" s="10"/>
      <c r="D36" s="10"/>
      <c r="E36" s="11"/>
      <c r="F36" s="11"/>
      <c r="G36" s="11"/>
      <c r="H36" s="11"/>
      <c r="I36" s="11"/>
      <c r="J36" s="19"/>
      <c r="K36" s="11"/>
      <c r="L36" s="12"/>
    </row>
    <row r="37" spans="1:13" s="8" customFormat="1" ht="18" customHeight="1">
      <c r="A37" s="21">
        <v>30</v>
      </c>
      <c r="B37" s="20" t="s">
        <v>102</v>
      </c>
      <c r="C37" s="13"/>
      <c r="D37" s="13"/>
      <c r="E37" s="14"/>
      <c r="F37" s="14"/>
      <c r="G37" s="14"/>
      <c r="H37" s="14"/>
      <c r="I37" s="15">
        <f>K29</f>
        <v>1313300</v>
      </c>
      <c r="J37" s="21"/>
      <c r="K37" s="17">
        <f>I37+K35</f>
        <v>1370100</v>
      </c>
      <c r="L37" s="12"/>
    </row>
    <row r="38" spans="1:13" s="8" customFormat="1" ht="18" customHeight="1">
      <c r="A38" s="21">
        <v>32</v>
      </c>
      <c r="B38" s="20" t="s">
        <v>104</v>
      </c>
      <c r="C38" s="13"/>
      <c r="D38" s="13"/>
      <c r="E38" s="14"/>
      <c r="F38" s="14"/>
      <c r="G38" s="14"/>
      <c r="H38" s="14"/>
      <c r="I38" s="15">
        <f>K30</f>
        <v>1516300</v>
      </c>
      <c r="J38" s="21"/>
      <c r="K38" s="17">
        <f>I38+K35</f>
        <v>1573100</v>
      </c>
      <c r="L38" s="22"/>
    </row>
    <row r="39" spans="1:13" s="8" customFormat="1" ht="18" customHeight="1">
      <c r="A39" s="21">
        <v>33</v>
      </c>
      <c r="B39" s="45" t="s">
        <v>105</v>
      </c>
      <c r="C39" s="41"/>
      <c r="D39" s="41"/>
      <c r="E39" s="44"/>
      <c r="F39" s="46"/>
      <c r="G39" s="46"/>
      <c r="H39" s="42"/>
      <c r="I39" s="42"/>
      <c r="J39" s="21">
        <f>BFLY!B21</f>
        <v>1</v>
      </c>
      <c r="K39" s="43">
        <f>K37*J39</f>
        <v>1370100</v>
      </c>
      <c r="L39" s="22"/>
    </row>
    <row r="40" spans="1:13" s="23" customFormat="1" ht="18" customHeight="1">
      <c r="A40" s="21">
        <v>35</v>
      </c>
      <c r="B40" s="45" t="s">
        <v>107</v>
      </c>
      <c r="C40" s="41"/>
      <c r="D40" s="41"/>
      <c r="E40" s="44"/>
      <c r="F40" s="46"/>
      <c r="G40" s="46"/>
      <c r="H40" s="42"/>
      <c r="I40" s="42"/>
      <c r="J40" s="21">
        <f>BFLY!B21</f>
        <v>1</v>
      </c>
      <c r="K40" s="43">
        <f>K38*J40</f>
        <v>1573100</v>
      </c>
      <c r="L40" s="22"/>
      <c r="M40" s="8"/>
    </row>
    <row r="41" spans="1:13" s="23" customFormat="1" ht="18" customHeight="1">
      <c r="A41" s="136"/>
      <c r="L41" s="22"/>
      <c r="M41" s="8"/>
    </row>
    <row r="42" spans="1:13" s="23" customFormat="1" ht="18" customHeight="1">
      <c r="L42" s="24"/>
    </row>
    <row r="43" spans="1:13" s="23" customFormat="1" ht="18" customHeight="1">
      <c r="L43" s="24"/>
    </row>
    <row r="44" spans="1:13" s="23" customFormat="1" ht="18" customHeight="1">
      <c r="L44" s="24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D49" s="24"/>
      <c r="L49" s="24"/>
    </row>
    <row r="50" spans="2:12" s="23" customFormat="1" ht="12"/>
    <row r="51" spans="2:12" s="23" customFormat="1" ht="12">
      <c r="L51" s="24"/>
    </row>
    <row r="52" spans="2:12" s="23" customFormat="1" ht="1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4"/>
    </row>
    <row r="53" spans="2:12" s="25" customFormat="1" ht="15">
      <c r="L53" s="24"/>
    </row>
    <row r="54" spans="2:12" s="25" customFormat="1" ht="15">
      <c r="L54" s="24"/>
    </row>
    <row r="55" spans="2:12" s="25" customFormat="1" ht="15">
      <c r="B55" s="3"/>
      <c r="C55" s="3"/>
      <c r="D55" s="3"/>
      <c r="E55" s="3"/>
      <c r="F55" s="3"/>
      <c r="G55" s="3"/>
      <c r="H55" s="3"/>
      <c r="I55" s="3"/>
      <c r="J55" s="3"/>
      <c r="K55" s="3"/>
      <c r="L55" s="24"/>
    </row>
  </sheetData>
  <mergeCells count="3">
    <mergeCell ref="A33:A34"/>
    <mergeCell ref="M8:O8"/>
    <mergeCell ref="A6:A8"/>
  </mergeCells>
  <phoneticPr fontId="8" type="noConversion"/>
  <pageMargins left="0.75" right="0.75" top="1" bottom="1" header="0.5" footer="0.5"/>
  <pageSetup paperSize="9" scale="87" orientation="portrait" r:id="rId1"/>
  <headerFooter alignWithMargins="0"/>
  <colBreaks count="1" manualBreakCount="1">
    <brk id="11" max="1048575" man="1"/>
  </colBreaks>
  <ignoredErrors>
    <ignoredError sqref="K19 I19 K13" formula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T55"/>
  <sheetViews>
    <sheetView view="pageBreakPreview" zoomScale="90" zoomScaleNormal="100" zoomScaleSheetLayoutView="90" workbookViewId="0">
      <selection activeCell="H19" sqref="H19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330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>
      <c r="Q4" s="8" t="s">
        <v>351</v>
      </c>
      <c r="R4" s="8" t="s">
        <v>9</v>
      </c>
      <c r="S4" s="8"/>
      <c r="T4" s="8" t="s">
        <v>352</v>
      </c>
    </row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IF(C6="WCB",77,IF(C6="CF8",77,IF(C6="CF8M",77)))</f>
        <v>77</v>
      </c>
      <c r="G6" s="69"/>
      <c r="H6" s="118">
        <f>BFLY!C13</f>
        <v>4000</v>
      </c>
      <c r="I6" s="70">
        <f>D6*F6*H6</f>
        <v>308000</v>
      </c>
      <c r="J6" s="127">
        <f>IF(C6="WCB",135000,IF(C6="CF8",168000,IF(C6="CF8M",168000)))</f>
        <v>168000</v>
      </c>
      <c r="K6" s="128">
        <f t="shared" ref="K6:K12" si="0">I6+J6</f>
        <v>476000</v>
      </c>
      <c r="L6" s="119"/>
      <c r="M6" s="120"/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IF(C7="WCB",114,IF(C7="CF8",114,IF(C7="CF8M",114)))</f>
        <v>0</v>
      </c>
      <c r="G7" s="69"/>
      <c r="H7" s="118">
        <f>BFLY!C14</f>
        <v>0</v>
      </c>
      <c r="I7" s="70">
        <f>D7*F7*H7</f>
        <v>0</v>
      </c>
      <c r="J7" s="127" t="b">
        <f>IF(C7="WCB",168000,IF(C7="CF8",210000,IF(C7="CF8M",210000)))</f>
        <v>0</v>
      </c>
      <c r="K7" s="128">
        <f t="shared" si="0"/>
        <v>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192*1.1</f>
        <v>211.20000000000002</v>
      </c>
      <c r="G8" s="69"/>
      <c r="H8" s="118">
        <f>BFLY!C15</f>
        <v>0</v>
      </c>
      <c r="I8" s="70">
        <f>D8*F8*H8</f>
        <v>0</v>
      </c>
      <c r="J8" s="127">
        <f>IF(C8="WCB",240000,IF(C8="CF8",240000,IF(C8="CF8M",240000)))</f>
        <v>240000</v>
      </c>
      <c r="K8" s="128">
        <f t="shared" si="0"/>
        <v>240000</v>
      </c>
      <c r="L8" s="122" t="s">
        <v>138</v>
      </c>
      <c r="M8" s="208" t="s">
        <v>139</v>
      </c>
      <c r="N8" s="209"/>
      <c r="O8" s="210"/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IF(C9="CF8",34,IF(C9="CF8M",34,IF(C9="CF3M",34,IF(C9="B148",34.5))))</f>
        <v>34</v>
      </c>
      <c r="G9" s="69"/>
      <c r="H9" s="118">
        <f>BFLY!C16</f>
        <v>8000</v>
      </c>
      <c r="I9" s="73">
        <f>D9*F9*H9</f>
        <v>272000</v>
      </c>
      <c r="J9" s="129">
        <f>IF(C9="CF8",60000,IF(C9="CF8M",60000,IF(C9="CF3M",60000,IF(C9="B148",60000))))</f>
        <v>60000</v>
      </c>
      <c r="K9" s="117">
        <f t="shared" si="0"/>
        <v>332000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IF(C10="RTFE",65000,IF(C10="RTFE-A",57200,IF(C10="METAL-B",18176,IF(C10="RTFE + METAL",100000))))</f>
        <v>65000</v>
      </c>
      <c r="J10" s="185">
        <f>IF(C10="RTFE",8000,IF(C10="METAL-B",20000,IF(C10="RTFE + METAL",10000)))</f>
        <v>8000</v>
      </c>
      <c r="K10" s="117">
        <f t="shared" si="0"/>
        <v>73000</v>
      </c>
      <c r="L10" s="173">
        <v>65000</v>
      </c>
      <c r="M10" s="124">
        <v>70000</v>
      </c>
      <c r="N10" s="173">
        <v>30000</v>
      </c>
      <c r="O10" s="124">
        <f>M10+N10</f>
        <v>100000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12.1</v>
      </c>
      <c r="G11" s="77"/>
      <c r="H11" s="118">
        <f>BFLY!C17</f>
        <v>8000</v>
      </c>
      <c r="I11" s="73">
        <f>D11*F11*H11</f>
        <v>96800</v>
      </c>
      <c r="J11" s="73">
        <v>20000</v>
      </c>
      <c r="K11" s="117">
        <f t="shared" si="0"/>
        <v>116800</v>
      </c>
      <c r="L11" s="119"/>
      <c r="M11" s="120"/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18">
        <v>212500</v>
      </c>
      <c r="I12" s="73">
        <f>D12*F12*H12</f>
        <v>212500</v>
      </c>
      <c r="J12" s="173">
        <v>45000</v>
      </c>
      <c r="K12" s="117">
        <f t="shared" si="0"/>
        <v>257500</v>
      </c>
      <c r="L12" s="119"/>
      <c r="M12" s="120"/>
      <c r="P12" s="119" t="s">
        <v>356</v>
      </c>
      <c r="Q12" s="177"/>
      <c r="R12" s="177">
        <v>45000</v>
      </c>
      <c r="S12" s="177"/>
      <c r="T12" s="178">
        <f>R12+Q12</f>
        <v>45000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12</v>
      </c>
      <c r="E13" s="68"/>
      <c r="F13" s="78">
        <v>1</v>
      </c>
      <c r="G13" s="77"/>
      <c r="H13" s="118">
        <v>800</v>
      </c>
      <c r="I13" s="73">
        <f>D13*F13*H13</f>
        <v>9600</v>
      </c>
      <c r="J13" s="73"/>
      <c r="K13" s="117">
        <f>H13*D13</f>
        <v>9600</v>
      </c>
      <c r="L13" s="119"/>
      <c r="M13" s="120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25600</v>
      </c>
      <c r="J14" s="73">
        <v>31900</v>
      </c>
      <c r="K14" s="117">
        <f>I14+J14</f>
        <v>57500</v>
      </c>
      <c r="L14" s="119"/>
      <c r="M14" s="120"/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9800</v>
      </c>
      <c r="I15" s="73">
        <f t="shared" ref="I15:I26" si="1">D15*F15*H15</f>
        <v>9800</v>
      </c>
      <c r="J15" s="73"/>
      <c r="K15" s="117">
        <f t="shared" ref="K15:K28" si="2">I15+J15</f>
        <v>9800</v>
      </c>
      <c r="L15" s="119"/>
      <c r="M15" s="120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36600</v>
      </c>
      <c r="I16" s="73">
        <f t="shared" si="1"/>
        <v>36600</v>
      </c>
      <c r="J16" s="73">
        <v>7500</v>
      </c>
      <c r="K16" s="117">
        <f t="shared" si="2"/>
        <v>44100</v>
      </c>
      <c r="L16" s="119"/>
      <c r="M16" s="120"/>
    </row>
    <row r="17" spans="1:14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1800</v>
      </c>
      <c r="I17" s="73">
        <f t="shared" si="1"/>
        <v>3600</v>
      </c>
      <c r="J17" s="73"/>
      <c r="K17" s="117">
        <f t="shared" si="2"/>
        <v>3600</v>
      </c>
      <c r="L17" s="119"/>
      <c r="M17" s="120"/>
    </row>
    <row r="18" spans="1:14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1300</v>
      </c>
      <c r="I18" s="73">
        <f t="shared" si="1"/>
        <v>1300</v>
      </c>
      <c r="J18" s="73">
        <v>3000</v>
      </c>
      <c r="K18" s="117">
        <f t="shared" si="2"/>
        <v>4300</v>
      </c>
      <c r="L18" s="119"/>
      <c r="M18" s="120"/>
    </row>
    <row r="19" spans="1:14" s="121" customFormat="1" ht="18" customHeight="1">
      <c r="A19" s="72">
        <v>12</v>
      </c>
      <c r="B19" s="74" t="s">
        <v>157</v>
      </c>
      <c r="C19" s="76" t="s">
        <v>158</v>
      </c>
      <c r="D19" s="76">
        <v>3</v>
      </c>
      <c r="E19" s="68"/>
      <c r="F19" s="78">
        <v>1</v>
      </c>
      <c r="G19" s="69"/>
      <c r="H19" s="118">
        <v>1040</v>
      </c>
      <c r="I19" s="73">
        <f>H19</f>
        <v>1040</v>
      </c>
      <c r="J19" s="73">
        <v>1000</v>
      </c>
      <c r="K19" s="117">
        <f>(I19+J19)*D19</f>
        <v>6120</v>
      </c>
      <c r="L19" s="119"/>
      <c r="M19" s="120"/>
    </row>
    <row r="20" spans="1:14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13420</v>
      </c>
      <c r="I20" s="73">
        <f t="shared" si="1"/>
        <v>13420</v>
      </c>
      <c r="J20" s="73">
        <v>8000</v>
      </c>
      <c r="K20" s="117">
        <f t="shared" si="2"/>
        <v>21420</v>
      </c>
      <c r="L20" s="119"/>
      <c r="M20" s="120"/>
    </row>
    <row r="21" spans="1:14" s="121" customFormat="1" ht="18" customHeight="1">
      <c r="A21" s="72">
        <v>14</v>
      </c>
      <c r="B21" s="74" t="s">
        <v>160</v>
      </c>
      <c r="C21" s="76" t="s">
        <v>149</v>
      </c>
      <c r="D21" s="76">
        <v>6</v>
      </c>
      <c r="E21" s="68"/>
      <c r="F21" s="78">
        <v>1</v>
      </c>
      <c r="G21" s="69"/>
      <c r="H21" s="118">
        <v>180</v>
      </c>
      <c r="I21" s="73">
        <f t="shared" si="1"/>
        <v>1080</v>
      </c>
      <c r="J21" s="73"/>
      <c r="K21" s="117">
        <f t="shared" si="2"/>
        <v>1080</v>
      </c>
      <c r="L21" s="119"/>
      <c r="M21" s="120"/>
    </row>
    <row r="22" spans="1:14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2700</v>
      </c>
      <c r="I22" s="73">
        <f t="shared" si="1"/>
        <v>2700</v>
      </c>
      <c r="J22" s="73"/>
      <c r="K22" s="117">
        <f t="shared" si="2"/>
        <v>2700</v>
      </c>
      <c r="L22" s="119"/>
      <c r="M22" s="120"/>
    </row>
    <row r="23" spans="1:14" s="121" customFormat="1" ht="18" customHeight="1">
      <c r="A23" s="72">
        <v>16</v>
      </c>
      <c r="B23" s="74" t="s">
        <v>163</v>
      </c>
      <c r="C23" s="76" t="s">
        <v>164</v>
      </c>
      <c r="D23" s="76">
        <v>4</v>
      </c>
      <c r="E23" s="68"/>
      <c r="F23" s="78">
        <v>1</v>
      </c>
      <c r="G23" s="69"/>
      <c r="H23" s="118">
        <v>1200</v>
      </c>
      <c r="I23" s="73">
        <v>1150</v>
      </c>
      <c r="J23" s="73"/>
      <c r="K23" s="117">
        <f>(I23+J23)*D23</f>
        <v>4600</v>
      </c>
      <c r="L23" s="119"/>
      <c r="M23" s="120"/>
    </row>
    <row r="24" spans="1:14" s="121" customFormat="1" ht="18" customHeight="1">
      <c r="A24" s="72">
        <v>17</v>
      </c>
      <c r="B24" s="74" t="s">
        <v>165</v>
      </c>
      <c r="C24" s="76" t="s">
        <v>164</v>
      </c>
      <c r="D24" s="76">
        <v>4</v>
      </c>
      <c r="E24" s="68"/>
      <c r="F24" s="78">
        <v>1</v>
      </c>
      <c r="G24" s="69"/>
      <c r="H24" s="118">
        <v>1800</v>
      </c>
      <c r="I24" s="73">
        <v>1800</v>
      </c>
      <c r="J24" s="73"/>
      <c r="K24" s="117">
        <f>(I24+J24)*D24</f>
        <v>7200</v>
      </c>
      <c r="L24" s="119"/>
      <c r="M24" s="120"/>
    </row>
    <row r="25" spans="1:14" s="121" customFormat="1" ht="18" customHeight="1">
      <c r="A25" s="72">
        <v>18</v>
      </c>
      <c r="B25" s="74" t="s">
        <v>177</v>
      </c>
      <c r="C25" s="76" t="s">
        <v>178</v>
      </c>
      <c r="D25" s="76">
        <v>1</v>
      </c>
      <c r="E25" s="68"/>
      <c r="F25" s="78">
        <v>1</v>
      </c>
      <c r="G25" s="69"/>
      <c r="H25" s="118">
        <v>1200</v>
      </c>
      <c r="I25" s="73">
        <f t="shared" si="1"/>
        <v>1200</v>
      </c>
      <c r="J25" s="73"/>
      <c r="K25" s="117">
        <f t="shared" si="2"/>
        <v>1200</v>
      </c>
      <c r="L25" s="119"/>
      <c r="M25" s="120"/>
    </row>
    <row r="26" spans="1:14" s="121" customFormat="1" ht="18" customHeight="1">
      <c r="A26" s="72">
        <v>19</v>
      </c>
      <c r="B26" s="74" t="s">
        <v>166</v>
      </c>
      <c r="C26" s="76" t="s">
        <v>154</v>
      </c>
      <c r="D26" s="76">
        <v>1</v>
      </c>
      <c r="E26" s="68"/>
      <c r="F26" s="78">
        <v>1</v>
      </c>
      <c r="G26" s="79"/>
      <c r="H26" s="118">
        <v>61000</v>
      </c>
      <c r="I26" s="73">
        <f t="shared" si="1"/>
        <v>61000</v>
      </c>
      <c r="J26" s="73">
        <v>9000</v>
      </c>
      <c r="K26" s="117">
        <f t="shared" si="2"/>
        <v>70000</v>
      </c>
      <c r="L26" s="119"/>
      <c r="M26" s="120"/>
    </row>
    <row r="27" spans="1:14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305000</v>
      </c>
      <c r="L27" s="125">
        <v>142060</v>
      </c>
      <c r="M27" s="125">
        <v>305000</v>
      </c>
      <c r="N27" s="125">
        <v>305000</v>
      </c>
    </row>
    <row r="28" spans="1:14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45600</v>
      </c>
      <c r="J28" s="117">
        <v>45600</v>
      </c>
      <c r="K28" s="117">
        <f t="shared" si="2"/>
        <v>91200</v>
      </c>
      <c r="L28" s="125"/>
    </row>
    <row r="29" spans="1:14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SUM(K6:K26,K28)</f>
        <v>1829720</v>
      </c>
      <c r="L29" s="86"/>
    </row>
    <row r="30" spans="1:14" s="87" customFormat="1" ht="18" customHeight="1">
      <c r="A30" s="80">
        <v>24</v>
      </c>
      <c r="B30" s="81" t="s">
        <v>171</v>
      </c>
      <c r="C30" s="82"/>
      <c r="D30" s="82"/>
      <c r="E30" s="83"/>
      <c r="F30" s="83"/>
      <c r="G30" s="83"/>
      <c r="H30" s="83"/>
      <c r="I30" s="84"/>
      <c r="J30" s="84"/>
      <c r="K30" s="85">
        <f>SUM(K6:K28)</f>
        <v>2134720</v>
      </c>
      <c r="L30" s="86"/>
    </row>
    <row r="31" spans="1:14" s="87" customFormat="1" ht="18" customHeight="1">
      <c r="A31" s="80">
        <v>25</v>
      </c>
      <c r="B31" s="88"/>
      <c r="C31" s="89"/>
      <c r="D31" s="89"/>
      <c r="E31" s="90"/>
      <c r="F31" s="90"/>
      <c r="G31" s="90"/>
      <c r="H31" s="90"/>
      <c r="I31" s="90"/>
      <c r="J31" s="90"/>
      <c r="K31" s="90"/>
      <c r="L31" s="86"/>
    </row>
    <row r="32" spans="1:14" s="121" customFormat="1" ht="18" customHeight="1">
      <c r="A32" s="72">
        <v>26</v>
      </c>
      <c r="B32" s="74" t="s">
        <v>172</v>
      </c>
      <c r="C32" s="76"/>
      <c r="D32" s="76">
        <v>1</v>
      </c>
      <c r="E32" s="68"/>
      <c r="F32" s="78"/>
      <c r="G32" s="79"/>
      <c r="H32" s="68"/>
      <c r="I32" s="73"/>
      <c r="J32" s="73"/>
      <c r="K32" s="117">
        <f>I32+J32</f>
        <v>0</v>
      </c>
      <c r="L32" s="125"/>
    </row>
    <row r="33" spans="1:13" s="121" customFormat="1" ht="24">
      <c r="A33" s="207">
        <v>27</v>
      </c>
      <c r="B33" s="132" t="s">
        <v>173</v>
      </c>
      <c r="C33" s="76"/>
      <c r="D33" s="76">
        <v>4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 customHeight="1">
      <c r="A34" s="207"/>
      <c r="B34" s="74" t="s">
        <v>174</v>
      </c>
      <c r="C34" s="76"/>
      <c r="D34" s="76">
        <v>1</v>
      </c>
      <c r="E34" s="68"/>
      <c r="F34" s="78"/>
      <c r="G34" s="68"/>
      <c r="H34" s="68"/>
      <c r="I34" s="68"/>
      <c r="J34" s="68"/>
      <c r="K34" s="117">
        <v>70600</v>
      </c>
      <c r="L34" s="125"/>
    </row>
    <row r="35" spans="1:13" s="121" customFormat="1" ht="18" customHeight="1">
      <c r="A35" s="72">
        <v>28</v>
      </c>
      <c r="B35" s="133" t="s">
        <v>175</v>
      </c>
      <c r="C35" s="76"/>
      <c r="D35" s="134"/>
      <c r="E35" s="68"/>
      <c r="F35" s="68"/>
      <c r="G35" s="68"/>
      <c r="H35" s="68"/>
      <c r="I35" s="124">
        <f>SUM(K31:K34)</f>
        <v>70600</v>
      </c>
      <c r="J35" s="135">
        <v>1</v>
      </c>
      <c r="K35" s="124">
        <f>J35*I35</f>
        <v>70600</v>
      </c>
      <c r="L35" s="125"/>
    </row>
    <row r="36" spans="1:13" s="8" customFormat="1" ht="18" customHeight="1">
      <c r="A36" s="21">
        <v>29</v>
      </c>
      <c r="B36" s="9"/>
      <c r="C36" s="10"/>
      <c r="D36" s="10"/>
      <c r="E36" s="11"/>
      <c r="F36" s="11"/>
      <c r="G36" s="11"/>
      <c r="H36" s="11"/>
      <c r="I36" s="11"/>
      <c r="J36" s="19"/>
      <c r="K36" s="11"/>
      <c r="L36" s="12"/>
    </row>
    <row r="37" spans="1:13" s="8" customFormat="1" ht="18" customHeight="1">
      <c r="A37" s="21">
        <v>30</v>
      </c>
      <c r="B37" s="20" t="s">
        <v>102</v>
      </c>
      <c r="C37" s="13"/>
      <c r="D37" s="13"/>
      <c r="E37" s="14"/>
      <c r="F37" s="14"/>
      <c r="G37" s="14"/>
      <c r="H37" s="14"/>
      <c r="I37" s="15">
        <f>K29</f>
        <v>1829720</v>
      </c>
      <c r="J37" s="21"/>
      <c r="K37" s="17">
        <f>I37+K35</f>
        <v>1900320</v>
      </c>
      <c r="L37" s="12"/>
    </row>
    <row r="38" spans="1:13" s="8" customFormat="1" ht="18" customHeight="1">
      <c r="A38" s="21">
        <v>32</v>
      </c>
      <c r="B38" s="20" t="s">
        <v>104</v>
      </c>
      <c r="C38" s="13"/>
      <c r="D38" s="13"/>
      <c r="E38" s="14"/>
      <c r="F38" s="14"/>
      <c r="G38" s="14"/>
      <c r="H38" s="14"/>
      <c r="I38" s="15">
        <f>K30</f>
        <v>2134720</v>
      </c>
      <c r="J38" s="21"/>
      <c r="K38" s="17">
        <f>I38+K35</f>
        <v>2205320</v>
      </c>
      <c r="L38" s="22"/>
    </row>
    <row r="39" spans="1:13" s="8" customFormat="1" ht="18" customHeight="1">
      <c r="A39" s="21">
        <v>33</v>
      </c>
      <c r="B39" s="45" t="s">
        <v>105</v>
      </c>
      <c r="C39" s="41"/>
      <c r="D39" s="41"/>
      <c r="E39" s="44"/>
      <c r="F39" s="46"/>
      <c r="G39" s="46"/>
      <c r="H39" s="42"/>
      <c r="I39" s="42"/>
      <c r="J39" s="21">
        <f>BFLY!B21</f>
        <v>1</v>
      </c>
      <c r="K39" s="43">
        <f>K37*J39</f>
        <v>1900320</v>
      </c>
      <c r="L39" s="22"/>
    </row>
    <row r="40" spans="1:13" s="23" customFormat="1" ht="18" customHeight="1">
      <c r="A40" s="21">
        <v>35</v>
      </c>
      <c r="B40" s="45" t="s">
        <v>107</v>
      </c>
      <c r="C40" s="41"/>
      <c r="D40" s="41"/>
      <c r="E40" s="44"/>
      <c r="F40" s="46"/>
      <c r="G40" s="46"/>
      <c r="H40" s="42"/>
      <c r="I40" s="42"/>
      <c r="J40" s="21">
        <f>BFLY!B21</f>
        <v>1</v>
      </c>
      <c r="K40" s="43">
        <f>K38*J40</f>
        <v>2205320</v>
      </c>
      <c r="L40" s="22"/>
      <c r="M40" s="8"/>
    </row>
    <row r="41" spans="1:13" s="23" customFormat="1" ht="18" customHeight="1">
      <c r="A41" s="136"/>
      <c r="L41" s="22"/>
      <c r="M41" s="8"/>
    </row>
    <row r="42" spans="1:13" s="23" customFormat="1" ht="18" customHeight="1">
      <c r="L42" s="24"/>
    </row>
    <row r="43" spans="1:13" s="23" customFormat="1" ht="18" customHeight="1">
      <c r="L43" s="24"/>
    </row>
    <row r="44" spans="1:13" s="23" customFormat="1" ht="18" customHeight="1">
      <c r="L44" s="24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D49" s="24"/>
      <c r="L49" s="24"/>
    </row>
    <row r="50" spans="2:12" s="23" customFormat="1" ht="12"/>
    <row r="51" spans="2:12" s="23" customFormat="1" ht="12">
      <c r="L51" s="24"/>
    </row>
    <row r="52" spans="2:12" s="23" customFormat="1" ht="1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4"/>
    </row>
    <row r="53" spans="2:12" s="25" customFormat="1" ht="15">
      <c r="L53" s="24"/>
    </row>
    <row r="54" spans="2:12" s="25" customFormat="1" ht="15">
      <c r="L54" s="24"/>
    </row>
    <row r="55" spans="2:12" s="25" customFormat="1" ht="15">
      <c r="B55" s="3"/>
      <c r="C55" s="3"/>
      <c r="D55" s="3"/>
      <c r="E55" s="3"/>
      <c r="F55" s="3"/>
      <c r="G55" s="3"/>
      <c r="H55" s="3"/>
      <c r="I55" s="3"/>
      <c r="J55" s="3"/>
      <c r="K55" s="3"/>
      <c r="L55" s="24"/>
    </row>
  </sheetData>
  <mergeCells count="3">
    <mergeCell ref="A33:A34"/>
    <mergeCell ref="M8:O8"/>
    <mergeCell ref="A6:A8"/>
  </mergeCells>
  <phoneticPr fontId="8" type="noConversion"/>
  <pageMargins left="0.75" right="0.75" top="1" bottom="1" header="0.5" footer="0.5"/>
  <pageSetup paperSize="9" scale="87" orientation="portrait" r:id="rId1"/>
  <headerFooter alignWithMargins="0"/>
  <colBreaks count="1" manualBreakCount="1">
    <brk id="11" max="1048575" man="1"/>
  </colBreaks>
  <ignoredErrors>
    <ignoredError sqref="I19 K13 K19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T55"/>
  <sheetViews>
    <sheetView view="pageBreakPreview" zoomScaleNormal="100" zoomScaleSheetLayoutView="100" workbookViewId="0">
      <selection activeCell="M28" sqref="M28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329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>
      <c r="Q4" s="8" t="s">
        <v>351</v>
      </c>
      <c r="R4" s="8" t="s">
        <v>9</v>
      </c>
      <c r="S4" s="8"/>
      <c r="T4" s="8" t="s">
        <v>352</v>
      </c>
    </row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IF(C6="WCB",85,IF(C6="CF8",85,IF(C6="CF8M",85)))</f>
        <v>85</v>
      </c>
      <c r="G6" s="69"/>
      <c r="H6" s="118">
        <f>BFLY!C13</f>
        <v>4000</v>
      </c>
      <c r="I6" s="70">
        <f>D6*F6*H6</f>
        <v>340000</v>
      </c>
      <c r="J6" s="127">
        <f>IF(C6="WCB",180000,IF(C6="CF8",225000,IF(C6="CF8M",225000)))</f>
        <v>225000</v>
      </c>
      <c r="K6" s="128">
        <f t="shared" ref="K6:K12" si="0">I6+J6</f>
        <v>565000</v>
      </c>
      <c r="L6" s="119"/>
      <c r="M6" s="120"/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IF(C7="WCB",130,IF(C7="CF8",130,IF(C7="CF8M",130)))</f>
        <v>0</v>
      </c>
      <c r="G7" s="69"/>
      <c r="H7" s="118">
        <f>BFLY!C14</f>
        <v>0</v>
      </c>
      <c r="I7" s="70">
        <f>D7*F7*H7</f>
        <v>0</v>
      </c>
      <c r="J7" s="127" t="b">
        <f>IF(C7="WCB",290000,IF(C7="CF8",290000,IF(C7="CF8M",290000)))</f>
        <v>0</v>
      </c>
      <c r="K7" s="128">
        <f t="shared" si="0"/>
        <v>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192*1.3</f>
        <v>249.60000000000002</v>
      </c>
      <c r="G8" s="69"/>
      <c r="H8" s="118">
        <f>BFLY!C15</f>
        <v>0</v>
      </c>
      <c r="I8" s="70">
        <f>D8*F8*H8</f>
        <v>0</v>
      </c>
      <c r="J8" s="127">
        <f>IF(C8="WCB",215000,IF(C8="CF8",260000,IF(C8="CF8M",260000)))</f>
        <v>260000</v>
      </c>
      <c r="K8" s="128">
        <f t="shared" si="0"/>
        <v>260000</v>
      </c>
      <c r="L8" s="122" t="s">
        <v>138</v>
      </c>
      <c r="M8" s="208" t="s">
        <v>139</v>
      </c>
      <c r="N8" s="209"/>
      <c r="O8" s="210"/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IF(C9="CF8",36,IF(C9="CF8M",36,IF(C9="CF3M",36,IF(C9="B148",41.5))))</f>
        <v>36</v>
      </c>
      <c r="G9" s="69"/>
      <c r="H9" s="118">
        <f>BFLY!C16</f>
        <v>8000</v>
      </c>
      <c r="I9" s="73">
        <f>D9*F9*H9</f>
        <v>288000</v>
      </c>
      <c r="J9" s="129">
        <f>IF(C9="CF8",110000,IF(C9="CF8M",110000,IF(C9="CF3M",110000,IF(C9="B148",110000))))</f>
        <v>110000</v>
      </c>
      <c r="K9" s="117">
        <f t="shared" si="0"/>
        <v>398000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IF(C10="RTFE",115000,IF(C10="RTFE-A",0,IF(C10="METAL-B",13200,IF(C10="RTFE + METAL",143000))))</f>
        <v>115000</v>
      </c>
      <c r="J10" s="185">
        <f>IF(C10="RTFE",11500,IF(C10="METAL-B",30000,IF(C10="RTFE + METAL",10000)))</f>
        <v>11500</v>
      </c>
      <c r="K10" s="117">
        <f t="shared" si="0"/>
        <v>126500</v>
      </c>
      <c r="L10" s="173">
        <v>115000</v>
      </c>
      <c r="M10" s="124">
        <v>121000</v>
      </c>
      <c r="N10" s="173">
        <v>22000</v>
      </c>
      <c r="O10" s="124">
        <f>M10+N10</f>
        <v>143000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15.1</v>
      </c>
      <c r="G11" s="77"/>
      <c r="H11" s="118">
        <f>BFLY!C17</f>
        <v>8000</v>
      </c>
      <c r="I11" s="73">
        <f>D11*F11*H11</f>
        <v>120800</v>
      </c>
      <c r="J11" s="73">
        <v>30000</v>
      </c>
      <c r="K11" s="117">
        <f t="shared" si="0"/>
        <v>150800</v>
      </c>
      <c r="L11" s="119"/>
      <c r="M11" s="120"/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18">
        <v>191400</v>
      </c>
      <c r="I12" s="73">
        <f>D12*F12*H12</f>
        <v>191400</v>
      </c>
      <c r="J12" s="173">
        <v>50000</v>
      </c>
      <c r="K12" s="117">
        <f t="shared" si="0"/>
        <v>241400</v>
      </c>
      <c r="L12" s="119"/>
      <c r="M12" s="120"/>
      <c r="P12" s="119" t="s">
        <v>356</v>
      </c>
      <c r="Q12" s="177"/>
      <c r="R12" s="177">
        <v>50000</v>
      </c>
      <c r="S12" s="177"/>
      <c r="T12" s="178">
        <f>R12+Q12</f>
        <v>50000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12</v>
      </c>
      <c r="E13" s="68"/>
      <c r="F13" s="78">
        <v>1</v>
      </c>
      <c r="G13" s="77"/>
      <c r="H13" s="118">
        <v>900</v>
      </c>
      <c r="I13" s="73">
        <f>D13*F13*H13</f>
        <v>10800</v>
      </c>
      <c r="J13" s="73"/>
      <c r="K13" s="117">
        <f>H13*D13</f>
        <v>10800</v>
      </c>
      <c r="L13" s="119"/>
      <c r="M13" s="120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10840</v>
      </c>
      <c r="J14" s="73">
        <v>39880</v>
      </c>
      <c r="K14" s="117">
        <f>I14+J14</f>
        <v>50720</v>
      </c>
      <c r="L14" s="119"/>
      <c r="M14" s="120"/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15400</v>
      </c>
      <c r="I15" s="73">
        <f t="shared" ref="I15:I26" si="1">D15*F15*H15</f>
        <v>15400</v>
      </c>
      <c r="J15" s="73"/>
      <c r="K15" s="117">
        <f t="shared" ref="K15:K28" si="2">I15+J15</f>
        <v>15400</v>
      </c>
      <c r="L15" s="119"/>
      <c r="M15" s="120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36600</v>
      </c>
      <c r="I16" s="73">
        <f t="shared" si="1"/>
        <v>36600</v>
      </c>
      <c r="J16" s="73">
        <v>7500</v>
      </c>
      <c r="K16" s="117">
        <f t="shared" si="2"/>
        <v>44100</v>
      </c>
      <c r="L16" s="119"/>
      <c r="M16" s="120"/>
    </row>
    <row r="17" spans="1:14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1800</v>
      </c>
      <c r="I17" s="73">
        <f t="shared" si="1"/>
        <v>3600</v>
      </c>
      <c r="J17" s="73"/>
      <c r="K17" s="117">
        <f t="shared" si="2"/>
        <v>3600</v>
      </c>
      <c r="L17" s="119"/>
      <c r="M17" s="120"/>
    </row>
    <row r="18" spans="1:14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1980</v>
      </c>
      <c r="I18" s="73">
        <f t="shared" si="1"/>
        <v>1980</v>
      </c>
      <c r="J18" s="73">
        <v>3000</v>
      </c>
      <c r="K18" s="117">
        <f t="shared" si="2"/>
        <v>4980</v>
      </c>
      <c r="L18" s="119"/>
      <c r="M18" s="120"/>
    </row>
    <row r="19" spans="1:14" s="121" customFormat="1" ht="18" customHeight="1">
      <c r="A19" s="72">
        <v>12</v>
      </c>
      <c r="B19" s="74" t="s">
        <v>157</v>
      </c>
      <c r="C19" s="76" t="s">
        <v>158</v>
      </c>
      <c r="D19" s="76">
        <v>4</v>
      </c>
      <c r="E19" s="68"/>
      <c r="F19" s="78">
        <v>1</v>
      </c>
      <c r="G19" s="69"/>
      <c r="H19" s="118">
        <v>1190</v>
      </c>
      <c r="I19" s="73">
        <f>H19</f>
        <v>1190</v>
      </c>
      <c r="J19" s="73">
        <v>1500</v>
      </c>
      <c r="K19" s="117">
        <f>(I19+J19)*D19</f>
        <v>10760</v>
      </c>
      <c r="L19" s="119"/>
      <c r="M19" s="120"/>
    </row>
    <row r="20" spans="1:14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17080</v>
      </c>
      <c r="I20" s="73">
        <f t="shared" si="1"/>
        <v>17080</v>
      </c>
      <c r="J20" s="73">
        <v>10000</v>
      </c>
      <c r="K20" s="117">
        <f t="shared" si="2"/>
        <v>27080</v>
      </c>
      <c r="L20" s="119"/>
      <c r="M20" s="120"/>
    </row>
    <row r="21" spans="1:14" s="121" customFormat="1" ht="18" customHeight="1">
      <c r="A21" s="72">
        <v>14</v>
      </c>
      <c r="B21" s="74" t="s">
        <v>160</v>
      </c>
      <c r="C21" s="76" t="s">
        <v>149</v>
      </c>
      <c r="D21" s="76">
        <v>6</v>
      </c>
      <c r="E21" s="68"/>
      <c r="F21" s="78">
        <v>1</v>
      </c>
      <c r="G21" s="69"/>
      <c r="H21" s="118">
        <v>445</v>
      </c>
      <c r="I21" s="73">
        <f t="shared" si="1"/>
        <v>2670</v>
      </c>
      <c r="J21" s="73"/>
      <c r="K21" s="117">
        <f t="shared" si="2"/>
        <v>2670</v>
      </c>
      <c r="L21" s="119"/>
      <c r="M21" s="120"/>
    </row>
    <row r="22" spans="1:14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3000</v>
      </c>
      <c r="I22" s="73">
        <f t="shared" si="1"/>
        <v>3000</v>
      </c>
      <c r="J22" s="73"/>
      <c r="K22" s="117">
        <f t="shared" si="2"/>
        <v>3000</v>
      </c>
      <c r="L22" s="119"/>
      <c r="M22" s="120"/>
    </row>
    <row r="23" spans="1:14" s="121" customFormat="1" ht="18" customHeight="1">
      <c r="A23" s="72">
        <v>16</v>
      </c>
      <c r="B23" s="74" t="s">
        <v>163</v>
      </c>
      <c r="C23" s="76" t="s">
        <v>164</v>
      </c>
      <c r="D23" s="76">
        <v>4</v>
      </c>
      <c r="E23" s="68"/>
      <c r="F23" s="78">
        <v>1</v>
      </c>
      <c r="G23" s="69"/>
      <c r="H23" s="118">
        <v>1200</v>
      </c>
      <c r="I23" s="73">
        <v>1200</v>
      </c>
      <c r="J23" s="73"/>
      <c r="K23" s="117">
        <f>(I23+J23)*D23</f>
        <v>4800</v>
      </c>
      <c r="L23" s="119"/>
      <c r="M23" s="120"/>
    </row>
    <row r="24" spans="1:14" s="121" customFormat="1" ht="18" customHeight="1">
      <c r="A24" s="72">
        <v>17</v>
      </c>
      <c r="B24" s="74" t="s">
        <v>165</v>
      </c>
      <c r="C24" s="76" t="s">
        <v>164</v>
      </c>
      <c r="D24" s="76">
        <v>4</v>
      </c>
      <c r="E24" s="68"/>
      <c r="F24" s="78">
        <v>1</v>
      </c>
      <c r="G24" s="69"/>
      <c r="H24" s="118">
        <v>1800</v>
      </c>
      <c r="I24" s="73">
        <v>1800</v>
      </c>
      <c r="J24" s="73"/>
      <c r="K24" s="117">
        <f>(I24+J24)*D24</f>
        <v>7200</v>
      </c>
      <c r="L24" s="119"/>
      <c r="M24" s="120"/>
    </row>
    <row r="25" spans="1:14" s="121" customFormat="1" ht="18" customHeight="1">
      <c r="A25" s="72">
        <v>18</v>
      </c>
      <c r="B25" s="74"/>
      <c r="C25" s="76"/>
      <c r="D25" s="76"/>
      <c r="E25" s="68"/>
      <c r="F25" s="78"/>
      <c r="G25" s="69"/>
      <c r="H25" s="118"/>
      <c r="I25" s="73"/>
      <c r="J25" s="73"/>
      <c r="K25" s="117"/>
      <c r="L25" s="119"/>
      <c r="M25" s="120"/>
    </row>
    <row r="26" spans="1:14" s="121" customFormat="1" ht="18" customHeight="1">
      <c r="A26" s="72">
        <v>19</v>
      </c>
      <c r="B26" s="74" t="s">
        <v>166</v>
      </c>
      <c r="C26" s="76" t="s">
        <v>154</v>
      </c>
      <c r="D26" s="76">
        <v>1</v>
      </c>
      <c r="E26" s="68"/>
      <c r="F26" s="78">
        <v>1</v>
      </c>
      <c r="G26" s="79"/>
      <c r="H26" s="118">
        <v>61000</v>
      </c>
      <c r="I26" s="73">
        <f t="shared" si="1"/>
        <v>61000</v>
      </c>
      <c r="J26" s="73">
        <v>24000</v>
      </c>
      <c r="K26" s="117">
        <f t="shared" si="2"/>
        <v>85000</v>
      </c>
      <c r="L26" s="119"/>
      <c r="M26" s="120"/>
    </row>
    <row r="27" spans="1:14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305000</v>
      </c>
      <c r="L27" s="125">
        <v>142060</v>
      </c>
      <c r="M27" s="125">
        <v>305000</v>
      </c>
      <c r="N27" s="125">
        <v>355000</v>
      </c>
    </row>
    <row r="28" spans="1:14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54000</v>
      </c>
      <c r="J28" s="117">
        <v>54000</v>
      </c>
      <c r="K28" s="117">
        <f t="shared" si="2"/>
        <v>108000</v>
      </c>
      <c r="L28" s="125"/>
    </row>
    <row r="29" spans="1:14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SUM(K6:K26,K28)</f>
        <v>2119810</v>
      </c>
      <c r="L29" s="86"/>
    </row>
    <row r="30" spans="1:14" s="87" customFormat="1" ht="18" customHeight="1">
      <c r="A30" s="80">
        <v>24</v>
      </c>
      <c r="B30" s="81" t="s">
        <v>171</v>
      </c>
      <c r="C30" s="82"/>
      <c r="D30" s="82"/>
      <c r="E30" s="83"/>
      <c r="F30" s="83"/>
      <c r="G30" s="83"/>
      <c r="H30" s="83"/>
      <c r="I30" s="84"/>
      <c r="J30" s="84"/>
      <c r="K30" s="85">
        <f>SUM(K6:K28)</f>
        <v>2424810</v>
      </c>
      <c r="L30" s="86"/>
    </row>
    <row r="31" spans="1:14" s="87" customFormat="1" ht="18" customHeight="1">
      <c r="A31" s="80">
        <v>25</v>
      </c>
      <c r="B31" s="88"/>
      <c r="C31" s="89"/>
      <c r="D31" s="89"/>
      <c r="E31" s="90"/>
      <c r="F31" s="90"/>
      <c r="G31" s="90"/>
      <c r="H31" s="90"/>
      <c r="I31" s="90"/>
      <c r="J31" s="90"/>
      <c r="K31" s="90"/>
      <c r="L31" s="86"/>
    </row>
    <row r="32" spans="1:14" s="121" customFormat="1" ht="18" customHeight="1">
      <c r="A32" s="72">
        <v>26</v>
      </c>
      <c r="B32" s="74" t="s">
        <v>172</v>
      </c>
      <c r="C32" s="76"/>
      <c r="D32" s="76">
        <v>1</v>
      </c>
      <c r="E32" s="68"/>
      <c r="F32" s="78"/>
      <c r="G32" s="79"/>
      <c r="H32" s="68"/>
      <c r="I32" s="73"/>
      <c r="J32" s="73"/>
      <c r="K32" s="117">
        <f>I32+J32</f>
        <v>0</v>
      </c>
      <c r="L32" s="125"/>
    </row>
    <row r="33" spans="1:13" s="121" customFormat="1" ht="24">
      <c r="A33" s="207">
        <v>27</v>
      </c>
      <c r="B33" s="132" t="s">
        <v>173</v>
      </c>
      <c r="C33" s="76"/>
      <c r="D33" s="76">
        <v>4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 customHeight="1">
      <c r="A34" s="207"/>
      <c r="B34" s="74" t="s">
        <v>174</v>
      </c>
      <c r="C34" s="76"/>
      <c r="D34" s="76">
        <v>1</v>
      </c>
      <c r="E34" s="68"/>
      <c r="F34" s="78"/>
      <c r="G34" s="68"/>
      <c r="H34" s="68"/>
      <c r="I34" s="68"/>
      <c r="J34" s="68"/>
      <c r="K34" s="117">
        <v>79000</v>
      </c>
      <c r="L34" s="125"/>
    </row>
    <row r="35" spans="1:13" s="121" customFormat="1" ht="18" customHeight="1">
      <c r="A35" s="72">
        <v>28</v>
      </c>
      <c r="B35" s="133" t="s">
        <v>175</v>
      </c>
      <c r="C35" s="76"/>
      <c r="D35" s="134"/>
      <c r="E35" s="68"/>
      <c r="F35" s="68"/>
      <c r="G35" s="68"/>
      <c r="H35" s="68"/>
      <c r="I35" s="124">
        <f>SUM(K31:K34)</f>
        <v>79000</v>
      </c>
      <c r="J35" s="135">
        <v>1</v>
      </c>
      <c r="K35" s="124">
        <f>J35*I35</f>
        <v>79000</v>
      </c>
      <c r="L35" s="125"/>
    </row>
    <row r="36" spans="1:13" s="8" customFormat="1" ht="18" customHeight="1">
      <c r="A36" s="21">
        <v>29</v>
      </c>
      <c r="B36" s="9"/>
      <c r="C36" s="10"/>
      <c r="D36" s="10"/>
      <c r="E36" s="11"/>
      <c r="F36" s="11"/>
      <c r="G36" s="11"/>
      <c r="H36" s="11"/>
      <c r="I36" s="11"/>
      <c r="J36" s="19"/>
      <c r="K36" s="11"/>
      <c r="L36" s="12"/>
    </row>
    <row r="37" spans="1:13" s="8" customFormat="1" ht="18" customHeight="1">
      <c r="A37" s="21">
        <v>30</v>
      </c>
      <c r="B37" s="20" t="s">
        <v>102</v>
      </c>
      <c r="C37" s="13"/>
      <c r="D37" s="13"/>
      <c r="E37" s="14"/>
      <c r="F37" s="14"/>
      <c r="G37" s="14"/>
      <c r="H37" s="14"/>
      <c r="I37" s="15">
        <f>K29</f>
        <v>2119810</v>
      </c>
      <c r="J37" s="21"/>
      <c r="K37" s="17">
        <f>I37+K35</f>
        <v>2198810</v>
      </c>
      <c r="L37" s="12"/>
    </row>
    <row r="38" spans="1:13" s="8" customFormat="1" ht="18" customHeight="1">
      <c r="A38" s="21">
        <v>32</v>
      </c>
      <c r="B38" s="20" t="s">
        <v>104</v>
      </c>
      <c r="C38" s="13"/>
      <c r="D38" s="13"/>
      <c r="E38" s="14"/>
      <c r="F38" s="14"/>
      <c r="G38" s="14"/>
      <c r="H38" s="14"/>
      <c r="I38" s="15">
        <f>K30</f>
        <v>2424810</v>
      </c>
      <c r="J38" s="21"/>
      <c r="K38" s="17">
        <f>I38+K35</f>
        <v>2503810</v>
      </c>
      <c r="L38" s="22"/>
    </row>
    <row r="39" spans="1:13" s="8" customFormat="1" ht="18" customHeight="1">
      <c r="A39" s="21">
        <v>33</v>
      </c>
      <c r="B39" s="45" t="s">
        <v>105</v>
      </c>
      <c r="C39" s="41"/>
      <c r="D39" s="41"/>
      <c r="E39" s="44"/>
      <c r="F39" s="46"/>
      <c r="G39" s="46"/>
      <c r="H39" s="42"/>
      <c r="I39" s="42"/>
      <c r="J39" s="21">
        <f>BFLY!B21</f>
        <v>1</v>
      </c>
      <c r="K39" s="43">
        <f>K37*J39</f>
        <v>2198810</v>
      </c>
      <c r="L39" s="22"/>
    </row>
    <row r="40" spans="1:13" s="23" customFormat="1" ht="18" customHeight="1">
      <c r="A40" s="21">
        <v>35</v>
      </c>
      <c r="B40" s="45" t="s">
        <v>107</v>
      </c>
      <c r="C40" s="41"/>
      <c r="D40" s="41"/>
      <c r="E40" s="44"/>
      <c r="F40" s="46"/>
      <c r="G40" s="46"/>
      <c r="H40" s="42"/>
      <c r="I40" s="42"/>
      <c r="J40" s="21">
        <f>BFLY!B21</f>
        <v>1</v>
      </c>
      <c r="K40" s="43">
        <f>K38*J40</f>
        <v>2503810</v>
      </c>
      <c r="L40" s="22"/>
      <c r="M40" s="8"/>
    </row>
    <row r="41" spans="1:13" s="23" customFormat="1" ht="18" customHeight="1">
      <c r="A41" s="136"/>
      <c r="L41" s="22"/>
      <c r="M41" s="8"/>
    </row>
    <row r="42" spans="1:13" s="23" customFormat="1" ht="18" customHeight="1">
      <c r="L42" s="24"/>
    </row>
    <row r="43" spans="1:13" s="23" customFormat="1" ht="18" customHeight="1">
      <c r="L43" s="24"/>
    </row>
    <row r="44" spans="1:13" s="23" customFormat="1" ht="18" customHeight="1">
      <c r="L44" s="24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D49" s="24"/>
      <c r="L49" s="24"/>
    </row>
    <row r="50" spans="2:12" s="23" customFormat="1" ht="12"/>
    <row r="51" spans="2:12" s="23" customFormat="1" ht="12">
      <c r="L51" s="24"/>
    </row>
    <row r="52" spans="2:12" s="23" customFormat="1" ht="1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4"/>
    </row>
    <row r="53" spans="2:12" s="25" customFormat="1" ht="15">
      <c r="L53" s="24"/>
    </row>
    <row r="54" spans="2:12" s="25" customFormat="1" ht="15">
      <c r="L54" s="24"/>
    </row>
    <row r="55" spans="2:12" s="25" customFormat="1" ht="15">
      <c r="B55" s="3"/>
      <c r="C55" s="3"/>
      <c r="D55" s="3"/>
      <c r="E55" s="3"/>
      <c r="F55" s="3"/>
      <c r="G55" s="3"/>
      <c r="H55" s="3"/>
      <c r="I55" s="3"/>
      <c r="J55" s="3"/>
      <c r="K55" s="3"/>
      <c r="L55" s="24"/>
    </row>
  </sheetData>
  <mergeCells count="3">
    <mergeCell ref="A33:A34"/>
    <mergeCell ref="M8:O8"/>
    <mergeCell ref="A6:A8"/>
  </mergeCells>
  <phoneticPr fontId="8" type="noConversion"/>
  <pageMargins left="0.75" right="0.75" top="1" bottom="1" header="0.5" footer="0.5"/>
  <pageSetup paperSize="9" scale="87" orientation="portrait" r:id="rId1"/>
  <headerFooter alignWithMargins="0"/>
  <colBreaks count="1" manualBreakCount="1">
    <brk id="11" max="1048575" man="1"/>
  </colBreaks>
  <ignoredErrors>
    <ignoredError sqref="I19 K13 K19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T55"/>
  <sheetViews>
    <sheetView tabSelected="1" view="pageBreakPreview" zoomScaleNormal="100" zoomScaleSheetLayoutView="100" workbookViewId="0">
      <selection activeCell="F8" sqref="F8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328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>
      <c r="Q4" s="8" t="s">
        <v>351</v>
      </c>
      <c r="R4" s="8" t="s">
        <v>9</v>
      </c>
      <c r="S4" s="8"/>
      <c r="T4" s="8" t="s">
        <v>352</v>
      </c>
    </row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IF(C6="WCB",102,IF(C6="CF8",102,IF(C6="CF8M",102)))</f>
        <v>102</v>
      </c>
      <c r="G6" s="69"/>
      <c r="H6" s="118">
        <f>BFLY!C13</f>
        <v>4000</v>
      </c>
      <c r="I6" s="70">
        <f>D6*F6*H6</f>
        <v>408000</v>
      </c>
      <c r="J6" s="127">
        <f>IF(C6="WCB",190000,IF(C6="CF8",245000,IF(C6="CF8M",245000)))</f>
        <v>245000</v>
      </c>
      <c r="K6" s="128">
        <f t="shared" ref="K6:K12" si="0">I6+J6</f>
        <v>653000</v>
      </c>
      <c r="L6" s="119"/>
      <c r="M6" s="120"/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IF(C7="WCB",172,IF(C7="CF8",172,IF(C7="CF8M",172)))</f>
        <v>0</v>
      </c>
      <c r="G7" s="69"/>
      <c r="H7" s="118">
        <f>BFLY!C14</f>
        <v>0</v>
      </c>
      <c r="I7" s="70">
        <f>D7*F7*H7</f>
        <v>0</v>
      </c>
      <c r="J7" s="127" t="b">
        <f>IF(C7="WCB",225000,IF(C7="CF8",275000,IF(C7="CF8M",275000)))</f>
        <v>0</v>
      </c>
      <c r="K7" s="128">
        <f t="shared" si="0"/>
        <v>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IF(C8="WCB",172,IF(C8="CF8",172,IF(C8="CF8M",172)))</f>
        <v>172</v>
      </c>
      <c r="G8" s="69"/>
      <c r="H8" s="118">
        <f>BFLY!C15</f>
        <v>0</v>
      </c>
      <c r="I8" s="70">
        <f>D8*F8*H8</f>
        <v>0</v>
      </c>
      <c r="J8" s="127">
        <f>IF(C8="WCB",300000,IF(C8="CF8",300000,IF(C8="CF8M",300000)))</f>
        <v>300000</v>
      </c>
      <c r="K8" s="128">
        <f t="shared" si="0"/>
        <v>300000</v>
      </c>
      <c r="L8" s="122" t="s">
        <v>138</v>
      </c>
      <c r="M8" s="208" t="s">
        <v>139</v>
      </c>
      <c r="N8" s="209"/>
      <c r="O8" s="210"/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IF(C9="CF8",56,IF(C9="CF8M",55,IF(C9="CF3M",56,IF(C9="B148",65))))</f>
        <v>55</v>
      </c>
      <c r="G9" s="69"/>
      <c r="H9" s="118">
        <f>BFLY!C16</f>
        <v>8000</v>
      </c>
      <c r="I9" s="73">
        <f>D9*F9*H9</f>
        <v>440000</v>
      </c>
      <c r="J9" s="129">
        <f>IF(C9="CF8",165000,IF(C9="CF8M",165000,IF(C9="CF3M",165000,IF(C9="B148",165000))))</f>
        <v>165000</v>
      </c>
      <c r="K9" s="117">
        <f t="shared" si="0"/>
        <v>605000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IF(C10="RTFE",140000,IF(C10="RTFE-A",0,IF(C10="METAL-B",16500,IF(C10="RTFE + METAL",182500))))</f>
        <v>140000</v>
      </c>
      <c r="J10" s="185">
        <f>IF(C10="RTFE",20000,IF(C10="METAL-B",30000,IF(C10="RTFE + METAL",10000)))</f>
        <v>20000</v>
      </c>
      <c r="K10" s="117">
        <f t="shared" si="0"/>
        <v>160000</v>
      </c>
      <c r="L10" s="173">
        <v>140000</v>
      </c>
      <c r="M10" s="124">
        <v>137500</v>
      </c>
      <c r="N10" s="173">
        <v>45000</v>
      </c>
      <c r="O10" s="124">
        <f>M10+N10</f>
        <v>182500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20</v>
      </c>
      <c r="G11" s="77"/>
      <c r="H11" s="118">
        <f>BFLY!C17</f>
        <v>8000</v>
      </c>
      <c r="I11" s="73">
        <f>D11*F11*H11</f>
        <v>160000</v>
      </c>
      <c r="J11" s="73">
        <v>50000</v>
      </c>
      <c r="K11" s="117">
        <f t="shared" si="0"/>
        <v>210000</v>
      </c>
      <c r="L11" s="119"/>
      <c r="M11" s="120"/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18">
        <v>165000</v>
      </c>
      <c r="I12" s="73">
        <f>D12*F12*H12</f>
        <v>165000</v>
      </c>
      <c r="J12" s="171">
        <v>55000</v>
      </c>
      <c r="K12" s="117">
        <f t="shared" si="0"/>
        <v>220000</v>
      </c>
      <c r="L12" s="119"/>
      <c r="M12" s="120"/>
      <c r="P12" s="119" t="s">
        <v>356</v>
      </c>
      <c r="Q12" s="177"/>
      <c r="R12" s="177">
        <v>55000</v>
      </c>
      <c r="S12" s="177"/>
      <c r="T12" s="178">
        <f>R12+Q12</f>
        <v>55000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16</v>
      </c>
      <c r="E13" s="68"/>
      <c r="F13" s="78">
        <v>1</v>
      </c>
      <c r="G13" s="77"/>
      <c r="H13" s="118">
        <v>900</v>
      </c>
      <c r="I13" s="73">
        <f>D13*F13*H13</f>
        <v>14400</v>
      </c>
      <c r="J13" s="73"/>
      <c r="K13" s="117">
        <f>H13*D13</f>
        <v>14400</v>
      </c>
      <c r="L13" s="119"/>
      <c r="M13" s="120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12800</v>
      </c>
      <c r="J14" s="73">
        <v>45900</v>
      </c>
      <c r="K14" s="117">
        <f>I14+J14</f>
        <v>58700</v>
      </c>
      <c r="L14" s="119"/>
      <c r="M14" s="120"/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18200</v>
      </c>
      <c r="I15" s="73">
        <f t="shared" ref="I15:I26" si="1">D15*F15*H15</f>
        <v>18200</v>
      </c>
      <c r="J15" s="73"/>
      <c r="K15" s="117">
        <f t="shared" ref="K15:K28" si="2">I15+J15</f>
        <v>18200</v>
      </c>
      <c r="L15" s="119"/>
      <c r="M15" s="120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33500</v>
      </c>
      <c r="I16" s="73">
        <f t="shared" si="1"/>
        <v>33500</v>
      </c>
      <c r="J16" s="73">
        <v>7500</v>
      </c>
      <c r="K16" s="117">
        <f t="shared" si="2"/>
        <v>41000</v>
      </c>
      <c r="L16" s="119"/>
      <c r="M16" s="120"/>
    </row>
    <row r="17" spans="1:14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1800</v>
      </c>
      <c r="I17" s="73">
        <f t="shared" si="1"/>
        <v>3600</v>
      </c>
      <c r="J17" s="73"/>
      <c r="K17" s="117">
        <f t="shared" si="2"/>
        <v>3600</v>
      </c>
      <c r="L17" s="119"/>
      <c r="M17" s="120"/>
    </row>
    <row r="18" spans="1:14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2380</v>
      </c>
      <c r="I18" s="73">
        <f t="shared" si="1"/>
        <v>2380</v>
      </c>
      <c r="J18" s="73">
        <v>3000</v>
      </c>
      <c r="K18" s="117">
        <f t="shared" si="2"/>
        <v>5380</v>
      </c>
      <c r="L18" s="119"/>
      <c r="M18" s="120"/>
    </row>
    <row r="19" spans="1:14" s="121" customFormat="1" ht="18" customHeight="1">
      <c r="A19" s="72">
        <v>12</v>
      </c>
      <c r="B19" s="74" t="s">
        <v>157</v>
      </c>
      <c r="C19" s="76" t="s">
        <v>158</v>
      </c>
      <c r="D19" s="76">
        <v>4</v>
      </c>
      <c r="E19" s="68"/>
      <c r="F19" s="78">
        <v>1</v>
      </c>
      <c r="G19" s="69"/>
      <c r="H19" s="118">
        <v>1350</v>
      </c>
      <c r="I19" s="73">
        <f>H19</f>
        <v>1350</v>
      </c>
      <c r="J19" s="73">
        <v>1500</v>
      </c>
      <c r="K19" s="117">
        <f>(I19+J19)*D19</f>
        <v>11400</v>
      </c>
      <c r="L19" s="119"/>
      <c r="M19" s="120"/>
    </row>
    <row r="20" spans="1:14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26840</v>
      </c>
      <c r="I20" s="73">
        <f t="shared" si="1"/>
        <v>26840</v>
      </c>
      <c r="J20" s="73">
        <v>10000</v>
      </c>
      <c r="K20" s="117">
        <f t="shared" si="2"/>
        <v>36840</v>
      </c>
      <c r="L20" s="119"/>
      <c r="M20" s="120"/>
    </row>
    <row r="21" spans="1:14" s="121" customFormat="1" ht="18" customHeight="1">
      <c r="A21" s="72">
        <v>14</v>
      </c>
      <c r="B21" s="74" t="s">
        <v>160</v>
      </c>
      <c r="C21" s="76" t="s">
        <v>149</v>
      </c>
      <c r="D21" s="76">
        <v>6</v>
      </c>
      <c r="E21" s="68"/>
      <c r="F21" s="78">
        <v>1</v>
      </c>
      <c r="G21" s="69"/>
      <c r="H21" s="118">
        <v>380</v>
      </c>
      <c r="I21" s="73">
        <f t="shared" si="1"/>
        <v>2280</v>
      </c>
      <c r="J21" s="73"/>
      <c r="K21" s="117">
        <f t="shared" si="2"/>
        <v>2280</v>
      </c>
      <c r="L21" s="119"/>
      <c r="M21" s="120"/>
    </row>
    <row r="22" spans="1:14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3000</v>
      </c>
      <c r="I22" s="73">
        <f t="shared" si="1"/>
        <v>3000</v>
      </c>
      <c r="J22" s="73"/>
      <c r="K22" s="117">
        <f t="shared" si="2"/>
        <v>3000</v>
      </c>
      <c r="L22" s="119"/>
      <c r="M22" s="120"/>
    </row>
    <row r="23" spans="1:14" s="121" customFormat="1" ht="18" customHeight="1">
      <c r="A23" s="72">
        <v>16</v>
      </c>
      <c r="B23" s="74" t="s">
        <v>163</v>
      </c>
      <c r="C23" s="76" t="s">
        <v>164</v>
      </c>
      <c r="D23" s="76">
        <v>4</v>
      </c>
      <c r="E23" s="68"/>
      <c r="F23" s="78">
        <v>1</v>
      </c>
      <c r="G23" s="69"/>
      <c r="H23" s="118">
        <v>1200</v>
      </c>
      <c r="I23" s="73">
        <f>H23</f>
        <v>1200</v>
      </c>
      <c r="J23" s="73"/>
      <c r="K23" s="117">
        <f>(I23+J23)*D23</f>
        <v>4800</v>
      </c>
      <c r="L23" s="119"/>
      <c r="M23" s="120"/>
    </row>
    <row r="24" spans="1:14" s="121" customFormat="1" ht="18" customHeight="1">
      <c r="A24" s="72">
        <v>17</v>
      </c>
      <c r="B24" s="74" t="s">
        <v>165</v>
      </c>
      <c r="C24" s="76" t="s">
        <v>164</v>
      </c>
      <c r="D24" s="76">
        <v>4</v>
      </c>
      <c r="E24" s="68"/>
      <c r="F24" s="78">
        <v>1</v>
      </c>
      <c r="G24" s="69"/>
      <c r="H24" s="118">
        <v>1800</v>
      </c>
      <c r="I24" s="73">
        <f>H24</f>
        <v>1800</v>
      </c>
      <c r="J24" s="73"/>
      <c r="K24" s="117">
        <f>(I24+J24)*D24</f>
        <v>7200</v>
      </c>
      <c r="L24" s="119"/>
      <c r="M24" s="120"/>
    </row>
    <row r="25" spans="1:14" s="121" customFormat="1" ht="18" customHeight="1">
      <c r="A25" s="72">
        <v>18</v>
      </c>
      <c r="B25" s="74"/>
      <c r="C25" s="76"/>
      <c r="D25" s="76"/>
      <c r="E25" s="68"/>
      <c r="F25" s="78"/>
      <c r="G25" s="69"/>
      <c r="H25" s="118"/>
      <c r="I25" s="73"/>
      <c r="J25" s="73"/>
      <c r="K25" s="117"/>
      <c r="L25" s="119"/>
      <c r="M25" s="120"/>
    </row>
    <row r="26" spans="1:14" s="121" customFormat="1" ht="18" customHeight="1">
      <c r="A26" s="72">
        <v>19</v>
      </c>
      <c r="B26" s="74" t="s">
        <v>166</v>
      </c>
      <c r="C26" s="76" t="s">
        <v>154</v>
      </c>
      <c r="D26" s="76">
        <v>1</v>
      </c>
      <c r="E26" s="68"/>
      <c r="F26" s="78">
        <v>1</v>
      </c>
      <c r="G26" s="79"/>
      <c r="H26" s="118">
        <v>61000</v>
      </c>
      <c r="I26" s="73">
        <f t="shared" si="1"/>
        <v>61000</v>
      </c>
      <c r="J26" s="73">
        <v>24000</v>
      </c>
      <c r="K26" s="117">
        <f t="shared" si="2"/>
        <v>85000</v>
      </c>
      <c r="L26" s="119"/>
      <c r="M26" s="120"/>
    </row>
    <row r="27" spans="1:14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305000</v>
      </c>
      <c r="L27" s="125">
        <v>225100</v>
      </c>
      <c r="M27" s="125">
        <v>305000</v>
      </c>
      <c r="N27" s="125">
        <v>355000</v>
      </c>
    </row>
    <row r="28" spans="1:14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78000</v>
      </c>
      <c r="J28" s="117">
        <v>58000</v>
      </c>
      <c r="K28" s="117">
        <f t="shared" si="2"/>
        <v>136000</v>
      </c>
      <c r="L28" s="125"/>
    </row>
    <row r="29" spans="1:14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SUM(K6:K26,K28)</f>
        <v>2575800</v>
      </c>
      <c r="L29" s="86"/>
    </row>
    <row r="30" spans="1:14" s="87" customFormat="1" ht="18" customHeight="1">
      <c r="A30" s="80">
        <v>24</v>
      </c>
      <c r="B30" s="81" t="s">
        <v>171</v>
      </c>
      <c r="C30" s="82"/>
      <c r="D30" s="82"/>
      <c r="E30" s="83"/>
      <c r="F30" s="83"/>
      <c r="G30" s="83"/>
      <c r="H30" s="83"/>
      <c r="I30" s="84"/>
      <c r="J30" s="84"/>
      <c r="K30" s="85">
        <f>SUM(K6:K28)</f>
        <v>2880800</v>
      </c>
      <c r="L30" s="86"/>
    </row>
    <row r="31" spans="1:14" s="87" customFormat="1" ht="18" customHeight="1">
      <c r="A31" s="80">
        <v>25</v>
      </c>
      <c r="B31" s="88"/>
      <c r="C31" s="89"/>
      <c r="D31" s="89"/>
      <c r="E31" s="90"/>
      <c r="F31" s="90"/>
      <c r="G31" s="90"/>
      <c r="H31" s="90"/>
      <c r="I31" s="90"/>
      <c r="J31" s="90"/>
      <c r="K31" s="90"/>
      <c r="L31" s="86"/>
    </row>
    <row r="32" spans="1:14" s="121" customFormat="1" ht="18" customHeight="1">
      <c r="A32" s="72">
        <v>26</v>
      </c>
      <c r="B32" s="74" t="s">
        <v>172</v>
      </c>
      <c r="C32" s="76"/>
      <c r="D32" s="76">
        <v>1</v>
      </c>
      <c r="E32" s="68"/>
      <c r="F32" s="78"/>
      <c r="G32" s="79"/>
      <c r="H32" s="68"/>
      <c r="I32" s="73"/>
      <c r="J32" s="73"/>
      <c r="K32" s="117">
        <f>I32+J32</f>
        <v>0</v>
      </c>
      <c r="L32" s="125"/>
    </row>
    <row r="33" spans="1:13" s="121" customFormat="1" ht="24">
      <c r="A33" s="207">
        <v>27</v>
      </c>
      <c r="B33" s="132" t="s">
        <v>173</v>
      </c>
      <c r="C33" s="76"/>
      <c r="D33" s="76">
        <v>4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 customHeight="1">
      <c r="A34" s="207"/>
      <c r="B34" s="74" t="s">
        <v>174</v>
      </c>
      <c r="C34" s="76"/>
      <c r="D34" s="76">
        <v>1</v>
      </c>
      <c r="E34" s="68"/>
      <c r="F34" s="78"/>
      <c r="G34" s="68"/>
      <c r="H34" s="68"/>
      <c r="I34" s="68"/>
      <c r="J34" s="68"/>
      <c r="K34" s="117">
        <v>103000</v>
      </c>
      <c r="L34" s="125"/>
    </row>
    <row r="35" spans="1:13" s="121" customFormat="1" ht="18" customHeight="1">
      <c r="A35" s="72">
        <v>28</v>
      </c>
      <c r="B35" s="133" t="s">
        <v>175</v>
      </c>
      <c r="C35" s="76"/>
      <c r="D35" s="134"/>
      <c r="E35" s="68"/>
      <c r="F35" s="68"/>
      <c r="G35" s="68"/>
      <c r="H35" s="68"/>
      <c r="I35" s="124">
        <f>SUM(K31:K34)</f>
        <v>103000</v>
      </c>
      <c r="J35" s="135">
        <v>1</v>
      </c>
      <c r="K35" s="124">
        <f>J35*I35</f>
        <v>103000</v>
      </c>
      <c r="L35" s="125"/>
    </row>
    <row r="36" spans="1:13" s="8" customFormat="1" ht="18" customHeight="1">
      <c r="A36" s="21">
        <v>29</v>
      </c>
      <c r="B36" s="9"/>
      <c r="C36" s="10"/>
      <c r="D36" s="10"/>
      <c r="E36" s="11"/>
      <c r="F36" s="11"/>
      <c r="G36" s="11"/>
      <c r="H36" s="11"/>
      <c r="I36" s="11"/>
      <c r="J36" s="19"/>
      <c r="K36" s="11"/>
      <c r="L36" s="12"/>
    </row>
    <row r="37" spans="1:13" s="8" customFormat="1" ht="18" customHeight="1">
      <c r="A37" s="21">
        <v>30</v>
      </c>
      <c r="B37" s="20" t="s">
        <v>102</v>
      </c>
      <c r="C37" s="13"/>
      <c r="D37" s="13"/>
      <c r="E37" s="14"/>
      <c r="F37" s="14"/>
      <c r="G37" s="14"/>
      <c r="H37" s="14"/>
      <c r="I37" s="15">
        <f>K29</f>
        <v>2575800</v>
      </c>
      <c r="J37" s="21"/>
      <c r="K37" s="17">
        <f>I37+K35</f>
        <v>2678800</v>
      </c>
      <c r="L37" s="12"/>
    </row>
    <row r="38" spans="1:13" s="8" customFormat="1" ht="18" customHeight="1">
      <c r="A38" s="21">
        <v>32</v>
      </c>
      <c r="B38" s="20" t="s">
        <v>104</v>
      </c>
      <c r="C38" s="13"/>
      <c r="D38" s="13"/>
      <c r="E38" s="14"/>
      <c r="F38" s="14"/>
      <c r="G38" s="14"/>
      <c r="H38" s="14"/>
      <c r="I38" s="15">
        <f>K30</f>
        <v>2880800</v>
      </c>
      <c r="J38" s="21"/>
      <c r="K38" s="17">
        <f>I38+K35</f>
        <v>2983800</v>
      </c>
      <c r="L38" s="22"/>
    </row>
    <row r="39" spans="1:13" s="8" customFormat="1" ht="18" customHeight="1">
      <c r="A39" s="21">
        <v>33</v>
      </c>
      <c r="B39" s="45" t="s">
        <v>105</v>
      </c>
      <c r="C39" s="41"/>
      <c r="D39" s="41"/>
      <c r="E39" s="44"/>
      <c r="F39" s="46"/>
      <c r="G39" s="46"/>
      <c r="H39" s="42"/>
      <c r="I39" s="42"/>
      <c r="J39" s="21">
        <f>BFLY!B21</f>
        <v>1</v>
      </c>
      <c r="K39" s="43">
        <f>K37*J39</f>
        <v>2678800</v>
      </c>
      <c r="L39" s="22"/>
    </row>
    <row r="40" spans="1:13" s="23" customFormat="1" ht="18" customHeight="1">
      <c r="A40" s="21">
        <v>35</v>
      </c>
      <c r="B40" s="45" t="s">
        <v>107</v>
      </c>
      <c r="C40" s="41"/>
      <c r="D40" s="41"/>
      <c r="E40" s="44"/>
      <c r="F40" s="46"/>
      <c r="G40" s="46"/>
      <c r="H40" s="42"/>
      <c r="I40" s="42"/>
      <c r="J40" s="21">
        <f>BFLY!B21</f>
        <v>1</v>
      </c>
      <c r="K40" s="43">
        <f>K38*J40</f>
        <v>2983800</v>
      </c>
      <c r="L40" s="22"/>
      <c r="M40" s="8"/>
    </row>
    <row r="41" spans="1:13" s="23" customFormat="1" ht="18" customHeight="1">
      <c r="A41" s="136"/>
      <c r="L41" s="22"/>
      <c r="M41" s="8"/>
    </row>
    <row r="42" spans="1:13" s="23" customFormat="1" ht="18" customHeight="1">
      <c r="L42" s="24"/>
    </row>
    <row r="43" spans="1:13" s="23" customFormat="1" ht="18" customHeight="1">
      <c r="L43" s="24"/>
    </row>
    <row r="44" spans="1:13" s="23" customFormat="1" ht="18" customHeight="1">
      <c r="L44" s="24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D49" s="24"/>
      <c r="L49" s="24"/>
    </row>
    <row r="50" spans="2:12" s="23" customFormat="1" ht="12"/>
    <row r="51" spans="2:12" s="23" customFormat="1" ht="12">
      <c r="L51" s="24"/>
    </row>
    <row r="52" spans="2:12" s="23" customFormat="1" ht="1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4"/>
    </row>
    <row r="53" spans="2:12" s="25" customFormat="1" ht="15">
      <c r="L53" s="24"/>
    </row>
    <row r="54" spans="2:12" s="25" customFormat="1" ht="15">
      <c r="L54" s="24"/>
    </row>
    <row r="55" spans="2:12" s="25" customFormat="1" ht="15">
      <c r="B55" s="3"/>
      <c r="C55" s="3"/>
      <c r="D55" s="3"/>
      <c r="E55" s="3"/>
      <c r="F55" s="3"/>
      <c r="G55" s="3"/>
      <c r="H55" s="3"/>
      <c r="I55" s="3"/>
      <c r="J55" s="3"/>
      <c r="K55" s="3"/>
      <c r="L55" s="24"/>
    </row>
  </sheetData>
  <mergeCells count="3">
    <mergeCell ref="A33:A34"/>
    <mergeCell ref="M8:O8"/>
    <mergeCell ref="A6:A8"/>
  </mergeCells>
  <phoneticPr fontId="8" type="noConversion"/>
  <pageMargins left="0.75" right="0.75" top="1" bottom="1" header="0.5" footer="0.5"/>
  <pageSetup paperSize="9" scale="87" orientation="portrait" r:id="rId1"/>
  <headerFooter alignWithMargins="0"/>
  <colBreaks count="1" manualBreakCount="1">
    <brk id="11" max="1048575" man="1"/>
  </colBreaks>
  <ignoredErrors>
    <ignoredError sqref="I19 K13 K19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T55"/>
  <sheetViews>
    <sheetView view="pageBreakPreview" zoomScale="115" zoomScaleNormal="100" zoomScaleSheetLayoutView="115" workbookViewId="0">
      <selection activeCell="F7" sqref="F7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327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>
      <c r="Q4" s="8" t="s">
        <v>351</v>
      </c>
      <c r="R4" s="8" t="s">
        <v>9</v>
      </c>
      <c r="S4" s="8"/>
      <c r="T4" s="8" t="s">
        <v>352</v>
      </c>
    </row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/>
      <c r="G6" s="69"/>
      <c r="H6" s="118">
        <f>BFLY!C13</f>
        <v>4000</v>
      </c>
      <c r="I6" s="70">
        <f>D6*F6*H6</f>
        <v>0</v>
      </c>
      <c r="J6" s="127">
        <f>IF(C6="WCB",210000,IF(C6="CF8",240000,IF(C6="CF8M",240000)))</f>
        <v>240000</v>
      </c>
      <c r="K6" s="128">
        <f t="shared" ref="K6:K12" si="0">I6+J6</f>
        <v>240000</v>
      </c>
      <c r="L6" s="119"/>
      <c r="M6" s="120"/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/>
      <c r="G7" s="69"/>
      <c r="H7" s="118">
        <f>BFLY!C14</f>
        <v>0</v>
      </c>
      <c r="I7" s="70">
        <f>D7*F7*H7</f>
        <v>0</v>
      </c>
      <c r="J7" s="127" t="b">
        <f>IF(C7="WCB",250000,IF(C7="CF8",290000,IF(C7="CF8M",290000)))</f>
        <v>0</v>
      </c>
      <c r="K7" s="128">
        <f t="shared" si="0"/>
        <v>0</v>
      </c>
    </row>
    <row r="8" spans="1:20" s="121" customFormat="1" ht="18" customHeight="1">
      <c r="A8" s="213"/>
      <c r="B8" s="71" t="s">
        <v>137</v>
      </c>
      <c r="C8" s="104" t="s">
        <v>392</v>
      </c>
      <c r="D8" s="67">
        <v>1</v>
      </c>
      <c r="E8" s="68"/>
      <c r="F8" s="126">
        <f>IF(C8="WCB",260,IF(C8="CF8",260,IF(C8="CF8M",260)))</f>
        <v>260</v>
      </c>
      <c r="G8" s="69"/>
      <c r="H8" s="118">
        <f>BFLY!C15</f>
        <v>0</v>
      </c>
      <c r="I8" s="70">
        <f>D8*F8*H8</f>
        <v>0</v>
      </c>
      <c r="J8" s="127">
        <f>IF(C8="WCB",330000,IF(C8="CF8",330000,IF(C8="CF8M",330000)))</f>
        <v>330000</v>
      </c>
      <c r="K8" s="128">
        <f t="shared" si="0"/>
        <v>330000</v>
      </c>
      <c r="L8" s="122" t="s">
        <v>138</v>
      </c>
      <c r="M8" s="208" t="s">
        <v>139</v>
      </c>
      <c r="N8" s="209"/>
      <c r="O8" s="210"/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IF(C9="CF8",96,IF(C9="CF8M",96,IF(C9="CF3M",96,IF(C9="B148",104))))</f>
        <v>96</v>
      </c>
      <c r="G9" s="69"/>
      <c r="H9" s="118">
        <f>BFLY!C16</f>
        <v>8000</v>
      </c>
      <c r="I9" s="73">
        <f>D9*F9*H9</f>
        <v>768000</v>
      </c>
      <c r="J9" s="127">
        <f>IF(C9="CF8",165000,IF(C9="CF8M",165000,IF(C9="CF3M",165000,IF(C9="B148",165000))))</f>
        <v>165000</v>
      </c>
      <c r="K9" s="117">
        <f t="shared" si="0"/>
        <v>933000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IF(C10="RTFE",250000,IF(C10="RTFE-A",204600,IF(C10="METAL-B",21910,IF(C10="RTFE + METAL",302500))))</f>
        <v>250000</v>
      </c>
      <c r="J10" s="185">
        <f>IF(C10="RTFE",80000,IF(C10="METAL-B",80000,IF(C10="RTFE + METAL",30000)))</f>
        <v>80000</v>
      </c>
      <c r="K10" s="117">
        <f t="shared" si="0"/>
        <v>330000</v>
      </c>
      <c r="L10" s="173">
        <v>250000</v>
      </c>
      <c r="M10" s="124">
        <v>262500</v>
      </c>
      <c r="N10" s="173">
        <v>40000</v>
      </c>
      <c r="O10" s="124">
        <f>M10+N10</f>
        <v>302500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37.299999999999997</v>
      </c>
      <c r="G11" s="77"/>
      <c r="H11" s="118">
        <f>BFLY!C17</f>
        <v>8000</v>
      </c>
      <c r="I11" s="73">
        <f>D11*F11*H11</f>
        <v>298400</v>
      </c>
      <c r="J11" s="73">
        <v>60000</v>
      </c>
      <c r="K11" s="117">
        <f t="shared" si="0"/>
        <v>358400</v>
      </c>
      <c r="L11" s="119"/>
      <c r="M11" s="120"/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18">
        <v>303600</v>
      </c>
      <c r="I12" s="73">
        <f>D12*F12*H12</f>
        <v>303600</v>
      </c>
      <c r="J12" s="173">
        <v>65000</v>
      </c>
      <c r="K12" s="117">
        <f t="shared" si="0"/>
        <v>368600</v>
      </c>
      <c r="L12" s="119"/>
      <c r="M12" s="120"/>
      <c r="P12" s="119" t="s">
        <v>356</v>
      </c>
      <c r="Q12" s="177"/>
      <c r="R12" s="177">
        <v>65000</v>
      </c>
      <c r="S12" s="177"/>
      <c r="T12" s="178">
        <f>R12+Q12</f>
        <v>65000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20</v>
      </c>
      <c r="E13" s="68"/>
      <c r="F13" s="78">
        <v>1</v>
      </c>
      <c r="G13" s="77"/>
      <c r="H13" s="118">
        <v>1000</v>
      </c>
      <c r="I13" s="73">
        <f>D13*F13*H13</f>
        <v>20000</v>
      </c>
      <c r="J13" s="73"/>
      <c r="K13" s="117">
        <f>H13*D13</f>
        <v>20000</v>
      </c>
      <c r="L13" s="119"/>
      <c r="M13" s="120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16670</v>
      </c>
      <c r="J14" s="73">
        <v>57250</v>
      </c>
      <c r="K14" s="117">
        <f>I14+J14</f>
        <v>73920</v>
      </c>
      <c r="L14" s="119"/>
      <c r="M14" s="120"/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21840</v>
      </c>
      <c r="I15" s="73">
        <f t="shared" ref="I15:I26" si="1">D15*F15*H15</f>
        <v>21840</v>
      </c>
      <c r="J15" s="73"/>
      <c r="K15" s="117">
        <f t="shared" ref="K15:K28" si="2">I15+J15</f>
        <v>21840</v>
      </c>
      <c r="L15" s="119"/>
      <c r="M15" s="120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61000</v>
      </c>
      <c r="I16" s="73">
        <f t="shared" si="1"/>
        <v>61000</v>
      </c>
      <c r="J16" s="73">
        <v>10000</v>
      </c>
      <c r="K16" s="117">
        <f t="shared" si="2"/>
        <v>71000</v>
      </c>
      <c r="L16" s="119"/>
      <c r="M16" s="120"/>
    </row>
    <row r="17" spans="1:14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1800</v>
      </c>
      <c r="I17" s="73">
        <f t="shared" si="1"/>
        <v>3600</v>
      </c>
      <c r="J17" s="73"/>
      <c r="K17" s="117">
        <f t="shared" si="2"/>
        <v>3600</v>
      </c>
      <c r="L17" s="119"/>
      <c r="M17" s="120"/>
    </row>
    <row r="18" spans="1:14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3696</v>
      </c>
      <c r="I18" s="73">
        <f t="shared" si="1"/>
        <v>3696</v>
      </c>
      <c r="J18" s="73">
        <v>4500</v>
      </c>
      <c r="K18" s="117">
        <f t="shared" si="2"/>
        <v>8196</v>
      </c>
      <c r="L18" s="119"/>
      <c r="M18" s="120"/>
    </row>
    <row r="19" spans="1:14" s="121" customFormat="1" ht="18" customHeight="1">
      <c r="A19" s="72">
        <v>12</v>
      </c>
      <c r="B19" s="74" t="s">
        <v>157</v>
      </c>
      <c r="C19" s="76" t="s">
        <v>158</v>
      </c>
      <c r="D19" s="76">
        <v>4</v>
      </c>
      <c r="E19" s="68"/>
      <c r="F19" s="78">
        <v>1</v>
      </c>
      <c r="G19" s="69"/>
      <c r="H19" s="118">
        <v>2400</v>
      </c>
      <c r="I19" s="73">
        <f>H19</f>
        <v>2400</v>
      </c>
      <c r="J19" s="73">
        <v>4100</v>
      </c>
      <c r="K19" s="117">
        <f>(I19+J19)*D19</f>
        <v>26000</v>
      </c>
      <c r="L19" s="119"/>
      <c r="M19" s="120"/>
    </row>
    <row r="20" spans="1:14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34770</v>
      </c>
      <c r="I20" s="73">
        <f t="shared" si="1"/>
        <v>34770</v>
      </c>
      <c r="J20" s="73">
        <v>10000</v>
      </c>
      <c r="K20" s="117">
        <f t="shared" si="2"/>
        <v>44770</v>
      </c>
      <c r="L20" s="119"/>
      <c r="M20" s="120"/>
    </row>
    <row r="21" spans="1:14" s="121" customFormat="1" ht="18" customHeight="1">
      <c r="A21" s="72">
        <v>14</v>
      </c>
      <c r="B21" s="74" t="s">
        <v>160</v>
      </c>
      <c r="C21" s="76" t="s">
        <v>149</v>
      </c>
      <c r="D21" s="76">
        <v>4</v>
      </c>
      <c r="E21" s="68"/>
      <c r="F21" s="78">
        <v>1</v>
      </c>
      <c r="G21" s="69"/>
      <c r="H21" s="118">
        <v>665</v>
      </c>
      <c r="I21" s="73">
        <f t="shared" si="1"/>
        <v>2660</v>
      </c>
      <c r="J21" s="73"/>
      <c r="K21" s="117">
        <f t="shared" si="2"/>
        <v>2660</v>
      </c>
      <c r="L21" s="119"/>
      <c r="M21" s="120"/>
    </row>
    <row r="22" spans="1:14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3100</v>
      </c>
      <c r="I22" s="73">
        <f t="shared" si="1"/>
        <v>3100</v>
      </c>
      <c r="J22" s="73">
        <v>1000</v>
      </c>
      <c r="K22" s="117">
        <f t="shared" si="2"/>
        <v>4100</v>
      </c>
      <c r="L22" s="119"/>
      <c r="M22" s="120"/>
    </row>
    <row r="23" spans="1:14" s="121" customFormat="1" ht="18" customHeight="1">
      <c r="A23" s="72">
        <v>16</v>
      </c>
      <c r="B23" s="74" t="s">
        <v>163</v>
      </c>
      <c r="C23" s="76" t="s">
        <v>164</v>
      </c>
      <c r="D23" s="76">
        <v>4</v>
      </c>
      <c r="E23" s="68"/>
      <c r="F23" s="78">
        <v>1</v>
      </c>
      <c r="G23" s="69"/>
      <c r="H23" s="118">
        <v>1200</v>
      </c>
      <c r="I23" s="73">
        <f>H23</f>
        <v>1200</v>
      </c>
      <c r="J23" s="73"/>
      <c r="K23" s="117">
        <f>(I23+J23)*D23</f>
        <v>4800</v>
      </c>
      <c r="L23" s="119"/>
      <c r="M23" s="120"/>
    </row>
    <row r="24" spans="1:14" s="121" customFormat="1" ht="18" customHeight="1">
      <c r="A24" s="72">
        <v>17</v>
      </c>
      <c r="B24" s="74" t="s">
        <v>165</v>
      </c>
      <c r="C24" s="76" t="s">
        <v>164</v>
      </c>
      <c r="D24" s="76">
        <v>4</v>
      </c>
      <c r="E24" s="68"/>
      <c r="F24" s="78">
        <v>1</v>
      </c>
      <c r="G24" s="69"/>
      <c r="H24" s="118">
        <v>1800</v>
      </c>
      <c r="I24" s="73">
        <f>H24</f>
        <v>1800</v>
      </c>
      <c r="J24" s="73"/>
      <c r="K24" s="117">
        <f>(I24+J24)*D24</f>
        <v>7200</v>
      </c>
      <c r="L24" s="119"/>
      <c r="M24" s="120"/>
    </row>
    <row r="25" spans="1:14" s="121" customFormat="1" ht="18" customHeight="1">
      <c r="A25" s="72">
        <v>18</v>
      </c>
      <c r="B25" s="74"/>
      <c r="C25" s="76"/>
      <c r="D25" s="76"/>
      <c r="E25" s="68"/>
      <c r="F25" s="78"/>
      <c r="G25" s="69"/>
      <c r="H25" s="118"/>
      <c r="I25" s="73"/>
      <c r="J25" s="73"/>
      <c r="K25" s="117"/>
      <c r="L25" s="119"/>
      <c r="M25" s="120"/>
    </row>
    <row r="26" spans="1:14" s="121" customFormat="1" ht="18" customHeight="1">
      <c r="A26" s="72">
        <v>19</v>
      </c>
      <c r="B26" s="74" t="s">
        <v>166</v>
      </c>
      <c r="C26" s="76" t="s">
        <v>154</v>
      </c>
      <c r="D26" s="76">
        <v>1</v>
      </c>
      <c r="E26" s="68"/>
      <c r="F26" s="78">
        <v>1</v>
      </c>
      <c r="G26" s="79"/>
      <c r="H26" s="118">
        <v>61000</v>
      </c>
      <c r="I26" s="73">
        <f t="shared" si="1"/>
        <v>61000</v>
      </c>
      <c r="J26" s="73">
        <v>25000</v>
      </c>
      <c r="K26" s="117">
        <f t="shared" si="2"/>
        <v>86000</v>
      </c>
      <c r="L26" s="119"/>
      <c r="M26" s="120"/>
    </row>
    <row r="27" spans="1:14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355000</v>
      </c>
      <c r="L27" s="125">
        <v>301640</v>
      </c>
      <c r="M27" s="125">
        <v>355000</v>
      </c>
      <c r="N27" s="125">
        <v>589000</v>
      </c>
    </row>
    <row r="28" spans="1:14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144000</v>
      </c>
      <c r="J28" s="117">
        <v>58000</v>
      </c>
      <c r="K28" s="117">
        <f t="shared" si="2"/>
        <v>202000</v>
      </c>
      <c r="L28" s="125"/>
    </row>
    <row r="29" spans="1:14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SUM(K6:K26,K28)</f>
        <v>3136086</v>
      </c>
      <c r="L29" s="86"/>
    </row>
    <row r="30" spans="1:14" s="87" customFormat="1" ht="18" customHeight="1">
      <c r="A30" s="80">
        <v>24</v>
      </c>
      <c r="B30" s="81" t="s">
        <v>171</v>
      </c>
      <c r="C30" s="82"/>
      <c r="D30" s="82"/>
      <c r="E30" s="83"/>
      <c r="F30" s="83"/>
      <c r="G30" s="83"/>
      <c r="H30" s="83"/>
      <c r="I30" s="84"/>
      <c r="J30" s="84"/>
      <c r="K30" s="85">
        <f>SUM(K6:K28)</f>
        <v>3491086</v>
      </c>
      <c r="L30" s="86"/>
    </row>
    <row r="31" spans="1:14" s="87" customFormat="1" ht="18" customHeight="1">
      <c r="A31" s="80">
        <v>25</v>
      </c>
      <c r="B31" s="88"/>
      <c r="C31" s="89"/>
      <c r="D31" s="89"/>
      <c r="E31" s="90"/>
      <c r="F31" s="90"/>
      <c r="G31" s="90"/>
      <c r="H31" s="90"/>
      <c r="I31" s="90"/>
      <c r="J31" s="90"/>
      <c r="K31" s="90"/>
      <c r="L31" s="86"/>
    </row>
    <row r="32" spans="1:14" s="121" customFormat="1" ht="18" customHeight="1">
      <c r="A32" s="72">
        <v>26</v>
      </c>
      <c r="B32" s="74" t="s">
        <v>172</v>
      </c>
      <c r="C32" s="76"/>
      <c r="D32" s="76">
        <v>1</v>
      </c>
      <c r="E32" s="68"/>
      <c r="F32" s="78"/>
      <c r="G32" s="79"/>
      <c r="H32" s="68"/>
      <c r="I32" s="73"/>
      <c r="J32" s="73"/>
      <c r="K32" s="117">
        <f>I32+J32</f>
        <v>0</v>
      </c>
      <c r="L32" s="125"/>
    </row>
    <row r="33" spans="1:13" s="121" customFormat="1" ht="24">
      <c r="A33" s="207">
        <v>27</v>
      </c>
      <c r="B33" s="132" t="s">
        <v>173</v>
      </c>
      <c r="C33" s="76"/>
      <c r="D33" s="76">
        <v>4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 customHeight="1">
      <c r="A34" s="207"/>
      <c r="B34" s="74" t="s">
        <v>174</v>
      </c>
      <c r="C34" s="76"/>
      <c r="D34" s="76">
        <v>1</v>
      </c>
      <c r="E34" s="68"/>
      <c r="F34" s="78"/>
      <c r="G34" s="68"/>
      <c r="H34" s="68"/>
      <c r="I34" s="68"/>
      <c r="J34" s="68"/>
      <c r="K34" s="117">
        <v>200000</v>
      </c>
      <c r="L34" s="125"/>
    </row>
    <row r="35" spans="1:13" s="121" customFormat="1" ht="18" customHeight="1">
      <c r="A35" s="72">
        <v>28</v>
      </c>
      <c r="B35" s="133" t="s">
        <v>175</v>
      </c>
      <c r="C35" s="76"/>
      <c r="D35" s="134"/>
      <c r="E35" s="68"/>
      <c r="F35" s="68"/>
      <c r="G35" s="68"/>
      <c r="H35" s="68"/>
      <c r="I35" s="124">
        <f>SUM(K31:K34)</f>
        <v>200000</v>
      </c>
      <c r="J35" s="135">
        <v>1</v>
      </c>
      <c r="K35" s="124">
        <f>J35*I35</f>
        <v>200000</v>
      </c>
      <c r="L35" s="125"/>
    </row>
    <row r="36" spans="1:13" s="8" customFormat="1" ht="18" customHeight="1">
      <c r="A36" s="21">
        <v>29</v>
      </c>
      <c r="B36" s="9"/>
      <c r="C36" s="10"/>
      <c r="D36" s="10"/>
      <c r="E36" s="11"/>
      <c r="F36" s="11"/>
      <c r="G36" s="11"/>
      <c r="H36" s="11"/>
      <c r="I36" s="11"/>
      <c r="J36" s="19"/>
      <c r="K36" s="11"/>
      <c r="L36" s="12"/>
    </row>
    <row r="37" spans="1:13" s="8" customFormat="1" ht="18" customHeight="1">
      <c r="A37" s="21">
        <v>30</v>
      </c>
      <c r="B37" s="20" t="s">
        <v>102</v>
      </c>
      <c r="C37" s="13"/>
      <c r="D37" s="13"/>
      <c r="E37" s="14"/>
      <c r="F37" s="14"/>
      <c r="G37" s="14"/>
      <c r="H37" s="14"/>
      <c r="I37" s="15">
        <f>K29</f>
        <v>3136086</v>
      </c>
      <c r="J37" s="21"/>
      <c r="K37" s="17">
        <f>I37+K35</f>
        <v>3336086</v>
      </c>
      <c r="L37" s="12"/>
    </row>
    <row r="38" spans="1:13" s="8" customFormat="1" ht="18" customHeight="1">
      <c r="A38" s="21">
        <v>32</v>
      </c>
      <c r="B38" s="20" t="s">
        <v>104</v>
      </c>
      <c r="C38" s="13"/>
      <c r="D38" s="13"/>
      <c r="E38" s="14"/>
      <c r="F38" s="14"/>
      <c r="G38" s="14"/>
      <c r="H38" s="14"/>
      <c r="I38" s="15">
        <f>K30</f>
        <v>3491086</v>
      </c>
      <c r="J38" s="21"/>
      <c r="K38" s="17">
        <f>I38+K35</f>
        <v>3691086</v>
      </c>
      <c r="L38" s="22"/>
    </row>
    <row r="39" spans="1:13" s="8" customFormat="1" ht="18" customHeight="1">
      <c r="A39" s="21">
        <v>33</v>
      </c>
      <c r="B39" s="45" t="s">
        <v>105</v>
      </c>
      <c r="C39" s="41"/>
      <c r="D39" s="41"/>
      <c r="E39" s="44"/>
      <c r="F39" s="46"/>
      <c r="G39" s="46"/>
      <c r="H39" s="42"/>
      <c r="I39" s="42"/>
      <c r="J39" s="21">
        <f>BFLY!B21</f>
        <v>1</v>
      </c>
      <c r="K39" s="43">
        <f>K37*J39</f>
        <v>3336086</v>
      </c>
      <c r="L39" s="22"/>
    </row>
    <row r="40" spans="1:13" s="23" customFormat="1" ht="18" customHeight="1">
      <c r="A40" s="21">
        <v>35</v>
      </c>
      <c r="B40" s="45" t="s">
        <v>107</v>
      </c>
      <c r="C40" s="41"/>
      <c r="D40" s="41"/>
      <c r="E40" s="44"/>
      <c r="F40" s="46"/>
      <c r="G40" s="46"/>
      <c r="H40" s="42"/>
      <c r="I40" s="42"/>
      <c r="J40" s="21">
        <f>BFLY!B21</f>
        <v>1</v>
      </c>
      <c r="K40" s="43">
        <f>K38*J40</f>
        <v>3691086</v>
      </c>
      <c r="L40" s="22"/>
      <c r="M40" s="8"/>
    </row>
    <row r="41" spans="1:13" s="23" customFormat="1" ht="18" customHeight="1">
      <c r="A41" s="136"/>
      <c r="L41" s="22"/>
      <c r="M41" s="8"/>
    </row>
    <row r="42" spans="1:13" s="23" customFormat="1" ht="18" customHeight="1">
      <c r="L42" s="24"/>
    </row>
    <row r="43" spans="1:13" s="23" customFormat="1" ht="18" customHeight="1">
      <c r="L43" s="24"/>
    </row>
    <row r="44" spans="1:13" s="23" customFormat="1" ht="18" customHeight="1">
      <c r="L44" s="24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D49" s="24"/>
      <c r="L49" s="24"/>
    </row>
    <row r="50" spans="2:12" s="23" customFormat="1" ht="12"/>
    <row r="51" spans="2:12" s="23" customFormat="1" ht="12">
      <c r="L51" s="24"/>
    </row>
    <row r="52" spans="2:12" s="23" customFormat="1" ht="1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4"/>
    </row>
    <row r="53" spans="2:12" s="25" customFormat="1" ht="15">
      <c r="L53" s="24"/>
    </row>
    <row r="54" spans="2:12" s="25" customFormat="1" ht="15">
      <c r="L54" s="24"/>
    </row>
    <row r="55" spans="2:12" s="25" customFormat="1" ht="15">
      <c r="B55" s="3"/>
      <c r="C55" s="3"/>
      <c r="D55" s="3"/>
      <c r="E55" s="3"/>
      <c r="F55" s="3"/>
      <c r="G55" s="3"/>
      <c r="H55" s="3"/>
      <c r="I55" s="3"/>
      <c r="J55" s="3"/>
      <c r="K55" s="3"/>
      <c r="L55" s="24"/>
    </row>
  </sheetData>
  <mergeCells count="3">
    <mergeCell ref="A33:A34"/>
    <mergeCell ref="M8:O8"/>
    <mergeCell ref="A6:A8"/>
  </mergeCells>
  <phoneticPr fontId="8" type="noConversion"/>
  <pageMargins left="0.22" right="0.22" top="1" bottom="0.72" header="0.5" footer="0.5"/>
  <pageSetup paperSize="9" scale="96" orientation="portrait" r:id="rId1"/>
  <headerFooter alignWithMargins="0"/>
  <ignoredErrors>
    <ignoredError sqref="I19 K19 K13" formula="1"/>
  </ignoredError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T55"/>
  <sheetViews>
    <sheetView view="pageBreakPreview" topLeftCell="A4" zoomScale="115" zoomScaleNormal="100" zoomScaleSheetLayoutView="115" workbookViewId="0">
      <selection activeCell="M27" sqref="M27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326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>
      <c r="Q4" s="8" t="s">
        <v>351</v>
      </c>
      <c r="R4" s="8" t="s">
        <v>9</v>
      </c>
      <c r="S4" s="8"/>
      <c r="T4" s="8" t="s">
        <v>352</v>
      </c>
    </row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IF(C6="WCB",184,IF(C6="CF8",184,IF(C6="CF8M",183.5)))</f>
        <v>184</v>
      </c>
      <c r="G6" s="69"/>
      <c r="H6" s="118">
        <f>BFLY!C13</f>
        <v>4000</v>
      </c>
      <c r="I6" s="70">
        <f>D6*F6*H6</f>
        <v>736000</v>
      </c>
      <c r="J6" s="127">
        <f>IF(C6="WCB",240000,IF(C6="CF8",280000,IF(C6="CF8M",280000)))</f>
        <v>280000</v>
      </c>
      <c r="K6" s="128">
        <f t="shared" ref="K6:K12" si="0">I6+J6</f>
        <v>1016000</v>
      </c>
      <c r="L6" s="119"/>
      <c r="M6" s="120"/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IF(C7="WCB",310,IF(C7="CF8",310,IF(C7="CF8M",310)))</f>
        <v>0</v>
      </c>
      <c r="G7" s="69"/>
      <c r="H7" s="118">
        <f>BFLY!C14</f>
        <v>0</v>
      </c>
      <c r="I7" s="70">
        <f>D7*F7*H7</f>
        <v>0</v>
      </c>
      <c r="J7" s="127" t="b">
        <f>IF(C7="WCB",350000,IF(C7="CF8",400000,IF(C7="CF8M",400000)))</f>
        <v>0</v>
      </c>
      <c r="K7" s="128">
        <f t="shared" si="0"/>
        <v>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470*1.1</f>
        <v>517</v>
      </c>
      <c r="G8" s="69"/>
      <c r="H8" s="118">
        <f>BFLY!C15</f>
        <v>0</v>
      </c>
      <c r="I8" s="70">
        <f>D8*F8*H8</f>
        <v>0</v>
      </c>
      <c r="J8" s="127">
        <f>IF(C8="WCB",450000,IF(C8="CF8",450000,IF(C8="CF8M",450000)))</f>
        <v>450000</v>
      </c>
      <c r="K8" s="128">
        <f t="shared" si="0"/>
        <v>450000</v>
      </c>
      <c r="L8" s="122" t="s">
        <v>138</v>
      </c>
      <c r="M8" s="208" t="s">
        <v>139</v>
      </c>
      <c r="N8" s="209"/>
      <c r="O8" s="210"/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IF(C9="CF8",118,IF(C9="CF8M",118,IF(C9="CF3M",118,IF(C9="B148",136))))</f>
        <v>118</v>
      </c>
      <c r="G9" s="69"/>
      <c r="H9" s="118">
        <f>BFLY!C16</f>
        <v>8000</v>
      </c>
      <c r="I9" s="73">
        <f>D9*F9*H9</f>
        <v>944000</v>
      </c>
      <c r="J9" s="129">
        <f>IF(C9="CF8",200000,IF(C9="CF8M",200000,IF(C9="CF3M",200000,IF(C9="B148",200000))))</f>
        <v>200000</v>
      </c>
      <c r="K9" s="117">
        <f t="shared" si="0"/>
        <v>1144000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4">
        <f>IF(C10="RTFE",290000,IF(C10="RTFE-A",235000,IF(C10="METAL-B",0,IF(C10="RTFE + METAL",350000))))</f>
        <v>290000</v>
      </c>
      <c r="J10" s="185">
        <f>IF(C10="RTFE",0,IF(C10="METAL-B",0,IF(C10="RTFE + METAL",50000)))</f>
        <v>0</v>
      </c>
      <c r="K10" s="117">
        <f t="shared" si="0"/>
        <v>290000</v>
      </c>
      <c r="L10" s="173">
        <v>290000</v>
      </c>
      <c r="M10" s="124">
        <v>290000</v>
      </c>
      <c r="N10" s="173">
        <v>60000</v>
      </c>
      <c r="O10" s="124">
        <f>M10+N10</f>
        <v>350000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45.35</v>
      </c>
      <c r="G11" s="77"/>
      <c r="H11" s="118">
        <f>BFLY!C17</f>
        <v>8000</v>
      </c>
      <c r="I11" s="73">
        <f>D11*F11*H11</f>
        <v>362800</v>
      </c>
      <c r="J11" s="73">
        <v>70000</v>
      </c>
      <c r="K11" s="117">
        <f t="shared" si="0"/>
        <v>432800</v>
      </c>
      <c r="L11" s="119"/>
      <c r="M11" s="120"/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18">
        <v>224400</v>
      </c>
      <c r="I12" s="73">
        <f>D12*F12*H12</f>
        <v>224400</v>
      </c>
      <c r="J12" s="173">
        <v>70000</v>
      </c>
      <c r="K12" s="117">
        <f t="shared" si="0"/>
        <v>294400</v>
      </c>
      <c r="L12" s="119"/>
      <c r="M12" s="120"/>
      <c r="P12" s="119" t="s">
        <v>356</v>
      </c>
      <c r="Q12" s="177"/>
      <c r="R12" s="177">
        <v>70000</v>
      </c>
      <c r="S12" s="177"/>
      <c r="T12" s="178">
        <f>R12+Q12</f>
        <v>70000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12</v>
      </c>
      <c r="E13" s="68"/>
      <c r="F13" s="78">
        <v>1</v>
      </c>
      <c r="G13" s="77"/>
      <c r="H13" s="118">
        <v>1000</v>
      </c>
      <c r="I13" s="73">
        <f>D13*F13*H13</f>
        <v>12000</v>
      </c>
      <c r="J13" s="73"/>
      <c r="K13" s="117">
        <f>H13*D13</f>
        <v>12000</v>
      </c>
      <c r="L13" s="119"/>
      <c r="M13" s="120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19900</v>
      </c>
      <c r="J14" s="73">
        <v>62270</v>
      </c>
      <c r="K14" s="117">
        <f>I14+J14</f>
        <v>82170</v>
      </c>
      <c r="L14" s="119"/>
      <c r="M14" s="120"/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27300</v>
      </c>
      <c r="I15" s="73">
        <f t="shared" ref="I15:I26" si="1">D15*F15*H15</f>
        <v>27300</v>
      </c>
      <c r="J15" s="73"/>
      <c r="K15" s="117">
        <f t="shared" ref="K15:K28" si="2">I15+J15</f>
        <v>27300</v>
      </c>
      <c r="L15" s="119"/>
      <c r="M15" s="120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38280</v>
      </c>
      <c r="I16" s="73">
        <f t="shared" si="1"/>
        <v>38280</v>
      </c>
      <c r="J16" s="73">
        <v>15000</v>
      </c>
      <c r="K16" s="117">
        <f t="shared" si="2"/>
        <v>53280</v>
      </c>
      <c r="L16" s="119"/>
      <c r="M16" s="120"/>
    </row>
    <row r="17" spans="1:14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1800</v>
      </c>
      <c r="I17" s="73">
        <f t="shared" si="1"/>
        <v>3600</v>
      </c>
      <c r="J17" s="73"/>
      <c r="K17" s="117">
        <f t="shared" si="2"/>
        <v>3600</v>
      </c>
      <c r="L17" s="119"/>
      <c r="M17" s="120"/>
    </row>
    <row r="18" spans="1:14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5600</v>
      </c>
      <c r="I18" s="73">
        <f t="shared" si="1"/>
        <v>5600</v>
      </c>
      <c r="J18" s="73">
        <v>5000</v>
      </c>
      <c r="K18" s="117">
        <f t="shared" si="2"/>
        <v>10600</v>
      </c>
      <c r="L18" s="119"/>
      <c r="M18" s="120"/>
    </row>
    <row r="19" spans="1:14" s="121" customFormat="1" ht="18" customHeight="1">
      <c r="A19" s="72">
        <v>12</v>
      </c>
      <c r="B19" s="74" t="s">
        <v>157</v>
      </c>
      <c r="C19" s="76" t="s">
        <v>158</v>
      </c>
      <c r="D19" s="76">
        <v>4</v>
      </c>
      <c r="E19" s="68"/>
      <c r="F19" s="78">
        <v>1</v>
      </c>
      <c r="G19" s="69"/>
      <c r="H19" s="118">
        <v>2450</v>
      </c>
      <c r="I19" s="73">
        <f>H19</f>
        <v>2450</v>
      </c>
      <c r="J19" s="73">
        <v>4100</v>
      </c>
      <c r="K19" s="117">
        <f>(I19+J19)*D19</f>
        <v>26200</v>
      </c>
      <c r="L19" s="119"/>
      <c r="M19" s="120"/>
    </row>
    <row r="20" spans="1:14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42240</v>
      </c>
      <c r="I20" s="73">
        <f t="shared" si="1"/>
        <v>42240</v>
      </c>
      <c r="J20" s="73">
        <v>10000</v>
      </c>
      <c r="K20" s="117">
        <f t="shared" si="2"/>
        <v>52240</v>
      </c>
      <c r="L20" s="119"/>
      <c r="M20" s="120"/>
    </row>
    <row r="21" spans="1:14" s="121" customFormat="1" ht="18" customHeight="1">
      <c r="A21" s="72">
        <v>14</v>
      </c>
      <c r="B21" s="74" t="s">
        <v>160</v>
      </c>
      <c r="C21" s="76" t="s">
        <v>149</v>
      </c>
      <c r="D21" s="76">
        <v>6</v>
      </c>
      <c r="E21" s="68"/>
      <c r="F21" s="78">
        <v>1</v>
      </c>
      <c r="G21" s="69"/>
      <c r="H21" s="118">
        <v>470</v>
      </c>
      <c r="I21" s="73">
        <f t="shared" si="1"/>
        <v>2820</v>
      </c>
      <c r="J21" s="73"/>
      <c r="K21" s="117">
        <f t="shared" si="2"/>
        <v>2820</v>
      </c>
      <c r="L21" s="119"/>
      <c r="M21" s="120"/>
    </row>
    <row r="22" spans="1:14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3100</v>
      </c>
      <c r="I22" s="73">
        <f t="shared" si="1"/>
        <v>3100</v>
      </c>
      <c r="J22" s="73">
        <v>1000</v>
      </c>
      <c r="K22" s="117">
        <f t="shared" si="2"/>
        <v>4100</v>
      </c>
      <c r="L22" s="119"/>
      <c r="M22" s="120"/>
    </row>
    <row r="23" spans="1:14" s="121" customFormat="1" ht="18" customHeight="1">
      <c r="A23" s="72">
        <v>16</v>
      </c>
      <c r="B23" s="74" t="s">
        <v>163</v>
      </c>
      <c r="C23" s="76" t="s">
        <v>164</v>
      </c>
      <c r="D23" s="76">
        <v>4</v>
      </c>
      <c r="E23" s="68"/>
      <c r="F23" s="78">
        <v>1</v>
      </c>
      <c r="G23" s="69"/>
      <c r="H23" s="118">
        <v>1200</v>
      </c>
      <c r="I23" s="73">
        <f>H23</f>
        <v>1200</v>
      </c>
      <c r="J23" s="73"/>
      <c r="K23" s="117">
        <f>(I23+J23)*D23</f>
        <v>4800</v>
      </c>
      <c r="L23" s="119"/>
      <c r="M23" s="120"/>
    </row>
    <row r="24" spans="1:14" s="121" customFormat="1" ht="18" customHeight="1">
      <c r="A24" s="72">
        <v>17</v>
      </c>
      <c r="B24" s="74" t="s">
        <v>165</v>
      </c>
      <c r="C24" s="76" t="s">
        <v>164</v>
      </c>
      <c r="D24" s="76">
        <v>4</v>
      </c>
      <c r="E24" s="68"/>
      <c r="F24" s="78">
        <v>1</v>
      </c>
      <c r="G24" s="69"/>
      <c r="H24" s="118">
        <v>1800</v>
      </c>
      <c r="I24" s="73">
        <f>H24</f>
        <v>1800</v>
      </c>
      <c r="J24" s="73"/>
      <c r="K24" s="117">
        <f>(I24+J24)*D24</f>
        <v>7200</v>
      </c>
      <c r="L24" s="119"/>
      <c r="M24" s="120"/>
    </row>
    <row r="25" spans="1:14" s="121" customFormat="1" ht="18" customHeight="1">
      <c r="A25" s="72">
        <v>18</v>
      </c>
      <c r="B25" s="74"/>
      <c r="C25" s="76"/>
      <c r="D25" s="76"/>
      <c r="E25" s="68"/>
      <c r="F25" s="78"/>
      <c r="G25" s="69"/>
      <c r="H25" s="118"/>
      <c r="I25" s="73"/>
      <c r="J25" s="73"/>
      <c r="K25" s="117"/>
      <c r="L25" s="119"/>
      <c r="M25" s="120"/>
    </row>
    <row r="26" spans="1:14" s="121" customFormat="1" ht="18" customHeight="1">
      <c r="A26" s="72">
        <v>19</v>
      </c>
      <c r="B26" s="74" t="s">
        <v>166</v>
      </c>
      <c r="C26" s="76" t="s">
        <v>154</v>
      </c>
      <c r="D26" s="76">
        <v>1</v>
      </c>
      <c r="E26" s="68"/>
      <c r="F26" s="78">
        <v>1</v>
      </c>
      <c r="G26" s="79"/>
      <c r="H26" s="118">
        <v>61000</v>
      </c>
      <c r="I26" s="73">
        <f t="shared" si="1"/>
        <v>61000</v>
      </c>
      <c r="J26" s="73">
        <v>25000</v>
      </c>
      <c r="K26" s="117">
        <f t="shared" si="2"/>
        <v>86000</v>
      </c>
      <c r="L26" s="119"/>
      <c r="M26" s="120"/>
    </row>
    <row r="27" spans="1:14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355000</v>
      </c>
      <c r="L27" s="125">
        <v>301640</v>
      </c>
      <c r="M27" s="125">
        <v>355000</v>
      </c>
      <c r="N27" s="125">
        <v>748000</v>
      </c>
    </row>
    <row r="28" spans="1:14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161400</v>
      </c>
      <c r="J28" s="117">
        <v>60000</v>
      </c>
      <c r="K28" s="117">
        <f t="shared" si="2"/>
        <v>221400</v>
      </c>
      <c r="L28" s="125"/>
    </row>
    <row r="29" spans="1:14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SUM(K6:K26,K28)</f>
        <v>4220910</v>
      </c>
      <c r="L29" s="86"/>
    </row>
    <row r="30" spans="1:14" s="87" customFormat="1" ht="18" customHeight="1">
      <c r="A30" s="80">
        <v>24</v>
      </c>
      <c r="B30" s="81" t="s">
        <v>171</v>
      </c>
      <c r="C30" s="82"/>
      <c r="D30" s="82"/>
      <c r="E30" s="83"/>
      <c r="F30" s="83"/>
      <c r="G30" s="83"/>
      <c r="H30" s="83"/>
      <c r="I30" s="84"/>
      <c r="J30" s="84"/>
      <c r="K30" s="85">
        <f>SUM(K6:K28)</f>
        <v>4575910</v>
      </c>
      <c r="L30" s="86"/>
    </row>
    <row r="31" spans="1:14" s="87" customFormat="1" ht="18" customHeight="1">
      <c r="A31" s="80">
        <v>25</v>
      </c>
      <c r="B31" s="88"/>
      <c r="C31" s="89"/>
      <c r="D31" s="89"/>
      <c r="E31" s="90"/>
      <c r="F31" s="90"/>
      <c r="G31" s="90"/>
      <c r="H31" s="90"/>
      <c r="I31" s="90"/>
      <c r="J31" s="90"/>
      <c r="K31" s="90"/>
      <c r="L31" s="86"/>
    </row>
    <row r="32" spans="1:14" s="121" customFormat="1" ht="18" customHeight="1">
      <c r="A32" s="72">
        <v>26</v>
      </c>
      <c r="B32" s="74" t="s">
        <v>172</v>
      </c>
      <c r="C32" s="76"/>
      <c r="D32" s="76">
        <v>1</v>
      </c>
      <c r="E32" s="68"/>
      <c r="F32" s="78"/>
      <c r="G32" s="79"/>
      <c r="H32" s="68"/>
      <c r="I32" s="73"/>
      <c r="J32" s="73"/>
      <c r="K32" s="117">
        <f>I32+J32</f>
        <v>0</v>
      </c>
      <c r="L32" s="125"/>
    </row>
    <row r="33" spans="1:13" s="121" customFormat="1" ht="24">
      <c r="A33" s="207">
        <v>27</v>
      </c>
      <c r="B33" s="132" t="s">
        <v>173</v>
      </c>
      <c r="C33" s="76"/>
      <c r="D33" s="76">
        <v>4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 customHeight="1">
      <c r="A34" s="207"/>
      <c r="B34" s="74" t="s">
        <v>174</v>
      </c>
      <c r="C34" s="76"/>
      <c r="D34" s="76">
        <v>1</v>
      </c>
      <c r="E34" s="68"/>
      <c r="F34" s="78"/>
      <c r="G34" s="68"/>
      <c r="H34" s="68"/>
      <c r="I34" s="68"/>
      <c r="J34" s="68"/>
      <c r="K34" s="117">
        <v>201400</v>
      </c>
      <c r="L34" s="125"/>
    </row>
    <row r="35" spans="1:13" s="121" customFormat="1" ht="18" customHeight="1">
      <c r="A35" s="72">
        <v>28</v>
      </c>
      <c r="B35" s="133" t="s">
        <v>175</v>
      </c>
      <c r="C35" s="76"/>
      <c r="D35" s="134"/>
      <c r="E35" s="68"/>
      <c r="F35" s="68"/>
      <c r="G35" s="68"/>
      <c r="H35" s="68"/>
      <c r="I35" s="124">
        <f>SUM(K31:K34)</f>
        <v>201400</v>
      </c>
      <c r="J35" s="135">
        <v>1</v>
      </c>
      <c r="K35" s="124">
        <f>J35*I35</f>
        <v>201400</v>
      </c>
      <c r="L35" s="125"/>
    </row>
    <row r="36" spans="1:13" s="8" customFormat="1" ht="18" customHeight="1">
      <c r="A36" s="21">
        <v>29</v>
      </c>
      <c r="B36" s="9"/>
      <c r="C36" s="10"/>
      <c r="D36" s="10"/>
      <c r="E36" s="11"/>
      <c r="F36" s="11"/>
      <c r="G36" s="11"/>
      <c r="H36" s="11"/>
      <c r="I36" s="11"/>
      <c r="J36" s="19"/>
      <c r="K36" s="11"/>
      <c r="L36" s="12"/>
    </row>
    <row r="37" spans="1:13" s="8" customFormat="1" ht="18" customHeight="1">
      <c r="A37" s="21">
        <v>30</v>
      </c>
      <c r="B37" s="20" t="s">
        <v>102</v>
      </c>
      <c r="C37" s="13"/>
      <c r="D37" s="13"/>
      <c r="E37" s="14"/>
      <c r="F37" s="14"/>
      <c r="G37" s="14"/>
      <c r="H37" s="14"/>
      <c r="I37" s="15">
        <f>K29</f>
        <v>4220910</v>
      </c>
      <c r="J37" s="21"/>
      <c r="K37" s="17">
        <f>I37+K35</f>
        <v>4422310</v>
      </c>
      <c r="L37" s="12"/>
    </row>
    <row r="38" spans="1:13" s="8" customFormat="1" ht="18" customHeight="1">
      <c r="A38" s="21">
        <v>32</v>
      </c>
      <c r="B38" s="20" t="s">
        <v>104</v>
      </c>
      <c r="C38" s="13"/>
      <c r="D38" s="13"/>
      <c r="E38" s="14"/>
      <c r="F38" s="14"/>
      <c r="G38" s="14"/>
      <c r="H38" s="14"/>
      <c r="I38" s="15">
        <f>K30</f>
        <v>4575910</v>
      </c>
      <c r="J38" s="21"/>
      <c r="K38" s="17">
        <f>I38+K35</f>
        <v>4777310</v>
      </c>
      <c r="L38" s="22"/>
    </row>
    <row r="39" spans="1:13" s="8" customFormat="1" ht="18" customHeight="1">
      <c r="A39" s="21">
        <v>33</v>
      </c>
      <c r="B39" s="45" t="s">
        <v>105</v>
      </c>
      <c r="C39" s="41"/>
      <c r="D39" s="41"/>
      <c r="E39" s="44"/>
      <c r="F39" s="46"/>
      <c r="G39" s="46"/>
      <c r="H39" s="42"/>
      <c r="I39" s="42"/>
      <c r="J39" s="21">
        <f>BFLY!B21</f>
        <v>1</v>
      </c>
      <c r="K39" s="43">
        <f>K37*J39</f>
        <v>4422310</v>
      </c>
      <c r="L39" s="22"/>
    </row>
    <row r="40" spans="1:13" s="23" customFormat="1" ht="18" customHeight="1">
      <c r="A40" s="21">
        <v>35</v>
      </c>
      <c r="B40" s="45" t="s">
        <v>107</v>
      </c>
      <c r="C40" s="41"/>
      <c r="D40" s="41"/>
      <c r="E40" s="44"/>
      <c r="F40" s="46"/>
      <c r="G40" s="46"/>
      <c r="H40" s="42"/>
      <c r="I40" s="42"/>
      <c r="J40" s="21">
        <f>BFLY!B21</f>
        <v>1</v>
      </c>
      <c r="K40" s="43">
        <f>K38*J40</f>
        <v>4777310</v>
      </c>
      <c r="L40" s="22"/>
      <c r="M40" s="8"/>
    </row>
    <row r="41" spans="1:13" s="23" customFormat="1" ht="18" customHeight="1">
      <c r="A41" s="136"/>
      <c r="L41" s="22"/>
      <c r="M41" s="8"/>
    </row>
    <row r="42" spans="1:13" s="23" customFormat="1" ht="18" customHeight="1">
      <c r="L42" s="24"/>
    </row>
    <row r="43" spans="1:13" s="23" customFormat="1" ht="18" customHeight="1">
      <c r="L43" s="24"/>
    </row>
    <row r="44" spans="1:13" s="23" customFormat="1" ht="18" customHeight="1">
      <c r="L44" s="24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D49" s="24"/>
      <c r="L49" s="24"/>
    </row>
    <row r="50" spans="2:12" s="23" customFormat="1" ht="12"/>
    <row r="51" spans="2:12" s="23" customFormat="1" ht="12">
      <c r="L51" s="24"/>
    </row>
    <row r="52" spans="2:12" s="23" customFormat="1" ht="1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4"/>
    </row>
    <row r="53" spans="2:12" s="25" customFormat="1" ht="15">
      <c r="L53" s="24"/>
    </row>
    <row r="54" spans="2:12" s="25" customFormat="1" ht="15">
      <c r="L54" s="24"/>
    </row>
    <row r="55" spans="2:12" s="25" customFormat="1" ht="15">
      <c r="B55" s="3"/>
      <c r="C55" s="3"/>
      <c r="D55" s="3"/>
      <c r="E55" s="3"/>
      <c r="F55" s="3"/>
      <c r="G55" s="3"/>
      <c r="H55" s="3"/>
      <c r="I55" s="3"/>
      <c r="J55" s="3"/>
      <c r="K55" s="3"/>
      <c r="L55" s="24"/>
    </row>
  </sheetData>
  <mergeCells count="3">
    <mergeCell ref="A33:A34"/>
    <mergeCell ref="M8:O8"/>
    <mergeCell ref="A6:A8"/>
  </mergeCells>
  <phoneticPr fontId="8" type="noConversion"/>
  <pageMargins left="0.75" right="0.75" top="1" bottom="1" header="0.5" footer="0.5"/>
  <pageSetup paperSize="9" scale="87" orientation="portrait" r:id="rId1"/>
  <headerFooter alignWithMargins="0"/>
  <colBreaks count="1" manualBreakCount="1">
    <brk id="11" max="1048575" man="1"/>
  </colBreaks>
  <ignoredErrors>
    <ignoredError sqref="I19 K13 K19" formula="1"/>
  </ignoredError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T55"/>
  <sheetViews>
    <sheetView view="pageBreakPreview" zoomScaleNormal="100" zoomScaleSheetLayoutView="100" workbookViewId="0">
      <selection activeCell="M28" sqref="M28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325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>
      <c r="Q4" s="8" t="s">
        <v>351</v>
      </c>
      <c r="R4" s="8" t="s">
        <v>9</v>
      </c>
      <c r="S4" s="8"/>
      <c r="T4" s="8" t="s">
        <v>352</v>
      </c>
    </row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IF(C6="WCB",220,IF(C6="CF8",220,IF(C6="CF8M",217)))</f>
        <v>220</v>
      </c>
      <c r="G6" s="69"/>
      <c r="H6" s="118">
        <f>BFLY!C13</f>
        <v>4000</v>
      </c>
      <c r="I6" s="70">
        <f>D6*F6*H6</f>
        <v>880000</v>
      </c>
      <c r="J6" s="127">
        <f>IF(C6="WCB",280000,IF(C6="CF8",320000,IF(C6="CF8M",320000)))</f>
        <v>320000</v>
      </c>
      <c r="K6" s="128">
        <f t="shared" ref="K6:K12" si="0">I6+J6</f>
        <v>1200000</v>
      </c>
      <c r="L6" s="119"/>
      <c r="M6" s="120"/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IF(C7="WCB",472,IF(C7="CF8",472,IF(C7="CF8M",475)))</f>
        <v>0</v>
      </c>
      <c r="G7" s="69"/>
      <c r="H7" s="118">
        <f>BFLY!C14</f>
        <v>0</v>
      </c>
      <c r="I7" s="70">
        <f>D7*F7*H7</f>
        <v>0</v>
      </c>
      <c r="J7" s="127" t="b">
        <f>IF(C7="WCB",360000,IF(C7="CF8",400000,IF(C7="CF8M",400000)))</f>
        <v>0</v>
      </c>
      <c r="K7" s="128">
        <f t="shared" si="0"/>
        <v>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542*1.1</f>
        <v>596.20000000000005</v>
      </c>
      <c r="G8" s="69"/>
      <c r="H8" s="118">
        <f>BFLY!C15</f>
        <v>0</v>
      </c>
      <c r="I8" s="70">
        <f>D8*F8*H8</f>
        <v>0</v>
      </c>
      <c r="J8" s="127">
        <f>IF(C8="WCB",500000,IF(C8="CF8",500000,IF(C8="CF8M",500000)))</f>
        <v>500000</v>
      </c>
      <c r="K8" s="128">
        <f t="shared" si="0"/>
        <v>500000</v>
      </c>
      <c r="L8" s="122" t="s">
        <v>138</v>
      </c>
      <c r="M8" s="208" t="s">
        <v>139</v>
      </c>
      <c r="N8" s="209"/>
      <c r="O8" s="210"/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IF(C9="CF8",141,IF(C9="CF8M",134,IF(C9="CF3M",141,IF(C9="B148",155))))</f>
        <v>134</v>
      </c>
      <c r="G9" s="69"/>
      <c r="H9" s="118">
        <f>BFLY!C16</f>
        <v>8000</v>
      </c>
      <c r="I9" s="73">
        <f>D9*F9*H9</f>
        <v>1072000</v>
      </c>
      <c r="J9" s="129">
        <f>IF(C9="CF8",220000,IF(C9="CF8M",220000,IF(C9="CF3M",220000,IF(C9="B148",220000))))</f>
        <v>220000</v>
      </c>
      <c r="K9" s="117">
        <f t="shared" si="0"/>
        <v>1292000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18">
        <f>IF(C10="RTFE",400000,IF(C10="RTFE-A",400000,IF(C10="METAL-B",96700,IF(C10="RTFE + METAL",460000))))</f>
        <v>400000</v>
      </c>
      <c r="J10" s="185">
        <f>IF(C10="RTFE",0,IF(C10="METAL-B",61400,IF(C10="RTFE + METAL",65000)))</f>
        <v>0</v>
      </c>
      <c r="K10" s="117">
        <f t="shared" si="0"/>
        <v>400000</v>
      </c>
      <c r="L10" s="173">
        <v>400000</v>
      </c>
      <c r="M10" s="124">
        <v>350000</v>
      </c>
      <c r="N10" s="173">
        <v>70000</v>
      </c>
      <c r="O10" s="124">
        <f>M10+N10</f>
        <v>420000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56</v>
      </c>
      <c r="G11" s="77"/>
      <c r="H11" s="118">
        <f>BFLY!C17</f>
        <v>8000</v>
      </c>
      <c r="I11" s="73">
        <f>D11*F11*H11</f>
        <v>448000</v>
      </c>
      <c r="J11" s="73">
        <v>80000</v>
      </c>
      <c r="K11" s="117">
        <f t="shared" si="0"/>
        <v>528000</v>
      </c>
      <c r="L11" s="119"/>
      <c r="M11" s="120"/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18">
        <v>429000</v>
      </c>
      <c r="I12" s="73">
        <f>D12*F12*H12</f>
        <v>429000</v>
      </c>
      <c r="J12" s="171">
        <v>75000</v>
      </c>
      <c r="K12" s="117">
        <f t="shared" si="0"/>
        <v>504000</v>
      </c>
      <c r="L12" s="119"/>
      <c r="M12" s="120"/>
      <c r="P12" s="119" t="s">
        <v>356</v>
      </c>
      <c r="Q12" s="177"/>
      <c r="R12" s="177">
        <v>75000</v>
      </c>
      <c r="S12" s="177"/>
      <c r="T12" s="178">
        <f>R12+Q12</f>
        <v>75000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16</v>
      </c>
      <c r="E13" s="68"/>
      <c r="F13" s="78">
        <v>1</v>
      </c>
      <c r="G13" s="77"/>
      <c r="H13" s="118">
        <v>1200</v>
      </c>
      <c r="I13" s="73">
        <f>D13*F13*H13</f>
        <v>19200</v>
      </c>
      <c r="J13" s="73"/>
      <c r="K13" s="117">
        <f>H13*D13</f>
        <v>19200</v>
      </c>
      <c r="L13" s="119"/>
      <c r="M13" s="120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22500</v>
      </c>
      <c r="J14" s="73">
        <v>16520</v>
      </c>
      <c r="K14" s="117">
        <f>I14+J14</f>
        <v>39020</v>
      </c>
      <c r="L14" s="119"/>
      <c r="M14" s="120"/>
    </row>
    <row r="15" spans="1:20" s="121" customFormat="1" ht="18" customHeight="1">
      <c r="A15" s="72">
        <v>8</v>
      </c>
      <c r="B15" s="74" t="s">
        <v>151</v>
      </c>
      <c r="C15" s="76" t="s">
        <v>176</v>
      </c>
      <c r="D15" s="76">
        <v>1</v>
      </c>
      <c r="E15" s="68"/>
      <c r="F15" s="78">
        <v>1</v>
      </c>
      <c r="G15" s="77"/>
      <c r="H15" s="118">
        <v>35000</v>
      </c>
      <c r="I15" s="73">
        <f t="shared" ref="I15:I26" si="1">D15*F15*H15</f>
        <v>35000</v>
      </c>
      <c r="J15" s="73"/>
      <c r="K15" s="117">
        <f t="shared" ref="K15:K28" si="2">I15+J15</f>
        <v>35000</v>
      </c>
      <c r="L15" s="119"/>
      <c r="M15" s="120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56100</v>
      </c>
      <c r="I16" s="73">
        <f t="shared" si="1"/>
        <v>56100</v>
      </c>
      <c r="J16" s="73">
        <v>15000</v>
      </c>
      <c r="K16" s="117">
        <f t="shared" si="2"/>
        <v>71100</v>
      </c>
      <c r="L16" s="119"/>
      <c r="M16" s="120"/>
    </row>
    <row r="17" spans="1:14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3200</v>
      </c>
      <c r="I17" s="73">
        <f t="shared" si="1"/>
        <v>6400</v>
      </c>
      <c r="J17" s="73"/>
      <c r="K17" s="117">
        <f t="shared" si="2"/>
        <v>6400</v>
      </c>
      <c r="L17" s="119"/>
      <c r="M17" s="120"/>
    </row>
    <row r="18" spans="1:14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5940</v>
      </c>
      <c r="I18" s="73">
        <f t="shared" si="1"/>
        <v>5940</v>
      </c>
      <c r="J18" s="73">
        <v>5000</v>
      </c>
      <c r="K18" s="117">
        <f t="shared" si="2"/>
        <v>10940</v>
      </c>
      <c r="L18" s="119"/>
      <c r="M18" s="120"/>
    </row>
    <row r="19" spans="1:14" s="121" customFormat="1" ht="18" customHeight="1">
      <c r="A19" s="72">
        <v>12</v>
      </c>
      <c r="B19" s="74" t="s">
        <v>157</v>
      </c>
      <c r="C19" s="76" t="s">
        <v>158</v>
      </c>
      <c r="D19" s="76">
        <v>3</v>
      </c>
      <c r="E19" s="68"/>
      <c r="F19" s="78">
        <v>1</v>
      </c>
      <c r="G19" s="69"/>
      <c r="H19" s="118">
        <v>4620</v>
      </c>
      <c r="I19" s="73">
        <f>H19</f>
        <v>4620</v>
      </c>
      <c r="J19" s="73">
        <v>4500</v>
      </c>
      <c r="K19" s="117">
        <f>(I19+J19)*D19</f>
        <v>27360</v>
      </c>
      <c r="L19" s="119"/>
      <c r="M19" s="120"/>
    </row>
    <row r="20" spans="1:14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66000</v>
      </c>
      <c r="I20" s="73">
        <f t="shared" si="1"/>
        <v>66000</v>
      </c>
      <c r="J20" s="73">
        <v>15000</v>
      </c>
      <c r="K20" s="117">
        <f t="shared" si="2"/>
        <v>81000</v>
      </c>
      <c r="L20" s="119"/>
      <c r="M20" s="120"/>
    </row>
    <row r="21" spans="1:14" s="121" customFormat="1" ht="18" customHeight="1">
      <c r="A21" s="72">
        <v>14</v>
      </c>
      <c r="B21" s="74" t="s">
        <v>160</v>
      </c>
      <c r="C21" s="76" t="s">
        <v>149</v>
      </c>
      <c r="D21" s="76">
        <v>6</v>
      </c>
      <c r="E21" s="68"/>
      <c r="F21" s="78">
        <v>1</v>
      </c>
      <c r="G21" s="69"/>
      <c r="H21" s="118">
        <v>680</v>
      </c>
      <c r="I21" s="73">
        <f t="shared" si="1"/>
        <v>4080</v>
      </c>
      <c r="J21" s="73"/>
      <c r="K21" s="117">
        <f t="shared" si="2"/>
        <v>4080</v>
      </c>
      <c r="L21" s="119"/>
      <c r="M21" s="120"/>
    </row>
    <row r="22" spans="1:14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4000</v>
      </c>
      <c r="I22" s="73">
        <f t="shared" si="1"/>
        <v>4000</v>
      </c>
      <c r="J22" s="73">
        <v>1000</v>
      </c>
      <c r="K22" s="117">
        <f t="shared" si="2"/>
        <v>5000</v>
      </c>
      <c r="L22" s="119"/>
      <c r="M22" s="120"/>
    </row>
    <row r="23" spans="1:14" s="121" customFormat="1" ht="18" customHeight="1">
      <c r="A23" s="72">
        <v>16</v>
      </c>
      <c r="B23" s="74" t="s">
        <v>163</v>
      </c>
      <c r="C23" s="76" t="s">
        <v>164</v>
      </c>
      <c r="D23" s="76">
        <v>4</v>
      </c>
      <c r="E23" s="68"/>
      <c r="F23" s="78">
        <v>1</v>
      </c>
      <c r="G23" s="69"/>
      <c r="H23" s="118">
        <v>2400</v>
      </c>
      <c r="I23" s="73">
        <f>H23</f>
        <v>2400</v>
      </c>
      <c r="J23" s="73"/>
      <c r="K23" s="117">
        <f>(I23+J23)*D23</f>
        <v>9600</v>
      </c>
      <c r="L23" s="119"/>
      <c r="M23" s="120"/>
    </row>
    <row r="24" spans="1:14" s="121" customFormat="1" ht="18" customHeight="1">
      <c r="A24" s="72">
        <v>17</v>
      </c>
      <c r="B24" s="74" t="s">
        <v>165</v>
      </c>
      <c r="C24" s="76" t="s">
        <v>164</v>
      </c>
      <c r="D24" s="76">
        <v>8</v>
      </c>
      <c r="E24" s="68"/>
      <c r="F24" s="78">
        <v>1</v>
      </c>
      <c r="G24" s="69"/>
      <c r="H24" s="118">
        <v>910</v>
      </c>
      <c r="I24" s="73">
        <f>H24</f>
        <v>910</v>
      </c>
      <c r="J24" s="73"/>
      <c r="K24" s="117">
        <f>(I24+J24)*D24</f>
        <v>7280</v>
      </c>
      <c r="L24" s="119"/>
      <c r="M24" s="120"/>
    </row>
    <row r="25" spans="1:14" s="121" customFormat="1" ht="18" customHeight="1">
      <c r="A25" s="72">
        <v>18</v>
      </c>
      <c r="B25" s="74"/>
      <c r="C25" s="76"/>
      <c r="D25" s="76"/>
      <c r="E25" s="68"/>
      <c r="F25" s="78"/>
      <c r="G25" s="69"/>
      <c r="H25" s="118"/>
      <c r="I25" s="73"/>
      <c r="J25" s="73"/>
      <c r="K25" s="117"/>
      <c r="L25" s="119"/>
      <c r="M25" s="120"/>
    </row>
    <row r="26" spans="1:14" s="121" customFormat="1" ht="18" customHeight="1">
      <c r="A26" s="72">
        <v>19</v>
      </c>
      <c r="B26" s="74" t="s">
        <v>166</v>
      </c>
      <c r="C26" s="76" t="s">
        <v>154</v>
      </c>
      <c r="D26" s="76">
        <v>1</v>
      </c>
      <c r="E26" s="68"/>
      <c r="F26" s="78">
        <v>1</v>
      </c>
      <c r="G26" s="79"/>
      <c r="H26" s="118">
        <v>146400</v>
      </c>
      <c r="I26" s="73">
        <f t="shared" si="1"/>
        <v>146400</v>
      </c>
      <c r="J26" s="73">
        <v>30000</v>
      </c>
      <c r="K26" s="117">
        <f t="shared" si="2"/>
        <v>176400</v>
      </c>
      <c r="L26" s="119"/>
      <c r="M26" s="120"/>
    </row>
    <row r="27" spans="1:14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589000</v>
      </c>
      <c r="L27" s="125">
        <v>301640</v>
      </c>
      <c r="M27" s="125">
        <v>589000</v>
      </c>
      <c r="N27" s="125">
        <v>748000</v>
      </c>
    </row>
    <row r="28" spans="1:14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201000</v>
      </c>
      <c r="J28" s="117">
        <v>80000</v>
      </c>
      <c r="K28" s="117">
        <f t="shared" si="2"/>
        <v>281000</v>
      </c>
      <c r="L28" s="125"/>
    </row>
    <row r="29" spans="1:14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SUM(K6:K26,K28)</f>
        <v>5197380</v>
      </c>
      <c r="L29" s="86"/>
    </row>
    <row r="30" spans="1:14" s="87" customFormat="1" ht="18" customHeight="1">
      <c r="A30" s="80">
        <v>24</v>
      </c>
      <c r="B30" s="81" t="s">
        <v>171</v>
      </c>
      <c r="C30" s="82"/>
      <c r="D30" s="82"/>
      <c r="E30" s="83"/>
      <c r="F30" s="83"/>
      <c r="G30" s="83"/>
      <c r="H30" s="83"/>
      <c r="I30" s="84"/>
      <c r="J30" s="84"/>
      <c r="K30" s="85">
        <f>SUM(K6:K28)</f>
        <v>5786380</v>
      </c>
      <c r="L30" s="86"/>
    </row>
    <row r="31" spans="1:14" s="87" customFormat="1" ht="18" customHeight="1">
      <c r="A31" s="80">
        <v>25</v>
      </c>
      <c r="B31" s="88"/>
      <c r="C31" s="89"/>
      <c r="D31" s="89"/>
      <c r="E31" s="90"/>
      <c r="F31" s="90"/>
      <c r="G31" s="90"/>
      <c r="H31" s="90"/>
      <c r="I31" s="90"/>
      <c r="J31" s="90"/>
      <c r="K31" s="90"/>
      <c r="L31" s="86"/>
    </row>
    <row r="32" spans="1:14" s="121" customFormat="1" ht="18" customHeight="1">
      <c r="A32" s="72">
        <v>26</v>
      </c>
      <c r="B32" s="74" t="s">
        <v>172</v>
      </c>
      <c r="C32" s="76"/>
      <c r="D32" s="76">
        <v>1</v>
      </c>
      <c r="E32" s="68"/>
      <c r="F32" s="78"/>
      <c r="G32" s="79"/>
      <c r="H32" s="68"/>
      <c r="I32" s="73"/>
      <c r="J32" s="73"/>
      <c r="K32" s="117">
        <f>I32+J32</f>
        <v>0</v>
      </c>
      <c r="L32" s="125"/>
    </row>
    <row r="33" spans="1:13" s="121" customFormat="1" ht="24">
      <c r="A33" s="207">
        <v>27</v>
      </c>
      <c r="B33" s="132" t="s">
        <v>173</v>
      </c>
      <c r="C33" s="76"/>
      <c r="D33" s="76">
        <v>4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 customHeight="1">
      <c r="A34" s="207"/>
      <c r="B34" s="74" t="s">
        <v>174</v>
      </c>
      <c r="C34" s="76"/>
      <c r="D34" s="76">
        <v>1</v>
      </c>
      <c r="E34" s="68"/>
      <c r="F34" s="78"/>
      <c r="G34" s="68"/>
      <c r="H34" s="68"/>
      <c r="I34" s="68"/>
      <c r="J34" s="68"/>
      <c r="K34" s="117">
        <v>261000</v>
      </c>
      <c r="L34" s="125"/>
    </row>
    <row r="35" spans="1:13" s="121" customFormat="1" ht="18" customHeight="1">
      <c r="A35" s="72">
        <v>28</v>
      </c>
      <c r="B35" s="133" t="s">
        <v>175</v>
      </c>
      <c r="C35" s="76"/>
      <c r="D35" s="134"/>
      <c r="E35" s="68"/>
      <c r="F35" s="68"/>
      <c r="G35" s="68"/>
      <c r="H35" s="68"/>
      <c r="I35" s="124">
        <f>SUM(K31:K34)</f>
        <v>261000</v>
      </c>
      <c r="J35" s="135">
        <v>1</v>
      </c>
      <c r="K35" s="124">
        <f>J35*I35</f>
        <v>261000</v>
      </c>
      <c r="L35" s="125"/>
    </row>
    <row r="36" spans="1:13" s="8" customFormat="1" ht="18" customHeight="1">
      <c r="A36" s="21">
        <v>29</v>
      </c>
      <c r="B36" s="9"/>
      <c r="C36" s="10"/>
      <c r="D36" s="10"/>
      <c r="E36" s="11"/>
      <c r="F36" s="11"/>
      <c r="G36" s="11"/>
      <c r="H36" s="11"/>
      <c r="I36" s="11"/>
      <c r="J36" s="19"/>
      <c r="K36" s="11"/>
      <c r="L36" s="12"/>
    </row>
    <row r="37" spans="1:13" s="8" customFormat="1" ht="18" customHeight="1">
      <c r="A37" s="21">
        <v>30</v>
      </c>
      <c r="B37" s="20" t="s">
        <v>102</v>
      </c>
      <c r="C37" s="13"/>
      <c r="D37" s="13"/>
      <c r="E37" s="14"/>
      <c r="F37" s="14"/>
      <c r="G37" s="14"/>
      <c r="H37" s="14"/>
      <c r="I37" s="15">
        <f>K29</f>
        <v>5197380</v>
      </c>
      <c r="J37" s="21"/>
      <c r="K37" s="17">
        <f>I37+K35</f>
        <v>5458380</v>
      </c>
      <c r="L37" s="12"/>
    </row>
    <row r="38" spans="1:13" s="8" customFormat="1" ht="18" customHeight="1">
      <c r="A38" s="21">
        <v>32</v>
      </c>
      <c r="B38" s="20" t="s">
        <v>104</v>
      </c>
      <c r="C38" s="13"/>
      <c r="D38" s="13"/>
      <c r="E38" s="14"/>
      <c r="F38" s="14"/>
      <c r="G38" s="14"/>
      <c r="H38" s="14"/>
      <c r="I38" s="15">
        <f>K30</f>
        <v>5786380</v>
      </c>
      <c r="J38" s="21"/>
      <c r="K38" s="17">
        <f>I38+K35</f>
        <v>6047380</v>
      </c>
      <c r="L38" s="22"/>
    </row>
    <row r="39" spans="1:13" s="8" customFormat="1" ht="18" customHeight="1">
      <c r="A39" s="21">
        <v>33</v>
      </c>
      <c r="B39" s="45" t="s">
        <v>105</v>
      </c>
      <c r="C39" s="41"/>
      <c r="D39" s="41"/>
      <c r="E39" s="44"/>
      <c r="F39" s="46"/>
      <c r="G39" s="46"/>
      <c r="H39" s="42"/>
      <c r="I39" s="42"/>
      <c r="J39" s="21">
        <f>BFLY!B21</f>
        <v>1</v>
      </c>
      <c r="K39" s="43">
        <f>K37*J39</f>
        <v>5458380</v>
      </c>
      <c r="L39" s="22"/>
    </row>
    <row r="40" spans="1:13" s="23" customFormat="1" ht="18" customHeight="1">
      <c r="A40" s="21">
        <v>35</v>
      </c>
      <c r="B40" s="45" t="s">
        <v>107</v>
      </c>
      <c r="C40" s="41"/>
      <c r="D40" s="41"/>
      <c r="E40" s="44"/>
      <c r="F40" s="46"/>
      <c r="G40" s="46"/>
      <c r="H40" s="42"/>
      <c r="I40" s="42"/>
      <c r="J40" s="21">
        <f>BFLY!B21</f>
        <v>1</v>
      </c>
      <c r="K40" s="43">
        <f>K38*J40</f>
        <v>6047380</v>
      </c>
      <c r="L40" s="22"/>
      <c r="M40" s="8"/>
    </row>
    <row r="41" spans="1:13" s="23" customFormat="1" ht="18" customHeight="1">
      <c r="A41" s="136"/>
      <c r="L41" s="22"/>
      <c r="M41" s="8"/>
    </row>
    <row r="42" spans="1:13" s="23" customFormat="1" ht="18" customHeight="1">
      <c r="L42" s="24"/>
    </row>
    <row r="43" spans="1:13" s="23" customFormat="1" ht="18" customHeight="1">
      <c r="L43" s="24"/>
    </row>
    <row r="44" spans="1:13" s="23" customFormat="1" ht="18" customHeight="1">
      <c r="L44" s="24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D49" s="24"/>
      <c r="L49" s="24"/>
    </row>
    <row r="50" spans="2:12" s="23" customFormat="1" ht="12"/>
    <row r="51" spans="2:12" s="23" customFormat="1" ht="12">
      <c r="L51" s="24"/>
    </row>
    <row r="52" spans="2:12" s="23" customFormat="1" ht="1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4"/>
    </row>
    <row r="53" spans="2:12" s="25" customFormat="1" ht="15">
      <c r="L53" s="24"/>
    </row>
    <row r="54" spans="2:12" s="25" customFormat="1" ht="15">
      <c r="L54" s="24"/>
    </row>
    <row r="55" spans="2:12" s="25" customFormat="1" ht="15">
      <c r="B55" s="3"/>
      <c r="C55" s="3"/>
      <c r="D55" s="3"/>
      <c r="E55" s="3"/>
      <c r="F55" s="3"/>
      <c r="G55" s="3"/>
      <c r="H55" s="3"/>
      <c r="I55" s="3"/>
      <c r="J55" s="3"/>
      <c r="K55" s="3"/>
      <c r="L55" s="24"/>
    </row>
  </sheetData>
  <mergeCells count="3">
    <mergeCell ref="A33:A34"/>
    <mergeCell ref="M8:O8"/>
    <mergeCell ref="A6:A8"/>
  </mergeCells>
  <phoneticPr fontId="8" type="noConversion"/>
  <pageMargins left="0.75" right="0.75" top="1" bottom="1" header="0.5" footer="0.5"/>
  <pageSetup paperSize="9" scale="87" orientation="portrait" r:id="rId1"/>
  <headerFooter alignWithMargins="0"/>
  <colBreaks count="1" manualBreakCount="1">
    <brk id="11" max="1048575" man="1"/>
  </colBreaks>
  <ignoredErrors>
    <ignoredError sqref="I19 K13 K19" formula="1"/>
  </ignoredError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T55"/>
  <sheetViews>
    <sheetView view="pageBreakPreview" zoomScaleNormal="100" zoomScaleSheetLayoutView="100" workbookViewId="0">
      <selection activeCell="M28" sqref="M28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2.2187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324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>
      <c r="Q4" s="8" t="s">
        <v>351</v>
      </c>
      <c r="R4" s="8" t="s">
        <v>9</v>
      </c>
      <c r="S4" s="8"/>
      <c r="T4" s="8" t="s">
        <v>352</v>
      </c>
    </row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IF(C6="WCB",281,IF(C6="CF8",281,IF(C6="CF8M",281)))</f>
        <v>281</v>
      </c>
      <c r="G6" s="69"/>
      <c r="H6" s="118">
        <f>BFLY!C13</f>
        <v>4000</v>
      </c>
      <c r="I6" s="70">
        <f>D6*F6*H6</f>
        <v>1124000</v>
      </c>
      <c r="J6" s="127">
        <f>IF(C6="WCB",320000,IF(C6="CF8",383000,IF(C6="CF8M",383000)))</f>
        <v>383000</v>
      </c>
      <c r="K6" s="128">
        <f t="shared" ref="K6:K12" si="0">I6+J6</f>
        <v>1507000</v>
      </c>
      <c r="L6" s="119"/>
      <c r="M6" s="120"/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>
        <v>476</v>
      </c>
      <c r="G7" s="69"/>
      <c r="H7" s="118">
        <f>BFLY!C14</f>
        <v>0</v>
      </c>
      <c r="I7" s="70">
        <f>D7*F7*H7</f>
        <v>0</v>
      </c>
      <c r="J7" s="127" t="b">
        <f>IF(C7="WCB",380000,IF(C7="CF8",450000,IF(C7="CF8M",450000)))</f>
        <v>0</v>
      </c>
      <c r="K7" s="128">
        <f t="shared" si="0"/>
        <v>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655*1.1</f>
        <v>720.50000000000011</v>
      </c>
      <c r="G8" s="69"/>
      <c r="H8" s="118">
        <f>BFLY!C15</f>
        <v>0</v>
      </c>
      <c r="I8" s="70">
        <f>D8*F8*H8</f>
        <v>0</v>
      </c>
      <c r="J8" s="127">
        <f>IF(C8="WCB",530000,IF(C8="CF8",530000,IF(C8="CF8M",530000)))</f>
        <v>530000</v>
      </c>
      <c r="K8" s="128">
        <f t="shared" si="0"/>
        <v>530000</v>
      </c>
      <c r="L8" s="122" t="s">
        <v>138</v>
      </c>
      <c r="M8" s="208" t="s">
        <v>139</v>
      </c>
      <c r="N8" s="209"/>
      <c r="O8" s="210"/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IF(C9="CF8",144,IF(C9="CF8M",145,IF(C9="CF3M",145,IF(C9="B148",173))))</f>
        <v>145</v>
      </c>
      <c r="G9" s="69"/>
      <c r="H9" s="118">
        <f>BFLY!C16</f>
        <v>8000</v>
      </c>
      <c r="I9" s="73">
        <f>D9*F9*H9</f>
        <v>1160000</v>
      </c>
      <c r="J9" s="129">
        <f>IF(C9="CF8",240000,IF(C9="CF8M",240000,IF(C9="CF3M",240000,IF(C9="B148",240000))))</f>
        <v>240000</v>
      </c>
      <c r="K9" s="117">
        <f t="shared" si="0"/>
        <v>1400000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IF(C10="RTFE",500000,IF(C10="RTFE-A",787000,IF(C10="METAL-B",69130,IF(C10="RTFE + METAL",495000))))</f>
        <v>500000</v>
      </c>
      <c r="J10" s="184">
        <f>IF(C10="RTFE",0,IF(C10="METAL-B",100000,IF(C10="RTFE + METAL",65000)))</f>
        <v>0</v>
      </c>
      <c r="K10" s="117">
        <f t="shared" si="0"/>
        <v>500000</v>
      </c>
      <c r="L10" s="173">
        <v>500000</v>
      </c>
      <c r="M10" s="124"/>
      <c r="N10" s="173">
        <v>70000</v>
      </c>
      <c r="O10" s="124">
        <f>M10+N10</f>
        <v>70000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60</v>
      </c>
      <c r="G11" s="77"/>
      <c r="H11" s="118">
        <f>BFLY!C17</f>
        <v>8000</v>
      </c>
      <c r="I11" s="73">
        <f>D11*F11*H11</f>
        <v>480000</v>
      </c>
      <c r="J11" s="73">
        <v>100000</v>
      </c>
      <c r="K11" s="117">
        <f t="shared" si="0"/>
        <v>580000</v>
      </c>
      <c r="L11" s="119"/>
      <c r="M11" s="120"/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18">
        <v>270600</v>
      </c>
      <c r="I12" s="73">
        <f>D12*F12*H12</f>
        <v>270600</v>
      </c>
      <c r="J12" s="171">
        <v>80000</v>
      </c>
      <c r="K12" s="117">
        <f t="shared" si="0"/>
        <v>350600</v>
      </c>
      <c r="L12" s="119"/>
      <c r="M12" s="120"/>
      <c r="P12" s="119" t="s">
        <v>356</v>
      </c>
      <c r="Q12" s="177"/>
      <c r="R12" s="177">
        <v>80000</v>
      </c>
      <c r="S12" s="177"/>
      <c r="T12" s="178">
        <f>R12+Q12</f>
        <v>80000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16</v>
      </c>
      <c r="E13" s="68"/>
      <c r="F13" s="78">
        <v>1</v>
      </c>
      <c r="G13" s="77"/>
      <c r="H13" s="118">
        <v>1000</v>
      </c>
      <c r="I13" s="73">
        <f>D13*F13*H13</f>
        <v>16000</v>
      </c>
      <c r="J13" s="73"/>
      <c r="K13" s="117">
        <f>H13*D13</f>
        <v>16000</v>
      </c>
      <c r="L13" s="119"/>
      <c r="M13" s="120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16460</v>
      </c>
      <c r="J14" s="73">
        <v>20000</v>
      </c>
      <c r="K14" s="117">
        <f>I14+J14</f>
        <v>36460</v>
      </c>
      <c r="L14" s="119"/>
      <c r="M14" s="120"/>
    </row>
    <row r="15" spans="1:20" s="121" customFormat="1" ht="18" customHeight="1">
      <c r="A15" s="72">
        <v>8</v>
      </c>
      <c r="B15" s="74" t="s">
        <v>151</v>
      </c>
      <c r="C15" s="76" t="s">
        <v>176</v>
      </c>
      <c r="D15" s="76">
        <v>1</v>
      </c>
      <c r="E15" s="68"/>
      <c r="F15" s="78">
        <v>1</v>
      </c>
      <c r="G15" s="77"/>
      <c r="H15" s="118">
        <v>35000</v>
      </c>
      <c r="I15" s="73">
        <f t="shared" ref="I15:I26" si="1">D15*F15*H15</f>
        <v>35000</v>
      </c>
      <c r="J15" s="73"/>
      <c r="K15" s="117">
        <f t="shared" ref="K15:K28" si="2">I15+J15</f>
        <v>35000</v>
      </c>
      <c r="L15" s="119"/>
      <c r="M15" s="120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56100</v>
      </c>
      <c r="I16" s="73">
        <f t="shared" si="1"/>
        <v>56100</v>
      </c>
      <c r="J16" s="73">
        <v>15000</v>
      </c>
      <c r="K16" s="117">
        <f t="shared" si="2"/>
        <v>71100</v>
      </c>
      <c r="L16" s="119"/>
      <c r="M16" s="120"/>
    </row>
    <row r="17" spans="1:14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3400</v>
      </c>
      <c r="I17" s="73">
        <f t="shared" si="1"/>
        <v>6800</v>
      </c>
      <c r="J17" s="73"/>
      <c r="K17" s="117">
        <f t="shared" si="2"/>
        <v>6800</v>
      </c>
      <c r="L17" s="119"/>
      <c r="M17" s="120"/>
    </row>
    <row r="18" spans="1:14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6600</v>
      </c>
      <c r="I18" s="73">
        <f t="shared" si="1"/>
        <v>6600</v>
      </c>
      <c r="J18" s="73">
        <v>5000</v>
      </c>
      <c r="K18" s="117">
        <f t="shared" si="2"/>
        <v>11600</v>
      </c>
      <c r="L18" s="119"/>
      <c r="M18" s="120"/>
    </row>
    <row r="19" spans="1:14" s="121" customFormat="1" ht="18" customHeight="1">
      <c r="A19" s="72">
        <v>12</v>
      </c>
      <c r="B19" s="74" t="s">
        <v>157</v>
      </c>
      <c r="C19" s="76" t="s">
        <v>158</v>
      </c>
      <c r="D19" s="76">
        <v>3</v>
      </c>
      <c r="E19" s="68"/>
      <c r="F19" s="78">
        <v>1</v>
      </c>
      <c r="G19" s="69"/>
      <c r="H19" s="118">
        <v>6440</v>
      </c>
      <c r="I19" s="73">
        <f>H19</f>
        <v>6440</v>
      </c>
      <c r="J19" s="73">
        <v>4000</v>
      </c>
      <c r="K19" s="117">
        <f>(I19+J19)*D19</f>
        <v>31320</v>
      </c>
      <c r="L19" s="119"/>
      <c r="M19" s="120"/>
    </row>
    <row r="20" spans="1:14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66000</v>
      </c>
      <c r="I20" s="73">
        <f t="shared" si="1"/>
        <v>66000</v>
      </c>
      <c r="J20" s="73">
        <v>15000</v>
      </c>
      <c r="K20" s="117">
        <f t="shared" si="2"/>
        <v>81000</v>
      </c>
      <c r="L20" s="119"/>
      <c r="M20" s="120"/>
    </row>
    <row r="21" spans="1:14" s="121" customFormat="1" ht="18" customHeight="1">
      <c r="A21" s="72">
        <v>14</v>
      </c>
      <c r="B21" s="74" t="s">
        <v>160</v>
      </c>
      <c r="C21" s="76" t="s">
        <v>149</v>
      </c>
      <c r="D21" s="76">
        <v>4</v>
      </c>
      <c r="E21" s="68"/>
      <c r="F21" s="78">
        <v>1</v>
      </c>
      <c r="G21" s="69"/>
      <c r="H21" s="118">
        <v>1200</v>
      </c>
      <c r="I21" s="73">
        <f t="shared" si="1"/>
        <v>4800</v>
      </c>
      <c r="J21" s="73"/>
      <c r="K21" s="117">
        <f t="shared" si="2"/>
        <v>4800</v>
      </c>
      <c r="L21" s="119"/>
      <c r="M21" s="120"/>
    </row>
    <row r="22" spans="1:14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4000</v>
      </c>
      <c r="I22" s="73">
        <f t="shared" si="1"/>
        <v>4000</v>
      </c>
      <c r="J22" s="73">
        <v>1000</v>
      </c>
      <c r="K22" s="117">
        <f t="shared" si="2"/>
        <v>5000</v>
      </c>
      <c r="L22" s="119"/>
      <c r="M22" s="120"/>
    </row>
    <row r="23" spans="1:14" s="121" customFormat="1" ht="18" customHeight="1">
      <c r="A23" s="72">
        <v>16</v>
      </c>
      <c r="B23" s="74" t="s">
        <v>163</v>
      </c>
      <c r="C23" s="76" t="s">
        <v>164</v>
      </c>
      <c r="D23" s="76">
        <v>4</v>
      </c>
      <c r="E23" s="68"/>
      <c r="F23" s="78">
        <v>1</v>
      </c>
      <c r="G23" s="69"/>
      <c r="H23" s="118">
        <v>2400</v>
      </c>
      <c r="I23" s="73">
        <f>H23</f>
        <v>2400</v>
      </c>
      <c r="J23" s="73"/>
      <c r="K23" s="117">
        <f>(I23+J23)*D23</f>
        <v>9600</v>
      </c>
      <c r="L23" s="119"/>
      <c r="M23" s="120"/>
    </row>
    <row r="24" spans="1:14" s="121" customFormat="1" ht="18" customHeight="1">
      <c r="A24" s="72">
        <v>17</v>
      </c>
      <c r="B24" s="74" t="s">
        <v>165</v>
      </c>
      <c r="C24" s="76" t="s">
        <v>164</v>
      </c>
      <c r="D24" s="76">
        <v>8</v>
      </c>
      <c r="E24" s="68"/>
      <c r="F24" s="78">
        <v>1</v>
      </c>
      <c r="G24" s="69"/>
      <c r="H24" s="118">
        <v>910</v>
      </c>
      <c r="I24" s="73">
        <f>H24</f>
        <v>910</v>
      </c>
      <c r="J24" s="73"/>
      <c r="K24" s="117">
        <f>(I24+J24)*D24</f>
        <v>7280</v>
      </c>
      <c r="L24" s="119"/>
      <c r="M24" s="120"/>
    </row>
    <row r="25" spans="1:14" s="121" customFormat="1" ht="18" customHeight="1">
      <c r="A25" s="72">
        <v>18</v>
      </c>
      <c r="B25" s="74"/>
      <c r="C25" s="76"/>
      <c r="D25" s="76"/>
      <c r="E25" s="68"/>
      <c r="F25" s="78"/>
      <c r="G25" s="69"/>
      <c r="H25" s="118"/>
      <c r="I25" s="73"/>
      <c r="J25" s="73"/>
      <c r="K25" s="117"/>
      <c r="L25" s="119"/>
      <c r="M25" s="120"/>
    </row>
    <row r="26" spans="1:14" s="121" customFormat="1" ht="18" customHeight="1">
      <c r="A26" s="72">
        <v>19</v>
      </c>
      <c r="B26" s="74" t="s">
        <v>166</v>
      </c>
      <c r="C26" s="76" t="s">
        <v>154</v>
      </c>
      <c r="D26" s="76">
        <v>1</v>
      </c>
      <c r="E26" s="68"/>
      <c r="F26" s="78">
        <v>1</v>
      </c>
      <c r="G26" s="79"/>
      <c r="H26" s="118">
        <v>146400</v>
      </c>
      <c r="I26" s="73">
        <f t="shared" si="1"/>
        <v>146400</v>
      </c>
      <c r="J26" s="73">
        <v>30000</v>
      </c>
      <c r="K26" s="117">
        <f t="shared" si="2"/>
        <v>176400</v>
      </c>
      <c r="L26" s="119"/>
      <c r="M26" s="120"/>
    </row>
    <row r="27" spans="1:14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589000</v>
      </c>
      <c r="L27" s="125">
        <v>301640</v>
      </c>
      <c r="M27" s="125">
        <v>589000</v>
      </c>
      <c r="N27" s="125">
        <v>748000</v>
      </c>
    </row>
    <row r="28" spans="1:14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226800</v>
      </c>
      <c r="J28" s="117">
        <v>80000</v>
      </c>
      <c r="K28" s="117">
        <f t="shared" si="2"/>
        <v>306800</v>
      </c>
      <c r="L28" s="125"/>
    </row>
    <row r="29" spans="1:14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SUM(K6:K26,K28)</f>
        <v>5666760</v>
      </c>
      <c r="L29" s="86"/>
    </row>
    <row r="30" spans="1:14" s="87" customFormat="1" ht="18" customHeight="1">
      <c r="A30" s="80">
        <v>24</v>
      </c>
      <c r="B30" s="81" t="s">
        <v>171</v>
      </c>
      <c r="C30" s="82"/>
      <c r="D30" s="82"/>
      <c r="E30" s="83"/>
      <c r="F30" s="83"/>
      <c r="G30" s="83"/>
      <c r="H30" s="83"/>
      <c r="I30" s="84"/>
      <c r="J30" s="84"/>
      <c r="K30" s="85">
        <f>SUM(K6:K28)</f>
        <v>6255760</v>
      </c>
      <c r="L30" s="86"/>
    </row>
    <row r="31" spans="1:14" s="87" customFormat="1" ht="18" customHeight="1">
      <c r="A31" s="80">
        <v>25</v>
      </c>
      <c r="B31" s="88"/>
      <c r="C31" s="89"/>
      <c r="D31" s="89"/>
      <c r="E31" s="90"/>
      <c r="F31" s="90"/>
      <c r="G31" s="90"/>
      <c r="H31" s="90"/>
      <c r="I31" s="90"/>
      <c r="J31" s="90"/>
      <c r="K31" s="90"/>
      <c r="L31" s="86"/>
    </row>
    <row r="32" spans="1:14" s="121" customFormat="1" ht="18" customHeight="1">
      <c r="A32" s="72">
        <v>26</v>
      </c>
      <c r="B32" s="74" t="s">
        <v>172</v>
      </c>
      <c r="C32" s="76"/>
      <c r="D32" s="76">
        <v>1</v>
      </c>
      <c r="E32" s="68"/>
      <c r="F32" s="78"/>
      <c r="G32" s="79"/>
      <c r="H32" s="68"/>
      <c r="I32" s="73"/>
      <c r="J32" s="73"/>
      <c r="K32" s="117">
        <f>I32+J32</f>
        <v>0</v>
      </c>
      <c r="L32" s="125"/>
    </row>
    <row r="33" spans="1:13" s="121" customFormat="1" ht="24">
      <c r="A33" s="207">
        <v>27</v>
      </c>
      <c r="B33" s="132" t="s">
        <v>173</v>
      </c>
      <c r="C33" s="76"/>
      <c r="D33" s="76">
        <v>4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 customHeight="1">
      <c r="A34" s="207"/>
      <c r="B34" s="74" t="s">
        <v>174</v>
      </c>
      <c r="C34" s="76"/>
      <c r="D34" s="76">
        <v>1</v>
      </c>
      <c r="E34" s="68"/>
      <c r="F34" s="78"/>
      <c r="G34" s="68"/>
      <c r="H34" s="68"/>
      <c r="I34" s="68"/>
      <c r="J34" s="68"/>
      <c r="K34" s="117">
        <v>286800</v>
      </c>
      <c r="L34" s="125"/>
    </row>
    <row r="35" spans="1:13" s="121" customFormat="1" ht="18" customHeight="1">
      <c r="A35" s="72">
        <v>28</v>
      </c>
      <c r="B35" s="133" t="s">
        <v>175</v>
      </c>
      <c r="C35" s="76"/>
      <c r="D35" s="134"/>
      <c r="E35" s="68"/>
      <c r="F35" s="68"/>
      <c r="G35" s="68"/>
      <c r="H35" s="68"/>
      <c r="I35" s="124">
        <f>SUM(K31:K34)</f>
        <v>286800</v>
      </c>
      <c r="J35" s="135">
        <v>1</v>
      </c>
      <c r="K35" s="124">
        <f>J35*I35</f>
        <v>286800</v>
      </c>
      <c r="L35" s="125"/>
    </row>
    <row r="36" spans="1:13" s="8" customFormat="1" ht="18" customHeight="1">
      <c r="A36" s="21">
        <v>29</v>
      </c>
      <c r="B36" s="9"/>
      <c r="C36" s="10"/>
      <c r="D36" s="10"/>
      <c r="E36" s="11"/>
      <c r="F36" s="11"/>
      <c r="G36" s="11"/>
      <c r="H36" s="11"/>
      <c r="I36" s="11"/>
      <c r="J36" s="19"/>
      <c r="K36" s="11"/>
      <c r="L36" s="12"/>
    </row>
    <row r="37" spans="1:13" s="8" customFormat="1" ht="18" customHeight="1">
      <c r="A37" s="21">
        <v>30</v>
      </c>
      <c r="B37" s="20" t="s">
        <v>102</v>
      </c>
      <c r="C37" s="13"/>
      <c r="D37" s="13"/>
      <c r="E37" s="14"/>
      <c r="F37" s="14"/>
      <c r="G37" s="14"/>
      <c r="H37" s="14"/>
      <c r="I37" s="15">
        <f>K29</f>
        <v>5666760</v>
      </c>
      <c r="J37" s="21"/>
      <c r="K37" s="17">
        <f>I37+K35</f>
        <v>5953560</v>
      </c>
      <c r="L37" s="12"/>
    </row>
    <row r="38" spans="1:13" s="8" customFormat="1" ht="18" customHeight="1">
      <c r="A38" s="21">
        <v>32</v>
      </c>
      <c r="B38" s="20" t="s">
        <v>104</v>
      </c>
      <c r="C38" s="13"/>
      <c r="D38" s="13"/>
      <c r="E38" s="14"/>
      <c r="F38" s="14"/>
      <c r="G38" s="14"/>
      <c r="H38" s="14"/>
      <c r="I38" s="15">
        <f>K30</f>
        <v>6255760</v>
      </c>
      <c r="J38" s="21"/>
      <c r="K38" s="17">
        <f>I38+K35</f>
        <v>6542560</v>
      </c>
      <c r="L38" s="22"/>
    </row>
    <row r="39" spans="1:13" s="8" customFormat="1" ht="18" customHeight="1">
      <c r="A39" s="21">
        <v>33</v>
      </c>
      <c r="B39" s="45" t="s">
        <v>105</v>
      </c>
      <c r="C39" s="41"/>
      <c r="D39" s="41"/>
      <c r="E39" s="44"/>
      <c r="F39" s="46"/>
      <c r="G39" s="46"/>
      <c r="H39" s="42"/>
      <c r="I39" s="42"/>
      <c r="J39" s="21">
        <f>BFLY!B21</f>
        <v>1</v>
      </c>
      <c r="K39" s="43">
        <f>K37*J39</f>
        <v>5953560</v>
      </c>
      <c r="L39" s="22"/>
    </row>
    <row r="40" spans="1:13" s="23" customFormat="1" ht="18" customHeight="1">
      <c r="A40" s="21">
        <v>35</v>
      </c>
      <c r="B40" s="45" t="s">
        <v>107</v>
      </c>
      <c r="C40" s="41"/>
      <c r="D40" s="41"/>
      <c r="E40" s="44"/>
      <c r="F40" s="46"/>
      <c r="G40" s="46"/>
      <c r="H40" s="42"/>
      <c r="I40" s="42"/>
      <c r="J40" s="21">
        <f>BFLY!B21</f>
        <v>1</v>
      </c>
      <c r="K40" s="43">
        <f>K38*J40</f>
        <v>6542560</v>
      </c>
      <c r="L40" s="22"/>
      <c r="M40" s="8"/>
    </row>
    <row r="41" spans="1:13" s="23" customFormat="1" ht="18" customHeight="1">
      <c r="A41" s="136"/>
      <c r="L41" s="22"/>
      <c r="M41" s="8"/>
    </row>
    <row r="42" spans="1:13" s="23" customFormat="1" ht="18" customHeight="1">
      <c r="L42" s="24"/>
    </row>
    <row r="43" spans="1:13" s="23" customFormat="1" ht="18" customHeight="1">
      <c r="L43" s="24"/>
    </row>
    <row r="44" spans="1:13" s="23" customFormat="1" ht="18" customHeight="1">
      <c r="L44" s="24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D49" s="24"/>
      <c r="L49" s="24"/>
    </row>
    <row r="50" spans="2:12" s="23" customFormat="1" ht="12"/>
    <row r="51" spans="2:12" s="23" customFormat="1" ht="12">
      <c r="L51" s="24"/>
    </row>
    <row r="52" spans="2:12" s="23" customFormat="1" ht="1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4"/>
    </row>
    <row r="53" spans="2:12" s="25" customFormat="1" ht="15">
      <c r="L53" s="24"/>
    </row>
    <row r="54" spans="2:12" s="25" customFormat="1" ht="15">
      <c r="L54" s="24"/>
    </row>
    <row r="55" spans="2:12" s="25" customFormat="1" ht="15">
      <c r="B55" s="3"/>
      <c r="C55" s="3"/>
      <c r="D55" s="3"/>
      <c r="E55" s="3"/>
      <c r="F55" s="3"/>
      <c r="G55" s="3"/>
      <c r="H55" s="3"/>
      <c r="I55" s="3"/>
      <c r="J55" s="3"/>
      <c r="K55" s="3"/>
      <c r="L55" s="24"/>
    </row>
  </sheetData>
  <mergeCells count="3">
    <mergeCell ref="A33:A34"/>
    <mergeCell ref="M8:O8"/>
    <mergeCell ref="A6:A8"/>
  </mergeCells>
  <phoneticPr fontId="8" type="noConversion"/>
  <pageMargins left="0.75" right="0.75" top="1" bottom="1" header="0.5" footer="0.5"/>
  <pageSetup paperSize="9" scale="85" orientation="portrait" r:id="rId1"/>
  <headerFooter alignWithMargins="0"/>
  <colBreaks count="1" manualBreakCount="1">
    <brk id="11" max="1048575" man="1"/>
  </colBreaks>
  <ignoredErrors>
    <ignoredError sqref="I19 K13 K19" formula="1"/>
  </ignoredError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T55"/>
  <sheetViews>
    <sheetView view="pageBreakPreview" topLeftCell="A4" zoomScale="85" zoomScaleNormal="100" zoomScaleSheetLayoutView="85" workbookViewId="0">
      <selection activeCell="P38" sqref="P38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0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323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>
      <c r="Q4" s="8" t="s">
        <v>351</v>
      </c>
      <c r="R4" s="8" t="s">
        <v>9</v>
      </c>
      <c r="S4" s="8"/>
      <c r="T4" s="8" t="s">
        <v>352</v>
      </c>
    </row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IF(C6="WCB",286,IF(C6="CF8",284,IF(C6="CF8M",286)))</f>
        <v>284</v>
      </c>
      <c r="G6" s="69"/>
      <c r="H6" s="118">
        <f>BFLY!C13</f>
        <v>4000</v>
      </c>
      <c r="I6" s="70">
        <f>D6*F6*H6</f>
        <v>1136000</v>
      </c>
      <c r="J6" s="127">
        <f>IF(C6="WCB",385000,IF(C6="CF8",450000,IF(C6="CF8M",450000)))</f>
        <v>450000</v>
      </c>
      <c r="K6" s="128">
        <f t="shared" ref="K6:K12" si="0">I6+J6</f>
        <v>1586000</v>
      </c>
      <c r="L6" s="119"/>
      <c r="M6" s="120"/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IF(C7="WCB",480,IF(C7="CF8",480,IF(C7="CF8M",480)))</f>
        <v>0</v>
      </c>
      <c r="G7" s="69"/>
      <c r="H7" s="118">
        <f>BFLY!C14</f>
        <v>0</v>
      </c>
      <c r="I7" s="70">
        <f>D7*F7*H7</f>
        <v>0</v>
      </c>
      <c r="J7" s="127" t="b">
        <f>IF(C7="WCB",450000,IF(C7="CF8",524000,IF(C7="CF8M",524000)))</f>
        <v>0</v>
      </c>
      <c r="K7" s="128">
        <f t="shared" si="0"/>
        <v>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768*1.1</f>
        <v>844.80000000000007</v>
      </c>
      <c r="G8" s="69"/>
      <c r="H8" s="118">
        <f>BFLY!C15</f>
        <v>0</v>
      </c>
      <c r="I8" s="70">
        <f>D8*F8*H8</f>
        <v>0</v>
      </c>
      <c r="J8" s="127">
        <f>IF(C8="WCB",580000,IF(C8="CF8",580000,IF(C8="CF8M",580000)))</f>
        <v>580000</v>
      </c>
      <c r="K8" s="128">
        <f t="shared" si="0"/>
        <v>580000</v>
      </c>
      <c r="L8" s="122" t="s">
        <v>138</v>
      </c>
      <c r="M8" s="208" t="s">
        <v>139</v>
      </c>
      <c r="N8" s="209"/>
      <c r="O8" s="210"/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IF(C9="CF8",173,IF(C9="CF8M",174,IF(C9="CF3M",174,IF(C9="B148",199))))</f>
        <v>174</v>
      </c>
      <c r="G9" s="69"/>
      <c r="H9" s="118">
        <f>BFLY!C16</f>
        <v>8000</v>
      </c>
      <c r="I9" s="73">
        <f>D9*F9*H9</f>
        <v>1392000</v>
      </c>
      <c r="J9" s="129">
        <f>IF(C9="CF8",280000,IF(C9="CF8M",280000,IF(C9="CF3M",280000,IF(C9="B148",280000))))</f>
        <v>280000</v>
      </c>
      <c r="K9" s="117">
        <f t="shared" si="0"/>
        <v>1672000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4">
        <f>IF(C10="RTFE",550000,IF(C10="RTFE-A",856250,IF(C10="METAL-B",81400,IF(C10="RTFE + METAL",849000))))</f>
        <v>550000</v>
      </c>
      <c r="J10" s="118">
        <f>IF(C10="RTFE",0,IF(C10="METAL-B",120000,IF(C10="RTFE + METAL",70000)))</f>
        <v>0</v>
      </c>
      <c r="K10" s="117">
        <f t="shared" si="0"/>
        <v>550000</v>
      </c>
      <c r="L10" s="173">
        <v>550000</v>
      </c>
      <c r="M10" s="124">
        <v>705000</v>
      </c>
      <c r="N10" s="173">
        <v>74000</v>
      </c>
      <c r="O10" s="124">
        <f>M10+N10</f>
        <v>779000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61.7</v>
      </c>
      <c r="G11" s="77"/>
      <c r="H11" s="118">
        <f>BFLY!C17</f>
        <v>8000</v>
      </c>
      <c r="I11" s="73">
        <f>D11*F11*H11</f>
        <v>493600</v>
      </c>
      <c r="J11" s="73">
        <v>125000</v>
      </c>
      <c r="K11" s="117">
        <f t="shared" si="0"/>
        <v>618600</v>
      </c>
      <c r="L11" s="119"/>
      <c r="M11" s="120"/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18">
        <v>330000</v>
      </c>
      <c r="I12" s="73">
        <f>D12*F12*H12</f>
        <v>330000</v>
      </c>
      <c r="J12" s="171">
        <v>85000</v>
      </c>
      <c r="K12" s="117">
        <f t="shared" si="0"/>
        <v>415000</v>
      </c>
      <c r="L12" s="119"/>
      <c r="M12" s="120"/>
      <c r="P12" s="119" t="s">
        <v>356</v>
      </c>
      <c r="Q12" s="177"/>
      <c r="R12" s="177">
        <v>85000</v>
      </c>
      <c r="S12" s="177"/>
      <c r="T12" s="178">
        <f>R12+Q12</f>
        <v>85000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16</v>
      </c>
      <c r="E13" s="68"/>
      <c r="F13" s="78">
        <v>1</v>
      </c>
      <c r="G13" s="77"/>
      <c r="H13" s="118">
        <v>1200</v>
      </c>
      <c r="I13" s="73">
        <f>D13*F13*H13</f>
        <v>19200</v>
      </c>
      <c r="J13" s="73"/>
      <c r="K13" s="117">
        <f>H13*D13</f>
        <v>19200</v>
      </c>
      <c r="L13" s="119"/>
      <c r="M13" s="120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24720</v>
      </c>
      <c r="J14" s="73">
        <v>19050</v>
      </c>
      <c r="K14" s="117">
        <f>I14+J14</f>
        <v>43770</v>
      </c>
      <c r="L14" s="119"/>
      <c r="M14" s="120"/>
    </row>
    <row r="15" spans="1:20" s="121" customFormat="1" ht="18" customHeight="1">
      <c r="A15" s="72">
        <v>8</v>
      </c>
      <c r="B15" s="74" t="s">
        <v>151</v>
      </c>
      <c r="C15" s="76" t="s">
        <v>176</v>
      </c>
      <c r="D15" s="76">
        <v>1</v>
      </c>
      <c r="E15" s="68"/>
      <c r="F15" s="78">
        <v>1</v>
      </c>
      <c r="G15" s="77"/>
      <c r="H15" s="118">
        <v>35000</v>
      </c>
      <c r="I15" s="73">
        <f t="shared" ref="I15:I26" si="1">D15*F15*H15</f>
        <v>35000</v>
      </c>
      <c r="J15" s="73"/>
      <c r="K15" s="117">
        <f t="shared" ref="K15:K28" si="2">I15+J15</f>
        <v>35000</v>
      </c>
      <c r="L15" s="119"/>
      <c r="M15" s="120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56760</v>
      </c>
      <c r="I16" s="73">
        <f t="shared" si="1"/>
        <v>56760</v>
      </c>
      <c r="J16" s="73">
        <v>18000</v>
      </c>
      <c r="K16" s="117">
        <f t="shared" si="2"/>
        <v>74760</v>
      </c>
      <c r="L16" s="119"/>
      <c r="M16" s="120"/>
    </row>
    <row r="17" spans="1:14" s="121" customFormat="1" ht="18" customHeight="1">
      <c r="A17" s="72">
        <v>10</v>
      </c>
      <c r="B17" s="74" t="s">
        <v>155</v>
      </c>
      <c r="C17" s="76" t="s">
        <v>149</v>
      </c>
      <c r="D17" s="76">
        <v>2</v>
      </c>
      <c r="E17" s="68"/>
      <c r="F17" s="78">
        <v>1</v>
      </c>
      <c r="G17" s="77"/>
      <c r="H17" s="118">
        <v>3400</v>
      </c>
      <c r="I17" s="73">
        <f t="shared" si="1"/>
        <v>6800</v>
      </c>
      <c r="J17" s="73"/>
      <c r="K17" s="117">
        <f t="shared" si="2"/>
        <v>6800</v>
      </c>
      <c r="L17" s="119"/>
      <c r="M17" s="120"/>
    </row>
    <row r="18" spans="1:14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7700</v>
      </c>
      <c r="I18" s="73">
        <f t="shared" si="1"/>
        <v>7700</v>
      </c>
      <c r="J18" s="73">
        <v>5000</v>
      </c>
      <c r="K18" s="117">
        <f t="shared" si="2"/>
        <v>12700</v>
      </c>
      <c r="L18" s="119"/>
      <c r="M18" s="120"/>
    </row>
    <row r="19" spans="1:14" s="121" customFormat="1" ht="18" customHeight="1">
      <c r="A19" s="72">
        <v>12</v>
      </c>
      <c r="B19" s="74" t="s">
        <v>157</v>
      </c>
      <c r="C19" s="76" t="s">
        <v>158</v>
      </c>
      <c r="D19" s="76">
        <v>3</v>
      </c>
      <c r="E19" s="68"/>
      <c r="F19" s="78">
        <v>1</v>
      </c>
      <c r="G19" s="69"/>
      <c r="H19" s="118">
        <v>9900</v>
      </c>
      <c r="I19" s="73">
        <f>H19</f>
        <v>9900</v>
      </c>
      <c r="J19" s="73">
        <v>4500</v>
      </c>
      <c r="K19" s="117">
        <f>(I19+J19)*D19</f>
        <v>43200</v>
      </c>
      <c r="L19" s="119"/>
      <c r="M19" s="120"/>
    </row>
    <row r="20" spans="1:14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66000</v>
      </c>
      <c r="I20" s="73">
        <f t="shared" si="1"/>
        <v>66000</v>
      </c>
      <c r="J20" s="73">
        <v>15000</v>
      </c>
      <c r="K20" s="117">
        <f t="shared" si="2"/>
        <v>81000</v>
      </c>
      <c r="L20" s="119"/>
      <c r="M20" s="120"/>
    </row>
    <row r="21" spans="1:14" s="121" customFormat="1" ht="18" customHeight="1">
      <c r="A21" s="72">
        <v>14</v>
      </c>
      <c r="B21" s="74" t="s">
        <v>160</v>
      </c>
      <c r="C21" s="76" t="s">
        <v>149</v>
      </c>
      <c r="D21" s="76">
        <v>6</v>
      </c>
      <c r="E21" s="68"/>
      <c r="F21" s="78">
        <v>1</v>
      </c>
      <c r="G21" s="69"/>
      <c r="H21" s="118">
        <v>680</v>
      </c>
      <c r="I21" s="73">
        <f t="shared" si="1"/>
        <v>4080</v>
      </c>
      <c r="J21" s="73"/>
      <c r="K21" s="117">
        <f t="shared" si="2"/>
        <v>4080</v>
      </c>
      <c r="L21" s="119"/>
      <c r="M21" s="120"/>
    </row>
    <row r="22" spans="1:14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4000</v>
      </c>
      <c r="I22" s="73">
        <f t="shared" si="1"/>
        <v>4000</v>
      </c>
      <c r="J22" s="73">
        <v>1000</v>
      </c>
      <c r="K22" s="117">
        <f t="shared" si="2"/>
        <v>5000</v>
      </c>
      <c r="L22" s="119"/>
      <c r="M22" s="120"/>
    </row>
    <row r="23" spans="1:14" s="121" customFormat="1" ht="18" customHeight="1">
      <c r="A23" s="72">
        <v>16</v>
      </c>
      <c r="B23" s="74" t="s">
        <v>163</v>
      </c>
      <c r="C23" s="76" t="s">
        <v>164</v>
      </c>
      <c r="D23" s="76">
        <v>4</v>
      </c>
      <c r="E23" s="68"/>
      <c r="F23" s="78">
        <v>1</v>
      </c>
      <c r="G23" s="69"/>
      <c r="H23" s="118">
        <v>2400</v>
      </c>
      <c r="I23" s="73">
        <f>H23</f>
        <v>2400</v>
      </c>
      <c r="J23" s="73"/>
      <c r="K23" s="117">
        <f>(I23+J23)*D23</f>
        <v>9600</v>
      </c>
      <c r="L23" s="119"/>
      <c r="M23" s="120"/>
    </row>
    <row r="24" spans="1:14" s="121" customFormat="1" ht="18" customHeight="1">
      <c r="A24" s="72">
        <v>17</v>
      </c>
      <c r="B24" s="74" t="s">
        <v>165</v>
      </c>
      <c r="C24" s="76" t="s">
        <v>164</v>
      </c>
      <c r="D24" s="76">
        <v>8</v>
      </c>
      <c r="E24" s="68"/>
      <c r="F24" s="78">
        <v>1</v>
      </c>
      <c r="G24" s="69"/>
      <c r="H24" s="118">
        <v>910</v>
      </c>
      <c r="I24" s="73">
        <f>H24</f>
        <v>910</v>
      </c>
      <c r="J24" s="73"/>
      <c r="K24" s="117">
        <f>(I24+J24)*D24</f>
        <v>7280</v>
      </c>
      <c r="L24" s="119"/>
      <c r="M24" s="120"/>
    </row>
    <row r="25" spans="1:14" s="121" customFormat="1" ht="18" customHeight="1">
      <c r="A25" s="72">
        <v>18</v>
      </c>
      <c r="B25" s="74"/>
      <c r="C25" s="76"/>
      <c r="D25" s="76"/>
      <c r="E25" s="68"/>
      <c r="F25" s="78"/>
      <c r="G25" s="69"/>
      <c r="H25" s="118"/>
      <c r="I25" s="73"/>
      <c r="J25" s="73"/>
      <c r="K25" s="117"/>
      <c r="L25" s="119"/>
      <c r="M25" s="120"/>
    </row>
    <row r="26" spans="1:14" s="121" customFormat="1" ht="18" customHeight="1">
      <c r="A26" s="72">
        <v>19</v>
      </c>
      <c r="B26" s="74" t="s">
        <v>166</v>
      </c>
      <c r="C26" s="76" t="s">
        <v>154</v>
      </c>
      <c r="D26" s="76">
        <v>1</v>
      </c>
      <c r="E26" s="68"/>
      <c r="F26" s="78">
        <v>1</v>
      </c>
      <c r="G26" s="79"/>
      <c r="H26" s="118">
        <v>146400</v>
      </c>
      <c r="I26" s="73">
        <f t="shared" si="1"/>
        <v>146400</v>
      </c>
      <c r="J26" s="73">
        <v>30000</v>
      </c>
      <c r="K26" s="117">
        <f t="shared" si="2"/>
        <v>176400</v>
      </c>
      <c r="L26" s="119"/>
      <c r="M26" s="120"/>
    </row>
    <row r="27" spans="1:14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589000</v>
      </c>
      <c r="L27" s="125"/>
      <c r="M27" s="125">
        <v>589000</v>
      </c>
      <c r="N27" s="125">
        <v>748000</v>
      </c>
    </row>
    <row r="28" spans="1:14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226800</v>
      </c>
      <c r="J28" s="117">
        <v>80000</v>
      </c>
      <c r="K28" s="117">
        <f t="shared" si="2"/>
        <v>306800</v>
      </c>
      <c r="L28" s="125"/>
    </row>
    <row r="29" spans="1:14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SUM(K6:K26,K28)</f>
        <v>6247190</v>
      </c>
      <c r="L29" s="86"/>
    </row>
    <row r="30" spans="1:14" s="87" customFormat="1" ht="18" customHeight="1">
      <c r="A30" s="80">
        <v>24</v>
      </c>
      <c r="B30" s="81" t="s">
        <v>171</v>
      </c>
      <c r="C30" s="82"/>
      <c r="D30" s="82"/>
      <c r="E30" s="83"/>
      <c r="F30" s="83"/>
      <c r="G30" s="83"/>
      <c r="H30" s="83"/>
      <c r="I30" s="84"/>
      <c r="J30" s="84"/>
      <c r="K30" s="85">
        <f>SUM(K6:K28)</f>
        <v>6836190</v>
      </c>
      <c r="L30" s="86"/>
    </row>
    <row r="31" spans="1:14" s="87" customFormat="1" ht="18" customHeight="1">
      <c r="A31" s="80">
        <v>25</v>
      </c>
      <c r="B31" s="88"/>
      <c r="C31" s="89"/>
      <c r="D31" s="89"/>
      <c r="E31" s="90"/>
      <c r="F31" s="90"/>
      <c r="G31" s="90"/>
      <c r="H31" s="90"/>
      <c r="I31" s="90"/>
      <c r="J31" s="90"/>
      <c r="K31" s="90"/>
      <c r="L31" s="86"/>
    </row>
    <row r="32" spans="1:14" s="121" customFormat="1" ht="18" customHeight="1">
      <c r="A32" s="72">
        <v>26</v>
      </c>
      <c r="B32" s="74" t="s">
        <v>172</v>
      </c>
      <c r="C32" s="76"/>
      <c r="D32" s="76">
        <v>1</v>
      </c>
      <c r="E32" s="68"/>
      <c r="F32" s="78"/>
      <c r="G32" s="79"/>
      <c r="H32" s="68"/>
      <c r="I32" s="73"/>
      <c r="J32" s="73"/>
      <c r="K32" s="117">
        <f>I32+J32</f>
        <v>0</v>
      </c>
      <c r="L32" s="125"/>
    </row>
    <row r="33" spans="1:13" s="121" customFormat="1" ht="24">
      <c r="A33" s="207">
        <v>27</v>
      </c>
      <c r="B33" s="132" t="s">
        <v>173</v>
      </c>
      <c r="C33" s="76"/>
      <c r="D33" s="76">
        <v>4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 customHeight="1">
      <c r="A34" s="207"/>
      <c r="B34" s="74" t="s">
        <v>174</v>
      </c>
      <c r="C34" s="76"/>
      <c r="D34" s="76">
        <v>1</v>
      </c>
      <c r="E34" s="68"/>
      <c r="F34" s="78"/>
      <c r="G34" s="68"/>
      <c r="H34" s="68"/>
      <c r="I34" s="68"/>
      <c r="J34" s="68"/>
      <c r="K34" s="117">
        <v>286800</v>
      </c>
      <c r="L34" s="125"/>
    </row>
    <row r="35" spans="1:13" s="121" customFormat="1" ht="18" customHeight="1">
      <c r="A35" s="72">
        <v>28</v>
      </c>
      <c r="B35" s="133" t="s">
        <v>175</v>
      </c>
      <c r="C35" s="76"/>
      <c r="D35" s="134"/>
      <c r="E35" s="68"/>
      <c r="F35" s="68"/>
      <c r="G35" s="68"/>
      <c r="H35" s="68"/>
      <c r="I35" s="124">
        <f>SUM(K31:K34)</f>
        <v>286800</v>
      </c>
      <c r="J35" s="135">
        <v>1</v>
      </c>
      <c r="K35" s="124">
        <f>J35*I35</f>
        <v>286800</v>
      </c>
      <c r="L35" s="125"/>
    </row>
    <row r="36" spans="1:13" s="8" customFormat="1" ht="18" customHeight="1">
      <c r="A36" s="21">
        <v>29</v>
      </c>
      <c r="B36" s="9"/>
      <c r="C36" s="10"/>
      <c r="D36" s="10"/>
      <c r="E36" s="11"/>
      <c r="F36" s="11"/>
      <c r="G36" s="11"/>
      <c r="H36" s="11"/>
      <c r="I36" s="11"/>
      <c r="J36" s="19"/>
      <c r="K36" s="11"/>
      <c r="L36" s="12"/>
    </row>
    <row r="37" spans="1:13" s="8" customFormat="1" ht="18" customHeight="1">
      <c r="A37" s="21">
        <v>30</v>
      </c>
      <c r="B37" s="20" t="s">
        <v>102</v>
      </c>
      <c r="C37" s="13"/>
      <c r="D37" s="13"/>
      <c r="E37" s="14"/>
      <c r="F37" s="14"/>
      <c r="G37" s="14"/>
      <c r="H37" s="14"/>
      <c r="I37" s="15">
        <f>K29</f>
        <v>6247190</v>
      </c>
      <c r="J37" s="21"/>
      <c r="K37" s="17">
        <f>I37+K35</f>
        <v>6533990</v>
      </c>
      <c r="L37" s="12"/>
    </row>
    <row r="38" spans="1:13" s="8" customFormat="1" ht="18" customHeight="1">
      <c r="A38" s="21">
        <v>32</v>
      </c>
      <c r="B38" s="20" t="s">
        <v>104</v>
      </c>
      <c r="C38" s="13"/>
      <c r="D38" s="13"/>
      <c r="E38" s="14"/>
      <c r="F38" s="14"/>
      <c r="G38" s="14"/>
      <c r="H38" s="14"/>
      <c r="I38" s="15">
        <f>K30</f>
        <v>6836190</v>
      </c>
      <c r="J38" s="21"/>
      <c r="K38" s="17">
        <f>I38+K35</f>
        <v>7122990</v>
      </c>
      <c r="L38" s="22"/>
    </row>
    <row r="39" spans="1:13" s="8" customFormat="1" ht="18" customHeight="1">
      <c r="A39" s="21">
        <v>33</v>
      </c>
      <c r="B39" s="45" t="s">
        <v>105</v>
      </c>
      <c r="C39" s="41"/>
      <c r="D39" s="41"/>
      <c r="E39" s="44"/>
      <c r="F39" s="46"/>
      <c r="G39" s="46"/>
      <c r="H39" s="42"/>
      <c r="I39" s="42"/>
      <c r="J39" s="21">
        <f>BFLY!B21</f>
        <v>1</v>
      </c>
      <c r="K39" s="43">
        <f>K37*J39</f>
        <v>6533990</v>
      </c>
      <c r="L39" s="22"/>
    </row>
    <row r="40" spans="1:13" s="23" customFormat="1" ht="18" customHeight="1">
      <c r="A40" s="21">
        <v>35</v>
      </c>
      <c r="B40" s="45" t="s">
        <v>107</v>
      </c>
      <c r="C40" s="41"/>
      <c r="D40" s="41"/>
      <c r="E40" s="44"/>
      <c r="F40" s="46"/>
      <c r="G40" s="46"/>
      <c r="H40" s="42"/>
      <c r="I40" s="42"/>
      <c r="J40" s="21">
        <f>BFLY!B21</f>
        <v>1</v>
      </c>
      <c r="K40" s="43">
        <f>K38*J40</f>
        <v>7122990</v>
      </c>
      <c r="L40" s="22"/>
      <c r="M40" s="8"/>
    </row>
    <row r="41" spans="1:13" s="23" customFormat="1" ht="18" customHeight="1">
      <c r="A41" s="136"/>
      <c r="L41" s="22"/>
      <c r="M41" s="8"/>
    </row>
    <row r="42" spans="1:13" s="23" customFormat="1" ht="18" customHeight="1">
      <c r="L42" s="24"/>
    </row>
    <row r="43" spans="1:13" s="23" customFormat="1" ht="18" customHeight="1">
      <c r="L43" s="24"/>
    </row>
    <row r="44" spans="1:13" s="23" customFormat="1" ht="18" customHeight="1">
      <c r="L44" s="24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D49" s="24"/>
      <c r="L49" s="24"/>
    </row>
    <row r="50" spans="2:12" s="23" customFormat="1" ht="12"/>
    <row r="51" spans="2:12" s="23" customFormat="1" ht="12">
      <c r="L51" s="24"/>
    </row>
    <row r="52" spans="2:12" s="23" customFormat="1" ht="1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4"/>
    </row>
    <row r="53" spans="2:12" s="25" customFormat="1" ht="15">
      <c r="L53" s="24"/>
    </row>
    <row r="54" spans="2:12" s="25" customFormat="1" ht="15">
      <c r="L54" s="24"/>
    </row>
    <row r="55" spans="2:12" s="25" customFormat="1" ht="15">
      <c r="B55" s="3"/>
      <c r="C55" s="3"/>
      <c r="D55" s="3"/>
      <c r="E55" s="3"/>
      <c r="F55" s="3"/>
      <c r="G55" s="3"/>
      <c r="H55" s="3"/>
      <c r="I55" s="3"/>
      <c r="J55" s="3"/>
      <c r="K55" s="3"/>
      <c r="L55" s="24"/>
    </row>
  </sheetData>
  <mergeCells count="3">
    <mergeCell ref="A33:A34"/>
    <mergeCell ref="M8:O8"/>
    <mergeCell ref="A6:A8"/>
  </mergeCells>
  <phoneticPr fontId="8" type="noConversion"/>
  <pageMargins left="0.75" right="0.75" top="1" bottom="1" header="0.5" footer="0.5"/>
  <pageSetup paperSize="9" scale="87" orientation="portrait" r:id="rId1"/>
  <headerFooter alignWithMargins="0"/>
  <colBreaks count="1" manualBreakCount="1">
    <brk id="11" max="1048575" man="1"/>
  </colBreaks>
  <ignoredErrors>
    <ignoredError sqref="I19 K13 K19" formula="1"/>
  </ignoredError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T55"/>
  <sheetViews>
    <sheetView view="pageBreakPreview" zoomScaleNormal="100" zoomScaleSheetLayoutView="100" workbookViewId="0">
      <selection activeCell="N29" sqref="N29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2.88671875" style="3" customWidth="1"/>
    <col min="10" max="10" width="7.44140625" style="3" customWidth="1"/>
    <col min="11" max="11" width="13.44140625" style="3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5" width="8.88671875" style="3"/>
    <col min="16" max="16" width="14.44140625" style="3" bestFit="1" customWidth="1"/>
    <col min="17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322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>
      <c r="Q4" s="8" t="s">
        <v>351</v>
      </c>
      <c r="R4" s="8" t="s">
        <v>9</v>
      </c>
      <c r="S4" s="8"/>
      <c r="T4" s="8" t="s">
        <v>352</v>
      </c>
    </row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IF(C6="WCB",400,IF(C6="CF8",400,IF(C6="CF8M",400)))</f>
        <v>400</v>
      </c>
      <c r="G6" s="69"/>
      <c r="H6" s="118">
        <f>BFLY!C13</f>
        <v>4000</v>
      </c>
      <c r="I6" s="70">
        <f>D6*F6*H6</f>
        <v>1600000</v>
      </c>
      <c r="J6" s="127">
        <f>IF(C6="WCB",450000,IF(C6="CF8",550000,IF(C6="CF8M",550000)))</f>
        <v>550000</v>
      </c>
      <c r="K6" s="128">
        <f t="shared" ref="K6:K12" si="0">I6+J6</f>
        <v>2150000</v>
      </c>
      <c r="L6" s="119"/>
      <c r="M6" s="120"/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IF(C7="WCB",609,IF(C7="CF8",609,IF(C7="CF8M",609)))</f>
        <v>0</v>
      </c>
      <c r="G7" s="69"/>
      <c r="H7" s="118">
        <f>BFLY!C14</f>
        <v>0</v>
      </c>
      <c r="I7" s="70">
        <f>D7*F7*H7</f>
        <v>0</v>
      </c>
      <c r="J7" s="127" t="b">
        <f>IF(C7="WCB",550000,IF(C7="CF8",650000,IF(C7="CF8M",650000)))</f>
        <v>0</v>
      </c>
      <c r="K7" s="128">
        <f t="shared" si="0"/>
        <v>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952*1.1</f>
        <v>1047.2</v>
      </c>
      <c r="G8" s="69"/>
      <c r="H8" s="118">
        <f>BFLY!C15</f>
        <v>0</v>
      </c>
      <c r="I8" s="70">
        <f>D8*F8*H8</f>
        <v>0</v>
      </c>
      <c r="J8" s="127">
        <f>IF(C8="WCB",700000,IF(C8="CF8",700000,IF(C8="CF8M",700000)))</f>
        <v>700000</v>
      </c>
      <c r="K8" s="128">
        <f t="shared" si="0"/>
        <v>700000</v>
      </c>
      <c r="L8" s="122" t="s">
        <v>138</v>
      </c>
      <c r="M8" s="208" t="s">
        <v>139</v>
      </c>
      <c r="N8" s="209"/>
      <c r="O8" s="210"/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IF(C9="CF8",320,IF(C9="CF8M",320,IF(C9="CF3M",320,IF(C9="B148",362))))</f>
        <v>320</v>
      </c>
      <c r="G9" s="69"/>
      <c r="H9" s="118">
        <f>BFLY!C16</f>
        <v>8000</v>
      </c>
      <c r="I9" s="73">
        <f>D9*F9*H9</f>
        <v>2560000</v>
      </c>
      <c r="J9" s="129">
        <f>IF(C9="CF8",430000,IF(C9="CF8M",430000,IF(C9="CF3M",430000,IF(C9="B148",430000))))</f>
        <v>430000</v>
      </c>
      <c r="K9" s="117">
        <f t="shared" si="0"/>
        <v>2990000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IF(C10="RTFE",795000,IF(C10="RTFE-A",1062500,IF(C10="METAL-B",52800,IF(C10="RTFE + METAL",985250))))</f>
        <v>795000</v>
      </c>
      <c r="J10" s="185">
        <f>IF(C10="RTFE",0,IF(C10="METAL-B",120000,IF(C10="RTFE + METAL",80000)))</f>
        <v>0</v>
      </c>
      <c r="K10" s="117">
        <f t="shared" si="0"/>
        <v>795000</v>
      </c>
      <c r="L10" s="173">
        <v>795000</v>
      </c>
      <c r="M10" s="124">
        <v>820250</v>
      </c>
      <c r="N10" s="173">
        <v>85000</v>
      </c>
      <c r="O10" s="124">
        <f>M10+N10</f>
        <v>905250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148.19999999999999</v>
      </c>
      <c r="G11" s="77"/>
      <c r="H11" s="118">
        <f>BFLY!C17</f>
        <v>8000</v>
      </c>
      <c r="I11" s="73">
        <f>D11*F11*H11</f>
        <v>1185600</v>
      </c>
      <c r="J11" s="73">
        <v>150000</v>
      </c>
      <c r="K11" s="117">
        <f t="shared" si="0"/>
        <v>1335600</v>
      </c>
      <c r="L11" s="119"/>
      <c r="M11" s="120"/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18">
        <v>475200</v>
      </c>
      <c r="I12" s="73">
        <f>D12*F12*H12</f>
        <v>475200</v>
      </c>
      <c r="J12" s="171">
        <v>95000</v>
      </c>
      <c r="K12" s="117">
        <f t="shared" si="0"/>
        <v>570200</v>
      </c>
      <c r="L12" s="119"/>
      <c r="M12" s="120"/>
      <c r="P12" s="119" t="s">
        <v>356</v>
      </c>
      <c r="Q12" s="177"/>
      <c r="R12" s="177">
        <v>95000</v>
      </c>
      <c r="S12" s="177"/>
      <c r="T12" s="178">
        <f>R12+Q12</f>
        <v>95000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28</v>
      </c>
      <c r="E13" s="68"/>
      <c r="F13" s="78">
        <v>1</v>
      </c>
      <c r="G13" s="77"/>
      <c r="H13" s="118">
        <v>1200</v>
      </c>
      <c r="I13" s="73">
        <f>D13*F13*H13</f>
        <v>33600</v>
      </c>
      <c r="J13" s="73"/>
      <c r="K13" s="117">
        <f>H13*D13</f>
        <v>33600</v>
      </c>
      <c r="L13" s="119"/>
      <c r="M13" s="120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42000</v>
      </c>
      <c r="J14" s="73">
        <v>42000</v>
      </c>
      <c r="K14" s="117">
        <f>I14+J14</f>
        <v>84000</v>
      </c>
      <c r="L14" s="119"/>
      <c r="M14" s="120"/>
    </row>
    <row r="15" spans="1:20" s="121" customFormat="1" ht="18" customHeight="1">
      <c r="A15" s="72">
        <v>8</v>
      </c>
      <c r="B15" s="74" t="s">
        <v>151</v>
      </c>
      <c r="C15" s="76" t="s">
        <v>176</v>
      </c>
      <c r="D15" s="76">
        <v>1</v>
      </c>
      <c r="E15" s="68"/>
      <c r="F15" s="78">
        <v>1</v>
      </c>
      <c r="G15" s="77"/>
      <c r="H15" s="118">
        <v>40000</v>
      </c>
      <c r="I15" s="73">
        <f t="shared" ref="I15:I26" si="1">D15*F15*H15</f>
        <v>40000</v>
      </c>
      <c r="J15" s="73"/>
      <c r="K15" s="117">
        <f t="shared" ref="K15:K28" si="2">I15+J15</f>
        <v>40000</v>
      </c>
      <c r="L15" s="119"/>
      <c r="M15" s="120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80520</v>
      </c>
      <c r="I16" s="73">
        <f t="shared" si="1"/>
        <v>80520</v>
      </c>
      <c r="J16" s="73">
        <v>20000</v>
      </c>
      <c r="K16" s="117">
        <f t="shared" si="2"/>
        <v>100520</v>
      </c>
      <c r="L16" s="119"/>
      <c r="M16" s="120"/>
    </row>
    <row r="17" spans="1:14" s="121" customFormat="1" ht="18" customHeight="1">
      <c r="A17" s="72">
        <v>10</v>
      </c>
      <c r="B17" s="74" t="s">
        <v>155</v>
      </c>
      <c r="C17" s="76" t="s">
        <v>149</v>
      </c>
      <c r="D17" s="76">
        <v>4</v>
      </c>
      <c r="E17" s="68"/>
      <c r="F17" s="78">
        <v>1</v>
      </c>
      <c r="G17" s="77"/>
      <c r="H17" s="118">
        <v>2400</v>
      </c>
      <c r="I17" s="73">
        <f t="shared" si="1"/>
        <v>9600</v>
      </c>
      <c r="J17" s="73"/>
      <c r="K17" s="117">
        <f t="shared" si="2"/>
        <v>9600</v>
      </c>
      <c r="L17" s="119"/>
      <c r="M17" s="120"/>
    </row>
    <row r="18" spans="1:14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19800</v>
      </c>
      <c r="I18" s="73">
        <f t="shared" si="1"/>
        <v>19800</v>
      </c>
      <c r="J18" s="73">
        <v>5000</v>
      </c>
      <c r="K18" s="117">
        <f t="shared" si="2"/>
        <v>24800</v>
      </c>
      <c r="L18" s="119"/>
      <c r="M18" s="120"/>
    </row>
    <row r="19" spans="1:14" s="121" customFormat="1" ht="18" customHeight="1">
      <c r="A19" s="72">
        <v>12</v>
      </c>
      <c r="B19" s="74" t="s">
        <v>157</v>
      </c>
      <c r="C19" s="76" t="s">
        <v>158</v>
      </c>
      <c r="D19" s="76">
        <v>4</v>
      </c>
      <c r="E19" s="68"/>
      <c r="F19" s="78">
        <v>1</v>
      </c>
      <c r="G19" s="69"/>
      <c r="H19" s="118">
        <v>25200</v>
      </c>
      <c r="I19" s="73">
        <f>H19</f>
        <v>25200</v>
      </c>
      <c r="J19" s="73">
        <v>5470</v>
      </c>
      <c r="K19" s="117">
        <f>(I19+J19)*D19</f>
        <v>122680</v>
      </c>
      <c r="L19" s="119"/>
      <c r="M19" s="120"/>
    </row>
    <row r="20" spans="1:14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72600</v>
      </c>
      <c r="I20" s="73">
        <f t="shared" si="1"/>
        <v>72600</v>
      </c>
      <c r="J20" s="73">
        <v>18000</v>
      </c>
      <c r="K20" s="117">
        <f t="shared" si="2"/>
        <v>90600</v>
      </c>
      <c r="L20" s="119"/>
      <c r="M20" s="120"/>
    </row>
    <row r="21" spans="1:14" s="121" customFormat="1" ht="18" customHeight="1">
      <c r="A21" s="72">
        <v>14</v>
      </c>
      <c r="B21" s="74" t="s">
        <v>160</v>
      </c>
      <c r="C21" s="76" t="s">
        <v>149</v>
      </c>
      <c r="D21" s="76">
        <v>8</v>
      </c>
      <c r="E21" s="68"/>
      <c r="F21" s="78">
        <v>1</v>
      </c>
      <c r="G21" s="69"/>
      <c r="H21" s="118">
        <v>700</v>
      </c>
      <c r="I21" s="73">
        <f t="shared" si="1"/>
        <v>5600</v>
      </c>
      <c r="J21" s="73"/>
      <c r="K21" s="117">
        <f t="shared" si="2"/>
        <v>5600</v>
      </c>
      <c r="L21" s="119"/>
      <c r="M21" s="120"/>
    </row>
    <row r="22" spans="1:14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5500</v>
      </c>
      <c r="I22" s="73">
        <f t="shared" si="1"/>
        <v>5500</v>
      </c>
      <c r="J22" s="73">
        <v>1000</v>
      </c>
      <c r="K22" s="117">
        <f t="shared" si="2"/>
        <v>6500</v>
      </c>
      <c r="L22" s="119"/>
      <c r="M22" s="120"/>
    </row>
    <row r="23" spans="1:14" s="121" customFormat="1" ht="18" customHeight="1">
      <c r="A23" s="72">
        <v>16</v>
      </c>
      <c r="B23" s="74" t="s">
        <v>163</v>
      </c>
      <c r="C23" s="76" t="s">
        <v>164</v>
      </c>
      <c r="D23" s="76">
        <v>4</v>
      </c>
      <c r="E23" s="68"/>
      <c r="F23" s="78">
        <v>1</v>
      </c>
      <c r="G23" s="69"/>
      <c r="H23" s="118">
        <v>2400</v>
      </c>
      <c r="I23" s="73">
        <f>H23</f>
        <v>2400</v>
      </c>
      <c r="J23" s="73"/>
      <c r="K23" s="117">
        <f>(I23+J23)*D23</f>
        <v>9600</v>
      </c>
      <c r="L23" s="119"/>
      <c r="M23" s="120"/>
    </row>
    <row r="24" spans="1:14" s="121" customFormat="1" ht="18" customHeight="1">
      <c r="A24" s="72">
        <v>17</v>
      </c>
      <c r="B24" s="74" t="s">
        <v>165</v>
      </c>
      <c r="C24" s="76" t="s">
        <v>164</v>
      </c>
      <c r="D24" s="76">
        <v>8</v>
      </c>
      <c r="E24" s="68"/>
      <c r="F24" s="78">
        <v>1</v>
      </c>
      <c r="G24" s="69"/>
      <c r="H24" s="118">
        <v>910</v>
      </c>
      <c r="I24" s="73">
        <f>H24</f>
        <v>910</v>
      </c>
      <c r="J24" s="73"/>
      <c r="K24" s="117">
        <f>(I24+J24)*D24</f>
        <v>7280</v>
      </c>
      <c r="L24" s="119"/>
      <c r="M24" s="120"/>
    </row>
    <row r="25" spans="1:14" s="121" customFormat="1" ht="18" customHeight="1">
      <c r="A25" s="72">
        <v>18</v>
      </c>
      <c r="B25" s="74"/>
      <c r="C25" s="76"/>
      <c r="D25" s="76"/>
      <c r="E25" s="68"/>
      <c r="F25" s="78"/>
      <c r="G25" s="69"/>
      <c r="H25" s="118"/>
      <c r="I25" s="73"/>
      <c r="J25" s="73"/>
      <c r="K25" s="117"/>
      <c r="L25" s="119"/>
      <c r="M25" s="120"/>
    </row>
    <row r="26" spans="1:14" s="121" customFormat="1" ht="18" customHeight="1">
      <c r="A26" s="72">
        <v>19</v>
      </c>
      <c r="B26" s="74" t="s">
        <v>166</v>
      </c>
      <c r="C26" s="76" t="s">
        <v>154</v>
      </c>
      <c r="D26" s="76">
        <v>1</v>
      </c>
      <c r="E26" s="68"/>
      <c r="F26" s="78">
        <v>1</v>
      </c>
      <c r="G26" s="79"/>
      <c r="H26" s="118">
        <v>146400</v>
      </c>
      <c r="I26" s="73">
        <f t="shared" si="1"/>
        <v>146400</v>
      </c>
      <c r="J26" s="73">
        <v>30000</v>
      </c>
      <c r="K26" s="117">
        <f t="shared" si="2"/>
        <v>176400</v>
      </c>
      <c r="L26" s="119"/>
      <c r="M26" s="120"/>
    </row>
    <row r="27" spans="1:14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4" t="str">
        <f>C27</f>
        <v>10 BAR</v>
      </c>
      <c r="K27" s="131">
        <f>IF(C27="PIYAKE",L27,IF(C27="10 BAR",M27,IF(C27="20 BAR",N27)))</f>
        <v>748000</v>
      </c>
      <c r="L27" s="125">
        <v>301640</v>
      </c>
      <c r="M27" s="125">
        <v>748000</v>
      </c>
      <c r="N27" s="125">
        <v>1301000</v>
      </c>
    </row>
    <row r="28" spans="1:14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323200</v>
      </c>
      <c r="J28" s="117">
        <v>100000</v>
      </c>
      <c r="K28" s="117">
        <f t="shared" si="2"/>
        <v>423200</v>
      </c>
      <c r="L28" s="125"/>
    </row>
    <row r="29" spans="1:14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SUM(K6:K26,K28)</f>
        <v>9675180</v>
      </c>
      <c r="L29" s="86"/>
    </row>
    <row r="30" spans="1:14" s="87" customFormat="1" ht="18" customHeight="1">
      <c r="A30" s="80">
        <v>24</v>
      </c>
      <c r="B30" s="81" t="s">
        <v>171</v>
      </c>
      <c r="C30" s="82"/>
      <c r="D30" s="82"/>
      <c r="E30" s="83"/>
      <c r="F30" s="83"/>
      <c r="G30" s="83"/>
      <c r="H30" s="83"/>
      <c r="I30" s="84"/>
      <c r="J30" s="84"/>
      <c r="K30" s="85">
        <f>SUM(K6:K28)</f>
        <v>10423180</v>
      </c>
      <c r="L30" s="86"/>
    </row>
    <row r="31" spans="1:14" s="87" customFormat="1" ht="18" customHeight="1">
      <c r="A31" s="80">
        <v>25</v>
      </c>
      <c r="B31" s="88"/>
      <c r="C31" s="89"/>
      <c r="D31" s="89"/>
      <c r="E31" s="90"/>
      <c r="F31" s="90"/>
      <c r="G31" s="90"/>
      <c r="H31" s="90"/>
      <c r="I31" s="90"/>
      <c r="J31" s="90"/>
      <c r="K31" s="90"/>
      <c r="L31" s="86"/>
    </row>
    <row r="32" spans="1:14" s="121" customFormat="1" ht="18" customHeight="1">
      <c r="A32" s="72">
        <v>26</v>
      </c>
      <c r="B32" s="74" t="s">
        <v>172</v>
      </c>
      <c r="C32" s="76"/>
      <c r="D32" s="76">
        <v>1</v>
      </c>
      <c r="E32" s="68"/>
      <c r="F32" s="78"/>
      <c r="G32" s="79"/>
      <c r="H32" s="68"/>
      <c r="I32" s="73"/>
      <c r="J32" s="73"/>
      <c r="K32" s="117">
        <f>I32+J32</f>
        <v>0</v>
      </c>
      <c r="L32" s="125"/>
    </row>
    <row r="33" spans="1:13" s="121" customFormat="1" ht="24">
      <c r="A33" s="207">
        <v>27</v>
      </c>
      <c r="B33" s="132" t="s">
        <v>173</v>
      </c>
      <c r="C33" s="76"/>
      <c r="D33" s="76">
        <v>4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 customHeight="1">
      <c r="A34" s="207"/>
      <c r="B34" s="74" t="s">
        <v>174</v>
      </c>
      <c r="C34" s="76"/>
      <c r="D34" s="76">
        <v>1</v>
      </c>
      <c r="E34" s="68"/>
      <c r="F34" s="78"/>
      <c r="G34" s="68"/>
      <c r="H34" s="68"/>
      <c r="I34" s="68"/>
      <c r="J34" s="68"/>
      <c r="K34" s="117">
        <v>423200</v>
      </c>
      <c r="L34" s="125"/>
    </row>
    <row r="35" spans="1:13" s="121" customFormat="1" ht="18" customHeight="1">
      <c r="A35" s="72">
        <v>28</v>
      </c>
      <c r="B35" s="133" t="s">
        <v>175</v>
      </c>
      <c r="C35" s="76"/>
      <c r="D35" s="134"/>
      <c r="E35" s="68"/>
      <c r="F35" s="68"/>
      <c r="G35" s="68"/>
      <c r="H35" s="68"/>
      <c r="I35" s="124">
        <f>SUM(K31:K34)</f>
        <v>423200</v>
      </c>
      <c r="J35" s="135">
        <v>1</v>
      </c>
      <c r="K35" s="124">
        <f>J35*I35</f>
        <v>423200</v>
      </c>
      <c r="L35" s="125"/>
    </row>
    <row r="36" spans="1:13" s="8" customFormat="1" ht="18" customHeight="1">
      <c r="A36" s="21">
        <v>29</v>
      </c>
      <c r="B36" s="9"/>
      <c r="C36" s="10"/>
      <c r="D36" s="10"/>
      <c r="E36" s="11"/>
      <c r="F36" s="11"/>
      <c r="G36" s="11"/>
      <c r="H36" s="11"/>
      <c r="I36" s="11"/>
      <c r="J36" s="19"/>
      <c r="K36" s="11"/>
      <c r="L36" s="12"/>
    </row>
    <row r="37" spans="1:13" s="8" customFormat="1" ht="18" customHeight="1">
      <c r="A37" s="21">
        <v>30</v>
      </c>
      <c r="B37" s="20" t="s">
        <v>102</v>
      </c>
      <c r="C37" s="13"/>
      <c r="D37" s="13"/>
      <c r="E37" s="14"/>
      <c r="F37" s="14"/>
      <c r="G37" s="14"/>
      <c r="H37" s="14"/>
      <c r="I37" s="15">
        <f>K29</f>
        <v>9675180</v>
      </c>
      <c r="J37" s="21"/>
      <c r="K37" s="17">
        <f>I37+K35</f>
        <v>10098380</v>
      </c>
      <c r="L37" s="12"/>
    </row>
    <row r="38" spans="1:13" s="8" customFormat="1" ht="18" customHeight="1">
      <c r="A38" s="21">
        <v>32</v>
      </c>
      <c r="B38" s="20" t="s">
        <v>104</v>
      </c>
      <c r="C38" s="13"/>
      <c r="D38" s="13"/>
      <c r="E38" s="14"/>
      <c r="F38" s="14"/>
      <c r="G38" s="14"/>
      <c r="H38" s="14"/>
      <c r="I38" s="15">
        <f>K30</f>
        <v>10423180</v>
      </c>
      <c r="J38" s="21"/>
      <c r="K38" s="17">
        <f>I38+K35</f>
        <v>10846380</v>
      </c>
      <c r="L38" s="22"/>
    </row>
    <row r="39" spans="1:13" s="8" customFormat="1" ht="18" customHeight="1">
      <c r="A39" s="21">
        <v>33</v>
      </c>
      <c r="B39" s="45" t="s">
        <v>105</v>
      </c>
      <c r="C39" s="41"/>
      <c r="D39" s="41"/>
      <c r="E39" s="44"/>
      <c r="F39" s="46"/>
      <c r="G39" s="46"/>
      <c r="H39" s="42"/>
      <c r="I39" s="42"/>
      <c r="J39" s="21">
        <f>BFLY!B21</f>
        <v>1</v>
      </c>
      <c r="K39" s="43">
        <f>K37*J39</f>
        <v>10098380</v>
      </c>
      <c r="L39" s="22"/>
    </row>
    <row r="40" spans="1:13" s="23" customFormat="1" ht="18" customHeight="1">
      <c r="A40" s="21">
        <v>35</v>
      </c>
      <c r="B40" s="45" t="s">
        <v>107</v>
      </c>
      <c r="C40" s="41"/>
      <c r="D40" s="41"/>
      <c r="E40" s="44"/>
      <c r="F40" s="46"/>
      <c r="G40" s="46"/>
      <c r="H40" s="42"/>
      <c r="I40" s="42"/>
      <c r="J40" s="21">
        <f>BFLY!B21</f>
        <v>1</v>
      </c>
      <c r="K40" s="43">
        <f>K38*J40</f>
        <v>10846380</v>
      </c>
      <c r="L40" s="22"/>
      <c r="M40" s="8"/>
    </row>
    <row r="41" spans="1:13" s="23" customFormat="1" ht="18" customHeight="1">
      <c r="A41" s="136"/>
      <c r="L41" s="22"/>
      <c r="M41" s="8"/>
    </row>
    <row r="42" spans="1:13" s="23" customFormat="1" ht="18" customHeight="1">
      <c r="L42" s="24"/>
    </row>
    <row r="43" spans="1:13" s="23" customFormat="1" ht="18" customHeight="1">
      <c r="L43" s="24"/>
    </row>
    <row r="44" spans="1:13" s="23" customFormat="1" ht="18" customHeight="1">
      <c r="L44" s="24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D49" s="24"/>
      <c r="L49" s="24"/>
    </row>
    <row r="50" spans="2:12" s="23" customFormat="1" ht="12"/>
    <row r="51" spans="2:12" s="23" customFormat="1" ht="12">
      <c r="L51" s="24"/>
    </row>
    <row r="52" spans="2:12" s="23" customFormat="1" ht="1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4"/>
    </row>
    <row r="53" spans="2:12" s="25" customFormat="1" ht="15">
      <c r="L53" s="24"/>
    </row>
    <row r="54" spans="2:12" s="25" customFormat="1" ht="15">
      <c r="L54" s="24"/>
    </row>
    <row r="55" spans="2:12" s="25" customFormat="1" ht="15">
      <c r="B55" s="3"/>
      <c r="C55" s="3"/>
      <c r="D55" s="3"/>
      <c r="E55" s="3"/>
      <c r="F55" s="3"/>
      <c r="G55" s="3"/>
      <c r="H55" s="3"/>
      <c r="I55" s="3"/>
      <c r="J55" s="3"/>
      <c r="K55" s="3"/>
      <c r="L55" s="24"/>
    </row>
  </sheetData>
  <mergeCells count="3">
    <mergeCell ref="A33:A34"/>
    <mergeCell ref="M8:O8"/>
    <mergeCell ref="A6:A8"/>
  </mergeCells>
  <phoneticPr fontId="8" type="noConversion"/>
  <pageMargins left="0.75" right="0.75" top="1" bottom="1" header="0.5" footer="0.5"/>
  <pageSetup paperSize="9" scale="82" orientation="portrait" r:id="rId1"/>
  <headerFooter alignWithMargins="0"/>
  <colBreaks count="1" manualBreakCount="1">
    <brk id="11" max="1048575" man="1"/>
  </colBreaks>
  <ignoredErrors>
    <ignoredError sqref="I19 K13 K19" formula="1"/>
  </ignoredError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T55"/>
  <sheetViews>
    <sheetView view="pageBreakPreview" zoomScaleNormal="100" zoomScaleSheetLayoutView="100" workbookViewId="0">
      <selection activeCell="Q24" sqref="Q24"/>
    </sheetView>
  </sheetViews>
  <sheetFormatPr defaultColWidth="8.88671875" defaultRowHeight="13.5"/>
  <cols>
    <col min="1" max="1" width="2.44140625" style="3" customWidth="1"/>
    <col min="2" max="2" width="14.44140625" style="3" customWidth="1"/>
    <col min="3" max="3" width="8.44140625" style="3" customWidth="1"/>
    <col min="4" max="4" width="3.109375" style="3" customWidth="1"/>
    <col min="5" max="5" width="8.44140625" style="3" customWidth="1"/>
    <col min="6" max="6" width="6.44140625" style="3" customWidth="1"/>
    <col min="7" max="7" width="5.44140625" style="3" customWidth="1"/>
    <col min="8" max="8" width="7.44140625" style="3" customWidth="1"/>
    <col min="9" max="9" width="10.44140625" style="3" customWidth="1"/>
    <col min="10" max="10" width="7.44140625" style="3" customWidth="1"/>
    <col min="11" max="11" width="12.88671875" style="3" bestFit="1" customWidth="1"/>
    <col min="12" max="12" width="13.44140625" style="4" bestFit="1" customWidth="1"/>
    <col min="13" max="13" width="13.44140625" style="3" customWidth="1"/>
    <col min="14" max="14" width="12.109375" style="3" bestFit="1" customWidth="1"/>
    <col min="15" max="15" width="11.44140625" style="3" bestFit="1" customWidth="1"/>
    <col min="16" max="16384" width="8.88671875" style="3"/>
  </cols>
  <sheetData>
    <row r="1" spans="1:20" s="112" customFormat="1" ht="20.25">
      <c r="A1" s="110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97"/>
      <c r="M1" s="111"/>
    </row>
    <row r="2" spans="1:20" s="112" customFormat="1" ht="12.2" customHeight="1">
      <c r="A2" s="113"/>
      <c r="B2" s="114"/>
      <c r="C2" s="114"/>
      <c r="E2" s="114"/>
      <c r="F2" s="114"/>
      <c r="G2" s="114"/>
      <c r="L2" s="86"/>
    </row>
    <row r="3" spans="1:20" s="112" customFormat="1" ht="18">
      <c r="A3" s="113" t="s">
        <v>321</v>
      </c>
      <c r="B3" s="114"/>
      <c r="C3" s="114" t="s">
        <v>319</v>
      </c>
      <c r="D3" s="114"/>
      <c r="E3" s="114"/>
      <c r="F3" s="114" t="s">
        <v>320</v>
      </c>
      <c r="G3" s="114"/>
      <c r="H3" s="114"/>
      <c r="I3" s="115"/>
      <c r="J3" s="114"/>
      <c r="K3" s="114"/>
      <c r="L3" s="86"/>
    </row>
    <row r="4" spans="1:20" ht="12.2" customHeight="1">
      <c r="Q4" s="8" t="s">
        <v>351</v>
      </c>
      <c r="R4" s="8" t="s">
        <v>9</v>
      </c>
      <c r="S4" s="8"/>
      <c r="T4" s="8" t="s">
        <v>352</v>
      </c>
    </row>
    <row r="5" spans="1:20" s="8" customFormat="1" ht="18" customHeight="1">
      <c r="A5" s="5" t="s">
        <v>90</v>
      </c>
      <c r="B5" s="5" t="s">
        <v>91</v>
      </c>
      <c r="C5" s="33" t="s">
        <v>92</v>
      </c>
      <c r="D5" s="6" t="s">
        <v>93</v>
      </c>
      <c r="E5" s="5" t="s">
        <v>94</v>
      </c>
      <c r="F5" s="5" t="s">
        <v>95</v>
      </c>
      <c r="G5" s="5" t="s">
        <v>96</v>
      </c>
      <c r="H5" s="5" t="s">
        <v>97</v>
      </c>
      <c r="I5" s="5" t="s">
        <v>98</v>
      </c>
      <c r="J5" s="33" t="s">
        <v>99</v>
      </c>
      <c r="K5" s="5" t="s">
        <v>100</v>
      </c>
      <c r="L5" s="34"/>
      <c r="M5" s="7"/>
    </row>
    <row r="6" spans="1:20" s="121" customFormat="1" ht="18" customHeight="1">
      <c r="A6" s="211">
        <v>1</v>
      </c>
      <c r="B6" s="66" t="s">
        <v>135</v>
      </c>
      <c r="C6" s="104" t="str">
        <f>BFLY!B13</f>
        <v>CF8</v>
      </c>
      <c r="D6" s="67">
        <v>1</v>
      </c>
      <c r="E6" s="68"/>
      <c r="F6" s="126">
        <f>IF(C6="WCB",400,IF(C6="CF8",400,IF(C6="CF8M",396)))</f>
        <v>400</v>
      </c>
      <c r="G6" s="69"/>
      <c r="H6" s="118">
        <f>BFLY!C13</f>
        <v>4000</v>
      </c>
      <c r="I6" s="70">
        <f>D6*F6*H6</f>
        <v>1600000</v>
      </c>
      <c r="J6" s="127">
        <f>IF(C6="WCB",540000,IF(C6="CF8",620000,IF(C6="CF8M",620000)))</f>
        <v>620000</v>
      </c>
      <c r="K6" s="128">
        <f t="shared" ref="K6:K12" si="0">I6+J6</f>
        <v>2220000</v>
      </c>
      <c r="L6" s="119"/>
      <c r="M6" s="120"/>
    </row>
    <row r="7" spans="1:20" s="121" customFormat="1" ht="18" customHeight="1">
      <c r="A7" s="212"/>
      <c r="B7" s="66" t="s">
        <v>136</v>
      </c>
      <c r="C7" s="104">
        <f>BFLY!B14</f>
        <v>0</v>
      </c>
      <c r="D7" s="67">
        <v>1</v>
      </c>
      <c r="E7" s="68"/>
      <c r="F7" s="126" t="b">
        <f>IF(C7="WCB",717,IF(C7="CF8",717,IF(C7="CF8M",717)))</f>
        <v>0</v>
      </c>
      <c r="G7" s="69"/>
      <c r="H7" s="118">
        <f>BFLY!C14</f>
        <v>0</v>
      </c>
      <c r="I7" s="70">
        <f>D7*F7*H7</f>
        <v>0</v>
      </c>
      <c r="J7" s="127" t="b">
        <f>IF(C7="WCB",650000,IF(C7="CF8",720000,IF(C7="CF8M",720000)))</f>
        <v>0</v>
      </c>
      <c r="K7" s="128">
        <f t="shared" si="0"/>
        <v>0</v>
      </c>
    </row>
    <row r="8" spans="1:20" s="121" customFormat="1" ht="18" customHeight="1">
      <c r="A8" s="213"/>
      <c r="B8" s="71" t="s">
        <v>137</v>
      </c>
      <c r="C8" s="104" t="str">
        <f>BFLY!B15</f>
        <v>CF8</v>
      </c>
      <c r="D8" s="67">
        <v>1</v>
      </c>
      <c r="E8" s="68"/>
      <c r="F8" s="126">
        <f>1150*1.1</f>
        <v>1265</v>
      </c>
      <c r="G8" s="69"/>
      <c r="H8" s="118">
        <f>BFLY!C15</f>
        <v>0</v>
      </c>
      <c r="I8" s="70">
        <f>D8*F8*H8</f>
        <v>0</v>
      </c>
      <c r="J8" s="127">
        <f>IF(C8="WCB",760000,IF(C8="CF8",760000,IF(C8="CF8M",760000)))</f>
        <v>760000</v>
      </c>
      <c r="K8" s="128">
        <f t="shared" si="0"/>
        <v>760000</v>
      </c>
      <c r="L8" s="122" t="s">
        <v>138</v>
      </c>
      <c r="M8" s="208" t="s">
        <v>139</v>
      </c>
      <c r="N8" s="209"/>
      <c r="O8" s="210"/>
    </row>
    <row r="9" spans="1:20" s="121" customFormat="1" ht="18" customHeight="1">
      <c r="A9" s="72">
        <v>2</v>
      </c>
      <c r="B9" s="71" t="s">
        <v>140</v>
      </c>
      <c r="C9" s="104" t="str">
        <f>BFLY!B16</f>
        <v>CF8M</v>
      </c>
      <c r="D9" s="67">
        <v>1</v>
      </c>
      <c r="E9" s="68"/>
      <c r="F9" s="116">
        <f>IF(C9="CF8",314,IF(C9="CF8M",314,IF(C9="CF3M",314,IF(C9="B148",354))))</f>
        <v>314</v>
      </c>
      <c r="G9" s="69"/>
      <c r="H9" s="118">
        <f>BFLY!C16</f>
        <v>8000</v>
      </c>
      <c r="I9" s="73">
        <f>D9*F9*H9</f>
        <v>2512000</v>
      </c>
      <c r="J9" s="129">
        <f>IF(C9="CF8",460000,IF(C9="CF8M",460000,IF(C9="CF3M",460000,IF(C9="B148",460000))))</f>
        <v>460000</v>
      </c>
      <c r="K9" s="117">
        <f t="shared" si="0"/>
        <v>2972000</v>
      </c>
      <c r="L9" s="122" t="s">
        <v>141</v>
      </c>
      <c r="M9" s="123" t="s">
        <v>141</v>
      </c>
      <c r="N9" s="123" t="s">
        <v>142</v>
      </c>
      <c r="O9" s="123" t="s">
        <v>143</v>
      </c>
    </row>
    <row r="10" spans="1:20" s="121" customFormat="1" ht="18" customHeight="1">
      <c r="A10" s="72">
        <v>3</v>
      </c>
      <c r="B10" s="74" t="s">
        <v>144</v>
      </c>
      <c r="C10" s="75" t="str">
        <f>BFLY!B19</f>
        <v>RTFE</v>
      </c>
      <c r="D10" s="76">
        <v>1</v>
      </c>
      <c r="E10" s="68"/>
      <c r="F10" s="116"/>
      <c r="G10" s="69"/>
      <c r="H10" s="118"/>
      <c r="I10" s="185">
        <f>IF(C10="RTFE",1115000,IF(C10="RTFE-A",1300000,IF(C10="METAL-B",66000,IF(C10="RTFE + METAL",1461000))))</f>
        <v>1115000</v>
      </c>
      <c r="J10" s="185">
        <f>IF(C10="RTFE",0,IF(C10="METAL-B",150000,IF(C10="RTFE + METAL",90000)))</f>
        <v>0</v>
      </c>
      <c r="K10" s="117">
        <f>(I10+J10)*1.2</f>
        <v>1338000</v>
      </c>
      <c r="L10" s="124">
        <v>1115000</v>
      </c>
      <c r="M10" s="124">
        <v>875000</v>
      </c>
      <c r="N10" s="173">
        <v>96000</v>
      </c>
      <c r="O10" s="124">
        <f>M10+N10</f>
        <v>971000</v>
      </c>
    </row>
    <row r="11" spans="1:20" s="121" customFormat="1" ht="18" customHeight="1">
      <c r="A11" s="72">
        <v>4</v>
      </c>
      <c r="B11" s="74" t="s">
        <v>145</v>
      </c>
      <c r="C11" s="76" t="str">
        <f>BFLY!B17</f>
        <v>A564T630</v>
      </c>
      <c r="D11" s="76">
        <v>1</v>
      </c>
      <c r="E11" s="68"/>
      <c r="F11" s="116">
        <v>158</v>
      </c>
      <c r="G11" s="77"/>
      <c r="H11" s="118">
        <f>BFLY!C17</f>
        <v>8000</v>
      </c>
      <c r="I11" s="73">
        <f>D11*F11*H11</f>
        <v>1264000</v>
      </c>
      <c r="J11" s="73">
        <v>160000</v>
      </c>
      <c r="K11" s="117">
        <f t="shared" si="0"/>
        <v>1424000</v>
      </c>
      <c r="L11" s="119"/>
      <c r="M11" s="120"/>
    </row>
    <row r="12" spans="1:20" s="121" customFormat="1" ht="18" customHeight="1">
      <c r="A12" s="72">
        <v>5</v>
      </c>
      <c r="B12" s="74" t="s">
        <v>146</v>
      </c>
      <c r="C12" s="76" t="s">
        <v>147</v>
      </c>
      <c r="D12" s="76">
        <v>1</v>
      </c>
      <c r="E12" s="68"/>
      <c r="F12" s="78">
        <v>1</v>
      </c>
      <c r="G12" s="77"/>
      <c r="H12" s="118">
        <v>858000</v>
      </c>
      <c r="I12" s="73">
        <f>D12*F12*H12</f>
        <v>858000</v>
      </c>
      <c r="J12" s="171">
        <v>110000</v>
      </c>
      <c r="K12" s="117">
        <f t="shared" si="0"/>
        <v>968000</v>
      </c>
      <c r="L12" s="119"/>
      <c r="M12" s="120"/>
      <c r="P12" s="119" t="s">
        <v>356</v>
      </c>
      <c r="Q12" s="177"/>
      <c r="R12" s="177">
        <v>110000</v>
      </c>
      <c r="S12" s="177"/>
      <c r="T12" s="178">
        <f>R12+Q12</f>
        <v>110000</v>
      </c>
    </row>
    <row r="13" spans="1:20" s="121" customFormat="1" ht="18" customHeight="1">
      <c r="A13" s="72">
        <v>6</v>
      </c>
      <c r="B13" s="74" t="s">
        <v>148</v>
      </c>
      <c r="C13" s="76" t="s">
        <v>149</v>
      </c>
      <c r="D13" s="76">
        <v>24</v>
      </c>
      <c r="E13" s="68"/>
      <c r="F13" s="78">
        <v>1</v>
      </c>
      <c r="G13" s="77"/>
      <c r="H13" s="118">
        <v>1200</v>
      </c>
      <c r="I13" s="73">
        <f>D13*F13*H13</f>
        <v>28800</v>
      </c>
      <c r="J13" s="73"/>
      <c r="K13" s="117">
        <f>H13*D13</f>
        <v>28800</v>
      </c>
      <c r="L13" s="119"/>
      <c r="M13" s="120"/>
    </row>
    <row r="14" spans="1:20" s="121" customFormat="1" ht="18" customHeight="1">
      <c r="A14" s="72">
        <v>7</v>
      </c>
      <c r="B14" s="74" t="s">
        <v>150</v>
      </c>
      <c r="C14" s="76" t="s">
        <v>147</v>
      </c>
      <c r="D14" s="76">
        <v>2</v>
      </c>
      <c r="E14" s="68"/>
      <c r="F14" s="78">
        <v>1</v>
      </c>
      <c r="G14" s="77"/>
      <c r="H14" s="118"/>
      <c r="I14" s="73">
        <v>50000</v>
      </c>
      <c r="J14" s="73">
        <v>50000</v>
      </c>
      <c r="K14" s="117">
        <f>I14+J14</f>
        <v>100000</v>
      </c>
      <c r="L14" s="119"/>
      <c r="M14" s="120"/>
    </row>
    <row r="15" spans="1:20" s="121" customFormat="1" ht="18" customHeight="1">
      <c r="A15" s="72">
        <v>8</v>
      </c>
      <c r="B15" s="74" t="s">
        <v>151</v>
      </c>
      <c r="C15" s="76" t="s">
        <v>152</v>
      </c>
      <c r="D15" s="76">
        <v>1</v>
      </c>
      <c r="E15" s="68"/>
      <c r="F15" s="78">
        <v>1</v>
      </c>
      <c r="G15" s="77"/>
      <c r="H15" s="118">
        <v>57950</v>
      </c>
      <c r="I15" s="73">
        <f t="shared" ref="I15:I26" si="1">D15*F15*H15</f>
        <v>57950</v>
      </c>
      <c r="J15" s="73"/>
      <c r="K15" s="117">
        <f t="shared" ref="K15:K28" si="2">I15+J15</f>
        <v>57950</v>
      </c>
      <c r="L15" s="119"/>
      <c r="M15" s="120"/>
    </row>
    <row r="16" spans="1:20" s="121" customFormat="1" ht="18" customHeight="1">
      <c r="A16" s="72">
        <v>9</v>
      </c>
      <c r="B16" s="74" t="s">
        <v>153</v>
      </c>
      <c r="C16" s="76" t="s">
        <v>154</v>
      </c>
      <c r="D16" s="76">
        <v>1</v>
      </c>
      <c r="E16" s="68"/>
      <c r="F16" s="78">
        <v>1</v>
      </c>
      <c r="G16" s="77"/>
      <c r="H16" s="118">
        <v>87840</v>
      </c>
      <c r="I16" s="73">
        <f t="shared" si="1"/>
        <v>87840</v>
      </c>
      <c r="J16" s="73">
        <v>20000</v>
      </c>
      <c r="K16" s="117">
        <f t="shared" si="2"/>
        <v>107840</v>
      </c>
      <c r="L16" s="119"/>
      <c r="M16" s="120"/>
    </row>
    <row r="17" spans="1:14" s="121" customFormat="1" ht="18" customHeight="1">
      <c r="A17" s="72">
        <v>10</v>
      </c>
      <c r="B17" s="74" t="s">
        <v>155</v>
      </c>
      <c r="C17" s="76" t="s">
        <v>149</v>
      </c>
      <c r="D17" s="76">
        <v>4</v>
      </c>
      <c r="E17" s="68"/>
      <c r="F17" s="78">
        <v>1</v>
      </c>
      <c r="G17" s="77"/>
      <c r="H17" s="118">
        <v>2500</v>
      </c>
      <c r="I17" s="73">
        <f t="shared" si="1"/>
        <v>10000</v>
      </c>
      <c r="J17" s="73"/>
      <c r="K17" s="117">
        <f t="shared" si="2"/>
        <v>10000</v>
      </c>
      <c r="L17" s="119"/>
      <c r="M17" s="120"/>
    </row>
    <row r="18" spans="1:14" s="121" customFormat="1" ht="18" customHeight="1">
      <c r="A18" s="72">
        <v>11</v>
      </c>
      <c r="B18" s="74" t="s">
        <v>156</v>
      </c>
      <c r="C18" s="76" t="s">
        <v>147</v>
      </c>
      <c r="D18" s="76">
        <v>1</v>
      </c>
      <c r="E18" s="68"/>
      <c r="F18" s="78">
        <v>1</v>
      </c>
      <c r="G18" s="77"/>
      <c r="H18" s="118">
        <v>13200</v>
      </c>
      <c r="I18" s="73">
        <f t="shared" si="1"/>
        <v>13200</v>
      </c>
      <c r="J18" s="73">
        <v>5000</v>
      </c>
      <c r="K18" s="117">
        <f t="shared" si="2"/>
        <v>18200</v>
      </c>
      <c r="L18" s="119"/>
      <c r="M18" s="120"/>
    </row>
    <row r="19" spans="1:14" s="121" customFormat="1" ht="18" customHeight="1">
      <c r="A19" s="72">
        <v>12</v>
      </c>
      <c r="B19" s="74" t="s">
        <v>157</v>
      </c>
      <c r="C19" s="76" t="s">
        <v>158</v>
      </c>
      <c r="D19" s="76">
        <v>4</v>
      </c>
      <c r="E19" s="68"/>
      <c r="F19" s="78">
        <v>1</v>
      </c>
      <c r="G19" s="69"/>
      <c r="H19" s="118">
        <v>25800</v>
      </c>
      <c r="I19" s="73">
        <f>H19</f>
        <v>25800</v>
      </c>
      <c r="J19" s="73">
        <v>5470</v>
      </c>
      <c r="K19" s="117">
        <f>(I19+J19)*D19</f>
        <v>125080</v>
      </c>
      <c r="L19" s="119"/>
      <c r="M19" s="120"/>
    </row>
    <row r="20" spans="1:14" s="121" customFormat="1" ht="18" customHeight="1">
      <c r="A20" s="72">
        <v>13</v>
      </c>
      <c r="B20" s="74" t="s">
        <v>159</v>
      </c>
      <c r="C20" s="76" t="s">
        <v>147</v>
      </c>
      <c r="D20" s="76">
        <v>1</v>
      </c>
      <c r="E20" s="68"/>
      <c r="F20" s="78">
        <v>1</v>
      </c>
      <c r="G20" s="69"/>
      <c r="H20" s="118">
        <v>72600</v>
      </c>
      <c r="I20" s="73">
        <f t="shared" si="1"/>
        <v>72600</v>
      </c>
      <c r="J20" s="73">
        <v>18000</v>
      </c>
      <c r="K20" s="117">
        <f t="shared" si="2"/>
        <v>90600</v>
      </c>
      <c r="L20" s="119"/>
      <c r="M20" s="120"/>
    </row>
    <row r="21" spans="1:14" s="121" customFormat="1" ht="18" customHeight="1">
      <c r="A21" s="72">
        <v>14</v>
      </c>
      <c r="B21" s="74" t="s">
        <v>160</v>
      </c>
      <c r="C21" s="76" t="s">
        <v>149</v>
      </c>
      <c r="D21" s="76">
        <v>6</v>
      </c>
      <c r="E21" s="68"/>
      <c r="F21" s="78">
        <v>1</v>
      </c>
      <c r="G21" s="69"/>
      <c r="H21" s="118">
        <v>700</v>
      </c>
      <c r="I21" s="73">
        <f t="shared" si="1"/>
        <v>4200</v>
      </c>
      <c r="J21" s="73"/>
      <c r="K21" s="117">
        <f t="shared" si="2"/>
        <v>4200</v>
      </c>
      <c r="L21" s="119"/>
      <c r="M21" s="120"/>
    </row>
    <row r="22" spans="1:14" s="121" customFormat="1" ht="18" customHeight="1">
      <c r="A22" s="72">
        <v>15</v>
      </c>
      <c r="B22" s="74" t="s">
        <v>161</v>
      </c>
      <c r="C22" s="76" t="s">
        <v>162</v>
      </c>
      <c r="D22" s="76">
        <v>1</v>
      </c>
      <c r="E22" s="68"/>
      <c r="F22" s="78">
        <v>1</v>
      </c>
      <c r="G22" s="69"/>
      <c r="H22" s="118">
        <v>7000</v>
      </c>
      <c r="I22" s="73">
        <f t="shared" si="1"/>
        <v>7000</v>
      </c>
      <c r="J22" s="73">
        <v>1000</v>
      </c>
      <c r="K22" s="117">
        <f t="shared" si="2"/>
        <v>8000</v>
      </c>
      <c r="L22" s="119"/>
      <c r="M22" s="120"/>
    </row>
    <row r="23" spans="1:14" s="121" customFormat="1" ht="18" customHeight="1">
      <c r="A23" s="72">
        <v>16</v>
      </c>
      <c r="B23" s="74" t="s">
        <v>163</v>
      </c>
      <c r="C23" s="76" t="s">
        <v>164</v>
      </c>
      <c r="D23" s="76">
        <v>4</v>
      </c>
      <c r="E23" s="68"/>
      <c r="F23" s="78">
        <v>1</v>
      </c>
      <c r="G23" s="69"/>
      <c r="H23" s="118">
        <v>2400</v>
      </c>
      <c r="I23" s="73">
        <f>H23</f>
        <v>2400</v>
      </c>
      <c r="J23" s="73"/>
      <c r="K23" s="117">
        <f>(I23+J23)*D23</f>
        <v>9600</v>
      </c>
      <c r="L23" s="119"/>
      <c r="M23" s="120"/>
    </row>
    <row r="24" spans="1:14" s="121" customFormat="1" ht="18" customHeight="1">
      <c r="A24" s="72">
        <v>17</v>
      </c>
      <c r="B24" s="74" t="s">
        <v>165</v>
      </c>
      <c r="C24" s="76" t="s">
        <v>164</v>
      </c>
      <c r="D24" s="76">
        <v>8</v>
      </c>
      <c r="E24" s="68"/>
      <c r="F24" s="78">
        <v>1</v>
      </c>
      <c r="G24" s="69"/>
      <c r="H24" s="118">
        <v>910</v>
      </c>
      <c r="I24" s="73">
        <f>H24</f>
        <v>910</v>
      </c>
      <c r="J24" s="73"/>
      <c r="K24" s="117">
        <f>(I24+J24)*D24</f>
        <v>7280</v>
      </c>
      <c r="L24" s="119"/>
      <c r="M24" s="120"/>
    </row>
    <row r="25" spans="1:14" s="121" customFormat="1" ht="18" customHeight="1">
      <c r="A25" s="72">
        <v>18</v>
      </c>
      <c r="B25" s="74"/>
      <c r="C25" s="76"/>
      <c r="D25" s="76"/>
      <c r="E25" s="68"/>
      <c r="F25" s="78"/>
      <c r="G25" s="69"/>
      <c r="H25" s="118"/>
      <c r="I25" s="73"/>
      <c r="J25" s="73"/>
      <c r="K25" s="117"/>
      <c r="L25" s="119"/>
      <c r="M25" s="120"/>
    </row>
    <row r="26" spans="1:14" s="121" customFormat="1" ht="18" customHeight="1">
      <c r="A26" s="72">
        <v>19</v>
      </c>
      <c r="B26" s="74" t="s">
        <v>166</v>
      </c>
      <c r="C26" s="76" t="s">
        <v>154</v>
      </c>
      <c r="D26" s="76">
        <v>1</v>
      </c>
      <c r="E26" s="68"/>
      <c r="F26" s="78">
        <v>1</v>
      </c>
      <c r="G26" s="79"/>
      <c r="H26" s="118">
        <v>146400</v>
      </c>
      <c r="I26" s="73">
        <f t="shared" si="1"/>
        <v>146400</v>
      </c>
      <c r="J26" s="73">
        <v>32000</v>
      </c>
      <c r="K26" s="117">
        <f t="shared" si="2"/>
        <v>178400</v>
      </c>
      <c r="L26" s="119"/>
      <c r="M26" s="120"/>
    </row>
    <row r="27" spans="1:14" s="121" customFormat="1" ht="18" customHeight="1">
      <c r="A27" s="72">
        <v>20</v>
      </c>
      <c r="B27" s="74" t="s">
        <v>167</v>
      </c>
      <c r="C27" s="76" t="str">
        <f>BFLY!B20</f>
        <v>10 BAR</v>
      </c>
      <c r="D27" s="76">
        <v>1</v>
      </c>
      <c r="E27" s="68"/>
      <c r="F27" s="78">
        <v>1</v>
      </c>
      <c r="G27" s="79"/>
      <c r="H27" s="118"/>
      <c r="I27" s="73"/>
      <c r="J27" s="122" t="str">
        <f>C27</f>
        <v>10 BAR</v>
      </c>
      <c r="K27" s="130">
        <f>IF(C27="PIYAKE",L27,IF(C27="10 BAR",M27,IF(C27="20 BAR",N27)))</f>
        <v>748000</v>
      </c>
      <c r="L27" s="125"/>
      <c r="M27" s="125">
        <v>748000</v>
      </c>
      <c r="N27" s="125">
        <v>1301000</v>
      </c>
    </row>
    <row r="28" spans="1:14" s="121" customFormat="1" ht="18" customHeight="1">
      <c r="A28" s="72">
        <v>21</v>
      </c>
      <c r="B28" s="74" t="s">
        <v>168</v>
      </c>
      <c r="C28" s="76" t="s">
        <v>169</v>
      </c>
      <c r="D28" s="76">
        <v>1</v>
      </c>
      <c r="E28" s="68"/>
      <c r="F28" s="78">
        <v>1</v>
      </c>
      <c r="G28" s="79"/>
      <c r="H28" s="68"/>
      <c r="I28" s="73">
        <v>387600</v>
      </c>
      <c r="J28" s="117">
        <v>100000</v>
      </c>
      <c r="K28" s="117">
        <f t="shared" si="2"/>
        <v>487600</v>
      </c>
      <c r="L28" s="125"/>
    </row>
    <row r="29" spans="1:14" s="87" customFormat="1" ht="18" customHeight="1">
      <c r="A29" s="80">
        <v>22</v>
      </c>
      <c r="B29" s="81" t="s">
        <v>170</v>
      </c>
      <c r="C29" s="82"/>
      <c r="D29" s="82"/>
      <c r="E29" s="83"/>
      <c r="F29" s="83"/>
      <c r="G29" s="83"/>
      <c r="H29" s="83"/>
      <c r="I29" s="84"/>
      <c r="J29" s="84"/>
      <c r="K29" s="85">
        <f>SUM(K6:K26,K28)</f>
        <v>10915550</v>
      </c>
      <c r="L29" s="86"/>
    </row>
    <row r="30" spans="1:14" s="87" customFormat="1" ht="18" customHeight="1">
      <c r="A30" s="80">
        <v>24</v>
      </c>
      <c r="B30" s="81" t="s">
        <v>171</v>
      </c>
      <c r="C30" s="82"/>
      <c r="D30" s="82"/>
      <c r="E30" s="83"/>
      <c r="F30" s="83"/>
      <c r="G30" s="83"/>
      <c r="H30" s="83"/>
      <c r="I30" s="84"/>
      <c r="J30" s="84"/>
      <c r="K30" s="85">
        <f>SUM(K6:K28)</f>
        <v>11663550</v>
      </c>
      <c r="L30" s="86"/>
    </row>
    <row r="31" spans="1:14" s="87" customFormat="1" ht="18" customHeight="1">
      <c r="A31" s="80">
        <v>25</v>
      </c>
      <c r="B31" s="88"/>
      <c r="C31" s="89"/>
      <c r="D31" s="89"/>
      <c r="E31" s="90"/>
      <c r="F31" s="90"/>
      <c r="G31" s="90"/>
      <c r="H31" s="90"/>
      <c r="I31" s="90"/>
      <c r="J31" s="90"/>
      <c r="K31" s="90"/>
      <c r="L31" s="86"/>
    </row>
    <row r="32" spans="1:14" s="121" customFormat="1" ht="18" customHeight="1">
      <c r="A32" s="72">
        <v>26</v>
      </c>
      <c r="B32" s="74" t="s">
        <v>172</v>
      </c>
      <c r="C32" s="76"/>
      <c r="D32" s="76">
        <v>1</v>
      </c>
      <c r="E32" s="68"/>
      <c r="F32" s="78"/>
      <c r="G32" s="79"/>
      <c r="H32" s="68"/>
      <c r="I32" s="73"/>
      <c r="J32" s="73"/>
      <c r="K32" s="117">
        <f>I32+J32</f>
        <v>0</v>
      </c>
      <c r="L32" s="125"/>
    </row>
    <row r="33" spans="1:13" s="121" customFormat="1" ht="24">
      <c r="A33" s="207">
        <v>27</v>
      </c>
      <c r="B33" s="132" t="s">
        <v>173</v>
      </c>
      <c r="C33" s="76"/>
      <c r="D33" s="76">
        <v>4</v>
      </c>
      <c r="E33" s="68"/>
      <c r="F33" s="78"/>
      <c r="G33" s="79"/>
      <c r="H33" s="68"/>
      <c r="I33" s="73"/>
      <c r="J33" s="73"/>
      <c r="K33" s="117">
        <f>I33+J33</f>
        <v>0</v>
      </c>
      <c r="L33" s="125"/>
    </row>
    <row r="34" spans="1:13" s="121" customFormat="1" ht="24" customHeight="1">
      <c r="A34" s="207"/>
      <c r="B34" s="74" t="s">
        <v>174</v>
      </c>
      <c r="C34" s="76"/>
      <c r="D34" s="76">
        <v>1</v>
      </c>
      <c r="E34" s="68"/>
      <c r="F34" s="78"/>
      <c r="G34" s="68"/>
      <c r="H34" s="68"/>
      <c r="I34" s="68"/>
      <c r="J34" s="68"/>
      <c r="K34" s="117">
        <v>487600</v>
      </c>
      <c r="L34" s="125"/>
    </row>
    <row r="35" spans="1:13" s="121" customFormat="1" ht="18" customHeight="1">
      <c r="A35" s="72">
        <v>28</v>
      </c>
      <c r="B35" s="133" t="s">
        <v>175</v>
      </c>
      <c r="C35" s="76"/>
      <c r="D35" s="134"/>
      <c r="E35" s="68"/>
      <c r="F35" s="68"/>
      <c r="G35" s="68"/>
      <c r="H35" s="68"/>
      <c r="I35" s="124">
        <f>SUM(K31:K34)</f>
        <v>487600</v>
      </c>
      <c r="J35" s="135">
        <v>1</v>
      </c>
      <c r="K35" s="124">
        <f>J35*I35</f>
        <v>487600</v>
      </c>
      <c r="L35" s="125"/>
    </row>
    <row r="36" spans="1:13" s="8" customFormat="1" ht="18" customHeight="1">
      <c r="A36" s="21">
        <v>29</v>
      </c>
      <c r="B36" s="9"/>
      <c r="C36" s="10"/>
      <c r="D36" s="10"/>
      <c r="E36" s="11"/>
      <c r="F36" s="11"/>
      <c r="G36" s="11"/>
      <c r="H36" s="11"/>
      <c r="I36" s="11"/>
      <c r="J36" s="19"/>
      <c r="K36" s="11"/>
      <c r="L36" s="12"/>
    </row>
    <row r="37" spans="1:13" s="8" customFormat="1" ht="18" customHeight="1">
      <c r="A37" s="21">
        <v>30</v>
      </c>
      <c r="B37" s="20" t="s">
        <v>102</v>
      </c>
      <c r="C37" s="13"/>
      <c r="D37" s="13"/>
      <c r="E37" s="14"/>
      <c r="F37" s="14"/>
      <c r="G37" s="14"/>
      <c r="H37" s="14"/>
      <c r="I37" s="15">
        <f>K29</f>
        <v>10915550</v>
      </c>
      <c r="J37" s="21"/>
      <c r="K37" s="17">
        <f>I37+K35</f>
        <v>11403150</v>
      </c>
      <c r="L37" s="12"/>
    </row>
    <row r="38" spans="1:13" s="8" customFormat="1" ht="18" customHeight="1">
      <c r="A38" s="21">
        <v>32</v>
      </c>
      <c r="B38" s="20" t="s">
        <v>104</v>
      </c>
      <c r="C38" s="13"/>
      <c r="D38" s="13"/>
      <c r="E38" s="14"/>
      <c r="F38" s="14"/>
      <c r="G38" s="14"/>
      <c r="H38" s="14"/>
      <c r="I38" s="15">
        <f>K30</f>
        <v>11663550</v>
      </c>
      <c r="J38" s="21"/>
      <c r="K38" s="17">
        <f>I38+K35</f>
        <v>12151150</v>
      </c>
      <c r="L38" s="22"/>
    </row>
    <row r="39" spans="1:13" s="8" customFormat="1" ht="18" customHeight="1">
      <c r="A39" s="21">
        <v>33</v>
      </c>
      <c r="B39" s="45" t="s">
        <v>105</v>
      </c>
      <c r="C39" s="41"/>
      <c r="D39" s="41"/>
      <c r="E39" s="44"/>
      <c r="F39" s="46"/>
      <c r="G39" s="46"/>
      <c r="H39" s="42"/>
      <c r="I39" s="42"/>
      <c r="J39" s="21">
        <f>BFLY!B21</f>
        <v>1</v>
      </c>
      <c r="K39" s="43">
        <f>K37*J39</f>
        <v>11403150</v>
      </c>
      <c r="L39" s="22"/>
    </row>
    <row r="40" spans="1:13" s="23" customFormat="1" ht="18" customHeight="1">
      <c r="A40" s="21">
        <v>35</v>
      </c>
      <c r="B40" s="45" t="s">
        <v>107</v>
      </c>
      <c r="C40" s="41"/>
      <c r="D40" s="41"/>
      <c r="E40" s="44"/>
      <c r="F40" s="46"/>
      <c r="G40" s="46"/>
      <c r="H40" s="42"/>
      <c r="I40" s="42"/>
      <c r="J40" s="21">
        <f>BFLY!B21</f>
        <v>1</v>
      </c>
      <c r="K40" s="43">
        <f>K38*J40</f>
        <v>12151150</v>
      </c>
      <c r="L40" s="22"/>
      <c r="M40" s="8"/>
    </row>
    <row r="41" spans="1:13" s="23" customFormat="1" ht="18" customHeight="1">
      <c r="A41" s="136"/>
      <c r="L41" s="22"/>
      <c r="M41" s="8"/>
    </row>
    <row r="42" spans="1:13" s="23" customFormat="1" ht="18" customHeight="1">
      <c r="L42" s="24"/>
    </row>
    <row r="43" spans="1:13" s="23" customFormat="1" ht="18" customHeight="1">
      <c r="L43" s="24"/>
    </row>
    <row r="44" spans="1:13" s="23" customFormat="1" ht="18" customHeight="1">
      <c r="L44" s="24"/>
    </row>
    <row r="45" spans="1:13" s="23" customFormat="1" ht="18" customHeight="1">
      <c r="L45" s="24"/>
    </row>
    <row r="46" spans="1:13" s="23" customFormat="1" ht="18" customHeight="1">
      <c r="L46" s="24"/>
    </row>
    <row r="47" spans="1:13" s="23" customFormat="1" ht="18" customHeight="1">
      <c r="L47" s="24"/>
    </row>
    <row r="48" spans="1:13" s="23" customFormat="1" ht="18" customHeight="1">
      <c r="L48" s="24"/>
    </row>
    <row r="49" spans="2:12" s="23" customFormat="1" ht="18" customHeight="1">
      <c r="D49" s="24"/>
      <c r="L49" s="24"/>
    </row>
    <row r="50" spans="2:12" s="23" customFormat="1" ht="12"/>
    <row r="51" spans="2:12" s="23" customFormat="1" ht="12">
      <c r="L51" s="24"/>
    </row>
    <row r="52" spans="2:12" s="23" customFormat="1" ht="1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4"/>
    </row>
    <row r="53" spans="2:12" s="25" customFormat="1" ht="15">
      <c r="L53" s="24"/>
    </row>
    <row r="54" spans="2:12" s="25" customFormat="1" ht="15">
      <c r="L54" s="24"/>
    </row>
    <row r="55" spans="2:12" s="25" customFormat="1" ht="15">
      <c r="B55" s="3"/>
      <c r="C55" s="3"/>
      <c r="D55" s="3"/>
      <c r="E55" s="3"/>
      <c r="F55" s="3"/>
      <c r="G55" s="3"/>
      <c r="H55" s="3"/>
      <c r="I55" s="3"/>
      <c r="J55" s="3"/>
      <c r="K55" s="3"/>
      <c r="L55" s="24"/>
    </row>
  </sheetData>
  <mergeCells count="3">
    <mergeCell ref="A33:A34"/>
    <mergeCell ref="M8:O8"/>
    <mergeCell ref="A6:A8"/>
  </mergeCells>
  <phoneticPr fontId="8" type="noConversion"/>
  <pageMargins left="0.75" right="0.75" top="1" bottom="1" header="0.5" footer="0.5"/>
  <pageSetup paperSize="9" scale="84" orientation="portrait" r:id="rId1"/>
  <headerFooter alignWithMargins="0"/>
  <colBreaks count="1" manualBreakCount="1">
    <brk id="11" max="1048575" man="1"/>
  </colBreaks>
  <ignoredErrors>
    <ignoredError sqref="I19 K13 K19" formula="1"/>
  </ignoredError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N461"/>
  <sheetViews>
    <sheetView workbookViewId="0">
      <pane ySplit="4" topLeftCell="A5" activePane="bottomLeft" state="frozen"/>
      <selection activeCell="G8" sqref="G8"/>
      <selection pane="bottomLeft" activeCell="G8" sqref="G8"/>
    </sheetView>
  </sheetViews>
  <sheetFormatPr defaultRowHeight="13.5"/>
  <cols>
    <col min="1" max="1" width="6.44140625" style="161" customWidth="1"/>
    <col min="2" max="2" width="8.109375" style="161" customWidth="1"/>
    <col min="3" max="5" width="4.44140625" style="161" customWidth="1"/>
    <col min="6" max="7" width="6.44140625" style="161" customWidth="1"/>
    <col min="8" max="9" width="5.44140625" style="161" customWidth="1"/>
    <col min="10" max="10" width="7.109375" style="161" customWidth="1"/>
    <col min="11" max="11" width="9.44140625" style="161" customWidth="1"/>
    <col min="12" max="12" width="8.88671875" style="161" customWidth="1"/>
    <col min="13" max="13" width="13.88671875" style="161" customWidth="1"/>
    <col min="14" max="14" width="15.109375" style="162" customWidth="1"/>
  </cols>
  <sheetData>
    <row r="1" spans="1:14">
      <c r="A1" s="214" t="s">
        <v>185</v>
      </c>
      <c r="B1" s="214"/>
      <c r="C1" s="214"/>
      <c r="D1" s="214"/>
      <c r="E1" s="214"/>
      <c r="F1" s="214"/>
      <c r="G1" s="214"/>
      <c r="H1" s="214"/>
      <c r="I1" s="214"/>
      <c r="J1" s="214"/>
      <c r="K1" s="137" t="s">
        <v>186</v>
      </c>
      <c r="L1" s="215" t="s">
        <v>187</v>
      </c>
      <c r="M1" s="216"/>
      <c r="N1" s="217"/>
    </row>
    <row r="2" spans="1:14" ht="27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138" t="s">
        <v>188</v>
      </c>
      <c r="L2" s="215" t="s">
        <v>189</v>
      </c>
      <c r="M2" s="216"/>
      <c r="N2" s="217"/>
    </row>
    <row r="3" spans="1:14">
      <c r="A3" s="218" t="s">
        <v>190</v>
      </c>
      <c r="B3" s="219" t="s">
        <v>191</v>
      </c>
      <c r="C3" s="219" t="s">
        <v>192</v>
      </c>
      <c r="D3" s="219"/>
      <c r="E3" s="139" t="s">
        <v>193</v>
      </c>
      <c r="F3" s="219" t="s">
        <v>195</v>
      </c>
      <c r="G3" s="219"/>
      <c r="H3" s="219"/>
      <c r="I3" s="219"/>
      <c r="J3" s="218" t="s">
        <v>196</v>
      </c>
      <c r="K3" s="218" t="s">
        <v>197</v>
      </c>
      <c r="L3" s="137" t="s">
        <v>198</v>
      </c>
      <c r="M3" s="137" t="s">
        <v>199</v>
      </c>
      <c r="N3" s="138" t="s">
        <v>200</v>
      </c>
    </row>
    <row r="4" spans="1:14">
      <c r="A4" s="219"/>
      <c r="B4" s="219"/>
      <c r="C4" s="137" t="s">
        <v>201</v>
      </c>
      <c r="D4" s="137" t="s">
        <v>202</v>
      </c>
      <c r="E4" s="140" t="s">
        <v>203</v>
      </c>
      <c r="F4" s="137" t="s">
        <v>204</v>
      </c>
      <c r="G4" s="137" t="s">
        <v>205</v>
      </c>
      <c r="H4" s="137" t="s">
        <v>206</v>
      </c>
      <c r="I4" s="137" t="s">
        <v>207</v>
      </c>
      <c r="J4" s="219"/>
      <c r="K4" s="219"/>
      <c r="L4" s="137"/>
      <c r="M4" s="137"/>
      <c r="N4" s="138"/>
    </row>
    <row r="5" spans="1:14">
      <c r="A5" s="163">
        <v>50</v>
      </c>
      <c r="B5" s="141" t="s">
        <v>208</v>
      </c>
      <c r="C5" s="142" t="s">
        <v>194</v>
      </c>
      <c r="D5" s="142"/>
      <c r="E5" s="142" t="s">
        <v>209</v>
      </c>
      <c r="F5" s="143">
        <v>43</v>
      </c>
      <c r="G5" s="143">
        <v>152</v>
      </c>
      <c r="H5" s="143"/>
      <c r="I5" s="143">
        <v>3</v>
      </c>
      <c r="J5" s="143">
        <v>12</v>
      </c>
      <c r="K5" s="141"/>
      <c r="L5" s="143"/>
      <c r="M5" s="144" t="s">
        <v>210</v>
      </c>
      <c r="N5" s="145" t="s">
        <v>211</v>
      </c>
    </row>
    <row r="6" spans="1:14">
      <c r="A6" s="141">
        <v>50</v>
      </c>
      <c r="B6" s="141"/>
      <c r="C6" s="142"/>
      <c r="D6" s="142"/>
      <c r="E6" s="142"/>
      <c r="F6" s="143"/>
      <c r="G6" s="143"/>
      <c r="H6" s="143"/>
      <c r="I6" s="143"/>
      <c r="J6" s="143"/>
      <c r="K6" s="141"/>
      <c r="L6" s="143"/>
      <c r="M6" s="144" t="s">
        <v>210</v>
      </c>
      <c r="N6" s="145"/>
    </row>
    <row r="7" spans="1:14">
      <c r="A7" s="141">
        <v>50</v>
      </c>
      <c r="B7" s="141"/>
      <c r="C7" s="141"/>
      <c r="D7" s="141"/>
      <c r="E7" s="141"/>
      <c r="F7" s="143"/>
      <c r="G7" s="143"/>
      <c r="H7" s="143"/>
      <c r="I7" s="143"/>
      <c r="J7" s="143"/>
      <c r="K7" s="141"/>
      <c r="L7" s="143"/>
      <c r="M7" s="144" t="s">
        <v>210</v>
      </c>
      <c r="N7" s="145"/>
    </row>
    <row r="8" spans="1:14">
      <c r="A8" s="141">
        <v>50</v>
      </c>
      <c r="B8" s="141"/>
      <c r="C8" s="141"/>
      <c r="D8" s="141"/>
      <c r="E8" s="141"/>
      <c r="F8" s="143"/>
      <c r="G8" s="143"/>
      <c r="H8" s="143"/>
      <c r="I8" s="143"/>
      <c r="J8" s="143"/>
      <c r="K8" s="141"/>
      <c r="L8" s="143"/>
      <c r="M8" s="144"/>
      <c r="N8" s="145"/>
    </row>
    <row r="9" spans="1:14">
      <c r="A9" s="163">
        <v>65</v>
      </c>
      <c r="B9" s="141"/>
      <c r="C9" s="142"/>
      <c r="D9" s="142"/>
      <c r="E9" s="142"/>
      <c r="F9" s="143"/>
      <c r="G9" s="143"/>
      <c r="H9" s="143"/>
      <c r="I9" s="143"/>
      <c r="J9" s="143"/>
      <c r="K9" s="141"/>
      <c r="L9" s="143"/>
      <c r="M9" s="144" t="s">
        <v>212</v>
      </c>
      <c r="N9" s="145"/>
    </row>
    <row r="10" spans="1:14">
      <c r="A10" s="141">
        <v>65</v>
      </c>
      <c r="B10" s="141"/>
      <c r="C10" s="141"/>
      <c r="D10" s="141"/>
      <c r="E10" s="141"/>
      <c r="F10" s="143"/>
      <c r="G10" s="143"/>
      <c r="H10" s="143"/>
      <c r="I10" s="143"/>
      <c r="J10" s="143"/>
      <c r="K10" s="141"/>
      <c r="L10" s="143"/>
      <c r="M10" s="144" t="s">
        <v>212</v>
      </c>
      <c r="N10" s="145"/>
    </row>
    <row r="11" spans="1:14">
      <c r="A11" s="141">
        <v>65</v>
      </c>
      <c r="B11" s="141"/>
      <c r="C11" s="141"/>
      <c r="D11" s="141"/>
      <c r="E11" s="141"/>
      <c r="F11" s="143"/>
      <c r="G11" s="143"/>
      <c r="H11" s="143"/>
      <c r="I11" s="143"/>
      <c r="J11" s="143"/>
      <c r="K11" s="141"/>
      <c r="L11" s="143"/>
      <c r="M11" s="144"/>
      <c r="N11" s="145"/>
    </row>
    <row r="12" spans="1:14">
      <c r="A12" s="141">
        <v>80</v>
      </c>
      <c r="B12" s="141" t="s">
        <v>213</v>
      </c>
      <c r="C12" s="142" t="s">
        <v>194</v>
      </c>
      <c r="D12" s="142"/>
      <c r="E12" s="142" t="s">
        <v>194</v>
      </c>
      <c r="F12" s="143">
        <v>48</v>
      </c>
      <c r="G12" s="143">
        <v>190</v>
      </c>
      <c r="H12" s="143"/>
      <c r="I12" s="143">
        <v>3</v>
      </c>
      <c r="J12" s="143">
        <v>12</v>
      </c>
      <c r="K12" s="141" t="s">
        <v>214</v>
      </c>
      <c r="L12" s="143"/>
      <c r="M12" s="144" t="s">
        <v>215</v>
      </c>
      <c r="N12" s="145" t="s">
        <v>216</v>
      </c>
    </row>
    <row r="13" spans="1:14">
      <c r="A13" s="163">
        <v>80</v>
      </c>
      <c r="B13" s="141" t="s">
        <v>217</v>
      </c>
      <c r="C13" s="142" t="s">
        <v>194</v>
      </c>
      <c r="D13" s="142"/>
      <c r="E13" s="142" t="s">
        <v>194</v>
      </c>
      <c r="F13" s="143">
        <v>114</v>
      </c>
      <c r="G13" s="143">
        <v>190</v>
      </c>
      <c r="H13" s="143">
        <v>24.3</v>
      </c>
      <c r="I13" s="143">
        <v>3</v>
      </c>
      <c r="J13" s="143">
        <v>16</v>
      </c>
      <c r="K13" s="141" t="s">
        <v>218</v>
      </c>
      <c r="L13" s="143"/>
      <c r="M13" s="144" t="s">
        <v>219</v>
      </c>
      <c r="N13" s="145" t="s">
        <v>220</v>
      </c>
    </row>
    <row r="14" spans="1:14">
      <c r="A14" s="141">
        <v>80</v>
      </c>
      <c r="B14" s="141"/>
      <c r="C14" s="141"/>
      <c r="D14" s="141"/>
      <c r="E14" s="141"/>
      <c r="F14" s="143"/>
      <c r="G14" s="143"/>
      <c r="H14" s="143"/>
      <c r="I14" s="143"/>
      <c r="J14" s="143"/>
      <c r="K14" s="141"/>
      <c r="L14" s="143"/>
      <c r="M14" s="144"/>
      <c r="N14" s="145"/>
    </row>
    <row r="15" spans="1:14">
      <c r="A15" s="163">
        <v>100</v>
      </c>
      <c r="B15" s="141" t="s">
        <v>217</v>
      </c>
      <c r="C15" s="142" t="s">
        <v>194</v>
      </c>
      <c r="D15" s="142"/>
      <c r="E15" s="142" t="s">
        <v>194</v>
      </c>
      <c r="F15" s="143">
        <v>127</v>
      </c>
      <c r="G15" s="143">
        <v>230</v>
      </c>
      <c r="H15" s="143">
        <v>24.3</v>
      </c>
      <c r="I15" s="143">
        <v>3</v>
      </c>
      <c r="J15" s="143">
        <v>26</v>
      </c>
      <c r="K15" s="141" t="s">
        <v>218</v>
      </c>
      <c r="L15" s="143"/>
      <c r="M15" s="144" t="s">
        <v>221</v>
      </c>
      <c r="N15" s="145" t="s">
        <v>220</v>
      </c>
    </row>
    <row r="16" spans="1:14">
      <c r="A16" s="141">
        <v>100</v>
      </c>
      <c r="B16" s="141"/>
      <c r="C16" s="141"/>
      <c r="D16" s="141"/>
      <c r="E16" s="141"/>
      <c r="F16" s="143"/>
      <c r="G16" s="143"/>
      <c r="H16" s="143"/>
      <c r="I16" s="143"/>
      <c r="J16" s="143"/>
      <c r="K16" s="141"/>
      <c r="L16" s="143"/>
      <c r="M16" s="144"/>
      <c r="N16" s="145"/>
    </row>
    <row r="17" spans="1:14">
      <c r="A17" s="163">
        <v>125</v>
      </c>
      <c r="B17" s="141" t="s">
        <v>222</v>
      </c>
      <c r="C17" s="142" t="s">
        <v>194</v>
      </c>
      <c r="D17" s="142"/>
      <c r="E17" s="142" t="s">
        <v>194</v>
      </c>
      <c r="F17" s="143">
        <v>127</v>
      </c>
      <c r="G17" s="143">
        <v>270</v>
      </c>
      <c r="H17" s="143">
        <v>22</v>
      </c>
      <c r="I17" s="143">
        <v>5</v>
      </c>
      <c r="J17" s="143">
        <v>29</v>
      </c>
      <c r="K17" s="141" t="s">
        <v>223</v>
      </c>
      <c r="L17" s="143"/>
      <c r="M17" s="144" t="s">
        <v>224</v>
      </c>
      <c r="N17" s="145" t="s">
        <v>225</v>
      </c>
    </row>
    <row r="18" spans="1:14">
      <c r="A18" s="141">
        <v>125</v>
      </c>
      <c r="B18" s="141"/>
      <c r="C18" s="142"/>
      <c r="D18" s="142"/>
      <c r="E18" s="142"/>
      <c r="F18" s="143"/>
      <c r="G18" s="143"/>
      <c r="H18" s="143"/>
      <c r="I18" s="143"/>
      <c r="J18" s="143"/>
      <c r="K18" s="141"/>
      <c r="L18" s="143"/>
      <c r="M18" s="144" t="s">
        <v>226</v>
      </c>
      <c r="N18" s="145"/>
    </row>
    <row r="19" spans="1:14">
      <c r="A19" s="141">
        <v>125</v>
      </c>
      <c r="B19" s="141"/>
      <c r="C19" s="141"/>
      <c r="D19" s="141"/>
      <c r="E19" s="141"/>
      <c r="F19" s="143"/>
      <c r="G19" s="143"/>
      <c r="H19" s="143"/>
      <c r="I19" s="143"/>
      <c r="J19" s="143"/>
      <c r="K19" s="141"/>
      <c r="L19" s="143"/>
      <c r="M19" s="144" t="s">
        <v>226</v>
      </c>
      <c r="N19" s="145"/>
    </row>
    <row r="20" spans="1:14">
      <c r="A20" s="141">
        <v>125</v>
      </c>
      <c r="B20" s="141"/>
      <c r="C20" s="141"/>
      <c r="D20" s="141"/>
      <c r="E20" s="141"/>
      <c r="F20" s="143"/>
      <c r="G20" s="143"/>
      <c r="H20" s="143"/>
      <c r="I20" s="143"/>
      <c r="J20" s="143"/>
      <c r="K20" s="141"/>
      <c r="L20" s="143"/>
      <c r="M20" s="144"/>
      <c r="N20" s="145"/>
    </row>
    <row r="21" spans="1:14">
      <c r="A21" s="163">
        <v>150</v>
      </c>
      <c r="B21" s="146" t="s">
        <v>217</v>
      </c>
      <c r="C21" s="147" t="s">
        <v>194</v>
      </c>
      <c r="D21" s="147"/>
      <c r="E21" s="147" t="s">
        <v>194</v>
      </c>
      <c r="F21" s="148">
        <v>140</v>
      </c>
      <c r="G21" s="148">
        <v>280</v>
      </c>
      <c r="H21" s="148">
        <v>25.4</v>
      </c>
      <c r="I21" s="148">
        <v>4</v>
      </c>
      <c r="J21" s="148">
        <v>32</v>
      </c>
      <c r="K21" s="146" t="s">
        <v>218</v>
      </c>
      <c r="L21" s="148"/>
      <c r="M21" s="149" t="s">
        <v>227</v>
      </c>
      <c r="N21" s="150" t="s">
        <v>220</v>
      </c>
    </row>
    <row r="22" spans="1:14">
      <c r="A22" s="146">
        <v>150</v>
      </c>
      <c r="B22" s="146" t="s">
        <v>222</v>
      </c>
      <c r="C22" s="147" t="s">
        <v>194</v>
      </c>
      <c r="D22" s="147"/>
      <c r="E22" s="147" t="s">
        <v>194</v>
      </c>
      <c r="F22" s="148">
        <v>140</v>
      </c>
      <c r="G22" s="148">
        <v>305</v>
      </c>
      <c r="H22" s="148">
        <v>24</v>
      </c>
      <c r="I22" s="148">
        <v>4</v>
      </c>
      <c r="J22" s="148">
        <v>39</v>
      </c>
      <c r="K22" s="146" t="s">
        <v>223</v>
      </c>
      <c r="L22" s="148"/>
      <c r="M22" s="149" t="s">
        <v>228</v>
      </c>
      <c r="N22" s="150" t="s">
        <v>216</v>
      </c>
    </row>
    <row r="23" spans="1:14" ht="24">
      <c r="A23" s="146">
        <v>150</v>
      </c>
      <c r="B23" s="146" t="s">
        <v>217</v>
      </c>
      <c r="C23" s="147" t="s">
        <v>194</v>
      </c>
      <c r="D23" s="147"/>
      <c r="E23" s="147" t="s">
        <v>194</v>
      </c>
      <c r="F23" s="148">
        <v>127</v>
      </c>
      <c r="G23" s="148">
        <v>279</v>
      </c>
      <c r="H23" s="148">
        <v>25</v>
      </c>
      <c r="I23" s="148">
        <v>4</v>
      </c>
      <c r="J23" s="148">
        <v>31.2</v>
      </c>
      <c r="K23" s="146" t="s">
        <v>229</v>
      </c>
      <c r="L23" s="148"/>
      <c r="M23" s="149" t="s">
        <v>227</v>
      </c>
      <c r="N23" s="150" t="s">
        <v>230</v>
      </c>
    </row>
    <row r="24" spans="1:14">
      <c r="A24" s="146">
        <v>150</v>
      </c>
      <c r="B24" s="146" t="s">
        <v>231</v>
      </c>
      <c r="C24" s="147" t="s">
        <v>194</v>
      </c>
      <c r="D24" s="147"/>
      <c r="E24" s="147" t="s">
        <v>194</v>
      </c>
      <c r="F24" s="148">
        <v>140</v>
      </c>
      <c r="G24" s="148">
        <v>320</v>
      </c>
      <c r="H24" s="148">
        <v>37</v>
      </c>
      <c r="I24" s="148">
        <v>4</v>
      </c>
      <c r="J24" s="148">
        <v>58</v>
      </c>
      <c r="K24" s="146" t="s">
        <v>232</v>
      </c>
      <c r="L24" s="148"/>
      <c r="M24" s="149" t="s">
        <v>227</v>
      </c>
      <c r="N24" s="150" t="s">
        <v>233</v>
      </c>
    </row>
    <row r="25" spans="1:14">
      <c r="A25" s="146">
        <v>200</v>
      </c>
      <c r="B25" s="146" t="s">
        <v>222</v>
      </c>
      <c r="C25" s="147" t="s">
        <v>194</v>
      </c>
      <c r="D25" s="147"/>
      <c r="E25" s="147" t="s">
        <v>194</v>
      </c>
      <c r="F25" s="148">
        <v>152</v>
      </c>
      <c r="G25" s="148">
        <v>350</v>
      </c>
      <c r="H25" s="148">
        <v>26</v>
      </c>
      <c r="I25" s="148">
        <v>4</v>
      </c>
      <c r="J25" s="148">
        <v>53</v>
      </c>
      <c r="K25" s="146" t="s">
        <v>234</v>
      </c>
      <c r="L25" s="148"/>
      <c r="M25" s="149" t="s">
        <v>235</v>
      </c>
      <c r="N25" s="150" t="s">
        <v>236</v>
      </c>
    </row>
    <row r="26" spans="1:14">
      <c r="A26" s="146">
        <v>200</v>
      </c>
      <c r="B26" s="146" t="s">
        <v>231</v>
      </c>
      <c r="C26" s="147" t="s">
        <v>194</v>
      </c>
      <c r="D26" s="147"/>
      <c r="E26" s="147" t="s">
        <v>194</v>
      </c>
      <c r="F26" s="148">
        <v>152</v>
      </c>
      <c r="G26" s="148">
        <v>380</v>
      </c>
      <c r="H26" s="148">
        <v>42</v>
      </c>
      <c r="I26" s="148">
        <v>5</v>
      </c>
      <c r="J26" s="148">
        <v>90</v>
      </c>
      <c r="K26" s="146" t="s">
        <v>237</v>
      </c>
      <c r="L26" s="148"/>
      <c r="M26" s="149" t="s">
        <v>238</v>
      </c>
      <c r="N26" s="150" t="s">
        <v>239</v>
      </c>
    </row>
    <row r="27" spans="1:14">
      <c r="A27" s="163">
        <v>200</v>
      </c>
      <c r="B27" s="146" t="s">
        <v>217</v>
      </c>
      <c r="C27" s="147" t="s">
        <v>194</v>
      </c>
      <c r="D27" s="147"/>
      <c r="E27" s="147" t="s">
        <v>194</v>
      </c>
      <c r="F27" s="148">
        <v>152</v>
      </c>
      <c r="G27" s="148">
        <v>343</v>
      </c>
      <c r="H27" s="148">
        <v>29</v>
      </c>
      <c r="I27" s="148">
        <v>4</v>
      </c>
      <c r="J27" s="148">
        <v>52</v>
      </c>
      <c r="K27" s="146" t="s">
        <v>240</v>
      </c>
      <c r="L27" s="148"/>
      <c r="M27" s="149" t="s">
        <v>241</v>
      </c>
      <c r="N27" s="150" t="s">
        <v>242</v>
      </c>
    </row>
    <row r="28" spans="1:14">
      <c r="A28" s="163">
        <v>250</v>
      </c>
      <c r="B28" s="141" t="s">
        <v>217</v>
      </c>
      <c r="C28" s="142" t="s">
        <v>194</v>
      </c>
      <c r="D28" s="142"/>
      <c r="E28" s="142" t="s">
        <v>194</v>
      </c>
      <c r="F28" s="143">
        <v>165</v>
      </c>
      <c r="G28" s="143">
        <v>406</v>
      </c>
      <c r="H28" s="143">
        <v>30</v>
      </c>
      <c r="I28" s="143">
        <v>6</v>
      </c>
      <c r="J28" s="143">
        <v>70</v>
      </c>
      <c r="K28" s="141" t="s">
        <v>243</v>
      </c>
      <c r="L28" s="143"/>
      <c r="M28" s="144" t="s">
        <v>244</v>
      </c>
      <c r="N28" s="145" t="s">
        <v>220</v>
      </c>
    </row>
    <row r="29" spans="1:14">
      <c r="A29" s="141">
        <v>250</v>
      </c>
      <c r="B29" s="141" t="s">
        <v>231</v>
      </c>
      <c r="C29" s="142" t="s">
        <v>194</v>
      </c>
      <c r="D29" s="142"/>
      <c r="E29" s="142" t="s">
        <v>194</v>
      </c>
      <c r="F29" s="143">
        <v>250</v>
      </c>
      <c r="G29" s="143">
        <v>445</v>
      </c>
      <c r="H29" s="143">
        <v>48</v>
      </c>
      <c r="I29" s="143">
        <v>3</v>
      </c>
      <c r="J29" s="143">
        <v>118</v>
      </c>
      <c r="K29" s="141" t="s">
        <v>243</v>
      </c>
      <c r="L29" s="143"/>
      <c r="M29" s="144" t="s">
        <v>245</v>
      </c>
      <c r="N29" s="145" t="s">
        <v>220</v>
      </c>
    </row>
    <row r="30" spans="1:14">
      <c r="A30" s="141">
        <v>250</v>
      </c>
      <c r="B30" s="141"/>
      <c r="C30" s="141"/>
      <c r="D30" s="141"/>
      <c r="E30" s="141"/>
      <c r="F30" s="143"/>
      <c r="G30" s="143"/>
      <c r="H30" s="143"/>
      <c r="I30" s="143"/>
      <c r="J30" s="143"/>
      <c r="K30" s="141"/>
      <c r="L30" s="143"/>
      <c r="M30" s="144"/>
      <c r="N30" s="145"/>
    </row>
    <row r="31" spans="1:14">
      <c r="A31" s="163">
        <v>300</v>
      </c>
      <c r="B31" s="146" t="s">
        <v>217</v>
      </c>
      <c r="C31" s="147" t="s">
        <v>194</v>
      </c>
      <c r="D31" s="147"/>
      <c r="E31" s="147" t="s">
        <v>194</v>
      </c>
      <c r="F31" s="148">
        <v>178</v>
      </c>
      <c r="G31" s="148">
        <v>485</v>
      </c>
      <c r="H31" s="148">
        <v>32.200000000000003</v>
      </c>
      <c r="I31" s="148">
        <v>6</v>
      </c>
      <c r="J31" s="148">
        <v>106</v>
      </c>
      <c r="K31" s="146" t="s">
        <v>246</v>
      </c>
      <c r="L31" s="148"/>
      <c r="M31" s="149" t="s">
        <v>247</v>
      </c>
      <c r="N31" s="150" t="s">
        <v>220</v>
      </c>
    </row>
    <row r="32" spans="1:14">
      <c r="A32" s="146">
        <v>300</v>
      </c>
      <c r="B32" s="146" t="s">
        <v>231</v>
      </c>
      <c r="C32" s="147" t="s">
        <v>194</v>
      </c>
      <c r="D32" s="147"/>
      <c r="E32" s="147" t="s">
        <v>194</v>
      </c>
      <c r="F32" s="148">
        <v>178</v>
      </c>
      <c r="G32" s="148">
        <v>520</v>
      </c>
      <c r="H32" s="148">
        <v>51.5</v>
      </c>
      <c r="I32" s="148">
        <v>6</v>
      </c>
      <c r="J32" s="148">
        <v>172</v>
      </c>
      <c r="K32" s="146" t="s">
        <v>248</v>
      </c>
      <c r="L32" s="148"/>
      <c r="M32" s="149" t="s">
        <v>249</v>
      </c>
      <c r="N32" s="150" t="s">
        <v>250</v>
      </c>
    </row>
    <row r="33" spans="1:14">
      <c r="A33" s="146">
        <v>350</v>
      </c>
      <c r="B33" s="146" t="s">
        <v>231</v>
      </c>
      <c r="C33" s="147" t="s">
        <v>194</v>
      </c>
      <c r="D33" s="147"/>
      <c r="E33" s="147" t="s">
        <v>194</v>
      </c>
      <c r="F33" s="148">
        <v>190</v>
      </c>
      <c r="G33" s="148">
        <v>585</v>
      </c>
      <c r="H33" s="148">
        <v>54.4</v>
      </c>
      <c r="I33" s="148">
        <v>6</v>
      </c>
      <c r="J33" s="148">
        <v>226</v>
      </c>
      <c r="K33" s="146" t="s">
        <v>251</v>
      </c>
      <c r="L33" s="148"/>
      <c r="M33" s="149" t="s">
        <v>252</v>
      </c>
      <c r="N33" s="150" t="s">
        <v>253</v>
      </c>
    </row>
    <row r="34" spans="1:14">
      <c r="A34" s="146">
        <v>350</v>
      </c>
      <c r="B34" s="146" t="s">
        <v>254</v>
      </c>
      <c r="C34" s="147" t="s">
        <v>194</v>
      </c>
      <c r="D34" s="147"/>
      <c r="E34" s="147" t="s">
        <v>194</v>
      </c>
      <c r="F34" s="148">
        <v>190</v>
      </c>
      <c r="G34" s="148">
        <v>480</v>
      </c>
      <c r="H34" s="148">
        <v>24</v>
      </c>
      <c r="I34" s="148">
        <v>7</v>
      </c>
      <c r="J34" s="148">
        <v>99</v>
      </c>
      <c r="K34" s="146"/>
      <c r="L34" s="148"/>
      <c r="M34" s="149" t="s">
        <v>255</v>
      </c>
      <c r="N34" s="150" t="s">
        <v>256</v>
      </c>
    </row>
    <row r="35" spans="1:14">
      <c r="A35" s="163">
        <v>350</v>
      </c>
      <c r="B35" s="146" t="s">
        <v>208</v>
      </c>
      <c r="C35" s="147" t="s">
        <v>194</v>
      </c>
      <c r="D35" s="146"/>
      <c r="E35" s="147" t="s">
        <v>194</v>
      </c>
      <c r="F35" s="148">
        <v>190</v>
      </c>
      <c r="G35" s="148">
        <v>533</v>
      </c>
      <c r="H35" s="148">
        <v>35</v>
      </c>
      <c r="I35" s="148">
        <v>6</v>
      </c>
      <c r="J35" s="148">
        <v>130</v>
      </c>
      <c r="K35" s="146"/>
      <c r="L35" s="148"/>
      <c r="M35" s="149" t="s">
        <v>257</v>
      </c>
      <c r="N35" s="150"/>
    </row>
    <row r="36" spans="1:14">
      <c r="A36" s="146">
        <v>350</v>
      </c>
      <c r="B36" s="146"/>
      <c r="C36" s="146"/>
      <c r="D36" s="146"/>
      <c r="E36" s="146"/>
      <c r="F36" s="148"/>
      <c r="G36" s="148"/>
      <c r="H36" s="148"/>
      <c r="I36" s="148"/>
      <c r="J36" s="148"/>
      <c r="K36" s="146"/>
      <c r="L36" s="148"/>
      <c r="M36" s="149"/>
      <c r="N36" s="150"/>
    </row>
    <row r="37" spans="1:14">
      <c r="A37" s="163">
        <v>400</v>
      </c>
      <c r="B37" s="141" t="s">
        <v>217</v>
      </c>
      <c r="C37" s="142" t="s">
        <v>194</v>
      </c>
      <c r="D37" s="142"/>
      <c r="E37" s="142" t="s">
        <v>194</v>
      </c>
      <c r="F37" s="143">
        <v>216</v>
      </c>
      <c r="G37" s="143">
        <v>595</v>
      </c>
      <c r="H37" s="143">
        <v>37</v>
      </c>
      <c r="I37" s="143">
        <v>7</v>
      </c>
      <c r="J37" s="143">
        <v>192</v>
      </c>
      <c r="K37" s="141" t="s">
        <v>218</v>
      </c>
      <c r="L37" s="143"/>
      <c r="M37" s="144" t="s">
        <v>258</v>
      </c>
      <c r="N37" s="145" t="s">
        <v>259</v>
      </c>
    </row>
    <row r="38" spans="1:14">
      <c r="A38" s="141">
        <v>400</v>
      </c>
      <c r="B38" s="141" t="s">
        <v>231</v>
      </c>
      <c r="C38" s="142" t="s">
        <v>194</v>
      </c>
      <c r="D38" s="142"/>
      <c r="E38" s="142" t="s">
        <v>194</v>
      </c>
      <c r="F38" s="143">
        <v>216</v>
      </c>
      <c r="G38" s="143">
        <v>650</v>
      </c>
      <c r="H38" s="143">
        <v>57.6</v>
      </c>
      <c r="I38" s="143">
        <v>7</v>
      </c>
      <c r="J38" s="143">
        <v>306</v>
      </c>
      <c r="K38" s="141" t="s">
        <v>251</v>
      </c>
      <c r="L38" s="143"/>
      <c r="M38" s="144" t="s">
        <v>260</v>
      </c>
      <c r="N38" s="145" t="s">
        <v>253</v>
      </c>
    </row>
    <row r="39" spans="1:14">
      <c r="A39" s="141">
        <v>400</v>
      </c>
      <c r="B39" s="141"/>
      <c r="C39" s="141"/>
      <c r="D39" s="141"/>
      <c r="E39" s="141"/>
      <c r="F39" s="143"/>
      <c r="G39" s="143"/>
      <c r="H39" s="143"/>
      <c r="I39" s="143"/>
      <c r="J39" s="143"/>
      <c r="K39" s="141"/>
      <c r="L39" s="143"/>
      <c r="M39" s="144" t="s">
        <v>258</v>
      </c>
      <c r="N39" s="145"/>
    </row>
    <row r="40" spans="1:14">
      <c r="A40" s="141">
        <v>400</v>
      </c>
      <c r="B40" s="141"/>
      <c r="C40" s="141"/>
      <c r="D40" s="141"/>
      <c r="E40" s="141"/>
      <c r="F40" s="143"/>
      <c r="G40" s="143"/>
      <c r="H40" s="143"/>
      <c r="I40" s="143"/>
      <c r="J40" s="143"/>
      <c r="K40" s="141"/>
      <c r="L40" s="143"/>
      <c r="M40" s="144"/>
      <c r="N40" s="145"/>
    </row>
    <row r="41" spans="1:14">
      <c r="A41" s="163">
        <v>450</v>
      </c>
      <c r="B41" s="141" t="s">
        <v>217</v>
      </c>
      <c r="C41" s="142" t="s">
        <v>194</v>
      </c>
      <c r="D41" s="142"/>
      <c r="E41" s="142" t="s">
        <v>194</v>
      </c>
      <c r="F41" s="143">
        <v>222</v>
      </c>
      <c r="G41" s="143">
        <v>635</v>
      </c>
      <c r="H41" s="143">
        <v>40</v>
      </c>
      <c r="I41" s="143">
        <v>5</v>
      </c>
      <c r="J41" s="143">
        <v>192</v>
      </c>
      <c r="K41" s="141" t="s">
        <v>261</v>
      </c>
      <c r="L41" s="143"/>
      <c r="M41" s="144" t="s">
        <v>262</v>
      </c>
      <c r="N41" s="145" t="s">
        <v>263</v>
      </c>
    </row>
    <row r="42" spans="1:14" ht="24">
      <c r="A42" s="141">
        <v>450</v>
      </c>
      <c r="B42" s="141" t="s">
        <v>217</v>
      </c>
      <c r="C42" s="142" t="s">
        <v>194</v>
      </c>
      <c r="D42" s="142"/>
      <c r="E42" s="142" t="s">
        <v>194</v>
      </c>
      <c r="F42" s="143">
        <v>203</v>
      </c>
      <c r="G42" s="143">
        <v>635</v>
      </c>
      <c r="H42" s="143">
        <v>40</v>
      </c>
      <c r="I42" s="143">
        <v>5</v>
      </c>
      <c r="J42" s="143">
        <v>182</v>
      </c>
      <c r="K42" s="141" t="s">
        <v>264</v>
      </c>
      <c r="L42" s="143"/>
      <c r="M42" s="144" t="s">
        <v>262</v>
      </c>
      <c r="N42" s="145" t="s">
        <v>265</v>
      </c>
    </row>
    <row r="43" spans="1:14">
      <c r="A43" s="141">
        <v>450</v>
      </c>
      <c r="B43" s="141" t="s">
        <v>231</v>
      </c>
      <c r="C43" s="142" t="s">
        <v>194</v>
      </c>
      <c r="D43" s="142"/>
      <c r="E43" s="142" t="s">
        <v>194</v>
      </c>
      <c r="F43" s="143">
        <v>222</v>
      </c>
      <c r="G43" s="143">
        <v>710</v>
      </c>
      <c r="H43" s="143">
        <v>61</v>
      </c>
      <c r="I43" s="143">
        <v>5</v>
      </c>
      <c r="J43" s="143">
        <v>370</v>
      </c>
      <c r="K43" s="141" t="s">
        <v>266</v>
      </c>
      <c r="L43" s="143"/>
      <c r="M43" s="144" t="s">
        <v>267</v>
      </c>
      <c r="N43" s="145" t="s">
        <v>253</v>
      </c>
    </row>
    <row r="44" spans="1:14">
      <c r="A44" s="141">
        <v>450</v>
      </c>
      <c r="B44" s="141"/>
      <c r="C44" s="141"/>
      <c r="D44" s="141"/>
      <c r="E44" s="141"/>
      <c r="F44" s="143"/>
      <c r="G44" s="143"/>
      <c r="H44" s="143"/>
      <c r="I44" s="143"/>
      <c r="J44" s="143"/>
      <c r="K44" s="141"/>
      <c r="L44" s="143"/>
      <c r="M44" s="141"/>
      <c r="N44" s="145"/>
    </row>
    <row r="45" spans="1:14">
      <c r="A45" s="163">
        <v>500</v>
      </c>
      <c r="B45" s="141" t="s">
        <v>217</v>
      </c>
      <c r="C45" s="142" t="s">
        <v>194</v>
      </c>
      <c r="D45" s="142"/>
      <c r="E45" s="142" t="s">
        <v>194</v>
      </c>
      <c r="F45" s="143">
        <v>229</v>
      </c>
      <c r="G45" s="143">
        <v>700</v>
      </c>
      <c r="H45" s="143">
        <v>43.3</v>
      </c>
      <c r="I45" s="143">
        <v>5</v>
      </c>
      <c r="J45" s="143"/>
      <c r="K45" s="141" t="s">
        <v>261</v>
      </c>
      <c r="L45" s="143"/>
      <c r="M45" s="144" t="s">
        <v>268</v>
      </c>
      <c r="N45" s="145" t="s">
        <v>269</v>
      </c>
    </row>
    <row r="46" spans="1:14">
      <c r="A46" s="141">
        <v>500</v>
      </c>
      <c r="B46" s="141" t="s">
        <v>231</v>
      </c>
      <c r="C46" s="142" t="s">
        <v>194</v>
      </c>
      <c r="D46" s="142"/>
      <c r="E46" s="142" t="s">
        <v>194</v>
      </c>
      <c r="F46" s="143">
        <v>229</v>
      </c>
      <c r="G46" s="143">
        <v>775</v>
      </c>
      <c r="H46" s="143">
        <v>66</v>
      </c>
      <c r="I46" s="143">
        <v>7</v>
      </c>
      <c r="J46" s="143"/>
      <c r="K46" s="141" t="s">
        <v>270</v>
      </c>
      <c r="L46" s="143"/>
      <c r="M46" s="144" t="s">
        <v>268</v>
      </c>
      <c r="N46" s="145" t="s">
        <v>271</v>
      </c>
    </row>
    <row r="47" spans="1:14">
      <c r="A47" s="141">
        <v>550</v>
      </c>
      <c r="B47" s="141"/>
      <c r="C47" s="142"/>
      <c r="D47" s="141"/>
      <c r="E47" s="151"/>
      <c r="F47" s="143"/>
      <c r="G47" s="143"/>
      <c r="H47" s="143"/>
      <c r="I47" s="143"/>
      <c r="J47" s="143"/>
      <c r="K47" s="141"/>
      <c r="L47" s="143"/>
      <c r="M47" s="144" t="s">
        <v>272</v>
      </c>
      <c r="N47" s="145"/>
    </row>
    <row r="48" spans="1:14">
      <c r="A48" s="141">
        <v>550</v>
      </c>
      <c r="B48" s="141"/>
      <c r="C48" s="141"/>
      <c r="D48" s="141"/>
      <c r="E48" s="141"/>
      <c r="F48" s="143"/>
      <c r="G48" s="143"/>
      <c r="H48" s="143"/>
      <c r="I48" s="143"/>
      <c r="J48" s="143"/>
      <c r="K48" s="141"/>
      <c r="L48" s="143"/>
      <c r="M48" s="144" t="s">
        <v>272</v>
      </c>
      <c r="N48" s="145"/>
    </row>
    <row r="49" spans="1:14">
      <c r="A49" s="141">
        <v>550</v>
      </c>
      <c r="B49" s="141"/>
      <c r="C49" s="141"/>
      <c r="D49" s="141"/>
      <c r="E49" s="141"/>
      <c r="F49" s="143"/>
      <c r="G49" s="143"/>
      <c r="H49" s="143"/>
      <c r="I49" s="143"/>
      <c r="J49" s="143"/>
      <c r="K49" s="141"/>
      <c r="L49" s="143"/>
      <c r="M49" s="144" t="s">
        <v>272</v>
      </c>
      <c r="N49" s="145"/>
    </row>
    <row r="50" spans="1:14">
      <c r="A50" s="163">
        <v>550</v>
      </c>
      <c r="B50" s="141"/>
      <c r="C50" s="141"/>
      <c r="D50" s="141"/>
      <c r="E50" s="141"/>
      <c r="F50" s="143"/>
      <c r="G50" s="143"/>
      <c r="H50" s="143"/>
      <c r="I50" s="143"/>
      <c r="J50" s="143"/>
      <c r="K50" s="141"/>
      <c r="L50" s="143"/>
      <c r="M50" s="141"/>
      <c r="N50" s="145"/>
    </row>
    <row r="51" spans="1:14">
      <c r="A51" s="141">
        <v>600</v>
      </c>
      <c r="B51" s="141" t="s">
        <v>231</v>
      </c>
      <c r="C51" s="142" t="s">
        <v>194</v>
      </c>
      <c r="D51" s="142"/>
      <c r="E51" s="142" t="s">
        <v>194</v>
      </c>
      <c r="F51" s="143">
        <v>267</v>
      </c>
      <c r="G51" s="143">
        <v>915</v>
      </c>
      <c r="H51" s="143">
        <v>70</v>
      </c>
      <c r="I51" s="143">
        <v>5</v>
      </c>
      <c r="J51" s="143">
        <v>676</v>
      </c>
      <c r="K51" s="141" t="s">
        <v>266</v>
      </c>
      <c r="L51" s="143"/>
      <c r="M51" s="144" t="s">
        <v>273</v>
      </c>
      <c r="N51" s="145" t="s">
        <v>253</v>
      </c>
    </row>
    <row r="52" spans="1:14" ht="24">
      <c r="A52" s="163">
        <v>600</v>
      </c>
      <c r="B52" s="141" t="s">
        <v>217</v>
      </c>
      <c r="C52" s="142" t="s">
        <v>194</v>
      </c>
      <c r="D52" s="142"/>
      <c r="E52" s="142" t="s">
        <v>194</v>
      </c>
      <c r="F52" s="143">
        <v>267</v>
      </c>
      <c r="G52" s="143">
        <v>815</v>
      </c>
      <c r="H52" s="143">
        <v>48</v>
      </c>
      <c r="I52" s="143">
        <v>5</v>
      </c>
      <c r="J52" s="143">
        <v>398</v>
      </c>
      <c r="K52" s="141" t="s">
        <v>274</v>
      </c>
      <c r="L52" s="143"/>
      <c r="M52" s="144" t="s">
        <v>275</v>
      </c>
      <c r="N52" s="145" t="s">
        <v>276</v>
      </c>
    </row>
    <row r="53" spans="1:14">
      <c r="A53" s="141">
        <v>600</v>
      </c>
      <c r="B53" s="141" t="s">
        <v>217</v>
      </c>
      <c r="C53" s="142" t="s">
        <v>194</v>
      </c>
      <c r="D53" s="142"/>
      <c r="E53" s="142" t="s">
        <v>194</v>
      </c>
      <c r="F53" s="143">
        <v>390</v>
      </c>
      <c r="G53" s="143">
        <v>815</v>
      </c>
      <c r="H53" s="143">
        <v>48</v>
      </c>
      <c r="I53" s="143">
        <v>5</v>
      </c>
      <c r="J53" s="143">
        <v>506</v>
      </c>
      <c r="K53" s="141" t="s">
        <v>277</v>
      </c>
      <c r="L53" s="143"/>
      <c r="M53" s="144" t="s">
        <v>275</v>
      </c>
      <c r="N53" s="145" t="s">
        <v>278</v>
      </c>
    </row>
    <row r="54" spans="1:14">
      <c r="A54" s="141">
        <v>650</v>
      </c>
      <c r="B54" s="141"/>
      <c r="C54" s="141"/>
      <c r="D54" s="141"/>
      <c r="E54" s="141"/>
      <c r="F54" s="143"/>
      <c r="G54" s="143"/>
      <c r="H54" s="143"/>
      <c r="I54" s="143"/>
      <c r="J54" s="143"/>
      <c r="K54" s="141"/>
      <c r="L54" s="143"/>
      <c r="M54" s="144" t="s">
        <v>279</v>
      </c>
      <c r="N54" s="145"/>
    </row>
    <row r="55" spans="1:14">
      <c r="A55" s="141">
        <v>650</v>
      </c>
      <c r="B55" s="141"/>
      <c r="C55" s="141"/>
      <c r="D55" s="141"/>
      <c r="E55" s="141"/>
      <c r="F55" s="143"/>
      <c r="G55" s="143"/>
      <c r="H55" s="143"/>
      <c r="I55" s="143"/>
      <c r="J55" s="143"/>
      <c r="K55" s="141"/>
      <c r="L55" s="143"/>
      <c r="M55" s="144" t="s">
        <v>279</v>
      </c>
      <c r="N55" s="145"/>
    </row>
    <row r="56" spans="1:14">
      <c r="A56" s="141">
        <v>650</v>
      </c>
      <c r="B56" s="141"/>
      <c r="C56" s="141"/>
      <c r="D56" s="141"/>
      <c r="E56" s="141"/>
      <c r="F56" s="143"/>
      <c r="G56" s="143"/>
      <c r="H56" s="143"/>
      <c r="I56" s="143"/>
      <c r="J56" s="143"/>
      <c r="K56" s="141"/>
      <c r="L56" s="143"/>
      <c r="M56" s="144" t="s">
        <v>279</v>
      </c>
      <c r="N56" s="145"/>
    </row>
    <row r="57" spans="1:14">
      <c r="A57" s="163">
        <v>650</v>
      </c>
      <c r="B57" s="141"/>
      <c r="C57" s="141"/>
      <c r="D57" s="141"/>
      <c r="E57" s="141"/>
      <c r="F57" s="143"/>
      <c r="G57" s="143"/>
      <c r="H57" s="143"/>
      <c r="I57" s="143"/>
      <c r="J57" s="143"/>
      <c r="K57" s="141"/>
      <c r="L57" s="143"/>
      <c r="M57" s="141"/>
      <c r="N57" s="145"/>
    </row>
    <row r="58" spans="1:14">
      <c r="A58" s="163">
        <v>700</v>
      </c>
      <c r="B58" s="141" t="s">
        <v>217</v>
      </c>
      <c r="C58" s="142" t="s">
        <v>194</v>
      </c>
      <c r="D58" s="142"/>
      <c r="E58" s="142" t="s">
        <v>194</v>
      </c>
      <c r="F58" s="143">
        <v>292</v>
      </c>
      <c r="G58" s="143">
        <v>927</v>
      </c>
      <c r="H58" s="143">
        <v>72</v>
      </c>
      <c r="I58" s="143">
        <v>5</v>
      </c>
      <c r="J58" s="143">
        <v>542</v>
      </c>
      <c r="K58" s="141" t="s">
        <v>280</v>
      </c>
      <c r="L58" s="143"/>
      <c r="M58" s="144" t="s">
        <v>281</v>
      </c>
      <c r="N58" s="145" t="s">
        <v>282</v>
      </c>
    </row>
    <row r="59" spans="1:14">
      <c r="A59" s="141">
        <v>700</v>
      </c>
      <c r="B59" s="141"/>
      <c r="C59" s="141"/>
      <c r="D59" s="141"/>
      <c r="E59" s="141"/>
      <c r="F59" s="143"/>
      <c r="G59" s="143"/>
      <c r="H59" s="143"/>
      <c r="I59" s="143"/>
      <c r="J59" s="143"/>
      <c r="K59" s="141"/>
      <c r="L59" s="143"/>
      <c r="M59" s="144" t="s">
        <v>281</v>
      </c>
      <c r="N59" s="145"/>
    </row>
    <row r="60" spans="1:14">
      <c r="A60" s="141">
        <v>700</v>
      </c>
      <c r="B60" s="141"/>
      <c r="C60" s="141"/>
      <c r="D60" s="141"/>
      <c r="E60" s="141"/>
      <c r="F60" s="143"/>
      <c r="G60" s="143"/>
      <c r="H60" s="143"/>
      <c r="I60" s="143"/>
      <c r="J60" s="143"/>
      <c r="K60" s="141"/>
      <c r="L60" s="143"/>
      <c r="M60" s="141"/>
      <c r="N60" s="145"/>
    </row>
    <row r="61" spans="1:14">
      <c r="A61" s="141">
        <v>750</v>
      </c>
      <c r="B61" s="141"/>
      <c r="C61" s="142"/>
      <c r="D61" s="141"/>
      <c r="E61" s="151"/>
      <c r="F61" s="143"/>
      <c r="G61" s="143"/>
      <c r="H61" s="143"/>
      <c r="I61" s="143"/>
      <c r="J61" s="143"/>
      <c r="K61" s="152"/>
      <c r="L61" s="143"/>
      <c r="M61" s="144" t="s">
        <v>283</v>
      </c>
      <c r="N61" s="145"/>
    </row>
    <row r="62" spans="1:14">
      <c r="A62" s="141">
        <v>750</v>
      </c>
      <c r="B62" s="141"/>
      <c r="C62" s="142"/>
      <c r="D62" s="141"/>
      <c r="E62" s="142"/>
      <c r="F62" s="143"/>
      <c r="G62" s="143"/>
      <c r="H62" s="143"/>
      <c r="I62" s="143"/>
      <c r="J62" s="143"/>
      <c r="K62" s="141"/>
      <c r="L62" s="143"/>
      <c r="M62" s="144" t="s">
        <v>283</v>
      </c>
      <c r="N62" s="145"/>
    </row>
    <row r="63" spans="1:14">
      <c r="A63" s="141">
        <v>750</v>
      </c>
      <c r="B63" s="141"/>
      <c r="C63" s="141"/>
      <c r="D63" s="141"/>
      <c r="E63" s="141"/>
      <c r="F63" s="143"/>
      <c r="G63" s="143"/>
      <c r="H63" s="143"/>
      <c r="I63" s="143"/>
      <c r="J63" s="143"/>
      <c r="K63" s="141"/>
      <c r="L63" s="143"/>
      <c r="M63" s="144" t="s">
        <v>283</v>
      </c>
      <c r="N63" s="145"/>
    </row>
    <row r="64" spans="1:14">
      <c r="A64" s="163">
        <v>750</v>
      </c>
      <c r="B64" s="141"/>
      <c r="C64" s="141"/>
      <c r="D64" s="141"/>
      <c r="E64" s="141"/>
      <c r="F64" s="143"/>
      <c r="G64" s="143"/>
      <c r="H64" s="143"/>
      <c r="I64" s="143"/>
      <c r="J64" s="143"/>
      <c r="K64" s="141"/>
      <c r="L64" s="143"/>
      <c r="M64" s="141"/>
      <c r="N64" s="145"/>
    </row>
    <row r="65" spans="1:14">
      <c r="A65" s="163">
        <v>800</v>
      </c>
      <c r="B65" s="141" t="s">
        <v>217</v>
      </c>
      <c r="C65" s="142" t="s">
        <v>194</v>
      </c>
      <c r="D65" s="142"/>
      <c r="E65" s="142" t="s">
        <v>194</v>
      </c>
      <c r="F65" s="143">
        <v>318</v>
      </c>
      <c r="G65" s="143">
        <v>1060</v>
      </c>
      <c r="H65" s="143">
        <v>82</v>
      </c>
      <c r="I65" s="143">
        <v>5</v>
      </c>
      <c r="J65" s="143">
        <v>768</v>
      </c>
      <c r="K65" s="141" t="s">
        <v>284</v>
      </c>
      <c r="L65" s="143"/>
      <c r="M65" s="144" t="s">
        <v>285</v>
      </c>
      <c r="N65" s="145" t="s">
        <v>286</v>
      </c>
    </row>
    <row r="66" spans="1:14">
      <c r="A66" s="141">
        <v>800</v>
      </c>
      <c r="B66" s="141" t="s">
        <v>217</v>
      </c>
      <c r="C66" s="142" t="s">
        <v>194</v>
      </c>
      <c r="D66" s="142"/>
      <c r="E66" s="142" t="s">
        <v>194</v>
      </c>
      <c r="F66" s="143">
        <v>470</v>
      </c>
      <c r="G66" s="143">
        <v>1062</v>
      </c>
      <c r="H66" s="143">
        <v>82</v>
      </c>
      <c r="I66" s="143">
        <v>5</v>
      </c>
      <c r="J66" s="143">
        <v>927</v>
      </c>
      <c r="K66" s="141" t="s">
        <v>287</v>
      </c>
      <c r="L66" s="143"/>
      <c r="M66" s="144" t="s">
        <v>285</v>
      </c>
      <c r="N66" s="145" t="s">
        <v>278</v>
      </c>
    </row>
    <row r="67" spans="1:14">
      <c r="A67" s="163">
        <v>850</v>
      </c>
      <c r="B67" s="141"/>
      <c r="C67" s="141"/>
      <c r="D67" s="141"/>
      <c r="E67" s="141"/>
      <c r="F67" s="143"/>
      <c r="G67" s="143"/>
      <c r="H67" s="143"/>
      <c r="I67" s="143"/>
      <c r="J67" s="143"/>
      <c r="K67" s="141"/>
      <c r="L67" s="143"/>
      <c r="M67" s="144" t="s">
        <v>288</v>
      </c>
      <c r="N67" s="145"/>
    </row>
    <row r="68" spans="1:14">
      <c r="A68" s="141">
        <v>850</v>
      </c>
      <c r="B68" s="141"/>
      <c r="C68" s="141"/>
      <c r="D68" s="141"/>
      <c r="E68" s="141"/>
      <c r="F68" s="143"/>
      <c r="G68" s="143"/>
      <c r="H68" s="143"/>
      <c r="I68" s="143"/>
      <c r="J68" s="143"/>
      <c r="K68" s="141"/>
      <c r="L68" s="143"/>
      <c r="M68" s="144" t="s">
        <v>288</v>
      </c>
      <c r="N68" s="145"/>
    </row>
    <row r="69" spans="1:14">
      <c r="A69" s="141">
        <v>850</v>
      </c>
      <c r="B69" s="141"/>
      <c r="C69" s="141"/>
      <c r="D69" s="141"/>
      <c r="E69" s="141"/>
      <c r="F69" s="153"/>
      <c r="G69" s="153"/>
      <c r="H69" s="153"/>
      <c r="I69" s="153"/>
      <c r="J69" s="153"/>
      <c r="K69" s="141"/>
      <c r="L69" s="153"/>
      <c r="M69" s="141"/>
      <c r="N69" s="145"/>
    </row>
    <row r="70" spans="1:14" ht="24">
      <c r="A70" s="141">
        <v>900</v>
      </c>
      <c r="B70" s="141" t="s">
        <v>217</v>
      </c>
      <c r="C70" s="142" t="s">
        <v>194</v>
      </c>
      <c r="D70" s="142"/>
      <c r="E70" s="142" t="s">
        <v>194</v>
      </c>
      <c r="F70" s="153">
        <v>330</v>
      </c>
      <c r="G70" s="153">
        <v>1055</v>
      </c>
      <c r="H70" s="153">
        <v>53</v>
      </c>
      <c r="I70" s="153">
        <v>12</v>
      </c>
      <c r="J70" s="153">
        <v>506</v>
      </c>
      <c r="K70" s="141" t="s">
        <v>289</v>
      </c>
      <c r="L70" s="153"/>
      <c r="M70" s="144" t="s">
        <v>290</v>
      </c>
      <c r="N70" s="145" t="s">
        <v>291</v>
      </c>
    </row>
    <row r="71" spans="1:14" ht="24">
      <c r="A71" s="163">
        <v>900</v>
      </c>
      <c r="B71" s="141" t="s">
        <v>217</v>
      </c>
      <c r="C71" s="142" t="s">
        <v>194</v>
      </c>
      <c r="D71" s="142"/>
      <c r="E71" s="142" t="s">
        <v>194</v>
      </c>
      <c r="F71" s="153">
        <v>330</v>
      </c>
      <c r="G71" s="153">
        <v>1170</v>
      </c>
      <c r="H71" s="153">
        <v>92</v>
      </c>
      <c r="I71" s="153">
        <v>5</v>
      </c>
      <c r="J71" s="153">
        <v>952</v>
      </c>
      <c r="K71" s="141" t="s">
        <v>292</v>
      </c>
      <c r="L71" s="153"/>
      <c r="M71" s="144" t="s">
        <v>290</v>
      </c>
      <c r="N71" s="145" t="s">
        <v>293</v>
      </c>
    </row>
    <row r="72" spans="1:14">
      <c r="A72" s="141">
        <v>900</v>
      </c>
      <c r="B72" s="141" t="s">
        <v>231</v>
      </c>
      <c r="C72" s="142" t="s">
        <v>194</v>
      </c>
      <c r="D72" s="142"/>
      <c r="E72" s="142" t="s">
        <v>194</v>
      </c>
      <c r="F72" s="153">
        <v>510</v>
      </c>
      <c r="G72" s="153">
        <v>1270</v>
      </c>
      <c r="H72" s="153">
        <v>110</v>
      </c>
      <c r="I72" s="153">
        <v>5</v>
      </c>
      <c r="J72" s="153">
        <v>1700</v>
      </c>
      <c r="K72" s="141" t="s">
        <v>287</v>
      </c>
      <c r="L72" s="153"/>
      <c r="M72" s="144" t="s">
        <v>294</v>
      </c>
      <c r="N72" s="145" t="s">
        <v>295</v>
      </c>
    </row>
    <row r="73" spans="1:14">
      <c r="A73" s="141">
        <v>900</v>
      </c>
      <c r="B73" s="141"/>
      <c r="C73" s="141"/>
      <c r="D73" s="141"/>
      <c r="E73" s="141"/>
      <c r="F73" s="153"/>
      <c r="G73" s="153"/>
      <c r="H73" s="153"/>
      <c r="I73" s="153"/>
      <c r="J73" s="153"/>
      <c r="K73" s="141"/>
      <c r="L73" s="153"/>
      <c r="M73" s="141"/>
      <c r="N73" s="145"/>
    </row>
    <row r="74" spans="1:14">
      <c r="A74" s="141">
        <v>950</v>
      </c>
      <c r="B74" s="141"/>
      <c r="C74" s="141"/>
      <c r="D74" s="141"/>
      <c r="E74" s="141"/>
      <c r="F74" s="153"/>
      <c r="G74" s="153"/>
      <c r="H74" s="153"/>
      <c r="I74" s="153"/>
      <c r="J74" s="153"/>
      <c r="K74" s="152"/>
      <c r="L74" s="153"/>
      <c r="M74" s="144" t="s">
        <v>296</v>
      </c>
      <c r="N74" s="145"/>
    </row>
    <row r="75" spans="1:14">
      <c r="A75" s="141">
        <v>950</v>
      </c>
      <c r="B75" s="141"/>
      <c r="C75" s="141"/>
      <c r="D75" s="141"/>
      <c r="E75" s="141"/>
      <c r="F75" s="153"/>
      <c r="G75" s="153"/>
      <c r="H75" s="153"/>
      <c r="I75" s="153"/>
      <c r="J75" s="153"/>
      <c r="K75" s="141"/>
      <c r="L75" s="153"/>
      <c r="M75" s="144" t="s">
        <v>296</v>
      </c>
      <c r="N75" s="145"/>
    </row>
    <row r="76" spans="1:14">
      <c r="A76" s="141">
        <v>950</v>
      </c>
      <c r="B76" s="141"/>
      <c r="C76" s="142"/>
      <c r="D76" s="141"/>
      <c r="E76" s="151"/>
      <c r="F76" s="153"/>
      <c r="G76" s="153"/>
      <c r="H76" s="153"/>
      <c r="I76" s="153"/>
      <c r="J76" s="153"/>
      <c r="K76" s="152"/>
      <c r="L76" s="153"/>
      <c r="M76" s="144" t="s">
        <v>296</v>
      </c>
      <c r="N76" s="145"/>
    </row>
    <row r="77" spans="1:14">
      <c r="A77" s="163">
        <v>950</v>
      </c>
      <c r="B77" s="141"/>
      <c r="C77" s="141"/>
      <c r="D77" s="141"/>
      <c r="E77" s="141"/>
      <c r="F77" s="153"/>
      <c r="G77" s="153"/>
      <c r="H77" s="153"/>
      <c r="I77" s="153"/>
      <c r="J77" s="153"/>
      <c r="K77" s="141"/>
      <c r="L77" s="153"/>
      <c r="M77" s="141"/>
      <c r="N77" s="145"/>
    </row>
    <row r="78" spans="1:14">
      <c r="A78" s="163">
        <v>1000</v>
      </c>
      <c r="B78" s="141" t="s">
        <v>217</v>
      </c>
      <c r="C78" s="142" t="s">
        <v>194</v>
      </c>
      <c r="D78" s="142"/>
      <c r="E78" s="142" t="s">
        <v>194</v>
      </c>
      <c r="F78" s="153">
        <v>410</v>
      </c>
      <c r="G78" s="153">
        <v>1175</v>
      </c>
      <c r="H78" s="153">
        <v>56</v>
      </c>
      <c r="I78" s="153">
        <v>5</v>
      </c>
      <c r="J78" s="153">
        <v>1150</v>
      </c>
      <c r="K78" s="141" t="s">
        <v>297</v>
      </c>
      <c r="L78" s="153"/>
      <c r="M78" s="144" t="s">
        <v>298</v>
      </c>
      <c r="N78" s="145" t="s">
        <v>299</v>
      </c>
    </row>
    <row r="79" spans="1:14">
      <c r="A79" s="141">
        <v>1000</v>
      </c>
      <c r="B79" s="141"/>
      <c r="C79" s="142"/>
      <c r="D79" s="141"/>
      <c r="E79" s="151"/>
      <c r="F79" s="153"/>
      <c r="G79" s="153"/>
      <c r="H79" s="153"/>
      <c r="I79" s="153"/>
      <c r="J79" s="153"/>
      <c r="K79" s="152"/>
      <c r="L79" s="153"/>
      <c r="M79" s="144" t="s">
        <v>298</v>
      </c>
      <c r="N79" s="145"/>
    </row>
    <row r="80" spans="1:14">
      <c r="A80" s="141">
        <v>1000</v>
      </c>
      <c r="B80" s="141"/>
      <c r="C80" s="141"/>
      <c r="D80" s="141"/>
      <c r="E80" s="141"/>
      <c r="F80" s="153"/>
      <c r="G80" s="153"/>
      <c r="H80" s="153"/>
      <c r="I80" s="153"/>
      <c r="J80" s="153"/>
      <c r="K80" s="141"/>
      <c r="L80" s="153"/>
      <c r="M80" s="141"/>
      <c r="N80" s="145"/>
    </row>
    <row r="81" spans="1:14">
      <c r="A81" s="141">
        <v>1050</v>
      </c>
      <c r="B81" s="141" t="s">
        <v>217</v>
      </c>
      <c r="C81" s="142" t="s">
        <v>194</v>
      </c>
      <c r="D81" s="142"/>
      <c r="E81" s="142" t="s">
        <v>194</v>
      </c>
      <c r="F81" s="153">
        <v>410</v>
      </c>
      <c r="G81" s="153">
        <v>1225</v>
      </c>
      <c r="H81" s="153">
        <v>59.3</v>
      </c>
      <c r="I81" s="153">
        <v>10</v>
      </c>
      <c r="J81" s="153">
        <v>836</v>
      </c>
      <c r="K81" s="141" t="s">
        <v>300</v>
      </c>
      <c r="L81" s="153"/>
      <c r="M81" s="144" t="s">
        <v>301</v>
      </c>
      <c r="N81" s="145" t="s">
        <v>299</v>
      </c>
    </row>
    <row r="82" spans="1:14">
      <c r="A82" s="163">
        <v>1050</v>
      </c>
      <c r="B82" s="141" t="s">
        <v>217</v>
      </c>
      <c r="C82" s="142" t="s">
        <v>194</v>
      </c>
      <c r="D82" s="142"/>
      <c r="E82" s="142" t="s">
        <v>194</v>
      </c>
      <c r="F82" s="153">
        <v>410</v>
      </c>
      <c r="G82" s="153">
        <v>1346</v>
      </c>
      <c r="H82" s="153">
        <v>97</v>
      </c>
      <c r="I82" s="153">
        <v>10</v>
      </c>
      <c r="J82" s="153">
        <v>1337</v>
      </c>
      <c r="K82" s="141" t="s">
        <v>302</v>
      </c>
      <c r="L82" s="153"/>
      <c r="M82" s="144" t="s">
        <v>301</v>
      </c>
      <c r="N82" s="145" t="s">
        <v>303</v>
      </c>
    </row>
    <row r="83" spans="1:14">
      <c r="A83" s="141">
        <v>1050</v>
      </c>
      <c r="B83" s="141"/>
      <c r="C83" s="141"/>
      <c r="D83" s="141"/>
      <c r="E83" s="141"/>
      <c r="F83" s="153"/>
      <c r="G83" s="153"/>
      <c r="H83" s="153"/>
      <c r="I83" s="153"/>
      <c r="J83" s="153"/>
      <c r="K83" s="141"/>
      <c r="L83" s="153"/>
      <c r="M83" s="144" t="s">
        <v>301</v>
      </c>
      <c r="N83" s="145"/>
    </row>
    <row r="84" spans="1:14">
      <c r="A84" s="141">
        <v>1050</v>
      </c>
      <c r="B84" s="141"/>
      <c r="C84" s="141"/>
      <c r="D84" s="141"/>
      <c r="E84" s="141"/>
      <c r="F84" s="153"/>
      <c r="G84" s="153"/>
      <c r="H84" s="153"/>
      <c r="I84" s="153"/>
      <c r="J84" s="153"/>
      <c r="K84" s="141"/>
      <c r="L84" s="153"/>
      <c r="M84" s="141"/>
      <c r="N84" s="145"/>
    </row>
    <row r="85" spans="1:14">
      <c r="A85" s="141">
        <v>1100</v>
      </c>
      <c r="B85" s="141"/>
      <c r="C85" s="142"/>
      <c r="D85" s="141"/>
      <c r="E85" s="151"/>
      <c r="F85" s="153"/>
      <c r="G85" s="153"/>
      <c r="H85" s="153"/>
      <c r="I85" s="153"/>
      <c r="J85" s="153"/>
      <c r="K85" s="141"/>
      <c r="L85" s="153"/>
      <c r="M85" s="144" t="s">
        <v>304</v>
      </c>
      <c r="N85" s="145"/>
    </row>
    <row r="86" spans="1:14">
      <c r="A86" s="141">
        <v>1100</v>
      </c>
      <c r="B86" s="141"/>
      <c r="C86" s="141"/>
      <c r="D86" s="141"/>
      <c r="E86" s="141"/>
      <c r="F86" s="153"/>
      <c r="G86" s="153"/>
      <c r="H86" s="153"/>
      <c r="I86" s="153"/>
      <c r="J86" s="153"/>
      <c r="K86" s="141"/>
      <c r="L86" s="153"/>
      <c r="M86" s="144" t="s">
        <v>304</v>
      </c>
      <c r="N86" s="145"/>
    </row>
    <row r="87" spans="1:14">
      <c r="A87" s="141">
        <v>1100</v>
      </c>
      <c r="B87" s="141"/>
      <c r="C87" s="141"/>
      <c r="D87" s="141"/>
      <c r="E87" s="141"/>
      <c r="F87" s="153"/>
      <c r="G87" s="153"/>
      <c r="H87" s="153"/>
      <c r="I87" s="153"/>
      <c r="J87" s="153"/>
      <c r="K87" s="141"/>
      <c r="L87" s="153"/>
      <c r="M87" s="144" t="s">
        <v>304</v>
      </c>
      <c r="N87" s="145"/>
    </row>
    <row r="88" spans="1:14">
      <c r="A88" s="163">
        <v>1100</v>
      </c>
      <c r="B88" s="141"/>
      <c r="C88" s="141"/>
      <c r="D88" s="141"/>
      <c r="E88" s="141"/>
      <c r="F88" s="153"/>
      <c r="G88" s="153"/>
      <c r="H88" s="153"/>
      <c r="I88" s="153"/>
      <c r="J88" s="153"/>
      <c r="K88" s="141"/>
      <c r="L88" s="153"/>
      <c r="M88" s="141"/>
      <c r="N88" s="145"/>
    </row>
    <row r="89" spans="1:14">
      <c r="A89" s="141">
        <v>1150</v>
      </c>
      <c r="B89" s="141"/>
      <c r="C89" s="141"/>
      <c r="D89" s="141"/>
      <c r="E89" s="141"/>
      <c r="F89" s="153"/>
      <c r="G89" s="153"/>
      <c r="H89" s="153"/>
      <c r="I89" s="153"/>
      <c r="J89" s="153"/>
      <c r="K89" s="152"/>
      <c r="L89" s="153"/>
      <c r="M89" s="144" t="s">
        <v>305</v>
      </c>
      <c r="N89" s="145"/>
    </row>
    <row r="90" spans="1:14">
      <c r="A90" s="141">
        <v>1150</v>
      </c>
      <c r="B90" s="141"/>
      <c r="C90" s="141"/>
      <c r="D90" s="141"/>
      <c r="E90" s="141"/>
      <c r="F90" s="153"/>
      <c r="G90" s="153"/>
      <c r="H90" s="153"/>
      <c r="I90" s="153"/>
      <c r="J90" s="153"/>
      <c r="K90" s="141"/>
      <c r="L90" s="153"/>
      <c r="M90" s="144" t="s">
        <v>305</v>
      </c>
      <c r="N90" s="145"/>
    </row>
    <row r="91" spans="1:14">
      <c r="A91" s="141">
        <v>1150</v>
      </c>
      <c r="B91" s="141"/>
      <c r="C91" s="141"/>
      <c r="D91" s="141"/>
      <c r="E91" s="141"/>
      <c r="F91" s="153"/>
      <c r="G91" s="153"/>
      <c r="H91" s="153"/>
      <c r="I91" s="153"/>
      <c r="J91" s="153"/>
      <c r="K91" s="141"/>
      <c r="L91" s="153"/>
      <c r="M91" s="144" t="s">
        <v>305</v>
      </c>
      <c r="N91" s="145"/>
    </row>
    <row r="92" spans="1:14">
      <c r="A92" s="163">
        <v>1150</v>
      </c>
      <c r="B92" s="141"/>
      <c r="C92" s="141"/>
      <c r="D92" s="141"/>
      <c r="E92" s="141"/>
      <c r="F92" s="153"/>
      <c r="G92" s="153"/>
      <c r="H92" s="153"/>
      <c r="I92" s="153"/>
      <c r="J92" s="153"/>
      <c r="K92" s="141"/>
      <c r="L92" s="153"/>
      <c r="M92" s="141"/>
      <c r="N92" s="145"/>
    </row>
    <row r="93" spans="1:14">
      <c r="A93" s="163">
        <v>1200</v>
      </c>
      <c r="B93" s="141" t="s">
        <v>217</v>
      </c>
      <c r="C93" s="142" t="s">
        <v>194</v>
      </c>
      <c r="D93" s="142"/>
      <c r="E93" s="142" t="s">
        <v>194</v>
      </c>
      <c r="F93" s="153">
        <v>470</v>
      </c>
      <c r="G93" s="153">
        <v>1510</v>
      </c>
      <c r="H93" s="153">
        <v>108.4</v>
      </c>
      <c r="I93" s="153">
        <v>10</v>
      </c>
      <c r="J93" s="153">
        <v>2028</v>
      </c>
      <c r="K93" s="141" t="s">
        <v>306</v>
      </c>
      <c r="L93" s="153"/>
      <c r="M93" s="144" t="s">
        <v>307</v>
      </c>
      <c r="N93" s="145" t="s">
        <v>239</v>
      </c>
    </row>
    <row r="94" spans="1:14">
      <c r="A94" s="141">
        <v>1200</v>
      </c>
      <c r="B94" s="141"/>
      <c r="C94" s="141"/>
      <c r="D94" s="141"/>
      <c r="E94" s="141"/>
      <c r="F94" s="153"/>
      <c r="G94" s="153"/>
      <c r="H94" s="153"/>
      <c r="I94" s="153"/>
      <c r="J94" s="153"/>
      <c r="K94" s="141"/>
      <c r="L94" s="153"/>
      <c r="M94" s="144" t="s">
        <v>307</v>
      </c>
      <c r="N94" s="145"/>
    </row>
    <row r="95" spans="1:14">
      <c r="A95" s="141">
        <v>1200</v>
      </c>
      <c r="B95" s="141"/>
      <c r="C95" s="141"/>
      <c r="D95" s="141"/>
      <c r="E95" s="141"/>
      <c r="F95" s="153"/>
      <c r="G95" s="153"/>
      <c r="H95" s="153"/>
      <c r="I95" s="153"/>
      <c r="J95" s="153"/>
      <c r="K95" s="141"/>
      <c r="L95" s="153"/>
      <c r="M95" s="144" t="s">
        <v>307</v>
      </c>
      <c r="N95" s="145"/>
    </row>
    <row r="96" spans="1:14">
      <c r="A96" s="141">
        <v>1200</v>
      </c>
      <c r="B96" s="141"/>
      <c r="C96" s="141"/>
      <c r="D96" s="141"/>
      <c r="E96" s="141"/>
      <c r="F96" s="153"/>
      <c r="G96" s="153"/>
      <c r="H96" s="153"/>
      <c r="I96" s="153"/>
      <c r="J96" s="153"/>
      <c r="K96" s="141"/>
      <c r="L96" s="153"/>
      <c r="M96" s="141"/>
      <c r="N96" s="145"/>
    </row>
    <row r="97" spans="1:14">
      <c r="A97" s="141">
        <v>1300</v>
      </c>
      <c r="B97" s="141" t="s">
        <v>217</v>
      </c>
      <c r="C97" s="142" t="s">
        <v>194</v>
      </c>
      <c r="D97" s="142"/>
      <c r="E97" s="142" t="s">
        <v>194</v>
      </c>
      <c r="F97" s="153">
        <v>470</v>
      </c>
      <c r="G97" s="153">
        <v>1495</v>
      </c>
      <c r="H97" s="153">
        <v>70.400000000000006</v>
      </c>
      <c r="I97" s="153">
        <v>5</v>
      </c>
      <c r="J97" s="153"/>
      <c r="K97" s="141" t="s">
        <v>308</v>
      </c>
      <c r="L97" s="153"/>
      <c r="M97" s="144" t="s">
        <v>309</v>
      </c>
      <c r="N97" s="145" t="s">
        <v>310</v>
      </c>
    </row>
    <row r="98" spans="1:14" ht="24">
      <c r="A98" s="163">
        <v>1300</v>
      </c>
      <c r="B98" s="141" t="s">
        <v>208</v>
      </c>
      <c r="C98" s="142" t="s">
        <v>194</v>
      </c>
      <c r="D98" s="141"/>
      <c r="E98" s="142" t="s">
        <v>194</v>
      </c>
      <c r="F98" s="153">
        <v>710</v>
      </c>
      <c r="G98" s="153">
        <v>1625</v>
      </c>
      <c r="H98" s="153">
        <v>116</v>
      </c>
      <c r="I98" s="153">
        <v>5</v>
      </c>
      <c r="J98" s="153">
        <v>2632</v>
      </c>
      <c r="K98" s="152" t="s">
        <v>311</v>
      </c>
      <c r="L98" s="153"/>
      <c r="M98" s="144" t="s">
        <v>309</v>
      </c>
      <c r="N98" s="145" t="s">
        <v>312</v>
      </c>
    </row>
    <row r="99" spans="1:14">
      <c r="A99" s="141">
        <v>1300</v>
      </c>
      <c r="B99" s="141"/>
      <c r="C99" s="141"/>
      <c r="D99" s="141"/>
      <c r="E99" s="141"/>
      <c r="F99" s="153"/>
      <c r="G99" s="153"/>
      <c r="H99" s="153"/>
      <c r="I99" s="153"/>
      <c r="J99" s="153"/>
      <c r="K99" s="141"/>
      <c r="L99" s="153"/>
      <c r="M99" s="144" t="s">
        <v>309</v>
      </c>
      <c r="N99" s="145"/>
    </row>
    <row r="100" spans="1:14">
      <c r="A100" s="141">
        <v>1300</v>
      </c>
      <c r="B100" s="141"/>
      <c r="C100" s="141"/>
      <c r="D100" s="141"/>
      <c r="E100" s="141"/>
      <c r="F100" s="153"/>
      <c r="G100" s="153"/>
      <c r="H100" s="153"/>
      <c r="I100" s="153"/>
      <c r="J100" s="153"/>
      <c r="K100" s="141"/>
      <c r="L100" s="153"/>
      <c r="M100" s="144" t="s">
        <v>309</v>
      </c>
      <c r="N100" s="145"/>
    </row>
    <row r="101" spans="1:14">
      <c r="A101" s="163">
        <v>1400</v>
      </c>
      <c r="B101" s="141" t="s">
        <v>217</v>
      </c>
      <c r="C101" s="142" t="s">
        <v>194</v>
      </c>
      <c r="D101" s="142"/>
      <c r="E101" s="142" t="s">
        <v>194</v>
      </c>
      <c r="F101" s="153">
        <v>530</v>
      </c>
      <c r="G101" s="153">
        <v>1745</v>
      </c>
      <c r="H101" s="153">
        <v>124.3</v>
      </c>
      <c r="I101" s="153">
        <v>12</v>
      </c>
      <c r="J101" s="153">
        <v>2982</v>
      </c>
      <c r="K101" s="141" t="s">
        <v>313</v>
      </c>
      <c r="L101" s="153"/>
      <c r="M101" s="144" t="s">
        <v>314</v>
      </c>
      <c r="N101" s="145" t="s">
        <v>239</v>
      </c>
    </row>
    <row r="102" spans="1:14">
      <c r="A102" s="141">
        <v>1400</v>
      </c>
      <c r="B102" s="141"/>
      <c r="C102" s="141"/>
      <c r="D102" s="141"/>
      <c r="E102" s="141"/>
      <c r="F102" s="153"/>
      <c r="G102" s="153"/>
      <c r="H102" s="153"/>
      <c r="I102" s="153"/>
      <c r="J102" s="153"/>
      <c r="K102" s="141"/>
      <c r="L102" s="153"/>
      <c r="M102" s="144" t="s">
        <v>314</v>
      </c>
      <c r="N102" s="145"/>
    </row>
    <row r="103" spans="1:14">
      <c r="A103" s="141">
        <v>1400</v>
      </c>
      <c r="B103" s="141"/>
      <c r="C103" s="141"/>
      <c r="D103" s="141"/>
      <c r="E103" s="141"/>
      <c r="F103" s="153"/>
      <c r="G103" s="153"/>
      <c r="H103" s="153"/>
      <c r="I103" s="153"/>
      <c r="J103" s="153"/>
      <c r="K103" s="141"/>
      <c r="L103" s="153"/>
      <c r="M103" s="144" t="s">
        <v>314</v>
      </c>
      <c r="N103" s="145"/>
    </row>
    <row r="104" spans="1:14">
      <c r="A104" s="141">
        <v>1400</v>
      </c>
      <c r="B104" s="141"/>
      <c r="C104" s="141"/>
      <c r="D104" s="141"/>
      <c r="E104" s="141"/>
      <c r="F104" s="153"/>
      <c r="G104" s="153"/>
      <c r="H104" s="153"/>
      <c r="I104" s="153"/>
      <c r="J104" s="153"/>
      <c r="K104" s="141"/>
      <c r="L104" s="153"/>
      <c r="M104" s="144" t="s">
        <v>314</v>
      </c>
      <c r="N104" s="145"/>
    </row>
    <row r="105" spans="1:14">
      <c r="A105" s="163">
        <v>1500</v>
      </c>
      <c r="B105" s="141" t="s">
        <v>217</v>
      </c>
      <c r="C105" s="142" t="s">
        <v>194</v>
      </c>
      <c r="D105" s="142"/>
      <c r="E105" s="142" t="s">
        <v>194</v>
      </c>
      <c r="F105" s="153">
        <v>530</v>
      </c>
      <c r="G105" s="153">
        <v>1855</v>
      </c>
      <c r="H105" s="153">
        <v>132</v>
      </c>
      <c r="I105" s="153">
        <v>10</v>
      </c>
      <c r="J105" s="153">
        <v>3314</v>
      </c>
      <c r="K105" s="141" t="s">
        <v>315</v>
      </c>
      <c r="L105" s="153"/>
      <c r="M105" s="144" t="s">
        <v>316</v>
      </c>
      <c r="N105" s="145" t="s">
        <v>239</v>
      </c>
    </row>
    <row r="106" spans="1:14">
      <c r="A106" s="141">
        <v>1500</v>
      </c>
      <c r="B106" s="141"/>
      <c r="C106" s="141"/>
      <c r="D106" s="141"/>
      <c r="E106" s="141"/>
      <c r="F106" s="153"/>
      <c r="G106" s="153"/>
      <c r="H106" s="153"/>
      <c r="I106" s="153"/>
      <c r="J106" s="153"/>
      <c r="K106" s="141"/>
      <c r="L106" s="153"/>
      <c r="M106" s="144" t="s">
        <v>316</v>
      </c>
      <c r="N106" s="145"/>
    </row>
    <row r="107" spans="1:14">
      <c r="A107" s="141">
        <v>1500</v>
      </c>
      <c r="B107" s="141"/>
      <c r="C107" s="141"/>
      <c r="D107" s="141"/>
      <c r="E107" s="141"/>
      <c r="F107" s="153"/>
      <c r="G107" s="153"/>
      <c r="H107" s="153"/>
      <c r="I107" s="153"/>
      <c r="J107" s="153"/>
      <c r="K107" s="141"/>
      <c r="L107" s="153"/>
      <c r="M107" s="144" t="s">
        <v>316</v>
      </c>
      <c r="N107" s="145"/>
    </row>
    <row r="108" spans="1:14">
      <c r="A108" s="141">
        <v>1500</v>
      </c>
      <c r="B108" s="141"/>
      <c r="C108" s="141"/>
      <c r="D108" s="141"/>
      <c r="E108" s="141"/>
      <c r="F108" s="153"/>
      <c r="G108" s="153"/>
      <c r="H108" s="153"/>
      <c r="I108" s="153"/>
      <c r="J108" s="153"/>
      <c r="K108" s="141"/>
      <c r="L108" s="153"/>
      <c r="M108" s="144" t="s">
        <v>316</v>
      </c>
      <c r="N108" s="145"/>
    </row>
    <row r="109" spans="1:14">
      <c r="A109" s="154"/>
      <c r="B109" s="154"/>
      <c r="C109" s="154"/>
      <c r="D109" s="154"/>
      <c r="E109" s="154"/>
      <c r="F109" s="153"/>
      <c r="G109" s="153"/>
      <c r="H109" s="153"/>
      <c r="I109" s="153"/>
      <c r="J109" s="153"/>
      <c r="K109" s="154"/>
      <c r="L109" s="153"/>
      <c r="M109" s="154"/>
      <c r="N109" s="155"/>
    </row>
    <row r="110" spans="1:14">
      <c r="A110" s="154"/>
      <c r="B110" s="156"/>
      <c r="C110" s="156"/>
      <c r="D110" s="156"/>
      <c r="E110" s="156"/>
      <c r="F110" s="153"/>
      <c r="G110" s="153"/>
      <c r="H110" s="153"/>
      <c r="I110" s="153"/>
      <c r="J110" s="153"/>
      <c r="K110" s="156"/>
      <c r="L110" s="153"/>
      <c r="M110" s="154"/>
      <c r="N110" s="157"/>
    </row>
    <row r="111" spans="1:14">
      <c r="A111" s="154"/>
      <c r="B111" s="156"/>
      <c r="C111" s="156"/>
      <c r="D111" s="156"/>
      <c r="E111" s="156"/>
      <c r="F111" s="153"/>
      <c r="G111" s="153"/>
      <c r="H111" s="153"/>
      <c r="I111" s="153"/>
      <c r="J111" s="153"/>
      <c r="K111" s="156"/>
      <c r="L111" s="153"/>
      <c r="M111" s="154"/>
      <c r="N111" s="157"/>
    </row>
    <row r="112" spans="1:14">
      <c r="A112" s="15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8"/>
    </row>
    <row r="113" spans="1:14">
      <c r="A113" s="153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8"/>
    </row>
    <row r="114" spans="1:14">
      <c r="A114" s="153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8"/>
    </row>
    <row r="115" spans="1:14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8"/>
    </row>
    <row r="116" spans="1:14">
      <c r="A116" s="153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8"/>
    </row>
    <row r="117" spans="1:14">
      <c r="A117" s="153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8"/>
    </row>
    <row r="118" spans="1:14">
      <c r="A118" s="15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8"/>
    </row>
    <row r="119" spans="1:14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8"/>
    </row>
    <row r="120" spans="1:14">
      <c r="A120" s="153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8"/>
    </row>
    <row r="121" spans="1:14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8"/>
    </row>
    <row r="122" spans="1:14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8"/>
    </row>
    <row r="123" spans="1:14">
      <c r="A123" s="153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8"/>
    </row>
    <row r="124" spans="1:14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8"/>
    </row>
    <row r="125" spans="1:14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8"/>
    </row>
    <row r="126" spans="1:14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8"/>
    </row>
    <row r="127" spans="1:14">
      <c r="A127" s="153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8"/>
    </row>
    <row r="128" spans="1:14">
      <c r="A128" s="153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8"/>
    </row>
    <row r="129" spans="1:14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8"/>
    </row>
    <row r="130" spans="1:14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8"/>
    </row>
    <row r="131" spans="1:14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8"/>
    </row>
    <row r="132" spans="1:14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8"/>
    </row>
    <row r="133" spans="1:14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8"/>
    </row>
    <row r="134" spans="1:14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8"/>
    </row>
    <row r="135" spans="1:14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8"/>
    </row>
    <row r="136" spans="1:14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8"/>
    </row>
    <row r="137" spans="1:14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8"/>
    </row>
    <row r="138" spans="1:14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8"/>
    </row>
    <row r="139" spans="1:14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8"/>
    </row>
    <row r="140" spans="1:14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8"/>
    </row>
    <row r="141" spans="1:14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8"/>
    </row>
    <row r="142" spans="1:14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8"/>
    </row>
    <row r="143" spans="1:14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8"/>
    </row>
    <row r="144" spans="1:14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8"/>
    </row>
    <row r="145" spans="1:14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8"/>
    </row>
    <row r="146" spans="1:14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8"/>
    </row>
    <row r="147" spans="1:14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8"/>
    </row>
    <row r="148" spans="1:14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8"/>
    </row>
    <row r="149" spans="1:14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8"/>
    </row>
    <row r="150" spans="1:14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8"/>
    </row>
    <row r="151" spans="1:14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8"/>
    </row>
    <row r="152" spans="1:14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8"/>
    </row>
    <row r="153" spans="1:14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8"/>
    </row>
    <row r="154" spans="1:14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8"/>
    </row>
    <row r="155" spans="1:14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8"/>
    </row>
    <row r="156" spans="1:14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8"/>
    </row>
    <row r="157" spans="1:14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8"/>
    </row>
    <row r="158" spans="1:14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8"/>
    </row>
    <row r="159" spans="1:14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8"/>
    </row>
    <row r="160" spans="1:14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8"/>
    </row>
    <row r="161" spans="1:14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60"/>
    </row>
    <row r="162" spans="1:14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60"/>
    </row>
    <row r="163" spans="1:14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60"/>
    </row>
    <row r="164" spans="1:14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60"/>
    </row>
    <row r="165" spans="1:14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60"/>
    </row>
    <row r="166" spans="1:14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60"/>
    </row>
    <row r="167" spans="1:14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60"/>
    </row>
    <row r="168" spans="1:14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60"/>
    </row>
    <row r="169" spans="1:14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60"/>
    </row>
    <row r="170" spans="1:14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60"/>
    </row>
    <row r="171" spans="1:14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60"/>
    </row>
    <row r="172" spans="1:14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60"/>
    </row>
    <row r="173" spans="1:14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60"/>
    </row>
    <row r="174" spans="1:14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60"/>
    </row>
    <row r="175" spans="1:14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60"/>
    </row>
    <row r="176" spans="1:14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60"/>
    </row>
    <row r="177" spans="1:14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60"/>
    </row>
    <row r="178" spans="1:14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60"/>
    </row>
    <row r="179" spans="1:14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60"/>
    </row>
    <row r="180" spans="1:14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60"/>
    </row>
    <row r="181" spans="1:14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60"/>
    </row>
    <row r="182" spans="1:14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60"/>
    </row>
    <row r="183" spans="1:14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60"/>
    </row>
    <row r="184" spans="1:14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60"/>
    </row>
    <row r="185" spans="1:14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60"/>
    </row>
    <row r="186" spans="1:14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60"/>
    </row>
    <row r="187" spans="1:14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60"/>
    </row>
    <row r="188" spans="1:14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60"/>
    </row>
    <row r="189" spans="1:14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60"/>
    </row>
    <row r="190" spans="1:14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60"/>
    </row>
    <row r="191" spans="1:14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60"/>
    </row>
    <row r="192" spans="1:14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60"/>
    </row>
    <row r="193" spans="1:14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60"/>
    </row>
    <row r="194" spans="1:14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60"/>
    </row>
    <row r="195" spans="1:14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60"/>
    </row>
    <row r="196" spans="1:14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60"/>
    </row>
    <row r="197" spans="1:14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60"/>
    </row>
    <row r="198" spans="1:14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60"/>
    </row>
    <row r="199" spans="1:14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60"/>
    </row>
    <row r="200" spans="1:14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60"/>
    </row>
    <row r="201" spans="1:14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60"/>
    </row>
    <row r="202" spans="1:14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60"/>
    </row>
    <row r="203" spans="1:14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60"/>
    </row>
    <row r="204" spans="1:14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60"/>
    </row>
    <row r="205" spans="1:14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60"/>
    </row>
    <row r="206" spans="1:14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60"/>
    </row>
    <row r="207" spans="1:14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60"/>
    </row>
    <row r="208" spans="1:14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60"/>
    </row>
    <row r="209" spans="1:14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60"/>
    </row>
    <row r="210" spans="1:14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60"/>
    </row>
    <row r="211" spans="1:14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60"/>
    </row>
    <row r="212" spans="1:14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60"/>
    </row>
    <row r="213" spans="1:14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60"/>
    </row>
    <row r="214" spans="1:14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60"/>
    </row>
    <row r="215" spans="1:14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60"/>
    </row>
    <row r="216" spans="1:14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60"/>
    </row>
    <row r="217" spans="1:14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60"/>
    </row>
    <row r="218" spans="1:14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60"/>
    </row>
    <row r="219" spans="1:14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60"/>
    </row>
    <row r="220" spans="1:14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60"/>
    </row>
    <row r="221" spans="1:14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60"/>
    </row>
    <row r="222" spans="1:14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60"/>
    </row>
    <row r="223" spans="1:14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60"/>
    </row>
    <row r="224" spans="1:14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60"/>
    </row>
    <row r="225" spans="1:14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60"/>
    </row>
    <row r="226" spans="1:14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60"/>
    </row>
    <row r="227" spans="1:14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60"/>
    </row>
    <row r="228" spans="1:14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60"/>
    </row>
    <row r="229" spans="1:14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60"/>
    </row>
    <row r="230" spans="1:14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60"/>
    </row>
    <row r="231" spans="1:14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60"/>
    </row>
    <row r="232" spans="1:14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60"/>
    </row>
    <row r="233" spans="1:14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60"/>
    </row>
    <row r="234" spans="1:14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60"/>
    </row>
    <row r="235" spans="1:14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60"/>
    </row>
    <row r="236" spans="1:14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60"/>
    </row>
    <row r="237" spans="1:14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60"/>
    </row>
    <row r="238" spans="1:14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60"/>
    </row>
    <row r="239" spans="1:14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60"/>
    </row>
    <row r="240" spans="1:14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60"/>
    </row>
    <row r="241" spans="1:14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60"/>
    </row>
    <row r="242" spans="1:14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60"/>
    </row>
    <row r="243" spans="1:14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60"/>
    </row>
    <row r="244" spans="1:14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60"/>
    </row>
    <row r="245" spans="1:14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60"/>
    </row>
    <row r="246" spans="1:14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60"/>
    </row>
    <row r="247" spans="1:14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60"/>
    </row>
    <row r="248" spans="1:14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60"/>
    </row>
    <row r="249" spans="1:14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60"/>
    </row>
    <row r="250" spans="1:14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60"/>
    </row>
    <row r="251" spans="1:14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60"/>
    </row>
    <row r="252" spans="1:14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60"/>
    </row>
    <row r="253" spans="1:14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60"/>
    </row>
    <row r="254" spans="1:14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60"/>
    </row>
    <row r="255" spans="1:14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60"/>
    </row>
    <row r="256" spans="1:14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60"/>
    </row>
    <row r="257" spans="1:14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60"/>
    </row>
    <row r="258" spans="1:14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60"/>
    </row>
    <row r="259" spans="1:14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60"/>
    </row>
    <row r="260" spans="1:14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60"/>
    </row>
    <row r="261" spans="1:14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60"/>
    </row>
    <row r="262" spans="1:14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60"/>
    </row>
    <row r="263" spans="1:14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60"/>
    </row>
    <row r="264" spans="1:14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60"/>
    </row>
    <row r="265" spans="1:14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60"/>
    </row>
    <row r="266" spans="1:14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60"/>
    </row>
    <row r="267" spans="1:14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60"/>
    </row>
    <row r="268" spans="1:14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60"/>
    </row>
    <row r="269" spans="1:14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60"/>
    </row>
    <row r="270" spans="1:14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60"/>
    </row>
    <row r="271" spans="1:14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60"/>
    </row>
    <row r="272" spans="1:14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60"/>
    </row>
    <row r="273" spans="1:14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60"/>
    </row>
    <row r="274" spans="1:14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60"/>
    </row>
    <row r="275" spans="1:14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60"/>
    </row>
    <row r="276" spans="1:14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60"/>
    </row>
    <row r="277" spans="1:14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60"/>
    </row>
    <row r="278" spans="1:14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60"/>
    </row>
    <row r="279" spans="1:14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60"/>
    </row>
    <row r="280" spans="1:14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60"/>
    </row>
    <row r="281" spans="1:14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60"/>
    </row>
    <row r="282" spans="1:14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60"/>
    </row>
    <row r="283" spans="1:14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60"/>
    </row>
    <row r="284" spans="1:14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60"/>
    </row>
    <row r="285" spans="1:14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60"/>
    </row>
    <row r="286" spans="1:14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60"/>
    </row>
    <row r="287" spans="1:14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60"/>
    </row>
    <row r="288" spans="1:14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60"/>
    </row>
    <row r="289" spans="1:14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60"/>
    </row>
    <row r="290" spans="1:14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60"/>
    </row>
    <row r="291" spans="1:14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60"/>
    </row>
    <row r="292" spans="1:14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60"/>
    </row>
    <row r="293" spans="1:14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60"/>
    </row>
    <row r="294" spans="1:14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60"/>
    </row>
    <row r="295" spans="1:14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60"/>
    </row>
    <row r="296" spans="1:14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60"/>
    </row>
    <row r="297" spans="1:14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60"/>
    </row>
    <row r="298" spans="1:14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60"/>
    </row>
    <row r="299" spans="1:14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60"/>
    </row>
    <row r="300" spans="1:14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60"/>
    </row>
    <row r="301" spans="1:14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60"/>
    </row>
    <row r="302" spans="1:14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60"/>
    </row>
    <row r="303" spans="1:14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60"/>
    </row>
    <row r="304" spans="1:14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60"/>
    </row>
    <row r="305" spans="1:14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60"/>
    </row>
    <row r="306" spans="1:14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60"/>
    </row>
    <row r="307" spans="1:14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60"/>
    </row>
    <row r="308" spans="1:14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60"/>
    </row>
    <row r="309" spans="1:14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60"/>
    </row>
    <row r="310" spans="1:14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60"/>
    </row>
    <row r="311" spans="1:14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60"/>
    </row>
    <row r="312" spans="1:14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60"/>
    </row>
    <row r="313" spans="1:14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60"/>
    </row>
    <row r="314" spans="1:14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60"/>
    </row>
    <row r="315" spans="1:14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60"/>
    </row>
    <row r="316" spans="1:14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60"/>
    </row>
    <row r="317" spans="1:14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60"/>
    </row>
    <row r="318" spans="1:14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60"/>
    </row>
    <row r="319" spans="1:14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60"/>
    </row>
    <row r="320" spans="1:14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60"/>
    </row>
    <row r="321" spans="1:14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60"/>
    </row>
    <row r="322" spans="1:14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60"/>
    </row>
    <row r="323" spans="1:14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60"/>
    </row>
    <row r="324" spans="1:14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60"/>
    </row>
    <row r="325" spans="1:14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60"/>
    </row>
    <row r="326" spans="1:14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60"/>
    </row>
    <row r="327" spans="1:14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60"/>
    </row>
    <row r="328" spans="1:14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60"/>
    </row>
    <row r="329" spans="1:14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60"/>
    </row>
    <row r="330" spans="1:14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60"/>
    </row>
    <row r="331" spans="1:14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60"/>
    </row>
    <row r="332" spans="1:14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60"/>
    </row>
    <row r="333" spans="1:14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60"/>
    </row>
    <row r="334" spans="1:14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60"/>
    </row>
    <row r="335" spans="1:14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60"/>
    </row>
    <row r="336" spans="1:14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60"/>
    </row>
    <row r="337" spans="1:14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60"/>
    </row>
    <row r="338" spans="1:14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60"/>
    </row>
    <row r="339" spans="1:14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60"/>
    </row>
    <row r="340" spans="1:14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60"/>
    </row>
    <row r="341" spans="1:14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60"/>
    </row>
    <row r="342" spans="1:14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60"/>
    </row>
    <row r="343" spans="1:14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60"/>
    </row>
    <row r="344" spans="1:14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60"/>
    </row>
    <row r="345" spans="1:14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60"/>
    </row>
    <row r="346" spans="1:14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60"/>
    </row>
    <row r="347" spans="1:14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60"/>
    </row>
    <row r="348" spans="1:14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60"/>
    </row>
    <row r="349" spans="1:14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60"/>
    </row>
    <row r="350" spans="1:14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60"/>
    </row>
    <row r="351" spans="1:14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60"/>
    </row>
    <row r="352" spans="1:14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60"/>
    </row>
    <row r="353" spans="1:14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60"/>
    </row>
    <row r="354" spans="1:14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60"/>
    </row>
    <row r="355" spans="1:14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60"/>
    </row>
    <row r="356" spans="1:14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60"/>
    </row>
    <row r="357" spans="1:14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60"/>
    </row>
    <row r="358" spans="1:14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60"/>
    </row>
    <row r="359" spans="1:14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60"/>
    </row>
    <row r="360" spans="1:14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60"/>
    </row>
    <row r="361" spans="1:14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60"/>
    </row>
    <row r="362" spans="1:14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60"/>
    </row>
    <row r="363" spans="1:14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60"/>
    </row>
    <row r="364" spans="1:14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60"/>
    </row>
    <row r="365" spans="1:14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60"/>
    </row>
    <row r="366" spans="1:14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60"/>
    </row>
    <row r="367" spans="1:14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60"/>
    </row>
    <row r="368" spans="1:14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60"/>
    </row>
    <row r="369" spans="1:14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60"/>
    </row>
    <row r="370" spans="1:14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60"/>
    </row>
    <row r="371" spans="1:14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60"/>
    </row>
    <row r="372" spans="1:14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60"/>
    </row>
    <row r="373" spans="1:14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60"/>
    </row>
    <row r="374" spans="1:14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60"/>
    </row>
    <row r="375" spans="1:14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60"/>
    </row>
    <row r="376" spans="1:14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60"/>
    </row>
    <row r="377" spans="1:14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60"/>
    </row>
    <row r="378" spans="1:14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60"/>
    </row>
    <row r="379" spans="1:14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60"/>
    </row>
    <row r="380" spans="1:14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60"/>
    </row>
    <row r="381" spans="1:14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60"/>
    </row>
    <row r="382" spans="1:14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60"/>
    </row>
    <row r="383" spans="1:14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60"/>
    </row>
    <row r="384" spans="1:14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60"/>
    </row>
    <row r="385" spans="1:14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60"/>
    </row>
    <row r="386" spans="1:14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60"/>
    </row>
    <row r="387" spans="1:14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60"/>
    </row>
    <row r="388" spans="1:14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60"/>
    </row>
    <row r="389" spans="1:14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60"/>
    </row>
    <row r="390" spans="1:14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60"/>
    </row>
    <row r="391" spans="1:14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60"/>
    </row>
    <row r="392" spans="1:14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60"/>
    </row>
    <row r="393" spans="1:14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60"/>
    </row>
    <row r="394" spans="1:14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60"/>
    </row>
    <row r="395" spans="1:14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60"/>
    </row>
    <row r="396" spans="1:14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60"/>
    </row>
    <row r="397" spans="1:14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60"/>
    </row>
    <row r="398" spans="1:14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60"/>
    </row>
    <row r="399" spans="1:14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60"/>
    </row>
    <row r="400" spans="1:14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60"/>
    </row>
    <row r="401" spans="1:14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60"/>
    </row>
    <row r="402" spans="1:14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60"/>
    </row>
    <row r="403" spans="1:14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60"/>
    </row>
    <row r="404" spans="1:14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60"/>
    </row>
    <row r="405" spans="1:14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60"/>
    </row>
    <row r="406" spans="1:14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60"/>
    </row>
    <row r="407" spans="1:14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60"/>
    </row>
    <row r="408" spans="1:14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60"/>
    </row>
    <row r="409" spans="1:14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60"/>
    </row>
    <row r="410" spans="1:14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60"/>
    </row>
    <row r="411" spans="1:14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60"/>
    </row>
    <row r="412" spans="1:14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60"/>
    </row>
    <row r="413" spans="1:14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60"/>
    </row>
    <row r="414" spans="1:14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60"/>
    </row>
    <row r="415" spans="1:14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60"/>
    </row>
    <row r="416" spans="1:14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60"/>
    </row>
    <row r="417" spans="1:14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60"/>
    </row>
    <row r="418" spans="1:14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60"/>
    </row>
    <row r="419" spans="1:14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60"/>
    </row>
    <row r="420" spans="1:14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60"/>
    </row>
    <row r="421" spans="1:14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60"/>
    </row>
    <row r="422" spans="1:14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60"/>
    </row>
    <row r="423" spans="1:14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60"/>
    </row>
    <row r="424" spans="1:14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60"/>
    </row>
    <row r="425" spans="1:14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60"/>
    </row>
    <row r="426" spans="1:14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60"/>
    </row>
    <row r="427" spans="1:14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60"/>
    </row>
    <row r="428" spans="1:14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60"/>
    </row>
    <row r="429" spans="1:14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60"/>
    </row>
    <row r="430" spans="1:14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60"/>
    </row>
    <row r="431" spans="1:14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60"/>
    </row>
    <row r="432" spans="1:14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60"/>
    </row>
    <row r="433" spans="1:14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60"/>
    </row>
    <row r="434" spans="1:14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60"/>
    </row>
    <row r="435" spans="1:14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60"/>
    </row>
    <row r="436" spans="1:14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60"/>
    </row>
    <row r="437" spans="1:14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60"/>
    </row>
    <row r="438" spans="1:14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60"/>
    </row>
    <row r="439" spans="1:14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60"/>
    </row>
    <row r="440" spans="1:14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60"/>
    </row>
    <row r="441" spans="1:14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60"/>
    </row>
    <row r="442" spans="1:14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60"/>
    </row>
    <row r="443" spans="1:14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60"/>
    </row>
    <row r="444" spans="1:14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60"/>
    </row>
    <row r="445" spans="1:14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60"/>
    </row>
    <row r="446" spans="1:14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60"/>
    </row>
    <row r="447" spans="1:14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60"/>
    </row>
    <row r="448" spans="1:14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60"/>
    </row>
    <row r="449" spans="1:14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60"/>
    </row>
    <row r="450" spans="1:14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60"/>
    </row>
    <row r="451" spans="1:14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60"/>
    </row>
    <row r="452" spans="1:14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60"/>
    </row>
    <row r="453" spans="1:14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60"/>
    </row>
    <row r="454" spans="1:14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60"/>
    </row>
    <row r="455" spans="1:14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60"/>
    </row>
    <row r="456" spans="1:14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60"/>
    </row>
    <row r="457" spans="1:14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60"/>
    </row>
    <row r="458" spans="1:14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60"/>
    </row>
    <row r="459" spans="1:14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60"/>
    </row>
    <row r="460" spans="1:14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60"/>
    </row>
    <row r="461" spans="1:14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60"/>
    </row>
  </sheetData>
  <autoFilter ref="A4:N4"/>
  <mergeCells count="9">
    <mergeCell ref="A1:J2"/>
    <mergeCell ref="L1:N1"/>
    <mergeCell ref="L2:N2"/>
    <mergeCell ref="A3:A4"/>
    <mergeCell ref="B3:B4"/>
    <mergeCell ref="C3:D3"/>
    <mergeCell ref="F3:I3"/>
    <mergeCell ref="J3:J4"/>
    <mergeCell ref="K3:K4"/>
  </mergeCells>
  <phoneticPr fontId="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26"/>
  <sheetViews>
    <sheetView view="pageBreakPreview" zoomScale="70" zoomScaleNormal="100" zoomScaleSheetLayoutView="70" workbookViewId="0">
      <selection activeCell="C1" sqref="C1"/>
    </sheetView>
  </sheetViews>
  <sheetFormatPr defaultColWidth="8.88671875" defaultRowHeight="16.5"/>
  <cols>
    <col min="1" max="1" width="11.44140625" style="187" customWidth="1"/>
    <col min="2" max="3" width="18.21875" style="187" customWidth="1"/>
    <col min="4" max="4" width="11.21875" style="187" customWidth="1"/>
    <col min="5" max="5" width="50.44140625" style="187" customWidth="1"/>
    <col min="6" max="16384" width="8.88671875" style="187"/>
  </cols>
  <sheetData>
    <row r="2" spans="1:12" ht="34.5" customHeight="1">
      <c r="A2" s="190" t="s">
        <v>388</v>
      </c>
    </row>
    <row r="3" spans="1:12" ht="32.25" customHeight="1">
      <c r="A3" s="194" t="s">
        <v>363</v>
      </c>
      <c r="B3" s="194" t="s">
        <v>361</v>
      </c>
      <c r="C3" s="194" t="s">
        <v>362</v>
      </c>
      <c r="D3" s="194" t="s">
        <v>384</v>
      </c>
      <c r="E3" s="195" t="s">
        <v>385</v>
      </c>
      <c r="F3" s="188"/>
      <c r="G3" s="188"/>
      <c r="H3" s="188"/>
      <c r="I3" s="188"/>
      <c r="J3" s="188"/>
      <c r="K3" s="188"/>
      <c r="L3" s="188"/>
    </row>
    <row r="4" spans="1:12" ht="115.5">
      <c r="A4" s="191" t="s">
        <v>364</v>
      </c>
      <c r="B4" s="192">
        <f>'[11]50A'!$K$29</f>
        <v>131131</v>
      </c>
      <c r="C4" s="192">
        <f>'50A'!K29</f>
        <v>159826</v>
      </c>
      <c r="D4" s="193">
        <f>B4-C4</f>
        <v>-28695</v>
      </c>
      <c r="E4" s="197" t="s">
        <v>386</v>
      </c>
      <c r="F4" s="188"/>
      <c r="G4" s="188"/>
      <c r="H4" s="188"/>
      <c r="I4" s="188"/>
      <c r="J4" s="188"/>
      <c r="K4" s="188"/>
      <c r="L4" s="188"/>
    </row>
    <row r="5" spans="1:12" ht="115.5">
      <c r="A5" s="191" t="s">
        <v>365</v>
      </c>
      <c r="B5" s="192">
        <f>'[11]65A'!$K$29</f>
        <v>143761</v>
      </c>
      <c r="C5" s="192">
        <f>'65A'!K29</f>
        <v>172230</v>
      </c>
      <c r="D5" s="193">
        <f t="shared" ref="D5:D23" si="0">B5-C5</f>
        <v>-28469</v>
      </c>
      <c r="E5" s="197" t="s">
        <v>386</v>
      </c>
      <c r="F5" s="188"/>
      <c r="G5" s="188"/>
      <c r="H5" s="188"/>
      <c r="I5" s="188"/>
      <c r="J5" s="188"/>
      <c r="K5" s="188"/>
      <c r="L5" s="188"/>
    </row>
    <row r="6" spans="1:12" ht="115.5">
      <c r="A6" s="191" t="s">
        <v>366</v>
      </c>
      <c r="B6" s="192">
        <f>'[11]80A'!$K$29</f>
        <v>166688</v>
      </c>
      <c r="C6" s="192">
        <f>'80A'!K29</f>
        <v>192253</v>
      </c>
      <c r="D6" s="193">
        <f t="shared" si="0"/>
        <v>-25565</v>
      </c>
      <c r="E6" s="197" t="s">
        <v>386</v>
      </c>
      <c r="F6" s="188"/>
      <c r="G6" s="188"/>
      <c r="H6" s="188"/>
      <c r="I6" s="188"/>
      <c r="J6" s="188"/>
      <c r="K6" s="188"/>
      <c r="L6" s="188"/>
    </row>
    <row r="7" spans="1:12" ht="115.5">
      <c r="A7" s="191" t="s">
        <v>367</v>
      </c>
      <c r="B7" s="192">
        <f>'[11]100A'!$K$29</f>
        <v>219713</v>
      </c>
      <c r="C7" s="192">
        <f>'100A'!K29</f>
        <v>228912</v>
      </c>
      <c r="D7" s="193">
        <f t="shared" si="0"/>
        <v>-9199</v>
      </c>
      <c r="E7" s="197" t="s">
        <v>386</v>
      </c>
      <c r="F7" s="188"/>
      <c r="G7" s="188"/>
      <c r="H7" s="188"/>
      <c r="I7" s="188"/>
      <c r="J7" s="188"/>
      <c r="K7" s="188"/>
      <c r="L7" s="188"/>
    </row>
    <row r="8" spans="1:12" ht="115.5">
      <c r="A8" s="191" t="s">
        <v>368</v>
      </c>
      <c r="B8" s="192">
        <f>'[11]125A'!$K$29</f>
        <v>270515</v>
      </c>
      <c r="C8" s="192">
        <f>'125A'!K29</f>
        <v>258030</v>
      </c>
      <c r="D8" s="193">
        <f t="shared" si="0"/>
        <v>12485</v>
      </c>
      <c r="E8" s="197" t="s">
        <v>386</v>
      </c>
      <c r="F8" s="188"/>
      <c r="G8" s="188"/>
      <c r="H8" s="188"/>
      <c r="I8" s="188"/>
      <c r="J8" s="188"/>
      <c r="K8" s="188"/>
      <c r="L8" s="188"/>
    </row>
    <row r="9" spans="1:12" ht="115.5">
      <c r="A9" s="191" t="s">
        <v>369</v>
      </c>
      <c r="B9" s="192">
        <f>'[11]150A'!$K$29</f>
        <v>310461</v>
      </c>
      <c r="C9" s="192">
        <f>'150A'!K29</f>
        <v>338760</v>
      </c>
      <c r="D9" s="193">
        <f t="shared" si="0"/>
        <v>-28299</v>
      </c>
      <c r="E9" s="197" t="s">
        <v>386</v>
      </c>
      <c r="F9" s="188"/>
      <c r="G9" s="188"/>
      <c r="H9" s="188"/>
      <c r="I9" s="188"/>
      <c r="J9" s="188"/>
      <c r="K9" s="188"/>
      <c r="L9" s="188"/>
    </row>
    <row r="10" spans="1:12" ht="115.5">
      <c r="A10" s="191" t="s">
        <v>370</v>
      </c>
      <c r="B10" s="192">
        <f>'[11]200A'!$K$29</f>
        <v>425357</v>
      </c>
      <c r="C10" s="192">
        <f>'200A'!K29</f>
        <v>448532</v>
      </c>
      <c r="D10" s="193">
        <f t="shared" si="0"/>
        <v>-23175</v>
      </c>
      <c r="E10" s="197" t="s">
        <v>386</v>
      </c>
      <c r="F10" s="188"/>
      <c r="G10" s="188"/>
      <c r="H10" s="188"/>
      <c r="I10" s="188"/>
      <c r="J10" s="188"/>
      <c r="K10" s="188"/>
      <c r="L10" s="188"/>
    </row>
    <row r="11" spans="1:12" ht="115.5">
      <c r="A11" s="191" t="s">
        <v>371</v>
      </c>
      <c r="B11" s="192">
        <f>'[11]250A'!$K$29</f>
        <v>608000</v>
      </c>
      <c r="C11" s="192">
        <f>'250A'!K29</f>
        <v>628025</v>
      </c>
      <c r="D11" s="193">
        <f t="shared" si="0"/>
        <v>-20025</v>
      </c>
      <c r="E11" s="197" t="s">
        <v>386</v>
      </c>
      <c r="F11" s="188"/>
      <c r="G11" s="188"/>
      <c r="H11" s="188"/>
      <c r="I11" s="188"/>
      <c r="J11" s="188"/>
      <c r="K11" s="196"/>
      <c r="L11" s="188"/>
    </row>
    <row r="12" spans="1:12" ht="115.5">
      <c r="A12" s="191" t="s">
        <v>372</v>
      </c>
      <c r="B12" s="192">
        <f>'[11]300A'!$K$29</f>
        <v>838700</v>
      </c>
      <c r="C12" s="192">
        <f>'300A'!K29</f>
        <v>808605</v>
      </c>
      <c r="D12" s="193">
        <f t="shared" si="0"/>
        <v>30095</v>
      </c>
      <c r="E12" s="197" t="s">
        <v>386</v>
      </c>
      <c r="F12" s="188"/>
      <c r="G12" s="188"/>
      <c r="H12" s="188"/>
      <c r="I12" s="188"/>
      <c r="J12" s="188"/>
      <c r="K12" s="188"/>
      <c r="L12" s="188"/>
    </row>
    <row r="13" spans="1:12" ht="32.25" customHeight="1">
      <c r="A13" s="191" t="s">
        <v>373</v>
      </c>
      <c r="B13" s="192">
        <v>1301980</v>
      </c>
      <c r="C13" s="192">
        <f>'350A'!K29</f>
        <v>1313300</v>
      </c>
      <c r="D13" s="193">
        <f t="shared" si="0"/>
        <v>-11320</v>
      </c>
      <c r="E13" s="197" t="s">
        <v>387</v>
      </c>
      <c r="F13" s="188"/>
      <c r="G13" s="188"/>
      <c r="H13" s="188"/>
      <c r="I13" s="188"/>
      <c r="J13" s="188"/>
      <c r="K13" s="188"/>
      <c r="L13" s="188"/>
    </row>
    <row r="14" spans="1:12" ht="32.25" customHeight="1">
      <c r="A14" s="191" t="s">
        <v>374</v>
      </c>
      <c r="B14" s="192">
        <f>'[11]400A'!$K$29</f>
        <v>1748520</v>
      </c>
      <c r="C14" s="192">
        <v>1808320</v>
      </c>
      <c r="D14" s="193">
        <f t="shared" si="0"/>
        <v>-59800</v>
      </c>
      <c r="E14" s="197" t="s">
        <v>387</v>
      </c>
      <c r="F14" s="188"/>
      <c r="G14" s="188"/>
      <c r="H14" s="188"/>
      <c r="I14" s="188"/>
      <c r="J14" s="188"/>
      <c r="K14" s="188"/>
      <c r="L14" s="188"/>
    </row>
    <row r="15" spans="1:12" ht="32.25" customHeight="1">
      <c r="A15" s="191" t="s">
        <v>375</v>
      </c>
      <c r="B15" s="192">
        <f>'[11]450A'!$K$29</f>
        <v>2128310</v>
      </c>
      <c r="C15" s="192">
        <f>'450A'!K29</f>
        <v>2119810</v>
      </c>
      <c r="D15" s="193">
        <f t="shared" si="0"/>
        <v>8500</v>
      </c>
      <c r="E15" s="197" t="s">
        <v>387</v>
      </c>
      <c r="F15" s="188"/>
      <c r="G15" s="188"/>
      <c r="H15" s="188"/>
      <c r="I15" s="188"/>
      <c r="J15" s="188"/>
      <c r="K15" s="188"/>
      <c r="L15" s="188"/>
    </row>
    <row r="16" spans="1:12" ht="32.25" customHeight="1">
      <c r="A16" s="191" t="s">
        <v>376</v>
      </c>
      <c r="B16" s="192">
        <f>'[11]500A'!$K$29</f>
        <v>2550800</v>
      </c>
      <c r="C16" s="192">
        <f>'500A'!K29</f>
        <v>2575800</v>
      </c>
      <c r="D16" s="193">
        <f t="shared" si="0"/>
        <v>-25000</v>
      </c>
      <c r="E16" s="197" t="s">
        <v>387</v>
      </c>
      <c r="F16" s="188"/>
      <c r="G16" s="188"/>
      <c r="H16" s="188"/>
      <c r="I16" s="188"/>
      <c r="J16" s="188"/>
      <c r="K16" s="188"/>
      <c r="L16" s="188"/>
    </row>
    <row r="17" spans="1:12" ht="32.25" customHeight="1">
      <c r="A17" s="191" t="s">
        <v>377</v>
      </c>
      <c r="B17" s="192">
        <f>'[11]600A'!$K$29</f>
        <v>3855686</v>
      </c>
      <c r="C17" s="192">
        <f>'600A'!K29</f>
        <v>3136086</v>
      </c>
      <c r="D17" s="193">
        <f t="shared" si="0"/>
        <v>719600</v>
      </c>
      <c r="E17" s="197" t="s">
        <v>387</v>
      </c>
      <c r="F17" s="188"/>
      <c r="G17" s="188"/>
      <c r="H17" s="188"/>
      <c r="I17" s="188"/>
      <c r="J17" s="188"/>
      <c r="K17" s="188"/>
      <c r="L17" s="188"/>
    </row>
    <row r="18" spans="1:12" ht="32.25" customHeight="1">
      <c r="A18" s="191" t="s">
        <v>378</v>
      </c>
      <c r="B18" s="192">
        <f>'[11]650A'!$K$29</f>
        <v>4349910</v>
      </c>
      <c r="C18" s="192">
        <f>'650A'!K29</f>
        <v>4220910</v>
      </c>
      <c r="D18" s="193">
        <f t="shared" si="0"/>
        <v>129000</v>
      </c>
      <c r="E18" s="197" t="s">
        <v>387</v>
      </c>
      <c r="F18" s="188"/>
      <c r="G18" s="188"/>
      <c r="H18" s="188"/>
      <c r="I18" s="188"/>
      <c r="J18" s="188"/>
      <c r="K18" s="188"/>
      <c r="L18" s="188"/>
    </row>
    <row r="19" spans="1:12" ht="32.25" customHeight="1">
      <c r="A19" s="191" t="s">
        <v>379</v>
      </c>
      <c r="B19" s="192">
        <f>'[11]700A'!$K$29</f>
        <v>5806380</v>
      </c>
      <c r="C19" s="192">
        <f>'700A'!K29</f>
        <v>5197380</v>
      </c>
      <c r="D19" s="193">
        <f t="shared" si="0"/>
        <v>609000</v>
      </c>
      <c r="E19" s="197" t="s">
        <v>387</v>
      </c>
      <c r="F19" s="188"/>
      <c r="G19" s="188"/>
      <c r="H19" s="188"/>
      <c r="I19" s="188"/>
      <c r="J19" s="188"/>
      <c r="K19" s="188"/>
      <c r="L19" s="188"/>
    </row>
    <row r="20" spans="1:12" ht="32.25" customHeight="1">
      <c r="A20" s="191" t="s">
        <v>380</v>
      </c>
      <c r="B20" s="192">
        <f>'[11]750A'!$K$29</f>
        <v>6260760</v>
      </c>
      <c r="C20" s="192">
        <f>'750A'!K29</f>
        <v>5666760</v>
      </c>
      <c r="D20" s="193">
        <f t="shared" si="0"/>
        <v>594000</v>
      </c>
      <c r="E20" s="197" t="s">
        <v>387</v>
      </c>
      <c r="F20" s="188"/>
      <c r="G20" s="188"/>
      <c r="H20" s="188"/>
      <c r="I20" s="188"/>
      <c r="J20" s="188"/>
      <c r="K20" s="188"/>
      <c r="L20" s="188"/>
    </row>
    <row r="21" spans="1:12" ht="32.25" customHeight="1">
      <c r="A21" s="191" t="s">
        <v>381</v>
      </c>
      <c r="B21" s="192">
        <f>'[11]800A'!$K$29</f>
        <v>6842440</v>
      </c>
      <c r="C21" s="192">
        <f>'800A'!K29</f>
        <v>6247190</v>
      </c>
      <c r="D21" s="193">
        <f t="shared" si="0"/>
        <v>595250</v>
      </c>
      <c r="E21" s="197" t="s">
        <v>387</v>
      </c>
      <c r="F21" s="188"/>
      <c r="G21" s="188"/>
      <c r="H21" s="188"/>
      <c r="I21" s="188"/>
      <c r="J21" s="188"/>
      <c r="K21" s="188"/>
      <c r="L21" s="188"/>
    </row>
    <row r="22" spans="1:12" ht="32.25" customHeight="1">
      <c r="A22" s="191" t="s">
        <v>382</v>
      </c>
      <c r="B22" s="192">
        <v>10586880</v>
      </c>
      <c r="C22" s="192">
        <f>'900A'!K29</f>
        <v>9675180</v>
      </c>
      <c r="D22" s="193">
        <f t="shared" si="0"/>
        <v>911700</v>
      </c>
      <c r="E22" s="197" t="s">
        <v>387</v>
      </c>
      <c r="F22" s="188"/>
      <c r="G22" s="188"/>
      <c r="H22" s="188"/>
      <c r="I22" s="188"/>
      <c r="J22" s="188"/>
      <c r="K22" s="188"/>
      <c r="L22" s="188"/>
    </row>
    <row r="23" spans="1:12" ht="32.25" customHeight="1">
      <c r="A23" s="191" t="s">
        <v>383</v>
      </c>
      <c r="B23" s="192">
        <f>'[11]1000A'!$K$29</f>
        <v>11785550</v>
      </c>
      <c r="C23" s="192">
        <v>11941150</v>
      </c>
      <c r="D23" s="193">
        <f t="shared" si="0"/>
        <v>-155600</v>
      </c>
      <c r="E23" s="197" t="s">
        <v>387</v>
      </c>
      <c r="F23" s="188"/>
      <c r="G23" s="188"/>
      <c r="H23" s="188"/>
      <c r="I23" s="188"/>
      <c r="J23" s="188"/>
      <c r="K23" s="188"/>
      <c r="L23" s="188"/>
    </row>
    <row r="24" spans="1:12">
      <c r="B24" s="189"/>
      <c r="C24" s="189"/>
      <c r="D24" s="188"/>
      <c r="E24" s="188"/>
      <c r="F24" s="188"/>
      <c r="G24" s="188"/>
      <c r="H24" s="188"/>
      <c r="I24" s="188"/>
      <c r="J24" s="188"/>
      <c r="K24" s="188"/>
      <c r="L24" s="188"/>
    </row>
    <row r="25" spans="1:12">
      <c r="B25" s="189"/>
      <c r="C25" s="189"/>
      <c r="D25" s="188"/>
      <c r="E25" s="188"/>
      <c r="F25" s="188"/>
      <c r="G25" s="188"/>
      <c r="H25" s="188"/>
      <c r="I25" s="188"/>
      <c r="J25" s="188"/>
      <c r="K25" s="188"/>
      <c r="L25" s="188"/>
    </row>
    <row r="26" spans="1:12">
      <c r="B26" s="189"/>
      <c r="C26" s="189"/>
      <c r="D26" s="188"/>
      <c r="E26" s="188"/>
      <c r="F26" s="188"/>
      <c r="G26" s="188"/>
      <c r="H26" s="188"/>
      <c r="I26" s="188"/>
      <c r="J26" s="188"/>
      <c r="K26" s="188"/>
      <c r="L26" s="188"/>
    </row>
  </sheetData>
  <phoneticPr fontId="8" type="noConversion"/>
  <pageMargins left="0.7" right="0.7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이름이 지정된 범위</vt:lpstr>
      </vt:variant>
      <vt:variant>
        <vt:i4>22</vt:i4>
      </vt:variant>
    </vt:vector>
  </HeadingPairs>
  <TitlesOfParts>
    <vt:vector size="45" baseType="lpstr">
      <vt:lpstr>BFLY</vt:lpstr>
      <vt:lpstr>50A</vt:lpstr>
      <vt:lpstr>65A</vt:lpstr>
      <vt:lpstr>80A</vt:lpstr>
      <vt:lpstr>100A</vt:lpstr>
      <vt:lpstr>125A</vt:lpstr>
      <vt:lpstr>150A</vt:lpstr>
      <vt:lpstr>200A</vt:lpstr>
      <vt:lpstr>250A</vt:lpstr>
      <vt:lpstr>300A</vt:lpstr>
      <vt:lpstr>350A</vt:lpstr>
      <vt:lpstr>400A</vt:lpstr>
      <vt:lpstr>450A</vt:lpstr>
      <vt:lpstr>500A</vt:lpstr>
      <vt:lpstr>600A</vt:lpstr>
      <vt:lpstr>650A</vt:lpstr>
      <vt:lpstr>700A</vt:lpstr>
      <vt:lpstr>750A</vt:lpstr>
      <vt:lpstr>800A</vt:lpstr>
      <vt:lpstr>900A</vt:lpstr>
      <vt:lpstr>1000A</vt:lpstr>
      <vt:lpstr>PATTERN</vt:lpstr>
      <vt:lpstr>가격 비교표 OLD, NEW</vt:lpstr>
      <vt:lpstr>'1000A'!Print_Area</vt:lpstr>
      <vt:lpstr>'100A'!Print_Area</vt:lpstr>
      <vt:lpstr>'125A'!Print_Area</vt:lpstr>
      <vt:lpstr>'150A'!Print_Area</vt:lpstr>
      <vt:lpstr>'200A'!Print_Area</vt:lpstr>
      <vt:lpstr>'250A'!Print_Area</vt:lpstr>
      <vt:lpstr>'300A'!Print_Area</vt:lpstr>
      <vt:lpstr>'350A'!Print_Area</vt:lpstr>
      <vt:lpstr>'400A'!Print_Area</vt:lpstr>
      <vt:lpstr>'450A'!Print_Area</vt:lpstr>
      <vt:lpstr>'500A'!Print_Area</vt:lpstr>
      <vt:lpstr>'50A'!Print_Area</vt:lpstr>
      <vt:lpstr>'600A'!Print_Area</vt:lpstr>
      <vt:lpstr>'650A'!Print_Area</vt:lpstr>
      <vt:lpstr>'65A'!Print_Area</vt:lpstr>
      <vt:lpstr>'700A'!Print_Area</vt:lpstr>
      <vt:lpstr>'750A'!Print_Area</vt:lpstr>
      <vt:lpstr>'800A'!Print_Area</vt:lpstr>
      <vt:lpstr>'80A'!Print_Area</vt:lpstr>
      <vt:lpstr>'900A'!Print_Area</vt:lpstr>
      <vt:lpstr>BFLY!Print_Area</vt:lpstr>
      <vt:lpstr>'가격 비교표 OLD, NEW'!Print_Area</vt:lpstr>
    </vt:vector>
  </TitlesOfParts>
  <Company>hhi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</dc:creator>
  <cp:lastModifiedBy>영업부-12</cp:lastModifiedBy>
  <cp:lastPrinted>2019-02-28T03:42:56Z</cp:lastPrinted>
  <dcterms:created xsi:type="dcterms:W3CDTF">2006-01-20T06:33:32Z</dcterms:created>
  <dcterms:modified xsi:type="dcterms:W3CDTF">2023-08-30T07:46:51Z</dcterms:modified>
</cp:coreProperties>
</file>