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AMSUNG\P_WorkRoom\0-업무용자료-PJT구매\1-1-수행PJT\113_UAD\02-MR\03-MOV Butterfly\"/>
    </mc:Choice>
  </mc:AlternateContent>
  <xr:revisionPtr revIDLastSave="0" documentId="13_ncr:1_{8484E4FB-3273-4801-860B-79E6234730DB}" xr6:coauthVersionLast="47" xr6:coauthVersionMax="47" xr10:uidLastSave="{00000000-0000-0000-0000-000000000000}"/>
  <bookViews>
    <workbookView xWindow="-6570" yWindow="-16365" windowWidth="29040" windowHeight="15840" firstSheet="1" activeTab="1" xr2:uid="{00000000-000D-0000-FFFF-FFFF00000000}"/>
  </bookViews>
  <sheets>
    <sheet name="COGEN_ISSUE_A" sheetId="9" state="hidden" r:id="rId1"/>
    <sheet name="MOV" sheetId="1" r:id="rId2"/>
    <sheet name="SDT_220118" sheetId="10" state="hidden" r:id="rId3"/>
    <sheet name="VALVE LIST (COGEN&amp;DESAL)_이기훈프로" sheetId="32" state="hidden" r:id="rId4"/>
    <sheet name="Sheet2" sheetId="34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COGEN_ISSUE_A!$A$6:$Y$229</definedName>
    <definedName name="_xlnm._FilterDatabase" localSheetId="1" hidden="1">MOV!$A$3:$BK$48</definedName>
    <definedName name="_xlnm._FilterDatabase" localSheetId="2" hidden="1">SDT_220118!$A$3:$AI$413</definedName>
    <definedName name="_xlnm._FilterDatabase" localSheetId="3" hidden="1">'VALVE LIST (COGEN&amp;DESAL)_이기훈프로'!$A$6:$AE$62</definedName>
    <definedName name="_plc1" localSheetId="2">[1]INSTR!$A$5:$M$208</definedName>
    <definedName name="aa" localSheetId="2">'[2]MEASURE LIST'!$B$3:$AM$43</definedName>
    <definedName name="abab" localSheetId="0">BlankMacro1</definedName>
    <definedName name="abab" localSheetId="2">BlankMacro1</definedName>
    <definedName name="abab" localSheetId="3">BlankMacro1</definedName>
    <definedName name="abac" localSheetId="0">BlankMacro1</definedName>
    <definedName name="abac" localSheetId="2">BlankMacro1</definedName>
    <definedName name="abac" localSheetId="3">BlankMacro1</definedName>
    <definedName name="abc" localSheetId="0">BlankMacro1</definedName>
    <definedName name="abc" localSheetId="2">BlankMacro1</definedName>
    <definedName name="abc" localSheetId="3">BlankMacro1</definedName>
    <definedName name="Am_Fr_A1s" localSheetId="3">OFFSET(Am_Fr_A1,0,0,COUNTA(OFFSET(Am_Fr_RPM,0,0,10,1)),1)</definedName>
    <definedName name="Am_Fr_A2s" localSheetId="3">OFFSET(Am_Fr_A2,0,0,COUNTA(OFFSET(Am_Fr_RPM,0,0,10,1)),1)</definedName>
    <definedName name="Am_Fr_RPMs" localSheetId="3">OFFSET(Am_Fr_RPM,0,0,COUNTA(OFFSET(Am_Fr_RPM,0,0,10,1)),1)</definedName>
    <definedName name="ana" localSheetId="0">BlankMacro1</definedName>
    <definedName name="ana" localSheetId="2">BlankMacro1</definedName>
    <definedName name="ana" localSheetId="3">BlankMacro1</definedName>
    <definedName name="Analyzer" localSheetId="0">BlankMacro1</definedName>
    <definedName name="Analyzer" localSheetId="2">BlankMacro1</definedName>
    <definedName name="Analyzer" localSheetId="3">BlankMacro1</definedName>
    <definedName name="cv" localSheetId="0">BlankMacro1</definedName>
    <definedName name="cv" localSheetId="2">BlankMacro1</definedName>
    <definedName name="cv" localSheetId="3">BlankMacro1</definedName>
    <definedName name="dc" localSheetId="3">'[3]2. Cable Spec'!$AO$15:$AP$36</definedName>
    <definedName name="DJDJ" localSheetId="0">BlankMacro1</definedName>
    <definedName name="DJDJ" localSheetId="2">BlankMacro1</definedName>
    <definedName name="DJDJ" localSheetId="3">BlankMacro1</definedName>
    <definedName name="eq" localSheetId="2">[4]eq_data!$C$5:$C$54</definedName>
    <definedName name="eq_name" localSheetId="2">[5]eq_data!$C$5:$C$54</definedName>
    <definedName name="H_accels" localSheetId="3">OFFSET(H_accel,0,0,COUNTA(OFFSET(Am_Fr_RPM,0,0,10,1)),1)</definedName>
    <definedName name="H_Velos" localSheetId="3">OFFSET(H_Velo,0,0,COUNTA(OFFSET(Am_Fr_RPM,0,0,10,1)),1)</definedName>
    <definedName name="HTML_Control" localSheetId="2">{"'장비'!$A$3:$M$12"}</definedName>
    <definedName name="HTML_Control" localSheetId="3">{"'장비'!$A$3:$M$12"}</definedName>
    <definedName name="level" localSheetId="2">[6]c_data!$V$3:$W$12</definedName>
    <definedName name="mic" localSheetId="0">BlankMacro1</definedName>
    <definedName name="mic" localSheetId="2">BlankMacro1</definedName>
    <definedName name="mic" localSheetId="3">BlankMacro1</definedName>
    <definedName name="mic_inst_2" localSheetId="0">BlankMacro1</definedName>
    <definedName name="mic_inst_2" localSheetId="2">BlankMacro1</definedName>
    <definedName name="mic_inst_2" localSheetId="3">BlankMacro1</definedName>
    <definedName name="P" localSheetId="0">BlankMacro1</definedName>
    <definedName name="P" localSheetId="2">BlankMacro1</definedName>
    <definedName name="P" localSheetId="3">BlankMacro1</definedName>
    <definedName name="_xlnm.Print_Area" localSheetId="0">COGEN_ISSUE_A!$A$1:$Y$229</definedName>
    <definedName name="_xlnm.Print_Area" localSheetId="1">MOV!$B$2:$BJ$48</definedName>
    <definedName name="_xlnm.Print_Area" localSheetId="3">'VALVE LIST (COGEN&amp;DESAL)_이기훈프로'!$A$1:$AE$62</definedName>
    <definedName name="_xlnm.Print_Titles" localSheetId="1">MOV!$1:$3</definedName>
    <definedName name="_xlnm.Print_Titles" localSheetId="3">'VALVE LIST (COGEN&amp;DESAL)_이기훈프로'!$1:$6</definedName>
    <definedName name="pump" localSheetId="0">BlankMacro1</definedName>
    <definedName name="pump" localSheetId="2">BlankMacro1</definedName>
    <definedName name="pump" localSheetId="3">BlankMacro1</definedName>
    <definedName name="qq" localSheetId="3">BLCH</definedName>
    <definedName name="QQQ" localSheetId="0">BlankMacro1</definedName>
    <definedName name="QQQ" localSheetId="2">BlankMacro1</definedName>
    <definedName name="QQQ" localSheetId="3">BlankMacro1</definedName>
    <definedName name="qqqq" localSheetId="2">{"'장비'!$A$3:$M$12"}</definedName>
    <definedName name="qqqq" localSheetId="3">{"'장비'!$A$3:$M$12"}</definedName>
    <definedName name="RTY" localSheetId="3">OFFSET(Am_Fr_A1,0,0,COUNTA(OFFSET(Am_Fr_RPM,0,0,10,1)),1)</definedName>
    <definedName name="sddd" localSheetId="0">BlankMacro1</definedName>
    <definedName name="sddd" localSheetId="2">BlankMacro1</definedName>
    <definedName name="sddd" localSheetId="3">BlankMacro1</definedName>
    <definedName name="SHEET8" localSheetId="0">BlankMacro1</definedName>
    <definedName name="SHEET8" localSheetId="2">BlankMacro1</definedName>
    <definedName name="SHEET8" localSheetId="3">BlankMacro1</definedName>
    <definedName name="SHEET9" localSheetId="0">BlankMacro1</definedName>
    <definedName name="SHEET9" localSheetId="2">BlankMacro1</definedName>
    <definedName name="SHEET9" localSheetId="3">BlankMacro1</definedName>
    <definedName name="sssssssssss" localSheetId="0">BlankMacro1</definedName>
    <definedName name="sssssssssss" localSheetId="2">BlankMacro1</definedName>
    <definedName name="sssssssssss" localSheetId="3">BlankMacro1</definedName>
    <definedName name="te" localSheetId="3">[7]density_calc_UNESCO!$G$10</definedName>
    <definedName name="temp" localSheetId="2">'[8]1. effluent characteristics'!$C$35</definedName>
    <definedName name="V_accels" localSheetId="3">OFFSET(V_accel,0,0,COUNTA(OFFSET(Am_Fr_RPM,0,0,10,1)),1)</definedName>
    <definedName name="V_Velos" localSheetId="3">OFFSET(V_Velo,0,0,COUNTA(OFFSET(Am_Fr_RPM,0,0,10,1)),1)</definedName>
    <definedName name="템플리트모듈1" localSheetId="0">BlankMacro1</definedName>
    <definedName name="템플리트모듈1" localSheetId="2">BlankMacro1</definedName>
    <definedName name="템플리트모듈1" localSheetId="3">BlankMacro1</definedName>
    <definedName name="템플리트모듈2" localSheetId="0">BlankMacro1</definedName>
    <definedName name="템플리트모듈2" localSheetId="2">BlankMacro1</definedName>
    <definedName name="템플리트모듈2" localSheetId="3">BlankMacro1</definedName>
    <definedName name="템플리트모듈3" localSheetId="0">BlankMacro1</definedName>
    <definedName name="템플리트모듈3" localSheetId="2">BlankMacro1</definedName>
    <definedName name="템플리트모듈3" localSheetId="3">BlankMacro1</definedName>
    <definedName name="템플리트모듈4" localSheetId="0">BlankMacro1</definedName>
    <definedName name="템플리트모듈4" localSheetId="2">BlankMacro1</definedName>
    <definedName name="템플리트모듈4" localSheetId="3">BlankMacro1</definedName>
    <definedName name="템플리트모듈5" localSheetId="0">BlankMacro1</definedName>
    <definedName name="템플리트모듈5" localSheetId="2">BlankMacro1</definedName>
    <definedName name="템플리트모듈5" localSheetId="3">BlankMacro1</definedName>
    <definedName name="템플리트모듈6" localSheetId="0">BlankMacro1</definedName>
    <definedName name="템플리트모듈6" localSheetId="2">BlankMacro1</definedName>
    <definedName name="템플리트모듈6" localSheetId="3">BlankMacro1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8" i="32" l="1"/>
  <c r="O57" i="32"/>
  <c r="O56" i="32"/>
  <c r="O55" i="32"/>
  <c r="O54" i="32"/>
  <c r="O49" i="32"/>
  <c r="O48" i="32"/>
  <c r="O47" i="32"/>
  <c r="O46" i="32"/>
  <c r="O45" i="32"/>
  <c r="O18" i="32"/>
  <c r="O17" i="32"/>
  <c r="O16" i="32"/>
  <c r="O15" i="32"/>
  <c r="O14" i="32"/>
  <c r="O13" i="32"/>
  <c r="O8" i="32"/>
  <c r="O7" i="32"/>
  <c r="F412" i="10" l="1"/>
  <c r="F411" i="10"/>
  <c r="I410" i="10"/>
  <c r="E410" i="10"/>
  <c r="I409" i="10"/>
  <c r="E409" i="10"/>
  <c r="J408" i="10"/>
  <c r="E408" i="10"/>
  <c r="I407" i="10"/>
  <c r="I406" i="10"/>
  <c r="K405" i="10"/>
  <c r="K402" i="10"/>
  <c r="K399" i="10"/>
  <c r="F399" i="10"/>
  <c r="J399" i="10" s="1"/>
  <c r="K398" i="10"/>
  <c r="F398" i="10"/>
  <c r="J398" i="10" s="1"/>
  <c r="K397" i="10"/>
  <c r="F397" i="10"/>
  <c r="J397" i="10" s="1"/>
  <c r="K396" i="10"/>
  <c r="F396" i="10"/>
  <c r="J396" i="10" s="1"/>
  <c r="K395" i="10"/>
  <c r="F395" i="10"/>
  <c r="K394" i="10"/>
  <c r="F394" i="10"/>
  <c r="J394" i="10" s="1"/>
  <c r="J395" i="10" s="1"/>
  <c r="I391" i="10"/>
  <c r="J391" i="10" s="1"/>
  <c r="H391" i="10"/>
  <c r="F391" i="10"/>
  <c r="I390" i="10"/>
  <c r="J390" i="10" s="1"/>
  <c r="H390" i="10"/>
  <c r="F390" i="10"/>
  <c r="I389" i="10"/>
  <c r="J389" i="10" s="1"/>
  <c r="H389" i="10"/>
  <c r="F389" i="10"/>
  <c r="I388" i="10"/>
  <c r="J388" i="10" s="1"/>
  <c r="H388" i="10"/>
  <c r="F388" i="10"/>
  <c r="I387" i="10"/>
  <c r="J387" i="10" s="1"/>
  <c r="H387" i="10"/>
  <c r="F387" i="10"/>
  <c r="I386" i="10"/>
  <c r="J386" i="10" s="1"/>
  <c r="H386" i="10"/>
  <c r="F386" i="10"/>
  <c r="I383" i="10"/>
  <c r="E383" i="10"/>
  <c r="I382" i="10"/>
  <c r="H382" i="10"/>
  <c r="E382" i="10"/>
  <c r="D382" i="10"/>
  <c r="I381" i="10"/>
  <c r="H381" i="10"/>
  <c r="E381" i="10"/>
  <c r="D381" i="10"/>
  <c r="I380" i="10"/>
  <c r="H380" i="10"/>
  <c r="H383" i="10" s="1"/>
  <c r="E380" i="10"/>
  <c r="D380" i="10"/>
  <c r="D383" i="10" s="1"/>
  <c r="I379" i="10"/>
  <c r="E379" i="10"/>
  <c r="I378" i="10"/>
  <c r="E378" i="10"/>
  <c r="I377" i="10"/>
  <c r="H377" i="10"/>
  <c r="E377" i="10"/>
  <c r="D377" i="10"/>
  <c r="I376" i="10"/>
  <c r="E376" i="10"/>
  <c r="I375" i="10"/>
  <c r="E375" i="10"/>
  <c r="I374" i="10"/>
  <c r="H374" i="10"/>
  <c r="E374" i="10"/>
  <c r="D374" i="10"/>
  <c r="I373" i="10"/>
  <c r="H373" i="10"/>
  <c r="H375" i="10" s="1"/>
  <c r="H376" i="10" s="1"/>
  <c r="E373" i="10"/>
  <c r="D373" i="10"/>
  <c r="D375" i="10" s="1"/>
  <c r="D376" i="10" s="1"/>
  <c r="I372" i="10"/>
  <c r="H372" i="10"/>
  <c r="E372" i="10"/>
  <c r="D372" i="10"/>
  <c r="I371" i="10"/>
  <c r="E371" i="10"/>
  <c r="I370" i="10"/>
  <c r="H370" i="10"/>
  <c r="H371" i="10" s="1"/>
  <c r="E370" i="10"/>
  <c r="D370" i="10"/>
  <c r="D371" i="10" s="1"/>
  <c r="I369" i="10"/>
  <c r="H369" i="10"/>
  <c r="E369" i="10"/>
  <c r="D369" i="10"/>
  <c r="I368" i="10"/>
  <c r="H368" i="10"/>
  <c r="E368" i="10"/>
  <c r="D368" i="10"/>
  <c r="I367" i="10"/>
  <c r="H367" i="10"/>
  <c r="E367" i="10"/>
  <c r="D367" i="10"/>
  <c r="J362" i="10"/>
  <c r="I362" i="10" s="1"/>
  <c r="D362" i="10"/>
  <c r="H362" i="10" s="1"/>
  <c r="J361" i="10"/>
  <c r="I361" i="10" s="1"/>
  <c r="D361" i="10"/>
  <c r="H361" i="10" s="1"/>
  <c r="J360" i="10"/>
  <c r="I360" i="10" s="1"/>
  <c r="D360" i="10"/>
  <c r="H360" i="10" s="1"/>
  <c r="J359" i="10"/>
  <c r="I359" i="10" s="1"/>
  <c r="D359" i="10"/>
  <c r="H359" i="10" s="1"/>
  <c r="J358" i="10"/>
  <c r="I358" i="10" s="1"/>
  <c r="D358" i="10"/>
  <c r="H358" i="10" s="1"/>
  <c r="U347" i="10"/>
  <c r="U346" i="10"/>
  <c r="U345" i="10"/>
  <c r="U344" i="10"/>
  <c r="U343" i="10"/>
  <c r="U342" i="10"/>
  <c r="U341" i="10"/>
  <c r="U340" i="10"/>
  <c r="U339" i="10"/>
  <c r="U338" i="10"/>
  <c r="U337" i="10"/>
  <c r="U336" i="10"/>
  <c r="U335" i="10"/>
  <c r="U326" i="10"/>
  <c r="U325" i="10"/>
  <c r="U324" i="10"/>
  <c r="U323" i="10"/>
  <c r="U322" i="10"/>
  <c r="U321" i="10"/>
  <c r="U320" i="10"/>
  <c r="U319" i="10"/>
  <c r="U318" i="10"/>
  <c r="U317" i="10"/>
  <c r="U316" i="10"/>
  <c r="U315" i="10"/>
  <c r="U306" i="10"/>
  <c r="U305" i="10"/>
  <c r="U304" i="10"/>
  <c r="U303" i="10"/>
  <c r="U302" i="10"/>
  <c r="U301" i="10"/>
  <c r="U300" i="10"/>
  <c r="U299" i="10"/>
  <c r="U298" i="10"/>
  <c r="U297" i="10"/>
  <c r="U296" i="10"/>
  <c r="U295" i="10"/>
  <c r="U294" i="10"/>
  <c r="U293" i="10"/>
  <c r="U284" i="10"/>
  <c r="U283" i="10"/>
  <c r="U282" i="10"/>
  <c r="U281" i="10"/>
  <c r="U280" i="10"/>
  <c r="U279" i="10"/>
  <c r="U278" i="10"/>
  <c r="U277" i="10"/>
  <c r="U276" i="10"/>
  <c r="U275" i="10"/>
  <c r="U274" i="10"/>
  <c r="U273" i="10"/>
  <c r="U272" i="10"/>
  <c r="U271" i="10"/>
  <c r="U262" i="10"/>
  <c r="U261" i="10"/>
  <c r="U260" i="10"/>
  <c r="U259" i="10"/>
  <c r="U258" i="10"/>
  <c r="U257" i="10"/>
  <c r="U256" i="10"/>
  <c r="U255" i="10"/>
  <c r="U254" i="10"/>
  <c r="U253" i="10"/>
  <c r="U252" i="10"/>
  <c r="U251" i="10"/>
  <c r="U250" i="10"/>
  <c r="E250" i="10"/>
  <c r="U249" i="10"/>
  <c r="H249" i="10"/>
  <c r="H250" i="10" s="1"/>
  <c r="E249" i="10"/>
  <c r="D249" i="10"/>
  <c r="D250" i="10" s="1"/>
  <c r="E248" i="10"/>
  <c r="I248" i="10" s="1"/>
  <c r="E247" i="10"/>
  <c r="I247" i="10" s="1"/>
  <c r="E246" i="10"/>
  <c r="I246" i="10" s="1"/>
  <c r="D246" i="10"/>
  <c r="U245" i="10"/>
  <c r="U244" i="10"/>
  <c r="U243" i="10"/>
  <c r="I243" i="10"/>
  <c r="F243" i="10"/>
  <c r="E243" i="10" s="1"/>
  <c r="I242" i="10"/>
  <c r="E242" i="10"/>
  <c r="D242" i="10"/>
  <c r="H242" i="10" s="1"/>
  <c r="J241" i="10"/>
  <c r="I241" i="10" s="1"/>
  <c r="D241" i="10"/>
  <c r="H241" i="10" s="1"/>
  <c r="I240" i="10"/>
  <c r="F240" i="10"/>
  <c r="E240" i="10" s="1"/>
  <c r="D240" i="10"/>
  <c r="H240" i="10" s="1"/>
  <c r="I239" i="10"/>
  <c r="F239" i="10"/>
  <c r="E239" i="10" s="1"/>
  <c r="D239" i="10"/>
  <c r="H239" i="10" s="1"/>
  <c r="I238" i="10"/>
  <c r="E238" i="10"/>
  <c r="D238" i="10"/>
  <c r="H238" i="10" s="1"/>
  <c r="I237" i="10"/>
  <c r="F237" i="10"/>
  <c r="F241" i="10" s="1"/>
  <c r="E241" i="10" s="1"/>
  <c r="D237" i="10"/>
  <c r="H237" i="10" s="1"/>
  <c r="I236" i="10"/>
  <c r="E236" i="10"/>
  <c r="D236" i="10"/>
  <c r="H236" i="10" s="1"/>
  <c r="J235" i="10"/>
  <c r="H235" i="10"/>
  <c r="I232" i="10"/>
  <c r="H232" i="10"/>
  <c r="E232" i="10"/>
  <c r="D232" i="10"/>
  <c r="I229" i="10"/>
  <c r="H229" i="10"/>
  <c r="E229" i="10"/>
  <c r="I228" i="10"/>
  <c r="H228" i="10"/>
  <c r="E228" i="10"/>
  <c r="H227" i="10"/>
  <c r="F227" i="10"/>
  <c r="E227" i="10" s="1"/>
  <c r="I226" i="10"/>
  <c r="H226" i="10"/>
  <c r="E226" i="10"/>
  <c r="I225" i="10"/>
  <c r="H225" i="10"/>
  <c r="E225" i="10"/>
  <c r="J224" i="10"/>
  <c r="I224" i="10" s="1"/>
  <c r="H224" i="10"/>
  <c r="E224" i="10"/>
  <c r="J223" i="10"/>
  <c r="I223" i="10" s="1"/>
  <c r="E223" i="10"/>
  <c r="D223" i="10"/>
  <c r="H223" i="10" s="1"/>
  <c r="I222" i="10"/>
  <c r="E222" i="10"/>
  <c r="I221" i="10"/>
  <c r="E221" i="10"/>
  <c r="D221" i="10"/>
  <c r="H221" i="10" s="1"/>
  <c r="I220" i="10"/>
  <c r="E220" i="10"/>
  <c r="D220" i="10"/>
  <c r="H220" i="10" s="1"/>
  <c r="H219" i="10"/>
  <c r="F219" i="10"/>
  <c r="E219" i="10" s="1"/>
  <c r="J218" i="10"/>
  <c r="I218" i="10" s="1"/>
  <c r="H218" i="10"/>
  <c r="E218" i="10"/>
  <c r="I217" i="10"/>
  <c r="E217" i="10"/>
  <c r="D217" i="10"/>
  <c r="H217" i="10" s="1"/>
  <c r="U210" i="10"/>
  <c r="U209" i="10"/>
  <c r="U208" i="10"/>
  <c r="U207" i="10"/>
  <c r="U206" i="10"/>
  <c r="U205" i="10"/>
  <c r="U204" i="10"/>
  <c r="U203" i="10"/>
  <c r="U202" i="10"/>
  <c r="U198" i="10"/>
  <c r="U197" i="10"/>
  <c r="U196" i="10"/>
  <c r="U195" i="10"/>
  <c r="U183" i="10"/>
  <c r="U182" i="10"/>
  <c r="U181" i="10"/>
  <c r="U180" i="10"/>
  <c r="U179" i="10"/>
  <c r="U178" i="10"/>
  <c r="U177" i="10"/>
  <c r="U176" i="10"/>
  <c r="U175" i="10"/>
  <c r="U167" i="10"/>
  <c r="U166" i="10"/>
  <c r="J164" i="10"/>
  <c r="H164" i="10"/>
  <c r="F164" i="10"/>
  <c r="J163" i="10"/>
  <c r="H163" i="10"/>
  <c r="F163" i="10"/>
  <c r="U152" i="10"/>
  <c r="U151" i="10"/>
  <c r="U150" i="10"/>
  <c r="U149" i="10"/>
  <c r="U148" i="10"/>
  <c r="U147" i="10"/>
  <c r="U146" i="10"/>
  <c r="U145" i="10"/>
  <c r="U144" i="10"/>
  <c r="U143" i="10"/>
  <c r="U142" i="10"/>
  <c r="U141" i="10"/>
  <c r="U140" i="10"/>
  <c r="J136" i="10"/>
  <c r="F136" i="10"/>
  <c r="F135" i="10"/>
  <c r="F134" i="10"/>
  <c r="J132" i="10"/>
  <c r="F132" i="10"/>
  <c r="J129" i="10"/>
  <c r="F129" i="10"/>
  <c r="J128" i="10"/>
  <c r="F128" i="10"/>
  <c r="J127" i="10"/>
  <c r="F127" i="10"/>
  <c r="J126" i="10"/>
  <c r="F126" i="10"/>
  <c r="J125" i="10"/>
  <c r="F125" i="10"/>
  <c r="F124" i="10"/>
  <c r="F123" i="10"/>
  <c r="F122" i="10"/>
  <c r="F118" i="10"/>
  <c r="J117" i="10"/>
  <c r="F117" i="10"/>
  <c r="F116" i="10"/>
  <c r="F115" i="10"/>
  <c r="F114" i="10"/>
  <c r="F113" i="10"/>
  <c r="F112" i="10"/>
  <c r="J111" i="10"/>
  <c r="F111" i="10"/>
  <c r="F110" i="10"/>
  <c r="F109" i="10"/>
  <c r="F108" i="10"/>
  <c r="J107" i="10"/>
  <c r="F107" i="10"/>
  <c r="J106" i="10"/>
  <c r="F106" i="10"/>
  <c r="J105" i="10"/>
  <c r="F105" i="10"/>
  <c r="J102" i="10"/>
  <c r="F102" i="10"/>
  <c r="J101" i="10"/>
  <c r="F101" i="10"/>
  <c r="J100" i="10"/>
  <c r="F100" i="10"/>
  <c r="J99" i="10"/>
  <c r="F99" i="10"/>
  <c r="J98" i="10"/>
  <c r="F98" i="10"/>
  <c r="F97" i="10"/>
  <c r="I93" i="10"/>
  <c r="F93" i="10"/>
  <c r="I92" i="10"/>
  <c r="F92" i="10"/>
  <c r="I91" i="10"/>
  <c r="F91" i="10"/>
  <c r="I90" i="10"/>
  <c r="E90" i="10"/>
  <c r="I89" i="10"/>
  <c r="E89" i="10"/>
  <c r="I88" i="10"/>
  <c r="E88" i="10"/>
  <c r="I87" i="10"/>
  <c r="E87" i="10"/>
  <c r="I86" i="10"/>
  <c r="E86" i="10"/>
  <c r="I85" i="10"/>
  <c r="H85" i="10"/>
  <c r="E85" i="10"/>
  <c r="I84" i="10"/>
  <c r="H84" i="10"/>
  <c r="E84" i="10"/>
  <c r="I83" i="10"/>
  <c r="H83" i="10"/>
  <c r="E83" i="10"/>
  <c r="I82" i="10"/>
  <c r="H82" i="10"/>
  <c r="E82" i="10"/>
  <c r="I81" i="10"/>
  <c r="E81" i="10"/>
  <c r="D81" i="10"/>
  <c r="H81" i="10" s="1"/>
  <c r="I80" i="10"/>
  <c r="E80" i="10"/>
  <c r="D80" i="10"/>
  <c r="H80" i="10" s="1"/>
  <c r="I79" i="10"/>
  <c r="H79" i="10"/>
  <c r="E79" i="10"/>
  <c r="I77" i="10"/>
  <c r="E77" i="10"/>
  <c r="I76" i="10"/>
  <c r="E76" i="10"/>
  <c r="D76" i="10"/>
  <c r="H76" i="10" s="1"/>
  <c r="I75" i="10"/>
  <c r="E75" i="10"/>
  <c r="I74" i="10"/>
  <c r="E74" i="10"/>
  <c r="I73" i="10"/>
  <c r="E73" i="10"/>
  <c r="D73" i="10"/>
  <c r="H73" i="10" s="1"/>
  <c r="I72" i="10"/>
  <c r="E72" i="10"/>
  <c r="I71" i="10"/>
  <c r="E71" i="10"/>
  <c r="I70" i="10"/>
  <c r="H70" i="10"/>
  <c r="E70" i="10"/>
  <c r="I69" i="10"/>
  <c r="H69" i="10"/>
  <c r="E69" i="10"/>
  <c r="I68" i="10"/>
  <c r="E68" i="10"/>
  <c r="D68" i="10"/>
  <c r="H68" i="10" s="1"/>
  <c r="I67" i="10"/>
  <c r="E67" i="10"/>
  <c r="I66" i="10"/>
  <c r="E66" i="10"/>
  <c r="D66" i="10"/>
  <c r="D67" i="10" s="1"/>
  <c r="I64" i="10"/>
  <c r="E64" i="10"/>
  <c r="I63" i="10"/>
  <c r="E63" i="10"/>
  <c r="I62" i="10"/>
  <c r="E62" i="10"/>
  <c r="I61" i="10"/>
  <c r="E61" i="10"/>
  <c r="D61" i="10"/>
  <c r="D62" i="10" s="1"/>
  <c r="J58" i="10"/>
  <c r="F58" i="10"/>
  <c r="J57" i="10"/>
  <c r="F57" i="10"/>
  <c r="J56" i="10"/>
  <c r="F56" i="10"/>
  <c r="J55" i="10"/>
  <c r="F55" i="10"/>
  <c r="D55" i="10"/>
  <c r="D56" i="10" s="1"/>
  <c r="J54" i="10"/>
  <c r="F54" i="10"/>
  <c r="J53" i="10"/>
  <c r="F53" i="10"/>
  <c r="D53" i="10"/>
  <c r="D54" i="10" s="1"/>
  <c r="H54" i="10" s="1"/>
  <c r="J52" i="10"/>
  <c r="F52" i="10"/>
  <c r="D52" i="10"/>
  <c r="H52" i="10" s="1"/>
  <c r="I50" i="10"/>
  <c r="H50" i="10"/>
  <c r="E50" i="10"/>
  <c r="I49" i="10"/>
  <c r="H49" i="10"/>
  <c r="E49" i="10"/>
  <c r="I48" i="10"/>
  <c r="E48" i="10"/>
  <c r="D48" i="10"/>
  <c r="H48" i="10" s="1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D243" i="10" l="1"/>
  <c r="H243" i="10" s="1"/>
  <c r="D75" i="10"/>
  <c r="H75" i="10" s="1"/>
  <c r="H55" i="10"/>
  <c r="H53" i="10"/>
  <c r="H61" i="10"/>
  <c r="J227" i="10"/>
  <c r="I227" i="10" s="1"/>
  <c r="H66" i="10"/>
  <c r="J219" i="10"/>
  <c r="I219" i="10" s="1"/>
  <c r="D57" i="10"/>
  <c r="H56" i="10"/>
  <c r="D71" i="10"/>
  <c r="H71" i="10" s="1"/>
  <c r="H67" i="10"/>
  <c r="D63" i="10"/>
  <c r="H62" i="10"/>
  <c r="D86" i="10"/>
  <c r="D90" i="10"/>
  <c r="D72" i="10"/>
  <c r="H72" i="10" s="1"/>
  <c r="D222" i="10"/>
  <c r="H222" i="10" s="1"/>
  <c r="E237" i="10"/>
  <c r="D77" i="10"/>
  <c r="H77" i="10" s="1"/>
  <c r="D74" i="10" l="1"/>
  <c r="H74" i="10" s="1"/>
  <c r="D91" i="10"/>
  <c r="H91" i="10" s="1"/>
  <c r="H90" i="10"/>
  <c r="D92" i="10"/>
  <c r="D89" i="10"/>
  <c r="H89" i="10" s="1"/>
  <c r="D87" i="10"/>
  <c r="H87" i="10" s="1"/>
  <c r="H86" i="10"/>
  <c r="D88" i="10"/>
  <c r="H88" i="10" s="1"/>
  <c r="D64" i="10"/>
  <c r="H64" i="10" s="1"/>
  <c r="H63" i="10"/>
  <c r="D58" i="10"/>
  <c r="H58" i="10" s="1"/>
  <c r="H57" i="10"/>
  <c r="D93" i="10" l="1"/>
  <c r="H93" i="10" s="1"/>
  <c r="H92" i="10"/>
</calcChain>
</file>

<file path=xl/sharedStrings.xml><?xml version="1.0" encoding="utf-8"?>
<sst xmlns="http://schemas.openxmlformats.org/spreadsheetml/2006/main" count="10490" uniqueCount="1687">
  <si>
    <t>GLOBE</t>
  </si>
  <si>
    <t>Stellite Hardfacing</t>
  </si>
  <si>
    <t>A217-C12A</t>
  </si>
  <si>
    <t>17CR/STL</t>
  </si>
  <si>
    <t>BW</t>
  </si>
  <si>
    <t>PLUG TYPE</t>
  </si>
  <si>
    <t>PSB OS&amp;Y</t>
  </si>
  <si>
    <t>MOV</t>
    <phoneticPr fontId="1" type="noConversion"/>
  </si>
  <si>
    <t>GATE</t>
    <phoneticPr fontId="1" type="noConversion"/>
  </si>
  <si>
    <t>17CR/STL</t>
    <phoneticPr fontId="1" type="noConversion"/>
  </si>
  <si>
    <t>BW</t>
    <phoneticPr fontId="1" type="noConversion"/>
  </si>
  <si>
    <t>BA2</t>
  </si>
  <si>
    <t>XV</t>
    <phoneticPr fontId="1" type="noConversion"/>
  </si>
  <si>
    <t>GATE</t>
  </si>
  <si>
    <t>A216-WCB</t>
  </si>
  <si>
    <t>13CR/STL</t>
  </si>
  <si>
    <t>BB OS&amp;Y</t>
  </si>
  <si>
    <t>CV</t>
    <phoneticPr fontId="1" type="noConversion"/>
  </si>
  <si>
    <t>HP STEAM HEADER SYSTEM</t>
    <phoneticPr fontId="1" type="noConversion"/>
  </si>
  <si>
    <t>PSV</t>
    <phoneticPr fontId="1" type="noConversion"/>
  </si>
  <si>
    <t>SELF ACTUATING</t>
  </si>
  <si>
    <t>LP STEAM HEADER SYSTEM</t>
    <phoneticPr fontId="1" type="noConversion"/>
  </si>
  <si>
    <t>PNEUMATIC OPERATED
(CONTROL)</t>
  </si>
  <si>
    <t>AUXILIARY STEAM SYSTEM</t>
    <phoneticPr fontId="1" type="noConversion"/>
  </si>
  <si>
    <t>CLEAN DRAIN SYSTEM - UNIT 11</t>
    <phoneticPr fontId="1" type="noConversion"/>
  </si>
  <si>
    <t>LATER</t>
    <phoneticPr fontId="1" type="noConversion"/>
  </si>
  <si>
    <t>PRV</t>
    <phoneticPr fontId="1" type="noConversion"/>
  </si>
  <si>
    <t>CLEAN DRAIN SYSTEM - UNIT 12</t>
    <phoneticPr fontId="1" type="noConversion"/>
  </si>
  <si>
    <t>BLOWDOWN &amp; QUENCHING SYSTEM - UNIT 13</t>
    <phoneticPr fontId="1" type="noConversion"/>
  </si>
  <si>
    <t>BLOWDOWN &amp; QUENCHING SYSTEM - UNIT 14</t>
    <phoneticPr fontId="1" type="noConversion"/>
  </si>
  <si>
    <t>BLOWDOWN &amp; QUENCHING SYSTEM - UNIT 15</t>
    <phoneticPr fontId="1" type="noConversion"/>
  </si>
  <si>
    <t>BLOWDOWN &amp; QUENCHING SYSTEM - UNIT 16</t>
    <phoneticPr fontId="1" type="noConversion"/>
  </si>
  <si>
    <t>BLOWDOWN &amp; QUENCHING SYSTEM - UNIT 17</t>
    <phoneticPr fontId="1" type="noConversion"/>
  </si>
  <si>
    <t>CONDENSATE SYSTEM - UNIT 11</t>
  </si>
  <si>
    <t>CONDENSATE SYSTEM - UNIT 11</t>
    <phoneticPr fontId="1" type="noConversion"/>
  </si>
  <si>
    <t>CONDENSATE SYSTEM - UNIT 12</t>
  </si>
  <si>
    <t>CONDENSATE SYSTEM - UNIT 12</t>
    <phoneticPr fontId="1" type="noConversion"/>
  </si>
  <si>
    <t>CODENSATE SYEYEM - COMMON</t>
    <phoneticPr fontId="1" type="noConversion"/>
  </si>
  <si>
    <t>BUTTERFLY</t>
    <phoneticPr fontId="1" type="noConversion"/>
  </si>
  <si>
    <t>FEEDWATER SYSTEM</t>
    <phoneticPr fontId="1" type="noConversion"/>
  </si>
  <si>
    <t>FEEDWATER SYSTEM</t>
  </si>
  <si>
    <t>MOV</t>
  </si>
  <si>
    <t>FEEDWATER SYSTEM - COGEN</t>
    <phoneticPr fontId="1" type="noConversion"/>
  </si>
  <si>
    <t>EB1</t>
    <phoneticPr fontId="1" type="noConversion"/>
  </si>
  <si>
    <t>GLOBE</t>
    <phoneticPr fontId="1" type="noConversion"/>
  </si>
  <si>
    <t>CV</t>
    <phoneticPr fontId="1" type="noConversion"/>
  </si>
  <si>
    <t>FEEDWATER SYSTEM - TGP</t>
    <phoneticPr fontId="1" type="noConversion"/>
  </si>
  <si>
    <t>CLOSED COOLING WATER SYSTEM</t>
    <phoneticPr fontId="1" type="noConversion"/>
  </si>
  <si>
    <t>DEMINERALIZED WATER DISTRIBUTION SYSTEM</t>
    <phoneticPr fontId="1" type="noConversion"/>
  </si>
  <si>
    <t>19K9-11MAL10-M05-0001</t>
  </si>
  <si>
    <t>19K9-11LCM10-M05-0001</t>
  </si>
  <si>
    <t>19K9-12LCM10-M05-0001</t>
  </si>
  <si>
    <t>19K9-13LCL10-M05-0001</t>
  </si>
  <si>
    <t>19K9-14LCL10-M05-0001</t>
  </si>
  <si>
    <t>19K9-15LCL10-M05-0001</t>
  </si>
  <si>
    <t>19K9-16LCL10-M05-0001</t>
  </si>
  <si>
    <t>19K9-17LCL10-M05-0001</t>
  </si>
  <si>
    <t>19K9-11LCA10-M05-0001</t>
  </si>
  <si>
    <t>19K9-11LCA10-M05-0002</t>
  </si>
  <si>
    <t>19K9-12LCA10-M05-0001</t>
  </si>
  <si>
    <t>19K9-12LCA10-M05-0002</t>
  </si>
  <si>
    <t>SELF ACTUATING</t>
    <phoneticPr fontId="1" type="noConversion"/>
  </si>
  <si>
    <t>SW</t>
    <phoneticPr fontId="1" type="noConversion"/>
  </si>
  <si>
    <t>A105</t>
    <phoneticPr fontId="1" type="noConversion"/>
  </si>
  <si>
    <t>LBR1</t>
    <phoneticPr fontId="1" type="noConversion"/>
  </si>
  <si>
    <t>LBG1</t>
    <phoneticPr fontId="1" type="noConversion"/>
  </si>
  <si>
    <t>19K9-12MAL10-M05-0001</t>
    <phoneticPr fontId="1" type="noConversion"/>
  </si>
  <si>
    <t>LCM2</t>
    <phoneticPr fontId="1" type="noConversion"/>
  </si>
  <si>
    <t>LCL2</t>
    <phoneticPr fontId="1" type="noConversion"/>
  </si>
  <si>
    <t>11GHC01AA101</t>
    <phoneticPr fontId="1" type="noConversion"/>
  </si>
  <si>
    <t>LCA2</t>
    <phoneticPr fontId="1" type="noConversion"/>
  </si>
  <si>
    <t>12GHC01AA101</t>
    <phoneticPr fontId="1" type="noConversion"/>
  </si>
  <si>
    <t>LAB1</t>
    <phoneticPr fontId="1" type="noConversion"/>
  </si>
  <si>
    <t>LCA8</t>
    <phoneticPr fontId="1" type="noConversion"/>
  </si>
  <si>
    <t>LAB6</t>
    <phoneticPr fontId="1" type="noConversion"/>
  </si>
  <si>
    <t>LAB2</t>
  </si>
  <si>
    <t>LAB2</t>
    <phoneticPr fontId="1" type="noConversion"/>
  </si>
  <si>
    <t>GKB6</t>
    <phoneticPr fontId="1" type="noConversion"/>
  </si>
  <si>
    <t>A351-CF8</t>
    <phoneticPr fontId="1" type="noConversion"/>
  </si>
  <si>
    <t>BALL</t>
    <phoneticPr fontId="1" type="noConversion"/>
  </si>
  <si>
    <t>N/A</t>
    <phoneticPr fontId="1" type="noConversion"/>
  </si>
  <si>
    <t>CLASS IV</t>
    <phoneticPr fontId="1" type="noConversion"/>
  </si>
  <si>
    <t>FAIL CLOSE</t>
    <phoneticPr fontId="1" type="noConversion"/>
  </si>
  <si>
    <t>FAIL LOCK</t>
    <phoneticPr fontId="1" type="noConversion"/>
  </si>
  <si>
    <t>FAIL OPEN</t>
    <phoneticPr fontId="1" type="noConversion"/>
  </si>
  <si>
    <t>LIQUID PENTANE SUPPLY SYSTEM</t>
    <phoneticPr fontId="1" type="noConversion"/>
  </si>
  <si>
    <t>ANGLE</t>
    <phoneticPr fontId="1" type="noConversion"/>
  </si>
  <si>
    <t>SS304</t>
    <phoneticPr fontId="1" type="noConversion"/>
  </si>
  <si>
    <t>A216-WCC</t>
    <phoneticPr fontId="1" type="noConversion"/>
  </si>
  <si>
    <t>316SS</t>
    <phoneticPr fontId="1" type="noConversion"/>
  </si>
  <si>
    <t>-</t>
    <phoneticPr fontId="1" type="noConversion"/>
  </si>
  <si>
    <t>N/A</t>
  </si>
  <si>
    <t>FAIL LOCK</t>
  </si>
  <si>
    <t>LATER</t>
  </si>
  <si>
    <t>CLASS IV</t>
  </si>
  <si>
    <t>STEAM BYPASS AND LETDOWN SYSTEM</t>
  </si>
  <si>
    <t>ANGLE</t>
  </si>
  <si>
    <t>LP STEAM HEADER SYSTEM</t>
  </si>
  <si>
    <t>A105</t>
  </si>
  <si>
    <t>AUXILIARY STEAM SYSTEM</t>
  </si>
  <si>
    <t>-</t>
  </si>
  <si>
    <t>SCT_I</t>
  </si>
  <si>
    <t>PROJECT : TANAJIB IPP</t>
    <phoneticPr fontId="2" type="noConversion"/>
  </si>
  <si>
    <t>DESCRIPTION : I&amp;C VALVE</t>
    <phoneticPr fontId="1" type="noConversion"/>
  </si>
  <si>
    <t>STATUS</t>
  </si>
  <si>
    <t>SYSTEM</t>
  </si>
  <si>
    <t>TYPE</t>
  </si>
  <si>
    <t>FLUID</t>
  </si>
  <si>
    <t>DESIGN CONDITION</t>
  </si>
  <si>
    <t>ACTUATOR TYPE</t>
  </si>
  <si>
    <t>NO.</t>
  </si>
  <si>
    <t>P&amp;ID</t>
  </si>
  <si>
    <t>KKS TAG</t>
  </si>
  <si>
    <t>PDC</t>
  </si>
  <si>
    <t>LINE SIZE</t>
  </si>
  <si>
    <t>LINE MATERIAL</t>
  </si>
  <si>
    <t>LINE SPEC</t>
  </si>
  <si>
    <t>SPECIFICATION</t>
  </si>
  <si>
    <t>VALVE</t>
  </si>
  <si>
    <t>ACTUATOR</t>
  </si>
  <si>
    <t>EXPLOSION PROOF</t>
  </si>
  <si>
    <t>SCOPE OF SUPPLY</t>
  </si>
  <si>
    <t>REMARK</t>
  </si>
  <si>
    <t>FAIL POSITION</t>
  </si>
  <si>
    <t>TRAVEL TIME</t>
  </si>
  <si>
    <t>LEAKAGE CLASS</t>
  </si>
  <si>
    <t>SIZE (DN)</t>
  </si>
  <si>
    <t>BODY MATERIAL</t>
  </si>
  <si>
    <t>TRIM MATERIAL</t>
  </si>
  <si>
    <t>INTERNAL COATING</t>
  </si>
  <si>
    <t>VALVE RATING</t>
  </si>
  <si>
    <t>MAKER</t>
  </si>
  <si>
    <t>MODEL NO.</t>
  </si>
  <si>
    <t>19K9-20LBA10-M05-0001</t>
    <phoneticPr fontId="1" type="noConversion"/>
  </si>
  <si>
    <t>HHP STEAM SYSTEM</t>
    <phoneticPr fontId="1" type="noConversion"/>
  </si>
  <si>
    <t>19K9-20LBA10-M05-0002</t>
    <phoneticPr fontId="1" type="noConversion"/>
  </si>
  <si>
    <t>19K9-20LBA10-M05-0003</t>
    <phoneticPr fontId="1" type="noConversion"/>
  </si>
  <si>
    <t>19K9-20LBA10-M05-0004</t>
    <phoneticPr fontId="1" type="noConversion"/>
  </si>
  <si>
    <t>19K9-20LBR10-M05-0001</t>
    <phoneticPr fontId="1" type="noConversion"/>
  </si>
  <si>
    <t>19K9-20NAA10-M05-0001</t>
    <phoneticPr fontId="1" type="noConversion"/>
  </si>
  <si>
    <t>19K9-20NAA10-M05-0002</t>
    <phoneticPr fontId="1" type="noConversion"/>
  </si>
  <si>
    <t>19K9-20LBG10-M05-0001</t>
    <phoneticPr fontId="1" type="noConversion"/>
  </si>
  <si>
    <t>ST DRAIN SYSTEM - UNIT 11</t>
    <phoneticPr fontId="1" type="noConversion"/>
  </si>
  <si>
    <t>ST DRAIN SYSTEM - UNIT 12</t>
    <phoneticPr fontId="1" type="noConversion"/>
  </si>
  <si>
    <t>19K9-20LCP10-M05-0001</t>
    <phoneticPr fontId="1" type="noConversion"/>
  </si>
  <si>
    <t>19K9-20LCP10-M05-0002</t>
    <phoneticPr fontId="1" type="noConversion"/>
  </si>
  <si>
    <t>19K9-20LCP10-M05-0003</t>
    <phoneticPr fontId="1" type="noConversion"/>
  </si>
  <si>
    <t>19K9-20LAB00-M05-0001</t>
    <phoneticPr fontId="1" type="noConversion"/>
  </si>
  <si>
    <t>19K9-20LAB00-M05-0002</t>
    <phoneticPr fontId="1" type="noConversion"/>
  </si>
  <si>
    <t>19K9-20LAB00-M05-0003</t>
    <phoneticPr fontId="1" type="noConversion"/>
  </si>
  <si>
    <t>19K9-20LAB00-M05-0004</t>
    <phoneticPr fontId="1" type="noConversion"/>
  </si>
  <si>
    <t>19K9-20LAB00-M05-0005</t>
    <phoneticPr fontId="1" type="noConversion"/>
  </si>
  <si>
    <t>19K9-20LAB00-M05-0006</t>
    <phoneticPr fontId="1" type="noConversion"/>
  </si>
  <si>
    <t>19K9-25LAB00-M05-0007</t>
    <phoneticPr fontId="1" type="noConversion"/>
  </si>
  <si>
    <t>19K9-25LAB00-M05-0008</t>
    <phoneticPr fontId="1" type="noConversion"/>
  </si>
  <si>
    <t>I&amp;C VALVE LIST</t>
    <phoneticPr fontId="1" type="noConversion"/>
  </si>
  <si>
    <t>WATER</t>
    <phoneticPr fontId="1" type="noConversion"/>
  </si>
  <si>
    <t>21LBR10AA191</t>
    <phoneticPr fontId="1" type="noConversion"/>
  </si>
  <si>
    <t>22LBR10AA191</t>
    <phoneticPr fontId="1" type="noConversion"/>
  </si>
  <si>
    <t>#22 LP STEAM HEADER PSV 1</t>
  </si>
  <si>
    <t>#22 LP STEAM HEADER PSV 2</t>
  </si>
  <si>
    <t>#22 LP STEAM HEADER PSV 3</t>
  </si>
  <si>
    <t>#22 LP STEAM HEADER PSV 4</t>
  </si>
  <si>
    <t>#22 LP STEAM HEADER PSV 5</t>
  </si>
  <si>
    <t>STEAM</t>
    <phoneticPr fontId="1" type="noConversion"/>
  </si>
  <si>
    <t>WATER</t>
    <phoneticPr fontId="1" type="noConversion"/>
  </si>
  <si>
    <t>AIR</t>
    <phoneticPr fontId="1" type="noConversion"/>
  </si>
  <si>
    <t>LIQUID PENTANE</t>
    <phoneticPr fontId="1" type="noConversion"/>
  </si>
  <si>
    <t>21NAA10AA191</t>
    <phoneticPr fontId="1" type="noConversion"/>
  </si>
  <si>
    <t>21NAA10AA192</t>
    <phoneticPr fontId="1" type="noConversion"/>
  </si>
  <si>
    <t>21NAA10AA193</t>
    <phoneticPr fontId="1" type="noConversion"/>
  </si>
  <si>
    <t>21NAA10AA194</t>
    <phoneticPr fontId="1" type="noConversion"/>
  </si>
  <si>
    <t>21NAA10AA195</t>
    <phoneticPr fontId="1" type="noConversion"/>
  </si>
  <si>
    <t>22NAA10AA191</t>
    <phoneticPr fontId="1" type="noConversion"/>
  </si>
  <si>
    <t>22NAA10AA192</t>
    <phoneticPr fontId="1" type="noConversion"/>
  </si>
  <si>
    <t>22NAA10AA193</t>
    <phoneticPr fontId="1" type="noConversion"/>
  </si>
  <si>
    <t>22NAA10AA194</t>
    <phoneticPr fontId="1" type="noConversion"/>
  </si>
  <si>
    <t>22NAA10AA195</t>
    <phoneticPr fontId="1" type="noConversion"/>
  </si>
  <si>
    <t>MOTOR OPERATED
(ON-OFF)</t>
  </si>
  <si>
    <t>PNEUMATIC OPERATED
(ON-OFF)</t>
  </si>
  <si>
    <t>21LBR13AA101</t>
    <phoneticPr fontId="1" type="noConversion"/>
  </si>
  <si>
    <t>22LBR13AA101</t>
    <phoneticPr fontId="1" type="noConversion"/>
  </si>
  <si>
    <t>11LCW21AA191</t>
    <phoneticPr fontId="1" type="noConversion"/>
  </si>
  <si>
    <t>11LCA15AA101</t>
    <phoneticPr fontId="1" type="noConversion"/>
  </si>
  <si>
    <t>11LCA14AA101</t>
    <phoneticPr fontId="1" type="noConversion"/>
  </si>
  <si>
    <t>11LCA10AA101</t>
    <phoneticPr fontId="1" type="noConversion"/>
  </si>
  <si>
    <t>12LCW21AA191</t>
    <phoneticPr fontId="1" type="noConversion"/>
  </si>
  <si>
    <t>12LCA15AA101</t>
    <phoneticPr fontId="1" type="noConversion"/>
  </si>
  <si>
    <t>12LCA14AA101</t>
    <phoneticPr fontId="1" type="noConversion"/>
  </si>
  <si>
    <t>12LCA10AA101</t>
    <phoneticPr fontId="1" type="noConversion"/>
  </si>
  <si>
    <t>20LCP30AA101</t>
    <phoneticPr fontId="1" type="noConversion"/>
  </si>
  <si>
    <t>20LCP31AA101</t>
    <phoneticPr fontId="1" type="noConversion"/>
  </si>
  <si>
    <t>20LCP32AA101</t>
    <phoneticPr fontId="1" type="noConversion"/>
  </si>
  <si>
    <t>20GHC40AA101</t>
    <phoneticPr fontId="1" type="noConversion"/>
  </si>
  <si>
    <t>20GHC40AA102</t>
    <phoneticPr fontId="1" type="noConversion"/>
  </si>
  <si>
    <t>20LCP51AA191</t>
    <phoneticPr fontId="1" type="noConversion"/>
  </si>
  <si>
    <t>20LCP52AA191</t>
    <phoneticPr fontId="1" type="noConversion"/>
  </si>
  <si>
    <t>20LCA31AA101</t>
    <phoneticPr fontId="1" type="noConversion"/>
  </si>
  <si>
    <t>20LBG11AA101</t>
    <phoneticPr fontId="1" type="noConversion"/>
  </si>
  <si>
    <t>20LAD01AA101</t>
    <phoneticPr fontId="1" type="noConversion"/>
  </si>
  <si>
    <t>20LAA01AA191</t>
    <phoneticPr fontId="1" type="noConversion"/>
  </si>
  <si>
    <t>20LCA32AA101</t>
    <phoneticPr fontId="1" type="noConversion"/>
  </si>
  <si>
    <t>DEAERATOR &amp; FEEDWATER STORAGE TANK B LCV</t>
  </si>
  <si>
    <t>DEAERATOR &amp; FEEDWATER STORAGE TANK B PEGGING STEAM PCV</t>
  </si>
  <si>
    <t>DEAERATOR &amp; FEEDWATER STORAGE TANK B PEGGING STEAM ISOLATION MOV</t>
  </si>
  <si>
    <t>DEAERATOR &amp; FEEDWATER STORAGE TANK B HOT WATER INLET PCV</t>
  </si>
  <si>
    <t>DEAERATOR &amp; FEEDWATER STORAGE TANK B HOT WATER INLET IOSLATION MOV</t>
  </si>
  <si>
    <t>DEAERATOR &amp; FEEDWATER STORAGE TANK B VENT MOV</t>
  </si>
  <si>
    <t>DEAERATOR &amp; FEEDWATER STORAGE TANK B DRAIN MOV</t>
  </si>
  <si>
    <t>DEAERATOR &amp; FEEDWATER STORAGE TANK C LCV</t>
  </si>
  <si>
    <t>DEAERATOR &amp; FEEDWATER STORAGE TANK C PEGGING STEAM PCV</t>
  </si>
  <si>
    <t>DEAERATOR &amp; FEEDWATER STORAGE TANK C PEGGING STEAM ISOLATION MOV</t>
  </si>
  <si>
    <t>DEAERATOR &amp; FEEDWATER STORAGE TANK C HOT WATER INLET PCV</t>
  </si>
  <si>
    <t>DEAERATOR &amp; FEEDWATER STORAGE TANK C HOT WATER INLET IOSLATION MOV</t>
  </si>
  <si>
    <t>DEAERATOR &amp; FEEDWATER STORAGE TANK C VENT MOV</t>
  </si>
  <si>
    <t>DEAERATOR &amp; FEEDWATER STORAGE TANK C DRAIN MOV</t>
  </si>
  <si>
    <t>20LBG12AA101</t>
    <phoneticPr fontId="1" type="noConversion"/>
  </si>
  <si>
    <t>20LAD02AA101</t>
    <phoneticPr fontId="1" type="noConversion"/>
  </si>
  <si>
    <t>20LAA02AA191</t>
    <phoneticPr fontId="1" type="noConversion"/>
  </si>
  <si>
    <t>20LCA33AA101</t>
    <phoneticPr fontId="1" type="noConversion"/>
  </si>
  <si>
    <t>20LBG13AA101</t>
    <phoneticPr fontId="1" type="noConversion"/>
  </si>
  <si>
    <t>20LAD03AA101</t>
    <phoneticPr fontId="1" type="noConversion"/>
  </si>
  <si>
    <t>20LAA03AA191</t>
    <phoneticPr fontId="1" type="noConversion"/>
  </si>
  <si>
    <t>20LCA21AA191</t>
    <phoneticPr fontId="1" type="noConversion"/>
  </si>
  <si>
    <t>20LAB11AA191</t>
    <phoneticPr fontId="1" type="noConversion"/>
  </si>
  <si>
    <t>20LCA22AA191</t>
    <phoneticPr fontId="1" type="noConversion"/>
  </si>
  <si>
    <t>20LAB12AA191</t>
    <phoneticPr fontId="1" type="noConversion"/>
  </si>
  <si>
    <t>20LAB31AA191</t>
    <phoneticPr fontId="1" type="noConversion"/>
  </si>
  <si>
    <t>20LAB41AA101</t>
    <phoneticPr fontId="1" type="noConversion"/>
  </si>
  <si>
    <t>20LAB32AA191</t>
    <phoneticPr fontId="1" type="noConversion"/>
  </si>
  <si>
    <t>20LAB42AA101</t>
    <phoneticPr fontId="1" type="noConversion"/>
  </si>
  <si>
    <t>20LAB33AA191</t>
    <phoneticPr fontId="1" type="noConversion"/>
  </si>
  <si>
    <t>20LAB34AA191</t>
    <phoneticPr fontId="1" type="noConversion"/>
  </si>
  <si>
    <t>20LAB35AA191</t>
    <phoneticPr fontId="1" type="noConversion"/>
  </si>
  <si>
    <t>20LAB43AA101</t>
    <phoneticPr fontId="1" type="noConversion"/>
  </si>
  <si>
    <t>20LAB44AA101</t>
    <phoneticPr fontId="1" type="noConversion"/>
  </si>
  <si>
    <t>20LAB45AA101</t>
    <phoneticPr fontId="1" type="noConversion"/>
  </si>
  <si>
    <t>25LAB11AA191</t>
    <phoneticPr fontId="1" type="noConversion"/>
  </si>
  <si>
    <t>25LAB21AA101</t>
    <phoneticPr fontId="1" type="noConversion"/>
  </si>
  <si>
    <t>25LAB12AA191</t>
    <phoneticPr fontId="1" type="noConversion"/>
  </si>
  <si>
    <t>25LAB22AA101</t>
    <phoneticPr fontId="1" type="noConversion"/>
  </si>
  <si>
    <t>25LAB41AA112</t>
    <phoneticPr fontId="1" type="noConversion"/>
  </si>
  <si>
    <t>25LAB42AA112</t>
    <phoneticPr fontId="1" type="noConversion"/>
  </si>
  <si>
    <t>25LAB13AA191</t>
    <phoneticPr fontId="1" type="noConversion"/>
  </si>
  <si>
    <t>25LAB14AA191</t>
    <phoneticPr fontId="1" type="noConversion"/>
  </si>
  <si>
    <t>25LAB15AA191</t>
    <phoneticPr fontId="1" type="noConversion"/>
  </si>
  <si>
    <t>25LAB23AA101</t>
    <phoneticPr fontId="1" type="noConversion"/>
  </si>
  <si>
    <t>25LAB24AA101</t>
    <phoneticPr fontId="1" type="noConversion"/>
  </si>
  <si>
    <t>25LAB25AA101</t>
    <phoneticPr fontId="1" type="noConversion"/>
  </si>
  <si>
    <t>PENTANE GAS</t>
    <phoneticPr fontId="1" type="noConversion"/>
  </si>
  <si>
    <t>COMPRESSED AIR SYSTEM (COGEN)</t>
    <phoneticPr fontId="1" type="noConversion"/>
  </si>
  <si>
    <t>POTABLE WATER DISTRIBUTION SYSTEM (COGEN)</t>
    <phoneticPr fontId="1" type="noConversion"/>
  </si>
  <si>
    <t>TEMP.
(DEG.C)</t>
    <phoneticPr fontId="1" type="noConversion"/>
  </si>
  <si>
    <t>19K9-20PGB10-M05-0001</t>
    <phoneticPr fontId="1" type="noConversion"/>
  </si>
  <si>
    <t>11GHB01AA101</t>
    <phoneticPr fontId="1" type="noConversion"/>
  </si>
  <si>
    <t>GHB1</t>
    <phoneticPr fontId="1" type="noConversion"/>
  </si>
  <si>
    <t>12GHB01AA101</t>
    <phoneticPr fontId="1" type="noConversion"/>
  </si>
  <si>
    <t>19K9-20GKB10-M05-0001</t>
    <phoneticPr fontId="1" type="noConversion"/>
  </si>
  <si>
    <t>19K9-20GHC10-M05-0001</t>
    <phoneticPr fontId="1" type="noConversion"/>
  </si>
  <si>
    <t>DEMINERALIZED WATER DISTRIBUTION SYSTEM</t>
  </si>
  <si>
    <t>20GHC60AA101</t>
    <phoneticPr fontId="1" type="noConversion"/>
  </si>
  <si>
    <t>ST Start Up Bypass Inlet</t>
  </si>
  <si>
    <t>HHP STM Header 21/22A</t>
  </si>
  <si>
    <t>HHP STM Header 21/22B to ST HHP Inlet</t>
  </si>
  <si>
    <t>ST Start Up Bypass Outlet</t>
  </si>
  <si>
    <t>HP STM HDR to Each HP ST Nozzle</t>
  </si>
  <si>
    <t>#11 FLASH TANK SPRAY AND VACUUM BREAKER SEAL WATER PSV</t>
  </si>
  <si>
    <t>#12 FLASH TANK SPRAY AND VACUUM BREAKER SEAL WATER PRV</t>
  </si>
  <si>
    <t>#12 FLASH TANK SPRAY AND VACUUM BREAKER SEAL WATER PSV</t>
  </si>
  <si>
    <t>CONDENSATE PRE-HEAT EXCHANGER A TO DEAERATOR PSV</t>
  </si>
  <si>
    <t>CONDENSATE PRE-HEAT EXCHANGER A TO COGEN FEEDWATER PUMP PSV</t>
  </si>
  <si>
    <t>CONDENSATE PRE-HEAT EXCHANGER B TO DEAERATOR PSV</t>
  </si>
  <si>
    <t>CONDENSATE PRE-HEAT EXCHANGER B TO COGEN FEEDWATER PUMP PSV</t>
  </si>
  <si>
    <t>COGEN FWP A SUCTION PSV</t>
    <phoneticPr fontId="1" type="noConversion"/>
  </si>
  <si>
    <t>COGEN FWP B SUCTION PSV</t>
    <phoneticPr fontId="1" type="noConversion"/>
  </si>
  <si>
    <t>COGEN FWP C SUCTION PSV</t>
    <phoneticPr fontId="1" type="noConversion"/>
  </si>
  <si>
    <t>COGEN FWP E SUCTION PSV</t>
    <phoneticPr fontId="1" type="noConversion"/>
  </si>
  <si>
    <t>COGEN FWP D SUCTION PSV</t>
    <phoneticPr fontId="1" type="noConversion"/>
  </si>
  <si>
    <t>#22 HP STEAM HEADER PSV</t>
  </si>
  <si>
    <t>HEAT EXCHANGER FOR CONDENSATE RETURN A TO CONDENSATE RETURN STORAGE TANK PSV</t>
  </si>
  <si>
    <t>HEAT EXCHANGER FOR CONDENSATE RETURN B TO CONDENSATE RETURN STORAGE TANK PSV</t>
  </si>
  <si>
    <t>HEAT EXCHANGER CONDENSATE RETURN A TO CONDENSATE HEADER PSV</t>
    <phoneticPr fontId="1" type="noConversion"/>
  </si>
  <si>
    <t>HEAT EXCHANGER CONDENSATE RETURN B TO CONDENSATE HEADER PSV</t>
    <phoneticPr fontId="1" type="noConversion"/>
  </si>
  <si>
    <t>#21 LP STEAM HEADER PSV 1</t>
  </si>
  <si>
    <t>#21 LP STEAM HEADER PSV 2</t>
  </si>
  <si>
    <t>#21 LP STEAM HEADER PSV 3</t>
  </si>
  <si>
    <t>#21 LP STEAM HEADER PSV 4</t>
  </si>
  <si>
    <t>#21 LP STEAM HEADER PSV 5</t>
  </si>
  <si>
    <t>TGP FWP A SUCTION PSV</t>
    <phoneticPr fontId="1" type="noConversion"/>
  </si>
  <si>
    <t>TGP FWP B SUCTION PSV</t>
    <phoneticPr fontId="1" type="noConversion"/>
  </si>
  <si>
    <t>TGP FWP C SUCTION PSV</t>
    <phoneticPr fontId="1" type="noConversion"/>
  </si>
  <si>
    <t>TGP FWP D SUCTION PSV</t>
    <phoneticPr fontId="1" type="noConversion"/>
  </si>
  <si>
    <t>TGP FWP E SUCTION PSV</t>
    <phoneticPr fontId="1" type="noConversion"/>
  </si>
  <si>
    <t>#13 HRSG STARTUP BYPASS ISOLATION MOV</t>
  </si>
  <si>
    <t>#17 AUX BOILER STARTUP BYPASS ISOLATION MOV</t>
  </si>
  <si>
    <t>#14 HRSG STARTUP BYPASS ISOLATION MOV</t>
  </si>
  <si>
    <t>#15 HRSG STARTUP BYPASS ISOLATION MOV</t>
  </si>
  <si>
    <t>#11 ST STARTUP BYPASS ISOLATION MOV</t>
  </si>
  <si>
    <t>#11 ST HHP STEAM ISOLATION MOV</t>
  </si>
  <si>
    <t>#12 ST STARTUP BYPASS ISOLATION MOV</t>
  </si>
  <si>
    <t>#21 HP STEAM HEADER ISOLATION MOV</t>
  </si>
  <si>
    <t>#22 HP STEAM HEADER ISOLATION MOV</t>
  </si>
  <si>
    <t>#11 CLEAN DRAIN TO WASTE WATER TREATMENT SYSTEM TCV</t>
  </si>
  <si>
    <t>#11 CLEAN DRAIN TO WASTE WATER TREATMENT SYSTEM MOV</t>
  </si>
  <si>
    <t>#11 CLEAN DRAIN TO CONDENSATE COLLECTING TANK ISOLATION MOV</t>
  </si>
  <si>
    <t>#12 CLEAN DRAIN TO WASTE WATER TREATMENT SYSTEM TCV</t>
  </si>
  <si>
    <t>#12 CLEAN DRAIN TO WASTE WATER TREATMENT SYSTEM MOV</t>
  </si>
  <si>
    <t>#12 CLEAN DRAIN TO CONDENSATE COLLECTING TANK ISOLATION MOV</t>
  </si>
  <si>
    <t>#13 HRSG BLOWDOWN DRAIN TO WASTE WATER TREATMENT SYSTEM MOV</t>
  </si>
  <si>
    <t>#13 HRSG BLOWDOWN DRAIN TO DEMINERALISATION PLANT ISOLATION MOV</t>
  </si>
  <si>
    <t>#14 HRSG BLOWDOWN DRAIN TO WASTE WATER TREATMENT SYSTEM MOV</t>
  </si>
  <si>
    <t>#14 HRSG BLOWDOWN DRAIN TO DEMINERALISATION PLANT ISOLATION MOV</t>
  </si>
  <si>
    <t>#15 HRSG BLOWDOWN DRAIN TO WASTE WATER TREATMENT SYSTEM MOV</t>
  </si>
  <si>
    <t>#15 HRSG BLOWDOWN DRAIN TO DEMINERALISATION PLANT ISOLATION MOV</t>
  </si>
  <si>
    <t>#16 AUX BOILER BLOWDOWN DRAIN TO WASTE WATER TREATMENT SYSTEM MOV</t>
  </si>
  <si>
    <t>#16 AUX BOILER BLOWDOWN DRAIN TO DEMINERALISATION PLANT ISOLATION MOV</t>
  </si>
  <si>
    <t>#17 AUX BOILER BLOWDOWN DRAIN TO WASTE WATER TREATMENT SYSTEM MOV</t>
  </si>
  <si>
    <t>#17 AUX BOILER BLOWDOWN DRAIN TO DEMINERALISATION PLANT ISOLATION MOV</t>
  </si>
  <si>
    <t>#11 AIR COOLED CONDENSER CONDENSATE COLLECTION TANK INITIAL FILL &amp; ENERGENCY MAKEUP LCV</t>
  </si>
  <si>
    <t>#11 CONDENSATE DUMP LCV</t>
  </si>
  <si>
    <t>#11 CEP MINIMUM RECIRCULATION FCV</t>
  </si>
  <si>
    <t>#11 CEP DISCHARGE HEADER AIR COOLED CONDENSER CONDENSATE COLLECTION TANK LCV</t>
  </si>
  <si>
    <t>#11 CONDENSATE DISCHARGE HEADER ISOLATION MOV</t>
  </si>
  <si>
    <t>#12 AIR COOLED CONDENSER CONDENSATE COLLECTION TANK INITIAL FILL &amp; ENERGENCY MAKEUP LCV</t>
  </si>
  <si>
    <t>#12 CONDENSATE DUMP LCV</t>
  </si>
  <si>
    <t>#12 CEP MINIMUM RECIRCULATION FCV</t>
  </si>
  <si>
    <t>#12 CEP DISCHARGE HEADER AIR COOLED CONDENSER CONDENSATE COLLECTION TANK LCV</t>
  </si>
  <si>
    <t>#12 CONDENSATE DISCHARGE HEADER ISOLATION MOV</t>
  </si>
  <si>
    <t>CONDENSATE RETURN STORAGE TANK A INLET ISOLATION MOV</t>
  </si>
  <si>
    <t>CONDENSATE RETURN STORAGE TANK B INLET ISOLATION MOV</t>
  </si>
  <si>
    <t>CONDENSATE SUPPLY PUMP MINIMUM RECIRCULATION FCV</t>
  </si>
  <si>
    <t>CONDENSATE SUPPLY PUMP DISCHARGE HEADER PCV 1</t>
  </si>
  <si>
    <t>CONDENSATE SUPPLY PUMP DISCHARGE HEADER PCV 2</t>
  </si>
  <si>
    <t>CONDENSATE RETURN STORAGE TANK TO STORM WATER LINE MOV</t>
  </si>
  <si>
    <t>DEAERATOR &amp; FEEDWATER STORAGE TANK A LCV</t>
  </si>
  <si>
    <t>DEAERATOR &amp; FEEDWATER STORAGE TANK A PEGGING STEAM PCV</t>
  </si>
  <si>
    <t>DEAERATOR &amp; FEEDWATER STORAGE TANK A PEGGING STEAM ISOLATION MOV</t>
  </si>
  <si>
    <t>DEAERATOR &amp; FEEDWATER STORAGE TANK A HOT WATER INLET PCV</t>
  </si>
  <si>
    <t>DEAERATOR &amp; FEEDWATER STORAGE TANK A HOT WATER INLET IOSLATION MOV</t>
  </si>
  <si>
    <t>DEAERATOR &amp; FEEDWATER STORAGE TANK A VENT MOV</t>
  </si>
  <si>
    <t>DEAERATOR &amp; FEEDWATER STORAGE TANK A DRAIN MOV</t>
  </si>
  <si>
    <t>CONDENSATE PRE-HEAT EXCHANGER BYPASS MOV</t>
  </si>
  <si>
    <t>COGEN FWP A HHP DISCHARGE MOV</t>
  </si>
  <si>
    <t>COGEN FWP A MINIMUM RECIRCULATION FCV</t>
  </si>
  <si>
    <t>COGEN FWP B HHP DISCHARGE MOV</t>
  </si>
  <si>
    <t>COGEN FWP B MINIMUM RECIRCULATION FCV</t>
  </si>
  <si>
    <t>COGEN FWP C HHP DISCHARGE MOV</t>
  </si>
  <si>
    <t>COGEN FWP C MINIMUM RECIRCULATION FCV</t>
  </si>
  <si>
    <t>COGEN FWP D HHP DISCHARGE MOV</t>
  </si>
  <si>
    <t>COGEN FWP D MINIMUM RECIRCULATION FCV</t>
  </si>
  <si>
    <t>COGEN FWP E HHP DISCHARGE MOV</t>
  </si>
  <si>
    <t>COGEN FWP E MINIMUM RECIRCULATION FCV</t>
  </si>
  <si>
    <t>TGP FWP A DISCHARGE MOV</t>
  </si>
  <si>
    <t>TGP FWP A MINIMUM RECIRCULATION FCV</t>
  </si>
  <si>
    <t>TGP FWP B DISCHARGE MOV</t>
  </si>
  <si>
    <t>TGP FWP B MINIMUM RECIRCULATION FCV</t>
  </si>
  <si>
    <t>TGP FWP DISCHARGE HEADER TO TGP ISOLATION MOV 1</t>
  </si>
  <si>
    <t>TGP FWP DISCHARGE HEADER TO TGP PCV 1</t>
  </si>
  <si>
    <t>TGP FWP DISCHARGE HEADER TO TGP ISOLATION MOV 2</t>
  </si>
  <si>
    <t>TGP FWP DISCHARGE HEADER TO TGP PCV 2</t>
  </si>
  <si>
    <t>TGP FWP C DISCHARGE MOV</t>
  </si>
  <si>
    <t>TGP FWP C MINIMUM RECIRCULATION FCV</t>
  </si>
  <si>
    <t>TGP FWP D DISCHARGE MOV</t>
  </si>
  <si>
    <t>TGP FWP D MINIMUM RECIRCULATION FCV</t>
  </si>
  <si>
    <t>TGP FWP E DISCHARGE MOV</t>
  </si>
  <si>
    <t>TGP FWP E MINIMUM RECIRCULATION FCV</t>
  </si>
  <si>
    <t>CCW EXPANSION HEAD TANK MAKEUP XV</t>
  </si>
  <si>
    <t>19K9-20GHC10-M05-0002</t>
    <phoneticPr fontId="1" type="noConversion"/>
  </si>
  <si>
    <t>#21 HP STEAM HEADER FROM TGP ISOLATION MOV</t>
    <phoneticPr fontId="1" type="noConversion"/>
  </si>
  <si>
    <t>#22 HP STEAM HEADER FROM TGP ISOLATION MOV</t>
    <phoneticPr fontId="1" type="noConversion"/>
  </si>
  <si>
    <t>#21 LP STEAM HEADER TO TGP ISOLATION MOV</t>
    <phoneticPr fontId="1" type="noConversion"/>
  </si>
  <si>
    <t>#22 LP STEAM HEADER TO TGP ISOLATION MOV</t>
  </si>
  <si>
    <t>19K9-20EGD00-M05-0001</t>
    <phoneticPr fontId="1" type="noConversion"/>
  </si>
  <si>
    <t>20EGD00AA251</t>
    <phoneticPr fontId="1" type="noConversion"/>
  </si>
  <si>
    <t>20EKG70AA251</t>
    <phoneticPr fontId="1" type="noConversion"/>
  </si>
  <si>
    <t>20LBR16AA201</t>
    <phoneticPr fontId="1" type="noConversion"/>
  </si>
  <si>
    <t>20LBR80AA101</t>
    <phoneticPr fontId="1" type="noConversion"/>
  </si>
  <si>
    <t>20SCB01AA251</t>
    <phoneticPr fontId="1" type="noConversion"/>
  </si>
  <si>
    <t>19K9-20QFA10-M05-0001</t>
    <phoneticPr fontId="1" type="noConversion"/>
  </si>
  <si>
    <t>11LCW11AA701</t>
    <phoneticPr fontId="1" type="noConversion"/>
  </si>
  <si>
    <t>11LCA10AA201</t>
    <phoneticPr fontId="1" type="noConversion"/>
  </si>
  <si>
    <t>11LCM10AA202</t>
    <phoneticPr fontId="1" type="noConversion"/>
  </si>
  <si>
    <t>11LCM10AA201</t>
    <phoneticPr fontId="1" type="noConversion"/>
  </si>
  <si>
    <t>11LCW21AA201</t>
    <phoneticPr fontId="1" type="noConversion"/>
  </si>
  <si>
    <t>12LCW11AA701</t>
    <phoneticPr fontId="1" type="noConversion"/>
  </si>
  <si>
    <t>12LCA10AA201</t>
    <phoneticPr fontId="1" type="noConversion"/>
  </si>
  <si>
    <t>12LCM10AA202</t>
    <phoneticPr fontId="1" type="noConversion"/>
  </si>
  <si>
    <t>12LCM10AA201</t>
    <phoneticPr fontId="1" type="noConversion"/>
  </si>
  <si>
    <t>12LCW21AA201</t>
    <phoneticPr fontId="1" type="noConversion"/>
  </si>
  <si>
    <t>13LCL10AA202</t>
    <phoneticPr fontId="1" type="noConversion"/>
  </si>
  <si>
    <t>13LCL10AA201</t>
    <phoneticPr fontId="1" type="noConversion"/>
  </si>
  <si>
    <t>14LCL10AA202</t>
    <phoneticPr fontId="1" type="noConversion"/>
  </si>
  <si>
    <t>14LCL10AA201</t>
    <phoneticPr fontId="1" type="noConversion"/>
  </si>
  <si>
    <t>15LCL10AA202</t>
    <phoneticPr fontId="1" type="noConversion"/>
  </si>
  <si>
    <t>15LCL10AA201</t>
    <phoneticPr fontId="1" type="noConversion"/>
  </si>
  <si>
    <t>16LCL10AA202</t>
    <phoneticPr fontId="1" type="noConversion"/>
  </si>
  <si>
    <t>16LCL10AA201</t>
    <phoneticPr fontId="1" type="noConversion"/>
  </si>
  <si>
    <t>17LCL10AA202</t>
    <phoneticPr fontId="1" type="noConversion"/>
  </si>
  <si>
    <t>17LCL10AA201</t>
    <phoneticPr fontId="1" type="noConversion"/>
  </si>
  <si>
    <t>00GKB61AA201</t>
    <phoneticPr fontId="1" type="noConversion"/>
  </si>
  <si>
    <t>00GKB61AA202</t>
    <phoneticPr fontId="1" type="noConversion"/>
  </si>
  <si>
    <t>13LBA13AA201</t>
    <phoneticPr fontId="1" type="noConversion"/>
  </si>
  <si>
    <t>13LBA13AA204</t>
    <phoneticPr fontId="1" type="noConversion"/>
  </si>
  <si>
    <t>13LBA10AA204</t>
    <phoneticPr fontId="1" type="noConversion"/>
  </si>
  <si>
    <t>#13 HRSG HHP STEAM TO STARTUP BYPASS DRAIN MOV</t>
    <phoneticPr fontId="1" type="noConversion"/>
  </si>
  <si>
    <t>#13 HRSG HHP MAIN STEAM DRAIN MOV</t>
    <phoneticPr fontId="1" type="noConversion"/>
  </si>
  <si>
    <t>16LBA13AA204</t>
    <phoneticPr fontId="1" type="noConversion"/>
  </si>
  <si>
    <t>16LBA10AA204</t>
    <phoneticPr fontId="1" type="noConversion"/>
  </si>
  <si>
    <t>#16 AUX BOILER HHP STEAM TO STARTUP BYPASS DRAIN MOV</t>
    <phoneticPr fontId="1" type="noConversion"/>
  </si>
  <si>
    <t>#16 AUX BOILER HHP MAIN STEAM DRAIN MOV</t>
    <phoneticPr fontId="1" type="noConversion"/>
  </si>
  <si>
    <t>17LBA13AA204</t>
    <phoneticPr fontId="1" type="noConversion"/>
  </si>
  <si>
    <t>17LBA10AA204</t>
    <phoneticPr fontId="1" type="noConversion"/>
  </si>
  <si>
    <t>21LBA10AA204</t>
    <phoneticPr fontId="1" type="noConversion"/>
  </si>
  <si>
    <t>22LBA10AA204</t>
    <phoneticPr fontId="1" type="noConversion"/>
  </si>
  <si>
    <t>#17 AUX BOILER HHP STEAM TO STARTUP BYPASS DRAIN MOV</t>
  </si>
  <si>
    <t>#17 AUX BOILER HHP MAIN STEAM DRAIN MOV</t>
  </si>
  <si>
    <t>#21 HHP STEAM HEADER DRAIN MOV 1</t>
    <phoneticPr fontId="1" type="noConversion"/>
  </si>
  <si>
    <t>#22 HHP STEAM HEADER DRAIN MOV 1</t>
    <phoneticPr fontId="1" type="noConversion"/>
  </si>
  <si>
    <t>LBA2</t>
  </si>
  <si>
    <t>16LBA13AA201</t>
    <phoneticPr fontId="1" type="noConversion"/>
  </si>
  <si>
    <t>17LBA13AA201</t>
    <phoneticPr fontId="1" type="noConversion"/>
  </si>
  <si>
    <t>14LBA13AA204</t>
    <phoneticPr fontId="1" type="noConversion"/>
  </si>
  <si>
    <t>14LBA10AA204</t>
    <phoneticPr fontId="1" type="noConversion"/>
  </si>
  <si>
    <t>14LBA13AA201</t>
    <phoneticPr fontId="1" type="noConversion"/>
  </si>
  <si>
    <t>#14 HRSG HHP STEAM TO STARTUP BYPASS DRAIN MOV</t>
    <phoneticPr fontId="1" type="noConversion"/>
  </si>
  <si>
    <t>#14 HRSG HHP MAIN STEAM DRAIN MOV</t>
    <phoneticPr fontId="1" type="noConversion"/>
  </si>
  <si>
    <t>#15 HRSG HHP STEAM TO STARTUP BYPASS DRAIN MOV</t>
    <phoneticPr fontId="1" type="noConversion"/>
  </si>
  <si>
    <t>#15 HRSG HHP MAIN STEAM DRAIN MOV</t>
    <phoneticPr fontId="1" type="noConversion"/>
  </si>
  <si>
    <t>#21 HHP STEAM HEADER DRAIN MOV 2</t>
    <phoneticPr fontId="1" type="noConversion"/>
  </si>
  <si>
    <t>#21 HHP STEAM HEADER DRAIN MOV 3</t>
    <phoneticPr fontId="1" type="noConversion"/>
  </si>
  <si>
    <t>#22 HHP STEAM HEADER DRAIN MOV 2</t>
    <phoneticPr fontId="1" type="noConversion"/>
  </si>
  <si>
    <t>#22 HHP STEAM HEADER DRAIN MOV 3</t>
    <phoneticPr fontId="1" type="noConversion"/>
  </si>
  <si>
    <t>15LBA13AA204</t>
    <phoneticPr fontId="1" type="noConversion"/>
  </si>
  <si>
    <t>15LBA10AA204</t>
    <phoneticPr fontId="1" type="noConversion"/>
  </si>
  <si>
    <t>21LBA10AA208</t>
    <phoneticPr fontId="1" type="noConversion"/>
  </si>
  <si>
    <t>21LBA10AA214</t>
    <phoneticPr fontId="1" type="noConversion"/>
  </si>
  <si>
    <t>22LBA10AA208</t>
    <phoneticPr fontId="1" type="noConversion"/>
  </si>
  <si>
    <t>22LBA10AA214</t>
    <phoneticPr fontId="1" type="noConversion"/>
  </si>
  <si>
    <t>15LBA13AA201</t>
    <phoneticPr fontId="1" type="noConversion"/>
  </si>
  <si>
    <t>11LBA15AA201</t>
    <phoneticPr fontId="1" type="noConversion"/>
  </si>
  <si>
    <t>11LBA15AA202</t>
    <phoneticPr fontId="1" type="noConversion"/>
  </si>
  <si>
    <t>ST STARTUP BYPASS STEAM TO #11 STG DRAIN MOV</t>
    <phoneticPr fontId="1" type="noConversion"/>
  </si>
  <si>
    <t>11LBA10AA201</t>
    <phoneticPr fontId="1" type="noConversion"/>
  </si>
  <si>
    <t>11LBA10AA204</t>
    <phoneticPr fontId="1" type="noConversion"/>
  </si>
  <si>
    <t>11LBA10AA208</t>
    <phoneticPr fontId="1" type="noConversion"/>
  </si>
  <si>
    <t>11LBA10AA214</t>
    <phoneticPr fontId="1" type="noConversion"/>
  </si>
  <si>
    <t>HHP STEAM HEADER TO #11 STG INLET DRAIN MOV 1</t>
  </si>
  <si>
    <t>HHP STEAM HEADER TO #11 STG INLET DRAIN MOV 2</t>
  </si>
  <si>
    <t>HHP STEAM HEADER TO #11 STG INLET DRAIN MOV 3</t>
  </si>
  <si>
    <t>HHP STEAM HEADER TO #11 STG INLET DRAIN MOV 4</t>
  </si>
  <si>
    <t>HP STEAM HEADER TO #11 STG INLET DRAIN MOV</t>
  </si>
  <si>
    <t>#11 STG EXTRACTION TO #21 LP STEAM HEADER DRAIN MOV 1</t>
  </si>
  <si>
    <t>#11 STG EXTRACTION TO #21 LP STEAM HEADER DRAIN MOV 2</t>
  </si>
  <si>
    <t>11LBA10AA202</t>
    <phoneticPr fontId="1" type="noConversion"/>
  </si>
  <si>
    <t>11LBR10AA202</t>
    <phoneticPr fontId="1" type="noConversion"/>
  </si>
  <si>
    <t>LBR1</t>
  </si>
  <si>
    <t>LBD2</t>
  </si>
  <si>
    <t>12LBA15AA201</t>
    <phoneticPr fontId="1" type="noConversion"/>
  </si>
  <si>
    <t>12LBA10AA201</t>
    <phoneticPr fontId="1" type="noConversion"/>
  </si>
  <si>
    <t>11LBD10AA202</t>
    <phoneticPr fontId="1" type="noConversion"/>
  </si>
  <si>
    <t>11LBD10AA201</t>
    <phoneticPr fontId="1" type="noConversion"/>
  </si>
  <si>
    <t>12LBA15AA202</t>
    <phoneticPr fontId="1" type="noConversion"/>
  </si>
  <si>
    <t>12LBA10AA204</t>
    <phoneticPr fontId="1" type="noConversion"/>
  </si>
  <si>
    <t>12LBA10AA208</t>
    <phoneticPr fontId="1" type="noConversion"/>
  </si>
  <si>
    <t>12LBA10AA214</t>
    <phoneticPr fontId="1" type="noConversion"/>
  </si>
  <si>
    <t>12LBA10AA202</t>
    <phoneticPr fontId="1" type="noConversion"/>
  </si>
  <si>
    <t>12LBR10AA202</t>
    <phoneticPr fontId="1" type="noConversion"/>
  </si>
  <si>
    <t>12LBD10AA202</t>
    <phoneticPr fontId="1" type="noConversion"/>
  </si>
  <si>
    <t>12LBD10AA201</t>
    <phoneticPr fontId="1" type="noConversion"/>
  </si>
  <si>
    <t>11LBR10AA201</t>
    <phoneticPr fontId="1" type="noConversion"/>
  </si>
  <si>
    <t>19K9-20LBR10-M05-0001</t>
  </si>
  <si>
    <t>HP STEAM HEADER SYSTEM</t>
  </si>
  <si>
    <t>21LBR10AA203</t>
    <phoneticPr fontId="1" type="noConversion"/>
  </si>
  <si>
    <t>21LBR10AA207</t>
    <phoneticPr fontId="1" type="noConversion"/>
  </si>
  <si>
    <t>#21 HP STEAM HEADER DRAIN MOV 1</t>
  </si>
  <si>
    <t>#21 HP STEAM HEADER DRAIN MOV 2</t>
  </si>
  <si>
    <t>#22 HP STEAM HEADER DRAIN MOV 1</t>
  </si>
  <si>
    <t>#22 HP STEAM HEADER DRAIN MOV 2</t>
  </si>
  <si>
    <t>22LBR10AA203</t>
    <phoneticPr fontId="1" type="noConversion"/>
  </si>
  <si>
    <t>22LBR10AA207</t>
    <phoneticPr fontId="1" type="noConversion"/>
  </si>
  <si>
    <t>21LBR10AA201</t>
    <phoneticPr fontId="1" type="noConversion"/>
  </si>
  <si>
    <t>12LBR10AA201</t>
    <phoneticPr fontId="1" type="noConversion"/>
  </si>
  <si>
    <t>22LBR10AA201</t>
    <phoneticPr fontId="1" type="noConversion"/>
  </si>
  <si>
    <t>21NAA10AA201</t>
    <phoneticPr fontId="1" type="noConversion"/>
  </si>
  <si>
    <t>21NAA10AA203</t>
    <phoneticPr fontId="1" type="noConversion"/>
  </si>
  <si>
    <t>22NAA10AA203</t>
    <phoneticPr fontId="1" type="noConversion"/>
  </si>
  <si>
    <t>22NAA10AA201</t>
    <phoneticPr fontId="1" type="noConversion"/>
  </si>
  <si>
    <t>21LBR13AA203</t>
    <phoneticPr fontId="1" type="noConversion"/>
  </si>
  <si>
    <t>#21 HP STEAM HEADER TO AUX STEAM HEADER PSV</t>
  </si>
  <si>
    <t>#22 HP STEAM HEADER TO AUX STEAM HEADER PSV</t>
  </si>
  <si>
    <t>AUX STEAM TO #11 ST SEAL STEAM DRAIN MOV</t>
  </si>
  <si>
    <t>AUX STEAM TO #12 ST SEAL STEAM DRAIN MOV</t>
  </si>
  <si>
    <t>#21 HP STEAM HEADER TO AUX STEAM HEADER DRAIN MOV</t>
    <phoneticPr fontId="1" type="noConversion"/>
  </si>
  <si>
    <t>22LBR13AA203</t>
    <phoneticPr fontId="1" type="noConversion"/>
  </si>
  <si>
    <t>#22 HP STEAM HEADER TO AUX STEAM HEADER DRAIN MOV</t>
    <phoneticPr fontId="1" type="noConversion"/>
  </si>
  <si>
    <t>11LBG20AA201</t>
    <phoneticPr fontId="1" type="noConversion"/>
  </si>
  <si>
    <t>12LBG20AA201</t>
    <phoneticPr fontId="1" type="noConversion"/>
  </si>
  <si>
    <t>21LBG00AA191</t>
    <phoneticPr fontId="1" type="noConversion"/>
  </si>
  <si>
    <t>22LBG00AA191</t>
    <phoneticPr fontId="1" type="noConversion"/>
  </si>
  <si>
    <t>19K9-20LBA40-M05-0004</t>
  </si>
  <si>
    <t>20LBA11AA204</t>
    <phoneticPr fontId="1" type="noConversion"/>
  </si>
  <si>
    <t>#11 HRSG HHP AND AUX BOILER STARTUP BYPASS STATION DRAIN MOV</t>
    <phoneticPr fontId="1" type="noConversion"/>
  </si>
  <si>
    <t>20LBA12AA204</t>
    <phoneticPr fontId="1" type="noConversion"/>
  </si>
  <si>
    <t>20LCP03AA191</t>
    <phoneticPr fontId="1" type="noConversion"/>
  </si>
  <si>
    <t>20LCP04AA191</t>
    <phoneticPr fontId="1" type="noConversion"/>
  </si>
  <si>
    <t>20LCP11AA201</t>
    <phoneticPr fontId="1" type="noConversion"/>
  </si>
  <si>
    <t>20LCP12AA201</t>
    <phoneticPr fontId="1" type="noConversion"/>
  </si>
  <si>
    <t>20LCP10AA201</t>
    <phoneticPr fontId="1" type="noConversion"/>
  </si>
  <si>
    <t>20GHC41AA251</t>
    <phoneticPr fontId="1" type="noConversion"/>
  </si>
  <si>
    <t>20GHC01AA201</t>
    <phoneticPr fontId="1" type="noConversion"/>
  </si>
  <si>
    <t>20GHC02AA202</t>
    <phoneticPr fontId="1" type="noConversion"/>
  </si>
  <si>
    <t>21NAA10AA101</t>
    <phoneticPr fontId="1" type="noConversion"/>
  </si>
  <si>
    <t>22NAA10AA101</t>
    <phoneticPr fontId="1" type="noConversion"/>
  </si>
  <si>
    <t>LBA10</t>
  </si>
  <si>
    <t>LCW1</t>
    <phoneticPr fontId="1" type="noConversion"/>
  </si>
  <si>
    <t>LBR10</t>
  </si>
  <si>
    <t>SCB1</t>
    <phoneticPr fontId="1" type="noConversion"/>
  </si>
  <si>
    <t>LBD1</t>
  </si>
  <si>
    <t>NAA10</t>
  </si>
  <si>
    <t>NAA1</t>
  </si>
  <si>
    <t>DESCRIPTION</t>
    <phoneticPr fontId="1" type="noConversion"/>
  </si>
  <si>
    <t>20GHC60AA201</t>
    <phoneticPr fontId="1" type="noConversion"/>
  </si>
  <si>
    <t>20LBG11AA201</t>
    <phoneticPr fontId="1" type="noConversion"/>
  </si>
  <si>
    <t>20LAD01AA201</t>
    <phoneticPr fontId="1" type="noConversion"/>
  </si>
  <si>
    <t>20LAA01AA201</t>
    <phoneticPr fontId="1" type="noConversion"/>
  </si>
  <si>
    <t>20LAB01AA201</t>
    <phoneticPr fontId="1" type="noConversion"/>
  </si>
  <si>
    <t>20LBR80AA201</t>
    <phoneticPr fontId="1" type="noConversion"/>
  </si>
  <si>
    <t>20GHC60AA202</t>
    <phoneticPr fontId="1" type="noConversion"/>
  </si>
  <si>
    <t>20LBG12AA201</t>
    <phoneticPr fontId="1" type="noConversion"/>
  </si>
  <si>
    <t>20LAD02AA201</t>
    <phoneticPr fontId="1" type="noConversion"/>
  </si>
  <si>
    <t>20LAA02AA201</t>
    <phoneticPr fontId="1" type="noConversion"/>
  </si>
  <si>
    <t>20LAB02AA201</t>
    <phoneticPr fontId="1" type="noConversion"/>
  </si>
  <si>
    <t>20LBR80AA202</t>
    <phoneticPr fontId="1" type="noConversion"/>
  </si>
  <si>
    <t>20GHC60AA203</t>
    <phoneticPr fontId="1" type="noConversion"/>
  </si>
  <si>
    <t>20LBG13AA201</t>
    <phoneticPr fontId="1" type="noConversion"/>
  </si>
  <si>
    <t>20LAD03AA201</t>
    <phoneticPr fontId="1" type="noConversion"/>
  </si>
  <si>
    <t>20LAA03AA201</t>
    <phoneticPr fontId="1" type="noConversion"/>
  </si>
  <si>
    <t>20LAB03AA201</t>
    <phoneticPr fontId="1" type="noConversion"/>
  </si>
  <si>
    <t>20LBR80AA203</t>
    <phoneticPr fontId="1" type="noConversion"/>
  </si>
  <si>
    <t>20LAB13AA201</t>
    <phoneticPr fontId="1" type="noConversion"/>
  </si>
  <si>
    <t>20LAB41AA201</t>
    <phoneticPr fontId="1" type="noConversion"/>
  </si>
  <si>
    <t>20LAB42AA201</t>
    <phoneticPr fontId="1" type="noConversion"/>
  </si>
  <si>
    <t>20LAB43AA201</t>
    <phoneticPr fontId="1" type="noConversion"/>
  </si>
  <si>
    <t>20LAB44AA201</t>
    <phoneticPr fontId="1" type="noConversion"/>
  </si>
  <si>
    <t>20LAB45AA201</t>
    <phoneticPr fontId="1" type="noConversion"/>
  </si>
  <si>
    <t>25LAB21AA201</t>
    <phoneticPr fontId="1" type="noConversion"/>
  </si>
  <si>
    <t>25LAB22AA201</t>
    <phoneticPr fontId="1" type="noConversion"/>
  </si>
  <si>
    <t>25LAB41AA201</t>
    <phoneticPr fontId="1" type="noConversion"/>
  </si>
  <si>
    <t>25LAB42AA201</t>
    <phoneticPr fontId="1" type="noConversion"/>
  </si>
  <si>
    <t>FEEDWATER SYSTEM - TGP</t>
  </si>
  <si>
    <t>19K9-25LAB00-M05-0007</t>
  </si>
  <si>
    <t>25LAB43AA201</t>
    <phoneticPr fontId="1" type="noConversion"/>
  </si>
  <si>
    <t>25LAB43AA101</t>
    <phoneticPr fontId="1" type="noConversion"/>
  </si>
  <si>
    <t>25LAB23AA201</t>
    <phoneticPr fontId="1" type="noConversion"/>
  </si>
  <si>
    <t>25LAB24AA201</t>
    <phoneticPr fontId="1" type="noConversion"/>
  </si>
  <si>
    <t>25LAB25AA201</t>
    <phoneticPr fontId="1" type="noConversion"/>
  </si>
  <si>
    <t>LAA1</t>
    <phoneticPr fontId="1" type="noConversion"/>
  </si>
  <si>
    <t>LIQUID PENTANE INLET ISOLATION XV</t>
    <phoneticPr fontId="1" type="noConversion"/>
  </si>
  <si>
    <t>#21 HP STEAM HEADER TO AUX STEAM HEADER PCV</t>
    <phoneticPr fontId="1" type="noConversion"/>
  </si>
  <si>
    <t>#22 HP STEAM HEADER TO AUX STEAM HEADER PCV</t>
    <phoneticPr fontId="1" type="noConversion"/>
  </si>
  <si>
    <t>BODY TYPE</t>
    <phoneticPr fontId="1" type="noConversion"/>
  </si>
  <si>
    <t>BONNET TYPE</t>
    <phoneticPr fontId="1" type="noConversion"/>
  </si>
  <si>
    <t>HB3</t>
    <phoneticPr fontId="1" type="noConversion"/>
  </si>
  <si>
    <t>A216-WCB</t>
    <phoneticPr fontId="1" type="noConversion"/>
  </si>
  <si>
    <t>GB1</t>
    <phoneticPr fontId="1" type="noConversion"/>
  </si>
  <si>
    <t>A182-F91</t>
    <phoneticPr fontId="1" type="noConversion"/>
  </si>
  <si>
    <t>600</t>
    <phoneticPr fontId="1" type="noConversion"/>
  </si>
  <si>
    <t>LUG</t>
    <phoneticPr fontId="1" type="noConversion"/>
  </si>
  <si>
    <t>RF</t>
    <phoneticPr fontId="1" type="noConversion"/>
  </si>
  <si>
    <t>GB2</t>
    <phoneticPr fontId="1" type="noConversion"/>
  </si>
  <si>
    <t>19K9-20LBA30-M05-0001</t>
  </si>
  <si>
    <t>HRSG LP STEAM SYSTEM</t>
  </si>
  <si>
    <t>#13 HRSG LP STEAM DRAIN MOV</t>
    <phoneticPr fontId="1" type="noConversion"/>
  </si>
  <si>
    <t>#14 HRSG LP STEAM DRAIN MOV</t>
    <phoneticPr fontId="1" type="noConversion"/>
  </si>
  <si>
    <t>#15 HRSG LP STEAM DRAIN MOV</t>
    <phoneticPr fontId="1" type="noConversion"/>
  </si>
  <si>
    <t>13LBA30AA201</t>
    <phoneticPr fontId="1" type="noConversion"/>
  </si>
  <si>
    <t>14LBA30AA201</t>
    <phoneticPr fontId="1" type="noConversion"/>
  </si>
  <si>
    <t>15LBA30AA201</t>
    <phoneticPr fontId="1" type="noConversion"/>
  </si>
  <si>
    <t>Desal water feed pump discharge</t>
  </si>
  <si>
    <t>#21 LP STEAM HEADER DRAIN MOV</t>
  </si>
  <si>
    <t>#22 LP STEAM HEADER DRAIN MOV</t>
  </si>
  <si>
    <t>#12 HRSG HHP AND AUX BOILER STARTUP BYPASS STATION DRAIN MOV</t>
  </si>
  <si>
    <t>#11 FLASH TANK SPRAY WATER MOV</t>
  </si>
  <si>
    <t>#12 FLASH TANK SPRAY WATER MOV</t>
  </si>
  <si>
    <t>DEMI WATER SYSTEM TO DEAERATOR &amp; FEEDWATER STORAGE TANK A INLET MOV</t>
  </si>
  <si>
    <t>PENTANE EVAPORATOR TO DEAERATOR &amp; FEEDWATER STORAGE TANK A INLET MOV</t>
  </si>
  <si>
    <t>DEMI WATER SYSTEM TO DEAERATOR &amp; FEEDWATER STORAGE TANK B INLET MOV</t>
  </si>
  <si>
    <t>PENTANE EVAPORATOR TO DEAERATOR &amp; FEEDWATER STORAGE TANK B INLET MOV</t>
  </si>
  <si>
    <t>DEMI WATER SYSTEM TO DEAERATOR &amp; FEEDWATER STORAGE TANK C INLET MOV</t>
  </si>
  <si>
    <t>PENTANE EVAPORATOR TO DEAERATOR &amp; FEEDWATER STORAGE TANK C INLET MOV</t>
  </si>
  <si>
    <t>PENTANE GAS OUTLET ISOLATION XV</t>
  </si>
  <si>
    <t>PENTANE EVAPORATOR HP STEAM INLET MOV</t>
  </si>
  <si>
    <t>POTABLE/FIRE WATER RECEIVING TANK A NORMAL MAKE UP MOV</t>
  </si>
  <si>
    <t>POTABLE/FIRE WATER RECEIVING TANK B NORMAL MAKE UP MOV</t>
  </si>
  <si>
    <t>DEMINERALIZED WATER STORAGE TANK A NORMAL MAKE UP MOV</t>
  </si>
  <si>
    <t>DEMINERALIZED WATER STORAGE TANK B NORMAL MAKE UP MOV</t>
  </si>
  <si>
    <t>TGP FWP DISCHARGE HEADER XV</t>
  </si>
  <si>
    <t>COGEN SERVICE AIR HEADER ISOLATION XV</t>
  </si>
  <si>
    <t>#21 LP STEAM HEADER PCV</t>
  </si>
  <si>
    <t>#22 LP STEAM HEADER PCV</t>
  </si>
  <si>
    <t>DEMIN WATER MAKEUP FCV 1</t>
  </si>
  <si>
    <t>DEMIN WATER MAKEUP FCV 2</t>
  </si>
  <si>
    <t>DEMINERALIZED WATER MAKE UP PUMP DISCHARGE TO DEAERATOR LCV</t>
  </si>
  <si>
    <t>HP STEAM HEADER TO #12 STG INLET DRAIN MOV</t>
    <phoneticPr fontId="1" type="noConversion"/>
  </si>
  <si>
    <t>#12 STG EXTRACTION TO #22 LP STEAM HEADER DRAIN MOV 1</t>
    <phoneticPr fontId="1" type="noConversion"/>
  </si>
  <si>
    <t>#12 STG EXTRACTION TO #22 LP STEAM HEADER DRAIN MOV 2</t>
    <phoneticPr fontId="1" type="noConversion"/>
  </si>
  <si>
    <t>ST STARTUP BYPASS STEAM TO #12 STG DRAIN MOV</t>
    <phoneticPr fontId="1" type="noConversion"/>
  </si>
  <si>
    <t>#12 ST HHP STEAM ISOLATION MOV</t>
    <phoneticPr fontId="1" type="noConversion"/>
  </si>
  <si>
    <t>HHP STEAM HEADER TO #12 STG INLET DRAIN MOV 1</t>
    <phoneticPr fontId="1" type="noConversion"/>
  </si>
  <si>
    <t>HHP STEAM HEADER TO #12 STG INLET DRAIN MOV 2</t>
    <phoneticPr fontId="1" type="noConversion"/>
  </si>
  <si>
    <t>HHP STEAM HEADER TO #12 STG INLET DRAIN MOV 3</t>
    <phoneticPr fontId="1" type="noConversion"/>
  </si>
  <si>
    <t>HHP STEAM HEADER TO #12 STG INLET DRAIN MOV 4</t>
    <phoneticPr fontId="1" type="noConversion"/>
  </si>
  <si>
    <t>PENTANE GAS OUTLET TCV</t>
  </si>
  <si>
    <t>#11 FLASH TANK SPRAY AND VACUUM BREAKER SEAL WATER PRV</t>
    <phoneticPr fontId="1" type="noConversion"/>
  </si>
  <si>
    <t>TGP FWP DISCHARGE HEADER MOV</t>
    <phoneticPr fontId="1" type="noConversion"/>
  </si>
  <si>
    <t>#21 HP STEAM HEADER PSV</t>
    <phoneticPr fontId="1" type="noConversion"/>
  </si>
  <si>
    <t>DEAERATOR &amp; FEEDWATER STORAGE TANK A PSV</t>
    <phoneticPr fontId="1" type="noConversion"/>
  </si>
  <si>
    <t>DEAERATOR &amp; FEEDWATER STORAGE TANK B PSV</t>
    <phoneticPr fontId="1" type="noConversion"/>
  </si>
  <si>
    <t>DEAERATOR &amp; FEEDWATER STORAGE TANK C PSV</t>
    <phoneticPr fontId="1" type="noConversion"/>
  </si>
  <si>
    <t>HC1</t>
    <phoneticPr fontId="1" type="noConversion"/>
  </si>
  <si>
    <t>LBA1</t>
    <phoneticPr fontId="1" type="noConversion"/>
  </si>
  <si>
    <t>BA1</t>
    <phoneticPr fontId="1" type="noConversion"/>
  </si>
  <si>
    <t>LBA2</t>
    <phoneticPr fontId="1" type="noConversion"/>
  </si>
  <si>
    <t>BA2</t>
    <phoneticPr fontId="1" type="noConversion"/>
  </si>
  <si>
    <t>FB1</t>
    <phoneticPr fontId="1" type="noConversion"/>
  </si>
  <si>
    <t>GHC4</t>
    <phoneticPr fontId="1" type="noConversion"/>
  </si>
  <si>
    <t>LCP5</t>
    <phoneticPr fontId="1" type="noConversion"/>
  </si>
  <si>
    <t>LAB7</t>
    <phoneticPr fontId="1" type="noConversion"/>
  </si>
  <si>
    <t>LBR10</t>
    <phoneticPr fontId="1" type="noConversion"/>
  </si>
  <si>
    <t>LAB5</t>
    <phoneticPr fontId="1" type="noConversion"/>
  </si>
  <si>
    <t>EGD1</t>
    <phoneticPr fontId="1" type="noConversion"/>
  </si>
  <si>
    <t>EKG10</t>
    <phoneticPr fontId="1" type="noConversion"/>
  </si>
  <si>
    <t>GHC1</t>
    <phoneticPr fontId="1" type="noConversion"/>
  </si>
  <si>
    <t>A182-F304</t>
    <phoneticPr fontId="1" type="noConversion"/>
  </si>
  <si>
    <t>DB1</t>
    <phoneticPr fontId="1" type="noConversion"/>
  </si>
  <si>
    <t>HB2</t>
  </si>
  <si>
    <t>HB2</t>
    <phoneticPr fontId="1" type="noConversion"/>
  </si>
  <si>
    <t>13CR/STL</t>
    <phoneticPr fontId="1" type="noConversion"/>
  </si>
  <si>
    <t>HP STM HEADER</t>
  </si>
  <si>
    <t>IN : 200 / OUT : 250</t>
  </si>
  <si>
    <t>Bidder to proposal</t>
  </si>
  <si>
    <t>Aux STM ST Gland Seal Steam</t>
  </si>
  <si>
    <t>LBG1</t>
  </si>
  <si>
    <t>IN : 100 / OUT : 150</t>
  </si>
  <si>
    <t>GB4</t>
  </si>
  <si>
    <t>IN : 25 / OUT : 25</t>
  </si>
  <si>
    <t>HB3</t>
  </si>
  <si>
    <t>LCW1</t>
  </si>
  <si>
    <t>14.5 &amp; F.V</t>
  </si>
  <si>
    <t>LCP3</t>
  </si>
  <si>
    <t>LCP7</t>
  </si>
  <si>
    <t>LCA7</t>
  </si>
  <si>
    <t>IN : 50 / OUT : 80</t>
  </si>
  <si>
    <t>LAB5</t>
  </si>
  <si>
    <t>IN : 25 / OUT : 50</t>
  </si>
  <si>
    <t>TGP FWP Suction, HDR</t>
  </si>
  <si>
    <t>LAB1</t>
  </si>
  <si>
    <t>END CONNECTION</t>
    <phoneticPr fontId="1" type="noConversion"/>
  </si>
  <si>
    <t>SA217-C12A</t>
    <phoneticPr fontId="1" type="noConversion"/>
  </si>
  <si>
    <t>20GHC30AA191</t>
    <phoneticPr fontId="1" type="noConversion"/>
  </si>
  <si>
    <t>20GHC30AA701</t>
    <phoneticPr fontId="1" type="noConversion"/>
  </si>
  <si>
    <t>CONDENSATE RETURN LINE PSV</t>
    <phoneticPr fontId="1" type="noConversion"/>
  </si>
  <si>
    <t>CONDENSATE RETURN LINE PRV</t>
    <phoneticPr fontId="1" type="noConversion"/>
  </si>
  <si>
    <t>SS304/STL</t>
    <phoneticPr fontId="1" type="noConversion"/>
  </si>
  <si>
    <t>19K9-20PGB10-M05-0004</t>
    <phoneticPr fontId="1" type="noConversion"/>
  </si>
  <si>
    <t>CLOSED COOLING WATER SYSTEM</t>
  </si>
  <si>
    <t>12PGB41AA191</t>
    <phoneticPr fontId="1" type="noConversion"/>
  </si>
  <si>
    <t>#12 ST GENERATOR COOLER CCW RETURN PSV 1</t>
    <phoneticPr fontId="1" type="noConversion"/>
  </si>
  <si>
    <t>PGB1</t>
    <phoneticPr fontId="1" type="noConversion"/>
  </si>
  <si>
    <t>IN : 25 / OUT : 25</t>
    <phoneticPr fontId="1" type="noConversion"/>
  </si>
  <si>
    <t>12PGB42AA191</t>
    <phoneticPr fontId="1" type="noConversion"/>
  </si>
  <si>
    <t>12PGB43AA191</t>
    <phoneticPr fontId="1" type="noConversion"/>
  </si>
  <si>
    <t>12PGB44AA191</t>
    <phoneticPr fontId="1" type="noConversion"/>
  </si>
  <si>
    <t>12PGB47AA191</t>
    <phoneticPr fontId="1" type="noConversion"/>
  </si>
  <si>
    <t>12PGB48AA191</t>
    <phoneticPr fontId="1" type="noConversion"/>
  </si>
  <si>
    <t>#12 ST GENERATOR COOLER CCW RETURN PSV 2</t>
    <phoneticPr fontId="1" type="noConversion"/>
  </si>
  <si>
    <t>#12 ST GENERATOR COOLER CCW RETURN PSV 3</t>
    <phoneticPr fontId="1" type="noConversion"/>
  </si>
  <si>
    <t>#12 ST GENERATOR COOLER CCW RETURN PSV 4</t>
    <phoneticPr fontId="1" type="noConversion"/>
  </si>
  <si>
    <t>#12 ST LUBE OIL COOLER CCW RETURN PSV 1</t>
    <phoneticPr fontId="1" type="noConversion"/>
  </si>
  <si>
    <t>#12 ST LUBE OIL COOLER CCW RETURN PSV 2</t>
    <phoneticPr fontId="1" type="noConversion"/>
  </si>
  <si>
    <t>11PGB41AA191</t>
    <phoneticPr fontId="1" type="noConversion"/>
  </si>
  <si>
    <t>11PGB42AA191</t>
    <phoneticPr fontId="1" type="noConversion"/>
  </si>
  <si>
    <t>11PGB43AA191</t>
    <phoneticPr fontId="1" type="noConversion"/>
  </si>
  <si>
    <t>11PGB44AA191</t>
    <phoneticPr fontId="1" type="noConversion"/>
  </si>
  <si>
    <t>11PGB47AA191</t>
    <phoneticPr fontId="1" type="noConversion"/>
  </si>
  <si>
    <t>11PGB48AA191</t>
    <phoneticPr fontId="1" type="noConversion"/>
  </si>
  <si>
    <t>#11 ST GENERATOR COOLER CCW RETURN PSV 1</t>
    <phoneticPr fontId="1" type="noConversion"/>
  </si>
  <si>
    <t>#11 ST GENERATOR COOLER CCW RETURN PSV 2</t>
    <phoneticPr fontId="1" type="noConversion"/>
  </si>
  <si>
    <t>#11 ST GENERATOR COOLER CCW RETURN PSV 3</t>
    <phoneticPr fontId="1" type="noConversion"/>
  </si>
  <si>
    <t>#11 ST GENERATOR COOLER CCW RETURN PSV 4</t>
    <phoneticPr fontId="1" type="noConversion"/>
  </si>
  <si>
    <t>#11 ST LUBE OIL COOLER CCW RETURN PSV 1</t>
    <phoneticPr fontId="1" type="noConversion"/>
  </si>
  <si>
    <t>#11 ST LUBE OIL COOLER CCW RETURN PSV 2</t>
    <phoneticPr fontId="1" type="noConversion"/>
  </si>
  <si>
    <t>HB4</t>
    <phoneticPr fontId="1" type="noConversion"/>
  </si>
  <si>
    <t>MOTOR OPERATED
(INCHING)</t>
    <phoneticPr fontId="1" type="noConversion"/>
  </si>
  <si>
    <t>20LCP23AA201</t>
    <phoneticPr fontId="1" type="noConversion"/>
  </si>
  <si>
    <t>20LCP24AA201</t>
    <phoneticPr fontId="1" type="noConversion"/>
  </si>
  <si>
    <t>CONDENSATE RETURN STORAGE TANK A OULET ISOLATION MOV</t>
    <phoneticPr fontId="1" type="noConversion"/>
  </si>
  <si>
    <t>CONDENSATE RETURN STORAGE TANK B OULET ISOLATION MOV</t>
    <phoneticPr fontId="1" type="noConversion"/>
  </si>
  <si>
    <t>LCP4</t>
    <phoneticPr fontId="1" type="noConversion"/>
  </si>
  <si>
    <t>19K9-20LCP10-M05-0001</t>
  </si>
  <si>
    <t>20QCB01AA201</t>
    <phoneticPr fontId="1" type="noConversion"/>
  </si>
  <si>
    <t>OXYGEN SCAVENSER DOSING LINE MOV</t>
    <phoneticPr fontId="1" type="noConversion"/>
  </si>
  <si>
    <t>LCP2</t>
    <phoneticPr fontId="1" type="noConversion"/>
  </si>
  <si>
    <t>#16 AUX BOILER STARTUP BYPASS ISOLATION MOV</t>
    <phoneticPr fontId="1" type="noConversion"/>
  </si>
  <si>
    <r>
      <t>Bar.g</t>
    </r>
    <r>
      <rPr>
        <sz val="9"/>
        <rFont val="돋움"/>
        <family val="3"/>
        <charset val="129"/>
      </rPr>
      <t>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변경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요</t>
    </r>
    <phoneticPr fontId="1" type="noConversion"/>
  </si>
  <si>
    <r>
      <t>Bar.g</t>
    </r>
    <r>
      <rPr>
        <sz val="9"/>
        <rFont val="돋움"/>
        <family val="3"/>
        <charset val="129"/>
      </rPr>
      <t>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변경</t>
    </r>
    <r>
      <rPr>
        <sz val="9"/>
        <rFont val="Arial"/>
        <family val="2"/>
      </rPr>
      <t xml:space="preserve"> / PSV Set P </t>
    </r>
    <r>
      <rPr>
        <sz val="9"/>
        <rFont val="돋움"/>
        <family val="3"/>
        <charset val="129"/>
      </rPr>
      <t>값은</t>
    </r>
    <r>
      <rPr>
        <sz val="9"/>
        <rFont val="Arial"/>
        <family val="2"/>
      </rPr>
      <t xml:space="preserve"> Barg </t>
    </r>
    <r>
      <rPr>
        <sz val="9"/>
        <rFont val="돋움"/>
        <family val="3"/>
        <charset val="129"/>
      </rPr>
      <t>기준으로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혹시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변동사항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기계팀에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문의드렸으며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수정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필요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전달드리겠습니다</t>
    </r>
    <r>
      <rPr>
        <sz val="9"/>
        <rFont val="Arial"/>
        <family val="2"/>
      </rPr>
      <t>.</t>
    </r>
    <phoneticPr fontId="1" type="noConversion"/>
  </si>
  <si>
    <t>No.</t>
    <phoneticPr fontId="2" type="noConversion"/>
  </si>
  <si>
    <t>Description</t>
    <phoneticPr fontId="2" type="noConversion"/>
  </si>
  <si>
    <t>PDC</t>
    <phoneticPr fontId="13" type="noConversion"/>
  </si>
  <si>
    <t>Operating condition</t>
    <phoneticPr fontId="2" type="noConversion"/>
  </si>
  <si>
    <t>Design condition</t>
    <phoneticPr fontId="2" type="noConversion"/>
  </si>
  <si>
    <t>PMC
(Material)</t>
    <phoneticPr fontId="13" type="noConversion"/>
  </si>
  <si>
    <t>Pipe</t>
    <phoneticPr fontId="2" type="noConversion"/>
  </si>
  <si>
    <t>Min. Req. Wall THK'N</t>
    <phoneticPr fontId="13" type="noConversion"/>
  </si>
  <si>
    <t>Velocity Criteria</t>
    <phoneticPr fontId="13" type="noConversion"/>
  </si>
  <si>
    <t>P&amp;ID No.</t>
    <phoneticPr fontId="13" type="noConversion"/>
  </si>
  <si>
    <t>Piping Specification</t>
    <phoneticPr fontId="13" type="noConversion"/>
  </si>
  <si>
    <t>Mass Flow</t>
    <phoneticPr fontId="13" type="noConversion"/>
  </si>
  <si>
    <t>Press.</t>
    <phoneticPr fontId="13" type="noConversion"/>
  </si>
  <si>
    <t>Temp.</t>
    <phoneticPr fontId="13" type="noConversion"/>
  </si>
  <si>
    <t>Material</t>
    <phoneticPr fontId="13" type="noConversion"/>
  </si>
  <si>
    <t>NB</t>
  </si>
  <si>
    <t>Sch.</t>
    <phoneticPr fontId="13" type="noConversion"/>
  </si>
  <si>
    <t>Mat'l Group</t>
    <phoneticPr fontId="1" type="noConversion"/>
  </si>
  <si>
    <t>Flange Rating</t>
    <phoneticPr fontId="1" type="noConversion"/>
  </si>
  <si>
    <t>Class No.</t>
    <phoneticPr fontId="1" type="noConversion"/>
  </si>
  <si>
    <t>Corrosion Allowace (mm)</t>
    <phoneticPr fontId="1" type="noConversion"/>
  </si>
  <si>
    <t>Req. Th'k</t>
    <phoneticPr fontId="13" type="noConversion"/>
  </si>
  <si>
    <t>Selected Th'k</t>
  </si>
  <si>
    <t>Valves</t>
    <phoneticPr fontId="13" type="noConversion"/>
  </si>
  <si>
    <t>kg/s</t>
    <phoneticPr fontId="13" type="noConversion"/>
  </si>
  <si>
    <t>[bara]</t>
    <phoneticPr fontId="13" type="noConversion"/>
  </si>
  <si>
    <t>[barg]</t>
    <phoneticPr fontId="13" type="noConversion"/>
  </si>
  <si>
    <t>deg.C</t>
    <phoneticPr fontId="13" type="noConversion"/>
  </si>
  <si>
    <t>ASTM</t>
    <phoneticPr fontId="13" type="noConversion"/>
  </si>
  <si>
    <t>mm</t>
    <phoneticPr fontId="13" type="noConversion"/>
  </si>
  <si>
    <t>m/s</t>
  </si>
  <si>
    <t>Rating</t>
    <phoneticPr fontId="1" type="noConversion"/>
  </si>
  <si>
    <t>Mat'l</t>
    <phoneticPr fontId="1" type="noConversion"/>
  </si>
  <si>
    <t>Sequence</t>
    <phoneticPr fontId="1" type="noConversion"/>
  </si>
  <si>
    <t>(mm)</t>
    <phoneticPr fontId="13" type="noConversion"/>
  </si>
  <si>
    <t>Sch</t>
  </si>
  <si>
    <t>Th'k (mm)</t>
  </si>
  <si>
    <t>Body</t>
    <phoneticPr fontId="13" type="noConversion"/>
  </si>
  <si>
    <t>Trim</t>
    <phoneticPr fontId="13" type="noConversion"/>
  </si>
  <si>
    <t>Bonnet</t>
    <phoneticPr fontId="13" type="noConversion"/>
  </si>
  <si>
    <t>Stream Number</t>
    <phoneticPr fontId="1" type="noConversion"/>
  </si>
  <si>
    <t>Date</t>
    <phoneticPr fontId="1" type="noConversion"/>
  </si>
  <si>
    <t>Time</t>
    <phoneticPr fontId="1" type="noConversion"/>
  </si>
  <si>
    <t>Rev</t>
    <phoneticPr fontId="1" type="noConversion"/>
  </si>
  <si>
    <t>A</t>
    <phoneticPr fontId="1" type="noConversion"/>
  </si>
  <si>
    <t>Steam System</t>
    <phoneticPr fontId="1" type="noConversion"/>
  </si>
  <si>
    <t>Each AB Outlet to HHP HDR 21/22A</t>
  </si>
  <si>
    <t>LBA1</t>
  </si>
  <si>
    <t>BA1</t>
  </si>
  <si>
    <t>SA335P91</t>
  </si>
  <si>
    <t>B</t>
  </si>
  <si>
    <t>A</t>
  </si>
  <si>
    <t>SCH120</t>
  </si>
  <si>
    <t>A335P91</t>
  </si>
  <si>
    <t>Each HRSG Outlet to HHP HDR 21/22B</t>
  </si>
  <si>
    <t>HHP STM Header 21/22B</t>
  </si>
  <si>
    <t>HHP to HP Letdown VV Inlet</t>
  </si>
  <si>
    <t>HHP to LP Letdown VV Inlet</t>
  </si>
  <si>
    <t>Each HRSG/AB Start Up Bypass Inlet</t>
  </si>
  <si>
    <t>HHP ST Bypass to ACC Inlet</t>
  </si>
  <si>
    <t>HHP Steam Drain Valve Outlet</t>
  </si>
  <si>
    <t>FB1</t>
  </si>
  <si>
    <t>A106Gr.B</t>
  </si>
  <si>
    <t>HP STM HDR to TGP</t>
  </si>
  <si>
    <t>Special</t>
  </si>
  <si>
    <t>F</t>
  </si>
  <si>
    <t>SCH40</t>
  </si>
  <si>
    <t>HP STM HDR to TGP Warmup</t>
  </si>
  <si>
    <t>Aux Steam Letdown VV Inlet</t>
  </si>
  <si>
    <t>SCH30</t>
  </si>
  <si>
    <t>HHP to HP Letdown VV Outlet</t>
  </si>
  <si>
    <t>HP-LP Letdown Valve Inlet</t>
  </si>
  <si>
    <t>HP Steam Drain Valve Outlet</t>
  </si>
  <si>
    <t>Each HRSG Outlet to LP HDR</t>
  </si>
  <si>
    <t>LBA3</t>
  </si>
  <si>
    <t>HB1</t>
  </si>
  <si>
    <t>SA106Gr.B</t>
  </si>
  <si>
    <t>LP STM Header</t>
    <phoneticPr fontId="1" type="noConversion"/>
  </si>
  <si>
    <t>LP STM Header to TGP T.P.</t>
    <phoneticPr fontId="1" type="noConversion"/>
  </si>
  <si>
    <t>LP STM HDR to TGP Warmup</t>
  </si>
  <si>
    <t>H</t>
  </si>
  <si>
    <t>SCH10</t>
  </si>
  <si>
    <t>ST HP Ext to Ext Letdown Valve</t>
  </si>
  <si>
    <t>STD</t>
  </si>
  <si>
    <t>ST Ext Letdown Valve to LP Header</t>
  </si>
  <si>
    <t>HP-LP Letdown Valve Outlet</t>
  </si>
  <si>
    <t>G</t>
  </si>
  <si>
    <t>LP Bypass to ACC Inlet</t>
  </si>
  <si>
    <t>HHP to LP Letdown VV Outlet</t>
  </si>
  <si>
    <t>LP Steam Drain Valve Outlet</t>
  </si>
  <si>
    <t>HHP ST Bypass to ACC Outlet</t>
  </si>
  <si>
    <t>LBA8</t>
  </si>
  <si>
    <t>LP Bypass to ACC Outlet</t>
  </si>
  <si>
    <t>HRSG/BLR HHP Startup Bypass Outlet</t>
  </si>
  <si>
    <t>Aux STM Letdown Valve Outlet</t>
  </si>
  <si>
    <t>GB4</t>
    <phoneticPr fontId="1" type="noConversion"/>
  </si>
  <si>
    <t>SCH5</t>
  </si>
  <si>
    <t>Aux STM ACC Motive Steam</t>
  </si>
  <si>
    <t>Aux STM DEA Backup Steam Header</t>
  </si>
  <si>
    <t>Aux STM DEA Backup Steam Branch</t>
  </si>
  <si>
    <t>B</t>
    <phoneticPr fontId="1" type="noConversion"/>
  </si>
  <si>
    <t>Feed Water System</t>
    <phoneticPr fontId="1" type="noConversion"/>
  </si>
  <si>
    <t xml:space="preserve">   TGP Feedwater System</t>
    <phoneticPr fontId="13" type="noConversion"/>
  </si>
  <si>
    <t>김종민 선임</t>
    <phoneticPr fontId="1" type="noConversion"/>
  </si>
  <si>
    <t xml:space="preserve">    Suction</t>
    <phoneticPr fontId="13" type="noConversion"/>
  </si>
  <si>
    <t>TGP Feedwater Deaerator Outlet (individual)</t>
    <phoneticPr fontId="1" type="noConversion"/>
  </si>
  <si>
    <t>LAB1</t>
    <phoneticPr fontId="13" type="noConversion"/>
  </si>
  <si>
    <t>HB3</t>
    <phoneticPr fontId="13" type="noConversion"/>
  </si>
  <si>
    <t>STD</t>
    <phoneticPr fontId="1" type="noConversion"/>
  </si>
  <si>
    <t>TGP FWP Suction, individual</t>
  </si>
  <si>
    <t xml:space="preserve">    Discharge</t>
    <phoneticPr fontId="13" type="noConversion"/>
  </si>
  <si>
    <t>TGP FWP Discharge, individual</t>
  </si>
  <si>
    <t>LAB2</t>
    <phoneticPr fontId="13" type="noConversion"/>
  </si>
  <si>
    <t>EB1</t>
    <phoneticPr fontId="13" type="noConversion"/>
  </si>
  <si>
    <t>TGP FWP Discharge, HDR and each Line to Reducer</t>
  </si>
  <si>
    <t>TGP FWP Discharge, HDR from Reducer</t>
  </si>
  <si>
    <t>TGP FWP Minimum Recirculation upstream PCV, Individual</t>
  </si>
  <si>
    <t>TGP FWP Minimum Recirculation downstream PCV, Individual</t>
  </si>
  <si>
    <t>LAB3</t>
    <phoneticPr fontId="13" type="noConversion"/>
  </si>
  <si>
    <t>TGP FWP Minimum Recirculation, HDR</t>
  </si>
  <si>
    <t>TGP FWP Minimum Recirculation, to each Deaerator</t>
    <phoneticPr fontId="13" type="noConversion"/>
  </si>
  <si>
    <t xml:space="preserve">   Cogen Feedwater System</t>
    <phoneticPr fontId="13" type="noConversion"/>
  </si>
  <si>
    <t>Cogen Feedwater Deaerator Outlet (individual)</t>
    <phoneticPr fontId="1" type="noConversion"/>
  </si>
  <si>
    <t>A106Gr.B</t>
    <phoneticPr fontId="1" type="noConversion"/>
  </si>
  <si>
    <t>Cogen Feedwater Deaerator Outlet Header to CPHX</t>
    <phoneticPr fontId="1" type="noConversion"/>
  </si>
  <si>
    <t>CPHX to Cogen FWP Suction Header</t>
    <phoneticPr fontId="13" type="noConversion"/>
  </si>
  <si>
    <t>LAB5</t>
    <phoneticPr fontId="13" type="noConversion"/>
  </si>
  <si>
    <t>Cogen FWP Suction, Individual</t>
    <phoneticPr fontId="13" type="noConversion"/>
  </si>
  <si>
    <t xml:space="preserve">    Discharge - HHP</t>
    <phoneticPr fontId="13" type="noConversion"/>
  </si>
  <si>
    <t>Cogen FWP HHP Dishcarge, Individual</t>
    <phoneticPr fontId="13" type="noConversion"/>
  </si>
  <si>
    <t>LAB6</t>
    <phoneticPr fontId="13" type="noConversion"/>
  </si>
  <si>
    <t>DB1</t>
    <phoneticPr fontId="13" type="noConversion"/>
  </si>
  <si>
    <t>A106Gr.C</t>
    <phoneticPr fontId="1" type="noConversion"/>
  </si>
  <si>
    <t>Cogen FWP HHP Discharge Header</t>
  </si>
  <si>
    <t>HHP Desuperheating Water Supply Header</t>
    <phoneticPr fontId="13" type="noConversion"/>
  </si>
  <si>
    <t>HHP Desuperheating Water for HHP Letdown to HP</t>
    <phoneticPr fontId="13" type="noConversion"/>
  </si>
  <si>
    <t>HHP Desuperheating Water for ST Cold Start-up bypass V/V</t>
    <phoneticPr fontId="13" type="noConversion"/>
  </si>
  <si>
    <t xml:space="preserve">HHP Feedwater Supply Header for HRSGs and ABs </t>
    <phoneticPr fontId="13" type="noConversion"/>
  </si>
  <si>
    <t>HHP Feedwater Supply Header to HRSG #14, 15</t>
    <phoneticPr fontId="13" type="noConversion"/>
  </si>
  <si>
    <t>HHP Feedwater Supply to HRSG #14, 15, Individual</t>
    <phoneticPr fontId="1" type="noConversion"/>
  </si>
  <si>
    <t>HHP Feedwater Supply Header to HRSG #13, Aux Boiler</t>
    <phoneticPr fontId="13" type="noConversion"/>
  </si>
  <si>
    <t xml:space="preserve">HHP Feedwater Supply to Aux. Boiler Header </t>
    <phoneticPr fontId="1" type="noConversion"/>
  </si>
  <si>
    <t>HHP Feedwater Supply to Aux. Boiler Individual</t>
    <phoneticPr fontId="1" type="noConversion"/>
  </si>
  <si>
    <t>HHP Feedwater Supply to HRSG #13</t>
    <phoneticPr fontId="1" type="noConversion"/>
  </si>
  <si>
    <t xml:space="preserve">    Discharge - LP</t>
    <phoneticPr fontId="13" type="noConversion"/>
  </si>
  <si>
    <t>Cogen FWP LP Discharge, Individual</t>
    <phoneticPr fontId="1" type="noConversion"/>
  </si>
  <si>
    <t>LAB7</t>
    <phoneticPr fontId="13" type="noConversion"/>
  </si>
  <si>
    <t>GB1</t>
    <phoneticPr fontId="13" type="noConversion"/>
  </si>
  <si>
    <t xml:space="preserve">Cogen FWP LP Discharge Header </t>
    <phoneticPr fontId="1" type="noConversion"/>
  </si>
  <si>
    <t>LP Desuperheating Water Supply Header</t>
    <phoneticPr fontId="13" type="noConversion"/>
  </si>
  <si>
    <t>LP Desuperheating Water for HHP Letdown to LP</t>
    <phoneticPr fontId="1" type="noConversion"/>
  </si>
  <si>
    <t>LP Desuperheating Water for HP Letdown to LP</t>
    <phoneticPr fontId="1" type="noConversion"/>
  </si>
  <si>
    <t>LP Desuperheating Water for TBN Extraction Attemperator Header</t>
    <phoneticPr fontId="1" type="noConversion"/>
  </si>
  <si>
    <t>LP Desuperheating Water for TBN Extraction Attemperator</t>
    <phoneticPr fontId="1" type="noConversion"/>
  </si>
  <si>
    <t>LP Feedwater Supply Header for HRSGs</t>
  </si>
  <si>
    <t>LP Feedwater Supply Header to HRSG #14, #15</t>
  </si>
  <si>
    <t>LP Feedwater Supply to HRSG #14, #15, Individual</t>
  </si>
  <si>
    <t>LP Feedwater Supply to HRSG #13</t>
  </si>
  <si>
    <t>Cogen FWP Minimum Recirculation upstream PCV, Individual</t>
    <phoneticPr fontId="13" type="noConversion"/>
  </si>
  <si>
    <t>Cogen FWP Minimum Recirculation downstream PCV, Individual</t>
    <phoneticPr fontId="13" type="noConversion"/>
  </si>
  <si>
    <t>LAB8</t>
    <phoneticPr fontId="13" type="noConversion"/>
  </si>
  <si>
    <t>Cogen FWP Minimum Recirculation, HDR</t>
    <phoneticPr fontId="13" type="noConversion"/>
  </si>
  <si>
    <t>Cogen FWP Minimum Recirculation, to each Deaerator</t>
    <phoneticPr fontId="13" type="noConversion"/>
  </si>
  <si>
    <t>C</t>
    <phoneticPr fontId="1" type="noConversion"/>
  </si>
  <si>
    <t>Condensate Extraction System (ACC to DEA)</t>
    <phoneticPr fontId="1" type="noConversion"/>
  </si>
  <si>
    <t>Main line</t>
    <phoneticPr fontId="13" type="noConversion"/>
  </si>
  <si>
    <t>CEP Suction line (Individual)</t>
    <phoneticPr fontId="13" type="noConversion"/>
  </si>
  <si>
    <t>LCA1</t>
  </si>
  <si>
    <t>18 &amp; FV</t>
    <phoneticPr fontId="1" type="noConversion"/>
  </si>
  <si>
    <t>GB2</t>
    <phoneticPr fontId="1" type="noConversion"/>
  </si>
  <si>
    <t>CEP Discharge line (Individual)</t>
    <phoneticPr fontId="13" type="noConversion"/>
  </si>
  <si>
    <t>LCA2</t>
  </si>
  <si>
    <t>CEP Discharge line (Condensate header, Unit)</t>
    <phoneticPr fontId="13" type="noConversion"/>
  </si>
  <si>
    <t>CEP Discharge line (Condensate header, Two(2) units)</t>
    <phoneticPr fontId="13" type="noConversion"/>
  </si>
  <si>
    <t>STD</t>
    <phoneticPr fontId="13" type="noConversion"/>
  </si>
  <si>
    <t>CEP Discharge line (After Return condensate &amp; FG performance heater junction)</t>
    <phoneticPr fontId="13" type="noConversion"/>
  </si>
  <si>
    <t>LCP6</t>
    <phoneticPr fontId="1" type="noConversion"/>
  </si>
  <si>
    <t>Deaerator inlet line (Individual)</t>
    <phoneticPr fontId="13" type="noConversion"/>
  </si>
  <si>
    <t>LCA7</t>
    <phoneticPr fontId="1" type="noConversion"/>
  </si>
  <si>
    <t>Miscellaneous line</t>
    <phoneticPr fontId="13" type="noConversion"/>
  </si>
  <si>
    <t>CEP Minimum recirculation line</t>
    <phoneticPr fontId="13" type="noConversion"/>
  </si>
  <si>
    <t>Condensate dump line</t>
    <phoneticPr fontId="13" type="noConversion"/>
  </si>
  <si>
    <t>LCA2</t>
    <phoneticPr fontId="1" type="noConversion"/>
  </si>
  <si>
    <t>3-1</t>
    <phoneticPr fontId="1" type="noConversion"/>
  </si>
  <si>
    <t>ACC consumer header</t>
    <phoneticPr fontId="13" type="noConversion"/>
  </si>
  <si>
    <t>3-2</t>
    <phoneticPr fontId="1" type="noConversion"/>
  </si>
  <si>
    <t>LCW1</t>
    <phoneticPr fontId="1" type="noConversion"/>
  </si>
  <si>
    <t>HB3</t>
    <phoneticPr fontId="1" type="noConversion"/>
  </si>
  <si>
    <t>4</t>
    <phoneticPr fontId="1" type="noConversion"/>
  </si>
  <si>
    <t>Flash tank spray water</t>
    <phoneticPr fontId="13" type="noConversion"/>
  </si>
  <si>
    <t>5</t>
    <phoneticPr fontId="1" type="noConversion"/>
  </si>
  <si>
    <t>Seal water to Vacuum breaker</t>
    <phoneticPr fontId="13" type="noConversion"/>
  </si>
  <si>
    <t>6-1</t>
    <phoneticPr fontId="1" type="noConversion"/>
  </si>
  <si>
    <t>ST consumer header</t>
    <phoneticPr fontId="13" type="noConversion"/>
  </si>
  <si>
    <t>6-2</t>
    <phoneticPr fontId="1" type="noConversion"/>
  </si>
  <si>
    <t>LCW2</t>
    <phoneticPr fontId="1" type="noConversion"/>
  </si>
  <si>
    <t>7</t>
    <phoneticPr fontId="1" type="noConversion"/>
  </si>
  <si>
    <t>Turbine exhaust hood spray water</t>
    <phoneticPr fontId="13" type="noConversion"/>
  </si>
  <si>
    <t>8</t>
    <phoneticPr fontId="1" type="noConversion"/>
  </si>
  <si>
    <t>Seal steam cooler spray water</t>
    <phoneticPr fontId="13" type="noConversion"/>
  </si>
  <si>
    <t>From Oxygen scavenger dosing</t>
    <phoneticPr fontId="13" type="noConversion"/>
  </si>
  <si>
    <t>-</t>
    <phoneticPr fontId="1" type="noConversion"/>
  </si>
  <si>
    <t>From Ammonia dosing</t>
    <phoneticPr fontId="13" type="noConversion"/>
  </si>
  <si>
    <t>Demin water initial filling line</t>
    <phoneticPr fontId="13" type="noConversion"/>
  </si>
  <si>
    <t>To Sampling cooler</t>
    <phoneticPr fontId="13" type="noConversion"/>
  </si>
  <si>
    <t>D</t>
    <phoneticPr fontId="1" type="noConversion"/>
  </si>
  <si>
    <t>Condensate Return System (TGP to DEA)</t>
    <phoneticPr fontId="1" type="noConversion"/>
  </si>
  <si>
    <t>1-1</t>
    <phoneticPr fontId="1" type="noConversion"/>
  </si>
  <si>
    <t>From TGP TP (Apply to TGP TP Velocity limitation and TP Size)</t>
    <phoneticPr fontId="13" type="noConversion"/>
  </si>
  <si>
    <t>LCP1</t>
    <phoneticPr fontId="1" type="noConversion"/>
  </si>
  <si>
    <t>14.5 &amp; F.V</t>
    <phoneticPr fontId="1" type="noConversion"/>
  </si>
  <si>
    <t>1-2</t>
    <phoneticPr fontId="1" type="noConversion"/>
  </si>
  <si>
    <t>From TGP TP (Apply to Cogen velocity limitation) to CR HX</t>
    <phoneticPr fontId="13" type="noConversion"/>
  </si>
  <si>
    <t>From CR HX (Hot side) to Condensate return storage tank</t>
    <phoneticPr fontId="13" type="noConversion"/>
  </si>
  <si>
    <t>LCP2</t>
    <phoneticPr fontId="1" type="noConversion"/>
  </si>
  <si>
    <t>From Condensate return storage tank to Condensate supply pump</t>
    <phoneticPr fontId="13" type="noConversion"/>
  </si>
  <si>
    <t>LCP3</t>
    <phoneticPr fontId="1" type="noConversion"/>
  </si>
  <si>
    <t>From Condensate supply pump to Fin-Fan cooler</t>
    <phoneticPr fontId="13" type="noConversion"/>
  </si>
  <si>
    <t>LCP4</t>
    <phoneticPr fontId="1" type="noConversion"/>
  </si>
  <si>
    <t>From Fin-Fan cooler to Makeup junction</t>
    <phoneticPr fontId="13" type="noConversion"/>
  </si>
  <si>
    <t>LCP5</t>
    <phoneticPr fontId="1" type="noConversion"/>
  </si>
  <si>
    <t>From Makeup junction to CR HX (Cold side)</t>
    <phoneticPr fontId="13" type="noConversion"/>
  </si>
  <si>
    <t>From CR HX (Cold side) to Condensate header</t>
    <phoneticPr fontId="13" type="noConversion"/>
  </si>
  <si>
    <t>CSP Minimum recirculation line</t>
    <phoneticPr fontId="13" type="noConversion"/>
  </si>
  <si>
    <t>Demin water makeup line</t>
    <phoneticPr fontId="1" type="noConversion"/>
  </si>
  <si>
    <t>GHC4</t>
    <phoneticPr fontId="1" type="noConversion"/>
  </si>
  <si>
    <t>HC1</t>
    <phoneticPr fontId="1" type="noConversion"/>
  </si>
  <si>
    <t>A312TP304</t>
    <phoneticPr fontId="1" type="noConversion"/>
  </si>
  <si>
    <t>E</t>
    <phoneticPr fontId="1" type="noConversion"/>
  </si>
  <si>
    <t>Fuel gas supply System</t>
    <phoneticPr fontId="1" type="noConversion"/>
  </si>
  <si>
    <t>Fuel Gas Supply From TGP</t>
  </si>
  <si>
    <t>EKG1</t>
  </si>
  <si>
    <t>FB2</t>
  </si>
  <si>
    <t>Sch80</t>
  </si>
  <si>
    <t>Start-up Gas Supply From TGP</t>
  </si>
  <si>
    <t>SCH80</t>
  </si>
  <si>
    <t>Fuel Gas Supply Header to Each PRV Branch</t>
  </si>
  <si>
    <t>SCH60</t>
  </si>
  <si>
    <t>Fuel Gas Supply Header to a Start-up PRV Branch</t>
  </si>
  <si>
    <t>Sch40</t>
  </si>
  <si>
    <t>Each PRV Branch Outlet to PRV Station Outlet Header</t>
  </si>
  <si>
    <t>EKG2</t>
  </si>
  <si>
    <t>GB3</t>
  </si>
  <si>
    <t>Start-up PRV Branch Outlet to PRV Station Outlet Header</t>
  </si>
  <si>
    <t>C</t>
  </si>
  <si>
    <t>A351-CF8</t>
  </si>
  <si>
    <t>SS304/STL</t>
  </si>
  <si>
    <t>PRV Station Outlet to Fuel Gas Main Supply Header #1</t>
  </si>
  <si>
    <t>SCH40S</t>
  </si>
  <si>
    <t>Fuel Gas Main Supply Header #1 to GT#13 Branch</t>
  </si>
  <si>
    <t>GT Branch to GT Coalescing Filter Inlet</t>
  </si>
  <si>
    <t>EKG3</t>
  </si>
  <si>
    <t>GC2</t>
    <phoneticPr fontId="1" type="noConversion"/>
  </si>
  <si>
    <t>A312TP304</t>
  </si>
  <si>
    <t>Each GT Coalescing Filter Outlet to Each GT Performance Heater Inlet</t>
  </si>
  <si>
    <t>E</t>
  </si>
  <si>
    <t>Each GT Performance Heater Outlet to Each GT inlet (FG1)</t>
  </si>
  <si>
    <t>EKG4</t>
  </si>
  <si>
    <t>FC1</t>
  </si>
  <si>
    <t>D</t>
  </si>
  <si>
    <t>SCH80S</t>
  </si>
  <si>
    <t>Fuel Gas Main Supply Header #2 to GT#14 Branch</t>
  </si>
  <si>
    <t>Fuel Gas Main Supply Header #3 to GT#15 Branch</t>
  </si>
  <si>
    <t>Fuel Gas Main Supply Header to Aux. PRV Station Inlet Header</t>
  </si>
  <si>
    <t>Aux PRV Station Inlet Header to Each Aux. PRV Inlet Branch</t>
  </si>
  <si>
    <t>Each Aux. PRV Outlet Branch to Aux. PRV Station Outlet Header #1</t>
  </si>
  <si>
    <t>EKG5</t>
  </si>
  <si>
    <t>Aux. Consumer Header #1 to Aux. Boiler #16 Branch</t>
  </si>
  <si>
    <t>Each Aux. Boiler Branch to Aux. Boiler Inlet</t>
  </si>
  <si>
    <t>Aux. Consumer Header #2 to Aux. Boiler #17 Branch</t>
  </si>
  <si>
    <t>Aux. Consumer Header #3 to HRSG #13 DB Branch</t>
  </si>
  <si>
    <t>Each HRSG DB Branch to HRSG Duct Burner Unit</t>
  </si>
  <si>
    <t>Aux. Consumer Header #4 to HRSG #14 DB Branch</t>
  </si>
  <si>
    <t>Fuel Gas Vent Line (Before Performance Heater)</t>
  </si>
  <si>
    <t>EKG6</t>
  </si>
  <si>
    <t>Fuel Gas Vent Line (After Performance Heater)</t>
  </si>
  <si>
    <t>EKG7</t>
  </si>
  <si>
    <t>Fuel Gas Performance Heater Supply</t>
    <phoneticPr fontId="1" type="noConversion"/>
  </si>
  <si>
    <t>LAB20</t>
    <phoneticPr fontId="1" type="noConversion"/>
  </si>
  <si>
    <t>BB1</t>
    <phoneticPr fontId="1" type="noConversion"/>
  </si>
  <si>
    <t>Sch160</t>
    <phoneticPr fontId="1" type="noConversion"/>
  </si>
  <si>
    <t>Fuel Gas Performance Heater Return</t>
    <phoneticPr fontId="1" type="noConversion"/>
  </si>
  <si>
    <t>LCA20</t>
    <phoneticPr fontId="1" type="noConversion"/>
  </si>
  <si>
    <t>Sch40</t>
    <phoneticPr fontId="1" type="noConversion"/>
  </si>
  <si>
    <t>F</t>
    <phoneticPr fontId="1" type="noConversion"/>
  </si>
  <si>
    <t>Compressed Air System</t>
    <phoneticPr fontId="1" type="noConversion"/>
  </si>
  <si>
    <t>Instrument Air Header (Cogen)</t>
    <phoneticPr fontId="1" type="noConversion"/>
  </si>
  <si>
    <t>QFB1</t>
    <phoneticPr fontId="1" type="noConversion"/>
  </si>
  <si>
    <t>909 Nm3/h</t>
    <phoneticPr fontId="1" type="noConversion"/>
  </si>
  <si>
    <t>1445 Nm3/h</t>
    <phoneticPr fontId="1" type="noConversion"/>
  </si>
  <si>
    <t>HC2</t>
    <phoneticPr fontId="1" type="noConversion"/>
  </si>
  <si>
    <t>A312-T304L</t>
    <phoneticPr fontId="1" type="noConversion"/>
  </si>
  <si>
    <t>19K9-20QFA10-M05-0001_RA</t>
    <phoneticPr fontId="1" type="noConversion"/>
  </si>
  <si>
    <t>SCH5S</t>
  </si>
  <si>
    <t>Service Air Header (Cogen)</t>
    <phoneticPr fontId="1" type="noConversion"/>
  </si>
  <si>
    <t>QFB2</t>
    <phoneticPr fontId="1" type="noConversion"/>
  </si>
  <si>
    <t>76 Nm3/h</t>
    <phoneticPr fontId="1" type="noConversion"/>
  </si>
  <si>
    <t>109 Nm3/h</t>
    <phoneticPr fontId="1" type="noConversion"/>
  </si>
  <si>
    <t>Instrument Air Header (Desal)</t>
    <phoneticPr fontId="1" type="noConversion"/>
  </si>
  <si>
    <t>112 Nm3/h</t>
    <phoneticPr fontId="1" type="noConversion"/>
  </si>
  <si>
    <t>240 Nm3/h</t>
    <phoneticPr fontId="1" type="noConversion"/>
  </si>
  <si>
    <t>19K9-50QFA10-M05-0001_RA</t>
    <phoneticPr fontId="1" type="noConversion"/>
  </si>
  <si>
    <t>Service Air Header (Desal)</t>
    <phoneticPr fontId="1" type="noConversion"/>
  </si>
  <si>
    <t>32 Nm3/h</t>
    <phoneticPr fontId="1" type="noConversion"/>
  </si>
  <si>
    <t>46 Nm3/h</t>
    <phoneticPr fontId="1" type="noConversion"/>
  </si>
  <si>
    <t>19K9-00QJA10-M05-0002 Service gas system (2 of 2)</t>
    <phoneticPr fontId="1" type="noConversion"/>
  </si>
  <si>
    <t>H</t>
    <phoneticPr fontId="1" type="noConversion"/>
  </si>
  <si>
    <t>Waste Water Transfer System for Cogen Area (incl. Sanitary)</t>
    <phoneticPr fontId="1" type="noConversion"/>
  </si>
  <si>
    <t>Waste Water Drain Inlet from GT-HRSG Area</t>
  </si>
  <si>
    <t>GMB1</t>
  </si>
  <si>
    <t>Later</t>
  </si>
  <si>
    <t>CPVC</t>
  </si>
  <si>
    <t>Waste Water Drain Inlet from Other Area</t>
  </si>
  <si>
    <t>GMB2</t>
  </si>
  <si>
    <t>HRSG#13 BD TANK PIT CHEMICAL WASTE WATER LIFT STATION</t>
  </si>
  <si>
    <t>GMB3</t>
  </si>
  <si>
    <t>198L-00GMB10-M05-0001</t>
  </si>
  <si>
    <t>GT#13 EVACOOLER DRAIN CHEMICAL WASTE WATER LIFT STATION</t>
  </si>
  <si>
    <t>GMB4</t>
  </si>
  <si>
    <t>5 (Galv)</t>
    <phoneticPr fontId="13" type="noConversion"/>
  </si>
  <si>
    <t>HRSG#14 BD TANK PIT CHEMICAL WASTE WATER LIFT STATION</t>
  </si>
  <si>
    <t>GT#14 EVACOOLER DRAIN CHEMICAL WASTE WATER LIFT STATION</t>
  </si>
  <si>
    <t>HRSG#15 BD TANK PIT CHEMICAL WASTE WATER LIFT STATION</t>
  </si>
  <si>
    <t>GT#15 EVACOOLER DRAIN CHEMICAL WASTE WATER LIFT STATION</t>
  </si>
  <si>
    <t>ST#11 CLEAN DRAIN TANK PIT CHEMICAL WASTE WATER LIFT STATION</t>
  </si>
  <si>
    <t>ST#12 CLEAN DRAIN TANK PIT CHEMICAL WASTE WATER LIFT STATION</t>
  </si>
  <si>
    <t>AUX. BOILER#16, 17 BD Tank PIT CHEMICAL WASTE WATER LIFT STATION</t>
  </si>
  <si>
    <t>ACC AREA CHEMICAL WASTE WATER LIFT STATION</t>
  </si>
  <si>
    <t>Oily Waste Water Drain Inlet</t>
  </si>
  <si>
    <t>GMA1</t>
  </si>
  <si>
    <t>GT#13 AREA OILY WASTE WATER LIFT STATION</t>
  </si>
  <si>
    <t>GMA2</t>
  </si>
  <si>
    <t>198L-00GMA10-M05-0002</t>
  </si>
  <si>
    <t>GT#14 AREA OILY WASTE WATER LIFT STATION</t>
  </si>
  <si>
    <t>GT#15 AREA OILY WASTE WATER LIFT STATION</t>
  </si>
  <si>
    <t>GT#13 TRANSFORMER AREA OILY WASTE WATER LIFT STATION</t>
  </si>
  <si>
    <t>GT#14 TRANSFORMER AREA OILY WASTE WATER LIFT STATION</t>
  </si>
  <si>
    <t>GT#15 TRANSFORMER AREA OILY WASTE WATER LIFT STATION</t>
  </si>
  <si>
    <t>ST#11 AREA OILY WASTE WATER LIFT STATION</t>
  </si>
  <si>
    <t>ST#12 AREA OILY WASTE WATER LIFT STATION</t>
  </si>
  <si>
    <t>198L-00GMA10-M05-0001</t>
  </si>
  <si>
    <t>ST#11 TRANSFORMER AREA OILY WASTE WATER LIFT STATION</t>
  </si>
  <si>
    <t>FEEDWATER PUMP AREA OILY WASTE WATER LIFT STATION</t>
  </si>
  <si>
    <t>ST#12 TRANSFORMER AREA OILY WASTE WATER LIFT STATION</t>
  </si>
  <si>
    <t>L</t>
  </si>
  <si>
    <t>SDR11</t>
    <phoneticPr fontId="13" type="noConversion"/>
  </si>
  <si>
    <t>-</t>
    <phoneticPr fontId="13" type="noConversion"/>
  </si>
  <si>
    <t>AUX. BOILER #16 &amp; 17 AREA OILY WASTE WATER LIFT STATION</t>
  </si>
  <si>
    <t>AUX. BOILER TRANSFORMER AREA OILY WASTE WATER LIFT STATION</t>
  </si>
  <si>
    <t>ACC TRANSFORMER AREA OILY WASTE WATER LIFT STATION</t>
  </si>
  <si>
    <t>WORKSHOP AREA OILY WASTE WATER LIFT STATION</t>
  </si>
  <si>
    <t>HDPE</t>
  </si>
  <si>
    <t>EDG AREA OILY WASTE WATER LIFT STATION</t>
  </si>
  <si>
    <t>FIRE PUMP HOUSE AREA OILY WASTE WATER LIFT STATION</t>
  </si>
  <si>
    <t>WT/WWT TRANSFORMER AREA OILY WASTE WATER LIFT STATION</t>
  </si>
  <si>
    <t>Sanitary Sewer Inlet</t>
  </si>
  <si>
    <t>GQA1</t>
  </si>
  <si>
    <t>UPVC</t>
  </si>
  <si>
    <t>CCR BUILDING SANITARY SEWER LIFT STATION</t>
  </si>
  <si>
    <t>GQA2</t>
  </si>
  <si>
    <t>SDR11</t>
  </si>
  <si>
    <t>198L-00GQA10-M05-0001</t>
  </si>
  <si>
    <t>WORKSHOP &amp; STORE BUILDING SANITARY SEWER LIFT STATION</t>
  </si>
  <si>
    <t>SOCIAL &amp; ADMINISTRATION BUILDING SANITARY SEWER LIFT STATION</t>
  </si>
  <si>
    <t>HIGH SECURITY BUILDING SANITARY SEWER LIFT STATION</t>
  </si>
  <si>
    <t xml:space="preserve">SECURITY CONTROL CENTER SANITARY SEWER LIFT STATION </t>
  </si>
  <si>
    <t>WT/WWT BUILDING SANITARY SEWER LIFT STATION</t>
  </si>
  <si>
    <t>HC1</t>
  </si>
  <si>
    <t>I</t>
    <phoneticPr fontId="1" type="noConversion"/>
  </si>
  <si>
    <t>Potable Water System (Cogen)</t>
    <phoneticPr fontId="1" type="noConversion"/>
  </si>
  <si>
    <t>Desal plant to potable water receiving tank</t>
    <phoneticPr fontId="1" type="noConversion"/>
  </si>
  <si>
    <t>Potable water receiving tank to Potable water transfer pumps (to TGP)_Common</t>
    <phoneticPr fontId="1" type="noConversion"/>
  </si>
  <si>
    <t>GKB1</t>
    <phoneticPr fontId="1" type="noConversion"/>
  </si>
  <si>
    <t>Potable water transfer pumps (to TGP) suction</t>
    <phoneticPr fontId="1" type="noConversion"/>
  </si>
  <si>
    <t>Potable water transfer pumps (to TGP) discharge</t>
  </si>
  <si>
    <t>GKB2</t>
    <phoneticPr fontId="1" type="noConversion"/>
  </si>
  <si>
    <t>Potable water transfer pumps (to TGP) header (AG)</t>
    <phoneticPr fontId="1" type="noConversion"/>
  </si>
  <si>
    <t>Potable water transfer pumps (to TGP) header T.P</t>
    <phoneticPr fontId="13" type="noConversion"/>
  </si>
  <si>
    <t>Potable water receiving tank to Potable water transfer pumps (to Demin Plant)_Common</t>
    <phoneticPr fontId="1" type="noConversion"/>
  </si>
  <si>
    <t>Potable water transfer pumps (to Demin Plant) suction</t>
    <phoneticPr fontId="1" type="noConversion"/>
  </si>
  <si>
    <t>GBK1</t>
    <phoneticPr fontId="1" type="noConversion"/>
  </si>
  <si>
    <t>Potable water transfer pumps (to Demin Plant) discharge</t>
    <phoneticPr fontId="1" type="noConversion"/>
  </si>
  <si>
    <t>GBK3</t>
    <phoneticPr fontId="1" type="noConversion"/>
  </si>
  <si>
    <t>Potable water transfer pumps (to Demin Plant) header (AG)</t>
    <phoneticPr fontId="1" type="noConversion"/>
  </si>
  <si>
    <t>Potable water transfer pumps (to Cogen) suction</t>
    <phoneticPr fontId="1" type="noConversion"/>
  </si>
  <si>
    <t>Potable water transfer pumps (to Cogen) discharge</t>
    <phoneticPr fontId="1" type="noConversion"/>
  </si>
  <si>
    <t>GKB4</t>
    <phoneticPr fontId="1" type="noConversion"/>
  </si>
  <si>
    <t>Potable water transfer pumps (to Cogen) header (AG)</t>
    <phoneticPr fontId="1" type="noConversion"/>
  </si>
  <si>
    <t>J</t>
    <phoneticPr fontId="1" type="noConversion"/>
  </si>
  <si>
    <t>Service Water System (Cogen)</t>
    <phoneticPr fontId="1" type="noConversion"/>
  </si>
  <si>
    <t>A182-F304</t>
  </si>
  <si>
    <t>GHA1</t>
    <phoneticPr fontId="1" type="noConversion"/>
  </si>
  <si>
    <t>K</t>
    <phoneticPr fontId="1" type="noConversion"/>
  </si>
  <si>
    <t>Demineralized Water System (Cogen)</t>
    <phoneticPr fontId="1" type="noConversion"/>
  </si>
  <si>
    <t>Demin plant to demineralized water storage tank</t>
    <phoneticPr fontId="1" type="noConversion"/>
  </si>
  <si>
    <t>LATER</t>
    <phoneticPr fontId="1" type="noConversion"/>
  </si>
  <si>
    <t>Demineralized Water Storage Tank to Demin water transfer pumps (to TGP)</t>
    <phoneticPr fontId="1" type="noConversion"/>
  </si>
  <si>
    <t>GHC1</t>
    <phoneticPr fontId="1" type="noConversion"/>
  </si>
  <si>
    <t>HL1</t>
  </si>
  <si>
    <t>Demin water transfer pumps (to TGP) suction</t>
    <phoneticPr fontId="1" type="noConversion"/>
  </si>
  <si>
    <t>Demin water transfer pumps (to TGP) discharge</t>
    <phoneticPr fontId="1" type="noConversion"/>
  </si>
  <si>
    <t>GHC2</t>
    <phoneticPr fontId="1" type="noConversion"/>
  </si>
  <si>
    <t>Demin water transfer pumps (to TGP) header (AG)</t>
    <phoneticPr fontId="1" type="noConversion"/>
  </si>
  <si>
    <t>Demin water transfer pumps (to TGP) header T.P</t>
    <phoneticPr fontId="1" type="noConversion"/>
  </si>
  <si>
    <t>Demin water make-up pumps suction</t>
    <phoneticPr fontId="1" type="noConversion"/>
  </si>
  <si>
    <t>Demin water make-up pumps discharge</t>
    <phoneticPr fontId="1" type="noConversion"/>
  </si>
  <si>
    <t>GHC3</t>
    <phoneticPr fontId="1" type="noConversion"/>
  </si>
  <si>
    <t>GC1</t>
    <phoneticPr fontId="1" type="noConversion"/>
  </si>
  <si>
    <t>Demin water make-up pumps header (AG)</t>
    <phoneticPr fontId="1" type="noConversion"/>
  </si>
  <si>
    <t>SCH20</t>
  </si>
  <si>
    <t>L</t>
    <phoneticPr fontId="1" type="noConversion"/>
  </si>
  <si>
    <t>Liquid Pentane System</t>
    <phoneticPr fontId="1" type="noConversion"/>
  </si>
  <si>
    <t>TGP TP to Pentane Evaporator</t>
    <phoneticPr fontId="1" type="noConversion"/>
  </si>
  <si>
    <t>EGD1</t>
    <phoneticPr fontId="1" type="noConversion"/>
  </si>
  <si>
    <t>H</t>
    <phoneticPr fontId="13" type="noConversion"/>
  </si>
  <si>
    <t>19K9-20EDG00-M05-0001_RA</t>
    <phoneticPr fontId="1" type="noConversion"/>
  </si>
  <si>
    <t>Pentane Evaporator to KO Drum</t>
    <phoneticPr fontId="1" type="noConversion"/>
  </si>
  <si>
    <t>EKG11</t>
    <phoneticPr fontId="1" type="noConversion"/>
  </si>
  <si>
    <t>GB5</t>
    <phoneticPr fontId="1" type="noConversion"/>
  </si>
  <si>
    <t>KO Drum to Main Header</t>
    <phoneticPr fontId="1" type="noConversion"/>
  </si>
  <si>
    <t>EKG10</t>
    <phoneticPr fontId="1" type="noConversion"/>
  </si>
  <si>
    <t>HP Steam from HP Steam Header</t>
    <phoneticPr fontId="1" type="noConversion"/>
  </si>
  <si>
    <t>LBR1</t>
    <phoneticPr fontId="1" type="noConversion"/>
  </si>
  <si>
    <t>Pentane Evaporator to Deaerator</t>
    <phoneticPr fontId="1" type="noConversion"/>
  </si>
  <si>
    <t>LBR10</t>
    <phoneticPr fontId="1" type="noConversion"/>
  </si>
  <si>
    <t>M</t>
    <phoneticPr fontId="1" type="noConversion"/>
  </si>
  <si>
    <t>Closed Cooling System</t>
    <phoneticPr fontId="1" type="noConversion"/>
  </si>
  <si>
    <t>Common CCW pump suction header PGB00BR001</t>
  </si>
  <si>
    <t>PGB1</t>
  </si>
  <si>
    <t>HB4</t>
  </si>
  <si>
    <t>A53-B</t>
    <phoneticPr fontId="1" type="noConversion"/>
  </si>
  <si>
    <t>CCW pump Suction</t>
  </si>
  <si>
    <t>CCW pump Discharge</t>
  </si>
  <si>
    <t>Common CCW pump discharge header PGB10BR001</t>
  </si>
  <si>
    <t>Common FFC supply header PGB20BR001</t>
  </si>
  <si>
    <t>PGB2</t>
  </si>
  <si>
    <t>QMS header supply</t>
  </si>
  <si>
    <t>QMS for Cogen supply</t>
  </si>
  <si>
    <t>QMS for TGP supply</t>
  </si>
  <si>
    <t>SWAS for Aux. Boiler supply</t>
  </si>
  <si>
    <t>Air compressor cooler supply</t>
  </si>
  <si>
    <t>#13 GT header supply</t>
  </si>
  <si>
    <t>SWAS for #13HRSG supply</t>
  </si>
  <si>
    <t>GT Generator Cooler supply</t>
  </si>
  <si>
    <t>#13 GT sub header1 supply</t>
  </si>
  <si>
    <t>GT Gas Dryer Cooler supply</t>
  </si>
  <si>
    <t>GT LCI Cooler supply</t>
  </si>
  <si>
    <t>GT Lube Oil Cooler supply</t>
  </si>
  <si>
    <t>GT Lube Oil Cooler Bypass</t>
  </si>
  <si>
    <t>Common CCW supply header PGB20BR002</t>
  </si>
  <si>
    <t>#Cogen &amp; TGP BFP supply</t>
  </si>
  <si>
    <t>COGEN FWP Supply Header</t>
  </si>
  <si>
    <t>COGEN FWP Supply Branch</t>
  </si>
  <si>
    <t>TGP FWP Supply Header</t>
  </si>
  <si>
    <t>TGP FWP Supply Branch</t>
  </si>
  <si>
    <t>Min recirculation Line</t>
  </si>
  <si>
    <t>#11 ST header supply</t>
  </si>
  <si>
    <t>ST Generator Cooler Supply Header</t>
  </si>
  <si>
    <t>ST Generator Cooler Supply Branch</t>
  </si>
  <si>
    <t>#11 ST sub header1 supply</t>
  </si>
  <si>
    <t>ST Lube Oil Cooler Supply Header</t>
  </si>
  <si>
    <t>ST Lube Oil Cooler Supply Branch</t>
  </si>
  <si>
    <t>ST Hydraulic Unit Cooler supply</t>
  </si>
  <si>
    <t>Common CCW supply header PGB20BR003</t>
  </si>
  <si>
    <t>#12 ST header supply</t>
  </si>
  <si>
    <t>#12 ST sub header1 supply</t>
  </si>
  <si>
    <t>Common CCW supply header PGB20BR004</t>
  </si>
  <si>
    <t>#14 GT header supply</t>
  </si>
  <si>
    <t>SWAS for #14 HRSG supply</t>
  </si>
  <si>
    <t>#14 GT sub header1 supply</t>
  </si>
  <si>
    <t>#15 GT header supply</t>
  </si>
  <si>
    <t>#15 GT sub header1 supply</t>
  </si>
  <si>
    <t>QMS header return</t>
  </si>
  <si>
    <t>QMS for Cogen return</t>
  </si>
  <si>
    <t>QMS for TGP return</t>
  </si>
  <si>
    <t>SWAS for Aux. Boiler return</t>
  </si>
  <si>
    <t>Air compressor cooler return</t>
  </si>
  <si>
    <t>#13 GT header return</t>
  </si>
  <si>
    <t>SWAS for #13HRSG return</t>
  </si>
  <si>
    <t>GT Generator Cooler return</t>
  </si>
  <si>
    <t>#13 GT sub header1 return</t>
  </si>
  <si>
    <t>GT Gas Dryer Cooler return</t>
  </si>
  <si>
    <t>GT LCI Cooler return</t>
  </si>
  <si>
    <t>GT Lube Oil Cooler return</t>
  </si>
  <si>
    <t>Common CCW return header PGB00BR002</t>
  </si>
  <si>
    <t>#Cogen &amp; TGP BFP return</t>
  </si>
  <si>
    <t>COGEN FWP return Header</t>
  </si>
  <si>
    <t>COGEN FWP return Branch</t>
  </si>
  <si>
    <t>TGP FWP return Header</t>
  </si>
  <si>
    <t>TGP FWP return Branch</t>
  </si>
  <si>
    <t>#11 ST header return</t>
  </si>
  <si>
    <t>ST Generator Cooler return Header</t>
  </si>
  <si>
    <t>ST Generator Cooler return Branch</t>
  </si>
  <si>
    <t>#11 ST sub header1 return</t>
  </si>
  <si>
    <t>ST Lube Oil Cooler return Header</t>
  </si>
  <si>
    <t>ST Lube Oil Cooler return Branch</t>
  </si>
  <si>
    <t>ST Hydraulic Unit Cooler return</t>
  </si>
  <si>
    <t>Common CCW return header PGB00BR003</t>
  </si>
  <si>
    <t>#12 ST header return</t>
  </si>
  <si>
    <t>#12 ST sub header1 return</t>
  </si>
  <si>
    <t>Common CCW return header PGB00BR004</t>
  </si>
  <si>
    <t>#14 GT header return</t>
  </si>
  <si>
    <t>SWAS for #14 HRSG return</t>
  </si>
  <si>
    <t>#14 GT sub header1 return</t>
  </si>
  <si>
    <t>#15 GT header return</t>
  </si>
  <si>
    <t>#15 GT sub header1 return</t>
  </si>
  <si>
    <t>O</t>
    <phoneticPr fontId="1" type="noConversion"/>
  </si>
  <si>
    <t>Desal Water Feed System (Desal)</t>
    <phoneticPr fontId="1" type="noConversion"/>
  </si>
  <si>
    <t>PAB1</t>
  </si>
  <si>
    <t>HR1</t>
    <phoneticPr fontId="1" type="noConversion"/>
  </si>
  <si>
    <t>GRP</t>
  </si>
  <si>
    <t>PN10</t>
  </si>
  <si>
    <t>19K9-50PAB10-M05-0001_RA_Desal Feed System(Incl.Sewater intake)</t>
  </si>
  <si>
    <t>Header to Desal Plant</t>
    <phoneticPr fontId="1" type="noConversion"/>
  </si>
  <si>
    <t>Future RO Plant</t>
    <phoneticPr fontId="1" type="noConversion"/>
  </si>
  <si>
    <t>Screen Pump of Seawater Intake Facility</t>
    <phoneticPr fontId="1" type="noConversion"/>
  </si>
  <si>
    <t>Recirculation Line</t>
    <phoneticPr fontId="1" type="noConversion"/>
  </si>
  <si>
    <t>P</t>
    <phoneticPr fontId="1" type="noConversion"/>
  </si>
  <si>
    <t>Potable Water System (Desal)</t>
    <phoneticPr fontId="1" type="noConversion"/>
  </si>
  <si>
    <t>Desal plant to potable water storage tank(AG)</t>
    <phoneticPr fontId="1" type="noConversion"/>
  </si>
  <si>
    <t>Later</t>
    <phoneticPr fontId="1" type="noConversion"/>
  </si>
  <si>
    <t>GRP</t>
    <phoneticPr fontId="1" type="noConversion"/>
  </si>
  <si>
    <t>Desal plant to potable water storage tank(UG)</t>
    <phoneticPr fontId="1" type="noConversion"/>
  </si>
  <si>
    <t>HDPE</t>
    <phoneticPr fontId="13" type="noConversion"/>
  </si>
  <si>
    <t>Potable water storage tank to Potable water transfer pumps (to TOF)_Common</t>
    <phoneticPr fontId="1" type="noConversion"/>
  </si>
  <si>
    <t>Potable water transfer pumps (to TOF) suction</t>
    <phoneticPr fontId="1" type="noConversion"/>
  </si>
  <si>
    <t>Potable water transfer pumps (to TOF) discharge</t>
    <phoneticPr fontId="1" type="noConversion"/>
  </si>
  <si>
    <t>GKB12</t>
    <phoneticPr fontId="1" type="noConversion"/>
  </si>
  <si>
    <t>GRP AND HDPE</t>
    <phoneticPr fontId="1" type="noConversion"/>
  </si>
  <si>
    <t xml:space="preserve">Potable water transfer pumps (to TOF) header </t>
    <phoneticPr fontId="1" type="noConversion"/>
  </si>
  <si>
    <t>GKB3</t>
    <phoneticPr fontId="1" type="noConversion"/>
  </si>
  <si>
    <t>Potable water transfer pumps (to TOF) Min. Recirculation</t>
    <phoneticPr fontId="1" type="noConversion"/>
  </si>
  <si>
    <t>Potable water transfer pumps (to TOF) to Internal Use</t>
    <phoneticPr fontId="1" type="noConversion"/>
  </si>
  <si>
    <t>GKB13</t>
    <phoneticPr fontId="1" type="noConversion"/>
  </si>
  <si>
    <t>Potable water delivery pumps (to Tanajib Community) suction</t>
    <phoneticPr fontId="1" type="noConversion"/>
  </si>
  <si>
    <t>Potable water delivery pumps (to Tanajib Community) discharge</t>
    <phoneticPr fontId="1" type="noConversion"/>
  </si>
  <si>
    <t xml:space="preserve">Potable water delivery pumps (to Tanajib Community) header </t>
    <phoneticPr fontId="1" type="noConversion"/>
  </si>
  <si>
    <t>Potable water transfer pumps (to T.C) Min. Recirculation</t>
    <phoneticPr fontId="1" type="noConversion"/>
  </si>
  <si>
    <t>Potable water storage tank to Potable water delivery pumps (to Cogen/Zuluf)</t>
    <phoneticPr fontId="1" type="noConversion"/>
  </si>
  <si>
    <t>GKB14</t>
    <phoneticPr fontId="1" type="noConversion"/>
  </si>
  <si>
    <t>Potable water delivery pumps (to Cogen/Zuluf) suction</t>
    <phoneticPr fontId="1" type="noConversion"/>
  </si>
  <si>
    <t>Potable water delivery pumps (to Cogen/Zuluf) discharge</t>
    <phoneticPr fontId="1" type="noConversion"/>
  </si>
  <si>
    <t>Potable water delivery pumps (to Cogen/Zuluf) header</t>
    <phoneticPr fontId="1" type="noConversion"/>
  </si>
  <si>
    <t>GKB5</t>
    <phoneticPr fontId="1" type="noConversion"/>
  </si>
  <si>
    <t>Potable water delivery pumps (to Cogen/Zuluf) header (UG)_To Cogen</t>
    <phoneticPr fontId="1" type="noConversion"/>
  </si>
  <si>
    <t>Potable water delivery pumps (to Cogen/Zuluf) header (UG)_To Zuluf</t>
    <phoneticPr fontId="1" type="noConversion"/>
  </si>
  <si>
    <t>GKB15</t>
    <phoneticPr fontId="1" type="noConversion"/>
  </si>
  <si>
    <t>Potable water transfer pumps (to Congen) Min. Recirculation</t>
    <phoneticPr fontId="1" type="noConversion"/>
  </si>
  <si>
    <t>Q</t>
    <phoneticPr fontId="1" type="noConversion"/>
  </si>
  <si>
    <t>Chemical Dosing System</t>
    <phoneticPr fontId="1" type="noConversion"/>
  </si>
  <si>
    <t>Phosphate dosing to HRSG HHP Drum</t>
  </si>
  <si>
    <t>QCC1</t>
    <phoneticPr fontId="1" type="noConversion"/>
  </si>
  <si>
    <t>AMB</t>
    <phoneticPr fontId="1" type="noConversion"/>
  </si>
  <si>
    <t>DD1</t>
    <phoneticPr fontId="1" type="noConversion"/>
  </si>
  <si>
    <t>A312TP316</t>
    <phoneticPr fontId="1" type="noConversion"/>
  </si>
  <si>
    <t>PN16</t>
    <phoneticPr fontId="1" type="noConversion"/>
  </si>
  <si>
    <t>Phosphate dosing to HRSG LP Drum</t>
  </si>
  <si>
    <t>QCC2</t>
    <phoneticPr fontId="1" type="noConversion"/>
  </si>
  <si>
    <t>HD1</t>
    <phoneticPr fontId="1" type="noConversion"/>
  </si>
  <si>
    <t>Phosphate dosing to Auxiliary Boiler Drum</t>
  </si>
  <si>
    <t>QCC3</t>
    <phoneticPr fontId="1" type="noConversion"/>
  </si>
  <si>
    <t>Ammonia dosing to Feedwater pump suction</t>
  </si>
  <si>
    <t>QCB1</t>
    <phoneticPr fontId="1" type="noConversion"/>
  </si>
  <si>
    <t>Ammonia dosing to CPP downstream</t>
  </si>
  <si>
    <t>QCB2</t>
    <phoneticPr fontId="1" type="noConversion"/>
  </si>
  <si>
    <t>Oxygen scavenger dosing to Feedwater pump suction</t>
  </si>
  <si>
    <t>QCA1</t>
    <phoneticPr fontId="1" type="noConversion"/>
  </si>
  <si>
    <t>R</t>
    <phoneticPr fontId="1" type="noConversion"/>
  </si>
  <si>
    <t>Sampling System</t>
    <phoneticPr fontId="1" type="noConversion"/>
  </si>
  <si>
    <t xml:space="preserve">#13 HP drum </t>
    <phoneticPr fontId="1" type="noConversion"/>
  </si>
  <si>
    <t>P</t>
    <phoneticPr fontId="1" type="noConversion"/>
  </si>
  <si>
    <t>#13 HP saturated steam</t>
    <phoneticPr fontId="1" type="noConversion"/>
  </si>
  <si>
    <t>#13 HP superheated steam</t>
    <phoneticPr fontId="1" type="noConversion"/>
  </si>
  <si>
    <t>#13 LP drum</t>
    <phoneticPr fontId="1" type="noConversion"/>
  </si>
  <si>
    <t>#13 LP saturated steam</t>
    <phoneticPr fontId="1" type="noConversion"/>
  </si>
  <si>
    <t>#13 LP superheated steam</t>
    <phoneticPr fontId="1" type="noConversion"/>
  </si>
  <si>
    <t>#16 Aux. Boiler drum</t>
    <phoneticPr fontId="1" type="noConversion"/>
  </si>
  <si>
    <t>#16 Aux. Boiler saurated steam</t>
    <phoneticPr fontId="1" type="noConversion"/>
  </si>
  <si>
    <t>#16 Aux. Boiler superheated</t>
    <phoneticPr fontId="1" type="noConversion"/>
  </si>
  <si>
    <t>P</t>
    <phoneticPr fontId="1" type="noConversion"/>
  </si>
  <si>
    <t>#17 Aux. Boiler drum</t>
    <phoneticPr fontId="1" type="noConversion"/>
  </si>
  <si>
    <t>#17 Aux. Boiler saurated steam</t>
    <phoneticPr fontId="1" type="noConversion"/>
  </si>
  <si>
    <t>#17 Aux. Boiler superheated</t>
    <phoneticPr fontId="1" type="noConversion"/>
  </si>
  <si>
    <t>P</t>
    <phoneticPr fontId="1" type="noConversion"/>
  </si>
  <si>
    <t xml:space="preserve">From CEP sampling </t>
    <phoneticPr fontId="1" type="noConversion"/>
  </si>
  <si>
    <t>From condensate return sampling</t>
    <phoneticPr fontId="1" type="noConversion"/>
  </si>
  <si>
    <t>N</t>
  </si>
  <si>
    <t>From FWP TGP pump discharge</t>
    <phoneticPr fontId="1" type="noConversion"/>
  </si>
  <si>
    <t>From potable water transfer pump to TGP (Cogen)</t>
    <phoneticPr fontId="1" type="noConversion"/>
  </si>
  <si>
    <t>N</t>
    <phoneticPr fontId="1" type="noConversion"/>
  </si>
  <si>
    <t>From Demin. Water transfer pump to TGP (Cogen)</t>
    <phoneticPr fontId="1" type="noConversion"/>
  </si>
  <si>
    <t>From potable water transfer pump to TOF (Desal)</t>
    <phoneticPr fontId="1" type="noConversion"/>
  </si>
  <si>
    <t>From potable water transfer pump to TC (Desal)</t>
    <phoneticPr fontId="1" type="noConversion"/>
  </si>
  <si>
    <t>From potable water transfer pump to Cogen/Zuluf(Desal)</t>
    <phoneticPr fontId="1" type="noConversion"/>
  </si>
  <si>
    <t>PRESSURE INLET (BARG)</t>
    <phoneticPr fontId="1" type="noConversion"/>
  </si>
  <si>
    <t>SET PRESSURE
(BARG)</t>
    <phoneticPr fontId="1" type="noConversion"/>
  </si>
  <si>
    <t>DOC NO. : 19K9-20CZF00-J22-0001</t>
    <phoneticPr fontId="1" type="noConversion"/>
  </si>
  <si>
    <t>19K9-20LAB00-M05-0001</t>
  </si>
  <si>
    <t>19K9-20GHC10-M05-0001</t>
  </si>
  <si>
    <t>PIPE SCH.</t>
    <phoneticPr fontId="1" type="noConversion"/>
  </si>
  <si>
    <t>BODY MATERIAL</t>
    <phoneticPr fontId="1" type="noConversion"/>
  </si>
  <si>
    <t>SEA WATER</t>
  </si>
  <si>
    <t>RUBBERLINED</t>
  </si>
  <si>
    <t>DESAL WATER FEED PUMP MINIMUM RE-CIRCULATION PCV</t>
  </si>
  <si>
    <t>19K9-50GKB10-M05-0001</t>
  </si>
  <si>
    <t>POTABLE WATER TRANSFER SYSTEM (DESAL)</t>
  </si>
  <si>
    <t>19K9-50GKB10-M05-0002</t>
  </si>
  <si>
    <t>19K9-50GKB10-M05-0003</t>
  </si>
  <si>
    <t>POTABLE WATER TRANSFER PUMP DISCHARGE TO ZULUF FCV 1</t>
  </si>
  <si>
    <t>POTABLE WATER TRANSFER PUMP DISCHARGE TO ZULUF FCV 2</t>
  </si>
  <si>
    <t>DESIGN CONDITION</t>
    <phoneticPr fontId="1" type="noConversion"/>
  </si>
  <si>
    <t>I&amp;C VALVE LIST</t>
    <phoneticPr fontId="1" type="noConversion"/>
  </si>
  <si>
    <t>PROJECT : TANAJIB IPP</t>
    <phoneticPr fontId="2" type="noConversion"/>
  </si>
  <si>
    <t>DOC NO. : 19K9-20CZF00-J22-0001</t>
    <phoneticPr fontId="1" type="noConversion"/>
  </si>
  <si>
    <t>DESCRIPTION : I&amp;C VALVE</t>
    <phoneticPr fontId="1" type="noConversion"/>
  </si>
  <si>
    <t>DESCRIPTION</t>
    <phoneticPr fontId="1" type="noConversion"/>
  </si>
  <si>
    <t>Trillium</t>
    <phoneticPr fontId="27" type="noConversion"/>
  </si>
  <si>
    <t>BODY TYPE</t>
    <phoneticPr fontId="1" type="noConversion"/>
  </si>
  <si>
    <t>END CONNECTION</t>
    <phoneticPr fontId="1" type="noConversion"/>
  </si>
  <si>
    <t>DISC/PLUG TYPE</t>
    <phoneticPr fontId="1" type="noConversion"/>
  </si>
  <si>
    <t>BONNET TYPE</t>
    <phoneticPr fontId="1" type="noConversion"/>
  </si>
  <si>
    <t>19K9-20NAA10-M05-0002</t>
    <phoneticPr fontId="1" type="noConversion"/>
  </si>
  <si>
    <t>21NAA10AA101</t>
    <phoneticPr fontId="1" type="noConversion"/>
  </si>
  <si>
    <t>STEAM</t>
    <phoneticPr fontId="1" type="noConversion"/>
  </si>
  <si>
    <t>HB2</t>
    <phoneticPr fontId="1" type="noConversion"/>
  </si>
  <si>
    <t>FAIL CLOSE</t>
    <phoneticPr fontId="1" type="noConversion"/>
  </si>
  <si>
    <t>LATER</t>
    <phoneticPr fontId="1" type="noConversion"/>
  </si>
  <si>
    <t>CLASS V</t>
    <phoneticPr fontId="27" type="noConversion"/>
  </si>
  <si>
    <t>A216-WCB</t>
    <phoneticPr fontId="1" type="noConversion"/>
  </si>
  <si>
    <t>13CR/STL</t>
    <phoneticPr fontId="1" type="noConversion"/>
  </si>
  <si>
    <t>BW</t>
    <phoneticPr fontId="1" type="noConversion"/>
  </si>
  <si>
    <t>12"</t>
    <phoneticPr fontId="27" type="noConversion"/>
  </si>
  <si>
    <t>Pneumatic Cylinder Double</t>
    <phoneticPr fontId="27" type="noConversion"/>
  </si>
  <si>
    <t>22NAA10AA101</t>
    <phoneticPr fontId="1" type="noConversion"/>
  </si>
  <si>
    <t>19K9-20LBG10-M05-0001</t>
    <phoneticPr fontId="1" type="noConversion"/>
  </si>
  <si>
    <t>21LBR13AA101</t>
    <phoneticPr fontId="1" type="noConversion"/>
  </si>
  <si>
    <t>#21 HP STEAM HEADER TO AUX STEAM HEADER PCV</t>
  </si>
  <si>
    <t>80/200</t>
    <phoneticPr fontId="1" type="noConversion"/>
  </si>
  <si>
    <t>FB1</t>
    <phoneticPr fontId="1" type="noConversion"/>
  </si>
  <si>
    <t>CLASS IV</t>
    <phoneticPr fontId="1" type="noConversion"/>
  </si>
  <si>
    <t>600</t>
    <phoneticPr fontId="1" type="noConversion"/>
  </si>
  <si>
    <t>SCT_I</t>
    <phoneticPr fontId="1" type="noConversion"/>
  </si>
  <si>
    <t>4"</t>
    <phoneticPr fontId="27" type="noConversion"/>
  </si>
  <si>
    <t>22LBR13AA101</t>
    <phoneticPr fontId="1" type="noConversion"/>
  </si>
  <si>
    <t>#22 HP STEAM HEADER TO AUX STEAM HEADER PCV</t>
  </si>
  <si>
    <t>CLEAN DRAIN SYSTEM - UNIT 11</t>
    <phoneticPr fontId="1" type="noConversion"/>
  </si>
  <si>
    <t>11GHB01AA101</t>
    <phoneticPr fontId="1" type="noConversion"/>
  </si>
  <si>
    <t>HC1</t>
    <phoneticPr fontId="1" type="noConversion"/>
  </si>
  <si>
    <t>FAIL OPEN</t>
    <phoneticPr fontId="1" type="noConversion"/>
  </si>
  <si>
    <t>A351-CF8</t>
    <phoneticPr fontId="1" type="noConversion"/>
  </si>
  <si>
    <t>SS304/STL</t>
    <phoneticPr fontId="1" type="noConversion"/>
  </si>
  <si>
    <t>BB OS&amp;Y</t>
    <phoneticPr fontId="1" type="noConversion"/>
  </si>
  <si>
    <t>CLEAN DRAIN SYSTEM - UNIT 12</t>
    <phoneticPr fontId="1" type="noConversion"/>
  </si>
  <si>
    <t>12GHB01AA101</t>
    <phoneticPr fontId="1" type="noConversion"/>
  </si>
  <si>
    <t>CONDENSATE SYSTEM - UNIT 11</t>
    <phoneticPr fontId="1" type="noConversion"/>
  </si>
  <si>
    <t>11GHC01AA101</t>
    <phoneticPr fontId="1" type="noConversion"/>
  </si>
  <si>
    <t>3"</t>
    <phoneticPr fontId="27" type="noConversion"/>
  </si>
  <si>
    <t>CONDENSATE SYSTEM - UNIT 12</t>
    <phoneticPr fontId="1" type="noConversion"/>
  </si>
  <si>
    <t>12GHC01AA101</t>
    <phoneticPr fontId="1" type="noConversion"/>
  </si>
  <si>
    <t>11GHC01AA102</t>
    <phoneticPr fontId="1" type="noConversion"/>
  </si>
  <si>
    <t>#11 AIR COOLED CONDENSER CONDENSATE COLLECTION TANK NORMAL MAKEUP LCV</t>
    <phoneticPr fontId="27" type="noConversion"/>
  </si>
  <si>
    <t>A182-F304</t>
    <phoneticPr fontId="1" type="noConversion"/>
  </si>
  <si>
    <t>SW</t>
    <phoneticPr fontId="1" type="noConversion"/>
  </si>
  <si>
    <t>12GHC01AA102</t>
    <phoneticPr fontId="1" type="noConversion"/>
  </si>
  <si>
    <t>#12 AIR COOLED CONDENSER CONDENSATE COLLECTION TANK NORMAL MAKEUP LCV</t>
    <phoneticPr fontId="27" type="noConversion"/>
  </si>
  <si>
    <t>11LCA15AA101</t>
    <phoneticPr fontId="1" type="noConversion"/>
  </si>
  <si>
    <t>GB2</t>
    <phoneticPr fontId="1" type="noConversion"/>
  </si>
  <si>
    <t>PLUG TYPE</t>
    <phoneticPr fontId="1" type="noConversion"/>
  </si>
  <si>
    <t>12LCA15AA101</t>
    <phoneticPr fontId="1" type="noConversion"/>
  </si>
  <si>
    <t>11LCA14AA101</t>
    <phoneticPr fontId="1" type="noConversion"/>
  </si>
  <si>
    <t>12LCA14AA101</t>
    <phoneticPr fontId="1" type="noConversion"/>
  </si>
  <si>
    <t>11LCA10AA101</t>
    <phoneticPr fontId="1" type="noConversion"/>
  </si>
  <si>
    <t>8"</t>
    <phoneticPr fontId="27" type="noConversion"/>
  </si>
  <si>
    <t>12LCA10AA101</t>
    <phoneticPr fontId="1" type="noConversion"/>
  </si>
  <si>
    <t>19K9-20LCP10-M05-0002</t>
    <phoneticPr fontId="1" type="noConversion"/>
  </si>
  <si>
    <t>CODENSATE SYEYEM - COMMON</t>
    <phoneticPr fontId="1" type="noConversion"/>
  </si>
  <si>
    <t>20LCP30AA101</t>
    <phoneticPr fontId="1" type="noConversion"/>
  </si>
  <si>
    <t>20LCP31AA101</t>
    <phoneticPr fontId="1" type="noConversion"/>
  </si>
  <si>
    <t>14"</t>
    <phoneticPr fontId="27" type="noConversion"/>
  </si>
  <si>
    <t>20LCP32AA101</t>
    <phoneticPr fontId="1" type="noConversion"/>
  </si>
  <si>
    <t>19K9-20LCP10-M05-0003</t>
    <phoneticPr fontId="1" type="noConversion"/>
  </si>
  <si>
    <t>20GHC40AA101</t>
    <phoneticPr fontId="1" type="noConversion"/>
  </si>
  <si>
    <t>GC1</t>
    <phoneticPr fontId="1" type="noConversion"/>
  </si>
  <si>
    <t>20GHC40AA102</t>
    <phoneticPr fontId="1" type="noConversion"/>
  </si>
  <si>
    <t>20GHC60AA101</t>
    <phoneticPr fontId="1" type="noConversion"/>
  </si>
  <si>
    <t>DEMINERALIZED WATER TO DEAERATOR A LCV</t>
  </si>
  <si>
    <t>19K9-20LAB00-M05-0002</t>
    <phoneticPr fontId="1" type="noConversion"/>
  </si>
  <si>
    <t>20GHC60AA102</t>
    <phoneticPr fontId="1" type="noConversion"/>
  </si>
  <si>
    <t>DEMINERALIZED WATER TO DEAERATOR B LCV</t>
  </si>
  <si>
    <t>19K9-20LAB00-M05-0003</t>
    <phoneticPr fontId="1" type="noConversion"/>
  </si>
  <si>
    <t>20GHC60AA103</t>
    <phoneticPr fontId="1" type="noConversion"/>
  </si>
  <si>
    <t>DEMINERALIZED WATER TO DEAERATOR C LCV</t>
  </si>
  <si>
    <t>19K9-20LAB00-M05-0001</t>
    <phoneticPr fontId="1" type="noConversion"/>
  </si>
  <si>
    <t>FEEDWATER SYSTEM</t>
    <phoneticPr fontId="1" type="noConversion"/>
  </si>
  <si>
    <t>20LCA31AA101</t>
    <phoneticPr fontId="1" type="noConversion"/>
  </si>
  <si>
    <t>CONDENSATED WATER FROM PRE-HEAT EXCHANGER TO DEAERATOR A LCV</t>
  </si>
  <si>
    <t>GC3</t>
    <phoneticPr fontId="1" type="noConversion"/>
  </si>
  <si>
    <t>16"</t>
    <phoneticPr fontId="27" type="noConversion"/>
  </si>
  <si>
    <t>20LCA32AA101</t>
    <phoneticPr fontId="1" type="noConversion"/>
  </si>
  <si>
    <t>CONDENSATED WATER FROM PRE-HEAT EXCHANGER TO DEAERATOR B LCV</t>
  </si>
  <si>
    <t>20LCA33AA101</t>
    <phoneticPr fontId="1" type="noConversion"/>
  </si>
  <si>
    <t>CONDENSATED WATER FROM PRE-HEAT EXCHANGER TO DEAERATOR C LCV</t>
  </si>
  <si>
    <t>20LBG11AA101</t>
    <phoneticPr fontId="1" type="noConversion"/>
  </si>
  <si>
    <t>DEAERATOR &amp; FEEDWATER STORAGE TANK A PEGGING STEAM PCV</t>
    <phoneticPr fontId="27" type="noConversion"/>
  </si>
  <si>
    <t>150/400</t>
    <phoneticPr fontId="1" type="noConversion"/>
  </si>
  <si>
    <t>20LBG12AA101</t>
    <phoneticPr fontId="1" type="noConversion"/>
  </si>
  <si>
    <t>20LBG13AA101</t>
    <phoneticPr fontId="1" type="noConversion"/>
  </si>
  <si>
    <t>20LAD01AA101</t>
    <phoneticPr fontId="1" type="noConversion"/>
  </si>
  <si>
    <t>150/500</t>
    <phoneticPr fontId="1" type="noConversion"/>
  </si>
  <si>
    <t>GB1</t>
    <phoneticPr fontId="1" type="noConversion"/>
  </si>
  <si>
    <t>20LAD02AA101</t>
    <phoneticPr fontId="1" type="noConversion"/>
  </si>
  <si>
    <t>PSB OS&amp;Y</t>
    <phoneticPr fontId="1" type="noConversion"/>
  </si>
  <si>
    <t>20LAD03AA101</t>
    <phoneticPr fontId="1" type="noConversion"/>
  </si>
  <si>
    <t>19K9-20LAB00-M05-0005</t>
    <phoneticPr fontId="1" type="noConversion"/>
  </si>
  <si>
    <t>FEEDWATER SYSTEM - COGEN</t>
    <phoneticPr fontId="1" type="noConversion"/>
  </si>
  <si>
    <t>20LAB41AA101</t>
    <phoneticPr fontId="1" type="noConversion"/>
  </si>
  <si>
    <t>DB1</t>
    <phoneticPr fontId="1" type="noConversion"/>
  </si>
  <si>
    <t>GLOBE</t>
    <phoneticPr fontId="1" type="noConversion"/>
  </si>
  <si>
    <t>A216-WCC</t>
    <phoneticPr fontId="1" type="noConversion"/>
  </si>
  <si>
    <t>20LAB42AA101</t>
    <phoneticPr fontId="1" type="noConversion"/>
  </si>
  <si>
    <t>19K9-20LAB00-M05-0006</t>
    <phoneticPr fontId="1" type="noConversion"/>
  </si>
  <si>
    <t>20LAB43AA101</t>
    <phoneticPr fontId="1" type="noConversion"/>
  </si>
  <si>
    <t>20LAB44AA101</t>
    <phoneticPr fontId="1" type="noConversion"/>
  </si>
  <si>
    <t>20LAB45AA101</t>
    <phoneticPr fontId="1" type="noConversion"/>
  </si>
  <si>
    <t>19K9-25LAB00-M05-0007</t>
    <phoneticPr fontId="1" type="noConversion"/>
  </si>
  <si>
    <t>FEEDWATER SYSTEM - TGP</t>
    <phoneticPr fontId="1" type="noConversion"/>
  </si>
  <si>
    <t>25LAB21AA101</t>
    <phoneticPr fontId="1" type="noConversion"/>
  </si>
  <si>
    <t>EB1</t>
    <phoneticPr fontId="1" type="noConversion"/>
  </si>
  <si>
    <t>25LAB22AA101</t>
    <phoneticPr fontId="1" type="noConversion"/>
  </si>
  <si>
    <t>19K9-25LAB00-M05-0008</t>
    <phoneticPr fontId="1" type="noConversion"/>
  </si>
  <si>
    <t>25LAB23AA101</t>
    <phoneticPr fontId="1" type="noConversion"/>
  </si>
  <si>
    <t>25LAB24AA101</t>
    <phoneticPr fontId="1" type="noConversion"/>
  </si>
  <si>
    <t>25LAB25AA101</t>
    <phoneticPr fontId="1" type="noConversion"/>
  </si>
  <si>
    <t>25LAB41AA112</t>
    <phoneticPr fontId="1" type="noConversion"/>
  </si>
  <si>
    <t>25LAB42AA112</t>
    <phoneticPr fontId="1" type="noConversion"/>
  </si>
  <si>
    <t>19K9-20EGD00-M05-0001</t>
    <phoneticPr fontId="1" type="noConversion"/>
  </si>
  <si>
    <t>LIQUID PENTANE SUPPLY SYSTEM</t>
    <phoneticPr fontId="1" type="noConversion"/>
  </si>
  <si>
    <t>20LBR80AA101</t>
    <phoneticPr fontId="1" type="noConversion"/>
  </si>
  <si>
    <t>PENTANE GAS OUTLET TCV</t>
    <phoneticPr fontId="27" type="noConversion"/>
  </si>
  <si>
    <t>CONDENSATE</t>
    <phoneticPr fontId="1" type="noConversion"/>
  </si>
  <si>
    <t>A105</t>
    <phoneticPr fontId="1" type="noConversion"/>
  </si>
  <si>
    <t>YES</t>
    <phoneticPr fontId="27" type="noConversion"/>
  </si>
  <si>
    <t>2"</t>
    <phoneticPr fontId="27" type="noConversion"/>
  </si>
  <si>
    <t>19K9-20GKB10-M05-0001</t>
    <phoneticPr fontId="1" type="noConversion"/>
  </si>
  <si>
    <t>POTABLE WATER DISTRIBUTION SYSTEM (COGEN)</t>
    <phoneticPr fontId="1" type="noConversion"/>
  </si>
  <si>
    <t>20GKB20AA101</t>
    <phoneticPr fontId="1" type="noConversion"/>
  </si>
  <si>
    <t>POTABLE WATER TRANSFER PUMP (TO TGP) MINIMUM RECIRCULATION PCV</t>
    <phoneticPr fontId="1" type="noConversion"/>
  </si>
  <si>
    <t>HD1</t>
    <phoneticPr fontId="1" type="noConversion"/>
  </si>
  <si>
    <t>20GHC20AA101</t>
    <phoneticPr fontId="1" type="noConversion"/>
  </si>
  <si>
    <t>DEMINERALIZED WATER TRANSFER PUMP (TO TGP) MINIMUM RECIRCULATION PCV</t>
    <phoneticPr fontId="1" type="noConversion"/>
  </si>
  <si>
    <t>1"</t>
    <phoneticPr fontId="27" type="noConversion"/>
  </si>
  <si>
    <t>19K9-50PAB10-M05-0001</t>
    <phoneticPr fontId="1" type="noConversion"/>
  </si>
  <si>
    <t>DESAL FEED SYSTEM (INCL. SEAWATER INTAKE)</t>
    <phoneticPr fontId="1" type="noConversion"/>
  </si>
  <si>
    <t>50PAB20AA101</t>
    <phoneticPr fontId="1" type="noConversion"/>
  </si>
  <si>
    <t>HR3</t>
    <phoneticPr fontId="1" type="noConversion"/>
  </si>
  <si>
    <t>BUTTERFLY</t>
    <phoneticPr fontId="1" type="noConversion"/>
  </si>
  <si>
    <t>FAIL LOCK</t>
    <phoneticPr fontId="1" type="noConversion"/>
  </si>
  <si>
    <t>A995-5A</t>
    <phoneticPr fontId="1" type="noConversion"/>
  </si>
  <si>
    <t>-</t>
    <phoneticPr fontId="1" type="noConversion"/>
  </si>
  <si>
    <t>DOUBLE FLANGED</t>
    <phoneticPr fontId="1" type="noConversion"/>
  </si>
  <si>
    <t>ECCENTRIC, DOUBLE OFFSET</t>
    <phoneticPr fontId="1" type="noConversion"/>
  </si>
  <si>
    <t>N/A</t>
    <phoneticPr fontId="1" type="noConversion"/>
  </si>
  <si>
    <t>20"</t>
    <phoneticPr fontId="27" type="noConversion"/>
  </si>
  <si>
    <t>50GKB35AA101</t>
    <phoneticPr fontId="1" type="noConversion"/>
  </si>
  <si>
    <t>POTABLE WATER TRANSFER PUMP (TO TOF) MINIMUM RECIRCULATION PCV</t>
    <phoneticPr fontId="1" type="noConversion"/>
  </si>
  <si>
    <t>HR1</t>
    <phoneticPr fontId="1" type="noConversion"/>
  </si>
  <si>
    <t>A351-CF8M</t>
    <phoneticPr fontId="1" type="noConversion"/>
  </si>
  <si>
    <t>SS316/STL</t>
    <phoneticPr fontId="1" type="noConversion"/>
  </si>
  <si>
    <t>FLANGED FF</t>
    <phoneticPr fontId="1" type="noConversion"/>
  </si>
  <si>
    <t>50GKB30AA101</t>
    <phoneticPr fontId="1" type="noConversion"/>
  </si>
  <si>
    <t>POTABLE WATER TRANSFER PUMP DISCHARGE TO TOF FCV 1</t>
  </si>
  <si>
    <t>50GKB30AA102</t>
    <phoneticPr fontId="1" type="noConversion"/>
  </si>
  <si>
    <t>POTABLE WATER TRANSFER PUMP DISCHARGE TO TOF FCV 2</t>
  </si>
  <si>
    <t>POTABLE WATER TRANSFER SYSTEM (DESAL)</t>
    <phoneticPr fontId="1" type="noConversion"/>
  </si>
  <si>
    <t>50GKB45AA101</t>
    <phoneticPr fontId="1" type="noConversion"/>
  </si>
  <si>
    <t>POTABLE WATER TRANSFER PUMP (TO TANAJIB COMMUNITY) MINIMUM RECIRCULATION PCV</t>
    <phoneticPr fontId="1" type="noConversion"/>
  </si>
  <si>
    <t>50GKB55AA102</t>
    <phoneticPr fontId="1" type="noConversion"/>
  </si>
  <si>
    <t>POTABLE WATER TRANSFER PUMP (TO COGEN/ZULUF) MINIMUM RECIRCULATION PCV</t>
    <phoneticPr fontId="1" type="noConversion"/>
  </si>
  <si>
    <t>6"</t>
    <phoneticPr fontId="27" type="noConversion"/>
  </si>
  <si>
    <t>50GKB60AA101</t>
    <phoneticPr fontId="1" type="noConversion"/>
  </si>
  <si>
    <t>10"</t>
    <phoneticPr fontId="27" type="noConversion"/>
  </si>
  <si>
    <t>50GKB60AA102</t>
    <phoneticPr fontId="1" type="noConversion"/>
  </si>
  <si>
    <t>Pneumatic Cylinder Double</t>
    <phoneticPr fontId="27" type="noConversion"/>
  </si>
  <si>
    <t>Trillium
Body Size</t>
    <phoneticPr fontId="27" type="noConversion"/>
  </si>
  <si>
    <t>LEAKAGE CLASS</t>
    <phoneticPr fontId="1" type="noConversion"/>
  </si>
  <si>
    <t>KKS TAG</t>
    <phoneticPr fontId="1" type="noConversion"/>
  </si>
  <si>
    <t>NO</t>
    <phoneticPr fontId="1" type="noConversion"/>
  </si>
  <si>
    <t>TAG</t>
    <phoneticPr fontId="1" type="noConversion"/>
  </si>
  <si>
    <t>AREA</t>
    <phoneticPr fontId="1" type="noConversion"/>
  </si>
  <si>
    <t>HOLD</t>
    <phoneticPr fontId="1" type="noConversion"/>
  </si>
  <si>
    <t>50GMA12CP501</t>
  </si>
  <si>
    <t>AREA-1</t>
    <phoneticPr fontId="1" type="noConversion"/>
  </si>
  <si>
    <t>50GMA11CP501</t>
  </si>
  <si>
    <t>50GMA52CP501</t>
  </si>
  <si>
    <t>50GMA51CP501</t>
  </si>
  <si>
    <t>50GQA20CL101</t>
  </si>
  <si>
    <t>50GKB01CL001A</t>
    <phoneticPr fontId="1" type="noConversion"/>
  </si>
  <si>
    <t>AREA-2</t>
    <phoneticPr fontId="1" type="noConversion"/>
  </si>
  <si>
    <t>50GKB01CL001B</t>
    <phoneticPr fontId="1" type="noConversion"/>
  </si>
  <si>
    <t>50GKB00AA202</t>
    <phoneticPr fontId="1" type="noConversion"/>
  </si>
  <si>
    <t>50GKB45AA101</t>
    <phoneticPr fontId="1" type="noConversion"/>
  </si>
  <si>
    <t>50GKB30CP002A</t>
  </si>
  <si>
    <t>AREA-2-1</t>
    <phoneticPr fontId="1" type="noConversion"/>
  </si>
  <si>
    <t>50GKB30CP002B</t>
  </si>
  <si>
    <t>50GKB30CT001</t>
  </si>
  <si>
    <t>50GKB30CQ001</t>
  </si>
  <si>
    <t>50GKB50CT001</t>
  </si>
  <si>
    <t>50GKB50CQ001</t>
  </si>
  <si>
    <t>50GKB40CT001</t>
  </si>
  <si>
    <t>50GKB40CQ001</t>
  </si>
  <si>
    <t>50GKB30CP001A</t>
  </si>
  <si>
    <t>50GKB30CP001B</t>
  </si>
  <si>
    <t>50GKB50CP001A</t>
  </si>
  <si>
    <t>50GKB50CP001B</t>
  </si>
  <si>
    <t>50GKB40CP001A</t>
  </si>
  <si>
    <t>50GKB40CP001B</t>
  </si>
  <si>
    <t>50GKB34CP503</t>
  </si>
  <si>
    <t>50GKB34CP502</t>
  </si>
  <si>
    <t>50GKB34CP501</t>
  </si>
  <si>
    <t>50GKB33CP503</t>
  </si>
  <si>
    <t>50GKB33CP502</t>
  </si>
  <si>
    <t>50GKB33CP501</t>
  </si>
  <si>
    <t>50GKB32CP503</t>
  </si>
  <si>
    <t>50GKB32CP502</t>
  </si>
  <si>
    <t>50GKB32CP501</t>
  </si>
  <si>
    <t>50GKB31CP503</t>
  </si>
  <si>
    <t>50GKB31CP502</t>
  </si>
  <si>
    <t>50GKB31CP501</t>
  </si>
  <si>
    <t>50GKB54CP503</t>
  </si>
  <si>
    <t>AREA-2-1</t>
    <phoneticPr fontId="1" type="noConversion"/>
  </si>
  <si>
    <t>50GKB54CP502</t>
  </si>
  <si>
    <t>50GKB54CP501</t>
  </si>
  <si>
    <t>50GKB53CP503</t>
  </si>
  <si>
    <t>50GKB53CP502</t>
  </si>
  <si>
    <t>50GKB53CP501</t>
  </si>
  <si>
    <t>50GKB52CP503</t>
  </si>
  <si>
    <t>50GKB52CP502</t>
  </si>
  <si>
    <t>50GKB52CP501</t>
  </si>
  <si>
    <t>50GKB51CP503</t>
  </si>
  <si>
    <t>50GKB51CP502</t>
  </si>
  <si>
    <t>50GKB51CP501</t>
  </si>
  <si>
    <t>50GKB60CF001A</t>
  </si>
  <si>
    <t>HOLD</t>
    <phoneticPr fontId="1" type="noConversion"/>
  </si>
  <si>
    <t>50GKB60CF001B</t>
  </si>
  <si>
    <t>50GKB60CF601</t>
    <phoneticPr fontId="1" type="noConversion"/>
  </si>
  <si>
    <t>50GKB30AA102</t>
  </si>
  <si>
    <t>50GKB30AA101</t>
  </si>
  <si>
    <t>50GKB35AA101</t>
  </si>
  <si>
    <t>AREA-2-1</t>
    <phoneticPr fontId="1" type="noConversion"/>
  </si>
  <si>
    <t>50GKB55AA102</t>
  </si>
  <si>
    <t>AREA-2-1</t>
    <phoneticPr fontId="1" type="noConversion"/>
  </si>
  <si>
    <t>50GKB60AA101</t>
  </si>
  <si>
    <t>HOLD</t>
    <phoneticPr fontId="1" type="noConversion"/>
  </si>
  <si>
    <t>50GKB60AA102</t>
  </si>
  <si>
    <t>50GKB44CP503</t>
  </si>
  <si>
    <t>AREA-3</t>
    <phoneticPr fontId="1" type="noConversion"/>
  </si>
  <si>
    <t>50GKB44CP502</t>
  </si>
  <si>
    <t>50GKB44CP501</t>
  </si>
  <si>
    <t>50GKB43CP503</t>
  </si>
  <si>
    <t>50GKB43CP502</t>
  </si>
  <si>
    <t>50GKB43CP501</t>
  </si>
  <si>
    <t>50GKB42CP503</t>
  </si>
  <si>
    <t>50GKB42CP502</t>
  </si>
  <si>
    <t>50GKB42CP501</t>
  </si>
  <si>
    <t>50GKB41CP503</t>
  </si>
  <si>
    <t>50GKB41CP502</t>
  </si>
  <si>
    <t>50GKB41CP501</t>
  </si>
  <si>
    <t>50GKB02CL001A</t>
  </si>
  <si>
    <t>50GKB02CL001B</t>
  </si>
  <si>
    <t>50GKB00AA201</t>
    <phoneticPr fontId="1" type="noConversion"/>
  </si>
  <si>
    <t>50GMA42CP501</t>
  </si>
  <si>
    <t>AREA-4</t>
    <phoneticPr fontId="1" type="noConversion"/>
  </si>
  <si>
    <t>50GMA41CP501</t>
  </si>
  <si>
    <t xml:space="preserve"> </t>
    <phoneticPr fontId="1" type="noConversion"/>
  </si>
  <si>
    <t>50SCB01CP001</t>
  </si>
  <si>
    <t>50SCB01CT001</t>
  </si>
  <si>
    <t>50QFB00CT001</t>
  </si>
  <si>
    <t>50QFB01CT001</t>
  </si>
  <si>
    <t>50QFB00CP001A</t>
  </si>
  <si>
    <t>50QFB01CP001B</t>
    <phoneticPr fontId="1" type="noConversion"/>
  </si>
  <si>
    <t>50GUA12CP501</t>
  </si>
  <si>
    <t>50GUA11CP501</t>
  </si>
  <si>
    <t>50GMB10CP501</t>
  </si>
  <si>
    <t>50GMA22CP501</t>
  </si>
  <si>
    <t>50GMA21CP501</t>
  </si>
  <si>
    <t>50GQA10CL101</t>
  </si>
  <si>
    <t>50QFB01CP501</t>
  </si>
  <si>
    <t>50SCB01AA251</t>
    <phoneticPr fontId="1" type="noConversion"/>
  </si>
  <si>
    <t>50GMA32CP501</t>
  </si>
  <si>
    <t>AREA-5</t>
    <phoneticPr fontId="1" type="noConversion"/>
  </si>
  <si>
    <t>50GMA31CP501</t>
  </si>
  <si>
    <t>50PAB10CP001A</t>
  </si>
  <si>
    <t>50PAB10CP001B</t>
  </si>
  <si>
    <t>50PAB02CP001</t>
  </si>
  <si>
    <t>50PAB02CP501</t>
  </si>
  <si>
    <t>50PAB01CP001</t>
  </si>
  <si>
    <t>50PAB01CP501</t>
  </si>
  <si>
    <t>50PAB02AA201</t>
    <phoneticPr fontId="1" type="noConversion"/>
  </si>
  <si>
    <t>50PAB01AA201</t>
    <phoneticPr fontId="1" type="noConversion"/>
  </si>
  <si>
    <t>50PAB20AA101</t>
    <phoneticPr fontId="1" type="noConversion"/>
  </si>
  <si>
    <t>API 598</t>
    <phoneticPr fontId="1" type="noConversion"/>
  </si>
  <si>
    <t>TRIM MATERIAL</t>
    <phoneticPr fontId="1" type="noConversion"/>
  </si>
  <si>
    <t>FAIL POSITION</t>
    <phoneticPr fontId="1" type="noConversion"/>
  </si>
  <si>
    <t>P/ID</t>
  </si>
  <si>
    <t>DISC/PLUG TYPE</t>
  </si>
  <si>
    <t>BB</t>
    <phoneticPr fontId="1" type="noConversion"/>
  </si>
  <si>
    <t>LINE SPEC
(PMC)</t>
    <phoneticPr fontId="1" type="noConversion"/>
  </si>
  <si>
    <t>MOV</t>
    <phoneticPr fontId="2" type="noConversion"/>
  </si>
  <si>
    <t>INTERNAL COATING</t>
    <phoneticPr fontId="1" type="noConversion"/>
  </si>
  <si>
    <t>VALVE RATING</t>
    <phoneticPr fontId="1" type="noConversion"/>
  </si>
  <si>
    <t>NORMAL OPERATING CONDITION</t>
    <phoneticPr fontId="1" type="noConversion"/>
  </si>
  <si>
    <t>10S</t>
    <phoneticPr fontId="1" type="noConversion"/>
  </si>
  <si>
    <t>MOTOR OPERATED
(INCHING)</t>
  </si>
  <si>
    <t>Bore Size</t>
    <phoneticPr fontId="1" type="noConversion"/>
  </si>
  <si>
    <t>Material</t>
    <phoneticPr fontId="1" type="noConversion"/>
  </si>
  <si>
    <t>Actuator Torque</t>
    <phoneticPr fontId="1" type="noConversion"/>
  </si>
  <si>
    <t>Motor</t>
    <phoneticPr fontId="1" type="noConversion"/>
  </si>
  <si>
    <t>Gear</t>
    <phoneticPr fontId="1" type="noConversion"/>
  </si>
  <si>
    <t>Disc</t>
    <phoneticPr fontId="1" type="noConversion"/>
  </si>
  <si>
    <t>Seat</t>
    <phoneticPr fontId="1" type="noConversion"/>
  </si>
  <si>
    <t>Stem</t>
    <phoneticPr fontId="1" type="noConversion"/>
  </si>
  <si>
    <t>Packing</t>
    <phoneticPr fontId="1" type="noConversion"/>
  </si>
  <si>
    <t>Gasket</t>
    <phoneticPr fontId="1" type="noConversion"/>
  </si>
  <si>
    <t>Bonnet</t>
    <phoneticPr fontId="1" type="noConversion"/>
  </si>
  <si>
    <t>Required Torque</t>
    <phoneticPr fontId="1" type="noConversion"/>
  </si>
  <si>
    <t>Seleted Torque</t>
    <phoneticPr fontId="1" type="noConversion"/>
  </si>
  <si>
    <t>Set Torque</t>
    <phoneticPr fontId="1" type="noConversion"/>
  </si>
  <si>
    <t>Rated Power</t>
    <phoneticPr fontId="1" type="noConversion"/>
  </si>
  <si>
    <t>Time Rating</t>
    <phoneticPr fontId="1" type="noConversion"/>
  </si>
  <si>
    <t>Ratio</t>
    <phoneticPr fontId="1" type="noConversion"/>
  </si>
  <si>
    <t>Rev</t>
    <phoneticPr fontId="1" type="noConversion"/>
  </si>
  <si>
    <t>SCT Design Data</t>
    <phoneticPr fontId="1" type="noConversion"/>
  </si>
  <si>
    <t>Vendor to fill-up on '*' marked cell without any blank.</t>
    <phoneticPr fontId="1" type="noConversion"/>
  </si>
  <si>
    <t>*</t>
    <phoneticPr fontId="1" type="noConversion"/>
  </si>
  <si>
    <t>1A5J-00PGB10-M05-0001</t>
  </si>
  <si>
    <t>1A5J-00PGB10-M05-0002</t>
  </si>
  <si>
    <t>1A5J-00PGB10-M05-0003</t>
  </si>
  <si>
    <t>1A5J-00GHB10-M05-0001</t>
  </si>
  <si>
    <t>00PGB21AA201</t>
  </si>
  <si>
    <t>00PGB22AA201</t>
  </si>
  <si>
    <t>11PGB20AA201</t>
  </si>
  <si>
    <t>12PGB20AA201</t>
  </si>
  <si>
    <t>13PGB20AA201</t>
  </si>
  <si>
    <t>14PGB20AA201</t>
  </si>
  <si>
    <t>00GHB01AA201</t>
  </si>
  <si>
    <t>00GHB02AA201</t>
  </si>
  <si>
    <t>FIN-FAN TYPE COOLER A DISCHARGE HEADER MOV</t>
  </si>
  <si>
    <t>FIN-FAN TYPE COOLER B DISCHARGE HEADER MOV</t>
  </si>
  <si>
    <t>GT #11 CCW SUPPLY MOV</t>
  </si>
  <si>
    <t>GT #12 CCW SUPPLY MOV</t>
  </si>
  <si>
    <t>GT #13 CCW SUPPLY MOV</t>
  </si>
  <si>
    <t>GT #14 CCW SUPPLY MOV</t>
  </si>
  <si>
    <t>SERVICE AND FIRE WATER STORAGE TANK A INLET MOV</t>
  </si>
  <si>
    <t>SERVICE AND FIRE WATER STORAGE TANK B INLET MOV</t>
  </si>
  <si>
    <t>WATER</t>
  </si>
  <si>
    <t>60</t>
  </si>
  <si>
    <t>9</t>
  </si>
  <si>
    <t>70</t>
  </si>
  <si>
    <t>3.5</t>
  </si>
  <si>
    <t>400</t>
  </si>
  <si>
    <t>550</t>
  </si>
  <si>
    <t>BUTTERFLY</t>
  </si>
  <si>
    <t>A351-CF3</t>
  </si>
  <si>
    <t>A312-TP304L</t>
    <phoneticPr fontId="1" type="noConversion"/>
  </si>
  <si>
    <t>SERVICE WATER DIST, SYSTEM</t>
    <phoneticPr fontId="1" type="noConversion"/>
  </si>
  <si>
    <t>Viscosity
(Cp)</t>
    <phoneticPr fontId="1" type="noConversion"/>
  </si>
  <si>
    <t>Specific
Gravity (SG)</t>
    <phoneticPr fontId="1" type="noConversion"/>
  </si>
  <si>
    <t>FLOW
(M3/H)</t>
    <phoneticPr fontId="1" type="noConversion"/>
  </si>
  <si>
    <t>VAPOUR PRESSURE, Pv (Bara)</t>
  </si>
  <si>
    <t>GHB1</t>
  </si>
  <si>
    <t>A53-B</t>
  </si>
  <si>
    <t>SERVICE WATER DIST, SYSTEM</t>
  </si>
  <si>
    <t>AMB</t>
  </si>
  <si>
    <t>A312-TP304L</t>
  </si>
  <si>
    <t>&lt;40sec</t>
    <phoneticPr fontId="1" type="noConversion"/>
  </si>
  <si>
    <t>&lt;20sec</t>
    <phoneticPr fontId="1" type="noConversion"/>
  </si>
  <si>
    <t>&lt;50sec</t>
    <phoneticPr fontId="1" type="noConversion"/>
  </si>
  <si>
    <t>Max. Shutoff 
Pressure (D/P)</t>
    <phoneticPr fontId="1" type="noConversion"/>
  </si>
  <si>
    <t>TYPE</t>
    <phoneticPr fontId="1" type="noConversion"/>
  </si>
  <si>
    <t>Concentric</t>
    <phoneticPr fontId="1" type="noConversion"/>
  </si>
  <si>
    <t>Multi. or
Quarter Turn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</si>
</sst>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"/>
    <numFmt numFmtId="177" formatCode="0.00_);[Red]\(0.00\)"/>
    <numFmt numFmtId="178" formatCode="0.0_ "/>
    <numFmt numFmtId="179" formatCode="0_);[Red]\(0\)"/>
    <numFmt numFmtId="180" formatCode="0.00_ "/>
    <numFmt numFmtId="181" formatCode="&quot;[&quot;@\]"/>
    <numFmt numFmtId="182" formatCode="0.0_);[Red]\(0.0\)"/>
    <numFmt numFmtId="183" formatCode="0.000_);[Red]\(0.000\)"/>
    <numFmt numFmtId="184" formatCode="mm&quot;월&quot;\ dd&quot;일&quot;"/>
  </numFmts>
  <fonts count="3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sz val="9"/>
      <color theme="1"/>
      <name val="맑은 고딕"/>
      <family val="2"/>
      <charset val="129"/>
      <scheme val="minor"/>
    </font>
    <font>
      <b/>
      <sz val="9"/>
      <name val="Arial"/>
      <family val="2"/>
    </font>
    <font>
      <sz val="9"/>
      <name val="돋움"/>
      <family val="3"/>
      <charset val="129"/>
    </font>
    <font>
      <strike/>
      <sz val="9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b/>
      <sz val="10"/>
      <name val="돋움"/>
      <family val="3"/>
      <charset val="129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trike/>
      <sz val="8"/>
      <name val="Arial"/>
      <family val="2"/>
    </font>
    <font>
      <strike/>
      <sz val="8"/>
      <name val="돋움"/>
      <family val="3"/>
      <charset val="129"/>
    </font>
    <font>
      <strike/>
      <sz val="8"/>
      <color rgb="FFFF0000"/>
      <name val="돋움"/>
      <family val="3"/>
      <charset val="129"/>
    </font>
    <font>
      <strike/>
      <sz val="8"/>
      <color rgb="FFFF0000"/>
      <name val="Arial"/>
      <family val="2"/>
    </font>
    <font>
      <sz val="9"/>
      <name val="맑은 고딕"/>
      <family val="3"/>
      <charset val="129"/>
      <scheme val="minor"/>
    </font>
    <font>
      <strike/>
      <sz val="9"/>
      <name val="맑은 고딕"/>
      <family val="3"/>
      <charset val="129"/>
      <scheme val="minor"/>
    </font>
    <font>
      <sz val="8"/>
      <name val="Arial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>
      <alignment vertical="center"/>
    </xf>
    <xf numFmtId="0" fontId="28" fillId="0" borderId="0">
      <alignment vertical="center"/>
    </xf>
    <xf numFmtId="0" fontId="29" fillId="0" borderId="0"/>
    <xf numFmtId="0" fontId="28" fillId="0" borderId="0">
      <alignment vertical="center"/>
    </xf>
    <xf numFmtId="0" fontId="28" fillId="0" borderId="0">
      <alignment vertical="center"/>
    </xf>
  </cellStyleXfs>
  <cellXfs count="288">
    <xf numFmtId="0" fontId="0" fillId="0" borderId="0" xfId="0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3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3" borderId="0" xfId="0" applyFont="1" applyFill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shrinkToFit="1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3" borderId="0" xfId="0" applyFont="1" applyFill="1">
      <alignment vertical="center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0" fontId="11" fillId="0" borderId="0" xfId="0" applyFont="1">
      <alignment vertic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left" vertical="center"/>
    </xf>
    <xf numFmtId="176" fontId="3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left" vertical="center"/>
    </xf>
    <xf numFmtId="177" fontId="3" fillId="0" borderId="1" xfId="0" applyNumberFormat="1" applyFont="1" applyBorder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Alignment="1">
      <alignment horizontal="center" vertical="center" wrapText="1" shrinkToFit="1"/>
    </xf>
    <xf numFmtId="177" fontId="3" fillId="0" borderId="1" xfId="0" applyNumberFormat="1" applyFont="1" applyBorder="1" applyAlignment="1">
      <alignment horizontal="center" vertical="center" shrinkToFit="1"/>
    </xf>
    <xf numFmtId="177" fontId="3" fillId="0" borderId="7" xfId="0" applyNumberFormat="1" applyFont="1" applyBorder="1" applyAlignment="1" applyProtection="1">
      <alignment horizontal="center" vertical="center"/>
      <protection locked="0"/>
    </xf>
    <xf numFmtId="177" fontId="3" fillId="0" borderId="6" xfId="0" applyNumberFormat="1" applyFont="1" applyBorder="1" applyAlignment="1">
      <alignment horizontal="center" vertical="center" wrapText="1" shrinkToFit="1"/>
    </xf>
    <xf numFmtId="177" fontId="3" fillId="0" borderId="1" xfId="0" applyNumberFormat="1" applyFont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7" fillId="8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left" vertical="center"/>
    </xf>
    <xf numFmtId="0" fontId="16" fillId="9" borderId="2" xfId="0" applyFont="1" applyFill="1" applyBorder="1" applyAlignment="1" applyProtection="1">
      <alignment vertical="center" wrapText="1"/>
      <protection locked="0"/>
    </xf>
    <xf numFmtId="178" fontId="18" fillId="0" borderId="0" xfId="0" applyNumberFormat="1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49" fontId="18" fillId="9" borderId="1" xfId="0" applyNumberFormat="1" applyFont="1" applyFill="1" applyBorder="1" applyAlignment="1" applyProtection="1">
      <alignment horizontal="center" vertical="center" wrapText="1"/>
      <protection locked="0"/>
    </xf>
    <xf numFmtId="180" fontId="18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9" borderId="1" xfId="0" applyFont="1" applyFill="1" applyBorder="1" applyAlignment="1" applyProtection="1">
      <alignment horizontal="center" vertical="center" wrapText="1"/>
      <protection locked="0"/>
    </xf>
    <xf numFmtId="179" fontId="18" fillId="9" borderId="1" xfId="0" applyNumberFormat="1" applyFont="1" applyFill="1" applyBorder="1" applyAlignment="1" applyProtection="1">
      <alignment horizontal="center" vertical="center" wrapText="1"/>
      <protection locked="0"/>
    </xf>
    <xf numFmtId="179" fontId="16" fillId="6" borderId="1" xfId="0" applyNumberFormat="1" applyFont="1" applyFill="1" applyBorder="1" applyAlignment="1" applyProtection="1">
      <alignment horizontal="center" vertical="center" wrapText="1"/>
      <protection locked="0"/>
    </xf>
    <xf numFmtId="179" fontId="16" fillId="6" borderId="4" xfId="0" applyNumberFormat="1" applyFont="1" applyFill="1" applyBorder="1" applyAlignment="1" applyProtection="1">
      <alignment horizontal="center" vertical="center" wrapText="1"/>
      <protection locked="0"/>
    </xf>
    <xf numFmtId="181" fontId="18" fillId="9" borderId="4" xfId="0" applyNumberFormat="1" applyFont="1" applyFill="1" applyBorder="1" applyAlignment="1" applyProtection="1">
      <alignment horizontal="center" vertical="center" wrapText="1"/>
      <protection locked="0"/>
    </xf>
    <xf numFmtId="180" fontId="18" fillId="9" borderId="4" xfId="0" applyNumberFormat="1" applyFont="1" applyFill="1" applyBorder="1" applyAlignment="1" applyProtection="1">
      <alignment horizontal="center" vertical="center" wrapText="1"/>
      <protection locked="0"/>
    </xf>
    <xf numFmtId="179" fontId="16" fillId="6" borderId="1" xfId="0" applyNumberFormat="1" applyFont="1" applyFill="1" applyBorder="1" applyAlignment="1" applyProtection="1">
      <alignment vertical="center" wrapText="1"/>
      <protection locked="0"/>
    </xf>
    <xf numFmtId="179" fontId="16" fillId="6" borderId="6" xfId="0" applyNumberFormat="1" applyFont="1" applyFill="1" applyBorder="1" applyAlignment="1" applyProtection="1">
      <alignment horizontal="center" vertical="center" wrapText="1"/>
      <protection locked="0"/>
    </xf>
    <xf numFmtId="0" fontId="18" fillId="11" borderId="8" xfId="0" applyFont="1" applyFill="1" applyBorder="1" applyAlignment="1" applyProtection="1">
      <alignment horizontal="center" vertical="center"/>
      <protection locked="0"/>
    </xf>
    <xf numFmtId="0" fontId="18" fillId="11" borderId="8" xfId="0" applyFont="1" applyFill="1" applyBorder="1" applyAlignment="1" applyProtection="1">
      <alignment horizontal="left" vertical="center"/>
      <protection locked="0"/>
    </xf>
    <xf numFmtId="182" fontId="19" fillId="11" borderId="8" xfId="0" applyNumberFormat="1" applyFont="1" applyFill="1" applyBorder="1" applyAlignment="1" applyProtection="1">
      <alignment horizontal="center" vertical="center"/>
      <protection locked="0"/>
    </xf>
    <xf numFmtId="0" fontId="19" fillId="11" borderId="8" xfId="0" applyFont="1" applyFill="1" applyBorder="1" applyAlignment="1" applyProtection="1">
      <alignment horizontal="center" vertical="center"/>
      <protection locked="0"/>
    </xf>
    <xf numFmtId="179" fontId="19" fillId="11" borderId="8" xfId="0" applyNumberFormat="1" applyFont="1" applyFill="1" applyBorder="1" applyAlignment="1" applyProtection="1">
      <alignment horizontal="center" vertical="center"/>
      <protection locked="0"/>
    </xf>
    <xf numFmtId="177" fontId="19" fillId="11" borderId="8" xfId="0" applyNumberFormat="1" applyFont="1" applyFill="1" applyBorder="1" applyAlignment="1">
      <alignment horizontal="center" vertical="center"/>
    </xf>
    <xf numFmtId="183" fontId="19" fillId="11" borderId="8" xfId="0" applyNumberFormat="1" applyFont="1" applyFill="1" applyBorder="1" applyAlignment="1">
      <alignment horizontal="center" vertical="center"/>
    </xf>
    <xf numFmtId="179" fontId="19" fillId="0" borderId="10" xfId="0" applyNumberFormat="1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179" fontId="19" fillId="0" borderId="0" xfId="0" applyNumberFormat="1" applyFont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8" xfId="0" applyFont="1" applyBorder="1" applyProtection="1">
      <alignment vertical="center"/>
      <protection locked="0"/>
    </xf>
    <xf numFmtId="0" fontId="19" fillId="0" borderId="8" xfId="0" applyFont="1" applyBorder="1" applyAlignment="1" applyProtection="1">
      <alignment horizontal="center" vertical="center"/>
      <protection locked="0"/>
    </xf>
    <xf numFmtId="177" fontId="19" fillId="0" borderId="8" xfId="0" applyNumberFormat="1" applyFont="1" applyBorder="1" applyAlignment="1" applyProtection="1">
      <alignment horizontal="center" vertical="center"/>
      <protection locked="0"/>
    </xf>
    <xf numFmtId="180" fontId="19" fillId="0" borderId="8" xfId="0" applyNumberFormat="1" applyFont="1" applyBorder="1" applyAlignment="1" applyProtection="1">
      <alignment horizontal="center" vertical="center"/>
      <protection locked="0"/>
    </xf>
    <xf numFmtId="182" fontId="19" fillId="0" borderId="8" xfId="0" applyNumberFormat="1" applyFont="1" applyBorder="1" applyAlignment="1" applyProtection="1">
      <alignment horizontal="center" vertical="center"/>
      <protection locked="0"/>
    </xf>
    <xf numFmtId="179" fontId="18" fillId="0" borderId="8" xfId="0" applyNumberFormat="1" applyFont="1" applyBorder="1" applyAlignment="1" applyProtection="1">
      <alignment horizontal="center" vertical="center"/>
      <protection locked="0"/>
    </xf>
    <xf numFmtId="183" fontId="19" fillId="0" borderId="8" xfId="0" applyNumberFormat="1" applyFont="1" applyBorder="1" applyAlignment="1" applyProtection="1">
      <alignment horizontal="center" vertical="center"/>
      <protection locked="0"/>
    </xf>
    <xf numFmtId="183" fontId="19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14" fontId="19" fillId="0" borderId="0" xfId="0" applyNumberFormat="1" applyFont="1" applyAlignment="1" applyProtection="1">
      <alignment horizontal="center" vertical="center" wrapText="1"/>
      <protection locked="0"/>
    </xf>
    <xf numFmtId="19" fontId="19" fillId="0" borderId="0" xfId="0" applyNumberFormat="1" applyFont="1" applyAlignment="1" applyProtection="1">
      <alignment horizontal="center" vertical="center" wrapText="1"/>
      <protection locked="0"/>
    </xf>
    <xf numFmtId="182" fontId="19" fillId="8" borderId="8" xfId="0" applyNumberFormat="1" applyFont="1" applyFill="1" applyBorder="1" applyAlignment="1" applyProtection="1">
      <alignment horizontal="center" vertical="center"/>
      <protection locked="0"/>
    </xf>
    <xf numFmtId="182" fontId="19" fillId="7" borderId="8" xfId="0" applyNumberFormat="1" applyFont="1" applyFill="1" applyBorder="1" applyAlignment="1" applyProtection="1">
      <alignment horizontal="center" vertical="center"/>
      <protection locked="0"/>
    </xf>
    <xf numFmtId="183" fontId="19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9" fontId="19" fillId="0" borderId="0" xfId="0" applyNumberFormat="1" applyFont="1" applyAlignment="1" applyProtection="1">
      <alignment horizontal="center" vertical="center"/>
      <protection locked="0"/>
    </xf>
    <xf numFmtId="0" fontId="19" fillId="0" borderId="8" xfId="0" applyFont="1" applyBorder="1" applyAlignment="1" applyProtection="1">
      <alignment horizontal="right" vertical="center"/>
      <protection locked="0"/>
    </xf>
    <xf numFmtId="0" fontId="19" fillId="0" borderId="8" xfId="0" applyFont="1" applyBorder="1" applyAlignment="1" applyProtection="1">
      <alignment horizontal="left" vertical="center"/>
      <protection locked="0"/>
    </xf>
    <xf numFmtId="179" fontId="19" fillId="0" borderId="8" xfId="0" applyNumberFormat="1" applyFont="1" applyBorder="1" applyAlignment="1" applyProtection="1">
      <alignment horizontal="center" vertical="center"/>
      <protection locked="0"/>
    </xf>
    <xf numFmtId="177" fontId="19" fillId="0" borderId="8" xfId="0" applyNumberFormat="1" applyFont="1" applyBorder="1" applyAlignment="1">
      <alignment horizontal="center" vertical="center"/>
    </xf>
    <xf numFmtId="179" fontId="19" fillId="0" borderId="12" xfId="0" applyNumberFormat="1" applyFont="1" applyBorder="1" applyAlignment="1" applyProtection="1">
      <alignment horizontal="center" vertical="center"/>
      <protection locked="0"/>
    </xf>
    <xf numFmtId="179" fontId="18" fillId="0" borderId="12" xfId="0" applyNumberFormat="1" applyFont="1" applyBorder="1" applyAlignment="1" applyProtection="1">
      <alignment horizontal="center" vertical="center" wrapText="1"/>
      <protection locked="0"/>
    </xf>
    <xf numFmtId="179" fontId="18" fillId="0" borderId="0" xfId="0" applyNumberFormat="1" applyFont="1" applyAlignment="1" applyProtection="1">
      <alignment horizontal="center" vertical="center" wrapText="1"/>
      <protection locked="0"/>
    </xf>
    <xf numFmtId="0" fontId="18" fillId="0" borderId="8" xfId="0" applyFont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82" fontId="20" fillId="0" borderId="8" xfId="0" applyNumberFormat="1" applyFont="1" applyBorder="1" applyAlignment="1" applyProtection="1">
      <alignment horizontal="center" vertical="center"/>
      <protection locked="0"/>
    </xf>
    <xf numFmtId="179" fontId="20" fillId="0" borderId="8" xfId="0" applyNumberFormat="1" applyFont="1" applyBorder="1" applyAlignment="1" applyProtection="1">
      <alignment horizontal="center" vertical="center"/>
      <protection locked="0"/>
    </xf>
    <xf numFmtId="0" fontId="20" fillId="0" borderId="8" xfId="0" applyFont="1" applyBorder="1" applyAlignment="1" applyProtection="1">
      <alignment horizontal="left" vertical="center"/>
      <protection locked="0"/>
    </xf>
    <xf numFmtId="183" fontId="21" fillId="0" borderId="8" xfId="0" applyNumberFormat="1" applyFont="1" applyBorder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18" fillId="5" borderId="8" xfId="0" applyFont="1" applyFill="1" applyBorder="1" applyAlignment="1" applyProtection="1">
      <alignment horizontal="center" vertical="center"/>
      <protection locked="0"/>
    </xf>
    <xf numFmtId="0" fontId="18" fillId="5" borderId="8" xfId="0" applyFont="1" applyFill="1" applyBorder="1" applyAlignment="1" applyProtection="1">
      <alignment horizontal="left" vertical="center"/>
      <protection locked="0"/>
    </xf>
    <xf numFmtId="182" fontId="19" fillId="5" borderId="8" xfId="0" applyNumberFormat="1" applyFont="1" applyFill="1" applyBorder="1" applyAlignment="1" applyProtection="1">
      <alignment horizontal="center" vertical="center"/>
      <protection locked="0"/>
    </xf>
    <xf numFmtId="0" fontId="19" fillId="5" borderId="8" xfId="0" applyFont="1" applyFill="1" applyBorder="1" applyAlignment="1" applyProtection="1">
      <alignment horizontal="center" vertical="center"/>
      <protection locked="0"/>
    </xf>
    <xf numFmtId="179" fontId="19" fillId="5" borderId="8" xfId="0" applyNumberFormat="1" applyFont="1" applyFill="1" applyBorder="1" applyAlignment="1" applyProtection="1">
      <alignment horizontal="center" vertical="center"/>
      <protection locked="0"/>
    </xf>
    <xf numFmtId="177" fontId="19" fillId="5" borderId="8" xfId="0" applyNumberFormat="1" applyFont="1" applyFill="1" applyBorder="1" applyAlignment="1">
      <alignment horizontal="center" vertical="center"/>
    </xf>
    <xf numFmtId="183" fontId="19" fillId="5" borderId="8" xfId="0" applyNumberFormat="1" applyFont="1" applyFill="1" applyBorder="1" applyAlignment="1">
      <alignment horizontal="center" vertical="center"/>
    </xf>
    <xf numFmtId="182" fontId="19" fillId="12" borderId="8" xfId="0" applyNumberFormat="1" applyFont="1" applyFill="1" applyBorder="1" applyAlignment="1" applyProtection="1">
      <alignment horizontal="center" vertical="center"/>
      <protection locked="0"/>
    </xf>
    <xf numFmtId="0" fontId="19" fillId="7" borderId="8" xfId="0" applyFont="1" applyFill="1" applyBorder="1" applyAlignment="1" applyProtection="1">
      <alignment horizontal="center" vertical="center"/>
      <protection locked="0"/>
    </xf>
    <xf numFmtId="0" fontId="19" fillId="12" borderId="8" xfId="0" applyFont="1" applyFill="1" applyBorder="1" applyAlignment="1" applyProtection="1">
      <alignment horizontal="center" vertical="center"/>
      <protection locked="0"/>
    </xf>
    <xf numFmtId="179" fontId="19" fillId="12" borderId="8" xfId="0" applyNumberFormat="1" applyFont="1" applyFill="1" applyBorder="1" applyAlignment="1" applyProtection="1">
      <alignment horizontal="center" vertical="center"/>
      <protection locked="0"/>
    </xf>
    <xf numFmtId="179" fontId="19" fillId="12" borderId="8" xfId="0" applyNumberFormat="1" applyFont="1" applyFill="1" applyBorder="1" applyAlignment="1">
      <alignment horizontal="center" vertical="center"/>
    </xf>
    <xf numFmtId="179" fontId="25" fillId="0" borderId="13" xfId="0" applyNumberFormat="1" applyFont="1" applyBorder="1" applyAlignment="1">
      <alignment horizontal="center" vertical="center"/>
    </xf>
    <xf numFmtId="180" fontId="25" fillId="0" borderId="14" xfId="0" applyNumberFormat="1" applyFont="1" applyBorder="1" applyAlignment="1">
      <alignment horizontal="center" vertical="center"/>
    </xf>
    <xf numFmtId="179" fontId="25" fillId="0" borderId="14" xfId="0" applyNumberFormat="1" applyFont="1" applyBorder="1" applyAlignment="1">
      <alignment horizontal="center" vertical="center"/>
    </xf>
    <xf numFmtId="0" fontId="19" fillId="0" borderId="8" xfId="0" applyFont="1" applyBorder="1" applyAlignment="1" applyProtection="1">
      <alignment horizontal="left" vertical="center" wrapText="1"/>
      <protection locked="0"/>
    </xf>
    <xf numFmtId="179" fontId="19" fillId="0" borderId="8" xfId="0" applyNumberFormat="1" applyFont="1" applyBorder="1" applyAlignment="1">
      <alignment horizontal="center" vertical="center"/>
    </xf>
    <xf numFmtId="2" fontId="19" fillId="0" borderId="8" xfId="0" applyNumberFormat="1" applyFont="1" applyBorder="1" applyAlignment="1" applyProtection="1">
      <alignment horizontal="lef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2" fontId="19" fillId="0" borderId="8" xfId="0" applyNumberFormat="1" applyFont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 applyProtection="1">
      <alignment horizontal="left" vertical="center" indent="1"/>
      <protection locked="0"/>
    </xf>
    <xf numFmtId="177" fontId="19" fillId="12" borderId="8" xfId="0" applyNumberFormat="1" applyFont="1" applyFill="1" applyBorder="1" applyAlignment="1" applyProtection="1">
      <alignment horizontal="center" vertical="center"/>
      <protection locked="0"/>
    </xf>
    <xf numFmtId="2" fontId="19" fillId="0" borderId="8" xfId="0" applyNumberFormat="1" applyFont="1" applyBorder="1" applyAlignment="1" applyProtection="1">
      <alignment horizontal="left" vertical="center" indent="1"/>
      <protection locked="0"/>
    </xf>
    <xf numFmtId="182" fontId="19" fillId="12" borderId="8" xfId="0" quotePrefix="1" applyNumberFormat="1" applyFont="1" applyFill="1" applyBorder="1" applyAlignment="1" applyProtection="1">
      <alignment horizontal="center" vertical="center"/>
      <protection locked="0"/>
    </xf>
    <xf numFmtId="2" fontId="19" fillId="0" borderId="15" xfId="0" applyNumberFormat="1" applyFont="1" applyBorder="1" applyAlignment="1" applyProtection="1">
      <alignment horizontal="left" vertical="center"/>
      <protection locked="0"/>
    </xf>
    <xf numFmtId="0" fontId="19" fillId="0" borderId="8" xfId="0" quotePrefix="1" applyFont="1" applyBorder="1" applyAlignment="1" applyProtection="1">
      <alignment horizontal="center" vertical="center"/>
      <protection locked="0"/>
    </xf>
    <xf numFmtId="179" fontId="25" fillId="0" borderId="12" xfId="0" applyNumberFormat="1" applyFont="1" applyBorder="1" applyAlignment="1">
      <alignment horizontal="center" vertical="center"/>
    </xf>
    <xf numFmtId="180" fontId="25" fillId="0" borderId="0" xfId="0" applyNumberFormat="1" applyFont="1" applyAlignment="1">
      <alignment horizontal="center" vertical="center"/>
    </xf>
    <xf numFmtId="179" fontId="25" fillId="0" borderId="0" xfId="0" applyNumberFormat="1" applyFont="1" applyAlignment="1">
      <alignment horizontal="center" vertical="center"/>
    </xf>
    <xf numFmtId="2" fontId="19" fillId="0" borderId="16" xfId="0" applyNumberFormat="1" applyFont="1" applyBorder="1" applyAlignment="1" applyProtection="1">
      <alignment horizontal="left" vertical="center"/>
      <protection locked="0"/>
    </xf>
    <xf numFmtId="182" fontId="19" fillId="0" borderId="8" xfId="0" quotePrefix="1" applyNumberFormat="1" applyFont="1" applyBorder="1" applyAlignment="1" applyProtection="1">
      <alignment horizontal="center" vertical="center"/>
      <protection locked="0"/>
    </xf>
    <xf numFmtId="184" fontId="19" fillId="0" borderId="8" xfId="0" quotePrefix="1" applyNumberFormat="1" applyFont="1" applyBorder="1" applyAlignment="1" applyProtection="1">
      <alignment horizontal="center" vertical="center"/>
      <protection locked="0"/>
    </xf>
    <xf numFmtId="182" fontId="19" fillId="3" borderId="8" xfId="0" applyNumberFormat="1" applyFont="1" applyFill="1" applyBorder="1" applyAlignment="1" applyProtection="1">
      <alignment horizontal="center" vertical="center"/>
      <protection locked="0"/>
    </xf>
    <xf numFmtId="183" fontId="19" fillId="0" borderId="8" xfId="0" applyNumberFormat="1" applyFont="1" applyBorder="1" applyAlignment="1">
      <alignment horizontal="center" vertical="center" wrapText="1"/>
    </xf>
    <xf numFmtId="182" fontId="19" fillId="7" borderId="8" xfId="0" quotePrefix="1" applyNumberFormat="1" applyFont="1" applyFill="1" applyBorder="1" applyAlignment="1" applyProtection="1">
      <alignment horizontal="center" vertical="center"/>
      <protection locked="0"/>
    </xf>
    <xf numFmtId="182" fontId="19" fillId="0" borderId="8" xfId="0" applyNumberFormat="1" applyFont="1" applyBorder="1" applyAlignment="1">
      <alignment horizontal="center" vertical="center"/>
    </xf>
    <xf numFmtId="0" fontId="20" fillId="0" borderId="0" xfId="0" applyFont="1" applyAlignment="1" applyProtection="1">
      <alignment horizontal="center" vertical="center"/>
      <protection locked="0"/>
    </xf>
    <xf numFmtId="182" fontId="18" fillId="11" borderId="8" xfId="0" applyNumberFormat="1" applyFont="1" applyFill="1" applyBorder="1" applyAlignment="1" applyProtection="1">
      <alignment horizontal="center" vertical="center"/>
      <protection locked="0"/>
    </xf>
    <xf numFmtId="179" fontId="18" fillId="11" borderId="8" xfId="0" applyNumberFormat="1" applyFont="1" applyFill="1" applyBorder="1" applyAlignment="1" applyProtection="1">
      <alignment horizontal="center" vertical="center"/>
      <protection locked="0"/>
    </xf>
    <xf numFmtId="177" fontId="18" fillId="11" borderId="8" xfId="0" applyNumberFormat="1" applyFont="1" applyFill="1" applyBorder="1" applyAlignment="1">
      <alignment horizontal="center" vertical="center"/>
    </xf>
    <xf numFmtId="183" fontId="18" fillId="11" borderId="8" xfId="0" applyNumberFormat="1" applyFont="1" applyFill="1" applyBorder="1" applyAlignment="1">
      <alignment horizontal="center" vertical="center"/>
    </xf>
    <xf numFmtId="179" fontId="19" fillId="0" borderId="17" xfId="0" applyNumberFormat="1" applyFont="1" applyBorder="1" applyAlignment="1" applyProtection="1">
      <alignment horizontal="center" vertical="center"/>
      <protection locked="0"/>
    </xf>
    <xf numFmtId="179" fontId="19" fillId="0" borderId="18" xfId="0" applyNumberFormat="1" applyFont="1" applyBorder="1" applyAlignment="1" applyProtection="1">
      <alignment horizontal="center" vertical="center"/>
      <protection locked="0"/>
    </xf>
    <xf numFmtId="182" fontId="19" fillId="0" borderId="11" xfId="0" applyNumberFormat="1" applyFont="1" applyBorder="1" applyAlignment="1" applyProtection="1">
      <alignment horizontal="center" vertical="center"/>
      <protection locked="0"/>
    </xf>
    <xf numFmtId="179" fontId="19" fillId="0" borderId="11" xfId="0" applyNumberFormat="1" applyFont="1" applyBorder="1" applyAlignment="1" applyProtection="1">
      <alignment horizontal="center" vertical="center"/>
      <protection locked="0"/>
    </xf>
    <xf numFmtId="0" fontId="19" fillId="11" borderId="0" xfId="0" applyFont="1" applyFill="1" applyAlignment="1" applyProtection="1">
      <alignment horizontal="center" vertical="center"/>
      <protection locked="0"/>
    </xf>
    <xf numFmtId="183" fontId="2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 applyProtection="1">
      <alignment horizontal="left" vertical="center" wrapText="1"/>
      <protection locked="0"/>
    </xf>
    <xf numFmtId="179" fontId="26" fillId="0" borderId="13" xfId="0" applyNumberFormat="1" applyFont="1" applyBorder="1" applyAlignment="1">
      <alignment horizontal="center" vertical="center"/>
    </xf>
    <xf numFmtId="180" fontId="26" fillId="0" borderId="14" xfId="0" applyNumberFormat="1" applyFont="1" applyBorder="1" applyAlignment="1">
      <alignment horizontal="center" vertical="center"/>
    </xf>
    <xf numFmtId="0" fontId="21" fillId="0" borderId="8" xfId="0" applyFont="1" applyBorder="1" applyAlignment="1" applyProtection="1">
      <alignment horizontal="center" vertical="center" wrapText="1"/>
      <protection locked="0"/>
    </xf>
    <xf numFmtId="179" fontId="26" fillId="0" borderId="14" xfId="0" applyNumberFormat="1" applyFont="1" applyBorder="1" applyAlignment="1">
      <alignment horizontal="center" vertical="center"/>
    </xf>
    <xf numFmtId="0" fontId="19" fillId="11" borderId="8" xfId="0" applyFont="1" applyFill="1" applyBorder="1" applyAlignment="1" applyProtection="1">
      <alignment horizontal="left" vertical="center"/>
      <protection locked="0"/>
    </xf>
    <xf numFmtId="179" fontId="26" fillId="0" borderId="12" xfId="0" applyNumberFormat="1" applyFont="1" applyBorder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 vertical="center"/>
    </xf>
    <xf numFmtId="0" fontId="20" fillId="0" borderId="8" xfId="0" applyFont="1" applyBorder="1" applyAlignment="1" applyProtection="1">
      <alignment horizontal="center" vertical="center"/>
      <protection locked="0"/>
    </xf>
    <xf numFmtId="179" fontId="25" fillId="0" borderId="19" xfId="0" applyNumberFormat="1" applyFont="1" applyBorder="1" applyAlignment="1">
      <alignment horizontal="center" vertical="center"/>
    </xf>
    <xf numFmtId="180" fontId="25" fillId="0" borderId="20" xfId="0" applyNumberFormat="1" applyFont="1" applyBorder="1" applyAlignment="1">
      <alignment horizontal="center" vertical="center"/>
    </xf>
    <xf numFmtId="182" fontId="19" fillId="13" borderId="8" xfId="0" applyNumberFormat="1" applyFont="1" applyFill="1" applyBorder="1" applyAlignment="1" applyProtection="1">
      <alignment horizontal="center" vertical="center"/>
      <protection locked="0"/>
    </xf>
    <xf numFmtId="179" fontId="19" fillId="13" borderId="8" xfId="0" applyNumberFormat="1" applyFont="1" applyFill="1" applyBorder="1" applyAlignment="1" applyProtection="1">
      <alignment horizontal="center" vertical="center"/>
      <protection locked="0"/>
    </xf>
    <xf numFmtId="183" fontId="19" fillId="13" borderId="8" xfId="0" applyNumberFormat="1" applyFont="1" applyFill="1" applyBorder="1" applyAlignment="1">
      <alignment horizontal="center" vertical="center"/>
    </xf>
    <xf numFmtId="0" fontId="24" fillId="0" borderId="8" xfId="0" applyFont="1" applyBorder="1" applyAlignment="1" applyProtection="1">
      <alignment horizontal="center" vertical="center"/>
      <protection locked="0"/>
    </xf>
    <xf numFmtId="0" fontId="24" fillId="0" borderId="8" xfId="0" applyFont="1" applyBorder="1" applyAlignment="1" applyProtection="1">
      <alignment horizontal="left" vertical="center" wrapText="1"/>
      <protection locked="0"/>
    </xf>
    <xf numFmtId="182" fontId="24" fillId="0" borderId="8" xfId="0" applyNumberFormat="1" applyFont="1" applyBorder="1" applyAlignment="1" applyProtection="1">
      <alignment horizontal="center" vertical="center"/>
      <protection locked="0"/>
    </xf>
    <xf numFmtId="179" fontId="24" fillId="0" borderId="8" xfId="0" applyNumberFormat="1" applyFont="1" applyBorder="1" applyAlignment="1" applyProtection="1">
      <alignment horizontal="center" vertical="center"/>
      <protection locked="0"/>
    </xf>
    <xf numFmtId="177" fontId="24" fillId="0" borderId="8" xfId="0" applyNumberFormat="1" applyFont="1" applyBorder="1" applyAlignment="1">
      <alignment horizontal="center" vertical="center"/>
    </xf>
    <xf numFmtId="0" fontId="24" fillId="0" borderId="7" xfId="0" applyFont="1" applyBorder="1" applyAlignment="1" applyProtection="1">
      <alignment horizontal="center" vertical="center"/>
      <protection locked="0"/>
    </xf>
    <xf numFmtId="0" fontId="24" fillId="0" borderId="7" xfId="0" applyFont="1" applyBorder="1" applyAlignment="1" applyProtection="1">
      <alignment horizontal="left" vertical="center" wrapText="1"/>
      <protection locked="0"/>
    </xf>
    <xf numFmtId="182" fontId="24" fillId="0" borderId="7" xfId="0" applyNumberFormat="1" applyFont="1" applyBorder="1" applyAlignment="1" applyProtection="1">
      <alignment horizontal="center" vertical="center"/>
      <protection locked="0"/>
    </xf>
    <xf numFmtId="179" fontId="24" fillId="0" borderId="7" xfId="0" applyNumberFormat="1" applyFont="1" applyBorder="1" applyAlignment="1" applyProtection="1">
      <alignment horizontal="center" vertical="center"/>
      <protection locked="0"/>
    </xf>
    <xf numFmtId="177" fontId="24" fillId="0" borderId="7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14" borderId="25" xfId="0" applyFont="1" applyFill="1" applyBorder="1" applyAlignment="1">
      <alignment horizontal="center" vertical="center"/>
    </xf>
    <xf numFmtId="0" fontId="3" fillId="15" borderId="25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 applyProtection="1">
      <alignment horizontal="left" vertical="center" wrapText="1"/>
      <protection locked="0"/>
    </xf>
    <xf numFmtId="0" fontId="3" fillId="0" borderId="21" xfId="0" applyFont="1" applyBorder="1" applyAlignment="1">
      <alignment horizontal="center" vertical="center" wrapText="1" shrinkToFit="1"/>
    </xf>
    <xf numFmtId="0" fontId="3" fillId="0" borderId="21" xfId="0" applyFont="1" applyBorder="1" applyAlignment="1">
      <alignment horizontal="center" vertical="center" shrinkToFit="1"/>
    </xf>
    <xf numFmtId="176" fontId="3" fillId="0" borderId="21" xfId="0" applyNumberFormat="1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176" fontId="3" fillId="0" borderId="21" xfId="0" quotePrefix="1" applyNumberFormat="1" applyFont="1" applyBorder="1" applyAlignment="1" applyProtection="1">
      <alignment horizontal="center" vertical="center" wrapText="1"/>
      <protection locked="0"/>
    </xf>
    <xf numFmtId="0" fontId="3" fillId="7" borderId="21" xfId="0" applyFont="1" applyFill="1" applyBorder="1" applyAlignment="1">
      <alignment horizontal="center" vertical="center" shrinkToFit="1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3" fillId="14" borderId="21" xfId="0" applyFont="1" applyFill="1" applyBorder="1" applyAlignment="1">
      <alignment horizontal="center" vertical="center" wrapText="1"/>
    </xf>
    <xf numFmtId="0" fontId="3" fillId="15" borderId="21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 applyProtection="1">
      <alignment horizontal="left" vertical="center" wrapText="1"/>
      <protection locked="0"/>
    </xf>
    <xf numFmtId="0" fontId="3" fillId="5" borderId="21" xfId="0" applyFont="1" applyFill="1" applyBorder="1" applyAlignment="1">
      <alignment horizontal="center" vertical="center" wrapText="1" shrinkToFit="1"/>
    </xf>
    <xf numFmtId="0" fontId="3" fillId="5" borderId="21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 applyProtection="1">
      <alignment horizontal="center" vertical="center" wrapText="1"/>
      <protection locked="0"/>
    </xf>
    <xf numFmtId="0" fontId="3" fillId="7" borderId="21" xfId="0" applyFont="1" applyFill="1" applyBorder="1" applyAlignment="1">
      <alignment horizontal="center" vertical="center" wrapText="1" shrinkToFit="1"/>
    </xf>
    <xf numFmtId="0" fontId="3" fillId="15" borderId="26" xfId="0" applyFont="1" applyFill="1" applyBorder="1" applyAlignment="1">
      <alignment horizontal="center" vertical="center" wrapText="1"/>
    </xf>
    <xf numFmtId="0" fontId="3" fillId="15" borderId="6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 shrinkToFit="1"/>
    </xf>
    <xf numFmtId="0" fontId="12" fillId="14" borderId="21" xfId="0" applyFont="1" applyFill="1" applyBorder="1" applyAlignment="1">
      <alignment horizontal="center" vertical="center" wrapText="1"/>
    </xf>
    <xf numFmtId="0" fontId="12" fillId="15" borderId="2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77" fontId="3" fillId="0" borderId="21" xfId="0" applyNumberFormat="1" applyFont="1" applyBorder="1" applyAlignment="1">
      <alignment horizontal="center" vertical="center" shrinkToFit="1"/>
    </xf>
    <xf numFmtId="177" fontId="3" fillId="0" borderId="21" xfId="0" applyNumberFormat="1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>
      <alignment horizontal="left" vertical="center"/>
    </xf>
    <xf numFmtId="0" fontId="3" fillId="0" borderId="21" xfId="0" quotePrefix="1" applyFont="1" applyBorder="1" applyAlignment="1">
      <alignment horizontal="center" vertical="center" wrapText="1" shrinkToFit="1"/>
    </xf>
    <xf numFmtId="0" fontId="8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3" fillId="14" borderId="26" xfId="0" applyNumberFormat="1" applyFont="1" applyFill="1" applyBorder="1" applyAlignment="1" applyProtection="1">
      <alignment horizontal="center" vertical="center"/>
      <protection locked="0"/>
    </xf>
    <xf numFmtId="176" fontId="3" fillId="15" borderId="26" xfId="0" applyNumberFormat="1" applyFont="1" applyFill="1" applyBorder="1" applyAlignment="1" applyProtection="1">
      <alignment horizontal="center" vertical="center" wrapText="1"/>
      <protection locked="0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21" xfId="0" quotePrefix="1" applyFont="1" applyBorder="1" applyAlignment="1">
      <alignment horizontal="center" vertical="center" shrinkToFit="1"/>
    </xf>
    <xf numFmtId="0" fontId="30" fillId="0" borderId="0" xfId="0" applyFont="1">
      <alignment vertical="center"/>
    </xf>
    <xf numFmtId="0" fontId="7" fillId="14" borderId="26" xfId="0" applyFont="1" applyFill="1" applyBorder="1" applyAlignment="1">
      <alignment horizontal="center" vertical="center" wrapText="1"/>
    </xf>
    <xf numFmtId="0" fontId="7" fillId="14" borderId="26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2" fillId="7" borderId="0" xfId="0" applyFont="1" applyFill="1">
      <alignment vertical="center"/>
    </xf>
    <xf numFmtId="0" fontId="6" fillId="7" borderId="0" xfId="0" applyFont="1" applyFill="1">
      <alignment vertical="center"/>
    </xf>
    <xf numFmtId="0" fontId="7" fillId="14" borderId="26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 shrinkToFit="1"/>
    </xf>
    <xf numFmtId="0" fontId="3" fillId="0" borderId="28" xfId="0" applyFont="1" applyFill="1" applyBorder="1" applyAlignment="1">
      <alignment horizontal="left" vertical="center" wrapText="1"/>
    </xf>
    <xf numFmtId="0" fontId="3" fillId="0" borderId="28" xfId="0" applyFont="1" applyFill="1" applyBorder="1" applyAlignment="1" applyProtection="1">
      <alignment horizontal="center" vertical="center" wrapText="1"/>
      <protection locked="0"/>
    </xf>
    <xf numFmtId="0" fontId="30" fillId="0" borderId="28" xfId="0" applyFont="1" applyFill="1" applyBorder="1">
      <alignment vertical="center"/>
    </xf>
    <xf numFmtId="0" fontId="30" fillId="0" borderId="30" xfId="0" applyFont="1" applyFill="1" applyBorder="1">
      <alignment vertical="center"/>
    </xf>
    <xf numFmtId="0" fontId="3" fillId="0" borderId="28" xfId="0" quotePrefix="1" applyFont="1" applyFill="1" applyBorder="1" applyAlignment="1">
      <alignment horizontal="center" vertical="center" shrinkToFit="1"/>
    </xf>
    <xf numFmtId="0" fontId="3" fillId="0" borderId="31" xfId="0" applyFont="1" applyFill="1" applyBorder="1" applyAlignment="1">
      <alignment horizontal="center" vertical="center" wrapText="1" shrinkToFit="1"/>
    </xf>
    <xf numFmtId="0" fontId="7" fillId="14" borderId="2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14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7" fillId="14" borderId="26" xfId="0" applyFont="1" applyFill="1" applyBorder="1" applyAlignment="1">
      <alignment horizontal="center" vertical="center"/>
    </xf>
    <xf numFmtId="0" fontId="7" fillId="14" borderId="26" xfId="0" applyFont="1" applyFill="1" applyBorder="1" applyAlignment="1">
      <alignment horizontal="center" vertical="center" wrapText="1"/>
    </xf>
    <xf numFmtId="0" fontId="7" fillId="14" borderId="27" xfId="0" applyFont="1" applyFill="1" applyBorder="1" applyAlignment="1">
      <alignment horizontal="center" vertical="center" wrapText="1"/>
    </xf>
    <xf numFmtId="0" fontId="7" fillId="14" borderId="22" xfId="0" applyFont="1" applyFill="1" applyBorder="1" applyAlignment="1">
      <alignment horizontal="center" vertical="center" wrapText="1"/>
    </xf>
    <xf numFmtId="0" fontId="7" fillId="14" borderId="23" xfId="0" applyFont="1" applyFill="1" applyBorder="1" applyAlignment="1">
      <alignment horizontal="center" vertical="center" wrapText="1"/>
    </xf>
    <xf numFmtId="0" fontId="7" fillId="14" borderId="22" xfId="0" applyFont="1" applyFill="1" applyBorder="1" applyAlignment="1">
      <alignment horizontal="center" vertical="center"/>
    </xf>
    <xf numFmtId="0" fontId="7" fillId="14" borderId="23" xfId="0" applyFont="1" applyFill="1" applyBorder="1" applyAlignment="1">
      <alignment horizontal="center" vertical="center"/>
    </xf>
    <xf numFmtId="0" fontId="7" fillId="14" borderId="24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 wrapText="1"/>
    </xf>
    <xf numFmtId="0" fontId="7" fillId="14" borderId="21" xfId="0" applyFont="1" applyFill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textRotation="90"/>
    </xf>
    <xf numFmtId="0" fontId="31" fillId="0" borderId="6" xfId="0" applyFont="1" applyBorder="1" applyAlignment="1">
      <alignment horizontal="center" vertical="center" textRotation="90"/>
    </xf>
    <xf numFmtId="179" fontId="16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 applyProtection="1">
      <alignment horizontal="left" vertical="center"/>
      <protection locked="0"/>
    </xf>
    <xf numFmtId="2" fontId="19" fillId="0" borderId="8" xfId="0" applyNumberFormat="1" applyFont="1" applyBorder="1" applyAlignment="1" applyProtection="1">
      <alignment horizontal="left" vertical="center"/>
      <protection locked="0"/>
    </xf>
    <xf numFmtId="0" fontId="16" fillId="9" borderId="1" xfId="0" applyFont="1" applyFill="1" applyBorder="1" applyAlignment="1" applyProtection="1">
      <alignment horizontal="center" vertical="center" wrapText="1"/>
      <protection locked="0"/>
    </xf>
    <xf numFmtId="0" fontId="16" fillId="9" borderId="4" xfId="0" applyFont="1" applyFill="1" applyBorder="1" applyAlignment="1" applyProtection="1">
      <alignment horizontal="center" vertical="center" wrapText="1"/>
      <protection locked="0"/>
    </xf>
    <xf numFmtId="178" fontId="18" fillId="9" borderId="1" xfId="0" applyNumberFormat="1" applyFont="1" applyFill="1" applyBorder="1" applyAlignment="1" applyProtection="1">
      <alignment horizontal="center" vertical="center" wrapText="1"/>
      <protection locked="0"/>
    </xf>
    <xf numFmtId="179" fontId="18" fillId="9" borderId="1" xfId="0" applyNumberFormat="1" applyFont="1" applyFill="1" applyBorder="1" applyAlignment="1" applyProtection="1">
      <alignment horizontal="center" vertical="center" wrapText="1"/>
      <protection locked="0"/>
    </xf>
    <xf numFmtId="179" fontId="18" fillId="9" borderId="4" xfId="0" applyNumberFormat="1" applyFont="1" applyFill="1" applyBorder="1" applyAlignment="1" applyProtection="1">
      <alignment horizontal="center" vertical="center" wrapText="1"/>
      <protection locked="0"/>
    </xf>
    <xf numFmtId="179" fontId="16" fillId="6" borderId="4" xfId="0" applyNumberFormat="1" applyFont="1" applyFill="1" applyBorder="1" applyAlignment="1" applyProtection="1">
      <alignment horizontal="center" vertical="center" wrapText="1"/>
      <protection locked="0"/>
    </xf>
    <xf numFmtId="179" fontId="16" fillId="6" borderId="6" xfId="0" applyNumberFormat="1" applyFont="1" applyFill="1" applyBorder="1" applyAlignment="1" applyProtection="1">
      <alignment horizontal="center" vertical="center" wrapText="1"/>
      <protection locked="0"/>
    </xf>
    <xf numFmtId="0" fontId="16" fillId="10" borderId="1" xfId="0" applyFont="1" applyFill="1" applyBorder="1" applyAlignment="1" applyProtection="1">
      <alignment horizontal="center" vertical="center" wrapText="1"/>
      <protection locked="0"/>
    </xf>
    <xf numFmtId="0" fontId="16" fillId="10" borderId="4" xfId="0" applyFont="1" applyFill="1" applyBorder="1" applyAlignment="1" applyProtection="1">
      <alignment horizontal="center" vertical="center" wrapText="1"/>
      <protection locked="0"/>
    </xf>
    <xf numFmtId="0" fontId="17" fillId="10" borderId="1" xfId="0" applyFont="1" applyFill="1" applyBorder="1" applyAlignment="1" applyProtection="1">
      <alignment horizontal="center" vertical="center" wrapText="1"/>
      <protection locked="0"/>
    </xf>
    <xf numFmtId="0" fontId="7" fillId="2" borderId="26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3" fillId="15" borderId="26" xfId="0" applyFont="1" applyFill="1" applyBorder="1" applyAlignment="1">
      <alignment horizontal="center" vertical="center" wrapText="1"/>
    </xf>
    <xf numFmtId="0" fontId="3" fillId="15" borderId="6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5">
    <cellStyle name="표준" xfId="0" builtinId="0"/>
    <cellStyle name="표준 2" xfId="3" xr:uid="{00000000-0005-0000-0000-000001000000}"/>
    <cellStyle name="표준 2 3" xfId="4" xr:uid="{00000000-0005-0000-0000-000002000000}"/>
    <cellStyle name="표준 4 47" xfId="1" xr:uid="{00000000-0005-0000-0000-000003000000}"/>
    <cellStyle name="표준 5 18" xfId="2" xr:uid="{00000000-0005-0000-0000-000004000000}"/>
  </cellStyles>
  <dxfs count="0"/>
  <tableStyles count="0" defaultTableStyle="TableStyleMedium2" defaultPivotStyle="PivotStyleLight16"/>
  <colors>
    <mruColors>
      <color rgb="FF00FFFF"/>
      <color rgb="FFFFCCFF"/>
      <color rgb="FF92CDDC"/>
      <color rgb="FFFF7C8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54868;&#49440;\D\project\pc0840\SPEC\BM-PC084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&#48148;&#53461;%20&#54868;&#47732;\List%20&#49457;&#44284;&#54408;%20&#51089;&#50629;\Instrument%20list%20&#49457;&#44284;&#54408;%20&#51089;&#50629;\NVTP-Instrument%20list-&#53685;&#54633;(9)DATA%20SHE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PROJECT\01.%20Algeria\02.%20Naama\01.%20Elec\01.%20POWER%20CABLE\(ANAA)%20Power%20Cable%20Schedule_Total_091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4221;&#46041;\NC-41\&#44060;&#48156;program\fdn_bm_pr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824;&#51061;\NC41\&#44060;&#48156;program\fdn_bm_pr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ork\180324\CCW%20IWD%20&#51089;&#49457;\ANAA%20I&amp;C%20Cable%20Schedule_SCT%20Format%202018%2001%2019_&#53685;&#54633;_CCW%20&#51089;&#50629;&#51473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8\Documents%20and%20Settings\Owner\&#48148;&#53461;%20&#54868;&#47732;\density&amp;viscosity_calculato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8\BrineDis\designscheme\neue%20calculators\dischargecalculator-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견적기준"/>
      <sheetName val="INDEX"/>
      <sheetName val="INSTR"/>
      <sheetName val="PLC"/>
      <sheetName val="CABLE"/>
      <sheetName val="TRAY"/>
      <sheetName val="JB"/>
      <sheetName val="PIPE"/>
      <sheetName val="TUBE"/>
      <sheetName val="MISC"/>
      <sheetName val="설계기준(내부)"/>
      <sheetName val="eq_data"/>
      <sheetName val="PipWT"/>
      <sheetName val="단면검토"/>
      <sheetName val="설계조건"/>
      <sheetName val="Piping Design Data"/>
      <sheetName val="TYPE-B 평균H"/>
      <sheetName val="직원동원SCH"/>
      <sheetName val="Sheet1"/>
      <sheetName val="MACRO(전선관)"/>
      <sheetName val="Sheet3"/>
      <sheetName val="look-up"/>
      <sheetName val="Lookup"/>
      <sheetName val="BM-PC0840"/>
      <sheetName val="DATA"/>
      <sheetName val="Hoja3"/>
      <sheetName val="Hoja2"/>
      <sheetName val="Table 1"/>
      <sheetName val="IN"/>
      <sheetName val="Total"/>
      <sheetName val="현황CODE"/>
      <sheetName val="손익현황"/>
      <sheetName val="SPEC"/>
      <sheetName val="RFP002"/>
      <sheetName val="Cover sheet"/>
      <sheetName val="BQ List"/>
      <sheetName val="SUM"/>
      <sheetName val="Basis"/>
      <sheetName val="PEL"/>
      <sheetName val="IT-BAT"/>
      <sheetName val="Units"/>
      <sheetName val="Instructions"/>
      <sheetName val="steam table"/>
      <sheetName val="ISOP"/>
      <sheetName val="purch-summ-data"/>
      <sheetName val="가상data"/>
      <sheetName val="Piping_Design_Data"/>
      <sheetName val="TYPE-B_평균H"/>
      <sheetName val="Table_1"/>
      <sheetName val="Piping Cost"/>
      <sheetName val="F-302"/>
      <sheetName val="new급여T(4을-운전)"/>
      <sheetName val="정부노임단가"/>
      <sheetName val="PIPE-SUMMARY"/>
      <sheetName val="PIPE-LINK"/>
      <sheetName val="PBS"/>
      <sheetName val="HALOBUTYL"/>
      <sheetName val="h-013211-2"/>
      <sheetName val="steam_table"/>
      <sheetName val="산근"/>
      <sheetName val="PSIZE"/>
      <sheetName val="공사비 내역 (가)"/>
      <sheetName val="Tipo Terzi"/>
      <sheetName val="P110"/>
      <sheetName val="CONTENTS"/>
      <sheetName val="DSCCI_Print"/>
      <sheetName val="CBE-VSL"/>
      <sheetName val="Testing"/>
      <sheetName val="Pag. 1"/>
      <sheetName val="할증 "/>
      <sheetName val="HRD"/>
      <sheetName val="Macro1"/>
      <sheetName val="#4-1표지"/>
      <sheetName val="Code_Magics"/>
      <sheetName val="Code"/>
      <sheetName val="영업2"/>
      <sheetName val="영업3"/>
      <sheetName val="견적 집계"/>
      <sheetName val="간접비내역-1"/>
      <sheetName val="집계표"/>
      <sheetName val="CALCULATION"/>
      <sheetName val="Anal-1 (Nox-SO2-CO)"/>
      <sheetName val="piping"/>
      <sheetName val="DATA LISTS"/>
      <sheetName val="DCS"/>
      <sheetName val="ANALYSER"/>
      <sheetName val="PROCURE"/>
      <sheetName val="PRICE LIST"/>
      <sheetName val="TABLE2-2 OSBL-(SITE PREP)"/>
      <sheetName val="TOTAL PIPING"/>
      <sheetName val="Bend_fact "/>
      <sheetName val="갑지"/>
      <sheetName val="15010"/>
      <sheetName val="24"/>
      <sheetName val="CPS"/>
      <sheetName val="boq"/>
      <sheetName val="PAD-F"/>
      <sheetName val="SHL"/>
      <sheetName val="ISO"/>
      <sheetName val="Daten"/>
      <sheetName val="Cover_sheet"/>
      <sheetName val="BQ_List"/>
      <sheetName val="SUMMARY"/>
      <sheetName val="TABLE"/>
      <sheetName val="갑지(추정)"/>
      <sheetName val="Graph (LGEN)"/>
      <sheetName val="out_prog"/>
      <sheetName val="선적schedule (2)"/>
      <sheetName val="ld-sd-dt"/>
      <sheetName val="highlight"/>
      <sheetName val="ld-sd"/>
      <sheetName val="Process Piping"/>
      <sheetName val="WORK-VOL"/>
      <sheetName val="Insts"/>
      <sheetName val="내역"/>
      <sheetName val="KP1590_E"/>
      <sheetName val="갑지1"/>
      <sheetName val="Ex-Rate"/>
      <sheetName val="TTL"/>
      <sheetName val="K1"/>
      <sheetName val="OSBL-TOTAL (SEA WATER)"/>
      <sheetName val="상반기손익차2총괄"/>
      <sheetName val="UG분석표"/>
      <sheetName val="95삼성급(본사)"/>
      <sheetName val="Connections"/>
      <sheetName val="한강운반비"/>
      <sheetName val="세금자료"/>
      <sheetName val="개시대사 (2)"/>
      <sheetName val="OSBL-TOTAL (CIVIL WORK)"/>
      <sheetName val="MAN-STD"/>
      <sheetName val="Step"/>
      <sheetName val="E_Rate PM"/>
      <sheetName val="TIE-INS"/>
      <sheetName val="제출계산서"/>
      <sheetName val="SOURCE"/>
      <sheetName val="Piping_Design_Data1"/>
      <sheetName val="TYPE-B_평균H1"/>
      <sheetName val="Table_11"/>
      <sheetName val="Piping_Cost"/>
      <sheetName val="Piping_Design_Data2"/>
      <sheetName val="TYPE-B_평균H2"/>
      <sheetName val="Table_12"/>
      <sheetName val="BQ_List1"/>
      <sheetName val="steam_table1"/>
      <sheetName val="Piping_Cost1"/>
      <sheetName val="Cover_sheet1"/>
      <sheetName val="TABLE2-1_ISBL-(SlTE_PREP)"/>
      <sheetName val="TABLE2_1_ISBL_(Soil_Invest)"/>
      <sheetName val="TABLE2-2_OSBL(GENERAL-CIVIL)"/>
      <sheetName val="TABLE2-2_OSBL-(SITE_PREP)"/>
      <sheetName val="#REF"/>
      <sheetName val="INST LIST"/>
      <sheetName val="Sheeta"/>
      <sheetName val="Units+rev"/>
      <sheetName val="B31.1"/>
      <sheetName val="DESIGN(77C-102A)-2"/>
      <sheetName val="PRESSURE GAUGE"/>
      <sheetName val="SHUTDOWN VALVE"/>
      <sheetName val="조건표"/>
      <sheetName val="공사비_내역_(가)"/>
      <sheetName val="Tipo_Terzi"/>
      <sheetName val="DATA_LISTS"/>
      <sheetName val="입력값1"/>
      <sheetName val="PROCESS"/>
      <sheetName val="내역서"/>
      <sheetName val="DRUM"/>
      <sheetName val="code data"/>
      <sheetName val="4002"/>
      <sheetName val="표지"/>
      <sheetName val="BQMPALOC"/>
      <sheetName val="PumpSpec"/>
      <sheetName val="footing"/>
      <sheetName val="97 사업추정(WEKI)"/>
      <sheetName val="기준"/>
      <sheetName val="OSBL-TOTAL (OTHER WORK)"/>
      <sheetName val="ELECTRICAL"/>
      <sheetName val="대비표"/>
      <sheetName val=" 견적서"/>
      <sheetName val="터널조도"/>
      <sheetName val="견적의뢰"/>
      <sheetName val="B"/>
      <sheetName val="CVA"/>
      <sheetName val="MEXICO-C"/>
      <sheetName val="TRICONIX"/>
      <sheetName val="COVER-P"/>
      <sheetName val="CABLE DATA"/>
      <sheetName val="Sheet5"/>
      <sheetName val="Engrg Est"/>
      <sheetName val="비교표"/>
      <sheetName val="BAY별 원가표준"/>
      <sheetName val="기본자료(실행)"/>
      <sheetName val="3cx95sq"/>
      <sheetName val="자재코드"/>
      <sheetName val="ST-CST1"/>
      <sheetName val="BQ"/>
      <sheetName val="000000"/>
      <sheetName val="Default"/>
      <sheetName val="Material_Group"/>
      <sheetName val="PTrating all"/>
      <sheetName val="WE'T"/>
      <sheetName val="수입"/>
      <sheetName val="41-42-1"/>
      <sheetName val="BASEINPUT"/>
      <sheetName val="MOTOR"/>
      <sheetName val="cbe-1"/>
      <sheetName val="Submission-Application"/>
      <sheetName val="E01"/>
      <sheetName val="MVE02"/>
      <sheetName val="VL"/>
      <sheetName val="TN"/>
      <sheetName val="ND"/>
      <sheetName val="배명(단가)"/>
      <sheetName val="DATE"/>
      <sheetName val="Pipe ID"/>
      <sheetName val="notifier"/>
      <sheetName val="OD5000"/>
      <sheetName val="Panel제작명세서"/>
      <sheetName val="소상 &quot;1&quot;"/>
      <sheetName val="list"/>
      <sheetName val=""/>
      <sheetName val="동결보온"/>
      <sheetName val="Substn, Pdt Trans, Pack, Others"/>
      <sheetName val="attach(2)"/>
      <sheetName val="소야공정계획표"/>
      <sheetName val="BQLIST"/>
      <sheetName val=" "/>
      <sheetName val="1을"/>
      <sheetName val="#3_일위대가목록"/>
      <sheetName val="연돌일위집계"/>
      <sheetName val="장비"/>
      <sheetName val="노무"/>
      <sheetName val="Line Details"/>
      <sheetName val="Two Phase"/>
      <sheetName val="CYP-O.F"/>
      <sheetName val="ABB"/>
      <sheetName val="노임9월"/>
      <sheetName val="Y-WORK"/>
      <sheetName val="적용환율"/>
      <sheetName val="Taux"/>
      <sheetName val="SCHEDULE"/>
      <sheetName val="Factor"/>
      <sheetName val="당초"/>
      <sheetName val="CAT_5"/>
      <sheetName val="costing_Misc"/>
      <sheetName val="Summary Sheets"/>
      <sheetName val="HVAC"/>
      <sheetName val="DB@Acess"/>
      <sheetName val="Civil"/>
      <sheetName val="costing_Press"/>
      <sheetName val="costing_ESDV"/>
      <sheetName val=" 갑지"/>
      <sheetName val="costing_MOV"/>
      <sheetName val="REDUCER"/>
      <sheetName val="costing_CV"/>
      <sheetName val="Tables"/>
      <sheetName val="合成単価作成表-BLDG"/>
      <sheetName val="POWER"/>
      <sheetName val="w't table"/>
      <sheetName val="COA-17"/>
      <sheetName val="S N"/>
      <sheetName val="costing_FE"/>
      <sheetName val="C-18"/>
      <sheetName val="금액내역서"/>
      <sheetName val="LABTOTAL"/>
      <sheetName val="95신규호표"/>
      <sheetName val="VS배관내역서"/>
      <sheetName val="작성기준"/>
      <sheetName val="Macro"/>
      <sheetName val="노임단가"/>
      <sheetName val="물량표"/>
      <sheetName val="Sheet2"/>
      <sheetName val="TYPE-B_평균H3"/>
      <sheetName val="Piping_Design_Data3"/>
      <sheetName val="Table_13"/>
      <sheetName val="BQ_List2"/>
      <sheetName val="steam_table2"/>
      <sheetName val="Piping_Cost2"/>
      <sheetName val="Cover_sheet2"/>
      <sheetName val="공사비_내역_(가)1"/>
      <sheetName val="Tipo_Terzi1"/>
      <sheetName val="할증_"/>
      <sheetName val="PRICE_LIST"/>
      <sheetName val="TABLE2-2_OSBL-(SITE_PREP)1"/>
      <sheetName val="TOTAL_PIPING"/>
      <sheetName val="Bend_fact_"/>
      <sheetName val="DATA_LISTS1"/>
      <sheetName val="Graph_(LGEN)"/>
      <sheetName val="선적schedule_(2)"/>
      <sheetName val="Pag__1"/>
      <sheetName val="견적_집계"/>
      <sheetName val="Anal-1_(Nox-SO2-CO)"/>
      <sheetName val="OSBL-TOTAL_(SEA_WATER)"/>
      <sheetName val="개시대사_(2)"/>
      <sheetName val="E_Rate_PM"/>
      <sheetName val="OSBL-TOTAL_(CIVIL_WORK)"/>
      <sheetName val="PRESSURE_GAUGE"/>
      <sheetName val="SHUTDOWN_VALVE"/>
      <sheetName val="B31_1"/>
      <sheetName val="Process_Piping"/>
      <sheetName val="code_data"/>
      <sheetName val="97_사업추정(WEKI)"/>
      <sheetName val="OSBL-TOTAL_(OTHER_WORK)"/>
      <sheetName val="Pipe_ID"/>
      <sheetName val="PTrating_all"/>
      <sheetName val="INST_LIST"/>
      <sheetName val="_견적서"/>
      <sheetName val="BAY별_원가표준"/>
      <sheetName val="CABLE_DATA"/>
      <sheetName val="burner-spare"/>
      <sheetName val="조도계산서 (도서)"/>
      <sheetName val="Euro-conversion"/>
      <sheetName val="설계서"/>
      <sheetName val="BM"/>
      <sheetName val="BOM_DWG"/>
      <sheetName val="Notes for BOQ"/>
      <sheetName val="PRO_DCI"/>
      <sheetName val="ELEC_DCI"/>
      <sheetName val="INST_DCI"/>
      <sheetName val="JOINT1"/>
      <sheetName val="Piping_Design_Data5"/>
      <sheetName val="TYPE-B_평균H5"/>
      <sheetName val="Table_15"/>
      <sheetName val="BQ_List4"/>
      <sheetName val="Piping_Cost4"/>
      <sheetName val="Cover_sheet4"/>
      <sheetName val="steam_table4"/>
      <sheetName val="공사비_내역_(가)2"/>
      <sheetName val="Tipo_Terzi2"/>
      <sheetName val="Pag__12"/>
      <sheetName val="할증_2"/>
      <sheetName val="견적_집계2"/>
      <sheetName val="Anal-1_(Nox-SO2-CO)2"/>
      <sheetName val="DATA_LISTS2"/>
      <sheetName val="TABLE2-2_OSBL-(SITE_PREP)3"/>
      <sheetName val="TOTAL_PIPING2"/>
      <sheetName val="Bend_fact_2"/>
      <sheetName val="PRICE_LIST2"/>
      <sheetName val="Graph_(LGEN)2"/>
      <sheetName val="선적schedule_(2)2"/>
      <sheetName val="Process_Piping2"/>
      <sheetName val="OSBL-TOTAL_(SEA_WATER)2"/>
      <sheetName val="INST_LIST2"/>
      <sheetName val="개시대사_(2)2"/>
      <sheetName val="OSBL-TOTAL_(CIVIL_WORK)2"/>
      <sheetName val="E_Rate_PM2"/>
      <sheetName val="code_data2"/>
      <sheetName val="Piping_Design_Data4"/>
      <sheetName val="TYPE-B_평균H4"/>
      <sheetName val="Table_14"/>
      <sheetName val="BQ_List3"/>
      <sheetName val="Piping_Cost3"/>
      <sheetName val="Cover_sheet3"/>
      <sheetName val="steam_table3"/>
      <sheetName val="Pag__11"/>
      <sheetName val="할증_1"/>
      <sheetName val="견적_집계1"/>
      <sheetName val="Anal-1_(Nox-SO2-CO)1"/>
      <sheetName val="TABLE2-2_OSBL-(SITE_PREP)2"/>
      <sheetName val="TOTAL_PIPING1"/>
      <sheetName val="Bend_fact_1"/>
      <sheetName val="PRICE_LIST1"/>
      <sheetName val="Graph_(LGEN)1"/>
      <sheetName val="선적schedule_(2)1"/>
      <sheetName val="Process_Piping1"/>
      <sheetName val="OSBL-TOTAL_(SEA_WATER)1"/>
      <sheetName val="INST_LIST1"/>
      <sheetName val="개시대사_(2)1"/>
      <sheetName val="OSBL-TOTAL_(CIVIL_WORK)1"/>
      <sheetName val="E_Rate_PM1"/>
      <sheetName val="code_data1"/>
      <sheetName val="Cost_Summary1"/>
      <sheetName val="Summary_Sheets1"/>
      <sheetName val="ITB_COST1"/>
      <sheetName val="DWTables"/>
      <sheetName val="BOM_DCS"/>
      <sheetName val="Piping_Design_Data6"/>
      <sheetName val="TYPE-B_평균H6"/>
      <sheetName val="Table_16"/>
      <sheetName val="BQ_List5"/>
      <sheetName val="Piping_Cost5"/>
      <sheetName val="Cover_sheet5"/>
      <sheetName val="steam_table5"/>
      <sheetName val="공사비_내역_(가)3"/>
      <sheetName val="Tipo_Terzi3"/>
      <sheetName val="Pag__13"/>
      <sheetName val="할증_3"/>
      <sheetName val="견적_집계3"/>
      <sheetName val="Anal-1_(Nox-SO2-CO)3"/>
      <sheetName val="DATA_LISTS3"/>
      <sheetName val="TABLE2-2_OSBL-(SITE_PREP)4"/>
      <sheetName val="TOTAL_PIPING3"/>
      <sheetName val="Bend_fact_3"/>
      <sheetName val="PRICE_LIST3"/>
      <sheetName val="Graph_(LGEN)3"/>
      <sheetName val="선적schedule_(2)3"/>
      <sheetName val="Process_Piping3"/>
      <sheetName val="OSBL-TOTAL_(SEA_WATER)3"/>
      <sheetName val="INST_LIST3"/>
      <sheetName val="개시대사_(2)3"/>
      <sheetName val="OSBL-TOTAL_(CIVIL_WORK)3"/>
      <sheetName val="E_Rate_PM3"/>
      <sheetName val="code_data3"/>
      <sheetName val="PAGE 3_GENERAL DETAILS"/>
      <sheetName val="IO"/>
      <sheetName val="Integration"/>
      <sheetName val="PRESSURE_GAUGE1"/>
      <sheetName val="SHUTDOWN_VALVE1"/>
      <sheetName val="B31_11"/>
      <sheetName val="97_사업추정(WEKI)1"/>
      <sheetName val="OSBL-TOTAL_(OTHER_WORK)1"/>
      <sheetName val="_견적서1"/>
      <sheetName val="Engrg_Est1"/>
      <sheetName val="CABLE_DATA1"/>
      <sheetName val="BAY별_원가표준1"/>
      <sheetName val="PTrating_all1"/>
      <sheetName val="Pipe_ID1"/>
      <sheetName val="_갑지1"/>
      <sheetName val="w't_table1"/>
      <sheetName val="S_N1"/>
      <sheetName val="소상_&quot;1&quot;1"/>
      <sheetName val="Substn,_Pdt_Trans,_Pack,_Other1"/>
      <sheetName val="Engrg_Est"/>
      <sheetName val="Summary_Sheets"/>
      <sheetName val="_갑지"/>
      <sheetName val="w't_table"/>
      <sheetName val="S_N"/>
      <sheetName val="소상_&quot;1&quot;"/>
      <sheetName val="Substn,_Pdt_Trans,_Pack,_Others"/>
      <sheetName val="유효성 검사"/>
      <sheetName val="TN IO_LIST"/>
      <sheetName val="6PILE  (돌출)"/>
      <sheetName val="CAL."/>
      <sheetName val="DropBox"/>
      <sheetName val="유효성검사"/>
      <sheetName val="자문요청"/>
      <sheetName val="I_O Module"/>
      <sheetName val="기준액"/>
      <sheetName val="mto-rev0B"/>
      <sheetName val="PIPES"/>
      <sheetName val="설정"/>
      <sheetName val="laroux"/>
      <sheetName val="MATRIAL"/>
      <sheetName val="Piping_Design_Data7"/>
      <sheetName val="TYPE-B_평균H7"/>
      <sheetName val="Table_17"/>
      <sheetName val="Cover_sheet6"/>
      <sheetName val="BQ_List6"/>
      <sheetName val="steam_table6"/>
      <sheetName val="Piping_Cost6"/>
      <sheetName val="Pag__14"/>
      <sheetName val="할증_4"/>
      <sheetName val="견적_집계4"/>
      <sheetName val="공사비_내역_(가)4"/>
      <sheetName val="Tipo_Terzi4"/>
      <sheetName val="PRICE_LIST4"/>
      <sheetName val="Anal-1_(Nox-SO2-CO)4"/>
      <sheetName val="Graph_(LGEN)4"/>
      <sheetName val="선적schedule_(2)4"/>
      <sheetName val="DATA_LISTS4"/>
      <sheetName val="TABLE2-2_OSBL-(SITE_PREP)5"/>
      <sheetName val="TOTAL_PIPING4"/>
      <sheetName val="Bend_fact_4"/>
      <sheetName val="Process_Piping4"/>
      <sheetName val="INST_LIST4"/>
      <sheetName val="OSBL-TOTAL_(SEA_WATER)4"/>
      <sheetName val="개시대사_(2)4"/>
      <sheetName val="OSBL-TOTAL_(CIVIL_WORK)4"/>
      <sheetName val="E_Rate_PM4"/>
      <sheetName val="code_data4"/>
      <sheetName val="PRESSURE_GAUGE2"/>
      <sheetName val="SHUTDOWN_VALVE2"/>
      <sheetName val="97_사업추정(WEKI)2"/>
      <sheetName val="OSBL-TOTAL_(OTHER_WORK)2"/>
      <sheetName val="_견적서2"/>
      <sheetName val="B31_12"/>
      <sheetName val="Engrg_Est2"/>
      <sheetName val="CABLE_DATA2"/>
      <sheetName val="BAY별_원가표준2"/>
      <sheetName val="Pipe_ID2"/>
      <sheetName val="PTrating_all2"/>
      <sheetName val="Summary_Sheets2"/>
      <sheetName val="_갑지2"/>
      <sheetName val="w't_table2"/>
      <sheetName val="S_N2"/>
      <sheetName val="소상_&quot;1&quot;2"/>
      <sheetName val="Substn,_Pdt_Trans,_Pack,_Other2"/>
      <sheetName val="Line_Details"/>
      <sheetName val="Two_Phase"/>
      <sheetName val="_"/>
      <sheetName val="CYP-O_F"/>
      <sheetName val="조도계산서_(도서)"/>
      <sheetName val="Notes_for_BOQ"/>
      <sheetName val="PAGE_3_GENERAL_DETAILS"/>
      <sheetName val="TN_IO_LIST"/>
      <sheetName val="유효성_검사"/>
      <sheetName val="2001概算定额"/>
      <sheetName val="RNRLRPL2"/>
      <sheetName val="PRO_A"/>
      <sheetName val="DWG"/>
      <sheetName val="ELEC_MCI"/>
      <sheetName val="MAIN"/>
      <sheetName val="INST_MCI"/>
      <sheetName val="MECH_MCI"/>
      <sheetName val="PRO"/>
      <sheetName val="Activity(new)"/>
      <sheetName val="Total(new)"/>
      <sheetName val="현장지지물물량"/>
      <sheetName val="VESSELS &amp; COLUMNS"/>
      <sheetName val="일위대가"/>
      <sheetName val="Proposal"/>
      <sheetName val="Alternator"/>
      <sheetName val="원가 BOM-SLV,LND"/>
      <sheetName val="MTP"/>
      <sheetName val="6PILE__(돌출)"/>
      <sheetName val="CAL_"/>
      <sheetName val="Piping_Design_Data8"/>
      <sheetName val="TYPE-B_평균H8"/>
      <sheetName val="Table_18"/>
      <sheetName val="BQ_List7"/>
      <sheetName val="steam_table7"/>
      <sheetName val="Piping_Cost7"/>
      <sheetName val="Cover_sheet7"/>
      <sheetName val="공사비_내역_(가)5"/>
      <sheetName val="할증_5"/>
      <sheetName val="TABLE2-2_OSBL-(SITE_PREP)6"/>
      <sheetName val="TOTAL_PIPING5"/>
      <sheetName val="Bend_fact_5"/>
      <sheetName val="Tipo_Terzi5"/>
      <sheetName val="DATA_LISTS5"/>
      <sheetName val="PRICE_LIST5"/>
      <sheetName val="Pag__15"/>
      <sheetName val="OSBL-TOTAL_(SEA_WATER)5"/>
      <sheetName val="견적_집계5"/>
      <sheetName val="Anal-1_(Nox-SO2-CO)5"/>
      <sheetName val="Graph_(LGEN)5"/>
      <sheetName val="선적schedule_(2)5"/>
      <sheetName val="개시대사_(2)5"/>
      <sheetName val="OSBL-TOTAL_(CIVIL_WORK)5"/>
      <sheetName val="E_Rate_PM5"/>
      <sheetName val="Process_Piping5"/>
      <sheetName val="code_data5"/>
      <sheetName val="OSBL-TOTAL_(OTHER_WORK)3"/>
      <sheetName val="B31_13"/>
      <sheetName val="PRESSURE_GAUGE3"/>
      <sheetName val="SHUTDOWN_VALVE3"/>
      <sheetName val="BAY별_원가표준3"/>
      <sheetName val="CABLE_DATA3"/>
      <sheetName val="INST_LIST5"/>
      <sheetName val="97_사업추정(WEKI)3"/>
      <sheetName val="_견적서3"/>
      <sheetName val="Pipe_ID3"/>
      <sheetName val="PTrating_all3"/>
      <sheetName val="Engrg_Est3"/>
      <sheetName val="소상_&quot;1&quot;3"/>
      <sheetName val="Substn,_Pdt_Trans,_Pack,_Other3"/>
      <sheetName val="_1"/>
      <sheetName val="조도계산서_(도서)1"/>
      <sheetName val="CYP-O_F1"/>
      <sheetName val="Summary_Sheets3"/>
      <sheetName val="_갑지3"/>
      <sheetName val="w't_table3"/>
      <sheetName val="S_N3"/>
      <sheetName val="Line_Details1"/>
      <sheetName val="Two_Phase1"/>
      <sheetName val="Notes_for_BOQ1"/>
      <sheetName val="PAGE_3_GENERAL_DETAILS1"/>
      <sheetName val="유효성_검사1"/>
      <sheetName val="6PILE__(돌출)1"/>
      <sheetName val="CAL_1"/>
      <sheetName val="TN_IO_LIST1"/>
      <sheetName val="Basic"/>
      <sheetName val="Datasheet for STRAINER"/>
      <sheetName val="GROUP"/>
      <sheetName val="자바라1"/>
      <sheetName val="4B - (1) Materials"/>
      <sheetName val="BELİRLENECEKLER"/>
      <sheetName val="재료비"/>
      <sheetName val="MHRS"/>
      <sheetName val="Engg-Exec-2"/>
      <sheetName val="Site-Precom-2"/>
      <sheetName val="Cont"/>
      <sheetName val="Ranges"/>
      <sheetName val="User"/>
      <sheetName val="EVVK"/>
      <sheetName val="EVVG"/>
      <sheetName val="EYDS"/>
      <sheetName val="EVVB"/>
      <sheetName val="EVVD"/>
      <sheetName val="EVVC"/>
      <sheetName val="EFF"/>
      <sheetName val="EFFH"/>
      <sheetName val="EVVH"/>
      <sheetName val="EVVF"/>
      <sheetName val="EVVE"/>
      <sheetName val="EVVM"/>
      <sheetName val="EFFB"/>
      <sheetName val="EMMT"/>
      <sheetName val="EMMC"/>
      <sheetName val="EMMA"/>
      <sheetName val="역T형"/>
      <sheetName val="HVAC_DCI"/>
      <sheetName val="PIPE_DCI"/>
      <sheetName val="parameters"/>
      <sheetName val="dr &amp; wd"/>
      <sheetName val="細目"/>
      <sheetName val="Man-month Chart - Overall"/>
      <sheetName val="MH(on site)"/>
    </sheetNames>
    <sheetDataSet>
      <sheetData sheetId="0">
        <row r="4">
          <cell r="B4" t="str">
            <v>Line N°</v>
          </cell>
        </row>
      </sheetData>
      <sheetData sheetId="1">
        <row r="4">
          <cell r="B4" t="str">
            <v>Line N°</v>
          </cell>
        </row>
      </sheetData>
      <sheetData sheetId="2">
        <row r="4">
          <cell r="B4" t="str">
            <v>Line N°</v>
          </cell>
        </row>
      </sheetData>
      <sheetData sheetId="3" refreshError="1">
        <row r="5">
          <cell r="A5" t="str">
            <v>NO</v>
          </cell>
          <cell r="B5" t="str">
            <v>DESCRIPTION</v>
          </cell>
          <cell r="C5" t="str">
            <v>SIZE</v>
          </cell>
          <cell r="D5" t="str">
            <v>UNIT</v>
          </cell>
          <cell r="E5" t="str">
            <v>NET</v>
          </cell>
          <cell r="F5" t="str">
            <v>SPARE</v>
          </cell>
          <cell r="G5" t="str">
            <v>TOTAL</v>
          </cell>
          <cell r="H5" t="str">
            <v>UNIT</v>
          </cell>
          <cell r="I5" t="str">
            <v>TOTAL</v>
          </cell>
          <cell r="J5" t="str">
            <v>UNIT</v>
          </cell>
          <cell r="K5" t="str">
            <v>TOTAL</v>
          </cell>
          <cell r="L5">
            <v>0</v>
          </cell>
          <cell r="M5">
            <v>0</v>
          </cell>
        </row>
        <row r="6">
          <cell r="A6" t="str">
            <v>1.1</v>
          </cell>
          <cell r="B6" t="str">
            <v>ORIFICE PLATE ASSEMBLY</v>
          </cell>
          <cell r="C6" t="str">
            <v>4" 150#</v>
          </cell>
          <cell r="D6" t="str">
            <v>EA</v>
          </cell>
          <cell r="E6">
            <v>1</v>
          </cell>
        </row>
        <row r="7">
          <cell r="B7" t="str">
            <v xml:space="preserve">  FLANGE/PLATE : 304LSS/316LSS</v>
          </cell>
          <cell r="C7" t="str">
            <v>2" 150#</v>
          </cell>
          <cell r="D7" t="str">
            <v>EA</v>
          </cell>
          <cell r="E7">
            <v>2</v>
          </cell>
        </row>
        <row r="8">
          <cell r="B8" t="str">
            <v xml:space="preserve">  PROCESS CONN : ANSI, RF</v>
          </cell>
        </row>
        <row r="9">
          <cell r="B9" t="str">
            <v xml:space="preserve">  ACCESSORIES :</v>
          </cell>
        </row>
        <row r="10">
          <cell r="B10" t="str">
            <v xml:space="preserve">    - NIPPLE</v>
          </cell>
        </row>
        <row r="11">
          <cell r="B11" t="str">
            <v xml:space="preserve">    - BOLT &amp; NUT</v>
          </cell>
        </row>
        <row r="12">
          <cell r="B12" t="str">
            <v xml:space="preserve">    - GASKET</v>
          </cell>
        </row>
        <row r="13">
          <cell r="B13" t="str">
            <v xml:space="preserve">    - JACK SCREW</v>
          </cell>
        </row>
        <row r="17">
          <cell r="A17" t="str">
            <v>1.2</v>
          </cell>
          <cell r="B17" t="str">
            <v>MASS FLOWMETER</v>
          </cell>
          <cell r="C17" t="str">
            <v>6" 150#</v>
          </cell>
          <cell r="D17" t="str">
            <v>EA</v>
          </cell>
          <cell r="E17">
            <v>2</v>
          </cell>
        </row>
        <row r="18">
          <cell r="B18" t="str">
            <v xml:space="preserve">  TYPE : CORIOLIS</v>
          </cell>
          <cell r="C18" t="str">
            <v>4" 150#</v>
          </cell>
          <cell r="D18" t="str">
            <v>EA</v>
          </cell>
          <cell r="E18">
            <v>1</v>
          </cell>
        </row>
        <row r="19">
          <cell r="B19" t="str">
            <v xml:space="preserve">  BODY/ELEMENT : 304SS/316LSS</v>
          </cell>
          <cell r="C19" t="str">
            <v>5" 150#</v>
          </cell>
          <cell r="D19" t="str">
            <v>EA</v>
          </cell>
          <cell r="E19">
            <v>1</v>
          </cell>
        </row>
        <row r="20">
          <cell r="B20" t="str">
            <v xml:space="preserve">  OUTPUT : 4-20mA, SMART</v>
          </cell>
        </row>
        <row r="21">
          <cell r="B21" t="str">
            <v xml:space="preserve">  PROCESS CONN : ANSI, RF</v>
          </cell>
        </row>
        <row r="22">
          <cell r="B22" t="str">
            <v xml:space="preserve">  ELEC. ENCL.: INTRINSIC SAFETY (Exi)</v>
          </cell>
        </row>
        <row r="23">
          <cell r="B23" t="str">
            <v xml:space="preserve">  ACCESSORIES :</v>
          </cell>
        </row>
        <row r="24">
          <cell r="B24" t="str">
            <v xml:space="preserve">    - SPECIAL CABLE</v>
          </cell>
        </row>
        <row r="25">
          <cell r="B25" t="str">
            <v xml:space="preserve">    - CONVERTER (REMOTE)</v>
          </cell>
        </row>
        <row r="26">
          <cell r="B26" t="str">
            <v xml:space="preserve">    - MOUNTING BRACKET (FOR 2" PIPE)</v>
          </cell>
        </row>
        <row r="30">
          <cell r="A30" t="str">
            <v>1.3</v>
          </cell>
          <cell r="B30" t="str">
            <v>TURBINE FLOWMETER</v>
          </cell>
          <cell r="C30" t="str">
            <v>1" 150#</v>
          </cell>
          <cell r="D30" t="str">
            <v>EA</v>
          </cell>
          <cell r="E30">
            <v>1</v>
          </cell>
        </row>
        <row r="31">
          <cell r="B31" t="str">
            <v xml:space="preserve">  TYPE : TRANSMIT</v>
          </cell>
        </row>
        <row r="32">
          <cell r="B32" t="str">
            <v xml:space="preserve">  BODY/ELEMENT : 304LSS/316LSS</v>
          </cell>
        </row>
        <row r="33">
          <cell r="B33" t="str">
            <v xml:space="preserve">  OUTPUT : 4-20mA, SMART</v>
          </cell>
        </row>
        <row r="34">
          <cell r="B34" t="str">
            <v xml:space="preserve">  PROCESS CONN : ANSI, RF</v>
          </cell>
        </row>
        <row r="35">
          <cell r="B35" t="str">
            <v xml:space="preserve">  ELEC. ENCL.: INTRINSIC SAFETY (Exi)</v>
          </cell>
        </row>
        <row r="36">
          <cell r="B36" t="str">
            <v xml:space="preserve">  ACCESSORIES :</v>
          </cell>
        </row>
        <row r="37">
          <cell r="B37" t="str">
            <v xml:space="preserve">    - CONVERTER (INTEGRAL)</v>
          </cell>
        </row>
        <row r="38">
          <cell r="B38" t="str">
            <v xml:space="preserve">    - LOCAL TOTALIZER</v>
          </cell>
        </row>
        <row r="42">
          <cell r="A42" t="str">
            <v>1.4</v>
          </cell>
          <cell r="B42" t="str">
            <v>ULTRASONIC FLOWMETER</v>
          </cell>
          <cell r="C42" t="str">
            <v>8" 150#</v>
          </cell>
          <cell r="D42" t="str">
            <v>EA</v>
          </cell>
          <cell r="E42">
            <v>1</v>
          </cell>
        </row>
        <row r="43">
          <cell r="B43" t="str">
            <v xml:space="preserve">  TYPE : TRANSMIT</v>
          </cell>
        </row>
        <row r="44">
          <cell r="B44" t="str">
            <v xml:space="preserve">  BODY/ELEMENT : 304SS</v>
          </cell>
        </row>
        <row r="45">
          <cell r="B45" t="str">
            <v xml:space="preserve">  OUTPUT : 4-20mA, SMART</v>
          </cell>
        </row>
        <row r="46">
          <cell r="B46" t="str">
            <v xml:space="preserve">  PROCESS CONN : ANSI, RF</v>
          </cell>
        </row>
        <row r="47">
          <cell r="B47" t="str">
            <v xml:space="preserve">  ELEC. ENCL.: INTRINSIC SAFETY (Exi)</v>
          </cell>
        </row>
        <row r="51">
          <cell r="A51" t="str">
            <v>1.5</v>
          </cell>
          <cell r="B51" t="str">
            <v xml:space="preserve">DISPLACEMENT TYPE ,LEVEL </v>
          </cell>
          <cell r="C51" t="str">
            <v>500mm</v>
          </cell>
          <cell r="D51" t="str">
            <v>EA</v>
          </cell>
          <cell r="E51">
            <v>5</v>
          </cell>
        </row>
        <row r="52">
          <cell r="B52" t="str">
            <v xml:space="preserve">  MOUNTING : INTERNAL</v>
          </cell>
        </row>
        <row r="53">
          <cell r="B53" t="str">
            <v xml:space="preserve">  FUNCTION : SWITCH</v>
          </cell>
        </row>
        <row r="54">
          <cell r="B54" t="str">
            <v xml:space="preserve">  BODY/DISPLACER : 304SS/316LSS</v>
          </cell>
        </row>
        <row r="55">
          <cell r="B55" t="str">
            <v xml:space="preserve">  OUTPUT : 1 DPDT x 1</v>
          </cell>
        </row>
        <row r="56">
          <cell r="B56" t="str">
            <v xml:space="preserve">  PROCESS CONN : ANSI, 4" 150#</v>
          </cell>
        </row>
        <row r="57">
          <cell r="B57" t="str">
            <v xml:space="preserve">  ELEC. ENCL.: EXP. PF (Exd)</v>
          </cell>
        </row>
        <row r="61">
          <cell r="A61" t="str">
            <v>1.6</v>
          </cell>
          <cell r="B61" t="str">
            <v xml:space="preserve">DISPLACEMENT TYPE ,LEVEL </v>
          </cell>
          <cell r="C61" t="str">
            <v>2" 150#</v>
          </cell>
          <cell r="D61" t="str">
            <v>EA</v>
          </cell>
          <cell r="E61">
            <v>9</v>
          </cell>
        </row>
        <row r="62">
          <cell r="B62" t="str">
            <v xml:space="preserve">  MOUTING : SIDE, EXTERNAL</v>
          </cell>
        </row>
        <row r="63">
          <cell r="B63" t="str">
            <v xml:space="preserve">  FUNCTION : SWITCH</v>
          </cell>
        </row>
        <row r="64">
          <cell r="B64" t="str">
            <v xml:space="preserve">  BODY/FLOAT : 304SS/316LSS</v>
          </cell>
        </row>
        <row r="65">
          <cell r="B65" t="str">
            <v xml:space="preserve">  OUTPUT : 1 DPDT x 2</v>
          </cell>
        </row>
        <row r="66">
          <cell r="B66" t="str">
            <v xml:space="preserve">  PROCESS CONN : ANSI RF</v>
          </cell>
        </row>
        <row r="67">
          <cell r="B67" t="str">
            <v xml:space="preserve">  ELEC. ENCL.: EXP. PF (Exd)</v>
          </cell>
        </row>
        <row r="68">
          <cell r="B68" t="str">
            <v xml:space="preserve">  C-TO C : 440 MM</v>
          </cell>
        </row>
        <row r="72">
          <cell r="A72" t="str">
            <v>1.7</v>
          </cell>
          <cell r="B72" t="str">
            <v>AUTOMATIC TANK GAUGE (ENRAF 854)</v>
          </cell>
          <cell r="C72" t="str">
            <v>20000mm</v>
          </cell>
          <cell r="D72" t="str">
            <v>EA</v>
          </cell>
          <cell r="E72">
            <v>4</v>
          </cell>
        </row>
        <row r="73">
          <cell r="B73" t="str">
            <v xml:space="preserve">  TYPE : TRANSMIT,SERVO-BALANCE</v>
          </cell>
        </row>
        <row r="74">
          <cell r="B74" t="str">
            <v xml:space="preserve">  BODY/FLOAT : ADC/316LSS</v>
          </cell>
        </row>
        <row r="75">
          <cell r="B75" t="str">
            <v xml:space="preserve">  OUTPUT : 4-20mA, SMART</v>
          </cell>
        </row>
        <row r="76">
          <cell r="B76" t="str">
            <v xml:space="preserve">  PROCESS CONN : ANSI, RF</v>
          </cell>
        </row>
        <row r="77">
          <cell r="B77" t="str">
            <v xml:space="preserve">  ELEC. ENCL.: INTRINSIC SAFETY (Exi)</v>
          </cell>
        </row>
        <row r="78">
          <cell r="B78" t="str">
            <v xml:space="preserve">  ACCESSORIES :</v>
          </cell>
        </row>
        <row r="79">
          <cell r="B79" t="str">
            <v xml:space="preserve">    - TANK SIDE INDICATOR</v>
          </cell>
        </row>
        <row r="80">
          <cell r="B80" t="str">
            <v xml:space="preserve">    - CALIBRATION CHAMBER</v>
          </cell>
        </row>
        <row r="81">
          <cell r="B81" t="str">
            <v xml:space="preserve">    - BALL VALVE</v>
          </cell>
        </row>
        <row r="82">
          <cell r="B82" t="str">
            <v xml:space="preserve">    - MULTIPLE RESISTANCE THERMOMETER</v>
          </cell>
        </row>
        <row r="83">
          <cell r="B83" t="str">
            <v xml:space="preserve">      (865 MRT)</v>
          </cell>
        </row>
        <row r="84">
          <cell r="A84">
            <v>0</v>
          </cell>
        </row>
        <row r="87">
          <cell r="A87" t="str">
            <v>1.8</v>
          </cell>
          <cell r="B87" t="str">
            <v>LEVEL GAUGE</v>
          </cell>
          <cell r="C87" t="str">
            <v>1370MM</v>
          </cell>
          <cell r="D87" t="str">
            <v>EA</v>
          </cell>
          <cell r="E87">
            <v>4</v>
          </cell>
        </row>
        <row r="88">
          <cell r="B88" t="str">
            <v xml:space="preserve">  TYPE : REFLEX</v>
          </cell>
        </row>
        <row r="89">
          <cell r="B89" t="str">
            <v xml:space="preserve">  BODY/ELEMENT : 304SS/316LSS</v>
          </cell>
        </row>
        <row r="90">
          <cell r="A90">
            <v>0</v>
          </cell>
          <cell r="B90" t="str">
            <v xml:space="preserve">  PROCESS CONN : ANSI 2", 150#</v>
          </cell>
        </row>
        <row r="91">
          <cell r="B91" t="str">
            <v xml:space="preserve">  ACCESSORIES</v>
          </cell>
        </row>
        <row r="92">
          <cell r="B92" t="str">
            <v xml:space="preserve">    - GAUGE VALVE, OFFSET TYPE</v>
          </cell>
        </row>
        <row r="93">
          <cell r="B93" t="str">
            <v xml:space="preserve">    - VENT/DRAIN VALVE</v>
          </cell>
        </row>
        <row r="97">
          <cell r="A97" t="str">
            <v>1.9</v>
          </cell>
          <cell r="B97" t="str">
            <v>MAGNETIC LEVEL GAUGE</v>
          </cell>
          <cell r="C97" t="str">
            <v>2000MM</v>
          </cell>
          <cell r="D97" t="str">
            <v>EA</v>
          </cell>
          <cell r="E97">
            <v>7</v>
          </cell>
        </row>
        <row r="98">
          <cell r="B98" t="str">
            <v xml:space="preserve">  TYPE : MAGNETIC FLOAT</v>
          </cell>
        </row>
        <row r="99">
          <cell r="B99" t="str">
            <v xml:space="preserve">  BODY/ELEMENT : 304SS/316LSS</v>
          </cell>
        </row>
        <row r="100">
          <cell r="B100" t="str">
            <v xml:space="preserve">  PROCESS CONN : ANSI 2", 150#</v>
          </cell>
        </row>
        <row r="101">
          <cell r="B101" t="str">
            <v xml:space="preserve">  ACCESSORIES</v>
          </cell>
        </row>
        <row r="102">
          <cell r="B102" t="str">
            <v xml:space="preserve">    - VENT/DRAIN VALVE</v>
          </cell>
        </row>
        <row r="106">
          <cell r="A106" t="str">
            <v>1.10</v>
          </cell>
          <cell r="B106" t="str">
            <v>DITTO 1.8 BUT</v>
          </cell>
          <cell r="C106" t="str">
            <v>2000MM</v>
          </cell>
          <cell r="D106" t="str">
            <v>EA</v>
          </cell>
          <cell r="E106">
            <v>1</v>
          </cell>
        </row>
        <row r="107">
          <cell r="B107" t="str">
            <v xml:space="preserve">  ACCESSORIES</v>
          </cell>
        </row>
        <row r="108">
          <cell r="B108" t="str">
            <v xml:space="preserve">    - LEVEL SWITCH (1 EA)</v>
          </cell>
        </row>
        <row r="112">
          <cell r="A112" t="str">
            <v>1.11</v>
          </cell>
          <cell r="B112" t="str">
            <v>PRESSURE TRANSMITTER</v>
          </cell>
          <cell r="C112">
            <v>0</v>
          </cell>
          <cell r="D112" t="str">
            <v>EA</v>
          </cell>
          <cell r="E112">
            <v>7</v>
          </cell>
        </row>
        <row r="113">
          <cell r="B113" t="str">
            <v xml:space="preserve">  TYPE : DIAPHRAGM</v>
          </cell>
        </row>
        <row r="114">
          <cell r="B114" t="str">
            <v xml:space="preserve">  BODY/ELEMENT : 304SS/316LSS</v>
          </cell>
        </row>
        <row r="115">
          <cell r="B115" t="str">
            <v xml:space="preserve">  OUTPUT : 4-20mA, SMART</v>
          </cell>
        </row>
        <row r="116">
          <cell r="B116" t="str">
            <v xml:space="preserve">  PROCESS CONN : 1/2" NPT</v>
          </cell>
        </row>
        <row r="117">
          <cell r="B117" t="str">
            <v xml:space="preserve">  ELEC. ENCL.: INTRINSIC SAFETY (Exi)</v>
          </cell>
        </row>
        <row r="118">
          <cell r="B118" t="str">
            <v xml:space="preserve">  ACCESSORIES :</v>
          </cell>
        </row>
        <row r="119">
          <cell r="B119" t="str">
            <v xml:space="preserve">    - LOCAL INDICATOR</v>
          </cell>
        </row>
        <row r="120">
          <cell r="B120" t="str">
            <v xml:space="preserve">    - 2-VALVE MANIFOLD</v>
          </cell>
        </row>
        <row r="121">
          <cell r="B121" t="str">
            <v xml:space="preserve">    - MOUNTING BRACKET (FOR 2" PIPE)</v>
          </cell>
        </row>
        <row r="125">
          <cell r="A125" t="str">
            <v>1.12</v>
          </cell>
          <cell r="B125" t="str">
            <v>D/P TRANSMITTER,  FLOW</v>
          </cell>
          <cell r="C125">
            <v>0</v>
          </cell>
          <cell r="D125" t="str">
            <v>EA</v>
          </cell>
          <cell r="E125">
            <v>3</v>
          </cell>
        </row>
        <row r="126">
          <cell r="B126" t="str">
            <v xml:space="preserve">  TYPE : DIAPHRAGM</v>
          </cell>
        </row>
        <row r="127">
          <cell r="B127" t="str">
            <v xml:space="preserve">  BODY/ELEMENT : 304SS/316LSS</v>
          </cell>
        </row>
        <row r="128">
          <cell r="B128" t="str">
            <v xml:space="preserve">  OUTPUT : 4-20mA, SMART</v>
          </cell>
        </row>
        <row r="129">
          <cell r="B129" t="str">
            <v xml:space="preserve">  PROCESS CONN : 1/2" NPTF</v>
          </cell>
        </row>
        <row r="130">
          <cell r="B130" t="str">
            <v xml:space="preserve">  ELEC. ENCL.: INTRINSIC SAFETY (Exi)</v>
          </cell>
        </row>
        <row r="131">
          <cell r="B131" t="str">
            <v xml:space="preserve">  ACCESSORIES :</v>
          </cell>
        </row>
        <row r="132">
          <cell r="B132" t="str">
            <v xml:space="preserve">    - 3-VALVE MANIFOLD</v>
          </cell>
        </row>
        <row r="133">
          <cell r="B133" t="str">
            <v xml:space="preserve">    - LOCAL INDICATOR</v>
          </cell>
        </row>
        <row r="134">
          <cell r="B134" t="str">
            <v xml:space="preserve">    - MOUNTING BRACKET (FOR 2" PIPE)</v>
          </cell>
        </row>
        <row r="138">
          <cell r="A138" t="str">
            <v>1.13</v>
          </cell>
          <cell r="B138" t="str">
            <v>PRESSURE GAUGE</v>
          </cell>
          <cell r="C138">
            <v>0</v>
          </cell>
          <cell r="D138" t="str">
            <v>EA</v>
          </cell>
          <cell r="E138">
            <v>9</v>
          </cell>
        </row>
        <row r="139">
          <cell r="B139" t="str">
            <v xml:space="preserve">  TYPE : LIQUID FILLED</v>
          </cell>
        </row>
        <row r="140">
          <cell r="B140" t="str">
            <v xml:space="preserve">  DIAL SIZE : 6"</v>
          </cell>
        </row>
        <row r="141">
          <cell r="B141" t="str">
            <v xml:space="preserve">  CASE/ELEMENT : 304SS/316SS</v>
          </cell>
        </row>
        <row r="142">
          <cell r="B142" t="str">
            <v xml:space="preserve">  PROCESS CONN. : 1/2" NPT</v>
          </cell>
        </row>
        <row r="146">
          <cell r="A146" t="str">
            <v>1.14</v>
          </cell>
          <cell r="B146" t="str">
            <v>DIFF. PRESSURE GAUGE</v>
          </cell>
          <cell r="C146">
            <v>0</v>
          </cell>
          <cell r="D146" t="str">
            <v>EA</v>
          </cell>
          <cell r="E146">
            <v>7</v>
          </cell>
        </row>
        <row r="147">
          <cell r="B147" t="str">
            <v xml:space="preserve">  TYPE : DIAPHRAGM</v>
          </cell>
        </row>
        <row r="148">
          <cell r="B148" t="str">
            <v xml:space="preserve">  DIAL SIZE : 6"</v>
          </cell>
        </row>
        <row r="149">
          <cell r="B149" t="str">
            <v xml:space="preserve">  CASE/ELEMENT : 304SS/316SS</v>
          </cell>
        </row>
        <row r="150">
          <cell r="B150" t="str">
            <v xml:space="preserve">  PROCESS CONN. : 1/2" NPT</v>
          </cell>
        </row>
        <row r="151">
          <cell r="B151" t="str">
            <v xml:space="preserve">  ACCESSORIES :</v>
          </cell>
        </row>
        <row r="152">
          <cell r="B152" t="str">
            <v xml:space="preserve">    - MOUNTING BRACKET (FOR 2" PIPE)</v>
          </cell>
        </row>
        <row r="156">
          <cell r="A156" t="str">
            <v>1.15</v>
          </cell>
          <cell r="B156" t="str">
            <v>TEMPERATURE TRANSMITTER</v>
          </cell>
          <cell r="C156">
            <v>0</v>
          </cell>
          <cell r="D156" t="str">
            <v>EA</v>
          </cell>
          <cell r="E156">
            <v>6</v>
          </cell>
        </row>
        <row r="157">
          <cell r="B157" t="str">
            <v xml:space="preserve">  BODY/ELEMENT : 316SS/316LSS</v>
          </cell>
        </row>
        <row r="158">
          <cell r="B158" t="str">
            <v xml:space="preserve">  OUTPUT : 4-20mA, SMART</v>
          </cell>
        </row>
        <row r="159">
          <cell r="B159" t="str">
            <v xml:space="preserve">  ELEC. ENCL.: INTRINSIC SAFETY (Exi)</v>
          </cell>
        </row>
        <row r="160">
          <cell r="B160" t="str">
            <v xml:space="preserve">  ACCESSORIES :</v>
          </cell>
        </row>
        <row r="161">
          <cell r="B161" t="str">
            <v xml:space="preserve">    - LOCAL INDICATOR</v>
          </cell>
        </row>
        <row r="162">
          <cell r="B162" t="str">
            <v xml:space="preserve">    - MOUNTING BRACKET (FOR 2" PIPE)</v>
          </cell>
        </row>
        <row r="166">
          <cell r="A166" t="str">
            <v>1.16</v>
          </cell>
          <cell r="B166" t="str">
            <v>THERMOELEMENT ASSEMBLY</v>
          </cell>
          <cell r="C166">
            <v>0</v>
          </cell>
          <cell r="D166" t="str">
            <v>EA</v>
          </cell>
          <cell r="E166">
            <v>6</v>
          </cell>
        </row>
        <row r="167">
          <cell r="B167" t="str">
            <v xml:space="preserve">  SENSOR : RTD (SINGLE), Pt 100 ohm</v>
          </cell>
        </row>
        <row r="168">
          <cell r="B168" t="str">
            <v xml:space="preserve">  ELEMENT : 316SS</v>
          </cell>
        </row>
        <row r="169">
          <cell r="B169" t="str">
            <v xml:space="preserve">  ELEC. ENCL.: INTRINSIC SAFETY (Exi)</v>
          </cell>
        </row>
        <row r="170">
          <cell r="B170" t="str">
            <v xml:space="preserve">  WELL :</v>
          </cell>
        </row>
        <row r="171">
          <cell r="B171" t="str">
            <v xml:space="preserve">    - TYPE : DRILLED BAR</v>
          </cell>
        </row>
        <row r="172">
          <cell r="B172" t="str">
            <v xml:space="preserve">    - MATL : 316LSS</v>
          </cell>
        </row>
        <row r="173">
          <cell r="B173" t="str">
            <v xml:space="preserve">    - PROCESS CONN : ANSI 1 1/2", 150#</v>
          </cell>
        </row>
        <row r="174">
          <cell r="B174" t="str">
            <v xml:space="preserve">    - IMMER. LENGTH : 400mm</v>
          </cell>
        </row>
        <row r="178">
          <cell r="A178" t="str">
            <v>1.17</v>
          </cell>
          <cell r="B178" t="str">
            <v xml:space="preserve">INDICATING THERMOMETER </v>
          </cell>
          <cell r="C178">
            <v>0</v>
          </cell>
          <cell r="D178" t="str">
            <v>EA</v>
          </cell>
          <cell r="E178">
            <v>2</v>
          </cell>
        </row>
        <row r="179">
          <cell r="B179" t="str">
            <v xml:space="preserve">  TYPE/FORM : BIMETAL/ANY ANGLE TYPE</v>
          </cell>
        </row>
        <row r="180">
          <cell r="B180" t="str">
            <v xml:space="preserve">  DIAL SIZE : 5"</v>
          </cell>
        </row>
        <row r="181">
          <cell r="B181" t="str">
            <v xml:space="preserve">  CASE/ELEMENTL : 304SS/316SS</v>
          </cell>
        </row>
        <row r="182">
          <cell r="B182" t="str">
            <v xml:space="preserve">  WELL :</v>
          </cell>
        </row>
        <row r="183">
          <cell r="B183" t="str">
            <v xml:space="preserve">    - TYPE : DRILLED BAR</v>
          </cell>
        </row>
        <row r="184">
          <cell r="B184" t="str">
            <v xml:space="preserve">    - MATL : 316LSS</v>
          </cell>
        </row>
        <row r="185">
          <cell r="B185" t="str">
            <v xml:space="preserve">    - PROCESS CONN : ANSI 1 1/2", 150#</v>
          </cell>
        </row>
        <row r="186">
          <cell r="B186" t="str">
            <v xml:space="preserve">    - IMMER. LENGTH : 400mm</v>
          </cell>
        </row>
        <row r="190">
          <cell r="A190" t="str">
            <v>1.18</v>
          </cell>
          <cell r="B190" t="str">
            <v xml:space="preserve">TEST THERMOWELL </v>
          </cell>
          <cell r="C190">
            <v>0</v>
          </cell>
          <cell r="D190" t="str">
            <v>EA</v>
          </cell>
          <cell r="E190">
            <v>2</v>
          </cell>
        </row>
        <row r="191">
          <cell r="B191" t="str">
            <v xml:space="preserve">  TYPE : DRILLED BAR</v>
          </cell>
        </row>
        <row r="192">
          <cell r="B192" t="str">
            <v xml:space="preserve">  MATL : 316LSS</v>
          </cell>
        </row>
        <row r="193">
          <cell r="B193" t="str">
            <v xml:space="preserve">  PROCESS CONN : ANSI 1 1/2", 150#</v>
          </cell>
        </row>
        <row r="194">
          <cell r="B194" t="str">
            <v xml:space="preserve">  IMMER. LENGTH : 400mm</v>
          </cell>
        </row>
        <row r="198">
          <cell r="A198" t="str">
            <v>1.19</v>
          </cell>
          <cell r="B198" t="str">
            <v>CONTROL VALVE</v>
          </cell>
          <cell r="C198" t="str">
            <v>2" 300#</v>
          </cell>
          <cell r="D198" t="str">
            <v>EA</v>
          </cell>
          <cell r="E198">
            <v>4</v>
          </cell>
        </row>
        <row r="199">
          <cell r="B199" t="str">
            <v xml:space="preserve">  TYPE : GLOBE</v>
          </cell>
          <cell r="C199" t="str">
            <v>4" 300#</v>
          </cell>
          <cell r="D199" t="str">
            <v>EA</v>
          </cell>
          <cell r="E199">
            <v>3</v>
          </cell>
        </row>
        <row r="200">
          <cell r="B200" t="str">
            <v xml:space="preserve">  CONTROL ACTION : THROTTLING</v>
          </cell>
          <cell r="C200" t="str">
            <v>6" 300#</v>
          </cell>
          <cell r="D200" t="str">
            <v>EA</v>
          </cell>
          <cell r="E200">
            <v>1</v>
          </cell>
        </row>
        <row r="201">
          <cell r="B201" t="str">
            <v xml:space="preserve">  ACTUATOR : DIAPHRAGM</v>
          </cell>
        </row>
        <row r="202">
          <cell r="B202" t="str">
            <v xml:space="preserve">  BODY/TRIM : 304LSS/316LSS</v>
          </cell>
        </row>
        <row r="203">
          <cell r="B203" t="str">
            <v xml:space="preserve">  BONNET : STANDARD</v>
          </cell>
        </row>
        <row r="204">
          <cell r="B204" t="str">
            <v xml:space="preserve">  FLANGE RATING : ANSI,RF</v>
          </cell>
        </row>
        <row r="205">
          <cell r="B205" t="str">
            <v xml:space="preserve">  ELEC. ENCL.: INTRINSIC SAFETY (Exi)</v>
          </cell>
        </row>
        <row r="206">
          <cell r="B206" t="str">
            <v xml:space="preserve">  ACCESSORIES :</v>
          </cell>
        </row>
        <row r="207">
          <cell r="B207" t="str">
            <v xml:space="preserve">    - I/P POSITIONER</v>
          </cell>
        </row>
        <row r="208">
          <cell r="B208" t="str">
            <v xml:space="preserve">    - AIR SET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TTON"/>
      <sheetName val="MEASURE LIST"/>
      <sheetName val="FLOW-GAUGE"/>
      <sheetName val="FE"/>
      <sheetName val="PDM(DO)"/>
      <sheetName val="LIT_Ultrasonic"/>
      <sheetName val="LT_Displacement"/>
      <sheetName val="Level switch"/>
      <sheetName val="PG"/>
      <sheetName val="PDI"/>
      <sheetName val="FIT_DP"/>
      <sheetName val="LIT_DP"/>
      <sheetName val="PIT"/>
      <sheetName val="PDS"/>
      <sheetName val="TEMP-GAUGE"/>
      <sheetName val="RTD"/>
      <sheetName val="TC"/>
      <sheetName val="TW"/>
    </sheetNames>
    <sheetDataSet>
      <sheetData sheetId="0"/>
      <sheetData sheetId="1">
        <row r="1">
          <cell r="A1" t="str">
            <v>NO</v>
          </cell>
        </row>
        <row r="3">
          <cell r="B3" t="str">
            <v>32LBA10CP101A</v>
          </cell>
          <cell r="D3" t="str">
            <v>MAIN STM HDR LINE PRESS</v>
          </cell>
          <cell r="E3" t="str">
            <v>PIT</v>
          </cell>
          <cell r="F3" t="str">
            <v>AI</v>
          </cell>
          <cell r="G3" t="str">
            <v>4~20mA</v>
          </cell>
          <cell r="H3" t="str">
            <v>LOOP</v>
          </cell>
          <cell r="I3" t="str">
            <v>STEAM</v>
          </cell>
          <cell r="J3" t="str">
            <v>161.78</v>
          </cell>
          <cell r="K3" t="str">
            <v>566.6</v>
          </cell>
          <cell r="L3" t="str">
            <v>763.6</v>
          </cell>
          <cell r="M3" t="str">
            <v>T/H</v>
          </cell>
          <cell r="N3" t="str">
            <v>DN450</v>
          </cell>
          <cell r="O3" t="str">
            <v>DN15 NPT</v>
          </cell>
          <cell r="P3" t="str">
            <v>0~200</v>
          </cell>
          <cell r="Q3" t="str">
            <v>BARG</v>
          </cell>
          <cell r="AD3" t="str">
            <v>TO DCS</v>
          </cell>
          <cell r="AE3" t="str">
            <v>DIAPHRAGM</v>
          </cell>
          <cell r="AF3" t="str">
            <v>316SS</v>
          </cell>
          <cell r="AH3" t="str">
            <v>LATER</v>
          </cell>
          <cell r="AI3" t="str">
            <v>LATER</v>
          </cell>
          <cell r="AJ3" t="str">
            <v>WD310-EM103-00001</v>
          </cell>
          <cell r="AL3" t="str">
            <v>0</v>
          </cell>
        </row>
        <row r="4">
          <cell r="B4" t="str">
            <v>32LBA10CP101B</v>
          </cell>
          <cell r="D4" t="str">
            <v>MAIN STM HDR LINE PRESS</v>
          </cell>
          <cell r="E4" t="str">
            <v>PIT</v>
          </cell>
          <cell r="F4" t="str">
            <v>AI</v>
          </cell>
          <cell r="G4" t="str">
            <v>4~20mA</v>
          </cell>
          <cell r="H4" t="str">
            <v>LOOP</v>
          </cell>
          <cell r="I4" t="str">
            <v>STEAM</v>
          </cell>
          <cell r="J4" t="str">
            <v>161.78</v>
          </cell>
          <cell r="K4" t="str">
            <v>566.6</v>
          </cell>
          <cell r="L4" t="str">
            <v>763.6</v>
          </cell>
          <cell r="M4" t="str">
            <v>T/H</v>
          </cell>
          <cell r="N4" t="str">
            <v>DN450</v>
          </cell>
          <cell r="O4" t="str">
            <v>DN15 NPT</v>
          </cell>
          <cell r="P4" t="str">
            <v>0~200</v>
          </cell>
          <cell r="Q4" t="str">
            <v>BARG</v>
          </cell>
          <cell r="AD4" t="str">
            <v>TO DCS</v>
          </cell>
          <cell r="AE4" t="str">
            <v>DIAPHRAGM</v>
          </cell>
          <cell r="AF4" t="str">
            <v>316SS</v>
          </cell>
          <cell r="AH4" t="str">
            <v>LATER</v>
          </cell>
          <cell r="AI4" t="str">
            <v>LATER</v>
          </cell>
          <cell r="AJ4" t="str">
            <v>WD310-EM103-00001</v>
          </cell>
          <cell r="AL4" t="str">
            <v>0</v>
          </cell>
        </row>
        <row r="5">
          <cell r="B5" t="str">
            <v>32LBA10CT101A</v>
          </cell>
          <cell r="D5" t="str">
            <v>MAIN STM HDR LINE TEMP</v>
          </cell>
          <cell r="E5" t="str">
            <v>TT</v>
          </cell>
          <cell r="F5" t="str">
            <v>AI</v>
          </cell>
          <cell r="G5" t="str">
            <v>4~20mA</v>
          </cell>
          <cell r="H5" t="str">
            <v>LOOP</v>
          </cell>
          <cell r="I5" t="str">
            <v>STEAM</v>
          </cell>
          <cell r="J5" t="str">
            <v>161.78</v>
          </cell>
          <cell r="K5" t="str">
            <v>566.6</v>
          </cell>
          <cell r="L5" t="str">
            <v>763.6</v>
          </cell>
          <cell r="M5" t="str">
            <v>T/H</v>
          </cell>
          <cell r="N5" t="str">
            <v>DN450</v>
          </cell>
          <cell r="O5" t="str">
            <v>38.1mm NOM WI</v>
          </cell>
          <cell r="P5" t="str">
            <v>0~700</v>
          </cell>
          <cell r="Q5" t="str">
            <v>OC</v>
          </cell>
          <cell r="AD5" t="str">
            <v>TO DCS</v>
          </cell>
          <cell r="AE5" t="str">
            <v>T/C(K-TYPE)</v>
          </cell>
          <cell r="AF5" t="str">
            <v>316SS</v>
          </cell>
          <cell r="AH5" t="str">
            <v>LATER</v>
          </cell>
          <cell r="AI5" t="str">
            <v>LATER</v>
          </cell>
          <cell r="AJ5" t="str">
            <v>WD310-EM103-00001</v>
          </cell>
          <cell r="AL5" t="str">
            <v>0</v>
          </cell>
        </row>
        <row r="6">
          <cell r="B6" t="str">
            <v>32LBA10CT101B</v>
          </cell>
          <cell r="D6" t="str">
            <v>MAIN STM HDR LINE TEMP</v>
          </cell>
          <cell r="E6" t="str">
            <v>TT</v>
          </cell>
          <cell r="F6" t="str">
            <v>AI</v>
          </cell>
          <cell r="G6" t="str">
            <v>4~20mA</v>
          </cell>
          <cell r="H6" t="str">
            <v>LOOP</v>
          </cell>
          <cell r="I6" t="str">
            <v>STEAM</v>
          </cell>
          <cell r="J6" t="str">
            <v>161.78</v>
          </cell>
          <cell r="K6" t="str">
            <v>566.6</v>
          </cell>
          <cell r="L6" t="str">
            <v>763.6</v>
          </cell>
          <cell r="M6" t="str">
            <v>T/H</v>
          </cell>
          <cell r="N6" t="str">
            <v>DN450</v>
          </cell>
          <cell r="O6" t="str">
            <v>38.1mm NOM WI</v>
          </cell>
          <cell r="P6" t="str">
            <v>0~700</v>
          </cell>
          <cell r="Q6" t="str">
            <v>OC</v>
          </cell>
          <cell r="AD6" t="str">
            <v>TO DCS</v>
          </cell>
          <cell r="AE6" t="str">
            <v>T/C(K-TYPE)</v>
          </cell>
          <cell r="AF6" t="str">
            <v>316SS</v>
          </cell>
          <cell r="AH6" t="str">
            <v>LATER</v>
          </cell>
          <cell r="AI6" t="str">
            <v>LATER</v>
          </cell>
          <cell r="AJ6" t="str">
            <v>WD310-EM103-00001</v>
          </cell>
          <cell r="AL6" t="str">
            <v>0</v>
          </cell>
        </row>
        <row r="7">
          <cell r="B7" t="str">
            <v>32LBA21CT401</v>
          </cell>
          <cell r="D7" t="str">
            <v>HP TBN STOP VALVE 1 INL MAIN STM LINE TEMP</v>
          </cell>
          <cell r="E7" t="str">
            <v>TW</v>
          </cell>
          <cell r="F7" t="str">
            <v>N/A</v>
          </cell>
          <cell r="G7" t="str">
            <v>N/A</v>
          </cell>
          <cell r="H7" t="str">
            <v>N/A</v>
          </cell>
          <cell r="I7" t="str">
            <v>STEAM</v>
          </cell>
          <cell r="J7">
            <v>160</v>
          </cell>
          <cell r="K7">
            <v>565</v>
          </cell>
          <cell r="L7">
            <v>381.8</v>
          </cell>
          <cell r="M7" t="str">
            <v>T/H</v>
          </cell>
          <cell r="N7" t="str">
            <v>DN350</v>
          </cell>
          <cell r="O7" t="str">
            <v>38.1mm NOM WI</v>
          </cell>
          <cell r="P7" t="str">
            <v>N/A</v>
          </cell>
          <cell r="Q7" t="str">
            <v>N/A</v>
          </cell>
          <cell r="AD7" t="str">
            <v>N/A</v>
          </cell>
          <cell r="AE7" t="str">
            <v>THERMOWELL</v>
          </cell>
          <cell r="AF7" t="str">
            <v>316SS</v>
          </cell>
          <cell r="AH7" t="str">
            <v>LATER</v>
          </cell>
          <cell r="AI7" t="str">
            <v>LATER</v>
          </cell>
          <cell r="AJ7" t="str">
            <v>WD310-EM103-00001</v>
          </cell>
          <cell r="AL7" t="str">
            <v>0</v>
          </cell>
        </row>
        <row r="8">
          <cell r="B8" t="str">
            <v>32LBA21CT402</v>
          </cell>
          <cell r="D8" t="str">
            <v>HP TBN STOP VALVE 1 INL MAIN STM LINE TEMP</v>
          </cell>
          <cell r="E8" t="str">
            <v>TW</v>
          </cell>
          <cell r="F8" t="str">
            <v>N/A</v>
          </cell>
          <cell r="G8" t="str">
            <v>N/A</v>
          </cell>
          <cell r="H8" t="str">
            <v>N/A</v>
          </cell>
          <cell r="I8" t="str">
            <v>STEAM</v>
          </cell>
          <cell r="J8">
            <v>160</v>
          </cell>
          <cell r="K8">
            <v>565</v>
          </cell>
          <cell r="L8">
            <v>381.8</v>
          </cell>
          <cell r="M8" t="str">
            <v>T/H</v>
          </cell>
          <cell r="N8" t="str">
            <v>DN350</v>
          </cell>
          <cell r="O8" t="str">
            <v>38.1mm NOM WI</v>
          </cell>
          <cell r="P8" t="str">
            <v>N/A</v>
          </cell>
          <cell r="Q8" t="str">
            <v>N/A</v>
          </cell>
          <cell r="AD8" t="str">
            <v>N/A</v>
          </cell>
          <cell r="AE8" t="str">
            <v>THERMOWELL</v>
          </cell>
          <cell r="AF8" t="str">
            <v>316SS</v>
          </cell>
          <cell r="AH8" t="str">
            <v>LATER</v>
          </cell>
          <cell r="AI8" t="str">
            <v>LATER</v>
          </cell>
          <cell r="AJ8" t="str">
            <v>WD310-EM103-00001</v>
          </cell>
          <cell r="AL8" t="str">
            <v>0</v>
          </cell>
        </row>
        <row r="9">
          <cell r="B9" t="str">
            <v>32LBA22CT401</v>
          </cell>
          <cell r="D9" t="str">
            <v>HP TBN STOP VALVE 2 INL MAIN STM LINE TEMP</v>
          </cell>
          <cell r="E9" t="str">
            <v>TW</v>
          </cell>
          <cell r="F9" t="str">
            <v>N/A</v>
          </cell>
          <cell r="G9" t="str">
            <v>N/A</v>
          </cell>
          <cell r="H9" t="str">
            <v>N/A</v>
          </cell>
          <cell r="I9" t="str">
            <v>STEAM</v>
          </cell>
          <cell r="J9">
            <v>160</v>
          </cell>
          <cell r="K9">
            <v>565</v>
          </cell>
          <cell r="L9">
            <v>381.8</v>
          </cell>
          <cell r="M9" t="str">
            <v>T/H</v>
          </cell>
          <cell r="N9" t="str">
            <v>DN350</v>
          </cell>
          <cell r="O9" t="str">
            <v>38.1mm NOM WI</v>
          </cell>
          <cell r="P9" t="str">
            <v>N/A</v>
          </cell>
          <cell r="Q9" t="str">
            <v>N/A</v>
          </cell>
          <cell r="AD9" t="str">
            <v>N/A</v>
          </cell>
          <cell r="AE9" t="str">
            <v>THERMOWELL</v>
          </cell>
          <cell r="AF9" t="str">
            <v>316SS</v>
          </cell>
          <cell r="AH9" t="str">
            <v>LATER</v>
          </cell>
          <cell r="AI9" t="str">
            <v>LATER</v>
          </cell>
          <cell r="AJ9" t="str">
            <v>WD310-EM103-00001</v>
          </cell>
          <cell r="AL9" t="str">
            <v>0</v>
          </cell>
          <cell r="AM9" t="str">
            <v>ADDITION</v>
          </cell>
        </row>
        <row r="10">
          <cell r="B10" t="str">
            <v>32LBA22CT402</v>
          </cell>
          <cell r="D10" t="str">
            <v>HP TBN STOP VALVE 2 INL MAIN STM LINE TEMP</v>
          </cell>
          <cell r="E10" t="str">
            <v>TW</v>
          </cell>
          <cell r="F10" t="str">
            <v>N/A</v>
          </cell>
          <cell r="G10" t="str">
            <v>N/A</v>
          </cell>
          <cell r="H10" t="str">
            <v>N/A</v>
          </cell>
          <cell r="I10" t="str">
            <v>STEAM</v>
          </cell>
          <cell r="J10">
            <v>160</v>
          </cell>
          <cell r="K10">
            <v>565</v>
          </cell>
          <cell r="L10">
            <v>381.8</v>
          </cell>
          <cell r="M10" t="str">
            <v>T/H</v>
          </cell>
          <cell r="N10" t="str">
            <v>DN350</v>
          </cell>
          <cell r="O10" t="str">
            <v>38.1mm NOM WI</v>
          </cell>
          <cell r="P10" t="str">
            <v>N/A</v>
          </cell>
          <cell r="Q10" t="str">
            <v>N/A</v>
          </cell>
          <cell r="AD10" t="str">
            <v>N/A</v>
          </cell>
          <cell r="AE10" t="str">
            <v>THERMOWELL</v>
          </cell>
          <cell r="AF10" t="str">
            <v>316SS</v>
          </cell>
          <cell r="AH10" t="str">
            <v>LATER</v>
          </cell>
          <cell r="AI10" t="str">
            <v>LATER</v>
          </cell>
          <cell r="AJ10" t="str">
            <v>WD310-EM103-00001</v>
          </cell>
          <cell r="AL10" t="str">
            <v>0</v>
          </cell>
          <cell r="AM10" t="str">
            <v>ADDITION</v>
          </cell>
        </row>
        <row r="11">
          <cell r="B11" t="str">
            <v>32LBA10CT501</v>
          </cell>
          <cell r="D11" t="str">
            <v>S/HTR OUT MAIN STM LINE TEMP</v>
          </cell>
          <cell r="E11" t="str">
            <v>TI</v>
          </cell>
          <cell r="F11" t="str">
            <v>N/A</v>
          </cell>
          <cell r="G11" t="str">
            <v>N/A</v>
          </cell>
          <cell r="H11" t="str">
            <v>N/A</v>
          </cell>
          <cell r="I11" t="str">
            <v>STEAM</v>
          </cell>
          <cell r="J11" t="str">
            <v>161.78</v>
          </cell>
          <cell r="K11" t="str">
            <v>566.6</v>
          </cell>
          <cell r="L11" t="str">
            <v>763.6</v>
          </cell>
          <cell r="M11" t="str">
            <v>T/H</v>
          </cell>
          <cell r="N11" t="str">
            <v>DN450</v>
          </cell>
          <cell r="O11" t="str">
            <v>38.1mm NOM WI</v>
          </cell>
          <cell r="P11" t="str">
            <v>0~1,000</v>
          </cell>
          <cell r="Q11" t="str">
            <v>OC</v>
          </cell>
          <cell r="AD11" t="str">
            <v>N/A</v>
          </cell>
          <cell r="AE11" t="str">
            <v>LATER</v>
          </cell>
          <cell r="AF11" t="str">
            <v>316SS</v>
          </cell>
          <cell r="AH11" t="str">
            <v>LATER</v>
          </cell>
          <cell r="AI11" t="str">
            <v>LATER</v>
          </cell>
          <cell r="AJ11" t="str">
            <v>WD310-EM103-00001</v>
          </cell>
          <cell r="AL11" t="str">
            <v>0</v>
          </cell>
        </row>
        <row r="12">
          <cell r="B12" t="str">
            <v>32LBA21CT101</v>
          </cell>
          <cell r="D12" t="str">
            <v>HP TBN STOP VALVE 1 INL DRN LINE TEMP</v>
          </cell>
          <cell r="E12" t="str">
            <v>TT</v>
          </cell>
          <cell r="F12" t="str">
            <v>AI</v>
          </cell>
          <cell r="G12" t="str">
            <v>4~20mA</v>
          </cell>
          <cell r="H12" t="str">
            <v>LOOP</v>
          </cell>
          <cell r="I12" t="str">
            <v>STEAM</v>
          </cell>
          <cell r="J12">
            <v>160</v>
          </cell>
          <cell r="K12">
            <v>565</v>
          </cell>
          <cell r="L12">
            <v>381.8</v>
          </cell>
          <cell r="M12" t="str">
            <v>T/H</v>
          </cell>
          <cell r="N12" t="str">
            <v>DN200</v>
          </cell>
          <cell r="O12" t="str">
            <v>38.1mm NOM WI</v>
          </cell>
          <cell r="P12" t="str">
            <v>0~700</v>
          </cell>
          <cell r="Q12" t="str">
            <v>OC</v>
          </cell>
          <cell r="AD12" t="str">
            <v>TO DCS</v>
          </cell>
          <cell r="AE12" t="str">
            <v>T/C(K-TYPE)</v>
          </cell>
          <cell r="AF12" t="str">
            <v>316SS</v>
          </cell>
          <cell r="AH12" t="str">
            <v>LATER</v>
          </cell>
          <cell r="AI12" t="str">
            <v>LATER</v>
          </cell>
          <cell r="AJ12" t="str">
            <v>WD310-EM103-00001</v>
          </cell>
          <cell r="AL12" t="str">
            <v>0</v>
          </cell>
        </row>
        <row r="13">
          <cell r="B13" t="str">
            <v>32LBA22CT101</v>
          </cell>
          <cell r="D13" t="str">
            <v>HP TBN STOP VALVE 2 INL MAIN STM HDR DRN TEMP</v>
          </cell>
          <cell r="E13" t="str">
            <v>TT</v>
          </cell>
          <cell r="F13" t="str">
            <v>AI</v>
          </cell>
          <cell r="G13" t="str">
            <v>4~20mA</v>
          </cell>
          <cell r="H13" t="str">
            <v>LOOP</v>
          </cell>
          <cell r="I13" t="str">
            <v>STEAM</v>
          </cell>
          <cell r="J13">
            <v>160</v>
          </cell>
          <cell r="K13">
            <v>565</v>
          </cell>
          <cell r="L13">
            <v>381.8</v>
          </cell>
          <cell r="M13" t="str">
            <v>T/H</v>
          </cell>
          <cell r="N13" t="str">
            <v>DN200</v>
          </cell>
          <cell r="O13" t="str">
            <v>38.1mm NOM WI</v>
          </cell>
          <cell r="P13" t="str">
            <v>0~700</v>
          </cell>
          <cell r="Q13" t="str">
            <v>OC</v>
          </cell>
          <cell r="AD13" t="str">
            <v>TO DCS</v>
          </cell>
          <cell r="AE13" t="str">
            <v>T/C(K-TYPE)</v>
          </cell>
          <cell r="AF13" t="str">
            <v>316SS</v>
          </cell>
          <cell r="AH13" t="str">
            <v>LATER</v>
          </cell>
          <cell r="AI13" t="str">
            <v>LATER</v>
          </cell>
          <cell r="AJ13" t="str">
            <v>WD310-EM103-00001</v>
          </cell>
          <cell r="AL13" t="str">
            <v>0</v>
          </cell>
        </row>
        <row r="14">
          <cell r="B14" t="str">
            <v>32LBC10CP101</v>
          </cell>
          <cell r="D14" t="str">
            <v>HP TBN EXH COLD RH LINE STM PRESS</v>
          </cell>
          <cell r="E14" t="str">
            <v>PIT</v>
          </cell>
          <cell r="F14" t="str">
            <v>AI</v>
          </cell>
          <cell r="G14" t="str">
            <v>4~20mA</v>
          </cell>
          <cell r="H14" t="str">
            <v>LOOP</v>
          </cell>
          <cell r="I14" t="str">
            <v>STEAM</v>
          </cell>
          <cell r="J14">
            <v>45.02</v>
          </cell>
          <cell r="K14">
            <v>373.3</v>
          </cell>
          <cell r="L14">
            <v>689.1</v>
          </cell>
          <cell r="M14" t="str">
            <v>T/H</v>
          </cell>
          <cell r="N14" t="str">
            <v>DN600</v>
          </cell>
          <cell r="O14" t="str">
            <v>DN15 NPT</v>
          </cell>
          <cell r="P14" t="str">
            <v>0~60</v>
          </cell>
          <cell r="Q14" t="str">
            <v>BARG</v>
          </cell>
          <cell r="AD14" t="str">
            <v>TO DCS</v>
          </cell>
          <cell r="AE14" t="str">
            <v>DIAPHRAGM</v>
          </cell>
          <cell r="AF14" t="str">
            <v>316SS</v>
          </cell>
          <cell r="AH14" t="str">
            <v>LATER</v>
          </cell>
          <cell r="AI14" t="str">
            <v>LATER</v>
          </cell>
          <cell r="AJ14" t="str">
            <v>WD310-EM103-00002</v>
          </cell>
          <cell r="AL14" t="str">
            <v>0</v>
          </cell>
        </row>
        <row r="15">
          <cell r="B15" t="str">
            <v>32LBC10CT101</v>
          </cell>
          <cell r="D15" t="str">
            <v>HP TBN EXH COLD RH LINE STM TEMP</v>
          </cell>
          <cell r="E15" t="str">
            <v>TT</v>
          </cell>
          <cell r="F15" t="str">
            <v>AI</v>
          </cell>
          <cell r="G15" t="str">
            <v>4~20mA</v>
          </cell>
          <cell r="H15" t="str">
            <v>LOOP</v>
          </cell>
          <cell r="I15" t="str">
            <v>STEAM</v>
          </cell>
          <cell r="J15">
            <v>45.02</v>
          </cell>
          <cell r="K15">
            <v>373.3</v>
          </cell>
          <cell r="L15">
            <v>689.1</v>
          </cell>
          <cell r="M15" t="str">
            <v>T/H</v>
          </cell>
          <cell r="N15" t="str">
            <v>DN600</v>
          </cell>
          <cell r="O15" t="str">
            <v>DN25 SW</v>
          </cell>
          <cell r="P15" t="str">
            <v>0~500</v>
          </cell>
          <cell r="Q15" t="str">
            <v>OC</v>
          </cell>
          <cell r="AD15" t="str">
            <v>TO DCS</v>
          </cell>
          <cell r="AE15" t="str">
            <v>T/C(K-TYPE)</v>
          </cell>
          <cell r="AF15" t="str">
            <v>316SS</v>
          </cell>
          <cell r="AH15" t="str">
            <v>LATER</v>
          </cell>
          <cell r="AI15" t="str">
            <v>LATER</v>
          </cell>
          <cell r="AJ15" t="str">
            <v>WD310-EM103-00002</v>
          </cell>
          <cell r="AL15" t="str">
            <v>0</v>
          </cell>
        </row>
        <row r="16">
          <cell r="B16" t="str">
            <v>32LBC10CT401</v>
          </cell>
          <cell r="D16" t="str">
            <v>HP TBN EXH COLD RH LINE STM TEMP</v>
          </cell>
          <cell r="E16" t="str">
            <v>TW</v>
          </cell>
          <cell r="F16" t="str">
            <v>N/A</v>
          </cell>
          <cell r="G16" t="str">
            <v>N/A</v>
          </cell>
          <cell r="H16" t="str">
            <v>N/A</v>
          </cell>
          <cell r="I16" t="str">
            <v>STEAM</v>
          </cell>
          <cell r="J16">
            <v>45.02</v>
          </cell>
          <cell r="K16">
            <v>373.3</v>
          </cell>
          <cell r="L16">
            <v>689.1</v>
          </cell>
          <cell r="M16" t="str">
            <v>T/H</v>
          </cell>
          <cell r="N16" t="str">
            <v>DN600</v>
          </cell>
          <cell r="O16" t="str">
            <v>DN25 SW</v>
          </cell>
          <cell r="P16" t="str">
            <v>N/A</v>
          </cell>
          <cell r="Q16" t="str">
            <v>N/A</v>
          </cell>
          <cell r="AD16" t="str">
            <v>N/A</v>
          </cell>
          <cell r="AE16" t="str">
            <v>THERMOWELL</v>
          </cell>
          <cell r="AF16" t="str">
            <v>316SS</v>
          </cell>
          <cell r="AH16" t="str">
            <v>LATER</v>
          </cell>
          <cell r="AI16" t="str">
            <v>LATER</v>
          </cell>
          <cell r="AJ16" t="str">
            <v>WD310-EM103-00002</v>
          </cell>
          <cell r="AL16" t="str">
            <v>0</v>
          </cell>
        </row>
        <row r="17">
          <cell r="B17" t="str">
            <v>32LBC10CT402</v>
          </cell>
          <cell r="D17" t="str">
            <v>HP TBN EXH COLD RH LINE STM TEMP</v>
          </cell>
          <cell r="E17" t="str">
            <v>TW</v>
          </cell>
          <cell r="F17" t="str">
            <v>N/A</v>
          </cell>
          <cell r="G17" t="str">
            <v>N/A</v>
          </cell>
          <cell r="H17" t="str">
            <v>N/A</v>
          </cell>
          <cell r="I17" t="str">
            <v>STEAM</v>
          </cell>
          <cell r="J17">
            <v>45.02</v>
          </cell>
          <cell r="K17">
            <v>373.3</v>
          </cell>
          <cell r="L17">
            <v>689.1</v>
          </cell>
          <cell r="M17" t="str">
            <v>T/H</v>
          </cell>
          <cell r="N17" t="str">
            <v>DN600</v>
          </cell>
          <cell r="O17" t="str">
            <v>DN25 SW</v>
          </cell>
          <cell r="P17" t="str">
            <v>N/A</v>
          </cell>
          <cell r="Q17" t="str">
            <v>N/A</v>
          </cell>
          <cell r="AD17" t="str">
            <v>N/A</v>
          </cell>
          <cell r="AE17" t="str">
            <v>THERMOWELL</v>
          </cell>
          <cell r="AF17" t="str">
            <v>316SS</v>
          </cell>
          <cell r="AH17" t="str">
            <v>LATER</v>
          </cell>
          <cell r="AI17" t="str">
            <v>LATER</v>
          </cell>
          <cell r="AJ17" t="str">
            <v>WD310-EM103-00002</v>
          </cell>
          <cell r="AL17" t="str">
            <v>0</v>
          </cell>
        </row>
        <row r="18">
          <cell r="B18" t="str">
            <v>32LBC10CT102A</v>
          </cell>
          <cell r="D18" t="str">
            <v>HP TBN EXH COLD RH LINE STM TEMP</v>
          </cell>
          <cell r="E18" t="str">
            <v>TT</v>
          </cell>
          <cell r="F18" t="str">
            <v>AI</v>
          </cell>
          <cell r="G18" t="str">
            <v>4~20mA</v>
          </cell>
          <cell r="H18" t="str">
            <v>LOOP</v>
          </cell>
          <cell r="I18" t="str">
            <v>STEAM</v>
          </cell>
          <cell r="J18">
            <v>45.02</v>
          </cell>
          <cell r="K18">
            <v>373.3</v>
          </cell>
          <cell r="L18">
            <v>689.1</v>
          </cell>
          <cell r="M18" t="str">
            <v>T/H</v>
          </cell>
          <cell r="N18" t="str">
            <v>DN600</v>
          </cell>
          <cell r="O18" t="str">
            <v>DN25 SW</v>
          </cell>
          <cell r="P18" t="str">
            <v>0~500</v>
          </cell>
          <cell r="Q18" t="str">
            <v>OC</v>
          </cell>
          <cell r="AD18" t="str">
            <v>TO DCS</v>
          </cell>
          <cell r="AE18" t="str">
            <v>T/C(K-TYPE)</v>
          </cell>
          <cell r="AF18" t="str">
            <v>316SS</v>
          </cell>
          <cell r="AH18" t="str">
            <v>LATER</v>
          </cell>
          <cell r="AI18" t="str">
            <v>LATER</v>
          </cell>
          <cell r="AJ18" t="str">
            <v>WD310-EM103-00002</v>
          </cell>
          <cell r="AL18" t="str">
            <v>0</v>
          </cell>
        </row>
        <row r="19">
          <cell r="B19" t="str">
            <v>32LBC10CT102B</v>
          </cell>
          <cell r="D19" t="str">
            <v>HP TBN EXH COLD RH LINE STM TEMP</v>
          </cell>
          <cell r="E19" t="str">
            <v>TT</v>
          </cell>
          <cell r="F19" t="str">
            <v>AI</v>
          </cell>
          <cell r="G19" t="str">
            <v>4~20mA</v>
          </cell>
          <cell r="H19" t="str">
            <v>LOOP</v>
          </cell>
          <cell r="I19" t="str">
            <v>STEAM</v>
          </cell>
          <cell r="J19">
            <v>45.02</v>
          </cell>
          <cell r="K19">
            <v>373.3</v>
          </cell>
          <cell r="L19">
            <v>689.1</v>
          </cell>
          <cell r="M19" t="str">
            <v>T/H</v>
          </cell>
          <cell r="N19" t="str">
            <v>DN600</v>
          </cell>
          <cell r="O19" t="str">
            <v>DN25 SW</v>
          </cell>
          <cell r="P19" t="str">
            <v>0~500</v>
          </cell>
          <cell r="Q19" t="str">
            <v>OC</v>
          </cell>
          <cell r="AD19" t="str">
            <v>TO DCS</v>
          </cell>
          <cell r="AE19" t="str">
            <v>T/C(K-TYPE)</v>
          </cell>
          <cell r="AF19" t="str">
            <v>316SS</v>
          </cell>
          <cell r="AH19" t="str">
            <v>LATER</v>
          </cell>
          <cell r="AI19" t="str">
            <v>LATER</v>
          </cell>
          <cell r="AJ19" t="str">
            <v>WD310-EM103-00002</v>
          </cell>
          <cell r="AL19" t="str">
            <v>0</v>
          </cell>
        </row>
        <row r="20">
          <cell r="B20" t="str">
            <v>32LBC10CT501</v>
          </cell>
          <cell r="D20" t="str">
            <v>HP TBN EXH COLD RH LINE STM TEMP</v>
          </cell>
          <cell r="E20" t="str">
            <v>TI</v>
          </cell>
          <cell r="F20" t="str">
            <v>N/A</v>
          </cell>
          <cell r="G20" t="str">
            <v>N/A</v>
          </cell>
          <cell r="H20" t="str">
            <v>N/A</v>
          </cell>
          <cell r="I20" t="str">
            <v>STEAM</v>
          </cell>
          <cell r="J20">
            <v>45.02</v>
          </cell>
          <cell r="K20">
            <v>373.3</v>
          </cell>
          <cell r="L20">
            <v>689.1</v>
          </cell>
          <cell r="M20" t="str">
            <v>T/H</v>
          </cell>
          <cell r="N20" t="str">
            <v>DN600</v>
          </cell>
          <cell r="O20" t="str">
            <v>DN25 SW</v>
          </cell>
          <cell r="P20" t="str">
            <v>0~600</v>
          </cell>
          <cell r="Q20" t="str">
            <v>OC</v>
          </cell>
          <cell r="AD20" t="str">
            <v>N/A</v>
          </cell>
          <cell r="AE20" t="str">
            <v>BIMETAL</v>
          </cell>
          <cell r="AF20" t="str">
            <v>316SS</v>
          </cell>
          <cell r="AH20" t="str">
            <v>LATER</v>
          </cell>
          <cell r="AI20" t="str">
            <v>LATER</v>
          </cell>
          <cell r="AJ20" t="str">
            <v>WD310-EM103-00002</v>
          </cell>
          <cell r="AL20" t="str">
            <v>0</v>
          </cell>
        </row>
        <row r="21">
          <cell r="B21" t="str">
            <v>32LBC10CP102A</v>
          </cell>
          <cell r="D21" t="str">
            <v>HP TBN EXH COLD RH LINE STM PRESS</v>
          </cell>
          <cell r="E21" t="str">
            <v>PIT</v>
          </cell>
          <cell r="F21" t="str">
            <v>AI</v>
          </cell>
          <cell r="G21" t="str">
            <v>4~20mA</v>
          </cell>
          <cell r="H21" t="str">
            <v>LOOP</v>
          </cell>
          <cell r="I21" t="str">
            <v>STEAM</v>
          </cell>
          <cell r="J21">
            <v>45.02</v>
          </cell>
          <cell r="K21">
            <v>373.3</v>
          </cell>
          <cell r="L21">
            <v>689.1</v>
          </cell>
          <cell r="M21" t="str">
            <v>T/H</v>
          </cell>
          <cell r="N21" t="str">
            <v>DN600</v>
          </cell>
          <cell r="O21" t="str">
            <v>DN15 NPT</v>
          </cell>
          <cell r="P21" t="str">
            <v>0~60</v>
          </cell>
          <cell r="Q21" t="str">
            <v>BARG</v>
          </cell>
          <cell r="AD21" t="str">
            <v>TO DCS</v>
          </cell>
          <cell r="AE21" t="str">
            <v>DIAPHRAGM</v>
          </cell>
          <cell r="AF21" t="str">
            <v>316SS</v>
          </cell>
          <cell r="AH21" t="str">
            <v>LATER</v>
          </cell>
          <cell r="AI21" t="str">
            <v>LATER</v>
          </cell>
          <cell r="AJ21" t="str">
            <v>WD310-EM103-00002</v>
          </cell>
          <cell r="AL21" t="str">
            <v>0</v>
          </cell>
        </row>
        <row r="22">
          <cell r="B22" t="str">
            <v>32LBC10CP102B</v>
          </cell>
          <cell r="D22" t="str">
            <v>HP TBN EXH COLD RH LINE STM PRESS</v>
          </cell>
          <cell r="E22" t="str">
            <v>PIT</v>
          </cell>
          <cell r="F22" t="str">
            <v>AI</v>
          </cell>
          <cell r="G22" t="str">
            <v>4~20mA</v>
          </cell>
          <cell r="H22" t="str">
            <v>LOOP</v>
          </cell>
          <cell r="I22" t="str">
            <v>STEAM</v>
          </cell>
          <cell r="J22">
            <v>45.02</v>
          </cell>
          <cell r="K22">
            <v>373.3</v>
          </cell>
          <cell r="L22">
            <v>689.1</v>
          </cell>
          <cell r="M22" t="str">
            <v>T/H</v>
          </cell>
          <cell r="N22" t="str">
            <v>DN600</v>
          </cell>
          <cell r="O22" t="str">
            <v>DN15 NPT</v>
          </cell>
          <cell r="P22" t="str">
            <v>0~60</v>
          </cell>
          <cell r="Q22" t="str">
            <v>BARG</v>
          </cell>
          <cell r="AD22" t="str">
            <v>TO DCS</v>
          </cell>
          <cell r="AE22" t="str">
            <v>DIAPHRAGM</v>
          </cell>
          <cell r="AF22" t="str">
            <v>316SS</v>
          </cell>
          <cell r="AH22" t="str">
            <v>LATER</v>
          </cell>
          <cell r="AI22" t="str">
            <v>LATER</v>
          </cell>
          <cell r="AJ22" t="str">
            <v>WD310-EM103-00002</v>
          </cell>
          <cell r="AL22" t="str">
            <v>0</v>
          </cell>
        </row>
        <row r="23">
          <cell r="B23" t="str">
            <v>32LBC10CL201</v>
          </cell>
          <cell r="D23" t="str">
            <v>COLD RH DRN LINE WTR LVL</v>
          </cell>
          <cell r="E23" t="str">
            <v>LSHH</v>
          </cell>
          <cell r="F23" t="str">
            <v>DI</v>
          </cell>
          <cell r="G23" t="str">
            <v>CONTACT</v>
          </cell>
          <cell r="H23" t="str">
            <v>N/A</v>
          </cell>
          <cell r="I23" t="str">
            <v>WATER</v>
          </cell>
          <cell r="J23">
            <v>45.02</v>
          </cell>
          <cell r="K23">
            <v>373.3</v>
          </cell>
          <cell r="L23">
            <v>689.1</v>
          </cell>
          <cell r="M23" t="str">
            <v>T/H</v>
          </cell>
          <cell r="N23" t="str">
            <v>DN350</v>
          </cell>
          <cell r="O23" t="str">
            <v>DN25 SW</v>
          </cell>
          <cell r="P23" t="str">
            <v>N/A</v>
          </cell>
          <cell r="Q23" t="str">
            <v>N/A</v>
          </cell>
          <cell r="AE23" t="str">
            <v>EXT. CAGE FLOAT</v>
          </cell>
          <cell r="AF23" t="str">
            <v>316SS</v>
          </cell>
          <cell r="AH23" t="str">
            <v>LATER</v>
          </cell>
          <cell r="AI23" t="str">
            <v>LATER</v>
          </cell>
          <cell r="AJ23" t="str">
            <v>WD310-EM103-00002</v>
          </cell>
          <cell r="AL23" t="str">
            <v>0</v>
          </cell>
        </row>
        <row r="24">
          <cell r="B24" t="str">
            <v>32LBC10CL202</v>
          </cell>
          <cell r="D24" t="str">
            <v>COLD RH DRN LINE WTR LVL</v>
          </cell>
          <cell r="E24" t="str">
            <v>LSH</v>
          </cell>
          <cell r="F24" t="str">
            <v>DI</v>
          </cell>
          <cell r="G24" t="str">
            <v>CONTACT</v>
          </cell>
          <cell r="H24" t="str">
            <v>N/A</v>
          </cell>
          <cell r="I24" t="str">
            <v>WATER</v>
          </cell>
          <cell r="J24">
            <v>45.02</v>
          </cell>
          <cell r="K24">
            <v>373.3</v>
          </cell>
          <cell r="L24">
            <v>689.1</v>
          </cell>
          <cell r="M24" t="str">
            <v>T/H</v>
          </cell>
          <cell r="N24" t="str">
            <v>DN350</v>
          </cell>
          <cell r="O24" t="str">
            <v>DN25 SW</v>
          </cell>
          <cell r="P24" t="str">
            <v>N/A</v>
          </cell>
          <cell r="Q24" t="str">
            <v>N/A</v>
          </cell>
          <cell r="AE24" t="str">
            <v>EXT. CAGE FLOAT</v>
          </cell>
          <cell r="AF24" t="str">
            <v>316SS</v>
          </cell>
          <cell r="AH24" t="str">
            <v>LATER</v>
          </cell>
          <cell r="AI24" t="str">
            <v>LATER</v>
          </cell>
          <cell r="AJ24" t="str">
            <v>WD310-EM103-00002</v>
          </cell>
          <cell r="AL24" t="str">
            <v>0</v>
          </cell>
        </row>
        <row r="25">
          <cell r="B25" t="str">
            <v>32LBB10CP101A</v>
          </cell>
          <cell r="D25" t="str">
            <v xml:space="preserve">HOT RH HDR LINE PRESS  </v>
          </cell>
          <cell r="E25" t="str">
            <v>PIT</v>
          </cell>
          <cell r="F25" t="str">
            <v>AI</v>
          </cell>
          <cell r="G25" t="str">
            <v>4~20mA</v>
          </cell>
          <cell r="H25" t="str">
            <v>LOOP</v>
          </cell>
          <cell r="I25" t="str">
            <v>STEAM</v>
          </cell>
          <cell r="J25">
            <v>41.91</v>
          </cell>
          <cell r="K25">
            <v>566.6</v>
          </cell>
          <cell r="L25">
            <v>689.1</v>
          </cell>
          <cell r="M25" t="str">
            <v>T/H</v>
          </cell>
          <cell r="N25" t="str">
            <v>DN650</v>
          </cell>
          <cell r="O25" t="str">
            <v>DN15 NPT</v>
          </cell>
          <cell r="P25" t="str">
            <v>0~60</v>
          </cell>
          <cell r="Q25" t="str">
            <v>BARG</v>
          </cell>
          <cell r="AD25" t="str">
            <v>TO DCS</v>
          </cell>
          <cell r="AE25" t="str">
            <v>DIAPHRAGM</v>
          </cell>
          <cell r="AF25" t="str">
            <v>316SS</v>
          </cell>
          <cell r="AH25" t="str">
            <v>LATER</v>
          </cell>
          <cell r="AI25" t="str">
            <v>LATER</v>
          </cell>
          <cell r="AJ25" t="str">
            <v>WD310-EM103-00003</v>
          </cell>
          <cell r="AL25" t="str">
            <v>0</v>
          </cell>
        </row>
        <row r="26">
          <cell r="B26" t="str">
            <v>32LBB10CP101B</v>
          </cell>
          <cell r="D26" t="str">
            <v xml:space="preserve">HOT RH HDR LINE PRESS  </v>
          </cell>
          <cell r="E26" t="str">
            <v>PIT</v>
          </cell>
          <cell r="F26" t="str">
            <v>AI</v>
          </cell>
          <cell r="G26" t="str">
            <v>4~20mA</v>
          </cell>
          <cell r="H26" t="str">
            <v>LOOP</v>
          </cell>
          <cell r="I26" t="str">
            <v>STEAM</v>
          </cell>
          <cell r="J26">
            <v>41.91</v>
          </cell>
          <cell r="K26">
            <v>566.6</v>
          </cell>
          <cell r="L26">
            <v>689.1</v>
          </cell>
          <cell r="M26" t="str">
            <v>T/H</v>
          </cell>
          <cell r="N26" t="str">
            <v>DN650</v>
          </cell>
          <cell r="O26" t="str">
            <v>DN15 NPT</v>
          </cell>
          <cell r="P26" t="str">
            <v>0~60</v>
          </cell>
          <cell r="Q26" t="str">
            <v>BARG</v>
          </cell>
          <cell r="AD26" t="str">
            <v>TO DCS</v>
          </cell>
          <cell r="AE26" t="str">
            <v>DIAPHRAGM</v>
          </cell>
          <cell r="AF26" t="str">
            <v>316SS</v>
          </cell>
          <cell r="AH26" t="str">
            <v>LATER</v>
          </cell>
          <cell r="AI26" t="str">
            <v>LATER</v>
          </cell>
          <cell r="AJ26" t="str">
            <v>WD310-EM103-00003</v>
          </cell>
          <cell r="AL26" t="str">
            <v>0</v>
          </cell>
        </row>
        <row r="27">
          <cell r="B27" t="str">
            <v>32LBB10CT101A</v>
          </cell>
          <cell r="D27" t="str">
            <v xml:space="preserve">HOT RH HDR LINE TEMP  </v>
          </cell>
          <cell r="E27" t="str">
            <v>TT</v>
          </cell>
          <cell r="F27" t="str">
            <v>AI</v>
          </cell>
          <cell r="G27" t="str">
            <v>4~20mA</v>
          </cell>
          <cell r="H27" t="str">
            <v>LOOP</v>
          </cell>
          <cell r="I27" t="str">
            <v>STEAM</v>
          </cell>
          <cell r="J27">
            <v>41.91</v>
          </cell>
          <cell r="K27">
            <v>566.6</v>
          </cell>
          <cell r="L27">
            <v>689.1</v>
          </cell>
          <cell r="M27" t="str">
            <v>T/H</v>
          </cell>
          <cell r="N27" t="str">
            <v>DN650</v>
          </cell>
          <cell r="O27" t="str">
            <v>38.1mm NOM WI</v>
          </cell>
          <cell r="P27" t="str">
            <v>0~700</v>
          </cell>
          <cell r="Q27" t="str">
            <v>OC</v>
          </cell>
          <cell r="AD27" t="str">
            <v>TO DCS</v>
          </cell>
          <cell r="AE27" t="str">
            <v>T/C(K-TYPE)</v>
          </cell>
          <cell r="AF27" t="str">
            <v>316SS</v>
          </cell>
          <cell r="AH27" t="str">
            <v>LATER</v>
          </cell>
          <cell r="AI27" t="str">
            <v>LATER</v>
          </cell>
          <cell r="AJ27" t="str">
            <v>WD310-EM103-00003</v>
          </cell>
          <cell r="AL27" t="str">
            <v>0</v>
          </cell>
        </row>
        <row r="28">
          <cell r="B28" t="str">
            <v>32LBB10CT101B</v>
          </cell>
          <cell r="D28" t="str">
            <v xml:space="preserve">HOT RH HDR LINE TEMP  </v>
          </cell>
          <cell r="E28" t="str">
            <v>TT</v>
          </cell>
          <cell r="F28" t="str">
            <v>AI</v>
          </cell>
          <cell r="G28" t="str">
            <v>4~20mA</v>
          </cell>
          <cell r="H28" t="str">
            <v>LOOP</v>
          </cell>
          <cell r="I28" t="str">
            <v>STEAM</v>
          </cell>
          <cell r="J28">
            <v>41.91</v>
          </cell>
          <cell r="K28">
            <v>566.6</v>
          </cell>
          <cell r="L28">
            <v>689.1</v>
          </cell>
          <cell r="M28" t="str">
            <v>T/H</v>
          </cell>
          <cell r="N28" t="str">
            <v>DN650</v>
          </cell>
          <cell r="O28" t="str">
            <v>38.1mm NOM WI</v>
          </cell>
          <cell r="P28" t="str">
            <v>0~700</v>
          </cell>
          <cell r="Q28" t="str">
            <v>OC</v>
          </cell>
          <cell r="AD28" t="str">
            <v>TO DCS</v>
          </cell>
          <cell r="AE28" t="str">
            <v>T/C(K-TYPE)</v>
          </cell>
          <cell r="AF28" t="str">
            <v>316SS</v>
          </cell>
          <cell r="AH28" t="str">
            <v>LATER</v>
          </cell>
          <cell r="AI28" t="str">
            <v>LATER</v>
          </cell>
          <cell r="AJ28" t="str">
            <v>WD310-EM103-00003</v>
          </cell>
          <cell r="AL28" t="str">
            <v>0</v>
          </cell>
        </row>
        <row r="29">
          <cell r="B29" t="str">
            <v>32LBB21CT401</v>
          </cell>
          <cell r="D29" t="str">
            <v>RH STOP VALVE 1 INL HOT RH LINE TEMP</v>
          </cell>
          <cell r="E29" t="str">
            <v>TW</v>
          </cell>
          <cell r="F29" t="str">
            <v>N/A</v>
          </cell>
          <cell r="G29" t="str">
            <v>N/A</v>
          </cell>
          <cell r="H29" t="str">
            <v>N/A</v>
          </cell>
          <cell r="I29" t="str">
            <v>STEAM</v>
          </cell>
          <cell r="J29" t="str">
            <v>40.49</v>
          </cell>
          <cell r="K29" t="str">
            <v>565</v>
          </cell>
          <cell r="L29" t="str">
            <v>344.5</v>
          </cell>
          <cell r="M29" t="str">
            <v>T/H</v>
          </cell>
          <cell r="N29" t="str">
            <v>DN550</v>
          </cell>
          <cell r="O29" t="str">
            <v>38.1mm NOM WI</v>
          </cell>
          <cell r="P29" t="str">
            <v>N/A</v>
          </cell>
          <cell r="Q29" t="str">
            <v>N/A</v>
          </cell>
          <cell r="AD29" t="str">
            <v>N/A</v>
          </cell>
          <cell r="AE29" t="str">
            <v>THERMOWELL</v>
          </cell>
          <cell r="AF29" t="str">
            <v>316SS</v>
          </cell>
          <cell r="AH29" t="str">
            <v>LATER</v>
          </cell>
          <cell r="AI29" t="str">
            <v>LATER</v>
          </cell>
          <cell r="AJ29" t="str">
            <v>WD310-EM103-00003</v>
          </cell>
          <cell r="AL29" t="str">
            <v>0</v>
          </cell>
        </row>
        <row r="30">
          <cell r="B30" t="str">
            <v>32LBB21CT402</v>
          </cell>
          <cell r="D30" t="str">
            <v>RH STOP VALVE 1 INL HOT RH LINE TEMP</v>
          </cell>
          <cell r="E30" t="str">
            <v>TW</v>
          </cell>
          <cell r="F30" t="str">
            <v>N/A</v>
          </cell>
          <cell r="G30" t="str">
            <v>N/A</v>
          </cell>
          <cell r="H30" t="str">
            <v>N/A</v>
          </cell>
          <cell r="I30" t="str">
            <v>STEAM</v>
          </cell>
          <cell r="J30" t="str">
            <v>40.49</v>
          </cell>
          <cell r="K30" t="str">
            <v>565</v>
          </cell>
          <cell r="L30" t="str">
            <v>344.5</v>
          </cell>
          <cell r="M30" t="str">
            <v>T/H</v>
          </cell>
          <cell r="N30" t="str">
            <v>DN550</v>
          </cell>
          <cell r="O30" t="str">
            <v>38.1mm NOM WI</v>
          </cell>
          <cell r="P30" t="str">
            <v>N/A</v>
          </cell>
          <cell r="Q30" t="str">
            <v>N/A</v>
          </cell>
          <cell r="AD30" t="str">
            <v>N/A</v>
          </cell>
          <cell r="AE30" t="str">
            <v>THERMOWELL</v>
          </cell>
          <cell r="AF30" t="str">
            <v>316SS</v>
          </cell>
          <cell r="AH30" t="str">
            <v>LATER</v>
          </cell>
          <cell r="AI30" t="str">
            <v>LATER</v>
          </cell>
          <cell r="AJ30" t="str">
            <v>WD310-EM103-00003</v>
          </cell>
          <cell r="AL30" t="str">
            <v>0</v>
          </cell>
        </row>
        <row r="31">
          <cell r="B31" t="str">
            <v>32LBB22CT401</v>
          </cell>
          <cell r="D31" t="str">
            <v>RH STOP VALVE 2 INL HOT RH LINE TEMP</v>
          </cell>
          <cell r="E31" t="str">
            <v>TW</v>
          </cell>
          <cell r="F31" t="str">
            <v>N/A</v>
          </cell>
          <cell r="G31" t="str">
            <v>N/A</v>
          </cell>
          <cell r="H31" t="str">
            <v>N/A</v>
          </cell>
          <cell r="I31" t="str">
            <v>STEAM</v>
          </cell>
          <cell r="J31" t="str">
            <v>40.49</v>
          </cell>
          <cell r="K31" t="str">
            <v>565</v>
          </cell>
          <cell r="L31" t="str">
            <v>344.5</v>
          </cell>
          <cell r="M31" t="str">
            <v>T/H</v>
          </cell>
          <cell r="N31" t="str">
            <v>DN550</v>
          </cell>
          <cell r="O31" t="str">
            <v>38.1mm NOM WI</v>
          </cell>
          <cell r="P31" t="str">
            <v>N/A</v>
          </cell>
          <cell r="Q31" t="str">
            <v>N/A</v>
          </cell>
          <cell r="AD31" t="str">
            <v>N/A</v>
          </cell>
          <cell r="AE31" t="str">
            <v>THERMOWELL</v>
          </cell>
          <cell r="AF31" t="str">
            <v>316SS</v>
          </cell>
          <cell r="AH31" t="str">
            <v>LATER</v>
          </cell>
          <cell r="AI31" t="str">
            <v>LATER</v>
          </cell>
          <cell r="AJ31" t="str">
            <v>WD310-EM103-00003</v>
          </cell>
          <cell r="AL31" t="str">
            <v>0</v>
          </cell>
          <cell r="AM31" t="str">
            <v>ADDITION</v>
          </cell>
        </row>
        <row r="32">
          <cell r="B32" t="str">
            <v>32LBB22CT402</v>
          </cell>
          <cell r="D32" t="str">
            <v>RH STOP VALVE 2 INL HOT RH LINE TEMP</v>
          </cell>
          <cell r="E32" t="str">
            <v>TW</v>
          </cell>
          <cell r="F32" t="str">
            <v>N/A</v>
          </cell>
          <cell r="G32" t="str">
            <v>N/A</v>
          </cell>
          <cell r="H32" t="str">
            <v>N/A</v>
          </cell>
          <cell r="I32" t="str">
            <v>STEAM</v>
          </cell>
          <cell r="J32" t="str">
            <v>40.49</v>
          </cell>
          <cell r="K32" t="str">
            <v>565</v>
          </cell>
          <cell r="L32" t="str">
            <v>344.5</v>
          </cell>
          <cell r="M32" t="str">
            <v>T/H</v>
          </cell>
          <cell r="N32" t="str">
            <v>DN550</v>
          </cell>
          <cell r="O32" t="str">
            <v>38.1mm NOM WI</v>
          </cell>
          <cell r="P32" t="str">
            <v>N/A</v>
          </cell>
          <cell r="Q32" t="str">
            <v>N/A</v>
          </cell>
          <cell r="AD32" t="str">
            <v>N/A</v>
          </cell>
          <cell r="AE32" t="str">
            <v>THERMOWELL</v>
          </cell>
          <cell r="AF32" t="str">
            <v>316SS</v>
          </cell>
          <cell r="AH32" t="str">
            <v>LATER</v>
          </cell>
          <cell r="AI32" t="str">
            <v>LATER</v>
          </cell>
          <cell r="AJ32" t="str">
            <v>WD310-EM103-00003</v>
          </cell>
          <cell r="AL32" t="str">
            <v>0</v>
          </cell>
          <cell r="AM32" t="str">
            <v>ADDITION</v>
          </cell>
        </row>
        <row r="33">
          <cell r="B33" t="str">
            <v>32LBB10CT501</v>
          </cell>
          <cell r="D33" t="str">
            <v xml:space="preserve">HOT RH HDR LINE TEMP  </v>
          </cell>
          <cell r="E33" t="str">
            <v>TI</v>
          </cell>
          <cell r="F33" t="str">
            <v>N/A</v>
          </cell>
          <cell r="G33" t="str">
            <v>N/A</v>
          </cell>
          <cell r="H33" t="str">
            <v>N/A</v>
          </cell>
          <cell r="I33" t="str">
            <v>STEAM</v>
          </cell>
          <cell r="J33">
            <v>41.91</v>
          </cell>
          <cell r="K33">
            <v>566.6</v>
          </cell>
          <cell r="L33">
            <v>689.1</v>
          </cell>
          <cell r="M33" t="str">
            <v>T/H</v>
          </cell>
          <cell r="N33" t="str">
            <v>DN650</v>
          </cell>
          <cell r="O33" t="str">
            <v>38.1mm NOM WI</v>
          </cell>
          <cell r="P33" t="str">
            <v>0~1,000</v>
          </cell>
          <cell r="Q33" t="str">
            <v>OC</v>
          </cell>
          <cell r="AE33" t="str">
            <v>LATER</v>
          </cell>
          <cell r="AF33" t="str">
            <v>316SS</v>
          </cell>
          <cell r="AH33" t="str">
            <v>LATER</v>
          </cell>
          <cell r="AI33" t="str">
            <v>LATER</v>
          </cell>
          <cell r="AJ33" t="str">
            <v>WD310-EM103-00003</v>
          </cell>
          <cell r="AL33" t="str">
            <v>0</v>
          </cell>
        </row>
        <row r="34">
          <cell r="B34" t="str">
            <v>32LBB21CT101</v>
          </cell>
          <cell r="D34" t="str">
            <v>RH STOP VALVE INL DRN LINE TEMP</v>
          </cell>
          <cell r="E34" t="str">
            <v>TT</v>
          </cell>
          <cell r="F34" t="str">
            <v>AI</v>
          </cell>
          <cell r="G34" t="str">
            <v>4~20mA</v>
          </cell>
          <cell r="H34" t="str">
            <v>LOOP</v>
          </cell>
          <cell r="I34" t="str">
            <v>STEAM</v>
          </cell>
          <cell r="J34" t="str">
            <v>40.49</v>
          </cell>
          <cell r="K34" t="str">
            <v>565</v>
          </cell>
          <cell r="L34" t="str">
            <v>344.5</v>
          </cell>
          <cell r="M34" t="str">
            <v>T/H</v>
          </cell>
          <cell r="N34" t="str">
            <v>DN350</v>
          </cell>
          <cell r="O34" t="str">
            <v>DN25 SW</v>
          </cell>
          <cell r="P34" t="str">
            <v>0~700</v>
          </cell>
          <cell r="Q34" t="str">
            <v>OC</v>
          </cell>
          <cell r="AD34" t="str">
            <v>TO DCS</v>
          </cell>
          <cell r="AE34" t="str">
            <v>T/C(K-TYPE)</v>
          </cell>
          <cell r="AF34" t="str">
            <v>316SS</v>
          </cell>
          <cell r="AH34" t="str">
            <v>LATER</v>
          </cell>
          <cell r="AI34" t="str">
            <v>LATER</v>
          </cell>
          <cell r="AJ34" t="str">
            <v>WD310-EM103-00003</v>
          </cell>
          <cell r="AL34" t="str">
            <v>0</v>
          </cell>
        </row>
        <row r="35">
          <cell r="B35" t="str">
            <v>32LBB22CT101</v>
          </cell>
          <cell r="D35" t="str">
            <v>RH STOP VALVE INL DRN LINE TEMP</v>
          </cell>
          <cell r="E35" t="str">
            <v>TT</v>
          </cell>
          <cell r="F35" t="str">
            <v>AI</v>
          </cell>
          <cell r="G35" t="str">
            <v>4~20mA</v>
          </cell>
          <cell r="H35" t="str">
            <v>LOOP</v>
          </cell>
          <cell r="I35" t="str">
            <v>STEAM</v>
          </cell>
          <cell r="J35" t="str">
            <v>40.49</v>
          </cell>
          <cell r="K35" t="str">
            <v>565</v>
          </cell>
          <cell r="L35" t="str">
            <v>344.5</v>
          </cell>
          <cell r="M35" t="str">
            <v>T/H</v>
          </cell>
          <cell r="N35" t="str">
            <v>DN350</v>
          </cell>
          <cell r="O35" t="str">
            <v>DN25 SW</v>
          </cell>
          <cell r="P35" t="str">
            <v>0~700</v>
          </cell>
          <cell r="Q35" t="str">
            <v>OC</v>
          </cell>
          <cell r="AD35" t="str">
            <v>TO DCS</v>
          </cell>
          <cell r="AE35" t="str">
            <v>T/C(K-TYPE)</v>
          </cell>
          <cell r="AF35" t="str">
            <v>316SS</v>
          </cell>
          <cell r="AH35" t="str">
            <v>LATER</v>
          </cell>
          <cell r="AI35" t="str">
            <v>LATER</v>
          </cell>
          <cell r="AJ35" t="str">
            <v>WD310-EM103-00003</v>
          </cell>
          <cell r="AL35" t="str">
            <v>0</v>
          </cell>
        </row>
        <row r="36">
          <cell r="B36" t="str">
            <v>32LBQ20CT401</v>
          </cell>
          <cell r="D36" t="str">
            <v>HP FW HTR-Ⅱ INL HP TBN EXH STM TEMP</v>
          </cell>
          <cell r="E36" t="str">
            <v>TW</v>
          </cell>
          <cell r="F36" t="str">
            <v>N/A</v>
          </cell>
          <cell r="G36" t="str">
            <v>N/A</v>
          </cell>
          <cell r="H36" t="str">
            <v>N/A</v>
          </cell>
          <cell r="I36" t="str">
            <v>STEAM</v>
          </cell>
          <cell r="J36">
            <v>45.64</v>
          </cell>
          <cell r="K36" t="str">
            <v>374.4</v>
          </cell>
          <cell r="L36" t="str">
            <v>65.4</v>
          </cell>
          <cell r="M36" t="str">
            <v>T/H</v>
          </cell>
          <cell r="N36" t="str">
            <v>DN200</v>
          </cell>
          <cell r="O36" t="str">
            <v>DN25 SW</v>
          </cell>
          <cell r="P36" t="str">
            <v>N/A</v>
          </cell>
          <cell r="Q36" t="str">
            <v>N/A</v>
          </cell>
          <cell r="AD36" t="str">
            <v>N/A</v>
          </cell>
          <cell r="AE36" t="str">
            <v>THERMOWELL</v>
          </cell>
          <cell r="AF36" t="str">
            <v>316SS</v>
          </cell>
          <cell r="AH36" t="str">
            <v>LATER</v>
          </cell>
          <cell r="AI36" t="str">
            <v>LATER</v>
          </cell>
          <cell r="AJ36" t="str">
            <v>WD310-EM103-00004</v>
          </cell>
          <cell r="AL36" t="str">
            <v>0</v>
          </cell>
        </row>
        <row r="37">
          <cell r="B37" t="str">
            <v>32LBQ20CP101</v>
          </cell>
          <cell r="D37" t="str">
            <v>HP FW HTR-Ⅱ INL HP TBN EXH STM PRESS</v>
          </cell>
          <cell r="E37" t="str">
            <v>PIT</v>
          </cell>
          <cell r="F37" t="str">
            <v>AI</v>
          </cell>
          <cell r="G37" t="str">
            <v>4~20mA</v>
          </cell>
          <cell r="H37" t="str">
            <v>LOOP</v>
          </cell>
          <cell r="I37" t="str">
            <v>STEAM</v>
          </cell>
          <cell r="J37">
            <v>45.64</v>
          </cell>
          <cell r="K37" t="str">
            <v>374.4</v>
          </cell>
          <cell r="L37" t="str">
            <v>65.4</v>
          </cell>
          <cell r="M37" t="str">
            <v>T/H</v>
          </cell>
          <cell r="N37" t="str">
            <v>DN200</v>
          </cell>
          <cell r="O37" t="str">
            <v>DN15 NPT</v>
          </cell>
          <cell r="P37" t="str">
            <v>0~70</v>
          </cell>
          <cell r="Q37" t="str">
            <v>BARG</v>
          </cell>
          <cell r="AD37" t="str">
            <v>TO DCS</v>
          </cell>
          <cell r="AE37" t="str">
            <v>DIAPHRAGM</v>
          </cell>
          <cell r="AF37" t="str">
            <v>316SS</v>
          </cell>
          <cell r="AH37" t="str">
            <v>LATER</v>
          </cell>
          <cell r="AI37" t="str">
            <v>LATER</v>
          </cell>
          <cell r="AJ37" t="str">
            <v>WD310-EM103-00004</v>
          </cell>
          <cell r="AL37" t="str">
            <v>0</v>
          </cell>
        </row>
        <row r="38">
          <cell r="B38" t="str">
            <v>32LBQ20CT101</v>
          </cell>
          <cell r="D38" t="str">
            <v>HP FW HTR-Ⅱ INL HP TBN EXH STM TEMP</v>
          </cell>
          <cell r="E38" t="str">
            <v>TT</v>
          </cell>
          <cell r="F38" t="str">
            <v>AI</v>
          </cell>
          <cell r="G38" t="str">
            <v>4~20mA</v>
          </cell>
          <cell r="H38" t="str">
            <v>LOOP</v>
          </cell>
          <cell r="I38" t="str">
            <v>STEAM</v>
          </cell>
          <cell r="J38">
            <v>45.64</v>
          </cell>
          <cell r="K38" t="str">
            <v>374.4</v>
          </cell>
          <cell r="L38" t="str">
            <v>65.4</v>
          </cell>
          <cell r="M38" t="str">
            <v>T/H</v>
          </cell>
          <cell r="N38" t="str">
            <v>DN200</v>
          </cell>
          <cell r="O38" t="str">
            <v>DN25 SW</v>
          </cell>
          <cell r="P38" t="str">
            <v>0~500</v>
          </cell>
          <cell r="Q38" t="str">
            <v>OC</v>
          </cell>
          <cell r="AD38" t="str">
            <v>TO DCS</v>
          </cell>
          <cell r="AE38" t="str">
            <v>T/C(K-TYPE)</v>
          </cell>
          <cell r="AF38" t="str">
            <v>316SS</v>
          </cell>
          <cell r="AH38" t="str">
            <v>LATER</v>
          </cell>
          <cell r="AI38" t="str">
            <v>LATER</v>
          </cell>
          <cell r="AJ38" t="str">
            <v>WD310-EM103-00004</v>
          </cell>
          <cell r="AL38" t="str">
            <v>0</v>
          </cell>
        </row>
        <row r="39">
          <cell r="B39" t="str">
            <v>32LBQ20CT402</v>
          </cell>
          <cell r="D39" t="str">
            <v>HP FW HTR-Ⅱ INL HP TBN EXH STM TEMP</v>
          </cell>
          <cell r="E39" t="str">
            <v>TW</v>
          </cell>
          <cell r="F39" t="str">
            <v>N/A</v>
          </cell>
          <cell r="G39" t="str">
            <v>N/A</v>
          </cell>
          <cell r="H39" t="str">
            <v>N/A</v>
          </cell>
          <cell r="I39" t="str">
            <v>STEAM</v>
          </cell>
          <cell r="J39">
            <v>45.64</v>
          </cell>
          <cell r="K39" t="str">
            <v>374.4</v>
          </cell>
          <cell r="L39" t="str">
            <v>65.4</v>
          </cell>
          <cell r="M39" t="str">
            <v>T/H</v>
          </cell>
          <cell r="N39" t="str">
            <v>DN200</v>
          </cell>
          <cell r="O39" t="str">
            <v>DN25 SW</v>
          </cell>
          <cell r="P39" t="str">
            <v>N/A</v>
          </cell>
          <cell r="Q39" t="str">
            <v>N/A</v>
          </cell>
          <cell r="AD39" t="str">
            <v>N/A</v>
          </cell>
          <cell r="AE39" t="str">
            <v>THERMOWELL</v>
          </cell>
          <cell r="AF39" t="str">
            <v>316SS</v>
          </cell>
          <cell r="AH39" t="str">
            <v>LATER</v>
          </cell>
          <cell r="AI39" t="str">
            <v>LATER</v>
          </cell>
          <cell r="AJ39" t="str">
            <v>WD310-EM103-00004</v>
          </cell>
          <cell r="AL39" t="str">
            <v>0</v>
          </cell>
        </row>
        <row r="40">
          <cell r="B40" t="str">
            <v>32LBQ20CP102</v>
          </cell>
          <cell r="D40" t="str">
            <v>HP FW HTR-Ⅱ INL HP TBN EXH STM PRESS</v>
          </cell>
          <cell r="E40" t="str">
            <v>PIT</v>
          </cell>
          <cell r="F40" t="str">
            <v>AI</v>
          </cell>
          <cell r="G40" t="str">
            <v>4~20mA</v>
          </cell>
          <cell r="H40" t="str">
            <v>LOOP</v>
          </cell>
          <cell r="I40" t="str">
            <v>STEAM</v>
          </cell>
          <cell r="J40">
            <v>45.64</v>
          </cell>
          <cell r="K40" t="str">
            <v>374.4</v>
          </cell>
          <cell r="L40" t="str">
            <v>65.4</v>
          </cell>
          <cell r="M40" t="str">
            <v>T/H</v>
          </cell>
          <cell r="N40" t="str">
            <v>DN200</v>
          </cell>
          <cell r="O40" t="str">
            <v>DN15 NPT</v>
          </cell>
          <cell r="P40" t="str">
            <v>0~70</v>
          </cell>
          <cell r="Q40" t="str">
            <v>BARG</v>
          </cell>
          <cell r="AD40" t="str">
            <v>TO DCS</v>
          </cell>
          <cell r="AE40" t="str">
            <v>DIAPHRAGM</v>
          </cell>
          <cell r="AF40" t="str">
            <v>316SS</v>
          </cell>
          <cell r="AH40" t="str">
            <v>LATER</v>
          </cell>
          <cell r="AI40" t="str">
            <v>LATER</v>
          </cell>
          <cell r="AJ40" t="str">
            <v>WD310-EM103-00004</v>
          </cell>
          <cell r="AL40" t="str">
            <v>0</v>
          </cell>
        </row>
        <row r="41">
          <cell r="B41" t="str">
            <v>32LBQ20CT102</v>
          </cell>
          <cell r="D41" t="str">
            <v>HP FW HTR-Ⅱ INL HP TBN EXH STM TEMP</v>
          </cell>
          <cell r="E41" t="str">
            <v>TT</v>
          </cell>
          <cell r="F41" t="str">
            <v>AI</v>
          </cell>
          <cell r="G41" t="str">
            <v>4~20mA</v>
          </cell>
          <cell r="H41" t="str">
            <v>LOOP</v>
          </cell>
          <cell r="I41" t="str">
            <v>STEAM</v>
          </cell>
          <cell r="J41">
            <v>45.64</v>
          </cell>
          <cell r="K41" t="str">
            <v>374.4</v>
          </cell>
          <cell r="L41" t="str">
            <v>65.4</v>
          </cell>
          <cell r="M41" t="str">
            <v>T/H</v>
          </cell>
          <cell r="N41" t="str">
            <v>DN200</v>
          </cell>
          <cell r="O41" t="str">
            <v>DN25 SW</v>
          </cell>
          <cell r="P41" t="str">
            <v>0~500</v>
          </cell>
          <cell r="Q41" t="str">
            <v>OC</v>
          </cell>
          <cell r="AD41" t="str">
            <v>TO DCS</v>
          </cell>
          <cell r="AE41" t="str">
            <v>T/C(K-TYPE)</v>
          </cell>
          <cell r="AF41" t="str">
            <v>316SS</v>
          </cell>
          <cell r="AH41" t="str">
            <v>LATER</v>
          </cell>
          <cell r="AI41" t="str">
            <v>LATER</v>
          </cell>
          <cell r="AJ41" t="str">
            <v>WD310-EM103-00004</v>
          </cell>
          <cell r="AL41" t="str">
            <v>0</v>
          </cell>
        </row>
        <row r="42">
          <cell r="B42" t="str">
            <v>32LAD20CP501</v>
          </cell>
          <cell r="D42" t="str">
            <v xml:space="preserve">HP FW HTR-Ⅱ STM PRESS </v>
          </cell>
          <cell r="E42" t="str">
            <v>PI</v>
          </cell>
          <cell r="F42" t="str">
            <v>N/A</v>
          </cell>
          <cell r="G42" t="str">
            <v>N/A</v>
          </cell>
          <cell r="H42" t="str">
            <v>N/A</v>
          </cell>
          <cell r="I42" t="str">
            <v>STEAM</v>
          </cell>
          <cell r="J42">
            <v>45.64</v>
          </cell>
          <cell r="K42" t="str">
            <v>374.4</v>
          </cell>
          <cell r="L42" t="str">
            <v>65.4</v>
          </cell>
          <cell r="M42" t="str">
            <v>T/H</v>
          </cell>
          <cell r="N42" t="str">
            <v>N/A</v>
          </cell>
          <cell r="O42" t="str">
            <v>DN15 NPT</v>
          </cell>
          <cell r="P42" t="str">
            <v>0~100</v>
          </cell>
          <cell r="Q42" t="str">
            <v>BARG</v>
          </cell>
          <cell r="AD42" t="str">
            <v>N/A</v>
          </cell>
          <cell r="AE42" t="str">
            <v xml:space="preserve">BOURDON </v>
          </cell>
          <cell r="AF42" t="str">
            <v>316SS</v>
          </cell>
          <cell r="AH42" t="str">
            <v>LATER</v>
          </cell>
          <cell r="AI42" t="str">
            <v>LATER</v>
          </cell>
          <cell r="AJ42" t="str">
            <v>WD310-EM103-00004</v>
          </cell>
          <cell r="AL42" t="str">
            <v>0</v>
          </cell>
          <cell r="AM42" t="str">
            <v>BY EQUIPMENT SUPPLIER</v>
          </cell>
        </row>
        <row r="43">
          <cell r="B43" t="str">
            <v>32LBQ10CT401</v>
          </cell>
          <cell r="D43" t="str">
            <v>HP FW HTR-Ⅰ INL IP TBN EXH STM TEMP</v>
          </cell>
          <cell r="E43" t="str">
            <v>TW</v>
          </cell>
          <cell r="F43" t="str">
            <v>N/A</v>
          </cell>
          <cell r="G43" t="str">
            <v>N/A</v>
          </cell>
          <cell r="H43" t="str">
            <v>N/A</v>
          </cell>
          <cell r="I43" t="str">
            <v>STEAM</v>
          </cell>
          <cell r="J43">
            <v>21.99</v>
          </cell>
          <cell r="K43">
            <v>472.9</v>
          </cell>
          <cell r="L43">
            <v>33.1</v>
          </cell>
          <cell r="M43" t="str">
            <v>T/H</v>
          </cell>
          <cell r="N43" t="str">
            <v>DN250</v>
          </cell>
          <cell r="O43" t="str">
            <v>DN25 SW</v>
          </cell>
          <cell r="P43" t="str">
            <v>N/A</v>
          </cell>
          <cell r="Q43" t="str">
            <v>N/A</v>
          </cell>
          <cell r="AD43" t="str">
            <v>N/A</v>
          </cell>
          <cell r="AE43" t="str">
            <v>THERMOWELL</v>
          </cell>
          <cell r="AF43" t="str">
            <v>316SS</v>
          </cell>
          <cell r="AH43" t="str">
            <v>LATER</v>
          </cell>
          <cell r="AI43" t="str">
            <v>LATER</v>
          </cell>
          <cell r="AJ43" t="str">
            <v>WD310-EM103-00004</v>
          </cell>
          <cell r="AL43" t="str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Cover(PB#1)"/>
      <sheetName val="1.Cover(PB#2)"/>
      <sheetName val="1.Cover(COMMON)"/>
      <sheetName val="2. Cable Spec"/>
      <sheetName val="Drum List"/>
      <sheetName val="Master Cable Schedule"/>
      <sheetName val="BM"/>
      <sheetName val="cable list History"/>
      <sheetName val="Sheet1"/>
    </sheetNames>
    <sheetDataSet>
      <sheetData sheetId="0"/>
      <sheetData sheetId="1"/>
      <sheetData sheetId="2"/>
      <sheetData sheetId="3">
        <row r="15">
          <cell r="AK15">
            <v>150</v>
          </cell>
          <cell r="AO15">
            <v>2.5</v>
          </cell>
          <cell r="AP15" t="str">
            <v>L2DC2.5</v>
          </cell>
        </row>
        <row r="16">
          <cell r="AO16">
            <v>4</v>
          </cell>
          <cell r="AP16" t="str">
            <v>L2DC4</v>
          </cell>
        </row>
        <row r="17">
          <cell r="AO17">
            <v>6</v>
          </cell>
          <cell r="AP17" t="str">
            <v>L2DC6</v>
          </cell>
        </row>
        <row r="18">
          <cell r="AO18">
            <v>10</v>
          </cell>
          <cell r="AP18" t="str">
            <v>L2DC10</v>
          </cell>
        </row>
        <row r="19">
          <cell r="AO19">
            <v>16</v>
          </cell>
          <cell r="AP19" t="str">
            <v>L2DC16</v>
          </cell>
        </row>
        <row r="20">
          <cell r="AO20">
            <v>25</v>
          </cell>
          <cell r="AP20" t="str">
            <v>L2DC25</v>
          </cell>
        </row>
        <row r="21">
          <cell r="AO21">
            <v>35</v>
          </cell>
          <cell r="AP21" t="str">
            <v>L2DC35</v>
          </cell>
        </row>
        <row r="22">
          <cell r="AO22">
            <v>50</v>
          </cell>
          <cell r="AP22" t="str">
            <v>L2DC50</v>
          </cell>
        </row>
        <row r="23">
          <cell r="AO23">
            <v>70</v>
          </cell>
          <cell r="AP23" t="str">
            <v>L2DC70</v>
          </cell>
        </row>
        <row r="24">
          <cell r="AO24">
            <v>95</v>
          </cell>
          <cell r="AP24" t="str">
            <v>L2DC95</v>
          </cell>
        </row>
        <row r="25">
          <cell r="AO25">
            <v>120</v>
          </cell>
          <cell r="AP25" t="str">
            <v>L2DC120</v>
          </cell>
        </row>
        <row r="26">
          <cell r="AO26">
            <v>150</v>
          </cell>
          <cell r="AP26" t="str">
            <v>L1DC150</v>
          </cell>
        </row>
        <row r="27">
          <cell r="AO27">
            <v>185</v>
          </cell>
          <cell r="AP27" t="str">
            <v>L1DC185</v>
          </cell>
        </row>
        <row r="28">
          <cell r="AO28">
            <v>240</v>
          </cell>
          <cell r="AP28" t="str">
            <v>L1DC240</v>
          </cell>
        </row>
        <row r="29">
          <cell r="AO29">
            <v>400</v>
          </cell>
          <cell r="AP29" t="str">
            <v>L1DC400</v>
          </cell>
        </row>
        <row r="30">
          <cell r="AO30">
            <v>150</v>
          </cell>
          <cell r="AP30" t="str">
            <v>L1DC150</v>
          </cell>
        </row>
        <row r="31">
          <cell r="AO31">
            <v>185</v>
          </cell>
          <cell r="AP31" t="str">
            <v>L1DC185</v>
          </cell>
        </row>
        <row r="32">
          <cell r="AO32">
            <v>240</v>
          </cell>
          <cell r="AP32" t="str">
            <v>L1DC240</v>
          </cell>
        </row>
        <row r="33">
          <cell r="AO33">
            <v>300</v>
          </cell>
          <cell r="AP33" t="str">
            <v>L1DC300</v>
          </cell>
        </row>
        <row r="34">
          <cell r="AO34">
            <v>400</v>
          </cell>
          <cell r="AP34" t="str">
            <v>L1DC400</v>
          </cell>
        </row>
        <row r="35">
          <cell r="AO35">
            <v>500</v>
          </cell>
          <cell r="AP35" t="str">
            <v>L1DC500</v>
          </cell>
        </row>
        <row r="36">
          <cell r="AO36">
            <v>630</v>
          </cell>
          <cell r="AP36" t="str">
            <v>L1DC630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al"/>
      <sheetName val="equipment"/>
      <sheetName val="eq_data"/>
      <sheetName val="out_put"/>
      <sheetName val="drawing"/>
      <sheetName val="Loading"/>
      <sheetName val="Content"/>
      <sheetName val="7.5.1(A) Data"/>
      <sheetName val="7.5.1(B) BOQ Breakdown"/>
      <sheetName val="7.5.1(C) Scope"/>
      <sheetName val="7.5.1(D) Basis"/>
      <sheetName val="7.5.1(E) Allowance"/>
      <sheetName val="7.5.2 BOQ Summary"/>
      <sheetName val="7.5.3 BOQ"/>
      <sheetName val="A. Erec_BOQ(Shop)"/>
      <sheetName val="B. Erec_BOQ(Field)"/>
      <sheetName val="C. Surface_Protection"/>
      <sheetName val="A. Erec_BOQ(Shop) (2)"/>
      <sheetName val="B. Erec_BOQ(Field) (2)"/>
      <sheetName val="C. Surf_Protection"/>
      <sheetName val="Attachment #1"/>
      <sheetName val="Attachment #2"/>
      <sheetName val="LIST"/>
      <sheetName val="301"/>
      <sheetName val="302 C1"/>
      <sheetName val="302 C2"/>
      <sheetName val="302"/>
      <sheetName val="SUPPLY (2)"/>
      <sheetName val="RETURN (2)"/>
      <sheetName val="SUPPLY"/>
      <sheetName val="RETURN"/>
      <sheetName val="303"/>
      <sheetName val="303 (2)"/>
      <sheetName val="304"/>
      <sheetName val="305"/>
      <sheetName val="306"/>
      <sheetName val="307"/>
      <sheetName val="308"/>
      <sheetName val="308 (2)"/>
      <sheetName val="309"/>
      <sheetName val="309 (2)"/>
      <sheetName val="Cover"/>
      <sheetName val="산출기준"/>
      <sheetName val="CABLE"/>
      <sheetName val="JUNCTION BOX"/>
      <sheetName val="TRAY"/>
      <sheetName val="PIPE"/>
      <sheetName val="PIPE FITTING"/>
      <sheetName val="TUBE"/>
      <sheetName val="TUBE FITTING"/>
      <sheetName val="CABLE GLAND"/>
      <sheetName val="VALVE"/>
      <sheetName val="MCT"/>
      <sheetName val="SUPPORT"/>
      <sheetName val="fdn_bm_pro"/>
      <sheetName val="예산서"/>
      <sheetName val="수입"/>
      <sheetName val="P3"/>
      <sheetName val="Sheet1"/>
      <sheetName val="전기일위대가"/>
      <sheetName val="TOEC"/>
      <sheetName val="갑지(추정)"/>
      <sheetName val="CAT_5"/>
      <sheetName val="CONS. EQUIP.  "/>
      <sheetName val="투입실적"/>
      <sheetName val="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T1"/>
      <sheetName val="일위대가"/>
      <sheetName val="VA_code"/>
      <sheetName val="가시설공"/>
      <sheetName val="ELEC_DCI"/>
      <sheetName val="INST_DCI"/>
      <sheetName val="REINF."/>
      <sheetName val="SKETCH"/>
      <sheetName val="LOADS"/>
      <sheetName val="CHECK1"/>
      <sheetName val="PRO_A"/>
      <sheetName val="DWG"/>
      <sheetName val="ELEC_MCI"/>
      <sheetName val="MAIN"/>
      <sheetName val="INST_MCI"/>
      <sheetName val="MECH_MCI"/>
      <sheetName val="PRO"/>
      <sheetName val="기별수량산출서"/>
      <sheetName val="출력X"/>
      <sheetName val="을"/>
      <sheetName val="ITB COST"/>
      <sheetName val="건축"/>
      <sheetName val="SPEC"/>
      <sheetName val="ACTDATA"/>
      <sheetName val="PIP"/>
      <sheetName val="환율표"/>
      <sheetName val="97 사업추정(WEKI)"/>
      <sheetName val="토공"/>
      <sheetName val="TL,Termination"/>
      <sheetName val="Cable,Conduit"/>
      <sheetName val="WORK"/>
      <sheetName val="h-013211-2"/>
      <sheetName val="예산"/>
      <sheetName val="Cost control"/>
      <sheetName val="FACTOR"/>
      <sheetName val="90EL JACKET"/>
      <sheetName val="BAND(200)"/>
      <sheetName val="보온재"/>
      <sheetName val="인건비"/>
      <sheetName val="보온 회사분"/>
      <sheetName val="7_5_1(A)_Data"/>
      <sheetName val="7_5_1(B)_BOQ_Breakdown"/>
      <sheetName val="7_5_1(C)_Scope"/>
      <sheetName val="7_5_1(D)_Basis"/>
      <sheetName val="7_5_1(E)_Allowance"/>
      <sheetName val="7_5_2_BOQ_Summary"/>
      <sheetName val="7_5_3_BOQ"/>
      <sheetName val="A__Erec_BOQ(Shop)"/>
      <sheetName val="B__Erec_BOQ(Field)"/>
      <sheetName val="C__Surface_Protection"/>
      <sheetName val="A__Erec_BOQ(Shop)_(2)"/>
      <sheetName val="B__Erec_BOQ(Field)_(2)"/>
      <sheetName val="C__Surf_Protection"/>
      <sheetName val="Attachment_#1"/>
      <sheetName val="Attachment_#2"/>
      <sheetName val="302_C1"/>
      <sheetName val="302_C2"/>
      <sheetName val="SUPPLY_(2)"/>
      <sheetName val="RETURN_(2)"/>
      <sheetName val="303_(2)"/>
      <sheetName val="308_(2)"/>
      <sheetName val="309_(2)"/>
      <sheetName val="JUNCTION_BOX"/>
      <sheetName val="PIPE_FITTING"/>
      <sheetName val="TUBE_FITTING"/>
      <sheetName val="CABLE_GLAND"/>
      <sheetName val="BLR_1"/>
      <sheetName val="CONS__EQUIP___"/>
      <sheetName val="REINF_"/>
      <sheetName val="#REF"/>
      <sheetName val="부표총괄"/>
      <sheetName val="소비자가"/>
      <sheetName val="Elect"/>
      <sheetName val="FIRE FIGHTING"/>
      <sheetName val="내역"/>
      <sheetName val="내역서"/>
      <sheetName val="Macro(전선)"/>
      <sheetName val="Tipo Terzi"/>
      <sheetName val="plan&amp;section of foundation"/>
      <sheetName val="design criteria"/>
      <sheetName val="DESCRIPTION"/>
      <sheetName val="BM DATA SHEET"/>
      <sheetName val="배관"/>
      <sheetName val="9-1차이내역"/>
      <sheetName val="주관사업"/>
      <sheetName val="요약배부"/>
      <sheetName val="CIVIL"/>
      <sheetName val="BB2현대건설견적"/>
      <sheetName val="도"/>
      <sheetName val="Y-WORK"/>
      <sheetName val="DATA"/>
      <sheetName val="PBS"/>
      <sheetName val="costing_CV"/>
      <sheetName val="costing_ESDV"/>
      <sheetName val="costing_FE"/>
      <sheetName val="costing_Misc"/>
      <sheetName val="costing_MOV"/>
      <sheetName val="costing_Press"/>
      <sheetName val="PRC-SUM"/>
      <sheetName val="Dati"/>
      <sheetName val="DN"/>
      <sheetName val="Fluidi"/>
      <sheetName val="Temperatura"/>
      <sheetName val="Mat Stelo"/>
      <sheetName val="N+"/>
      <sheetName val="BREAKDOWN"/>
      <sheetName val="CHK_OUT_BM_090914"/>
      <sheetName val="Unit SUM"/>
      <sheetName val="SHL"/>
      <sheetName val="Resource"/>
      <sheetName val="DWTables"/>
      <sheetName val="R2_0908"/>
      <sheetName val="BAP"/>
      <sheetName val="1.설계기준"/>
      <sheetName val="환율"/>
      <sheetName val="working load at the btm ft."/>
      <sheetName val="stability check"/>
      <sheetName val="Sheet2"/>
      <sheetName val="bill 2"/>
      <sheetName val="7_5_1(A)_Data1"/>
      <sheetName val="7_5_1(B)_BOQ_Breakdown1"/>
      <sheetName val="7_5_1(C)_Scope1"/>
      <sheetName val="7_5_1(D)_Basis1"/>
      <sheetName val="7_5_1(E)_Allowance1"/>
      <sheetName val="7_5_2_BOQ_Summary1"/>
      <sheetName val="7_5_3_BOQ1"/>
      <sheetName val="A__Erec_BOQ(Shop)1"/>
      <sheetName val="B__Erec_BOQ(Field)1"/>
      <sheetName val="C__Surface_Protection1"/>
      <sheetName val="A__Erec_BOQ(Shop)_(2)1"/>
      <sheetName val="B__Erec_BOQ(Field)_(2)1"/>
      <sheetName val="C__Surf_Protection1"/>
      <sheetName val="Attachment_#11"/>
      <sheetName val="Attachment_#21"/>
      <sheetName val="302_C11"/>
      <sheetName val="302_C21"/>
      <sheetName val="SUPPLY_(2)1"/>
      <sheetName val="RETURN_(2)1"/>
      <sheetName val="303_(2)1"/>
      <sheetName val="308_(2)1"/>
      <sheetName val="309_(2)1"/>
      <sheetName val="JUNCTION_BOX1"/>
      <sheetName val="PIPE_FITTING1"/>
      <sheetName val="TUBE_FITTING1"/>
      <sheetName val="CABLE_GLAND1"/>
      <sheetName val="CONS__EQUIP___1"/>
      <sheetName val="REINF_1"/>
      <sheetName val="BLR_11"/>
      <sheetName val="ITB_COST"/>
      <sheetName val="97_사업추정(WEKI)"/>
      <sheetName val="Cost_control"/>
      <sheetName val="90EL_JACKET"/>
      <sheetName val="보온_회사분"/>
      <sheetName val="FIRE_FIGHTING"/>
      <sheetName val="Mat_Stelo"/>
      <sheetName val="Tipo_Terzi"/>
      <sheetName val="plan&amp;section_of_foundation"/>
      <sheetName val="design_criteria"/>
      <sheetName val="BM_DATA_SHEET"/>
      <sheetName val="Condition"/>
      <sheetName val="Page2"/>
      <sheetName val="조경"/>
      <sheetName val="표지 (2)"/>
      <sheetName val="Total"/>
      <sheetName val="95삼성급(본사)"/>
      <sheetName val="OUTER AREA(겹침없음)"/>
      <sheetName val="JACKET(50,50)"/>
      <sheetName val="FLANGE"/>
      <sheetName val="AILC004"/>
      <sheetName val="Tables"/>
      <sheetName val="DATA1"/>
      <sheetName val="HRS"/>
      <sheetName val="special item 양진규 작성"/>
      <sheetName val="MOTOR"/>
      <sheetName val="CODE"/>
      <sheetName val="eq_data _x0000__x0000__x0000__x0000_"/>
      <sheetName val="자료"/>
      <sheetName val="Sheet5"/>
      <sheetName val="Unit_SUM"/>
      <sheetName val="IBL-C"/>
      <sheetName val="Break Dw"/>
      <sheetName val="TblPriceDB"/>
      <sheetName val="CAL"/>
      <sheetName val="방유제용량 계산서"/>
      <sheetName val="제품현황"/>
      <sheetName val="pile bearing capa &amp; arrenge"/>
      <sheetName val="design load"/>
      <sheetName val="oper_load"/>
      <sheetName val="evap"/>
      <sheetName val="Fab. Skid"/>
      <sheetName val="Material Specification"/>
      <sheetName val="dnc4"/>
      <sheetName val="SILICATE"/>
      <sheetName val="Sch.6"/>
      <sheetName val="정부노임단가"/>
      <sheetName val="인원계획"/>
      <sheetName val="lookup"/>
      <sheetName val="세금자료"/>
      <sheetName val="경제지표"/>
      <sheetName val="대비내역"/>
      <sheetName val="CAPVC"/>
      <sheetName val="CAMP OPERATING COST"/>
      <sheetName val="PERSONNEL SETUP"/>
      <sheetName val="LIST OF OFFICE EQUIPMENT"/>
      <sheetName val="STAFF&amp;INDIRECT SALARY - SUMMARY"/>
      <sheetName val="KOREAN STAFF SALARY_BREAKDOWN"/>
      <sheetName val="WELFARE COST - SITE"/>
      <sheetName val="개시대사 (2)"/>
      <sheetName val="집계표"/>
      <sheetName val="A-4"/>
      <sheetName val="단가정보"/>
      <sheetName val="INPUT DATA"/>
      <sheetName val="CSTSUM"/>
      <sheetName val="UNSTEADY"/>
      <sheetName val="Schedule(1)"/>
      <sheetName val="변수적용"/>
      <sheetName val="e4-6-%"/>
      <sheetName val="설계조건"/>
      <sheetName val="조명시설"/>
      <sheetName val="KLHT"/>
      <sheetName val="General"/>
      <sheetName val="Menus"/>
      <sheetName val="건축집계"/>
      <sheetName val="실행내역"/>
      <sheetName val="7_5_1(A)_Data2"/>
      <sheetName val="7_5_1(B)_BOQ_Breakdown2"/>
      <sheetName val="7_5_1(C)_Scope2"/>
      <sheetName val="7_5_1(D)_Basis2"/>
      <sheetName val="7_5_1(E)_Allowance2"/>
      <sheetName val="7_5_2_BOQ_Summary2"/>
      <sheetName val="7_5_3_BOQ2"/>
      <sheetName val="A__Erec_BOQ(Shop)2"/>
      <sheetName val="B__Erec_BOQ(Field)2"/>
      <sheetName val="C__Surface_Protection2"/>
      <sheetName val="A__Erec_BOQ(Shop)_(2)2"/>
      <sheetName val="B__Erec_BOQ(Field)_(2)2"/>
      <sheetName val="C__Surf_Protection2"/>
      <sheetName val="Attachment_#12"/>
      <sheetName val="Attachment_#22"/>
      <sheetName val="302_C12"/>
      <sheetName val="302_C22"/>
      <sheetName val="SUPPLY_(2)2"/>
      <sheetName val="RETURN_(2)2"/>
      <sheetName val="303_(2)2"/>
      <sheetName val="308_(2)2"/>
      <sheetName val="309_(2)2"/>
      <sheetName val="JUNCTION_BOX2"/>
      <sheetName val="PIPE_FITTING2"/>
      <sheetName val="TUBE_FITTING2"/>
      <sheetName val="CABLE_GLAND2"/>
      <sheetName val="CONS__EQUIP___2"/>
      <sheetName val="BLR_12"/>
      <sheetName val="REINF_2"/>
      <sheetName val="ITB_COST1"/>
      <sheetName val="97_사업추정(WEKI)1"/>
      <sheetName val="Cost_control1"/>
      <sheetName val="90EL_JACKET1"/>
      <sheetName val="보온_회사분1"/>
      <sheetName val="FIRE_FIGHTING1"/>
      <sheetName val="NDOCBT"/>
      <sheetName val="BSD (2)"/>
      <sheetName val="data_dci"/>
      <sheetName val="data_mci"/>
      <sheetName val="behind"/>
      <sheetName val="Code_Magics"/>
      <sheetName val="Sheet6"/>
      <sheetName val="LD-OVERALL"/>
      <sheetName val="BOQ"/>
      <sheetName val="11.자재단가"/>
      <sheetName val="평3"/>
      <sheetName val="L V Separator"/>
      <sheetName val="combi(wall)"/>
      <sheetName val="sheeet2"/>
      <sheetName val="仪表分析表"/>
      <sheetName val="IT-BAT"/>
      <sheetName val="sum"/>
      <sheetName val="입고장부 (4)"/>
      <sheetName val="공통비"/>
      <sheetName val="FEUILLE INTERNE"/>
      <sheetName val="인원현황"/>
      <sheetName val="역T형"/>
      <sheetName val="CAMP - CONSTRUCTION"/>
      <sheetName val="BLDG_MCI"/>
      <sheetName val="EG-09"/>
      <sheetName val="총괄표양식"/>
      <sheetName val="차량운영비"/>
      <sheetName val="세부내역"/>
      <sheetName val="E_Rate PM"/>
      <sheetName val="Schedule 2 and 3"/>
      <sheetName val="COMPARISON TABLE"/>
      <sheetName val="심사계산"/>
      <sheetName val="심사물량"/>
      <sheetName val="건축내역"/>
      <sheetName val="갑지"/>
      <sheetName val="input"/>
      <sheetName val="CAL."/>
      <sheetName val="BOQ건축"/>
      <sheetName val="견적의뢰"/>
      <sheetName val="단가"/>
      <sheetName val="TRAY BM"/>
      <sheetName val="Set"/>
      <sheetName val="Cover sheet"/>
      <sheetName val="원본"/>
      <sheetName val="EE-PROP"/>
      <sheetName val="Summary"/>
      <sheetName val="Definitions"/>
      <sheetName val="예산M11A"/>
      <sheetName val="품셈1-17"/>
      <sheetName val="Imp-Data"/>
      <sheetName val="PROJECT"/>
      <sheetName val="1 OF 9"/>
      <sheetName val="#3E1_GCR"/>
      <sheetName val="기둥(원형)"/>
      <sheetName val="기계공사비집계(원안)"/>
      <sheetName val="10현장조직"/>
      <sheetName val="LABTOTAL"/>
      <sheetName val="산근"/>
      <sheetName val="을지"/>
      <sheetName val="Graph (LGEN)"/>
      <sheetName val="out_prog"/>
      <sheetName val="선적schedule (2)"/>
      <sheetName val="Contents"/>
      <sheetName val="Summary Sheets"/>
      <sheetName val="Design"/>
      <sheetName val="RFP002"/>
      <sheetName val="대치판정"/>
      <sheetName val="가도공"/>
      <sheetName val="공사"/>
      <sheetName val="MyLists"/>
      <sheetName val="Sheet3"/>
      <sheetName val="영업2"/>
      <sheetName val="영업3"/>
      <sheetName val="Titel"/>
      <sheetName val="1_설계기준"/>
      <sheetName val="bill_2"/>
      <sheetName val="NAMES"/>
      <sheetName val="NPC500"/>
      <sheetName val="표지"/>
      <sheetName val="데이타"/>
      <sheetName val="11"/>
      <sheetName val="Sheet10"/>
      <sheetName val="품셈 "/>
      <sheetName val="PAINT"/>
      <sheetName val="방화도료"/>
      <sheetName val="plan&amp;section_of_foundation1"/>
      <sheetName val="design_criteria1"/>
      <sheetName val="Tipo_Terzi1"/>
      <sheetName val="BM_DATA_SHEET1"/>
      <sheetName val="Mat_Stelo1"/>
      <sheetName val="working_load_at_the_btm_ft_"/>
      <sheetName val="stability_check"/>
      <sheetName val="Unit_SUM1"/>
      <sheetName val="Break_Dw"/>
      <sheetName val="방유제용량_계산서"/>
      <sheetName val="INPUT_DATA"/>
      <sheetName val="special_item_양진규_작성"/>
      <sheetName val="OUTER_AREA(겹침없음)"/>
      <sheetName val="Material_Specification"/>
      <sheetName val="개시대사_(2)"/>
      <sheetName val="pile_bearing_capa_&amp;_arrenge"/>
      <sheetName val="design_load"/>
      <sheetName val="표지_(2)"/>
      <sheetName val="Sch_6"/>
      <sheetName val="Fab__Skid"/>
      <sheetName val="CAMP_OPERATING_COST"/>
      <sheetName val="PERSONNEL_SETUP"/>
      <sheetName val="LIST_OF_OFFICE_EQUIPMENT"/>
      <sheetName val="STAFF&amp;INDIRECT_SALARY_-_SUMMARY"/>
      <sheetName val="KOREAN_STAFF_SALARY_BREAKDOWN"/>
      <sheetName val="WELFARE_COST_-_SITE"/>
      <sheetName val="입고장부_(4)"/>
      <sheetName val="FEUILLE_INTERNE"/>
      <sheetName val="11_자재단가"/>
      <sheetName val="1_OF_9"/>
      <sheetName val="COMPARISON_TABLE"/>
      <sheetName val="L_V_Separator"/>
      <sheetName val="CAMP_-_CONSTRUCTION"/>
      <sheetName val="E_Rate_PM"/>
      <sheetName val="Schedule_2_and_3"/>
      <sheetName val="sc0314 Index"/>
      <sheetName val="종목코드"/>
      <sheetName val="COPING"/>
      <sheetName val="COA-17"/>
      <sheetName val="C-18"/>
      <sheetName val="작성기준"/>
      <sheetName val="NC"/>
      <sheetName val="Resource summary"/>
      <sheetName val="TB-내역서"/>
      <sheetName val="INSTR"/>
      <sheetName val="공사비_NDE"/>
      <sheetName val="OUT"/>
      <sheetName val="직원동원계획"/>
      <sheetName val="영업소실적"/>
      <sheetName val="new급여T(4을-운전)"/>
      <sheetName val="SORTING"/>
      <sheetName val="배관물량 (STEEL)"/>
      <sheetName val="Sheet 1"/>
      <sheetName val="Offertemodel"/>
      <sheetName val="SG"/>
      <sheetName val="Data_Vert"/>
      <sheetName val="Rebar"/>
      <sheetName val="Data_ST"/>
      <sheetName val="Load"/>
      <sheetName val="Diainch"/>
      <sheetName val="Source"/>
      <sheetName val="Preface"/>
      <sheetName val="급여일반"/>
      <sheetName val="Lists"/>
      <sheetName val="B"/>
      <sheetName val="CONTROL-100"/>
      <sheetName val="General Data"/>
      <sheetName val="PRICE COMP"/>
      <sheetName val="본지점중"/>
      <sheetName val="A(Rev.3)"/>
      <sheetName val="static.cal"/>
      <sheetName val="crude.SLAB RE-bar"/>
      <sheetName val="ANX3A65"/>
      <sheetName val="BOQ0822"/>
      <sheetName val="7.6.3(B) UG Piping"/>
      <sheetName val="Lup"/>
      <sheetName val="Information"/>
      <sheetName val="WORKER"/>
      <sheetName val="PRICE LIST"/>
      <sheetName val="PipWT"/>
      <sheetName val="IBASE"/>
      <sheetName val="내역(한신APT)"/>
      <sheetName val="현황CODE"/>
      <sheetName val="손익현황"/>
      <sheetName val="BOM_DWG"/>
      <sheetName val="회사99"/>
      <sheetName val="laroux"/>
      <sheetName val="7.5.2 BOQ Summary "/>
      <sheetName val="Perfiles"/>
      <sheetName val="PumpSpec"/>
      <sheetName val="Rekap A"/>
      <sheetName val="RFP009"/>
      <sheetName val="RFP007"/>
      <sheetName val="NP"/>
      <sheetName val="견적기준"/>
      <sheetName val="OD5000"/>
      <sheetName val="upah"/>
      <sheetName val="bahan"/>
      <sheetName val="measure"/>
      <sheetName val="paint mat"/>
      <sheetName val="工완성공사율"/>
      <sheetName val="IN"/>
      <sheetName val="TTL"/>
      <sheetName val="VE Estimate"/>
      <sheetName val="CALCULATION"/>
      <sheetName val="COMPRESSOR"/>
      <sheetName val="D=700"/>
      <sheetName val="TABLE2-2 OSBL-(SITE PREP)"/>
      <sheetName val="Units"/>
      <sheetName val="Instructions"/>
      <sheetName val="OFFER RATE"/>
      <sheetName val="Job Data"/>
      <sheetName val="Piping Design Data"/>
      <sheetName val="BCPAB"/>
      <sheetName val="Summary 2002"/>
      <sheetName val="98TSON4A"/>
      <sheetName val="Feuil2"/>
      <sheetName val="노임"/>
      <sheetName val="총괄표"/>
      <sheetName val="ANALYSER"/>
      <sheetName val="ASME B 36.10 M"/>
      <sheetName val="일위대가표"/>
      <sheetName val="D-3"/>
      <sheetName val="w't table"/>
      <sheetName val="Tiburon"/>
      <sheetName val="차액보증"/>
      <sheetName val="말뚝지지력산정"/>
      <sheetName val="단중표"/>
      <sheetName val="choose"/>
      <sheetName val="당초"/>
      <sheetName val="eq_data _x005f_x0000__x005f_x0000__x005f_x0000__x"/>
      <sheetName val="cashflow"/>
      <sheetName val="Quotation"/>
      <sheetName val="Info"/>
      <sheetName val="VV-REV2"/>
      <sheetName val="-15.0"/>
      <sheetName val="부재치수입력"/>
      <sheetName val="BLDG_DCI"/>
      <sheetName val="BREAKDOWN(철거설치)"/>
      <sheetName val="맨홀수량산출"/>
      <sheetName val="DDC"/>
      <sheetName val="Struct-Grass root"/>
      <sheetName val="3.0 Overall Progress S-curve"/>
      <sheetName val="3-4 SPI"/>
      <sheetName val="단가비교"/>
      <sheetName val="Basic"/>
      <sheetName val="견적 집계"/>
      <sheetName val="PULLING SUPT등"/>
      <sheetName val="Sheet1 (2)"/>
      <sheetName val="SHIPPING"/>
      <sheetName val="DATE"/>
      <sheetName val="PAGE 1"/>
      <sheetName val="대공종"/>
      <sheetName val="_생산성_분석_체계_절차.xlsx"/>
      <sheetName val="Quantity"/>
      <sheetName val="General_Data"/>
      <sheetName val="PRICE_COMP"/>
      <sheetName val="A(Rev_3)"/>
      <sheetName val="단가비교(TOTAL)"/>
      <sheetName val="General_Data1"/>
      <sheetName val="PRICE_COMP1"/>
      <sheetName val="A(Rev_3)1"/>
      <sheetName val="pri-com"/>
      <sheetName val="기준"/>
      <sheetName val="BQ List"/>
      <sheetName val="노임단가"/>
      <sheetName val="BQLIST"/>
      <sheetName val="제출계산서"/>
      <sheetName val="품셈1-26"/>
      <sheetName val="PAGE 2"/>
      <sheetName val="LEGEND"/>
      <sheetName val="KP1590_E"/>
      <sheetName val="연돌일위집계"/>
      <sheetName val="품셈"/>
      <sheetName val="Break Down"/>
      <sheetName val="BQ"/>
      <sheetName val="22-Plant"/>
      <sheetName val="Supervision List"/>
      <sheetName val="Equip_Pipe_Insulation"/>
      <sheetName val="BQ_Piping"/>
      <sheetName val="PROCURE"/>
      <sheetName val="labor"/>
      <sheetName val="미입고자재목록_설계1과"/>
      <sheetName val="입력값"/>
      <sheetName val="Page 10"/>
      <sheetName val="한계원가"/>
      <sheetName val="SPEC-DT2"/>
      <sheetName val="북제주-표지"/>
      <sheetName val="자재군별"/>
      <sheetName val="재료내역"/>
      <sheetName val="간접비 총괄표"/>
      <sheetName val="Macro"/>
      <sheetName val="Taux"/>
      <sheetName val="Eng.hour_DB"/>
      <sheetName val="POWER"/>
      <sheetName val="_x0000_è"/>
      <sheetName val="SBR_CR"/>
      <sheetName val="COST UP"/>
      <sheetName val="CRUDE RE-bar"/>
      <sheetName val="database-emp"/>
      <sheetName val="평균환율-USD"/>
      <sheetName val="DUTCH CONE"/>
      <sheetName val="harga"/>
      <sheetName val="koef"/>
      <sheetName val="Resume"/>
      <sheetName val="C급보 "/>
      <sheetName val="EXCHANGE_RATE"/>
      <sheetName val="Scaffold"/>
      <sheetName val="Access"/>
      <sheetName val="PAGE 3_GENERAL DETAILS"/>
      <sheetName val="Proposal"/>
      <sheetName val="적용 환율"/>
      <sheetName val="Assumptions"/>
      <sheetName val="TDC_ADMIN"/>
      <sheetName val="Requisitions"/>
      <sheetName val="ICDS"/>
      <sheetName val="KP_List"/>
      <sheetName val="나이대조표"/>
      <sheetName val="norms"/>
      <sheetName val="HVAC"/>
      <sheetName val="공사내역"/>
      <sheetName val="Rectangular Beam"/>
      <sheetName val="현금"/>
      <sheetName val="요율"/>
      <sheetName val="자재대"/>
      <sheetName val="八幡"/>
      <sheetName val="GM 000"/>
      <sheetName val="PRECAST lightconc-II"/>
      <sheetName val="csdim"/>
      <sheetName val="cdsload"/>
      <sheetName val="chsload"/>
      <sheetName val="CLAMP"/>
      <sheetName val="cvsload"/>
      <sheetName val="Cash2"/>
      <sheetName val="Z"/>
      <sheetName val="환산표"/>
      <sheetName val="eq_data _x0000__x0000__x0000__x"/>
      <sheetName val=""/>
      <sheetName val="El(Increased)"/>
      <sheetName val="Rev No"/>
      <sheetName val="TIE-INS"/>
      <sheetName val="COVER-P"/>
      <sheetName val="PUMP SHT"/>
      <sheetName val="FC-01"/>
      <sheetName val="FC-06"/>
      <sheetName val="Elect (3)"/>
      <sheetName val="MC-01"/>
      <sheetName val="Sal"/>
      <sheetName val="CARBOLINE분석"/>
      <sheetName val="FLD"/>
      <sheetName val="수량산출"/>
      <sheetName val="REG-BASIS"/>
      <sheetName val="TENDER PROG."/>
      <sheetName val="PROC.PROG"/>
      <sheetName val="DIAPHRAGM"/>
      <sheetName val="TG9504"/>
      <sheetName val="ITEM"/>
      <sheetName val="2.Calculation_1"/>
      <sheetName val="IBC(2006)DATA"/>
      <sheetName val="Block D"/>
      <sheetName val="PRICE-COMP"/>
      <sheetName val="Datasheet GLL double weir (1)"/>
      <sheetName val="단면가정"/>
      <sheetName val="SALA-002"/>
      <sheetName val="eq_data _x005f_x0000__x00"/>
      <sheetName val="물량집계(전기)"/>
      <sheetName val="물량집계(계장)"/>
      <sheetName val="bdown"/>
      <sheetName val="33628-Rev. A"/>
      <sheetName val="TYPE-B 평균H"/>
      <sheetName val="Sheet2 (2)"/>
      <sheetName val="PSV"/>
      <sheetName val="명단"/>
      <sheetName val="EST-1"/>
      <sheetName val="6.공사비 내역 (가)"/>
      <sheetName val="Notes"/>
      <sheetName val="engg"/>
      <sheetName val="공수"/>
      <sheetName val="Table"/>
      <sheetName val=" "/>
      <sheetName val="6호기"/>
      <sheetName val="94D"/>
      <sheetName val="95D"/>
      <sheetName val="간접비내역-1"/>
      <sheetName val="co-no.2"/>
      <sheetName val="CONCRETE"/>
      <sheetName val="노임이"/>
      <sheetName val="Form A.1"/>
      <sheetName val="Form A.1.1"/>
      <sheetName val="BOM Indirect"/>
      <sheetName val="Form A.1.II.2"/>
      <sheetName val="6.GSTG PIPING"/>
      <sheetName val="INDEX"/>
      <sheetName val="Sheet4"/>
      <sheetName val="NONS  2,189"/>
      <sheetName val="P&amp;ID650"/>
      <sheetName val="Calculations"/>
      <sheetName val="대우단가(풍산)"/>
      <sheetName val="토공정보"/>
      <sheetName val="내역서 "/>
      <sheetName val="4.1구조설계"/>
      <sheetName val="기초자료"/>
      <sheetName val="견적집계표"/>
      <sheetName val="7_5_1(A)_Data3"/>
      <sheetName val="7_5_1(B)_BOQ_Breakdown3"/>
      <sheetName val="7_5_1(C)_Scope3"/>
      <sheetName val="7_5_1(D)_Basis3"/>
      <sheetName val="7_5_1(E)_Allowance3"/>
      <sheetName val="7_5_2_BOQ_Summary3"/>
      <sheetName val="7_5_3_BOQ3"/>
      <sheetName val="A__Erec_BOQ(Shop)3"/>
      <sheetName val="B__Erec_BOQ(Field)3"/>
      <sheetName val="C__Surface_Protection3"/>
      <sheetName val="A__Erec_BOQ(Shop)_(2)3"/>
      <sheetName val="B__Erec_BOQ(Field)_(2)3"/>
      <sheetName val="C__Surf_Protection3"/>
      <sheetName val="Attachment_#13"/>
      <sheetName val="Attachment_#23"/>
      <sheetName val="302_C13"/>
      <sheetName val="302_C23"/>
      <sheetName val="SUPPLY_(2)3"/>
      <sheetName val="RETURN_(2)3"/>
      <sheetName val="303_(2)3"/>
      <sheetName val="308_(2)3"/>
      <sheetName val="309_(2)3"/>
      <sheetName val="JUNCTION_BOX3"/>
      <sheetName val="PIPE_FITTING3"/>
      <sheetName val="TUBE_FITTING3"/>
      <sheetName val="CABLE_GLAND3"/>
      <sheetName val="CONS__EQUIP___3"/>
      <sheetName val="BLR_13"/>
      <sheetName val="REINF_3"/>
      <sheetName val="ITB_COST2"/>
      <sheetName val="97_사업추정(WEKI)2"/>
      <sheetName val="90EL_JACKET2"/>
      <sheetName val="보온_회사분2"/>
      <sheetName val="Cost_control2"/>
      <sheetName val="FIRE_FIGHTING2"/>
      <sheetName val="Tipo_Terzi2"/>
      <sheetName val="plan&amp;section_of_foundation2"/>
      <sheetName val="design_criteria2"/>
      <sheetName val="BM_DATA_SHEET2"/>
      <sheetName val="working_load_at_the_btm_ft_1"/>
      <sheetName val="stability_check1"/>
      <sheetName val="Mat_Stelo2"/>
      <sheetName val="Unit_SUM2"/>
      <sheetName val="1_설계기준1"/>
      <sheetName val="OUTER_AREA(겹침없음)1"/>
      <sheetName val="bill_21"/>
      <sheetName val="표지_(2)1"/>
      <sheetName val="Break_Dw1"/>
      <sheetName val="방유제용량_계산서1"/>
      <sheetName val="Material_Specification1"/>
      <sheetName val="special_item_양진규_작성1"/>
      <sheetName val="Sch_61"/>
      <sheetName val="pile_bearing_capa_&amp;_arrenge1"/>
      <sheetName val="design_load1"/>
      <sheetName val="Fab__Skid1"/>
      <sheetName val="INPUT_DATA1"/>
      <sheetName val="CAMP_OPERATING_COST1"/>
      <sheetName val="PERSONNEL_SETUP1"/>
      <sheetName val="LIST_OF_OFFICE_EQUIPMENT1"/>
      <sheetName val="STAFF&amp;INDIRECT_SALARY_-_SUMMAR1"/>
      <sheetName val="KOREAN_STAFF_SALARY_BREAKDOWN1"/>
      <sheetName val="WELFARE_COST_-_SITE1"/>
      <sheetName val="개시대사_(2)1"/>
      <sheetName val="입고장부_(4)1"/>
      <sheetName val="FEUILLE_INTERNE1"/>
      <sheetName val="COMPARISON_TABLE1"/>
      <sheetName val="L_V_Separator1"/>
      <sheetName val="CAMP_-_CONSTRUCTION1"/>
      <sheetName val="E_Rate_PM1"/>
      <sheetName val="Schedule_2_and_31"/>
      <sheetName val="eq_data_"/>
      <sheetName val="Cover_sheet"/>
      <sheetName val="CAL_"/>
      <sheetName val="11_자재단가1"/>
      <sheetName val="1_OF_91"/>
      <sheetName val="BSD_(2)"/>
      <sheetName val="TRAY_BM"/>
      <sheetName val="Graph_(LGEN)"/>
      <sheetName val="선적schedule_(2)"/>
      <sheetName val="Summary_Sheets"/>
      <sheetName val="품셈_"/>
      <sheetName val="sc0314_Index"/>
      <sheetName val="Resource_summary"/>
      <sheetName val="w't_table"/>
      <sheetName val="eq_data__x005f_x0000__x005f_x0000__x005f_x0000__x"/>
      <sheetName val="static_cal"/>
      <sheetName val="crude_SLAB_RE-bar"/>
      <sheetName val="7_6_3(B)_UG_Piping"/>
      <sheetName val="PRICE_LIST"/>
      <sheetName val="7_5_2_BOQ_Summary_"/>
      <sheetName val="Rekap_A"/>
      <sheetName val="paint_mat"/>
      <sheetName val="VE_Estimate"/>
      <sheetName val="TABLE2-2_OSBL-(SITE_PREP)"/>
      <sheetName val="OFFER_RATE"/>
      <sheetName val="Job_Data"/>
      <sheetName val="Piping_Design_Data"/>
      <sheetName val="Summary_2002"/>
      <sheetName val="ASME_B_36_10_M"/>
      <sheetName val="3_0_Overall_Progress_S-curve"/>
      <sheetName val="3-4_SPI"/>
      <sheetName val="-15_0"/>
      <sheetName val="RFP005"/>
      <sheetName val="RFP006"/>
      <sheetName val="CostDB"/>
      <sheetName val="FWBS7000,8000"/>
      <sheetName val="Reference Table"/>
      <sheetName val="Lookups"/>
      <sheetName val="CAL(1)."/>
      <sheetName val="Activity(new)"/>
      <sheetName val="뜃맟뭁돽띿맟?-BLDG"/>
      <sheetName val="D-623D"/>
      <sheetName val="member design"/>
      <sheetName val="soil bearing check"/>
      <sheetName val="OCT.FDN"/>
      <sheetName val="PRI CIV"/>
      <sheetName val="FOR CIV"/>
      <sheetName val="SUB CIV"/>
      <sheetName val="ANA CIV"/>
      <sheetName val="AUX CIV"/>
      <sheetName val="hori. vessel(E-895)"/>
      <sheetName val="TS-TC"/>
      <sheetName val="DCS"/>
      <sheetName val="2.3"/>
      <sheetName val="대기업"/>
      <sheetName val="각종자료"/>
      <sheetName val="견적"/>
      <sheetName val="S N"/>
      <sheetName val="Sheet_1"/>
      <sheetName val="배관물량_(STEEL)"/>
      <sheetName val="PAGE_2"/>
      <sheetName val="Struct-Grass_root"/>
      <sheetName val="General_Data2"/>
      <sheetName val="PRICE_COMP2"/>
      <sheetName val="A(Rev_3)2"/>
      <sheetName val="견적_집계"/>
      <sheetName val="PULLING_SUPT등"/>
      <sheetName val="Sheet1_(2)"/>
      <sheetName val="PAGE_1"/>
      <sheetName val="_생산성_분석_체계_절차_xlsx"/>
      <sheetName val="BQ_List"/>
      <sheetName val="Break_Down"/>
      <sheetName val="Supervision_List"/>
      <sheetName val="PREAM"/>
      <sheetName val="LBR"/>
      <sheetName val="SUMMARY (0)"/>
      <sheetName val="PL-DATA"/>
      <sheetName val="FRP내역서"/>
      <sheetName val="7_5_1(A)_Data5"/>
      <sheetName val="7_5_1(B)_BOQ_Breakdown5"/>
      <sheetName val="7_5_1(C)_Scope5"/>
      <sheetName val="7_5_1(D)_Basis5"/>
      <sheetName val="7_5_1(E)_Allowance5"/>
      <sheetName val="7_5_2_BOQ_Summary5"/>
      <sheetName val="7_5_3_BOQ5"/>
      <sheetName val="A__Erec_BOQ(Shop)5"/>
      <sheetName val="B__Erec_BOQ(Field)5"/>
      <sheetName val="C__Surface_Protection5"/>
      <sheetName val="A__Erec_BOQ(Shop)_(2)5"/>
      <sheetName val="B__Erec_BOQ(Field)_(2)5"/>
      <sheetName val="C__Surf_Protection5"/>
      <sheetName val="Attachment_#15"/>
      <sheetName val="Attachment_#25"/>
      <sheetName val="302_C15"/>
      <sheetName val="302_C25"/>
      <sheetName val="SUPPLY_(2)5"/>
      <sheetName val="RETURN_(2)5"/>
      <sheetName val="303_(2)5"/>
      <sheetName val="308_(2)5"/>
      <sheetName val="309_(2)5"/>
      <sheetName val="JUNCTION_BOX5"/>
      <sheetName val="PIPE_FITTING5"/>
      <sheetName val="TUBE_FITTING5"/>
      <sheetName val="CABLE_GLAND5"/>
      <sheetName val="BLR_15"/>
      <sheetName val="CONS__EQUIP___5"/>
      <sheetName val="REINF_5"/>
      <sheetName val="ITB_COST4"/>
      <sheetName val="97_사업추정(WEKI)4"/>
      <sheetName val="FIRE_FIGHTING4"/>
      <sheetName val="Cost_control4"/>
      <sheetName val="90EL_JACKET4"/>
      <sheetName val="보온_회사분4"/>
      <sheetName val="plan&amp;section_of_foundation3"/>
      <sheetName val="design_criteria3"/>
      <sheetName val="BM_DATA_SHEET3"/>
      <sheetName val="Tipo_Terzi3"/>
      <sheetName val="Mat_Stelo3"/>
      <sheetName val="Sch_62"/>
      <sheetName val="bill_22"/>
      <sheetName val="1_설계기준2"/>
      <sheetName val="Unit_SUM3"/>
      <sheetName val="표지_(2)2"/>
      <sheetName val="Sheet_12"/>
      <sheetName val="배관물량_(STEEL)2"/>
      <sheetName val="working_load_at_the_btm_ft_2"/>
      <sheetName val="stability_check2"/>
      <sheetName val="Break_Dw2"/>
      <sheetName val="방유제용량_계산서2"/>
      <sheetName val="Material_Specification2"/>
      <sheetName val="special_item_양진규_작성2"/>
      <sheetName val="OUTER_AREA(겹침없음)2"/>
      <sheetName val="CAMP_OPERATING_COST2"/>
      <sheetName val="PERSONNEL_SETUP2"/>
      <sheetName val="LIST_OF_OFFICE_EQUIPMENT2"/>
      <sheetName val="STAFF&amp;INDIRECT_SALARY_-_SUMMAR2"/>
      <sheetName val="KOREAN_STAFF_SALARY_BREAKDOWN2"/>
      <sheetName val="WELFARE_COST_-_SITE2"/>
      <sheetName val="INPUT_DATA2"/>
      <sheetName val="개시대사_(2)2"/>
      <sheetName val="pile_bearing_capa_&amp;_arrenge2"/>
      <sheetName val="design_load2"/>
      <sheetName val="Fab__Skid2"/>
      <sheetName val="입고장부_(4)2"/>
      <sheetName val="FEUILLE_INTERNE2"/>
      <sheetName val="L_V_Separator2"/>
      <sheetName val="CAMP_-_CONSTRUCTION2"/>
      <sheetName val="E_Rate_PM2"/>
      <sheetName val="Schedule_2_and_32"/>
      <sheetName val="CAL_2"/>
      <sheetName val="COMPARISON_TABLE2"/>
      <sheetName val="3_0_Overall_Progress_S-curve2"/>
      <sheetName val="3-4_SPI2"/>
      <sheetName val="7_5_1(A)_Data4"/>
      <sheetName val="7_5_1(B)_BOQ_Breakdown4"/>
      <sheetName val="7_5_1(C)_Scope4"/>
      <sheetName val="7_5_1(D)_Basis4"/>
      <sheetName val="7_5_1(E)_Allowance4"/>
      <sheetName val="7_5_2_BOQ_Summary4"/>
      <sheetName val="7_5_3_BOQ4"/>
      <sheetName val="A__Erec_BOQ(Shop)4"/>
      <sheetName val="B__Erec_BOQ(Field)4"/>
      <sheetName val="C__Surface_Protection4"/>
      <sheetName val="A__Erec_BOQ(Shop)_(2)4"/>
      <sheetName val="B__Erec_BOQ(Field)_(2)4"/>
      <sheetName val="C__Surf_Protection4"/>
      <sheetName val="Attachment_#14"/>
      <sheetName val="Attachment_#24"/>
      <sheetName val="302_C14"/>
      <sheetName val="302_C24"/>
      <sheetName val="SUPPLY_(2)4"/>
      <sheetName val="RETURN_(2)4"/>
      <sheetName val="303_(2)4"/>
      <sheetName val="308_(2)4"/>
      <sheetName val="309_(2)4"/>
      <sheetName val="JUNCTION_BOX4"/>
      <sheetName val="PIPE_FITTING4"/>
      <sheetName val="TUBE_FITTING4"/>
      <sheetName val="CABLE_GLAND4"/>
      <sheetName val="BLR_14"/>
      <sheetName val="CONS__EQUIP___4"/>
      <sheetName val="REINF_4"/>
      <sheetName val="ITB_COST3"/>
      <sheetName val="97_사업추정(WEKI)3"/>
      <sheetName val="FIRE_FIGHTING3"/>
      <sheetName val="Cost_control3"/>
      <sheetName val="90EL_JACKET3"/>
      <sheetName val="보온_회사분3"/>
      <sheetName val="Sheet_11"/>
      <sheetName val="배관물량_(STEEL)1"/>
      <sheetName val="CAL_1"/>
      <sheetName val="3_0_Overall_Progress_S-curve1"/>
      <sheetName val="3-4_SPI1"/>
      <sheetName val="REF.ONLY"/>
      <sheetName val="PRO_DCI"/>
      <sheetName val="HVAC_DCI"/>
      <sheetName val="PIPE_DCI"/>
      <sheetName val="Loading Table"/>
      <sheetName val="BATCH"/>
      <sheetName val="Pipelines ASAB I-II Brownfield"/>
      <sheetName val="ORIGN"/>
      <sheetName val="P-Ph3-F-002"/>
      <sheetName val="전기"/>
      <sheetName val="200"/>
      <sheetName val="BM1"/>
      <sheetName val="REDUCER"/>
      <sheetName val="WE'T"/>
      <sheetName val="DOWNLOAD"/>
      <sheetName val="상반기손익차2총괄"/>
      <sheetName val="MH Estimation Guide"/>
      <sheetName val="CIV-DWG-ADA"/>
      <sheetName val="CIV-DOC-ADA"/>
      <sheetName val="공사비 내역 (가)"/>
      <sheetName val="STATIC"/>
      <sheetName val="diamètres"/>
      <sheetName val="설계예산서1"/>
      <sheetName val="내"/>
      <sheetName val="실행자재"/>
      <sheetName val="spinning1"/>
      <sheetName val="input data-090908"/>
      <sheetName val="HRG BHN"/>
      <sheetName val="Vent Line size"/>
      <sheetName val="입사시직위"/>
      <sheetName val="MR"/>
      <sheetName val="LD-OVERA÷_x0000_"/>
      <sheetName val="LD-OVERA᯷㧓"/>
      <sheetName val="DIRECT-OFF"/>
      <sheetName val="PLAGCoct03"/>
      <sheetName val="表三甲"/>
      <sheetName val="调整"/>
      <sheetName val="Comp Rate "/>
      <sheetName val="집계표(OPTION)"/>
      <sheetName val="공문"/>
      <sheetName val="공구"/>
      <sheetName val="PI"/>
      <sheetName val="Expenses per Cost Code "/>
      <sheetName val="Data 1"/>
      <sheetName val="REPORT"/>
      <sheetName val="MEASURE LIST"/>
      <sheetName val="Don gia"/>
      <sheetName val="공량예산"/>
      <sheetName val="예산M6-B"/>
      <sheetName val="COMB MNG&amp;STAFF (ALL)  (2)"/>
      <sheetName val="Forecast Drivers"/>
      <sheetName val="뜃맟뭁돽띿맟_-BLDG"/>
      <sheetName val="SUBCON"/>
      <sheetName val="45,46"/>
      <sheetName val="01"/>
      <sheetName val="Unit Cost"/>
      <sheetName val="Fill this out first..."/>
      <sheetName val="Fill this out first___"/>
      <sheetName val="7.0 Crack Check"/>
      <sheetName val="축열조 기초"/>
      <sheetName val="hvac내역서(제어동)"/>
      <sheetName val="대비"/>
      <sheetName val="Exchange rates"/>
      <sheetName val="P_x0007__x0000__x000e__x0000_"/>
      <sheetName val="COST-EST LTI P5C"/>
      <sheetName val="기계시공"/>
      <sheetName val="SLEIPNER - ORMEN LANGE"/>
      <sheetName val="전기 BM_revA('090624).xls"/>
      <sheetName val="定额 (06)"/>
      <sheetName val="공통가설"/>
      <sheetName val="Tank"/>
      <sheetName val="Q5434 EQ LIST"/>
      <sheetName val="motor power"/>
      <sheetName val="Painting"/>
      <sheetName val="기계공사비집계(珆꭭/"/>
      <sheetName val="Total_mem"/>
      <sheetName val="Log"/>
      <sheetName val="Section 1~4(1)"/>
      <sheetName val="Section 1~4 "/>
      <sheetName val="Section 5"/>
      <sheetName val="Section 5.2"/>
      <sheetName val="Section 5.3"/>
      <sheetName val="Section 6"/>
      <sheetName val="Section 6.2"/>
      <sheetName val="Attachment 1"/>
      <sheetName val="Attachmenet 2"/>
      <sheetName val="Moment_Con_Capa"/>
      <sheetName val="Moment"/>
      <sheetName val="Shear_Con_Capa"/>
      <sheetName val="Shear"/>
      <sheetName val="PUMP_SHT"/>
      <sheetName val="Elect_(3)"/>
      <sheetName val="C급보_"/>
      <sheetName val="Rev_No"/>
      <sheetName val="Page_10"/>
      <sheetName val="Rectangular_Beam"/>
      <sheetName val="COST_UP"/>
      <sheetName val="간접비_총괄표"/>
      <sheetName val="Eng_hour_DB"/>
      <sheetName val="CRUDE_RE-bar"/>
      <sheetName val="DUTCH_CONE"/>
      <sheetName val="eq_data__x"/>
      <sheetName val="_"/>
      <sheetName val="2_Calculation_1"/>
      <sheetName val="PAGE_3_GENERAL_DETAILS"/>
      <sheetName val="적용_환율"/>
      <sheetName val="GM_000"/>
      <sheetName val="PRECAST_lightconc-II"/>
      <sheetName val="TENDER_PROG_"/>
      <sheetName val="PROC_PROG"/>
      <sheetName val="Block_D"/>
      <sheetName val="Datasheet_GLL_double_weir_(1)"/>
      <sheetName val="eq_data__x005f_x0000__x00"/>
      <sheetName val="33628-Rev__A"/>
      <sheetName val="TYPE-B_평균H"/>
      <sheetName val="Sheet2_(2)"/>
      <sheetName val="6_공사비_내역_(가)"/>
      <sheetName val="4-3LEVEL-5 epic.4"/>
      <sheetName val="M_B"/>
      <sheetName val="FA"/>
      <sheetName val="Analisa HS"/>
      <sheetName val="Eng_Hrs"/>
      <sheetName val="COST-TZ"/>
      <sheetName val="Coeff."/>
      <sheetName val="96.12"/>
      <sheetName val="Consumables"/>
      <sheetName val="Salary"/>
      <sheetName val="Dati base"/>
      <sheetName val="US Inflation Factors"/>
      <sheetName val="Ratios"/>
      <sheetName val="Cover Page"/>
      <sheetName val="NAME"/>
      <sheetName val="Coupling"/>
      <sheetName val="RAW MATERIALS "/>
      <sheetName val="COST-PERSON-J.O."/>
      <sheetName val="GT"/>
      <sheetName val="COST-SUM"/>
      <sheetName val="P_x0007_"/>
      <sheetName val="TACE"/>
      <sheetName val="SPrep_E4TK(R187)"/>
      <sheetName val="U00"/>
      <sheetName val="U01"/>
      <sheetName val="U02"/>
      <sheetName val="U03"/>
      <sheetName val="U06"/>
      <sheetName val="U07"/>
      <sheetName val="U08"/>
      <sheetName val="U09"/>
      <sheetName val="U10"/>
      <sheetName val="U11"/>
      <sheetName val="U13"/>
      <sheetName val="U21"/>
      <sheetName val="U25"/>
      <sheetName val="U26"/>
      <sheetName val="U29"/>
      <sheetName val="U30"/>
      <sheetName val="U31_Base"/>
      <sheetName val="U40"/>
      <sheetName val="U42"/>
      <sheetName val="U43"/>
      <sheetName val="U45"/>
      <sheetName val="U47"/>
      <sheetName val="U48"/>
      <sheetName val="U60"/>
      <sheetName val="4.단락전류"/>
      <sheetName val="[fdn_bm_pro.xls]기계공사비집계(珆꭭/"/>
      <sheetName val="PAD-F"/>
      <sheetName val="LME"/>
      <sheetName val="Tie Beam GN"/>
      <sheetName val="PileCap"/>
      <sheetName val="06-Progress"/>
      <sheetName val="04-Safety"/>
      <sheetName val="BM"/>
      <sheetName val="현장배치"/>
      <sheetName val="system &amp; LOOK_UP_FUNC"/>
      <sheetName val="Base_Data"/>
      <sheetName val="SUMMARY_(0)"/>
      <sheetName val="NPK_Gresik"/>
      <sheetName val="Rekapsub-total-ME"/>
      <sheetName val="Item Dominan"/>
      <sheetName val="LABT橿⿋_x0000__x0000_"/>
      <sheetName val="BID FORM"/>
      <sheetName val="Form of Bid"/>
      <sheetName val="건설성적"/>
      <sheetName val="삼성전기"/>
      <sheetName val="Grafenpa"/>
      <sheetName val="단가표"/>
      <sheetName val="노무비"/>
      <sheetName val="가동비율"/>
      <sheetName val="INST LIST"/>
      <sheetName val="터널조도"/>
      <sheetName val="6-2차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5-Digit"/>
      <sheetName val="MixBed"/>
      <sheetName val="CondPol"/>
      <sheetName val="Inputs"/>
      <sheetName val="BD"/>
      <sheetName val="LAB"/>
      <sheetName val="4300 UTILITY BLDG (2)"/>
      <sheetName val="WT-LIST"/>
      <sheetName val="예가표"/>
      <sheetName val="자재단가"/>
      <sheetName val="Price Breakdown(Building)"/>
      <sheetName val="GM_0001"/>
      <sheetName val="PRECAST_lightconc-II1"/>
      <sheetName val="ECL"/>
      <sheetName val="Thick"/>
      <sheetName val="기계공사비집계(᝔턀"/>
      <sheetName val="기계공사비집계(ࠀᝋ턀"/>
      <sheetName val="기계공사비집계("/>
      <sheetName val="기계공사비집계(﹗맕ԯ"/>
      <sheetName val="기계공사비집계(ၩ_x0000_堀"/>
      <sheetName val="기계공사비집계(թ_x0000_缀"/>
      <sheetName val="기계공사비집계(썩"/>
      <sheetName val="기계공사비집계(ၩ_x0000_렀"/>
      <sheetName val="기계공사비집계(౩⁯吀"/>
      <sheetName val="기계공사비집계(偩⑔鰀"/>
      <sheetName val="기계공사비집계(i_x0000_ꀀ"/>
      <sheetName val="기계공사비집계(桩♗洀"/>
      <sheetName val="MANPOWER DIRECT TRACKING"/>
      <sheetName val="Timescaled Data"/>
      <sheetName val="Home Office"/>
      <sheetName val="7_5_1(A)_Data6"/>
      <sheetName val="7_5_1(B)_BOQ_Breakdown6"/>
      <sheetName val="7_5_1(C)_Scope6"/>
      <sheetName val="7_5_1(D)_Basis6"/>
      <sheetName val="7_5_1(E)_Allowance6"/>
      <sheetName val="7_5_2_BOQ_Summary6"/>
      <sheetName val="7_5_3_BOQ6"/>
      <sheetName val="A__Erec_BOQ(Shop)6"/>
      <sheetName val="B__Erec_BOQ(Field)6"/>
      <sheetName val="C__Surface_Protection6"/>
      <sheetName val="A__Erec_BOQ(Shop)_(2)6"/>
      <sheetName val="B__Erec_BOQ(Field)_(2)6"/>
      <sheetName val="C__Surf_Protection6"/>
      <sheetName val="Attachment_#16"/>
      <sheetName val="Attachment_#26"/>
      <sheetName val="302_C16"/>
      <sheetName val="302_C26"/>
      <sheetName val="SUPPLY_(2)6"/>
      <sheetName val="RETURN_(2)6"/>
      <sheetName val="303_(2)6"/>
      <sheetName val="308_(2)6"/>
      <sheetName val="309_(2)6"/>
      <sheetName val="JUNCTION_BOX6"/>
      <sheetName val="PIPE_FITTING6"/>
      <sheetName val="TUBE_FITTING6"/>
      <sheetName val="CABLE_GLAND6"/>
      <sheetName val="CONS__EQUIP___6"/>
      <sheetName val="BLR_16"/>
      <sheetName val="REINF_6"/>
      <sheetName val="ITB_COST5"/>
      <sheetName val="97_사업추정(WEKI)5"/>
      <sheetName val="Cost_control5"/>
      <sheetName val="90EL_JACKET5"/>
      <sheetName val="보온_회사분5"/>
      <sheetName val="FIRE_FIGHTING5"/>
      <sheetName val="Tipo_Terzi4"/>
      <sheetName val="plan&amp;section_of_foundation4"/>
      <sheetName val="design_criteria4"/>
      <sheetName val="BM_DATA_SHEET4"/>
      <sheetName val="Mat_Stelo4"/>
      <sheetName val="Unit_SUM4"/>
      <sheetName val="working_load_at_the_btm_ft_3"/>
      <sheetName val="stability_check3"/>
      <sheetName val="OUTER_AREA(겹침없음)3"/>
      <sheetName val="1_설계기준3"/>
      <sheetName val="bill_23"/>
      <sheetName val="표지_(2)3"/>
      <sheetName val="Break_Dw3"/>
      <sheetName val="방유제용량_계산서3"/>
      <sheetName val="Material_Specification3"/>
      <sheetName val="special_item_양진규_작성3"/>
      <sheetName val="Sch_63"/>
      <sheetName val="pile_bearing_capa_&amp;_arrenge3"/>
      <sheetName val="design_load3"/>
      <sheetName val="Fab__Skid3"/>
      <sheetName val="INPUT_DATA3"/>
      <sheetName val="CAMP_OPERATING_COST3"/>
      <sheetName val="PERSONNEL_SETUP3"/>
      <sheetName val="LIST_OF_OFFICE_EQUIPMENT3"/>
      <sheetName val="STAFF&amp;INDIRECT_SALARY_-_SUMMAR3"/>
      <sheetName val="KOREAN_STAFF_SALARY_BREAKDOWN3"/>
      <sheetName val="WELFARE_COST_-_SITE3"/>
      <sheetName val="개시대사_(2)3"/>
      <sheetName val="입고장부_(4)3"/>
      <sheetName val="FEUILLE_INTERNE3"/>
      <sheetName val="COMPARISON_TABLE3"/>
      <sheetName val="L_V_Separator3"/>
      <sheetName val="CAMP_-_CONSTRUCTION3"/>
      <sheetName val="E_Rate_PM3"/>
      <sheetName val="Schedule_2_and_33"/>
      <sheetName val="Cover_sheet1"/>
      <sheetName val="CAL_3"/>
      <sheetName val="Summary_Sheets1"/>
      <sheetName val="BSD_(2)1"/>
      <sheetName val="TRAY_BM1"/>
      <sheetName val="11_자재단가2"/>
      <sheetName val="1_OF_92"/>
      <sheetName val="품셈_1"/>
      <sheetName val="sc0314_Index1"/>
      <sheetName val="Graph_(LGEN)1"/>
      <sheetName val="선적schedule_(2)1"/>
      <sheetName val="Resource_summary1"/>
      <sheetName val="배관물량_(STEEL)3"/>
      <sheetName val="Sheet_13"/>
      <sheetName val="w't_table1"/>
      <sheetName val="eq_data__x005f_x0000__x005f_x0000__x005f_x0000__1"/>
      <sheetName val="Break_Down1"/>
      <sheetName val="Supervision_List1"/>
      <sheetName val="General_Data3"/>
      <sheetName val="PRICE_COMP3"/>
      <sheetName val="A(Rev_3)3"/>
      <sheetName val="static_cal1"/>
      <sheetName val="crude_SLAB_RE-bar1"/>
      <sheetName val="7_6_3(B)_UG_Piping1"/>
      <sheetName val="PRICE_LIST1"/>
      <sheetName val="7_5_2_BOQ_Summary_1"/>
      <sheetName val="Rekap_A1"/>
      <sheetName val="paint_mat1"/>
      <sheetName val="VE_Estimate1"/>
      <sheetName val="TABLE2-2_OSBL-(SITE_PREP)1"/>
      <sheetName val="OFFER_RATE1"/>
      <sheetName val="Job_Data1"/>
      <sheetName val="Piping_Design_Data1"/>
      <sheetName val="Summary_20021"/>
      <sheetName val="ASME_B_36_10_M1"/>
      <sheetName val="Struct-Grass_root1"/>
      <sheetName val="3_0_Overall_Progress_S-curve3"/>
      <sheetName val="3-4_SPI3"/>
      <sheetName val="-15_01"/>
      <sheetName val="견적_집계1"/>
      <sheetName val="PULLING_SUPT등1"/>
      <sheetName val="Sheet1_(2)1"/>
      <sheetName val="PAGE_11"/>
      <sheetName val="_생산성_분석_체계_절차_xlsx1"/>
      <sheetName val="BQ_List1"/>
      <sheetName val="PAGE_21"/>
      <sheetName val="Page_101"/>
      <sheetName val="C급보_1"/>
      <sheetName val="Rectangular_Beam1"/>
      <sheetName val="CRUDE_RE-bar1"/>
      <sheetName val="COST_UP1"/>
      <sheetName val="간접비_총괄표1"/>
      <sheetName val="Eng_hour_DB1"/>
      <sheetName val="DUTCH_CONE1"/>
      <sheetName val="2_Calculation_11"/>
      <sheetName val="PAGE_3_GENERAL_DETAILS1"/>
      <sheetName val="적용_환율1"/>
      <sheetName val="Elect_(3)1"/>
      <sheetName val="Rev_No1"/>
      <sheetName val="PUMP_SHT1"/>
      <sheetName val="Datasheet_GLL_double_weir_(1)1"/>
      <sheetName val="_1"/>
      <sheetName val="eq_data__x005f_x0000__x001"/>
      <sheetName val="TENDER_PROG_1"/>
      <sheetName val="PROC_PROG1"/>
      <sheetName val="Block_D1"/>
      <sheetName val="Sheet2_(2)1"/>
      <sheetName val="33628-Rev__A1"/>
      <sheetName val="TYPE-B_평균H1"/>
      <sheetName val="co-no_2"/>
      <sheetName val="6_공사비_내역_(가)1"/>
      <sheetName val="Form_A_1"/>
      <sheetName val="Form_A_1_1"/>
      <sheetName val="BOM_Indirect"/>
      <sheetName val="Form_A_1_II_2"/>
      <sheetName val="6_GSTG_PIPING"/>
      <sheetName val="NONS__2,189"/>
      <sheetName val="Reference_Table"/>
      <sheetName val="CAL(1)_"/>
      <sheetName val="member_design"/>
      <sheetName val="soil_bearing_check"/>
      <sheetName val="OCT_FDN"/>
      <sheetName val="PRI_CIV"/>
      <sheetName val="FOR_CIV"/>
      <sheetName val="SUB_CIV"/>
      <sheetName val="ANA_CIV"/>
      <sheetName val="AUX_CIV"/>
      <sheetName val="내역서_"/>
      <sheetName val="hori__vessel(E-895)"/>
      <sheetName val="2_3"/>
      <sheetName val="S_N"/>
      <sheetName val="REF_ONLY"/>
      <sheetName val="SUMMARY_(0)1"/>
      <sheetName val="Loading_Table"/>
      <sheetName val="Pipelines_ASAB_I-II_Brownfield"/>
      <sheetName val="Vent_Line_size"/>
      <sheetName val="4_1구조설계"/>
      <sheetName val="input_data-090908"/>
      <sheetName val="HRG_BHN"/>
      <sheetName val="MH_Estimation_Guide"/>
      <sheetName val="공사비_내역_(가)"/>
      <sheetName val="Comp_Rate_"/>
      <sheetName val="Expenses_per_Cost_Code_"/>
      <sheetName val="COMB_MNG&amp;STAFF_(ALL)__(2)"/>
      <sheetName val="Q5434_EQ_LIST"/>
      <sheetName val="motor_power"/>
      <sheetName val="Forecast_Drivers"/>
      <sheetName val="Fill_this_out_first___"/>
      <sheetName val="Fill_this_out_first___1"/>
      <sheetName val="7_0_Crack_Check"/>
      <sheetName val="축열조_기초"/>
      <sheetName val="Data_1"/>
      <sheetName val="Unit_Cost"/>
      <sheetName val="Section_1~4(1)"/>
      <sheetName val="Section_1~4_"/>
      <sheetName val="Section_5"/>
      <sheetName val="Section_5_2"/>
      <sheetName val="Section_5_3"/>
      <sheetName val="Section_6"/>
      <sheetName val="Section_6_2"/>
      <sheetName val="Attachment_1"/>
      <sheetName val="Attachmenet_2"/>
      <sheetName val="MEASURE_LIST"/>
      <sheetName val="Don_gia"/>
      <sheetName val="Analisa_HS"/>
      <sheetName val="COST-EST_LTI_P5C"/>
      <sheetName val="SLEIPNER_-_ORMEN_LANGE"/>
      <sheetName val="전기_BM_revA('090624)_xls"/>
      <sheetName val="定额_(06)"/>
      <sheetName val="Coeff_"/>
      <sheetName val="RAW_MATERIALS_"/>
      <sheetName val="COST-PERSON-J_O_"/>
      <sheetName val="4-3LEVEL-5_epic_4"/>
      <sheetName val="4_단락전류"/>
      <sheetName val="[fdn_bm_pro_xls]기계공사비집계(珆꭭/"/>
      <sheetName val="Exchange_rates"/>
      <sheetName val="P"/>
      <sheetName val="7_5_1(A)_Data7"/>
      <sheetName val="7_5_1(B)_BOQ_Breakdown7"/>
      <sheetName val="7_5_1(C)_Scope7"/>
      <sheetName val="7_5_1(D)_Basis7"/>
      <sheetName val="7_5_1(E)_Allowance7"/>
      <sheetName val="7_5_2_BOQ_Summary7"/>
      <sheetName val="7_5_3_BOQ7"/>
      <sheetName val="A__Erec_BOQ(Shop)7"/>
      <sheetName val="B__Erec_BOQ(Field)7"/>
      <sheetName val="C__Surface_Protection7"/>
      <sheetName val="A__Erec_BOQ(Shop)_(2)7"/>
      <sheetName val="B__Erec_BOQ(Field)_(2)7"/>
      <sheetName val="C__Surf_Protection7"/>
      <sheetName val="Attachment_#17"/>
      <sheetName val="Attachment_#27"/>
      <sheetName val="302_C17"/>
      <sheetName val="302_C27"/>
      <sheetName val="SUPPLY_(2)7"/>
      <sheetName val="RETURN_(2)7"/>
      <sheetName val="303_(2)7"/>
      <sheetName val="308_(2)7"/>
      <sheetName val="309_(2)7"/>
      <sheetName val="JUNCTION_BOX7"/>
      <sheetName val="PIPE_FITTING7"/>
      <sheetName val="TUBE_FITTING7"/>
      <sheetName val="CABLE_GLAND7"/>
      <sheetName val="CONS__EQUIP___7"/>
      <sheetName val="BLR_17"/>
      <sheetName val="REINF_7"/>
      <sheetName val="ITB_COST6"/>
      <sheetName val="97_사업추정(WEKI)6"/>
      <sheetName val="Cost_control6"/>
      <sheetName val="90EL_JACKET6"/>
      <sheetName val="보온_회사분6"/>
      <sheetName val="FIRE_FIGHTING6"/>
      <sheetName val="Tipo_Terzi5"/>
      <sheetName val="plan&amp;section_of_foundation5"/>
      <sheetName val="design_criteria5"/>
      <sheetName val="BM_DATA_SHEET5"/>
      <sheetName val="Mat_Stelo5"/>
      <sheetName val="Unit_SUM5"/>
      <sheetName val="working_load_at_the_btm_ft_4"/>
      <sheetName val="stability_check4"/>
      <sheetName val="OUTER_AREA(겹침없음)4"/>
      <sheetName val="1_설계기준4"/>
      <sheetName val="bill_24"/>
      <sheetName val="표지_(2)4"/>
      <sheetName val="Break_Dw4"/>
      <sheetName val="방유제용량_계산서4"/>
      <sheetName val="Material_Specification4"/>
      <sheetName val="special_item_양진규_작성4"/>
      <sheetName val="Sch_64"/>
      <sheetName val="pile_bearing_capa_&amp;_arrenge4"/>
      <sheetName val="design_load4"/>
      <sheetName val="Fab__Skid4"/>
      <sheetName val="INPUT_DATA4"/>
      <sheetName val="CAMP_OPERATING_COST4"/>
      <sheetName val="PERSONNEL_SETUP4"/>
      <sheetName val="LIST_OF_OFFICE_EQUIPMENT4"/>
      <sheetName val="STAFF&amp;INDIRECT_SALARY_-_SUMMAR4"/>
      <sheetName val="KOREAN_STAFF_SALARY_BREAKDOWN4"/>
      <sheetName val="WELFARE_COST_-_SITE4"/>
      <sheetName val="개시대사_(2)4"/>
      <sheetName val="입고장부_(4)4"/>
      <sheetName val="FEUILLE_INTERNE4"/>
      <sheetName val="COMPARISON_TABLE4"/>
      <sheetName val="L_V_Separator4"/>
      <sheetName val="CAMP_-_CONSTRUCTION4"/>
      <sheetName val="E_Rate_PM4"/>
      <sheetName val="Schedule_2_and_34"/>
      <sheetName val="Cover_sheet2"/>
      <sheetName val="CAL_4"/>
      <sheetName val="Summary_Sheets2"/>
      <sheetName val="BSD_(2)2"/>
      <sheetName val="TRAY_BM2"/>
      <sheetName val="11_자재단가3"/>
      <sheetName val="1_OF_93"/>
      <sheetName val="품셈_2"/>
      <sheetName val="sc0314_Index2"/>
      <sheetName val="Graph_(LGEN)2"/>
      <sheetName val="선적schedule_(2)2"/>
      <sheetName val="Resource_summary2"/>
      <sheetName val="배관물량_(STEEL)4"/>
      <sheetName val="Sheet_14"/>
      <sheetName val="w't_table2"/>
      <sheetName val="eq_data__x005f_x0000__x005f_x0000__x005f_x0000__2"/>
      <sheetName val="Break_Down2"/>
      <sheetName val="Supervision_List2"/>
      <sheetName val="General_Data4"/>
      <sheetName val="PRICE_COMP4"/>
      <sheetName val="A(Rev_3)4"/>
      <sheetName val="static_cal2"/>
      <sheetName val="crude_SLAB_RE-bar2"/>
      <sheetName val="7_6_3(B)_UG_Piping2"/>
      <sheetName val="PRICE_LIST2"/>
      <sheetName val="7_5_2_BOQ_Summary_2"/>
      <sheetName val="Rekap_A2"/>
      <sheetName val="paint_mat2"/>
      <sheetName val="VE_Estimate2"/>
      <sheetName val="TABLE2-2_OSBL-(SITE_PREP)2"/>
      <sheetName val="OFFER_RATE2"/>
      <sheetName val="Job_Data2"/>
      <sheetName val="Piping_Design_Data2"/>
      <sheetName val="Summary_20022"/>
      <sheetName val="ASME_B_36_10_M2"/>
      <sheetName val="Struct-Grass_root2"/>
      <sheetName val="3_0_Overall_Progress_S-curve4"/>
      <sheetName val="3-4_SPI4"/>
      <sheetName val="-15_02"/>
      <sheetName val="견적_집계2"/>
      <sheetName val="PULLING_SUPT등2"/>
      <sheetName val="Sheet1_(2)2"/>
      <sheetName val="PAGE_12"/>
      <sheetName val="_생산성_분석_체계_절차_xlsx2"/>
      <sheetName val="BQ_List2"/>
      <sheetName val="PAGE_22"/>
      <sheetName val="Page_102"/>
      <sheetName val="C급보_2"/>
      <sheetName val="Rectangular_Beam2"/>
      <sheetName val="CRUDE_RE-bar2"/>
      <sheetName val="COST_UP2"/>
      <sheetName val="간접비_총괄표2"/>
      <sheetName val="Eng_hour_DB2"/>
      <sheetName val="DUTCH_CONE2"/>
      <sheetName val="2_Calculation_12"/>
      <sheetName val="PAGE_3_GENERAL_DETAILS2"/>
      <sheetName val="적용_환율2"/>
      <sheetName val="Elect_(3)2"/>
      <sheetName val="GM_0002"/>
      <sheetName val="PRECAST_lightconc-II2"/>
      <sheetName val="Rev_No2"/>
      <sheetName val="PUMP_SHT2"/>
      <sheetName val="Datasheet_GLL_double_weir_(1)2"/>
      <sheetName val="_2"/>
      <sheetName val="eq_data__x005f_x0000__x002"/>
      <sheetName val="TENDER_PROG_2"/>
      <sheetName val="PROC_PROG2"/>
      <sheetName val="Block_D2"/>
      <sheetName val="Sheet2_(2)2"/>
      <sheetName val="33628-Rev__A2"/>
      <sheetName val="TYPE-B_평균H2"/>
      <sheetName val="co-no_21"/>
      <sheetName val="6_공사비_내역_(가)2"/>
      <sheetName val="Form_A_11"/>
      <sheetName val="Form_A_1_11"/>
      <sheetName val="BOM_Indirect1"/>
      <sheetName val="Form_A_1_II_21"/>
      <sheetName val="6_GSTG_PIPING1"/>
      <sheetName val="NONS__2,1891"/>
      <sheetName val="Reference_Table1"/>
      <sheetName val="CAL(1)_1"/>
      <sheetName val="member_design1"/>
      <sheetName val="soil_bearing_check1"/>
      <sheetName val="OCT_FDN1"/>
      <sheetName val="PRI_CIV1"/>
      <sheetName val="FOR_CIV1"/>
      <sheetName val="SUB_CIV1"/>
      <sheetName val="ANA_CIV1"/>
      <sheetName val="AUX_CIV1"/>
      <sheetName val="내역서_1"/>
      <sheetName val="hori__vessel(E-895)1"/>
      <sheetName val="2_31"/>
      <sheetName val="S_N1"/>
      <sheetName val="REF_ONLY1"/>
      <sheetName val="SUMMARY_(0)2"/>
      <sheetName val="Loading_Table1"/>
      <sheetName val="Pipelines_ASAB_I-II_Brownfield1"/>
      <sheetName val="Vent_Line_size1"/>
      <sheetName val="4_1구조설계1"/>
      <sheetName val="input_data-0909081"/>
      <sheetName val="HRG_BHN1"/>
      <sheetName val="MH_Estimation_Guide1"/>
      <sheetName val="공사비_내역_(가)1"/>
      <sheetName val="Comp_Rate_1"/>
      <sheetName val="Expenses_per_Cost_Code_1"/>
      <sheetName val="COMB_MNG&amp;STAFF_(ALL)__(2)1"/>
      <sheetName val="Q5434_EQ_LIST1"/>
      <sheetName val="motor_power1"/>
      <sheetName val="Forecast_Drivers1"/>
      <sheetName val="Fill_this_out_first___2"/>
      <sheetName val="Fill_this_out_first___3"/>
      <sheetName val="7_0_Crack_Check1"/>
      <sheetName val="축열조_기초1"/>
      <sheetName val="Data_11"/>
      <sheetName val="Unit_Cost1"/>
      <sheetName val="Section_1~4(1)1"/>
      <sheetName val="Section_1~4_1"/>
      <sheetName val="Section_51"/>
      <sheetName val="Section_5_21"/>
      <sheetName val="Section_5_31"/>
      <sheetName val="Section_61"/>
      <sheetName val="Section_6_21"/>
      <sheetName val="Attachment_11"/>
      <sheetName val="Attachmenet_21"/>
      <sheetName val="MEASURE_LIST1"/>
      <sheetName val="Don_gia1"/>
      <sheetName val="Analisa_HS1"/>
      <sheetName val="COST-EST_LTI_P5C1"/>
      <sheetName val="SLEIPNER_-_ORMEN_LANGE1"/>
      <sheetName val="전기_BM_revA('090624)_xls1"/>
      <sheetName val="定额_(06)1"/>
      <sheetName val="Coeff_1"/>
      <sheetName val="RAW_MATERIALS_1"/>
      <sheetName val="COST-PERSON-J_O_1"/>
      <sheetName val="4-3LEVEL-5_epic_41"/>
      <sheetName val="4_단락전류1"/>
      <sheetName val="[fdn_bm_pro_xls]기계공사비집계(珆꭭/1"/>
      <sheetName val="Exchange_rates1"/>
      <sheetName val="2-SITE "/>
      <sheetName val="LOB"/>
      <sheetName val="eq_data ????"/>
      <sheetName val="?è"/>
      <sheetName val="기계공사비집계(ၩ"/>
      <sheetName val="기계공사비집계(թ"/>
      <sheetName val="기계공사비집계(i"/>
      <sheetName val="등부표"/>
      <sheetName val="APP-9"/>
      <sheetName val="PCC EAF"/>
      <sheetName val="PCC LF"/>
      <sheetName val="Indeks"/>
      <sheetName val="5-ALAT(1)"/>
      <sheetName val="4-Basic Price"/>
      <sheetName val="1-Rekap"/>
      <sheetName val="기계공사비집계(珆꭭_"/>
      <sheetName val="_fdn_bm_pro.xls_기계공사비집계(珆꭭_"/>
      <sheetName val="STD"/>
      <sheetName val="Finish list"/>
      <sheetName val="Bldg정보"/>
      <sheetName val="sOURCES"/>
      <sheetName val="자재집계 &amp; 총괄표"/>
      <sheetName val="Engrg Est"/>
      <sheetName val="7"/>
      <sheetName val="5_Peralatan"/>
      <sheetName val="Cover_Flex"/>
      <sheetName val="[fdn_bm_pro.xls]_fdn_bm_pro_x_2"/>
      <sheetName val="제직재"/>
      <sheetName val="설직재-1"/>
      <sheetName val="제-노임"/>
      <sheetName val="생산량"/>
      <sheetName val="가설개략"/>
      <sheetName val="dlvoid"/>
      <sheetName val="Unit. Price"/>
      <sheetName val="유림골조"/>
      <sheetName val="GASATAGG.XLS"/>
      <sheetName val="Informasi"/>
      <sheetName val="CBD"/>
      <sheetName val="뜃맟뭁돽띿맟-BLDG"/>
      <sheetName val="기계공사비집계(珆꭭"/>
      <sheetName val="fdn_bm_pro.xls기계공사비집계(珆꭭"/>
      <sheetName val="BD-PP-OFF"/>
      <sheetName val="page 142"/>
      <sheetName val="BEND LOSS"/>
      <sheetName val="H.Satuan"/>
      <sheetName val="Listenfelder"/>
      <sheetName val="InsertListDrawing 1 "/>
      <sheetName val="M1"/>
      <sheetName val="SAT"/>
      <sheetName val="6PILE  (돌출)"/>
      <sheetName val="barTable"/>
      <sheetName val="Testing"/>
      <sheetName val="BILL Of QUANTITIES"/>
      <sheetName val="Tie_Beam_GN"/>
      <sheetName val="system_&amp;_LOOK_UP_FUNC"/>
      <sheetName val="96_12"/>
      <sheetName val="tabulación final"/>
      <sheetName val="Div26 - Elect"/>
      <sheetName val="選択リスト"/>
      <sheetName val="図面番号参照"/>
      <sheetName val="2.4.1 Elec_BOQ"/>
      <sheetName val="2.4.1 Inst_BOQ"/>
      <sheetName val="PTF Report"/>
      <sheetName val="송강"/>
      <sheetName val="예정공정표 (2)"/>
      <sheetName val="Sh_x0005__x0000__x0000_"/>
      <sheetName val="DTmpData"/>
      <sheetName val="ADMIN TB-557066_00A"/>
      <sheetName val="LABORATORY TB-557091_00A"/>
      <sheetName val="OME5 TB-557088-001_00A"/>
      <sheetName val="OME4 TB-557087-001_00A"/>
      <sheetName val="OME3 TB-557086-001_00A"/>
      <sheetName val="CMB EMTS TB-557084_00A"/>
      <sheetName val="SLCB TB-557083-002_00B"/>
      <sheetName val="PIB9 TB-557082-003_00B"/>
      <sheetName val="PIB7 TB-557081-003_00B"/>
      <sheetName val="PIB6 TB-557080-003_00B"/>
      <sheetName val="PIB5 TB-557079-002_00B"/>
      <sheetName val="PIB4 TB-557078-002_00B"/>
      <sheetName val="PIB3 TB-557077-002_00B"/>
      <sheetName val="CCB TB-557075-001_00B"/>
      <sheetName val="CCB TB-557073-002_00B"/>
      <sheetName val="CCB TB-557072-001_00A"/>
      <sheetName val="CCB TB-557051_00B"/>
      <sheetName val="MASTER"/>
      <sheetName val="Budget Weight Instructions A"/>
      <sheetName val="P-base-1"/>
      <sheetName val="E-base-1"/>
      <sheetName val="Forecast"/>
      <sheetName val="Basic data"/>
      <sheetName val="Isolasi Luar Dalam"/>
      <sheetName val="Isolasi Luar"/>
      <sheetName val="PDMP"/>
      <sheetName val="PCE"/>
      <sheetName val="PRODUK"/>
      <sheetName val="TOOL-ME"/>
      <sheetName val="Sh_x0005_"/>
      <sheetName val="NOC"/>
      <sheetName val="EMPLOYMENT CERTIFICATE"/>
      <sheetName val="Salary cer"/>
      <sheetName val="Master file"/>
      <sheetName val="AC"/>
      <sheetName val="암거공"/>
      <sheetName val="가수금대체"/>
      <sheetName val="손익예상"/>
      <sheetName val="working"/>
      <sheetName val="배관내역"/>
      <sheetName val="공정현황"/>
      <sheetName val="PPJan'06"/>
      <sheetName val="공사계획서"/>
      <sheetName val="품셈표"/>
      <sheetName val="Eq. Mobilization"/>
    </sheetNames>
    <sheetDataSet>
      <sheetData sheetId="0">
        <row r="5">
          <cell r="C5" t="str">
            <v>Isolated type</v>
          </cell>
        </row>
      </sheetData>
      <sheetData sheetId="1">
        <row r="5">
          <cell r="C5" t="str">
            <v>Isolated type</v>
          </cell>
        </row>
      </sheetData>
      <sheetData sheetId="2" refreshError="1">
        <row r="5">
          <cell r="C5" t="str">
            <v>Isolated type</v>
          </cell>
        </row>
        <row r="6">
          <cell r="C6" t="str">
            <v>Sleeper type</v>
          </cell>
        </row>
        <row r="7">
          <cell r="C7" t="str">
            <v xml:space="preserve"> Horizontal Vessel</v>
          </cell>
        </row>
        <row r="8">
          <cell r="C8" t="str">
            <v>Vertical vessel type</v>
          </cell>
        </row>
        <row r="9">
          <cell r="C9" t="str">
            <v>Pump Type</v>
          </cell>
        </row>
        <row r="10">
          <cell r="C10" t="str">
            <v>Combined type</v>
          </cell>
        </row>
        <row r="11">
          <cell r="C11" t="str">
            <v>기타1</v>
          </cell>
        </row>
        <row r="12">
          <cell r="C12" t="str">
            <v>기타2</v>
          </cell>
        </row>
        <row r="13">
          <cell r="C13" t="str">
            <v>기타3</v>
          </cell>
        </row>
        <row r="14">
          <cell r="C14" t="str">
            <v>기타4</v>
          </cell>
        </row>
        <row r="15">
          <cell r="C15" t="e">
            <v>#REF!</v>
          </cell>
        </row>
        <row r="16">
          <cell r="C16" t="e">
            <v>#REF!</v>
          </cell>
        </row>
        <row r="17">
          <cell r="C17" t="e">
            <v>#REF!</v>
          </cell>
        </row>
        <row r="18">
          <cell r="C18" t="e">
            <v>#REF!</v>
          </cell>
        </row>
        <row r="19">
          <cell r="C19" t="e">
            <v>#REF!</v>
          </cell>
        </row>
        <row r="20">
          <cell r="C20" t="e">
            <v>#REF!</v>
          </cell>
        </row>
        <row r="21">
          <cell r="C21" t="e">
            <v>#REF!</v>
          </cell>
        </row>
        <row r="22">
          <cell r="C22" t="e">
            <v>#REF!</v>
          </cell>
        </row>
        <row r="23">
          <cell r="C23" t="e">
            <v>#REF!</v>
          </cell>
        </row>
        <row r="24">
          <cell r="C24" t="e">
            <v>#REF!</v>
          </cell>
        </row>
        <row r="25">
          <cell r="C25" t="e">
            <v>#REF!</v>
          </cell>
        </row>
        <row r="26">
          <cell r="C26" t="e">
            <v>#REF!</v>
          </cell>
        </row>
        <row r="27">
          <cell r="C27" t="e">
            <v>#REF!</v>
          </cell>
        </row>
        <row r="28">
          <cell r="C28" t="e">
            <v>#REF!</v>
          </cell>
        </row>
        <row r="29">
          <cell r="C29" t="e">
            <v>#REF!</v>
          </cell>
        </row>
        <row r="30">
          <cell r="C30" t="e">
            <v>#REF!</v>
          </cell>
        </row>
        <row r="31">
          <cell r="C31" t="e">
            <v>#REF!</v>
          </cell>
        </row>
        <row r="32">
          <cell r="C32" t="e">
            <v>#REF!</v>
          </cell>
        </row>
        <row r="33">
          <cell r="C33" t="e">
            <v>#REF!</v>
          </cell>
        </row>
        <row r="34">
          <cell r="C34" t="e">
            <v>#REF!</v>
          </cell>
        </row>
        <row r="35">
          <cell r="C35" t="e">
            <v>#REF!</v>
          </cell>
        </row>
        <row r="36">
          <cell r="C36" t="e">
            <v>#REF!</v>
          </cell>
        </row>
        <row r="37">
          <cell r="C37" t="e">
            <v>#REF!</v>
          </cell>
        </row>
        <row r="38">
          <cell r="C38" t="e">
            <v>#REF!</v>
          </cell>
        </row>
        <row r="39">
          <cell r="C39" t="e">
            <v>#REF!</v>
          </cell>
        </row>
        <row r="40">
          <cell r="C40" t="e">
            <v>#REF!</v>
          </cell>
        </row>
        <row r="41">
          <cell r="C41" t="e">
            <v>#REF!</v>
          </cell>
        </row>
        <row r="42">
          <cell r="C42" t="e">
            <v>#REF!</v>
          </cell>
        </row>
        <row r="43">
          <cell r="C43" t="e">
            <v>#REF!</v>
          </cell>
        </row>
        <row r="44">
          <cell r="C44" t="e">
            <v>#REF!</v>
          </cell>
        </row>
        <row r="45">
          <cell r="C45" t="e">
            <v>#REF!</v>
          </cell>
        </row>
        <row r="46">
          <cell r="C46" t="e">
            <v>#REF!</v>
          </cell>
        </row>
        <row r="47">
          <cell r="C47" t="e">
            <v>#REF!</v>
          </cell>
        </row>
        <row r="48">
          <cell r="C48" t="e">
            <v>#REF!</v>
          </cell>
        </row>
        <row r="49">
          <cell r="C49" t="e">
            <v>#REF!</v>
          </cell>
        </row>
        <row r="50">
          <cell r="C50" t="e">
            <v>#REF!</v>
          </cell>
        </row>
        <row r="51">
          <cell r="C51" t="e">
            <v>#REF!</v>
          </cell>
        </row>
        <row r="52">
          <cell r="C52" t="e">
            <v>#REF!</v>
          </cell>
        </row>
        <row r="53">
          <cell r="C53" t="e">
            <v>#REF!</v>
          </cell>
        </row>
        <row r="54">
          <cell r="C54" t="e">
            <v>#REF!</v>
          </cell>
        </row>
      </sheetData>
      <sheetData sheetId="3">
        <row r="5">
          <cell r="C5" t="str">
            <v>Isolated type</v>
          </cell>
        </row>
      </sheetData>
      <sheetData sheetId="4"/>
      <sheetData sheetId="5"/>
      <sheetData sheetId="6">
        <row r="5">
          <cell r="C5" t="str">
            <v>PACKAGE NO.</v>
          </cell>
        </row>
      </sheetData>
      <sheetData sheetId="7">
        <row r="5">
          <cell r="C5" t="str">
            <v>PACKAGE NO.</v>
          </cell>
        </row>
      </sheetData>
      <sheetData sheetId="8">
        <row r="5">
          <cell r="C5" t="str">
            <v>PACKAGE NO.</v>
          </cell>
        </row>
      </sheetData>
      <sheetData sheetId="9">
        <row r="5">
          <cell r="C5" t="str">
            <v>PACKAGE NO.</v>
          </cell>
        </row>
      </sheetData>
      <sheetData sheetId="10">
        <row r="5">
          <cell r="C5" t="str">
            <v>PACKAGE NO.</v>
          </cell>
        </row>
      </sheetData>
      <sheetData sheetId="11">
        <row r="5">
          <cell r="C5" t="str">
            <v>PACKAGE NO.</v>
          </cell>
        </row>
      </sheetData>
      <sheetData sheetId="12">
        <row r="5">
          <cell r="C5" t="str">
            <v>PACKAGE NO.</v>
          </cell>
        </row>
      </sheetData>
      <sheetData sheetId="13">
        <row r="5">
          <cell r="C5" t="str">
            <v>PACKAGE NO.</v>
          </cell>
        </row>
      </sheetData>
      <sheetData sheetId="14">
        <row r="5">
          <cell r="C5" t="str">
            <v>PACKAGE NO.</v>
          </cell>
        </row>
      </sheetData>
      <sheetData sheetId="15">
        <row r="5">
          <cell r="C5" t="str">
            <v>PACKAGE NO.</v>
          </cell>
        </row>
      </sheetData>
      <sheetData sheetId="16">
        <row r="5">
          <cell r="C5" t="str">
            <v>PACKAGE NO.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 t="str">
            <v>PACKAGE NO.</v>
          </cell>
        </row>
      </sheetData>
      <sheetData sheetId="23">
        <row r="5">
          <cell r="C5" t="str">
            <v>PACKAGE NO.</v>
          </cell>
        </row>
      </sheetData>
      <sheetData sheetId="24">
        <row r="5">
          <cell r="C5" t="str">
            <v>PACKAGE NO.</v>
          </cell>
        </row>
      </sheetData>
      <sheetData sheetId="25">
        <row r="5">
          <cell r="C5" t="str">
            <v>PACKAGE NO.</v>
          </cell>
        </row>
      </sheetData>
      <sheetData sheetId="26">
        <row r="5">
          <cell r="C5" t="str">
            <v>PACKAGE NO.</v>
          </cell>
        </row>
      </sheetData>
      <sheetData sheetId="27">
        <row r="5">
          <cell r="C5" t="str">
            <v>PACKAGE NO.</v>
          </cell>
        </row>
      </sheetData>
      <sheetData sheetId="28">
        <row r="5">
          <cell r="C5" t="str">
            <v>PACKAGE NO.</v>
          </cell>
        </row>
      </sheetData>
      <sheetData sheetId="29">
        <row r="5">
          <cell r="C5" t="str">
            <v>PACKAGE NO.</v>
          </cell>
        </row>
      </sheetData>
      <sheetData sheetId="30">
        <row r="5">
          <cell r="C5" t="str">
            <v>PACKAGE NO.</v>
          </cell>
        </row>
      </sheetData>
      <sheetData sheetId="31">
        <row r="5">
          <cell r="C5" t="str">
            <v>PACKAGE NO.</v>
          </cell>
        </row>
      </sheetData>
      <sheetData sheetId="32">
        <row r="5">
          <cell r="C5" t="str">
            <v>PACKAGE NO.</v>
          </cell>
        </row>
      </sheetData>
      <sheetData sheetId="33">
        <row r="5">
          <cell r="C5" t="str">
            <v>PACKAGE NO.</v>
          </cell>
        </row>
      </sheetData>
      <sheetData sheetId="34">
        <row r="5">
          <cell r="C5" t="str">
            <v>PACKAGE NO.</v>
          </cell>
        </row>
      </sheetData>
      <sheetData sheetId="35">
        <row r="5">
          <cell r="C5" t="str">
            <v>PACKAGE NO.</v>
          </cell>
        </row>
      </sheetData>
      <sheetData sheetId="36">
        <row r="5">
          <cell r="C5" t="str">
            <v>PACKAGE NO.</v>
          </cell>
        </row>
      </sheetData>
      <sheetData sheetId="37">
        <row r="5">
          <cell r="C5" t="str">
            <v>PACKAGE NO.</v>
          </cell>
        </row>
      </sheetData>
      <sheetData sheetId="38">
        <row r="5">
          <cell r="C5" t="str">
            <v>PACKAGE NO.</v>
          </cell>
        </row>
      </sheetData>
      <sheetData sheetId="39">
        <row r="5">
          <cell r="C5" t="str">
            <v>PACKAGE NO.</v>
          </cell>
        </row>
      </sheetData>
      <sheetData sheetId="40">
        <row r="5">
          <cell r="C5" t="str">
            <v>PACKAGE NO.</v>
          </cell>
        </row>
      </sheetData>
      <sheetData sheetId="41">
        <row r="5">
          <cell r="C5" t="str">
            <v>PACKAGE NO.</v>
          </cell>
        </row>
      </sheetData>
      <sheetData sheetId="42">
        <row r="5">
          <cell r="C5" t="str">
            <v>PACKAGE NO.</v>
          </cell>
        </row>
      </sheetData>
      <sheetData sheetId="43">
        <row r="5">
          <cell r="C5" t="str">
            <v>PACKAGE NO.</v>
          </cell>
        </row>
      </sheetData>
      <sheetData sheetId="44">
        <row r="5">
          <cell r="C5" t="str">
            <v>PACKAGE NO.</v>
          </cell>
        </row>
      </sheetData>
      <sheetData sheetId="45">
        <row r="5">
          <cell r="C5" t="str">
            <v>PACKAGE NO.</v>
          </cell>
        </row>
      </sheetData>
      <sheetData sheetId="46">
        <row r="5">
          <cell r="C5" t="str">
            <v>PACKAGE NO.</v>
          </cell>
        </row>
      </sheetData>
      <sheetData sheetId="47">
        <row r="5">
          <cell r="C5" t="str">
            <v>PACKAGE NO.</v>
          </cell>
        </row>
      </sheetData>
      <sheetData sheetId="48">
        <row r="5">
          <cell r="C5" t="str">
            <v>PACKAGE NO.</v>
          </cell>
        </row>
      </sheetData>
      <sheetData sheetId="49">
        <row r="5">
          <cell r="C5" t="str">
            <v>PACKAGE NO.</v>
          </cell>
        </row>
      </sheetData>
      <sheetData sheetId="50">
        <row r="5">
          <cell r="C5" t="str">
            <v>PACKAGE NO.</v>
          </cell>
        </row>
      </sheetData>
      <sheetData sheetId="51">
        <row r="5">
          <cell r="C5" t="str">
            <v>PACKAGE NO.</v>
          </cell>
        </row>
      </sheetData>
      <sheetData sheetId="52">
        <row r="5">
          <cell r="C5" t="str">
            <v>PACKAGE NO.</v>
          </cell>
        </row>
      </sheetData>
      <sheetData sheetId="53">
        <row r="5">
          <cell r="C5" t="str">
            <v>PACKAGE NO.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>
        <row r="5">
          <cell r="C5">
            <v>100</v>
          </cell>
        </row>
      </sheetData>
      <sheetData sheetId="761">
        <row r="5">
          <cell r="C5">
            <v>100</v>
          </cell>
        </row>
      </sheetData>
      <sheetData sheetId="762">
        <row r="5">
          <cell r="C5">
            <v>100</v>
          </cell>
        </row>
      </sheetData>
      <sheetData sheetId="763">
        <row r="5">
          <cell r="C5">
            <v>100</v>
          </cell>
        </row>
      </sheetData>
      <sheetData sheetId="764">
        <row r="5">
          <cell r="C5">
            <v>100</v>
          </cell>
        </row>
      </sheetData>
      <sheetData sheetId="765">
        <row r="5">
          <cell r="C5">
            <v>100</v>
          </cell>
        </row>
      </sheetData>
      <sheetData sheetId="766">
        <row r="5">
          <cell r="C5">
            <v>100</v>
          </cell>
        </row>
      </sheetData>
      <sheetData sheetId="767">
        <row r="5">
          <cell r="C5">
            <v>100</v>
          </cell>
        </row>
      </sheetData>
      <sheetData sheetId="768">
        <row r="5">
          <cell r="C5">
            <v>100</v>
          </cell>
        </row>
      </sheetData>
      <sheetData sheetId="769">
        <row r="5">
          <cell r="C5">
            <v>100</v>
          </cell>
        </row>
      </sheetData>
      <sheetData sheetId="770">
        <row r="5">
          <cell r="C5">
            <v>100</v>
          </cell>
        </row>
      </sheetData>
      <sheetData sheetId="771">
        <row r="5">
          <cell r="C5">
            <v>100</v>
          </cell>
        </row>
      </sheetData>
      <sheetData sheetId="772">
        <row r="5">
          <cell r="C5">
            <v>100</v>
          </cell>
        </row>
      </sheetData>
      <sheetData sheetId="773">
        <row r="5">
          <cell r="C5">
            <v>100</v>
          </cell>
        </row>
      </sheetData>
      <sheetData sheetId="774">
        <row r="5">
          <cell r="C5">
            <v>100</v>
          </cell>
        </row>
      </sheetData>
      <sheetData sheetId="775"/>
      <sheetData sheetId="776">
        <row r="5">
          <cell r="C5">
            <v>100</v>
          </cell>
        </row>
      </sheetData>
      <sheetData sheetId="777">
        <row r="5">
          <cell r="C5">
            <v>100</v>
          </cell>
        </row>
      </sheetData>
      <sheetData sheetId="778">
        <row r="5">
          <cell r="C5">
            <v>100</v>
          </cell>
        </row>
      </sheetData>
      <sheetData sheetId="779">
        <row r="5">
          <cell r="C5">
            <v>100</v>
          </cell>
        </row>
      </sheetData>
      <sheetData sheetId="780">
        <row r="5">
          <cell r="C5">
            <v>100</v>
          </cell>
        </row>
      </sheetData>
      <sheetData sheetId="781">
        <row r="5">
          <cell r="C5">
            <v>100</v>
          </cell>
        </row>
      </sheetData>
      <sheetData sheetId="782">
        <row r="5">
          <cell r="C5">
            <v>100</v>
          </cell>
        </row>
      </sheetData>
      <sheetData sheetId="783">
        <row r="5">
          <cell r="C5">
            <v>100</v>
          </cell>
        </row>
      </sheetData>
      <sheetData sheetId="784">
        <row r="5">
          <cell r="C5">
            <v>100</v>
          </cell>
        </row>
      </sheetData>
      <sheetData sheetId="785">
        <row r="5">
          <cell r="C5">
            <v>100</v>
          </cell>
        </row>
      </sheetData>
      <sheetData sheetId="786">
        <row r="5">
          <cell r="C5">
            <v>100</v>
          </cell>
        </row>
      </sheetData>
      <sheetData sheetId="787">
        <row r="5">
          <cell r="C5">
            <v>100</v>
          </cell>
        </row>
      </sheetData>
      <sheetData sheetId="788">
        <row r="5">
          <cell r="C5">
            <v>100</v>
          </cell>
        </row>
      </sheetData>
      <sheetData sheetId="789">
        <row r="5">
          <cell r="C5">
            <v>100</v>
          </cell>
        </row>
      </sheetData>
      <sheetData sheetId="790">
        <row r="5">
          <cell r="C5">
            <v>100</v>
          </cell>
        </row>
      </sheetData>
      <sheetData sheetId="791">
        <row r="5">
          <cell r="C5">
            <v>100</v>
          </cell>
        </row>
      </sheetData>
      <sheetData sheetId="792">
        <row r="5">
          <cell r="C5">
            <v>100</v>
          </cell>
        </row>
      </sheetData>
      <sheetData sheetId="793">
        <row r="5">
          <cell r="C5">
            <v>100</v>
          </cell>
        </row>
      </sheetData>
      <sheetData sheetId="794">
        <row r="5">
          <cell r="C5">
            <v>100</v>
          </cell>
        </row>
      </sheetData>
      <sheetData sheetId="795" refreshError="1"/>
      <sheetData sheetId="796">
        <row r="5">
          <cell r="C5">
            <v>100</v>
          </cell>
        </row>
      </sheetData>
      <sheetData sheetId="797">
        <row r="5">
          <cell r="C5">
            <v>100</v>
          </cell>
        </row>
      </sheetData>
      <sheetData sheetId="798">
        <row r="5">
          <cell r="C5">
            <v>100</v>
          </cell>
        </row>
      </sheetData>
      <sheetData sheetId="799">
        <row r="5">
          <cell r="C5">
            <v>100</v>
          </cell>
        </row>
      </sheetData>
      <sheetData sheetId="800">
        <row r="5">
          <cell r="C5">
            <v>100</v>
          </cell>
        </row>
      </sheetData>
      <sheetData sheetId="801">
        <row r="5">
          <cell r="C5">
            <v>100</v>
          </cell>
        </row>
      </sheetData>
      <sheetData sheetId="802">
        <row r="5">
          <cell r="C5">
            <v>100</v>
          </cell>
        </row>
      </sheetData>
      <sheetData sheetId="803">
        <row r="5">
          <cell r="C5">
            <v>100</v>
          </cell>
        </row>
      </sheetData>
      <sheetData sheetId="804">
        <row r="5">
          <cell r="C5">
            <v>100</v>
          </cell>
        </row>
      </sheetData>
      <sheetData sheetId="805">
        <row r="5">
          <cell r="C5">
            <v>100</v>
          </cell>
        </row>
      </sheetData>
      <sheetData sheetId="806">
        <row r="5">
          <cell r="C5">
            <v>100</v>
          </cell>
        </row>
      </sheetData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>
        <row r="5">
          <cell r="C5">
            <v>100</v>
          </cell>
        </row>
      </sheetData>
      <sheetData sheetId="874">
        <row r="5">
          <cell r="C5">
            <v>100</v>
          </cell>
        </row>
      </sheetData>
      <sheetData sheetId="875">
        <row r="5">
          <cell r="C5">
            <v>100</v>
          </cell>
        </row>
      </sheetData>
      <sheetData sheetId="876">
        <row r="5">
          <cell r="C5">
            <v>100</v>
          </cell>
        </row>
      </sheetData>
      <sheetData sheetId="877">
        <row r="5">
          <cell r="C5">
            <v>100</v>
          </cell>
        </row>
      </sheetData>
      <sheetData sheetId="878">
        <row r="5">
          <cell r="C5">
            <v>100</v>
          </cell>
        </row>
      </sheetData>
      <sheetData sheetId="879">
        <row r="5">
          <cell r="C5">
            <v>100</v>
          </cell>
        </row>
      </sheetData>
      <sheetData sheetId="880">
        <row r="5">
          <cell r="C5">
            <v>100</v>
          </cell>
        </row>
      </sheetData>
      <sheetData sheetId="881">
        <row r="5">
          <cell r="C5">
            <v>100</v>
          </cell>
        </row>
      </sheetData>
      <sheetData sheetId="882">
        <row r="5">
          <cell r="C5">
            <v>100</v>
          </cell>
        </row>
      </sheetData>
      <sheetData sheetId="883">
        <row r="5">
          <cell r="C5">
            <v>100</v>
          </cell>
        </row>
      </sheetData>
      <sheetData sheetId="884">
        <row r="5">
          <cell r="C5">
            <v>100</v>
          </cell>
        </row>
      </sheetData>
      <sheetData sheetId="885">
        <row r="5">
          <cell r="C5">
            <v>100</v>
          </cell>
        </row>
      </sheetData>
      <sheetData sheetId="886">
        <row r="5">
          <cell r="C5">
            <v>100</v>
          </cell>
        </row>
      </sheetData>
      <sheetData sheetId="887">
        <row r="5">
          <cell r="C5">
            <v>100</v>
          </cell>
        </row>
      </sheetData>
      <sheetData sheetId="888">
        <row r="5">
          <cell r="C5">
            <v>100</v>
          </cell>
        </row>
      </sheetData>
      <sheetData sheetId="889">
        <row r="5">
          <cell r="C5">
            <v>100</v>
          </cell>
        </row>
      </sheetData>
      <sheetData sheetId="890">
        <row r="5">
          <cell r="C5">
            <v>100</v>
          </cell>
        </row>
      </sheetData>
      <sheetData sheetId="891">
        <row r="5">
          <cell r="C5">
            <v>100</v>
          </cell>
        </row>
      </sheetData>
      <sheetData sheetId="892">
        <row r="5">
          <cell r="C5">
            <v>100</v>
          </cell>
        </row>
      </sheetData>
      <sheetData sheetId="893">
        <row r="5">
          <cell r="C5">
            <v>100</v>
          </cell>
        </row>
      </sheetData>
      <sheetData sheetId="894">
        <row r="5">
          <cell r="C5">
            <v>100</v>
          </cell>
        </row>
      </sheetData>
      <sheetData sheetId="895">
        <row r="5">
          <cell r="C5">
            <v>100</v>
          </cell>
        </row>
      </sheetData>
      <sheetData sheetId="896">
        <row r="5">
          <cell r="C5">
            <v>100</v>
          </cell>
        </row>
      </sheetData>
      <sheetData sheetId="897">
        <row r="5">
          <cell r="C5">
            <v>100</v>
          </cell>
        </row>
      </sheetData>
      <sheetData sheetId="898">
        <row r="5">
          <cell r="C5">
            <v>100</v>
          </cell>
        </row>
      </sheetData>
      <sheetData sheetId="899">
        <row r="5">
          <cell r="C5">
            <v>100</v>
          </cell>
        </row>
      </sheetData>
      <sheetData sheetId="900">
        <row r="5">
          <cell r="C5">
            <v>100</v>
          </cell>
        </row>
      </sheetData>
      <sheetData sheetId="901">
        <row r="5">
          <cell r="C5">
            <v>100</v>
          </cell>
        </row>
      </sheetData>
      <sheetData sheetId="902">
        <row r="5">
          <cell r="C5">
            <v>100</v>
          </cell>
        </row>
      </sheetData>
      <sheetData sheetId="903">
        <row r="5">
          <cell r="C5">
            <v>100</v>
          </cell>
        </row>
      </sheetData>
      <sheetData sheetId="904">
        <row r="5">
          <cell r="C5">
            <v>100</v>
          </cell>
        </row>
      </sheetData>
      <sheetData sheetId="905">
        <row r="5">
          <cell r="C5">
            <v>100</v>
          </cell>
        </row>
      </sheetData>
      <sheetData sheetId="906">
        <row r="5">
          <cell r="C5">
            <v>100</v>
          </cell>
        </row>
      </sheetData>
      <sheetData sheetId="907">
        <row r="5">
          <cell r="C5">
            <v>100</v>
          </cell>
        </row>
      </sheetData>
      <sheetData sheetId="908">
        <row r="5">
          <cell r="C5">
            <v>100</v>
          </cell>
        </row>
      </sheetData>
      <sheetData sheetId="909">
        <row r="5">
          <cell r="C5">
            <v>100</v>
          </cell>
        </row>
      </sheetData>
      <sheetData sheetId="910">
        <row r="5">
          <cell r="C5">
            <v>100</v>
          </cell>
        </row>
      </sheetData>
      <sheetData sheetId="911">
        <row r="5">
          <cell r="C5">
            <v>100</v>
          </cell>
        </row>
      </sheetData>
      <sheetData sheetId="912">
        <row r="5">
          <cell r="C5">
            <v>100</v>
          </cell>
        </row>
      </sheetData>
      <sheetData sheetId="913">
        <row r="5">
          <cell r="C5">
            <v>100</v>
          </cell>
        </row>
      </sheetData>
      <sheetData sheetId="914">
        <row r="5">
          <cell r="C5">
            <v>100</v>
          </cell>
        </row>
      </sheetData>
      <sheetData sheetId="915">
        <row r="5">
          <cell r="C5">
            <v>100</v>
          </cell>
        </row>
      </sheetData>
      <sheetData sheetId="916">
        <row r="5">
          <cell r="C5">
            <v>100</v>
          </cell>
        </row>
      </sheetData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>
        <row r="5">
          <cell r="C5">
            <v>100</v>
          </cell>
        </row>
      </sheetData>
      <sheetData sheetId="925">
        <row r="5">
          <cell r="C5">
            <v>100</v>
          </cell>
        </row>
      </sheetData>
      <sheetData sheetId="926">
        <row r="5">
          <cell r="C5">
            <v>100</v>
          </cell>
        </row>
      </sheetData>
      <sheetData sheetId="927">
        <row r="5">
          <cell r="C5">
            <v>100</v>
          </cell>
        </row>
      </sheetData>
      <sheetData sheetId="928">
        <row r="5">
          <cell r="C5">
            <v>100</v>
          </cell>
        </row>
      </sheetData>
      <sheetData sheetId="929">
        <row r="5">
          <cell r="C5">
            <v>100</v>
          </cell>
        </row>
      </sheetData>
      <sheetData sheetId="930">
        <row r="5">
          <cell r="C5">
            <v>100</v>
          </cell>
        </row>
      </sheetData>
      <sheetData sheetId="931">
        <row r="5">
          <cell r="C5">
            <v>100</v>
          </cell>
        </row>
      </sheetData>
      <sheetData sheetId="932">
        <row r="5">
          <cell r="C5">
            <v>100</v>
          </cell>
        </row>
      </sheetData>
      <sheetData sheetId="933">
        <row r="5">
          <cell r="C5">
            <v>100</v>
          </cell>
        </row>
      </sheetData>
      <sheetData sheetId="934">
        <row r="5">
          <cell r="C5">
            <v>100</v>
          </cell>
        </row>
      </sheetData>
      <sheetData sheetId="935">
        <row r="5">
          <cell r="C5">
            <v>100</v>
          </cell>
        </row>
      </sheetData>
      <sheetData sheetId="936">
        <row r="5">
          <cell r="C5">
            <v>100</v>
          </cell>
        </row>
      </sheetData>
      <sheetData sheetId="937">
        <row r="5">
          <cell r="C5">
            <v>100</v>
          </cell>
        </row>
      </sheetData>
      <sheetData sheetId="938">
        <row r="5">
          <cell r="C5">
            <v>100</v>
          </cell>
        </row>
      </sheetData>
      <sheetData sheetId="939">
        <row r="5">
          <cell r="C5">
            <v>100</v>
          </cell>
        </row>
      </sheetData>
      <sheetData sheetId="940">
        <row r="5">
          <cell r="C5">
            <v>100</v>
          </cell>
        </row>
      </sheetData>
      <sheetData sheetId="941">
        <row r="5">
          <cell r="C5">
            <v>100</v>
          </cell>
        </row>
      </sheetData>
      <sheetData sheetId="942">
        <row r="5">
          <cell r="C5">
            <v>100</v>
          </cell>
        </row>
      </sheetData>
      <sheetData sheetId="943">
        <row r="5">
          <cell r="C5">
            <v>100</v>
          </cell>
        </row>
      </sheetData>
      <sheetData sheetId="944">
        <row r="5">
          <cell r="C5">
            <v>100</v>
          </cell>
        </row>
      </sheetData>
      <sheetData sheetId="945"/>
      <sheetData sheetId="946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>
        <row r="5">
          <cell r="C5">
            <v>100</v>
          </cell>
        </row>
      </sheetData>
      <sheetData sheetId="1064">
        <row r="5">
          <cell r="C5">
            <v>100</v>
          </cell>
        </row>
      </sheetData>
      <sheetData sheetId="1065">
        <row r="5">
          <cell r="C5">
            <v>100</v>
          </cell>
        </row>
      </sheetData>
      <sheetData sheetId="1066">
        <row r="5">
          <cell r="C5">
            <v>100</v>
          </cell>
        </row>
      </sheetData>
      <sheetData sheetId="1067">
        <row r="5">
          <cell r="C5">
            <v>100</v>
          </cell>
        </row>
      </sheetData>
      <sheetData sheetId="1068">
        <row r="5">
          <cell r="C5">
            <v>100</v>
          </cell>
        </row>
      </sheetData>
      <sheetData sheetId="1069">
        <row r="5">
          <cell r="C5">
            <v>100</v>
          </cell>
        </row>
      </sheetData>
      <sheetData sheetId="1070">
        <row r="5">
          <cell r="C5">
            <v>100</v>
          </cell>
        </row>
      </sheetData>
      <sheetData sheetId="1071">
        <row r="5">
          <cell r="C5">
            <v>100</v>
          </cell>
        </row>
      </sheetData>
      <sheetData sheetId="1072">
        <row r="5">
          <cell r="C5">
            <v>100</v>
          </cell>
        </row>
      </sheetData>
      <sheetData sheetId="1073">
        <row r="5">
          <cell r="C5">
            <v>100</v>
          </cell>
        </row>
      </sheetData>
      <sheetData sheetId="1074">
        <row r="5">
          <cell r="C5">
            <v>100</v>
          </cell>
        </row>
      </sheetData>
      <sheetData sheetId="1075">
        <row r="5">
          <cell r="C5">
            <v>100</v>
          </cell>
        </row>
      </sheetData>
      <sheetData sheetId="1076">
        <row r="5">
          <cell r="C5">
            <v>100</v>
          </cell>
        </row>
      </sheetData>
      <sheetData sheetId="1077">
        <row r="5">
          <cell r="C5">
            <v>100</v>
          </cell>
        </row>
      </sheetData>
      <sheetData sheetId="1078">
        <row r="5">
          <cell r="C5">
            <v>100</v>
          </cell>
        </row>
      </sheetData>
      <sheetData sheetId="1079">
        <row r="5">
          <cell r="C5">
            <v>100</v>
          </cell>
        </row>
      </sheetData>
      <sheetData sheetId="1080">
        <row r="5">
          <cell r="C5">
            <v>100</v>
          </cell>
        </row>
      </sheetData>
      <sheetData sheetId="1081">
        <row r="5">
          <cell r="C5">
            <v>100</v>
          </cell>
        </row>
      </sheetData>
      <sheetData sheetId="1082">
        <row r="5">
          <cell r="C5">
            <v>100</v>
          </cell>
        </row>
      </sheetData>
      <sheetData sheetId="1083">
        <row r="5">
          <cell r="C5">
            <v>100</v>
          </cell>
        </row>
      </sheetData>
      <sheetData sheetId="1084">
        <row r="5">
          <cell r="C5">
            <v>100</v>
          </cell>
        </row>
      </sheetData>
      <sheetData sheetId="1085">
        <row r="5">
          <cell r="C5">
            <v>100</v>
          </cell>
        </row>
      </sheetData>
      <sheetData sheetId="1086">
        <row r="5">
          <cell r="C5">
            <v>100</v>
          </cell>
        </row>
      </sheetData>
      <sheetData sheetId="1087">
        <row r="5">
          <cell r="C5">
            <v>100</v>
          </cell>
        </row>
      </sheetData>
      <sheetData sheetId="1088">
        <row r="5">
          <cell r="C5">
            <v>100</v>
          </cell>
        </row>
      </sheetData>
      <sheetData sheetId="1089">
        <row r="5">
          <cell r="C5">
            <v>100</v>
          </cell>
        </row>
      </sheetData>
      <sheetData sheetId="1090">
        <row r="5">
          <cell r="C5">
            <v>100</v>
          </cell>
        </row>
      </sheetData>
      <sheetData sheetId="1091">
        <row r="5">
          <cell r="C5">
            <v>100</v>
          </cell>
        </row>
      </sheetData>
      <sheetData sheetId="1092">
        <row r="5">
          <cell r="C5">
            <v>100</v>
          </cell>
        </row>
      </sheetData>
      <sheetData sheetId="1093">
        <row r="5">
          <cell r="C5">
            <v>100</v>
          </cell>
        </row>
      </sheetData>
      <sheetData sheetId="1094">
        <row r="5">
          <cell r="C5">
            <v>100</v>
          </cell>
        </row>
      </sheetData>
      <sheetData sheetId="1095">
        <row r="5">
          <cell r="C5">
            <v>100</v>
          </cell>
        </row>
      </sheetData>
      <sheetData sheetId="1096">
        <row r="5">
          <cell r="C5">
            <v>100</v>
          </cell>
        </row>
      </sheetData>
      <sheetData sheetId="1097">
        <row r="5">
          <cell r="C5">
            <v>100</v>
          </cell>
        </row>
      </sheetData>
      <sheetData sheetId="1098">
        <row r="5">
          <cell r="C5">
            <v>100</v>
          </cell>
        </row>
      </sheetData>
      <sheetData sheetId="1099">
        <row r="5">
          <cell r="C5">
            <v>100</v>
          </cell>
        </row>
      </sheetData>
      <sheetData sheetId="1100">
        <row r="5">
          <cell r="C5">
            <v>100</v>
          </cell>
        </row>
      </sheetData>
      <sheetData sheetId="1101">
        <row r="5">
          <cell r="C5">
            <v>100</v>
          </cell>
        </row>
      </sheetData>
      <sheetData sheetId="1102">
        <row r="5">
          <cell r="C5">
            <v>100</v>
          </cell>
        </row>
      </sheetData>
      <sheetData sheetId="1103">
        <row r="5">
          <cell r="C5">
            <v>100</v>
          </cell>
        </row>
      </sheetData>
      <sheetData sheetId="1104">
        <row r="5">
          <cell r="C5">
            <v>100</v>
          </cell>
        </row>
      </sheetData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/>
      <sheetData sheetId="1118" refreshError="1"/>
      <sheetData sheetId="1119" refreshError="1"/>
      <sheetData sheetId="1120" refreshError="1"/>
      <sheetData sheetId="1121" refreshError="1"/>
      <sheetData sheetId="1122">
        <row r="5">
          <cell r="C5">
            <v>100</v>
          </cell>
        </row>
      </sheetData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>
        <row r="5">
          <cell r="C5" t="str">
            <v>PACKAGE NO.</v>
          </cell>
        </row>
      </sheetData>
      <sheetData sheetId="1165" refreshError="1"/>
      <sheetData sheetId="1166" refreshError="1"/>
      <sheetData sheetId="1167" refreshError="1"/>
      <sheetData sheetId="1168">
        <row r="5">
          <cell r="C5">
            <v>100</v>
          </cell>
        </row>
      </sheetData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>
        <row r="5">
          <cell r="C5" t="str">
            <v>PACKAGE NO.</v>
          </cell>
        </row>
      </sheetData>
      <sheetData sheetId="1200">
        <row r="5">
          <cell r="C5" t="str">
            <v>PACKAGE NO.</v>
          </cell>
        </row>
      </sheetData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>
        <row r="5">
          <cell r="C5" t="str">
            <v>PACKAGE NO.</v>
          </cell>
        </row>
      </sheetData>
      <sheetData sheetId="1219">
        <row r="5">
          <cell r="C5" t="str">
            <v>PACKAGE NO.</v>
          </cell>
        </row>
      </sheetData>
      <sheetData sheetId="1220">
        <row r="5">
          <cell r="C5" t="str">
            <v>PACKAGE NO.</v>
          </cell>
        </row>
      </sheetData>
      <sheetData sheetId="1221">
        <row r="5">
          <cell r="C5" t="str">
            <v>PACKAGE NO.</v>
          </cell>
        </row>
      </sheetData>
      <sheetData sheetId="1222">
        <row r="5">
          <cell r="C5" t="str">
            <v>PACKAGE NO.</v>
          </cell>
        </row>
      </sheetData>
      <sheetData sheetId="1223">
        <row r="5">
          <cell r="C5" t="str">
            <v>PACKAGE NO.</v>
          </cell>
        </row>
      </sheetData>
      <sheetData sheetId="1224">
        <row r="5">
          <cell r="C5" t="str">
            <v>PACKAGE NO.</v>
          </cell>
        </row>
      </sheetData>
      <sheetData sheetId="1225">
        <row r="5">
          <cell r="C5" t="str">
            <v>PACKAGE NO.</v>
          </cell>
        </row>
      </sheetData>
      <sheetData sheetId="1226">
        <row r="5">
          <cell r="C5" t="str">
            <v>PACKAGE NO.</v>
          </cell>
        </row>
      </sheetData>
      <sheetData sheetId="1227">
        <row r="5">
          <cell r="C5" t="str">
            <v>PACKAGE NO.</v>
          </cell>
        </row>
      </sheetData>
      <sheetData sheetId="1228">
        <row r="5">
          <cell r="C5" t="str">
            <v>PACKAGE NO.</v>
          </cell>
        </row>
      </sheetData>
      <sheetData sheetId="1229">
        <row r="5">
          <cell r="C5" t="str">
            <v>PACKAGE NO.</v>
          </cell>
        </row>
      </sheetData>
      <sheetData sheetId="1230">
        <row r="5">
          <cell r="C5" t="str">
            <v>PACKAGE NO.</v>
          </cell>
        </row>
      </sheetData>
      <sheetData sheetId="1231">
        <row r="5">
          <cell r="C5" t="str">
            <v>PACKAGE NO.</v>
          </cell>
        </row>
      </sheetData>
      <sheetData sheetId="1232">
        <row r="5">
          <cell r="C5" t="str">
            <v>PACKAGE NO.</v>
          </cell>
        </row>
      </sheetData>
      <sheetData sheetId="1233">
        <row r="5">
          <cell r="C5" t="str">
            <v>PACKAGE NO.</v>
          </cell>
        </row>
      </sheetData>
      <sheetData sheetId="1234">
        <row r="5">
          <cell r="C5" t="str">
            <v>PACKAGE NO.</v>
          </cell>
        </row>
      </sheetData>
      <sheetData sheetId="1235">
        <row r="5">
          <cell r="C5" t="str">
            <v>PACKAGE NO.</v>
          </cell>
        </row>
      </sheetData>
      <sheetData sheetId="1236">
        <row r="5">
          <cell r="C5" t="str">
            <v>PACKAGE NO.</v>
          </cell>
        </row>
      </sheetData>
      <sheetData sheetId="1237">
        <row r="5">
          <cell r="C5" t="str">
            <v>PACKAGE NO.</v>
          </cell>
        </row>
      </sheetData>
      <sheetData sheetId="1238">
        <row r="5">
          <cell r="C5" t="str">
            <v>PACKAGE NO.</v>
          </cell>
        </row>
      </sheetData>
      <sheetData sheetId="1239">
        <row r="5">
          <cell r="C5" t="str">
            <v>PACKAGE NO.</v>
          </cell>
        </row>
      </sheetData>
      <sheetData sheetId="1240">
        <row r="5">
          <cell r="C5" t="str">
            <v>PACKAGE NO.</v>
          </cell>
        </row>
      </sheetData>
      <sheetData sheetId="1241">
        <row r="5">
          <cell r="C5" t="str">
            <v>PACKAGE NO.</v>
          </cell>
        </row>
      </sheetData>
      <sheetData sheetId="1242">
        <row r="5">
          <cell r="C5" t="str">
            <v>PACKAGE NO.</v>
          </cell>
        </row>
      </sheetData>
      <sheetData sheetId="1243">
        <row r="5">
          <cell r="C5" t="str">
            <v>PACKAGE NO.</v>
          </cell>
        </row>
      </sheetData>
      <sheetData sheetId="1244">
        <row r="5">
          <cell r="C5" t="str">
            <v>PACKAGE NO.</v>
          </cell>
        </row>
      </sheetData>
      <sheetData sheetId="1245">
        <row r="5">
          <cell r="C5" t="str">
            <v>PACKAGE NO.</v>
          </cell>
        </row>
      </sheetData>
      <sheetData sheetId="1246">
        <row r="5">
          <cell r="C5" t="str">
            <v>PACKAGE NO.</v>
          </cell>
        </row>
      </sheetData>
      <sheetData sheetId="1247">
        <row r="5">
          <cell r="C5" t="str">
            <v>PACKAGE NO.</v>
          </cell>
        </row>
      </sheetData>
      <sheetData sheetId="1248">
        <row r="5">
          <cell r="C5" t="str">
            <v>PACKAGE NO.</v>
          </cell>
        </row>
      </sheetData>
      <sheetData sheetId="1249">
        <row r="5">
          <cell r="C5" t="str">
            <v>PACKAGE NO.</v>
          </cell>
        </row>
      </sheetData>
      <sheetData sheetId="1250">
        <row r="5">
          <cell r="C5" t="str">
            <v>PACKAGE NO.</v>
          </cell>
        </row>
      </sheetData>
      <sheetData sheetId="1251">
        <row r="5">
          <cell r="C5" t="str">
            <v>PACKAGE NO.</v>
          </cell>
        </row>
      </sheetData>
      <sheetData sheetId="1252">
        <row r="5">
          <cell r="C5" t="str">
            <v>PACKAGE NO.</v>
          </cell>
        </row>
      </sheetData>
      <sheetData sheetId="1253">
        <row r="5">
          <cell r="C5" t="str">
            <v>PACKAGE NO.</v>
          </cell>
        </row>
      </sheetData>
      <sheetData sheetId="1254">
        <row r="5">
          <cell r="C5" t="str">
            <v>PACKAGE NO.</v>
          </cell>
        </row>
      </sheetData>
      <sheetData sheetId="1255">
        <row r="5">
          <cell r="C5" t="str">
            <v>PACKAGE NO.</v>
          </cell>
        </row>
      </sheetData>
      <sheetData sheetId="1256">
        <row r="5">
          <cell r="C5" t="str">
            <v>PACKAGE NO.</v>
          </cell>
        </row>
      </sheetData>
      <sheetData sheetId="1257">
        <row r="5">
          <cell r="C5" t="str">
            <v>PACKAGE NO.</v>
          </cell>
        </row>
      </sheetData>
      <sheetData sheetId="1258">
        <row r="5">
          <cell r="C5" t="str">
            <v>PACKAGE NO.</v>
          </cell>
        </row>
      </sheetData>
      <sheetData sheetId="1259">
        <row r="5">
          <cell r="C5" t="str">
            <v>PACKAGE NO.</v>
          </cell>
        </row>
      </sheetData>
      <sheetData sheetId="1260">
        <row r="5">
          <cell r="C5" t="str">
            <v>PACKAGE NO.</v>
          </cell>
        </row>
      </sheetData>
      <sheetData sheetId="1261">
        <row r="5">
          <cell r="C5" t="str">
            <v>PACKAGE NO.</v>
          </cell>
        </row>
      </sheetData>
      <sheetData sheetId="1262">
        <row r="5">
          <cell r="C5" t="str">
            <v>PACKAGE NO.</v>
          </cell>
        </row>
      </sheetData>
      <sheetData sheetId="1263">
        <row r="5">
          <cell r="C5" t="str">
            <v>PACKAGE NO.</v>
          </cell>
        </row>
      </sheetData>
      <sheetData sheetId="1264">
        <row r="5">
          <cell r="C5" t="str">
            <v>PACKAGE NO.</v>
          </cell>
        </row>
      </sheetData>
      <sheetData sheetId="1265">
        <row r="5">
          <cell r="C5" t="str">
            <v>PACKAGE NO.</v>
          </cell>
        </row>
      </sheetData>
      <sheetData sheetId="1266">
        <row r="5">
          <cell r="C5" t="str">
            <v>PACKAGE NO.</v>
          </cell>
        </row>
      </sheetData>
      <sheetData sheetId="1267">
        <row r="5">
          <cell r="C5" t="str">
            <v>PACKAGE NO.</v>
          </cell>
        </row>
      </sheetData>
      <sheetData sheetId="1268">
        <row r="5">
          <cell r="C5" t="str">
            <v>PACKAGE NO.</v>
          </cell>
        </row>
      </sheetData>
      <sheetData sheetId="1269">
        <row r="5">
          <cell r="C5" t="str">
            <v>PACKAGE NO.</v>
          </cell>
        </row>
      </sheetData>
      <sheetData sheetId="1270">
        <row r="5">
          <cell r="C5" t="str">
            <v>PACKAGE NO.</v>
          </cell>
        </row>
      </sheetData>
      <sheetData sheetId="1271">
        <row r="5">
          <cell r="C5" t="str">
            <v>PACKAGE NO.</v>
          </cell>
        </row>
      </sheetData>
      <sheetData sheetId="1272">
        <row r="5">
          <cell r="C5" t="str">
            <v>PACKAGE NO.</v>
          </cell>
        </row>
      </sheetData>
      <sheetData sheetId="1273">
        <row r="5">
          <cell r="C5" t="str">
            <v>PACKAGE NO.</v>
          </cell>
        </row>
      </sheetData>
      <sheetData sheetId="1274">
        <row r="5">
          <cell r="C5" t="str">
            <v>PACKAGE NO.</v>
          </cell>
        </row>
      </sheetData>
      <sheetData sheetId="1275">
        <row r="5">
          <cell r="C5" t="str">
            <v>PACKAGE NO.</v>
          </cell>
        </row>
      </sheetData>
      <sheetData sheetId="1276">
        <row r="5">
          <cell r="C5" t="str">
            <v>PACKAGE NO.</v>
          </cell>
        </row>
      </sheetData>
      <sheetData sheetId="1277">
        <row r="5">
          <cell r="C5" t="str">
            <v>PACKAGE NO.</v>
          </cell>
        </row>
      </sheetData>
      <sheetData sheetId="1278">
        <row r="5">
          <cell r="C5" t="str">
            <v>PACKAGE NO.</v>
          </cell>
        </row>
      </sheetData>
      <sheetData sheetId="1279">
        <row r="5">
          <cell r="C5" t="str">
            <v>PACKAGE NO.</v>
          </cell>
        </row>
      </sheetData>
      <sheetData sheetId="1280">
        <row r="5">
          <cell r="C5" t="str">
            <v>PACKAGE NO.</v>
          </cell>
        </row>
      </sheetData>
      <sheetData sheetId="1281">
        <row r="5">
          <cell r="C5" t="str">
            <v>PACKAGE NO.</v>
          </cell>
        </row>
      </sheetData>
      <sheetData sheetId="1282">
        <row r="5">
          <cell r="C5" t="str">
            <v>PACKAGE NO.</v>
          </cell>
        </row>
      </sheetData>
      <sheetData sheetId="1283">
        <row r="5">
          <cell r="C5" t="str">
            <v>PACKAGE NO.</v>
          </cell>
        </row>
      </sheetData>
      <sheetData sheetId="1284">
        <row r="5">
          <cell r="C5" t="str">
            <v>PACKAGE NO.</v>
          </cell>
        </row>
      </sheetData>
      <sheetData sheetId="1285">
        <row r="5">
          <cell r="C5" t="str">
            <v>PACKAGE NO.</v>
          </cell>
        </row>
      </sheetData>
      <sheetData sheetId="1286">
        <row r="5">
          <cell r="C5" t="str">
            <v>PACKAGE NO.</v>
          </cell>
        </row>
      </sheetData>
      <sheetData sheetId="1287">
        <row r="5">
          <cell r="C5" t="str">
            <v>PACKAGE NO.</v>
          </cell>
        </row>
      </sheetData>
      <sheetData sheetId="1288">
        <row r="5">
          <cell r="C5" t="str">
            <v>PACKAGE NO.</v>
          </cell>
        </row>
      </sheetData>
      <sheetData sheetId="1289">
        <row r="5">
          <cell r="C5" t="str">
            <v>PACKAGE NO.</v>
          </cell>
        </row>
      </sheetData>
      <sheetData sheetId="1290">
        <row r="5">
          <cell r="C5" t="str">
            <v>PACKAGE NO.</v>
          </cell>
        </row>
      </sheetData>
      <sheetData sheetId="1291">
        <row r="5">
          <cell r="C5" t="str">
            <v>PACKAGE NO.</v>
          </cell>
        </row>
      </sheetData>
      <sheetData sheetId="1292">
        <row r="5">
          <cell r="C5" t="str">
            <v>PACKAGE NO.</v>
          </cell>
        </row>
      </sheetData>
      <sheetData sheetId="1293">
        <row r="5">
          <cell r="C5" t="str">
            <v>PACKAGE NO.</v>
          </cell>
        </row>
      </sheetData>
      <sheetData sheetId="1294">
        <row r="5">
          <cell r="C5" t="str">
            <v>PACKAGE NO.</v>
          </cell>
        </row>
      </sheetData>
      <sheetData sheetId="1295">
        <row r="5">
          <cell r="C5" t="str">
            <v>PACKAGE NO.</v>
          </cell>
        </row>
      </sheetData>
      <sheetData sheetId="1296">
        <row r="5">
          <cell r="C5" t="str">
            <v>PACKAGE NO.</v>
          </cell>
        </row>
      </sheetData>
      <sheetData sheetId="1297">
        <row r="5">
          <cell r="C5" t="str">
            <v>PACKAGE NO.</v>
          </cell>
        </row>
      </sheetData>
      <sheetData sheetId="1298">
        <row r="5">
          <cell r="C5" t="str">
            <v>PACKAGE NO.</v>
          </cell>
        </row>
      </sheetData>
      <sheetData sheetId="1299">
        <row r="5">
          <cell r="C5" t="str">
            <v>PACKAGE NO.</v>
          </cell>
        </row>
      </sheetData>
      <sheetData sheetId="1300">
        <row r="5">
          <cell r="C5" t="str">
            <v>PACKAGE NO.</v>
          </cell>
        </row>
      </sheetData>
      <sheetData sheetId="1301">
        <row r="5">
          <cell r="C5" t="str">
            <v>PACKAGE NO.</v>
          </cell>
        </row>
      </sheetData>
      <sheetData sheetId="1302">
        <row r="5">
          <cell r="C5" t="str">
            <v>PACKAGE NO.</v>
          </cell>
        </row>
      </sheetData>
      <sheetData sheetId="1303">
        <row r="5">
          <cell r="C5" t="str">
            <v>PACKAGE NO.</v>
          </cell>
        </row>
      </sheetData>
      <sheetData sheetId="1304">
        <row r="5">
          <cell r="C5" t="str">
            <v>PACKAGE NO.</v>
          </cell>
        </row>
      </sheetData>
      <sheetData sheetId="1305">
        <row r="5">
          <cell r="C5" t="str">
            <v>PACKAGE NO.</v>
          </cell>
        </row>
      </sheetData>
      <sheetData sheetId="1306">
        <row r="5">
          <cell r="C5" t="str">
            <v>PACKAGE NO.</v>
          </cell>
        </row>
      </sheetData>
      <sheetData sheetId="1307">
        <row r="5">
          <cell r="C5" t="str">
            <v>PACKAGE NO.</v>
          </cell>
        </row>
      </sheetData>
      <sheetData sheetId="1308">
        <row r="5">
          <cell r="C5" t="str">
            <v>PACKAGE NO.</v>
          </cell>
        </row>
      </sheetData>
      <sheetData sheetId="1309">
        <row r="5">
          <cell r="C5" t="str">
            <v>PACKAGE NO.</v>
          </cell>
        </row>
      </sheetData>
      <sheetData sheetId="1310">
        <row r="5">
          <cell r="C5" t="str">
            <v>PACKAGE NO.</v>
          </cell>
        </row>
      </sheetData>
      <sheetData sheetId="1311">
        <row r="5">
          <cell r="C5" t="str">
            <v>PACKAGE NO.</v>
          </cell>
        </row>
      </sheetData>
      <sheetData sheetId="1312">
        <row r="5">
          <cell r="C5" t="str">
            <v>PACKAGE NO.</v>
          </cell>
        </row>
      </sheetData>
      <sheetData sheetId="1313">
        <row r="5">
          <cell r="C5" t="str">
            <v>PACKAGE NO.</v>
          </cell>
        </row>
      </sheetData>
      <sheetData sheetId="1314">
        <row r="5">
          <cell r="C5" t="str">
            <v>PACKAGE NO.</v>
          </cell>
        </row>
      </sheetData>
      <sheetData sheetId="1315">
        <row r="5">
          <cell r="C5" t="str">
            <v>PACKAGE NO.</v>
          </cell>
        </row>
      </sheetData>
      <sheetData sheetId="1316">
        <row r="5">
          <cell r="C5" t="str">
            <v>PACKAGE NO.</v>
          </cell>
        </row>
      </sheetData>
      <sheetData sheetId="1317">
        <row r="5">
          <cell r="C5" t="str">
            <v>PACKAGE NO.</v>
          </cell>
        </row>
      </sheetData>
      <sheetData sheetId="1318">
        <row r="5">
          <cell r="C5" t="str">
            <v>PACKAGE NO.</v>
          </cell>
        </row>
      </sheetData>
      <sheetData sheetId="1319">
        <row r="5">
          <cell r="C5" t="str">
            <v>PACKAGE NO.</v>
          </cell>
        </row>
      </sheetData>
      <sheetData sheetId="1320">
        <row r="5">
          <cell r="C5" t="str">
            <v>PACKAGE NO.</v>
          </cell>
        </row>
      </sheetData>
      <sheetData sheetId="1321">
        <row r="5">
          <cell r="C5" t="str">
            <v>PACKAGE NO.</v>
          </cell>
        </row>
      </sheetData>
      <sheetData sheetId="1322">
        <row r="5">
          <cell r="C5" t="str">
            <v>PACKAGE NO.</v>
          </cell>
        </row>
      </sheetData>
      <sheetData sheetId="1323">
        <row r="5">
          <cell r="C5" t="str">
            <v>PACKAGE NO.</v>
          </cell>
        </row>
      </sheetData>
      <sheetData sheetId="1324">
        <row r="5">
          <cell r="C5" t="str">
            <v>PACKAGE NO.</v>
          </cell>
        </row>
      </sheetData>
      <sheetData sheetId="1325">
        <row r="5">
          <cell r="C5" t="str">
            <v>PACKAGE NO.</v>
          </cell>
        </row>
      </sheetData>
      <sheetData sheetId="1326">
        <row r="5">
          <cell r="C5" t="str">
            <v>PACKAGE NO.</v>
          </cell>
        </row>
      </sheetData>
      <sheetData sheetId="1327">
        <row r="5">
          <cell r="C5" t="str">
            <v>PACKAGE NO.</v>
          </cell>
        </row>
      </sheetData>
      <sheetData sheetId="1328">
        <row r="5">
          <cell r="C5" t="str">
            <v>PACKAGE NO.</v>
          </cell>
        </row>
      </sheetData>
      <sheetData sheetId="1329">
        <row r="5">
          <cell r="C5" t="str">
            <v>PACKAGE NO.</v>
          </cell>
        </row>
      </sheetData>
      <sheetData sheetId="1330">
        <row r="5">
          <cell r="C5" t="str">
            <v>PACKAGE NO.</v>
          </cell>
        </row>
      </sheetData>
      <sheetData sheetId="1331">
        <row r="5">
          <cell r="C5" t="str">
            <v>PACKAGE NO.</v>
          </cell>
        </row>
      </sheetData>
      <sheetData sheetId="1332">
        <row r="5">
          <cell r="C5" t="str">
            <v>PACKAGE NO.</v>
          </cell>
        </row>
      </sheetData>
      <sheetData sheetId="1333">
        <row r="5">
          <cell r="C5" t="str">
            <v>PACKAGE NO.</v>
          </cell>
        </row>
      </sheetData>
      <sheetData sheetId="1334">
        <row r="5">
          <cell r="C5" t="str">
            <v>PACKAGE NO.</v>
          </cell>
        </row>
      </sheetData>
      <sheetData sheetId="1335">
        <row r="5">
          <cell r="C5" t="str">
            <v>PACKAGE NO.</v>
          </cell>
        </row>
      </sheetData>
      <sheetData sheetId="1336">
        <row r="5">
          <cell r="C5" t="str">
            <v>PACKAGE NO.</v>
          </cell>
        </row>
      </sheetData>
      <sheetData sheetId="1337">
        <row r="5">
          <cell r="C5" t="str">
            <v>PACKAGE NO.</v>
          </cell>
        </row>
      </sheetData>
      <sheetData sheetId="1338">
        <row r="5">
          <cell r="C5" t="str">
            <v>PACKAGE NO.</v>
          </cell>
        </row>
      </sheetData>
      <sheetData sheetId="1339">
        <row r="5">
          <cell r="C5" t="str">
            <v>PACKAGE NO.</v>
          </cell>
        </row>
      </sheetData>
      <sheetData sheetId="1340">
        <row r="5">
          <cell r="C5" t="str">
            <v>PACKAGE NO.</v>
          </cell>
        </row>
      </sheetData>
      <sheetData sheetId="1341">
        <row r="5">
          <cell r="C5" t="str">
            <v>PACKAGE NO.</v>
          </cell>
        </row>
      </sheetData>
      <sheetData sheetId="1342">
        <row r="5">
          <cell r="C5" t="str">
            <v>PACKAGE NO.</v>
          </cell>
        </row>
      </sheetData>
      <sheetData sheetId="1343">
        <row r="5">
          <cell r="C5" t="str">
            <v>PACKAGE NO.</v>
          </cell>
        </row>
      </sheetData>
      <sheetData sheetId="1344">
        <row r="5">
          <cell r="C5" t="str">
            <v>PACKAGE NO.</v>
          </cell>
        </row>
      </sheetData>
      <sheetData sheetId="1345">
        <row r="5">
          <cell r="C5" t="str">
            <v>PACKAGE NO.</v>
          </cell>
        </row>
      </sheetData>
      <sheetData sheetId="1346">
        <row r="5">
          <cell r="C5" t="str">
            <v>PACKAGE NO.</v>
          </cell>
        </row>
      </sheetData>
      <sheetData sheetId="1347">
        <row r="5">
          <cell r="C5" t="str">
            <v>PACKAGE NO.</v>
          </cell>
        </row>
      </sheetData>
      <sheetData sheetId="1348">
        <row r="5">
          <cell r="C5" t="str">
            <v>PACKAGE NO.</v>
          </cell>
        </row>
      </sheetData>
      <sheetData sheetId="1349">
        <row r="5">
          <cell r="C5" t="str">
            <v>PACKAGE NO.</v>
          </cell>
        </row>
      </sheetData>
      <sheetData sheetId="1350">
        <row r="5">
          <cell r="C5" t="str">
            <v>PACKAGE NO.</v>
          </cell>
        </row>
      </sheetData>
      <sheetData sheetId="1351">
        <row r="5">
          <cell r="C5" t="str">
            <v>PACKAGE NO.</v>
          </cell>
        </row>
      </sheetData>
      <sheetData sheetId="1352">
        <row r="5">
          <cell r="C5" t="str">
            <v>PACKAGE NO.</v>
          </cell>
        </row>
      </sheetData>
      <sheetData sheetId="1353">
        <row r="5">
          <cell r="C5" t="str">
            <v>PACKAGE NO.</v>
          </cell>
        </row>
      </sheetData>
      <sheetData sheetId="1354">
        <row r="5">
          <cell r="C5" t="str">
            <v>PACKAGE NO.</v>
          </cell>
        </row>
      </sheetData>
      <sheetData sheetId="1355">
        <row r="5">
          <cell r="C5" t="str">
            <v>PACKAGE NO.</v>
          </cell>
        </row>
      </sheetData>
      <sheetData sheetId="1356">
        <row r="5">
          <cell r="C5" t="str">
            <v>PACKAGE NO.</v>
          </cell>
        </row>
      </sheetData>
      <sheetData sheetId="1357">
        <row r="5">
          <cell r="C5" t="str">
            <v>PACKAGE NO.</v>
          </cell>
        </row>
      </sheetData>
      <sheetData sheetId="1358">
        <row r="5">
          <cell r="C5" t="str">
            <v>PACKAGE NO.</v>
          </cell>
        </row>
      </sheetData>
      <sheetData sheetId="1359">
        <row r="5">
          <cell r="C5" t="str">
            <v>PACKAGE NO.</v>
          </cell>
        </row>
      </sheetData>
      <sheetData sheetId="1360">
        <row r="5">
          <cell r="C5" t="str">
            <v>PACKAGE NO.</v>
          </cell>
        </row>
      </sheetData>
      <sheetData sheetId="1361">
        <row r="5">
          <cell r="C5" t="str">
            <v>PACKAGE NO.</v>
          </cell>
        </row>
      </sheetData>
      <sheetData sheetId="1362">
        <row r="5">
          <cell r="C5" t="str">
            <v>PACKAGE NO.</v>
          </cell>
        </row>
      </sheetData>
      <sheetData sheetId="1363">
        <row r="5">
          <cell r="C5" t="str">
            <v>PACKAGE NO.</v>
          </cell>
        </row>
      </sheetData>
      <sheetData sheetId="1364">
        <row r="5">
          <cell r="C5" t="str">
            <v>PACKAGE NO.</v>
          </cell>
        </row>
      </sheetData>
      <sheetData sheetId="1365">
        <row r="5">
          <cell r="C5" t="str">
            <v>PACKAGE NO.</v>
          </cell>
        </row>
      </sheetData>
      <sheetData sheetId="1366">
        <row r="5">
          <cell r="C5" t="str">
            <v>PACKAGE NO.</v>
          </cell>
        </row>
      </sheetData>
      <sheetData sheetId="1367">
        <row r="5">
          <cell r="C5" t="str">
            <v>PACKAGE NO.</v>
          </cell>
        </row>
      </sheetData>
      <sheetData sheetId="1368">
        <row r="5">
          <cell r="C5" t="str">
            <v>PACKAGE NO.</v>
          </cell>
        </row>
      </sheetData>
      <sheetData sheetId="1369">
        <row r="5">
          <cell r="C5" t="str">
            <v>PACKAGE NO.</v>
          </cell>
        </row>
      </sheetData>
      <sheetData sheetId="1370">
        <row r="5">
          <cell r="C5" t="str">
            <v>PACKAGE NO.</v>
          </cell>
        </row>
      </sheetData>
      <sheetData sheetId="1371">
        <row r="5">
          <cell r="C5" t="str">
            <v>PACKAGE NO.</v>
          </cell>
        </row>
      </sheetData>
      <sheetData sheetId="1372">
        <row r="5">
          <cell r="C5" t="str">
            <v>PACKAGE NO.</v>
          </cell>
        </row>
      </sheetData>
      <sheetData sheetId="1373">
        <row r="5">
          <cell r="C5" t="str">
            <v>PACKAGE NO.</v>
          </cell>
        </row>
      </sheetData>
      <sheetData sheetId="1374">
        <row r="5">
          <cell r="C5" t="str">
            <v>PACKAGE NO.</v>
          </cell>
        </row>
      </sheetData>
      <sheetData sheetId="1375">
        <row r="5">
          <cell r="C5" t="str">
            <v>PACKAGE NO.</v>
          </cell>
        </row>
      </sheetData>
      <sheetData sheetId="1376">
        <row r="5">
          <cell r="C5" t="str">
            <v>PACKAGE NO.</v>
          </cell>
        </row>
      </sheetData>
      <sheetData sheetId="1377">
        <row r="5">
          <cell r="C5" t="str">
            <v>PACKAGE NO.</v>
          </cell>
        </row>
      </sheetData>
      <sheetData sheetId="1378">
        <row r="5">
          <cell r="C5" t="str">
            <v>PACKAGE NO.</v>
          </cell>
        </row>
      </sheetData>
      <sheetData sheetId="1379">
        <row r="5">
          <cell r="C5" t="str">
            <v>PACKAGE NO.</v>
          </cell>
        </row>
      </sheetData>
      <sheetData sheetId="1380">
        <row r="5">
          <cell r="C5" t="str">
            <v>PACKAGE NO.</v>
          </cell>
        </row>
      </sheetData>
      <sheetData sheetId="1381">
        <row r="5">
          <cell r="C5" t="str">
            <v>PACKAGE NO.</v>
          </cell>
        </row>
      </sheetData>
      <sheetData sheetId="1382">
        <row r="5">
          <cell r="C5" t="str">
            <v>PACKAGE NO.</v>
          </cell>
        </row>
      </sheetData>
      <sheetData sheetId="1383">
        <row r="5">
          <cell r="C5" t="str">
            <v>PACKAGE NO.</v>
          </cell>
        </row>
      </sheetData>
      <sheetData sheetId="1384">
        <row r="5">
          <cell r="C5" t="str">
            <v>PACKAGE NO.</v>
          </cell>
        </row>
      </sheetData>
      <sheetData sheetId="1385">
        <row r="5">
          <cell r="C5" t="str">
            <v>PACKAGE NO.</v>
          </cell>
        </row>
      </sheetData>
      <sheetData sheetId="1386">
        <row r="5">
          <cell r="C5" t="str">
            <v>PACKAGE NO.</v>
          </cell>
        </row>
      </sheetData>
      <sheetData sheetId="1387">
        <row r="5">
          <cell r="C5" t="str">
            <v>PACKAGE NO.</v>
          </cell>
        </row>
      </sheetData>
      <sheetData sheetId="1388">
        <row r="5">
          <cell r="C5" t="str">
            <v>PACKAGE NO.</v>
          </cell>
        </row>
      </sheetData>
      <sheetData sheetId="1389">
        <row r="5">
          <cell r="C5" t="str">
            <v>PACKAGE NO.</v>
          </cell>
        </row>
      </sheetData>
      <sheetData sheetId="1390">
        <row r="5">
          <cell r="C5" t="str">
            <v>PACKAGE NO.</v>
          </cell>
        </row>
      </sheetData>
      <sheetData sheetId="1391">
        <row r="5">
          <cell r="C5" t="str">
            <v>PACKAGE NO.</v>
          </cell>
        </row>
      </sheetData>
      <sheetData sheetId="1392">
        <row r="5">
          <cell r="C5" t="str">
            <v>PACKAGE NO.</v>
          </cell>
        </row>
      </sheetData>
      <sheetData sheetId="1393">
        <row r="5">
          <cell r="C5" t="str">
            <v>PACKAGE NO.</v>
          </cell>
        </row>
      </sheetData>
      <sheetData sheetId="1394">
        <row r="5">
          <cell r="C5" t="str">
            <v>PACKAGE NO.</v>
          </cell>
        </row>
      </sheetData>
      <sheetData sheetId="1395">
        <row r="5">
          <cell r="C5" t="str">
            <v>PACKAGE NO.</v>
          </cell>
        </row>
      </sheetData>
      <sheetData sheetId="1396">
        <row r="5">
          <cell r="C5" t="str">
            <v>PACKAGE NO.</v>
          </cell>
        </row>
      </sheetData>
      <sheetData sheetId="1397">
        <row r="5">
          <cell r="C5" t="str">
            <v>PACKAGE NO.</v>
          </cell>
        </row>
      </sheetData>
      <sheetData sheetId="1398">
        <row r="5">
          <cell r="C5" t="str">
            <v>PACKAGE NO.</v>
          </cell>
        </row>
      </sheetData>
      <sheetData sheetId="1399">
        <row r="5">
          <cell r="C5" t="str">
            <v>PACKAGE NO.</v>
          </cell>
        </row>
      </sheetData>
      <sheetData sheetId="1400">
        <row r="5">
          <cell r="C5" t="str">
            <v>PACKAGE NO.</v>
          </cell>
        </row>
      </sheetData>
      <sheetData sheetId="1401">
        <row r="5">
          <cell r="C5" t="str">
            <v>PACKAGE NO.</v>
          </cell>
        </row>
      </sheetData>
      <sheetData sheetId="1402">
        <row r="5">
          <cell r="C5" t="str">
            <v>PACKAGE NO.</v>
          </cell>
        </row>
      </sheetData>
      <sheetData sheetId="1403">
        <row r="5">
          <cell r="C5" t="str">
            <v>PACKAGE NO.</v>
          </cell>
        </row>
      </sheetData>
      <sheetData sheetId="1404">
        <row r="5">
          <cell r="C5" t="str">
            <v>PACKAGE NO.</v>
          </cell>
        </row>
      </sheetData>
      <sheetData sheetId="1405">
        <row r="5">
          <cell r="C5" t="str">
            <v>PACKAGE NO.</v>
          </cell>
        </row>
      </sheetData>
      <sheetData sheetId="1406">
        <row r="5">
          <cell r="C5" t="str">
            <v>PACKAGE NO.</v>
          </cell>
        </row>
      </sheetData>
      <sheetData sheetId="1407">
        <row r="5">
          <cell r="C5" t="str">
            <v>PACKAGE NO.</v>
          </cell>
        </row>
      </sheetData>
      <sheetData sheetId="1408">
        <row r="5">
          <cell r="C5" t="str">
            <v>PACKAGE NO.</v>
          </cell>
        </row>
      </sheetData>
      <sheetData sheetId="1409">
        <row r="5">
          <cell r="C5" t="str">
            <v>PACKAGE NO.</v>
          </cell>
        </row>
      </sheetData>
      <sheetData sheetId="1410">
        <row r="5">
          <cell r="C5" t="str">
            <v>PACKAGE NO.</v>
          </cell>
        </row>
      </sheetData>
      <sheetData sheetId="1411">
        <row r="5">
          <cell r="C5" t="str">
            <v>PACKAGE NO.</v>
          </cell>
        </row>
      </sheetData>
      <sheetData sheetId="1412">
        <row r="5">
          <cell r="C5" t="str">
            <v>PACKAGE NO.</v>
          </cell>
        </row>
      </sheetData>
      <sheetData sheetId="1413">
        <row r="5">
          <cell r="C5" t="str">
            <v>PACKAGE NO.</v>
          </cell>
        </row>
      </sheetData>
      <sheetData sheetId="1414">
        <row r="5">
          <cell r="C5" t="str">
            <v>PACKAGE NO.</v>
          </cell>
        </row>
      </sheetData>
      <sheetData sheetId="1415">
        <row r="5">
          <cell r="C5" t="str">
            <v>PACKAGE NO.</v>
          </cell>
        </row>
      </sheetData>
      <sheetData sheetId="1416">
        <row r="5">
          <cell r="C5" t="str">
            <v>PACKAGE NO.</v>
          </cell>
        </row>
      </sheetData>
      <sheetData sheetId="1417">
        <row r="5">
          <cell r="C5" t="str">
            <v>PACKAGE NO.</v>
          </cell>
        </row>
      </sheetData>
      <sheetData sheetId="1418">
        <row r="5">
          <cell r="C5" t="str">
            <v>PACKAGE NO.</v>
          </cell>
        </row>
      </sheetData>
      <sheetData sheetId="1419">
        <row r="5">
          <cell r="C5" t="str">
            <v>PACKAGE NO.</v>
          </cell>
        </row>
      </sheetData>
      <sheetData sheetId="1420">
        <row r="5">
          <cell r="C5" t="str">
            <v>PACKAGE NO.</v>
          </cell>
        </row>
      </sheetData>
      <sheetData sheetId="1421">
        <row r="5">
          <cell r="C5" t="str">
            <v>PACKAGE NO.</v>
          </cell>
        </row>
      </sheetData>
      <sheetData sheetId="1422">
        <row r="5">
          <cell r="C5" t="str">
            <v>PACKAGE NO.</v>
          </cell>
        </row>
      </sheetData>
      <sheetData sheetId="1423">
        <row r="5">
          <cell r="C5" t="str">
            <v>PACKAGE NO.</v>
          </cell>
        </row>
      </sheetData>
      <sheetData sheetId="1424">
        <row r="5">
          <cell r="C5" t="str">
            <v>PACKAGE NO.</v>
          </cell>
        </row>
      </sheetData>
      <sheetData sheetId="1425">
        <row r="5">
          <cell r="C5" t="str">
            <v>PACKAGE NO.</v>
          </cell>
        </row>
      </sheetData>
      <sheetData sheetId="1426">
        <row r="5">
          <cell r="C5" t="str">
            <v>PACKAGE NO.</v>
          </cell>
        </row>
      </sheetData>
      <sheetData sheetId="1427">
        <row r="5">
          <cell r="C5" t="str">
            <v>PACKAGE NO.</v>
          </cell>
        </row>
      </sheetData>
      <sheetData sheetId="1428">
        <row r="5">
          <cell r="C5" t="str">
            <v>PACKAGE NO.</v>
          </cell>
        </row>
      </sheetData>
      <sheetData sheetId="1429">
        <row r="5">
          <cell r="C5" t="str">
            <v>PACKAGE NO.</v>
          </cell>
        </row>
      </sheetData>
      <sheetData sheetId="1430">
        <row r="5">
          <cell r="C5" t="str">
            <v>PACKAGE NO.</v>
          </cell>
        </row>
      </sheetData>
      <sheetData sheetId="1431">
        <row r="5">
          <cell r="C5" t="str">
            <v>PACKAGE NO.</v>
          </cell>
        </row>
      </sheetData>
      <sheetData sheetId="1432">
        <row r="5">
          <cell r="C5" t="str">
            <v>PACKAGE NO.</v>
          </cell>
        </row>
      </sheetData>
      <sheetData sheetId="1433">
        <row r="5">
          <cell r="C5" t="str">
            <v>PACKAGE NO.</v>
          </cell>
        </row>
      </sheetData>
      <sheetData sheetId="1434">
        <row r="5">
          <cell r="C5" t="str">
            <v>PACKAGE NO.</v>
          </cell>
        </row>
      </sheetData>
      <sheetData sheetId="1435">
        <row r="5">
          <cell r="C5" t="str">
            <v>PACKAGE NO.</v>
          </cell>
        </row>
      </sheetData>
      <sheetData sheetId="1436">
        <row r="5">
          <cell r="C5" t="str">
            <v>PACKAGE NO.</v>
          </cell>
        </row>
      </sheetData>
      <sheetData sheetId="1437">
        <row r="5">
          <cell r="C5" t="str">
            <v>PACKAGE NO.</v>
          </cell>
        </row>
      </sheetData>
      <sheetData sheetId="1438">
        <row r="5">
          <cell r="C5" t="str">
            <v>PACKAGE NO.</v>
          </cell>
        </row>
      </sheetData>
      <sheetData sheetId="1439">
        <row r="5">
          <cell r="C5" t="str">
            <v>PACKAGE NO.</v>
          </cell>
        </row>
      </sheetData>
      <sheetData sheetId="1440">
        <row r="5">
          <cell r="C5" t="str">
            <v>PACKAGE NO.</v>
          </cell>
        </row>
      </sheetData>
      <sheetData sheetId="1441">
        <row r="5">
          <cell r="C5" t="str">
            <v>PACKAGE NO.</v>
          </cell>
        </row>
      </sheetData>
      <sheetData sheetId="1442">
        <row r="5">
          <cell r="C5" t="str">
            <v>PACKAGE NO.</v>
          </cell>
        </row>
      </sheetData>
      <sheetData sheetId="1443">
        <row r="5">
          <cell r="C5" t="str">
            <v>PACKAGE NO.</v>
          </cell>
        </row>
      </sheetData>
      <sheetData sheetId="1444">
        <row r="5">
          <cell r="C5" t="str">
            <v>PACKAGE NO.</v>
          </cell>
        </row>
      </sheetData>
      <sheetData sheetId="1445">
        <row r="5">
          <cell r="C5" t="str">
            <v>PACKAGE NO.</v>
          </cell>
        </row>
      </sheetData>
      <sheetData sheetId="1446">
        <row r="5">
          <cell r="C5" t="str">
            <v>PACKAGE NO.</v>
          </cell>
        </row>
      </sheetData>
      <sheetData sheetId="1447">
        <row r="5">
          <cell r="C5" t="str">
            <v>PACKAGE NO.</v>
          </cell>
        </row>
      </sheetData>
      <sheetData sheetId="1448">
        <row r="5">
          <cell r="C5" t="str">
            <v>PACKAGE NO.</v>
          </cell>
        </row>
      </sheetData>
      <sheetData sheetId="1449">
        <row r="5">
          <cell r="C5" t="str">
            <v>PACKAGE NO.</v>
          </cell>
        </row>
      </sheetData>
      <sheetData sheetId="1450">
        <row r="5">
          <cell r="C5" t="str">
            <v>PACKAGE NO.</v>
          </cell>
        </row>
      </sheetData>
      <sheetData sheetId="1451">
        <row r="5">
          <cell r="C5" t="str">
            <v>PACKAGE NO.</v>
          </cell>
        </row>
      </sheetData>
      <sheetData sheetId="1452">
        <row r="5">
          <cell r="C5" t="str">
            <v>PACKAGE NO.</v>
          </cell>
        </row>
      </sheetData>
      <sheetData sheetId="1453">
        <row r="5">
          <cell r="C5" t="str">
            <v>PACKAGE NO.</v>
          </cell>
        </row>
      </sheetData>
      <sheetData sheetId="1454">
        <row r="5">
          <cell r="C5" t="str">
            <v>PACKAGE NO.</v>
          </cell>
        </row>
      </sheetData>
      <sheetData sheetId="1455">
        <row r="5">
          <cell r="C5" t="str">
            <v>PACKAGE NO.</v>
          </cell>
        </row>
      </sheetData>
      <sheetData sheetId="1456">
        <row r="5">
          <cell r="C5" t="str">
            <v>PACKAGE NO.</v>
          </cell>
        </row>
      </sheetData>
      <sheetData sheetId="1457">
        <row r="5">
          <cell r="C5" t="str">
            <v>PACKAGE NO.</v>
          </cell>
        </row>
      </sheetData>
      <sheetData sheetId="1458">
        <row r="5">
          <cell r="C5" t="str">
            <v>PACKAGE NO.</v>
          </cell>
        </row>
      </sheetData>
      <sheetData sheetId="1459">
        <row r="5">
          <cell r="C5" t="str">
            <v>PACKAGE NO.</v>
          </cell>
        </row>
      </sheetData>
      <sheetData sheetId="1460">
        <row r="5">
          <cell r="C5" t="str">
            <v>PACKAGE NO.</v>
          </cell>
        </row>
      </sheetData>
      <sheetData sheetId="1461">
        <row r="5">
          <cell r="C5" t="str">
            <v>PACKAGE NO.</v>
          </cell>
        </row>
      </sheetData>
      <sheetData sheetId="1462">
        <row r="5">
          <cell r="C5" t="str">
            <v>PACKAGE NO.</v>
          </cell>
        </row>
      </sheetData>
      <sheetData sheetId="1463">
        <row r="5">
          <cell r="C5" t="str">
            <v>PACKAGE NO.</v>
          </cell>
        </row>
      </sheetData>
      <sheetData sheetId="1464">
        <row r="5">
          <cell r="C5" t="str">
            <v>PACKAGE NO.</v>
          </cell>
        </row>
      </sheetData>
      <sheetData sheetId="1465">
        <row r="5">
          <cell r="C5" t="str">
            <v>PACKAGE NO.</v>
          </cell>
        </row>
      </sheetData>
      <sheetData sheetId="1466">
        <row r="5">
          <cell r="C5" t="str">
            <v>PACKAGE NO.</v>
          </cell>
        </row>
      </sheetData>
      <sheetData sheetId="1467">
        <row r="5">
          <cell r="C5" t="str">
            <v>PACKAGE NO.</v>
          </cell>
        </row>
      </sheetData>
      <sheetData sheetId="1468">
        <row r="5">
          <cell r="C5" t="str">
            <v>PACKAGE NO.</v>
          </cell>
        </row>
      </sheetData>
      <sheetData sheetId="1469">
        <row r="5">
          <cell r="C5" t="str">
            <v>PACKAGE NO.</v>
          </cell>
        </row>
      </sheetData>
      <sheetData sheetId="1470">
        <row r="5">
          <cell r="C5" t="str">
            <v>PACKAGE NO.</v>
          </cell>
        </row>
      </sheetData>
      <sheetData sheetId="1471">
        <row r="5">
          <cell r="C5" t="str">
            <v>PACKAGE NO.</v>
          </cell>
        </row>
      </sheetData>
      <sheetData sheetId="1472">
        <row r="5">
          <cell r="C5" t="str">
            <v>PACKAGE NO.</v>
          </cell>
        </row>
      </sheetData>
      <sheetData sheetId="1473">
        <row r="5">
          <cell r="C5" t="str">
            <v>PACKAGE NO.</v>
          </cell>
        </row>
      </sheetData>
      <sheetData sheetId="1474">
        <row r="5">
          <cell r="C5" t="str">
            <v>PACKAGE NO.</v>
          </cell>
        </row>
      </sheetData>
      <sheetData sheetId="1475">
        <row r="5">
          <cell r="C5" t="str">
            <v>PACKAGE NO.</v>
          </cell>
        </row>
      </sheetData>
      <sheetData sheetId="1476">
        <row r="5">
          <cell r="C5" t="str">
            <v>PACKAGE NO.</v>
          </cell>
        </row>
      </sheetData>
      <sheetData sheetId="1477">
        <row r="5">
          <cell r="C5" t="str">
            <v>PACKAGE NO.</v>
          </cell>
        </row>
      </sheetData>
      <sheetData sheetId="1478">
        <row r="5">
          <cell r="C5" t="str">
            <v>PACKAGE NO.</v>
          </cell>
        </row>
      </sheetData>
      <sheetData sheetId="1479">
        <row r="5">
          <cell r="C5" t="str">
            <v>PACKAGE NO.</v>
          </cell>
        </row>
      </sheetData>
      <sheetData sheetId="1480">
        <row r="5">
          <cell r="C5" t="str">
            <v>PACKAGE NO.</v>
          </cell>
        </row>
      </sheetData>
      <sheetData sheetId="1481">
        <row r="5">
          <cell r="C5" t="str">
            <v>PACKAGE NO.</v>
          </cell>
        </row>
      </sheetData>
      <sheetData sheetId="1482">
        <row r="5">
          <cell r="C5" t="str">
            <v>PACKAGE NO.</v>
          </cell>
        </row>
      </sheetData>
      <sheetData sheetId="1483">
        <row r="5">
          <cell r="C5" t="str">
            <v>PACKAGE NO.</v>
          </cell>
        </row>
      </sheetData>
      <sheetData sheetId="1484">
        <row r="5">
          <cell r="C5" t="str">
            <v>PACKAGE NO.</v>
          </cell>
        </row>
      </sheetData>
      <sheetData sheetId="1485">
        <row r="5">
          <cell r="C5" t="str">
            <v>PACKAGE NO.</v>
          </cell>
        </row>
      </sheetData>
      <sheetData sheetId="1486">
        <row r="5">
          <cell r="C5" t="str">
            <v>PACKAGE NO.</v>
          </cell>
        </row>
      </sheetData>
      <sheetData sheetId="1487">
        <row r="5">
          <cell r="C5" t="str">
            <v>PACKAGE NO.</v>
          </cell>
        </row>
      </sheetData>
      <sheetData sheetId="1488">
        <row r="5">
          <cell r="C5" t="str">
            <v>PACKAGE NO.</v>
          </cell>
        </row>
      </sheetData>
      <sheetData sheetId="1489">
        <row r="5">
          <cell r="C5" t="str">
            <v>PACKAGE NO.</v>
          </cell>
        </row>
      </sheetData>
      <sheetData sheetId="1490">
        <row r="5">
          <cell r="C5" t="str">
            <v>PACKAGE NO.</v>
          </cell>
        </row>
      </sheetData>
      <sheetData sheetId="1491">
        <row r="5">
          <cell r="C5" t="str">
            <v>PACKAGE NO.</v>
          </cell>
        </row>
      </sheetData>
      <sheetData sheetId="1492">
        <row r="5">
          <cell r="C5" t="str">
            <v>PACKAGE NO.</v>
          </cell>
        </row>
      </sheetData>
      <sheetData sheetId="1493">
        <row r="5">
          <cell r="C5" t="str">
            <v>PACKAGE NO.</v>
          </cell>
        </row>
      </sheetData>
      <sheetData sheetId="1494">
        <row r="5">
          <cell r="C5" t="str">
            <v>PACKAGE NO.</v>
          </cell>
        </row>
      </sheetData>
      <sheetData sheetId="1495">
        <row r="5">
          <cell r="C5" t="str">
            <v>PACKAGE NO.</v>
          </cell>
        </row>
      </sheetData>
      <sheetData sheetId="1496">
        <row r="5">
          <cell r="C5">
            <v>100</v>
          </cell>
        </row>
      </sheetData>
      <sheetData sheetId="1497">
        <row r="5">
          <cell r="C5">
            <v>100</v>
          </cell>
        </row>
      </sheetData>
      <sheetData sheetId="1498">
        <row r="5">
          <cell r="C5">
            <v>100</v>
          </cell>
        </row>
      </sheetData>
      <sheetData sheetId="1499">
        <row r="5">
          <cell r="C5">
            <v>100</v>
          </cell>
        </row>
      </sheetData>
      <sheetData sheetId="1500">
        <row r="5">
          <cell r="C5">
            <v>100</v>
          </cell>
        </row>
      </sheetData>
      <sheetData sheetId="1501">
        <row r="5">
          <cell r="C5">
            <v>100</v>
          </cell>
        </row>
      </sheetData>
      <sheetData sheetId="1502">
        <row r="5">
          <cell r="C5">
            <v>100</v>
          </cell>
        </row>
      </sheetData>
      <sheetData sheetId="1503">
        <row r="5">
          <cell r="C5">
            <v>100</v>
          </cell>
        </row>
      </sheetData>
      <sheetData sheetId="1504">
        <row r="5">
          <cell r="C5">
            <v>100</v>
          </cell>
        </row>
      </sheetData>
      <sheetData sheetId="1505">
        <row r="5">
          <cell r="C5">
            <v>100</v>
          </cell>
        </row>
      </sheetData>
      <sheetData sheetId="1506">
        <row r="5">
          <cell r="C5">
            <v>100</v>
          </cell>
        </row>
      </sheetData>
      <sheetData sheetId="1507">
        <row r="5">
          <cell r="C5">
            <v>100</v>
          </cell>
        </row>
      </sheetData>
      <sheetData sheetId="1508">
        <row r="5">
          <cell r="C5">
            <v>100</v>
          </cell>
        </row>
      </sheetData>
      <sheetData sheetId="1509">
        <row r="5">
          <cell r="C5" t="str">
            <v>PACKAGE NO.</v>
          </cell>
        </row>
      </sheetData>
      <sheetData sheetId="1510">
        <row r="5">
          <cell r="C5" t="str">
            <v>PACKAGE NO.</v>
          </cell>
        </row>
      </sheetData>
      <sheetData sheetId="1511">
        <row r="5">
          <cell r="C5" t="str">
            <v>PACKAGE NO.</v>
          </cell>
        </row>
      </sheetData>
      <sheetData sheetId="1512">
        <row r="5">
          <cell r="C5" t="str">
            <v>PACKAGE NO.</v>
          </cell>
        </row>
      </sheetData>
      <sheetData sheetId="1513">
        <row r="5">
          <cell r="C5" t="str">
            <v>PACKAGE NO.</v>
          </cell>
        </row>
      </sheetData>
      <sheetData sheetId="1514">
        <row r="5">
          <cell r="C5" t="str">
            <v>PACKAGE NO.</v>
          </cell>
        </row>
      </sheetData>
      <sheetData sheetId="1515">
        <row r="5">
          <cell r="C5" t="str">
            <v>PACKAGE NO.</v>
          </cell>
        </row>
      </sheetData>
      <sheetData sheetId="1516">
        <row r="5">
          <cell r="C5" t="str">
            <v>PACKAGE NO.</v>
          </cell>
        </row>
      </sheetData>
      <sheetData sheetId="1517">
        <row r="5">
          <cell r="C5">
            <v>100</v>
          </cell>
        </row>
      </sheetData>
      <sheetData sheetId="1518">
        <row r="5">
          <cell r="C5" t="str">
            <v>PACKAGE NO.</v>
          </cell>
        </row>
      </sheetData>
      <sheetData sheetId="1519">
        <row r="5">
          <cell r="C5" t="str">
            <v>PACKAGE NO.</v>
          </cell>
        </row>
      </sheetData>
      <sheetData sheetId="1520">
        <row r="5">
          <cell r="C5" t="str">
            <v>PACKAGE NO.</v>
          </cell>
        </row>
      </sheetData>
      <sheetData sheetId="1521">
        <row r="5">
          <cell r="C5" t="str">
            <v>PACKAGE NO.</v>
          </cell>
        </row>
      </sheetData>
      <sheetData sheetId="1522">
        <row r="5">
          <cell r="C5" t="str">
            <v>PACKAGE NO.</v>
          </cell>
        </row>
      </sheetData>
      <sheetData sheetId="1523">
        <row r="5">
          <cell r="C5" t="str">
            <v>PACKAGE NO.</v>
          </cell>
        </row>
      </sheetData>
      <sheetData sheetId="1524">
        <row r="5">
          <cell r="C5" t="str">
            <v>PACKAGE NO.</v>
          </cell>
        </row>
      </sheetData>
      <sheetData sheetId="1525">
        <row r="5">
          <cell r="C5">
            <v>100</v>
          </cell>
        </row>
      </sheetData>
      <sheetData sheetId="1526">
        <row r="5">
          <cell r="C5">
            <v>100</v>
          </cell>
        </row>
      </sheetData>
      <sheetData sheetId="1527">
        <row r="5">
          <cell r="C5">
            <v>100</v>
          </cell>
        </row>
      </sheetData>
      <sheetData sheetId="1528">
        <row r="5">
          <cell r="C5">
            <v>100</v>
          </cell>
        </row>
      </sheetData>
      <sheetData sheetId="1529">
        <row r="5">
          <cell r="C5">
            <v>100</v>
          </cell>
        </row>
      </sheetData>
      <sheetData sheetId="1530">
        <row r="5">
          <cell r="C5">
            <v>100</v>
          </cell>
        </row>
      </sheetData>
      <sheetData sheetId="1531">
        <row r="5">
          <cell r="C5">
            <v>100</v>
          </cell>
        </row>
      </sheetData>
      <sheetData sheetId="1532">
        <row r="5">
          <cell r="C5">
            <v>100</v>
          </cell>
        </row>
      </sheetData>
      <sheetData sheetId="1533">
        <row r="5">
          <cell r="C5">
            <v>100</v>
          </cell>
        </row>
      </sheetData>
      <sheetData sheetId="1534">
        <row r="5">
          <cell r="C5">
            <v>100</v>
          </cell>
        </row>
      </sheetData>
      <sheetData sheetId="1535">
        <row r="5">
          <cell r="C5">
            <v>100</v>
          </cell>
        </row>
      </sheetData>
      <sheetData sheetId="1536">
        <row r="5">
          <cell r="C5">
            <v>100</v>
          </cell>
        </row>
      </sheetData>
      <sheetData sheetId="1537">
        <row r="5">
          <cell r="C5">
            <v>100</v>
          </cell>
        </row>
      </sheetData>
      <sheetData sheetId="1538">
        <row r="5">
          <cell r="C5">
            <v>100</v>
          </cell>
        </row>
      </sheetData>
      <sheetData sheetId="1539">
        <row r="5">
          <cell r="C5">
            <v>100</v>
          </cell>
        </row>
      </sheetData>
      <sheetData sheetId="1540">
        <row r="5">
          <cell r="C5">
            <v>100</v>
          </cell>
        </row>
      </sheetData>
      <sheetData sheetId="1541">
        <row r="5">
          <cell r="C5">
            <v>100</v>
          </cell>
        </row>
      </sheetData>
      <sheetData sheetId="1542">
        <row r="5">
          <cell r="C5">
            <v>100</v>
          </cell>
        </row>
      </sheetData>
      <sheetData sheetId="1543">
        <row r="5">
          <cell r="C5">
            <v>100</v>
          </cell>
        </row>
      </sheetData>
      <sheetData sheetId="1544">
        <row r="5">
          <cell r="C5">
            <v>100</v>
          </cell>
        </row>
      </sheetData>
      <sheetData sheetId="1545">
        <row r="5">
          <cell r="C5">
            <v>100</v>
          </cell>
        </row>
      </sheetData>
      <sheetData sheetId="1546">
        <row r="5">
          <cell r="C5">
            <v>100</v>
          </cell>
        </row>
      </sheetData>
      <sheetData sheetId="1547">
        <row r="5">
          <cell r="C5">
            <v>100</v>
          </cell>
        </row>
      </sheetData>
      <sheetData sheetId="1548">
        <row r="5">
          <cell r="C5">
            <v>100</v>
          </cell>
        </row>
      </sheetData>
      <sheetData sheetId="1549">
        <row r="5">
          <cell r="C5">
            <v>100</v>
          </cell>
        </row>
      </sheetData>
      <sheetData sheetId="1550">
        <row r="5">
          <cell r="C5">
            <v>100</v>
          </cell>
        </row>
      </sheetData>
      <sheetData sheetId="1551">
        <row r="5">
          <cell r="C5">
            <v>100</v>
          </cell>
        </row>
      </sheetData>
      <sheetData sheetId="1552">
        <row r="5">
          <cell r="C5">
            <v>100</v>
          </cell>
        </row>
      </sheetData>
      <sheetData sheetId="1553">
        <row r="5">
          <cell r="C5">
            <v>100</v>
          </cell>
        </row>
      </sheetData>
      <sheetData sheetId="1554">
        <row r="5">
          <cell r="C5">
            <v>100</v>
          </cell>
        </row>
      </sheetData>
      <sheetData sheetId="1555">
        <row r="5">
          <cell r="C5">
            <v>100</v>
          </cell>
        </row>
      </sheetData>
      <sheetData sheetId="1556">
        <row r="5">
          <cell r="C5">
            <v>100</v>
          </cell>
        </row>
      </sheetData>
      <sheetData sheetId="1557">
        <row r="5">
          <cell r="C5">
            <v>100</v>
          </cell>
        </row>
      </sheetData>
      <sheetData sheetId="1558">
        <row r="5">
          <cell r="C5">
            <v>100</v>
          </cell>
        </row>
      </sheetData>
      <sheetData sheetId="1559">
        <row r="5">
          <cell r="C5">
            <v>100</v>
          </cell>
        </row>
      </sheetData>
      <sheetData sheetId="1560">
        <row r="5">
          <cell r="C5">
            <v>100</v>
          </cell>
        </row>
      </sheetData>
      <sheetData sheetId="1561">
        <row r="5">
          <cell r="C5">
            <v>100</v>
          </cell>
        </row>
      </sheetData>
      <sheetData sheetId="1562">
        <row r="5">
          <cell r="C5">
            <v>100</v>
          </cell>
        </row>
      </sheetData>
      <sheetData sheetId="1563">
        <row r="5">
          <cell r="C5">
            <v>100</v>
          </cell>
        </row>
      </sheetData>
      <sheetData sheetId="1564">
        <row r="5">
          <cell r="C5">
            <v>100</v>
          </cell>
        </row>
      </sheetData>
      <sheetData sheetId="1565">
        <row r="5">
          <cell r="C5">
            <v>100</v>
          </cell>
        </row>
      </sheetData>
      <sheetData sheetId="1566">
        <row r="5">
          <cell r="C5">
            <v>100</v>
          </cell>
        </row>
      </sheetData>
      <sheetData sheetId="1567">
        <row r="5">
          <cell r="C5">
            <v>100</v>
          </cell>
        </row>
      </sheetData>
      <sheetData sheetId="1568">
        <row r="5">
          <cell r="C5">
            <v>100</v>
          </cell>
        </row>
      </sheetData>
      <sheetData sheetId="1569">
        <row r="5">
          <cell r="C5">
            <v>100</v>
          </cell>
        </row>
      </sheetData>
      <sheetData sheetId="1570">
        <row r="5">
          <cell r="C5">
            <v>100</v>
          </cell>
        </row>
      </sheetData>
      <sheetData sheetId="1571">
        <row r="5">
          <cell r="C5">
            <v>100</v>
          </cell>
        </row>
      </sheetData>
      <sheetData sheetId="1572">
        <row r="5">
          <cell r="C5">
            <v>100</v>
          </cell>
        </row>
      </sheetData>
      <sheetData sheetId="1573">
        <row r="5">
          <cell r="C5">
            <v>100</v>
          </cell>
        </row>
      </sheetData>
      <sheetData sheetId="1574">
        <row r="5">
          <cell r="C5">
            <v>100</v>
          </cell>
        </row>
      </sheetData>
      <sheetData sheetId="1575">
        <row r="5">
          <cell r="C5">
            <v>100</v>
          </cell>
        </row>
      </sheetData>
      <sheetData sheetId="1576">
        <row r="5">
          <cell r="C5">
            <v>100</v>
          </cell>
        </row>
      </sheetData>
      <sheetData sheetId="1577">
        <row r="5">
          <cell r="C5">
            <v>100</v>
          </cell>
        </row>
      </sheetData>
      <sheetData sheetId="1578">
        <row r="5">
          <cell r="C5">
            <v>100</v>
          </cell>
        </row>
      </sheetData>
      <sheetData sheetId="1579">
        <row r="5">
          <cell r="C5">
            <v>100</v>
          </cell>
        </row>
      </sheetData>
      <sheetData sheetId="1580">
        <row r="5">
          <cell r="C5">
            <v>100</v>
          </cell>
        </row>
      </sheetData>
      <sheetData sheetId="1581">
        <row r="5">
          <cell r="C5">
            <v>100</v>
          </cell>
        </row>
      </sheetData>
      <sheetData sheetId="1582">
        <row r="5">
          <cell r="C5">
            <v>100</v>
          </cell>
        </row>
      </sheetData>
      <sheetData sheetId="1583">
        <row r="5">
          <cell r="C5">
            <v>100</v>
          </cell>
        </row>
      </sheetData>
      <sheetData sheetId="1584">
        <row r="5">
          <cell r="C5">
            <v>100</v>
          </cell>
        </row>
      </sheetData>
      <sheetData sheetId="1585">
        <row r="5">
          <cell r="C5">
            <v>100</v>
          </cell>
        </row>
      </sheetData>
      <sheetData sheetId="1586">
        <row r="5">
          <cell r="C5">
            <v>100</v>
          </cell>
        </row>
      </sheetData>
      <sheetData sheetId="1587">
        <row r="5">
          <cell r="C5">
            <v>100</v>
          </cell>
        </row>
      </sheetData>
      <sheetData sheetId="1588">
        <row r="5">
          <cell r="C5">
            <v>100</v>
          </cell>
        </row>
      </sheetData>
      <sheetData sheetId="1589">
        <row r="5">
          <cell r="C5">
            <v>100</v>
          </cell>
        </row>
      </sheetData>
      <sheetData sheetId="1590">
        <row r="5">
          <cell r="C5">
            <v>100</v>
          </cell>
        </row>
      </sheetData>
      <sheetData sheetId="1591">
        <row r="5">
          <cell r="C5">
            <v>100</v>
          </cell>
        </row>
      </sheetData>
      <sheetData sheetId="1592">
        <row r="5">
          <cell r="C5">
            <v>100</v>
          </cell>
        </row>
      </sheetData>
      <sheetData sheetId="1593">
        <row r="5">
          <cell r="C5">
            <v>100</v>
          </cell>
        </row>
      </sheetData>
      <sheetData sheetId="1594">
        <row r="5">
          <cell r="C5">
            <v>100</v>
          </cell>
        </row>
      </sheetData>
      <sheetData sheetId="1595">
        <row r="5">
          <cell r="C5">
            <v>100</v>
          </cell>
        </row>
      </sheetData>
      <sheetData sheetId="1596">
        <row r="5">
          <cell r="C5">
            <v>100</v>
          </cell>
        </row>
      </sheetData>
      <sheetData sheetId="1597">
        <row r="5">
          <cell r="C5">
            <v>100</v>
          </cell>
        </row>
      </sheetData>
      <sheetData sheetId="1598">
        <row r="5">
          <cell r="C5">
            <v>100</v>
          </cell>
        </row>
      </sheetData>
      <sheetData sheetId="1599">
        <row r="5">
          <cell r="C5">
            <v>100</v>
          </cell>
        </row>
      </sheetData>
      <sheetData sheetId="1600">
        <row r="5">
          <cell r="C5">
            <v>100</v>
          </cell>
        </row>
      </sheetData>
      <sheetData sheetId="1601">
        <row r="5">
          <cell r="C5">
            <v>100</v>
          </cell>
        </row>
      </sheetData>
      <sheetData sheetId="1602">
        <row r="5">
          <cell r="C5">
            <v>100</v>
          </cell>
        </row>
      </sheetData>
      <sheetData sheetId="1603">
        <row r="5">
          <cell r="C5">
            <v>100</v>
          </cell>
        </row>
      </sheetData>
      <sheetData sheetId="1604">
        <row r="5">
          <cell r="C5">
            <v>100</v>
          </cell>
        </row>
      </sheetData>
      <sheetData sheetId="1605">
        <row r="5">
          <cell r="C5">
            <v>100</v>
          </cell>
        </row>
      </sheetData>
      <sheetData sheetId="1606">
        <row r="5">
          <cell r="C5">
            <v>100</v>
          </cell>
        </row>
      </sheetData>
      <sheetData sheetId="1607">
        <row r="5">
          <cell r="C5">
            <v>100</v>
          </cell>
        </row>
      </sheetData>
      <sheetData sheetId="1608">
        <row r="5">
          <cell r="C5">
            <v>100</v>
          </cell>
        </row>
      </sheetData>
      <sheetData sheetId="1609">
        <row r="5">
          <cell r="C5">
            <v>100</v>
          </cell>
        </row>
      </sheetData>
      <sheetData sheetId="1610">
        <row r="5">
          <cell r="C5">
            <v>100</v>
          </cell>
        </row>
      </sheetData>
      <sheetData sheetId="1611">
        <row r="5">
          <cell r="C5">
            <v>100</v>
          </cell>
        </row>
      </sheetData>
      <sheetData sheetId="1612">
        <row r="5">
          <cell r="C5">
            <v>100</v>
          </cell>
        </row>
      </sheetData>
      <sheetData sheetId="1613">
        <row r="5">
          <cell r="C5">
            <v>100</v>
          </cell>
        </row>
      </sheetData>
      <sheetData sheetId="1614">
        <row r="5">
          <cell r="C5">
            <v>100</v>
          </cell>
        </row>
      </sheetData>
      <sheetData sheetId="1615">
        <row r="5">
          <cell r="C5">
            <v>100</v>
          </cell>
        </row>
      </sheetData>
      <sheetData sheetId="1616">
        <row r="5">
          <cell r="C5">
            <v>100</v>
          </cell>
        </row>
      </sheetData>
      <sheetData sheetId="1617">
        <row r="5">
          <cell r="C5">
            <v>100</v>
          </cell>
        </row>
      </sheetData>
      <sheetData sheetId="1618">
        <row r="5">
          <cell r="C5">
            <v>100</v>
          </cell>
        </row>
      </sheetData>
      <sheetData sheetId="1619">
        <row r="5">
          <cell r="C5">
            <v>100</v>
          </cell>
        </row>
      </sheetData>
      <sheetData sheetId="1620">
        <row r="5">
          <cell r="C5">
            <v>100</v>
          </cell>
        </row>
      </sheetData>
      <sheetData sheetId="1621">
        <row r="5">
          <cell r="C5">
            <v>100</v>
          </cell>
        </row>
      </sheetData>
      <sheetData sheetId="1622">
        <row r="5">
          <cell r="C5">
            <v>100</v>
          </cell>
        </row>
      </sheetData>
      <sheetData sheetId="1623">
        <row r="5">
          <cell r="C5">
            <v>100</v>
          </cell>
        </row>
      </sheetData>
      <sheetData sheetId="1624">
        <row r="5">
          <cell r="C5">
            <v>100</v>
          </cell>
        </row>
      </sheetData>
      <sheetData sheetId="1625">
        <row r="5">
          <cell r="C5">
            <v>100</v>
          </cell>
        </row>
      </sheetData>
      <sheetData sheetId="1626">
        <row r="5">
          <cell r="C5">
            <v>100</v>
          </cell>
        </row>
      </sheetData>
      <sheetData sheetId="1627">
        <row r="5">
          <cell r="C5">
            <v>100</v>
          </cell>
        </row>
      </sheetData>
      <sheetData sheetId="1628">
        <row r="5">
          <cell r="C5">
            <v>100</v>
          </cell>
        </row>
      </sheetData>
      <sheetData sheetId="1629">
        <row r="5">
          <cell r="C5">
            <v>100</v>
          </cell>
        </row>
      </sheetData>
      <sheetData sheetId="1630">
        <row r="5">
          <cell r="C5">
            <v>100</v>
          </cell>
        </row>
      </sheetData>
      <sheetData sheetId="1631">
        <row r="5">
          <cell r="C5">
            <v>100</v>
          </cell>
        </row>
      </sheetData>
      <sheetData sheetId="1632">
        <row r="5">
          <cell r="C5">
            <v>100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>
        <row r="5">
          <cell r="C5" t="str">
            <v>PACKAGE NO.</v>
          </cell>
        </row>
      </sheetData>
      <sheetData sheetId="1638">
        <row r="5">
          <cell r="C5" t="str">
            <v>PACKAGE NO.</v>
          </cell>
        </row>
      </sheetData>
      <sheetData sheetId="1639">
        <row r="5">
          <cell r="C5" t="str">
            <v>PACKAGE NO.</v>
          </cell>
        </row>
      </sheetData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/>
      <sheetData sheetId="1673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>
        <row r="5">
          <cell r="C5" t="str">
            <v>ARJUN PRASAD CHAUDHARY</v>
          </cell>
        </row>
      </sheetData>
      <sheetData sheetId="1731"/>
      <sheetData sheetId="1732"/>
      <sheetData sheetId="1733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al"/>
      <sheetName val="equipment"/>
      <sheetName val="eq_data"/>
      <sheetName val="out_put"/>
      <sheetName val="drawing"/>
      <sheetName val="Loading"/>
      <sheetName val="INSTR"/>
      <sheetName val="공사비_NDE"/>
      <sheetName val="Cover"/>
      <sheetName val="OUT"/>
      <sheetName val="A"/>
      <sheetName val="TOEC"/>
      <sheetName val="ELEC_DCI"/>
      <sheetName val="INST_DCI"/>
      <sheetName val="영업소실적"/>
      <sheetName val="수입"/>
      <sheetName val="직원동원계획"/>
      <sheetName val="CONTROL-100"/>
      <sheetName val="General Data"/>
      <sheetName val="PRICE COMP"/>
      <sheetName val="본지점중"/>
      <sheetName val="A(Rev.3)"/>
      <sheetName val="PRO_A"/>
      <sheetName val="ELEC_MCI"/>
      <sheetName val="MAIN"/>
      <sheetName val="INST_MCI"/>
      <sheetName val="MECH_MCI"/>
      <sheetName val="PRO"/>
      <sheetName val="Sheet1"/>
      <sheetName val="IT-BAT"/>
      <sheetName val="h-013211-2"/>
      <sheetName val="ACTDATA"/>
      <sheetName val="환율표"/>
      <sheetName val="7.6.3(B) UG Piping"/>
      <sheetName val="static.cal"/>
      <sheetName val="crude.SLAB RE-bar"/>
      <sheetName val="ANX3A65"/>
      <sheetName val="Lup"/>
      <sheetName val="BOQ0822"/>
      <sheetName val="fdn_bm_pro"/>
      <sheetName val="PRICE LIST"/>
      <sheetName val="Information"/>
      <sheetName val="인건비"/>
      <sheetName val="WORKER"/>
      <sheetName val="OFFER RATE"/>
      <sheetName val="Job Data"/>
      <sheetName val="투입실적"/>
      <sheetName val="PipWT"/>
      <sheetName val="Piping Design Data"/>
      <sheetName val="97 사업추정(WEKI)"/>
      <sheetName val="총괄표"/>
      <sheetName val="내역(한신APT)"/>
      <sheetName val="Sheet5"/>
      <sheetName val="Sheet1 (2)"/>
      <sheetName val="PAGE 1"/>
      <sheetName val="Feuil2"/>
      <sheetName val="IBASE"/>
      <sheetName val="Tipo Terzi"/>
      <sheetName val="BCPAB"/>
      <sheetName val="노임"/>
      <sheetName val="제품현황"/>
      <sheetName val="Preface"/>
      <sheetName val="Source"/>
      <sheetName val="Eng.hour_DB"/>
      <sheetName val="EG-09"/>
      <sheetName val="CAT_5"/>
      <sheetName val="spinning1"/>
      <sheetName val="plan&amp;section of foundation"/>
      <sheetName val="design criteria"/>
      <sheetName val="기둥(원형)"/>
      <sheetName val="COPING"/>
      <sheetName val="품셈 "/>
      <sheetName val="data"/>
      <sheetName val="PAINT"/>
      <sheetName val="방화도료"/>
      <sheetName val="가도공"/>
      <sheetName val="98TSON4A"/>
      <sheetName val="Y-WORK"/>
      <sheetName val="Calculation"/>
      <sheetName val="Tables"/>
      <sheetName val="Summary 2002"/>
      <sheetName val="ASME B 36.10 M"/>
      <sheetName val="작성기준"/>
      <sheetName val="ANALYSER"/>
      <sheetName val="내역서"/>
      <sheetName val="TABLE2-2 OSBL-(SITE PREP)"/>
      <sheetName val="Contents"/>
      <sheetName val="REINF."/>
      <sheetName val="SKETCH"/>
      <sheetName val="LOADS"/>
      <sheetName val="boq"/>
      <sheetName val="도"/>
      <sheetName val="REDUCER"/>
      <sheetName val="WE'T"/>
      <sheetName val="내"/>
      <sheetName val="실행자재"/>
      <sheetName val="#REF"/>
      <sheetName val="PRC-SUM"/>
      <sheetName val="대공종"/>
      <sheetName val="_생산성_분석_체계_절차.xlsx"/>
      <sheetName val="General_Data"/>
      <sheetName val="PRICE_COMP"/>
      <sheetName val="A(Rev_3)"/>
      <sheetName val="단가비교(TOTAL)"/>
      <sheetName val="General_Data1"/>
      <sheetName val="PRICE_COMP1"/>
      <sheetName val="A(Rev_3)1"/>
      <sheetName val="cable"/>
      <sheetName val="pri-com"/>
      <sheetName val="견적의뢰"/>
      <sheetName val="기준"/>
      <sheetName val="CAL"/>
      <sheetName val="BQ List"/>
      <sheetName val="노임단가"/>
      <sheetName val="전기일위대가"/>
      <sheetName val="SHIPPING"/>
      <sheetName val="Content"/>
      <sheetName val="7.5.1(A) Data"/>
      <sheetName val="7.5.1(B) BOQ Breakdown"/>
      <sheetName val="7.5.1(C) Scope"/>
      <sheetName val="7.5.1(D) Basis"/>
      <sheetName val="7.5.1(E) Allowance"/>
      <sheetName val="7.5.2 BOQ Summary"/>
      <sheetName val="7.5.3 BOQ"/>
      <sheetName val="A. Erec_BOQ(Shop)"/>
      <sheetName val="B. Erec_BOQ(Field)"/>
      <sheetName val="C. Surface_Protection"/>
      <sheetName val="A. Erec_BOQ(Shop) (2)"/>
      <sheetName val="B. Erec_BOQ(Field) (2)"/>
      <sheetName val="C. Surf_Protection"/>
      <sheetName val="Attachment #1"/>
      <sheetName val="Attachment #2"/>
      <sheetName val="LIST"/>
      <sheetName val="301"/>
      <sheetName val="302 C1"/>
      <sheetName val="302 C2"/>
      <sheetName val="302"/>
      <sheetName val="SUPPLY (2)"/>
      <sheetName val="RETURN (2)"/>
      <sheetName val="SUPPLY"/>
      <sheetName val="RETURN"/>
      <sheetName val="303"/>
      <sheetName val="303 (2)"/>
      <sheetName val="304"/>
      <sheetName val="305"/>
      <sheetName val="306"/>
      <sheetName val="307"/>
      <sheetName val="308"/>
      <sheetName val="308 (2)"/>
      <sheetName val="309"/>
      <sheetName val="309 (2)"/>
      <sheetName val="산출기준"/>
      <sheetName val="JUNCTION BOX"/>
      <sheetName val="TRAY"/>
      <sheetName val="PIPE"/>
      <sheetName val="PIPE FITTING"/>
      <sheetName val="TUBE"/>
      <sheetName val="TUBE FITTING"/>
      <sheetName val="CABLE GLAND"/>
      <sheetName val="VALVE"/>
      <sheetName val="MCT"/>
      <sheetName val="SUPPORT"/>
      <sheetName val="예산서"/>
      <sheetName val="P3"/>
      <sheetName val="CONS. EQUIP.  "/>
      <sheetName val="일위대가"/>
      <sheetName val="VA_code"/>
      <sheetName val="갑지(추정)"/>
      <sheetName val="T1"/>
      <sheetName val="가시설공"/>
      <sheetName val="DWG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CHECK1"/>
      <sheetName val="기별수량산출서"/>
      <sheetName val="출력X"/>
      <sheetName val="ITB COST"/>
      <sheetName val="건축"/>
      <sheetName val="SPEC"/>
      <sheetName val="PIP"/>
      <sheetName val="토공"/>
      <sheetName val="TL,Termination"/>
      <sheetName val="Cable,Conduit"/>
      <sheetName val="WORK"/>
      <sheetName val="보온 회사분"/>
      <sheetName val="예산"/>
      <sheetName val="FACTOR"/>
      <sheetName val="90EL JACKET"/>
      <sheetName val="BAND(200)"/>
      <sheetName val="보온재"/>
      <sheetName val="7_5_1(A)_Data"/>
      <sheetName val="7_5_1(B)_BOQ_Breakdown"/>
      <sheetName val="7_5_1(C)_Scope"/>
      <sheetName val="7_5_1(D)_Basis"/>
      <sheetName val="7_5_1(E)_Allowance"/>
      <sheetName val="7_5_2_BOQ_Summary"/>
      <sheetName val="7_5_3_BOQ"/>
      <sheetName val="A__Erec_BOQ(Shop)"/>
      <sheetName val="B__Erec_BOQ(Field)"/>
      <sheetName val="C__Surface_Protection"/>
      <sheetName val="A__Erec_BOQ(Shop)_(2)"/>
      <sheetName val="B__Erec_BOQ(Field)_(2)"/>
      <sheetName val="C__Surf_Protection"/>
      <sheetName val="Attachment_#1"/>
      <sheetName val="Attachment_#2"/>
      <sheetName val="302_C1"/>
      <sheetName val="302_C2"/>
      <sheetName val="SUPPLY_(2)"/>
      <sheetName val="RETURN_(2)"/>
      <sheetName val="303_(2)"/>
      <sheetName val="308_(2)"/>
      <sheetName val="309_(2)"/>
      <sheetName val="JUNCTION_BOX"/>
      <sheetName val="PIPE_FITTING"/>
      <sheetName val="TUBE_FITTING"/>
      <sheetName val="CABLE_GLAND"/>
      <sheetName val="BLR_1"/>
      <sheetName val="CONS__EQUIP___"/>
      <sheetName val="REINF_"/>
      <sheetName val="부표총괄"/>
      <sheetName val="소비자가"/>
      <sheetName val="Cost control"/>
      <sheetName val="Elect"/>
      <sheetName val="FIRE FIGHTING"/>
      <sheetName val="내역"/>
      <sheetName val="Macro(전선)"/>
      <sheetName val="을"/>
      <sheetName val="배관"/>
      <sheetName val="9-1차이내역"/>
      <sheetName val="DESCRIPTION"/>
      <sheetName val="BM DATA SHEET"/>
      <sheetName val="PBS"/>
      <sheetName val="costing_CV"/>
      <sheetName val="costing_ESDV"/>
      <sheetName val="costing_FE"/>
      <sheetName val="costing_Misc"/>
      <sheetName val="costing_MOV"/>
      <sheetName val="costing_Press"/>
      <sheetName val="Dati"/>
      <sheetName val="DN"/>
      <sheetName val="Fluidi"/>
      <sheetName val="Temperatura"/>
      <sheetName val="Mat Stelo"/>
      <sheetName val="CIVIL"/>
      <sheetName val="N+"/>
      <sheetName val="주관사업"/>
      <sheetName val="요약배부"/>
      <sheetName val="SHL"/>
      <sheetName val="DWTables"/>
      <sheetName val="BB2현대건설견적"/>
      <sheetName val="BREAKDOWN"/>
      <sheetName val="R2_0908"/>
      <sheetName val="BAP"/>
      <sheetName val="1.설계기준"/>
      <sheetName val="Resource"/>
      <sheetName val="95삼성급(본사)"/>
      <sheetName val="working load at the btm ft."/>
      <sheetName val="stability check"/>
      <sheetName val="CHK_OUT_BM_090914"/>
      <sheetName val="Unit SUM"/>
      <sheetName val="Total"/>
      <sheetName val="환율"/>
      <sheetName val="Page2"/>
      <sheetName val="AILC004"/>
      <sheetName val="조경"/>
      <sheetName val="HRS"/>
      <sheetName val="DATA1"/>
      <sheetName val="OUTER AREA(겹침없음)"/>
      <sheetName val="JACKET(50,50)"/>
      <sheetName val="FLANGE"/>
      <sheetName val="Break Dw"/>
      <sheetName val="TblPriceDB"/>
      <sheetName val="Material Specification"/>
      <sheetName val="special item 양진규 작성"/>
      <sheetName val="MOTOR"/>
      <sheetName val="bill 2"/>
      <sheetName val="Sheet2"/>
      <sheetName val="CODE"/>
      <sheetName val="방유제용량 계산서"/>
      <sheetName val="dnc4"/>
      <sheetName val="SILICATE"/>
      <sheetName val="Sch.6"/>
      <sheetName val="정부노임단가"/>
      <sheetName val="인원계획"/>
      <sheetName val="lookup"/>
      <sheetName val="세금자료"/>
      <sheetName val="경제지표"/>
      <sheetName val="대비내역"/>
      <sheetName val="CAPVC"/>
      <sheetName val="Condition"/>
      <sheetName val="표지 (2)"/>
      <sheetName val="자료"/>
      <sheetName val="CAMP OPERATING COST"/>
      <sheetName val="PERSONNEL SETUP"/>
      <sheetName val="LIST OF OFFICE EQUIPMENT"/>
      <sheetName val="STAFF&amp;INDIRECT SALARY - SUMMARY"/>
      <sheetName val="KOREAN STAFF SALARY_BREAKDOWN"/>
      <sheetName val="WELFARE COST - SITE"/>
      <sheetName val="pile bearing capa &amp; arrenge"/>
      <sheetName val="design load"/>
      <sheetName val="oper_load"/>
      <sheetName val="evap"/>
      <sheetName val="개시대사 (2)"/>
      <sheetName val="집계표"/>
      <sheetName val="A-4"/>
      <sheetName val="Fab. Skid"/>
      <sheetName val="단가정보"/>
      <sheetName val="INPUT DATA"/>
      <sheetName val="CSTSUM"/>
      <sheetName val="UNSTEADY"/>
      <sheetName val="ITB_COST"/>
      <sheetName val="Mat_Stelo"/>
      <sheetName val="Unit_SUM"/>
      <sheetName val="Schedule(1)"/>
      <sheetName val="data_dci"/>
      <sheetName val="data_mci"/>
      <sheetName val="behind"/>
      <sheetName val="combi(wall)"/>
      <sheetName val="변수적용"/>
      <sheetName val="평3"/>
      <sheetName val="BLDG_MCI"/>
      <sheetName val="L V Separator"/>
      <sheetName val="7_5_1(A)_Data1"/>
      <sheetName val="7_5_1(B)_BOQ_Breakdown1"/>
      <sheetName val="7_5_1(C)_Scope1"/>
      <sheetName val="7_5_1(D)_Basis1"/>
      <sheetName val="7_5_1(E)_Allowance1"/>
      <sheetName val="7_5_2_BOQ_Summary1"/>
      <sheetName val="7_5_3_BOQ1"/>
      <sheetName val="A__Erec_BOQ(Shop)1"/>
      <sheetName val="B__Erec_BOQ(Field)1"/>
      <sheetName val="C__Surface_Protection1"/>
      <sheetName val="A__Erec_BOQ(Shop)_(2)1"/>
      <sheetName val="B__Erec_BOQ(Field)_(2)1"/>
      <sheetName val="C__Surf_Protection1"/>
      <sheetName val="Attachment_#11"/>
      <sheetName val="Attachment_#21"/>
      <sheetName val="302_C11"/>
      <sheetName val="302_C21"/>
      <sheetName val="SUPPLY_(2)1"/>
      <sheetName val="RETURN_(2)1"/>
      <sheetName val="303_(2)1"/>
      <sheetName val="308_(2)1"/>
      <sheetName val="309_(2)1"/>
      <sheetName val="JUNCTION_BOX1"/>
      <sheetName val="PIPE_FITTING1"/>
      <sheetName val="TUBE_FITTING1"/>
      <sheetName val="CABLE_GLAND1"/>
      <sheetName val="CONS__EQUIP___1"/>
      <sheetName val="REINF_1"/>
      <sheetName val="BLR_11"/>
      <sheetName val="97_사업추정(WEKI)"/>
      <sheetName val="Cost_control"/>
      <sheetName val="90EL_JACKET"/>
      <sheetName val="보온_회사분"/>
      <sheetName val="FIRE_FIGHTING"/>
      <sheetName val="Tipo_Terzi"/>
      <sheetName val="plan&amp;section_of_foundation"/>
      <sheetName val="design_criteria"/>
      <sheetName val="BM_DATA_SHEET"/>
      <sheetName val="sheeet2"/>
      <sheetName val="仪表分析表"/>
      <sheetName val="sum"/>
      <sheetName val="입고장부 (4)"/>
      <sheetName val="공통비"/>
      <sheetName val="FEUILLE INTERNE"/>
      <sheetName val="인원현황"/>
      <sheetName val="역T형"/>
      <sheetName val="CAMP - CONSTRUCTION"/>
      <sheetName val="설계조건"/>
      <sheetName val="조명시설"/>
      <sheetName val="e4-6-%"/>
      <sheetName val="Schedule 2 and 3"/>
      <sheetName val="Sheet3"/>
      <sheetName val="IBL-C"/>
      <sheetName val="총괄표양식"/>
      <sheetName val="차량운영비"/>
      <sheetName val="세부내역"/>
      <sheetName val="E_Rate PM"/>
      <sheetName val="현황CODE"/>
      <sheetName val="손익현황"/>
      <sheetName val="BOM_DWG"/>
      <sheetName val="회사99"/>
      <sheetName val="laroux"/>
      <sheetName val="7.5.2 BOQ Summary "/>
      <sheetName val="Perfiles"/>
      <sheetName val="PumpSpec"/>
      <sheetName val="Rekap A"/>
      <sheetName val="RFP009"/>
      <sheetName val="RFP007"/>
      <sheetName val="NP"/>
      <sheetName val="견적기준"/>
      <sheetName val="OD5000"/>
      <sheetName val="upah"/>
      <sheetName val="bahan"/>
      <sheetName val="measure"/>
      <sheetName val="paint mat"/>
      <sheetName val="工완성공사율"/>
      <sheetName val="IN"/>
      <sheetName val="TTL"/>
      <sheetName val="VE Estimate"/>
      <sheetName val="COMPRESSOR"/>
      <sheetName val="D=700"/>
      <sheetName val="Units"/>
      <sheetName val="Instructions"/>
      <sheetName val="건축내역"/>
      <sheetName val="심사계산"/>
      <sheetName val="심사물량"/>
      <sheetName val="CAL."/>
      <sheetName val="BOQ건축"/>
      <sheetName val="LD-OVERALL"/>
      <sheetName val="7_5_1(A)_Data2"/>
      <sheetName val="7_5_1(B)_BOQ_Breakdown2"/>
      <sheetName val="7_5_1(C)_Scope2"/>
      <sheetName val="7_5_1(D)_Basis2"/>
      <sheetName val="7_5_1(E)_Allowance2"/>
      <sheetName val="7_5_2_BOQ_Summary2"/>
      <sheetName val="7_5_3_BOQ2"/>
      <sheetName val="A__Erec_BOQ(Shop)2"/>
      <sheetName val="B__Erec_BOQ(Field)2"/>
      <sheetName val="C__Surface_Protection2"/>
      <sheetName val="A__Erec_BOQ(Shop)_(2)2"/>
      <sheetName val="B__Erec_BOQ(Field)_(2)2"/>
      <sheetName val="C__Surf_Protection2"/>
      <sheetName val="Attachment_#12"/>
      <sheetName val="Attachment_#22"/>
      <sheetName val="302_C12"/>
      <sheetName val="302_C22"/>
      <sheetName val="SUPPLY_(2)2"/>
      <sheetName val="RETURN_(2)2"/>
      <sheetName val="303_(2)2"/>
      <sheetName val="308_(2)2"/>
      <sheetName val="309_(2)2"/>
      <sheetName val="JUNCTION_BOX2"/>
      <sheetName val="PIPE_FITTING2"/>
      <sheetName val="TUBE_FITTING2"/>
      <sheetName val="CABLE_GLAND2"/>
      <sheetName val="CONS__EQUIP___2"/>
      <sheetName val="BLR_12"/>
      <sheetName val="REINF_2"/>
      <sheetName val="ITB_COST1"/>
      <sheetName val="97_사업추정(WEKI)1"/>
      <sheetName val="Cost_control1"/>
      <sheetName val="90EL_JACKET1"/>
      <sheetName val="보온_회사분1"/>
      <sheetName val="FIRE_FIGHTING1"/>
      <sheetName val="NDOCBT"/>
      <sheetName val="Summary"/>
      <sheetName val="Definitions"/>
      <sheetName val="input"/>
      <sheetName val="COMPARISON TABLE"/>
      <sheetName val="eq_data _x0000__x0000__x0000__x0000_"/>
      <sheetName val="Summary Sheets"/>
      <sheetName val="Sheet6"/>
      <sheetName val="원본"/>
      <sheetName val="Cover sheet"/>
      <sheetName val="BSD (2)"/>
      <sheetName val="KLHT"/>
      <sheetName val="General"/>
      <sheetName val="Menus"/>
      <sheetName val="단가"/>
      <sheetName val="TRAY BM"/>
      <sheetName val="Set"/>
      <sheetName val="LABTOTAL"/>
      <sheetName val="일위대가표"/>
      <sheetName val="품셈1-17"/>
      <sheetName val="11.자재단가"/>
      <sheetName val="Imp-Data"/>
      <sheetName val="PROJECT"/>
      <sheetName val="1 OF 9"/>
      <sheetName val="Quantity"/>
      <sheetName val="BLDG_DCI"/>
      <sheetName val="예산M11A"/>
      <sheetName val="Graph (LGEN)"/>
      <sheetName val="out_prog"/>
      <sheetName val="선적schedule (2)"/>
      <sheetName val="NPC500"/>
      <sheetName val="D-3"/>
      <sheetName val="Macro"/>
      <sheetName val="Taux"/>
      <sheetName val="POWER"/>
      <sheetName val="KP_List"/>
      <sheetName val="나이대조표"/>
      <sheetName val="norms"/>
      <sheetName val="HVAC"/>
      <sheetName val="갑지"/>
      <sheetName val="실행내역"/>
      <sheetName val="공사"/>
      <sheetName val="MyLists"/>
      <sheetName val="산근"/>
      <sheetName val="기계공사비집계(원안)"/>
      <sheetName val="10현장조직"/>
      <sheetName val="을지"/>
      <sheetName val="#3E1_GCR"/>
      <sheetName val="대치판정"/>
      <sheetName val="EE-PROP"/>
      <sheetName val="Design"/>
      <sheetName val="RFP002"/>
      <sheetName val="영업2"/>
      <sheetName val="영업3"/>
      <sheetName val="Code_Magics"/>
      <sheetName val="Titel"/>
      <sheetName val="1_설계기준"/>
      <sheetName val="bill_2"/>
      <sheetName val="NAMES"/>
      <sheetName val="표지"/>
      <sheetName val="데이타"/>
      <sheetName val="Sheet10"/>
      <sheetName val="new급여T(4을-운전)"/>
      <sheetName val="TB-내역서"/>
      <sheetName val="VV-REV2"/>
      <sheetName val="-15.0"/>
      <sheetName val="부재치수입력"/>
      <sheetName val="BREAKDOWN(철거설치)"/>
      <sheetName val="맨홀수량산출"/>
      <sheetName val="11"/>
      <sheetName val="plan&amp;section_of_foundation1"/>
      <sheetName val="design_criteria1"/>
      <sheetName val="Tipo_Terzi1"/>
      <sheetName val="BM_DATA_SHEET1"/>
      <sheetName val="Mat_Stelo1"/>
      <sheetName val="working_load_at_the_btm_ft_"/>
      <sheetName val="stability_check"/>
      <sheetName val="Unit_SUM1"/>
      <sheetName val="Break_Dw"/>
      <sheetName val="방유제용량_계산서"/>
      <sheetName val="INPUT_DATA"/>
      <sheetName val="special_item_양진규_작성"/>
      <sheetName val="OUTER_AREA(겹침없음)"/>
      <sheetName val="Material_Specification"/>
      <sheetName val="개시대사_(2)"/>
      <sheetName val="pile_bearing_capa_&amp;_arrenge"/>
      <sheetName val="design_load"/>
      <sheetName val="표지_(2)"/>
      <sheetName val="Sch_6"/>
      <sheetName val="Fab__Skid"/>
      <sheetName val="CAMP_OPERATING_COST"/>
      <sheetName val="PERSONNEL_SETUP"/>
      <sheetName val="LIST_OF_OFFICE_EQUIPMENT"/>
      <sheetName val="STAFF&amp;INDIRECT_SALARY_-_SUMMARY"/>
      <sheetName val="KOREAN_STAFF_SALARY_BREAKDOWN"/>
      <sheetName val="WELFARE_COST_-_SITE"/>
      <sheetName val="입고장부_(4)"/>
      <sheetName val="FEUILLE_INTERNE"/>
      <sheetName val="11_자재단가"/>
      <sheetName val="1_OF_9"/>
      <sheetName val="COMPARISON_TABLE"/>
      <sheetName val="L_V_Separator"/>
      <sheetName val="CAMP_-_CONSTRUCTION"/>
      <sheetName val="E_Rate_PM"/>
      <sheetName val="Schedule_2_and_3"/>
      <sheetName val="sc0314 Index"/>
      <sheetName val="종목코드"/>
      <sheetName val="COA-17"/>
      <sheetName val="C-18"/>
      <sheetName val="NC"/>
      <sheetName val="Resource summary"/>
      <sheetName val="SG"/>
      <sheetName val="Data_Vert"/>
      <sheetName val="Rebar"/>
      <sheetName val="Data_ST"/>
      <sheetName val="Load"/>
      <sheetName val="건축집계"/>
      <sheetName val="Tiburon"/>
      <sheetName val="Diainch"/>
      <sheetName val="w't table"/>
      <sheetName val="3.0 Overall Progress S-curve"/>
      <sheetName val="3-4 SPI"/>
      <sheetName val="Lists"/>
      <sheetName val="B"/>
      <sheetName val="단가비교"/>
      <sheetName val="Basic"/>
      <sheetName val="견적 집계"/>
      <sheetName val="PULLING SUPT등"/>
      <sheetName val="DATE"/>
      <sheetName val="eq_data _x005f_x0000__x005f_x0000__x005f_x0000__x"/>
      <sheetName val="cashflow"/>
      <sheetName val="급여일반"/>
      <sheetName val="choose"/>
      <sheetName val="당초"/>
      <sheetName val="Quotation"/>
      <sheetName val="Info"/>
      <sheetName val="차액보증"/>
      <sheetName val="말뚝지지력산정"/>
      <sheetName val="단중표"/>
      <sheetName val="SORTING"/>
      <sheetName val="배관물량 (STEEL)"/>
      <sheetName val="Sheet 1"/>
      <sheetName val="Offertemodel"/>
      <sheetName val="연돌일위집계"/>
      <sheetName val="품셈"/>
      <sheetName val="Break Down"/>
      <sheetName val="BQ"/>
      <sheetName val="22-Plant"/>
      <sheetName val="Supervision List"/>
      <sheetName val="Equip_Pipe_Insulation"/>
      <sheetName val="BQ_Piping"/>
      <sheetName val="PROCURE"/>
      <sheetName val="labor"/>
      <sheetName val="간접비 총괄표"/>
      <sheetName val="Struct-Grass root"/>
      <sheetName val="미입고자재목록_설계1과"/>
      <sheetName val="PAGE 2"/>
      <sheetName val="입력값"/>
      <sheetName val="_x0000_è"/>
      <sheetName val="BQLIST"/>
      <sheetName val="제출계산서"/>
      <sheetName val="품셈1-26"/>
      <sheetName val="LEGEND"/>
      <sheetName val="KP1590_E"/>
      <sheetName val="한계원가"/>
      <sheetName val="Page 10"/>
      <sheetName val="CRUDE RE-bar"/>
      <sheetName val="PRI CIV"/>
      <sheetName val="database-emp"/>
      <sheetName val="평균환율-USD"/>
      <sheetName val="REG-BASIS"/>
      <sheetName val="TENDER PROG."/>
      <sheetName val="PROC.PROG"/>
      <sheetName val="Rev No"/>
      <sheetName val="DUTCH CONE"/>
      <sheetName val="harga"/>
      <sheetName val="koef"/>
      <sheetName val="Resume"/>
      <sheetName val="C급보 "/>
      <sheetName val="자재군별"/>
      <sheetName val="재료내역"/>
      <sheetName val="EXCHANGE_RATE"/>
      <sheetName val="Scaffold"/>
      <sheetName val="Access"/>
      <sheetName val="PAGE 3_GENERAL DETAILS"/>
      <sheetName val="Proposal"/>
      <sheetName val="적용 환율"/>
      <sheetName val="SPEC-DT2"/>
      <sheetName val="공사내역"/>
      <sheetName val="북제주-표지"/>
      <sheetName val="Rectangular Beam"/>
      <sheetName val="현금"/>
      <sheetName val="요율"/>
      <sheetName val="자재대"/>
      <sheetName val="八幡"/>
      <sheetName val="GM 000"/>
      <sheetName val="PRECAST lightconc-II"/>
      <sheetName val="csdim"/>
      <sheetName val="cdsload"/>
      <sheetName val="chsload"/>
      <sheetName val="CLAMP"/>
      <sheetName val="cvsload"/>
      <sheetName val="Cash2"/>
      <sheetName val="Z"/>
      <sheetName val="환산표"/>
      <sheetName val="El(Increased)"/>
      <sheetName val="COVER-P"/>
      <sheetName val="PUMP SHT"/>
      <sheetName val="FC-01"/>
      <sheetName val="FC-06"/>
      <sheetName val="MC-01"/>
      <sheetName val="Sal"/>
      <sheetName val="eq_data _x0000__x0000__x0000__x"/>
      <sheetName val=""/>
      <sheetName val="TIE-INS"/>
      <sheetName val="6.공사비 내역 (가)"/>
      <sheetName val="FOR CIV"/>
      <sheetName val="SUB CIV"/>
      <sheetName val="ANA CIV"/>
      <sheetName val="AUX CIV"/>
      <sheetName val="DCS"/>
      <sheetName val="FLD"/>
      <sheetName val="TDC_ADMIN"/>
      <sheetName val="Requisitions"/>
      <sheetName val="ICDS"/>
      <sheetName val="수량산출"/>
      <sheetName val="Elect (3)"/>
      <sheetName val="Assumptions"/>
      <sheetName val="CARBOLINE분석"/>
      <sheetName val="RFP005"/>
      <sheetName val="RFP006"/>
      <sheetName val="CostDB"/>
      <sheetName val="FWBS7000,8000"/>
      <sheetName val="Reference Table"/>
      <sheetName val="Lookups"/>
      <sheetName val="co-no.2"/>
      <sheetName val="CAL(1)."/>
      <sheetName val="Activity(new)"/>
      <sheetName val="PSV"/>
      <sheetName val="TS-TC"/>
      <sheetName val="물량집계(전기)"/>
      <sheetName val="물량집계(계장)"/>
      <sheetName val="bdown"/>
      <sheetName val="33628-Rev. A"/>
      <sheetName val="TYPE-B 평균H"/>
      <sheetName val=" "/>
      <sheetName val="뜃맟뭁돽띿맟?-BLDG"/>
      <sheetName val="D-623D"/>
      <sheetName val="member design"/>
      <sheetName val="soil bearing check"/>
      <sheetName val="OCT.FDN"/>
      <sheetName val="hori. vessel(E-895)"/>
      <sheetName val="2.3"/>
      <sheetName val="7_6_3(B)_UG_Piping"/>
      <sheetName val="static_cal"/>
      <sheetName val="crude_SLAB_RE-bar"/>
      <sheetName val="Piping_Design_Data"/>
      <sheetName val="PRICE_LIST"/>
      <sheetName val="PAGE_1"/>
      <sheetName val="OFFER_RATE"/>
      <sheetName val="Job_Data"/>
      <sheetName val="Sheet1_(2)"/>
      <sheetName val="품셈_"/>
      <sheetName val="Summary_2002"/>
      <sheetName val="ASME_B_36_10_M"/>
      <sheetName val="TABLE2-2_OSBL-(SITE_PREP)"/>
      <sheetName val="4-3LEVEL-5 epic.4"/>
      <sheetName val="SALA-002"/>
      <sheetName val="ORIGN"/>
      <sheetName val="diamètres"/>
      <sheetName val="설계예산서1"/>
      <sheetName val="SUBCON"/>
      <sheetName val="P-Ph3-F-002"/>
      <sheetName val="전기"/>
      <sheetName val="200"/>
      <sheetName val="BM1"/>
      <sheetName val="뜃맟뭁돽띿맟_-BLDG"/>
      <sheetName val="45,46"/>
      <sheetName val="Notes"/>
      <sheetName val="engg"/>
      <sheetName val="SBR_CR"/>
      <sheetName val="COST UP"/>
      <sheetName val="ITEM"/>
      <sheetName val="DDC"/>
      <sheetName val="DIAPHRAGM"/>
      <sheetName val="TG9504"/>
      <sheetName val="2.Calculation_1"/>
      <sheetName val="IBC(2006)DATA"/>
      <sheetName val="Datasheet GLL double weir (1)"/>
      <sheetName val="단면가정"/>
      <sheetName val="eq_data _x005f_x0000__x00"/>
      <sheetName val="6호기"/>
      <sheetName val="Sheet2 (2)"/>
      <sheetName val="명단"/>
      <sheetName val="EST-1"/>
      <sheetName val="Block D"/>
      <sheetName val="PRICE-COMP"/>
      <sheetName val="공수"/>
      <sheetName val="Table"/>
      <sheetName val="간접비내역-1"/>
      <sheetName val="Form A.1"/>
      <sheetName val="Form A.1.1"/>
      <sheetName val="BOM Indirect"/>
      <sheetName val="Form A.1.II.2"/>
      <sheetName val="내역서 "/>
      <sheetName val="P&amp;ID650"/>
      <sheetName val="SPrep_E4TK(R187)"/>
      <sheetName val="U00"/>
      <sheetName val="U01"/>
      <sheetName val="U02"/>
      <sheetName val="U03"/>
      <sheetName val="U06"/>
      <sheetName val="U07"/>
      <sheetName val="U08"/>
      <sheetName val="U09"/>
      <sheetName val="U10"/>
      <sheetName val="U11"/>
      <sheetName val="U13"/>
      <sheetName val="U21"/>
      <sheetName val="U25"/>
      <sheetName val="U26"/>
      <sheetName val="U29"/>
      <sheetName val="U30"/>
      <sheetName val="U31_Base"/>
      <sheetName val="U40"/>
      <sheetName val="U42"/>
      <sheetName val="U43"/>
      <sheetName val="U45"/>
      <sheetName val="U47"/>
      <sheetName val="U48"/>
      <sheetName val="U60"/>
      <sheetName val="4.단락전류"/>
      <sheetName val="M_B"/>
      <sheetName val="PRO_DCI"/>
      <sheetName val="Calculations"/>
      <sheetName val="대우단가(풍산)"/>
      <sheetName val="토공정보"/>
      <sheetName val="노임이"/>
      <sheetName val="INDEX"/>
      <sheetName val="6.GSTG PIPING"/>
      <sheetName val="Sheet4"/>
      <sheetName val="NONS  2,189"/>
      <sheetName val="REF.ONLY"/>
      <sheetName val="LBR"/>
      <sheetName val="CONCRETE"/>
      <sheetName val="HVAC_DCI"/>
      <sheetName val="PIPE_DCI"/>
      <sheetName val="94D"/>
      <sheetName val="95D"/>
      <sheetName val="BATCH"/>
      <sheetName val="PREAM"/>
      <sheetName val="COMB MNG&amp;STAFF (ALL)  (2)"/>
      <sheetName val="기초자료"/>
      <sheetName val="견적집계표"/>
      <sheetName val="7_5_1(A)_Data3"/>
      <sheetName val="7_5_1(B)_BOQ_Breakdown3"/>
      <sheetName val="7_5_1(C)_Scope3"/>
      <sheetName val="7_5_1(D)_Basis3"/>
      <sheetName val="7_5_1(E)_Allowance3"/>
      <sheetName val="7_5_2_BOQ_Summary3"/>
      <sheetName val="7_5_3_BOQ3"/>
      <sheetName val="A__Erec_BOQ(Shop)3"/>
      <sheetName val="B__Erec_BOQ(Field)3"/>
      <sheetName val="C__Surface_Protection3"/>
      <sheetName val="A__Erec_BOQ(Shop)_(2)3"/>
      <sheetName val="B__Erec_BOQ(Field)_(2)3"/>
      <sheetName val="C__Surf_Protection3"/>
      <sheetName val="Attachment_#13"/>
      <sheetName val="Attachment_#23"/>
      <sheetName val="302_C13"/>
      <sheetName val="302_C23"/>
      <sheetName val="SUPPLY_(2)3"/>
      <sheetName val="RETURN_(2)3"/>
      <sheetName val="303_(2)3"/>
      <sheetName val="308_(2)3"/>
      <sheetName val="309_(2)3"/>
      <sheetName val="JUNCTION_BOX3"/>
      <sheetName val="PIPE_FITTING3"/>
      <sheetName val="TUBE_FITTING3"/>
      <sheetName val="CABLE_GLAND3"/>
      <sheetName val="CONS__EQUIP___3"/>
      <sheetName val="BLR_13"/>
      <sheetName val="REINF_3"/>
      <sheetName val="ITB_COST2"/>
      <sheetName val="97_사업추정(WEKI)2"/>
      <sheetName val="90EL_JACKET2"/>
      <sheetName val="보온_회사분2"/>
      <sheetName val="Cost_control2"/>
      <sheetName val="FIRE_FIGHTING2"/>
      <sheetName val="Tipo_Terzi2"/>
      <sheetName val="plan&amp;section_of_foundation2"/>
      <sheetName val="design_criteria2"/>
      <sheetName val="BM_DATA_SHEET2"/>
      <sheetName val="working_load_at_the_btm_ft_1"/>
      <sheetName val="stability_check1"/>
      <sheetName val="Mat_Stelo2"/>
      <sheetName val="Unit_SUM2"/>
      <sheetName val="1_설계기준1"/>
      <sheetName val="OUTER_AREA(겹침없음)1"/>
      <sheetName val="bill_21"/>
      <sheetName val="표지_(2)1"/>
      <sheetName val="Break_Dw1"/>
      <sheetName val="방유제용량_계산서1"/>
      <sheetName val="Material_Specification1"/>
      <sheetName val="special_item_양진규_작성1"/>
      <sheetName val="Sch_61"/>
      <sheetName val="pile_bearing_capa_&amp;_arrenge1"/>
      <sheetName val="design_load1"/>
      <sheetName val="Fab__Skid1"/>
      <sheetName val="INPUT_DATA1"/>
      <sheetName val="CAMP_OPERATING_COST1"/>
      <sheetName val="PERSONNEL_SETUP1"/>
      <sheetName val="LIST_OF_OFFICE_EQUIPMENT1"/>
      <sheetName val="STAFF&amp;INDIRECT_SALARY_-_SUMMAR1"/>
      <sheetName val="KOREAN_STAFF_SALARY_BREAKDOWN1"/>
      <sheetName val="WELFARE_COST_-_SITE1"/>
      <sheetName val="개시대사_(2)1"/>
      <sheetName val="입고장부_(4)1"/>
      <sheetName val="FEUILLE_INTERNE1"/>
      <sheetName val="COMPARISON_TABLE1"/>
      <sheetName val="L_V_Separator1"/>
      <sheetName val="CAMP_-_CONSTRUCTION1"/>
      <sheetName val="E_Rate_PM1"/>
      <sheetName val="Schedule_2_and_31"/>
      <sheetName val="eq_data_"/>
      <sheetName val="Cover_sheet"/>
      <sheetName val="CAL_"/>
      <sheetName val="11_자재단가1"/>
      <sheetName val="1_OF_91"/>
      <sheetName val="BSD_(2)"/>
      <sheetName val="TRAY_BM"/>
      <sheetName val="Graph_(LGEN)"/>
      <sheetName val="선적schedule_(2)"/>
      <sheetName val="Summary_Sheets"/>
      <sheetName val="sc0314_Index"/>
      <sheetName val="Resource_summary"/>
      <sheetName val="w't_table"/>
      <sheetName val="eq_data__x005f_x0000__x005f_x0000__x005f_x0000__x"/>
      <sheetName val="7_5_2_BOQ_Summary_"/>
      <sheetName val="Rekap_A"/>
      <sheetName val="paint_mat"/>
      <sheetName val="VE_Estimate"/>
      <sheetName val="3_0_Overall_Progress_S-curve"/>
      <sheetName val="3-4_SPI"/>
      <sheetName val="-15_0"/>
      <sheetName val="대기업"/>
      <sheetName val="각종자료"/>
      <sheetName val="견적"/>
      <sheetName val="S N"/>
      <sheetName val="Sheet_1"/>
      <sheetName val="배관물량_(STEEL)"/>
      <sheetName val="PAGE_2"/>
      <sheetName val="Struct-Grass_root"/>
      <sheetName val="General_Data2"/>
      <sheetName val="PRICE_COMP2"/>
      <sheetName val="A(Rev_3)2"/>
      <sheetName val="견적_집계"/>
      <sheetName val="PULLING_SUPT등"/>
      <sheetName val="_생산성_분석_체계_절차_xlsx"/>
      <sheetName val="BQ_List"/>
      <sheetName val="Break_Down"/>
      <sheetName val="Supervision_List"/>
      <sheetName val="PL-DATA"/>
      <sheetName val="FRP내역서"/>
      <sheetName val="Loading Table"/>
      <sheetName val="SUMMARY (0)"/>
      <sheetName val="4.1구조설계"/>
      <sheetName val="Pipelines ASAB I-II Brownfield"/>
      <sheetName val="7_5_1(A)_Data5"/>
      <sheetName val="7_5_1(B)_BOQ_Breakdown5"/>
      <sheetName val="7_5_1(C)_Scope5"/>
      <sheetName val="7_5_1(D)_Basis5"/>
      <sheetName val="7_5_1(E)_Allowance5"/>
      <sheetName val="7_5_2_BOQ_Summary5"/>
      <sheetName val="7_5_3_BOQ5"/>
      <sheetName val="A__Erec_BOQ(Shop)5"/>
      <sheetName val="B__Erec_BOQ(Field)5"/>
      <sheetName val="C__Surface_Protection5"/>
      <sheetName val="A__Erec_BOQ(Shop)_(2)5"/>
      <sheetName val="B__Erec_BOQ(Field)_(2)5"/>
      <sheetName val="C__Surf_Protection5"/>
      <sheetName val="Attachment_#15"/>
      <sheetName val="Attachment_#25"/>
      <sheetName val="302_C15"/>
      <sheetName val="302_C25"/>
      <sheetName val="SUPPLY_(2)5"/>
      <sheetName val="RETURN_(2)5"/>
      <sheetName val="303_(2)5"/>
      <sheetName val="308_(2)5"/>
      <sheetName val="309_(2)5"/>
      <sheetName val="JUNCTION_BOX5"/>
      <sheetName val="PIPE_FITTING5"/>
      <sheetName val="TUBE_FITTING5"/>
      <sheetName val="CABLE_GLAND5"/>
      <sheetName val="BLR_15"/>
      <sheetName val="CONS__EQUIP___5"/>
      <sheetName val="REINF_5"/>
      <sheetName val="ITB_COST4"/>
      <sheetName val="97_사업추정(WEKI)4"/>
      <sheetName val="FIRE_FIGHTING4"/>
      <sheetName val="Cost_control4"/>
      <sheetName val="90EL_JACKET4"/>
      <sheetName val="보온_회사분4"/>
      <sheetName val="plan&amp;section_of_foundation3"/>
      <sheetName val="design_criteria3"/>
      <sheetName val="BM_DATA_SHEET3"/>
      <sheetName val="Tipo_Terzi3"/>
      <sheetName val="Mat_Stelo3"/>
      <sheetName val="Sch_62"/>
      <sheetName val="bill_22"/>
      <sheetName val="1_설계기준2"/>
      <sheetName val="Unit_SUM3"/>
      <sheetName val="표지_(2)2"/>
      <sheetName val="Sheet_12"/>
      <sheetName val="배관물량_(STEEL)2"/>
      <sheetName val="working_load_at_the_btm_ft_2"/>
      <sheetName val="stability_check2"/>
      <sheetName val="Break_Dw2"/>
      <sheetName val="방유제용량_계산서2"/>
      <sheetName val="FA"/>
      <sheetName val="Analisa HS"/>
      <sheetName val="Eng_Hrs"/>
      <sheetName val="PAD-F"/>
      <sheetName val="LME"/>
      <sheetName val="Tie Beam GN"/>
      <sheetName val="PileCap"/>
      <sheetName val="06-Progress"/>
      <sheetName val="04-Safety"/>
      <sheetName val="Unitwise breakup"/>
      <sheetName val="OD"/>
      <sheetName val="Estimate"/>
      <sheetName val="상반기손익차2총괄"/>
      <sheetName val="HRG BHN"/>
      <sheetName val="input data-090908"/>
      <sheetName val="DOWNLOAD"/>
      <sheetName val="MH Estimation Guide"/>
      <sheetName val="CIV-DWG-ADA"/>
      <sheetName val="CIV-DOC-ADA"/>
      <sheetName val="공사비 내역 (가)"/>
      <sheetName val="STATIC"/>
      <sheetName val="Material_Specification2"/>
      <sheetName val="special_item_양진규_작성2"/>
      <sheetName val="OUTER_AREA(겹침없음)2"/>
      <sheetName val="CAMP_OPERATING_COST2"/>
      <sheetName val="PERSONNEL_SETUP2"/>
      <sheetName val="LIST_OF_OFFICE_EQUIPMENT2"/>
      <sheetName val="STAFF&amp;INDIRECT_SALARY_-_SUMMAR2"/>
      <sheetName val="KOREAN_STAFF_SALARY_BREAKDOWN2"/>
      <sheetName val="WELFARE_COST_-_SITE2"/>
      <sheetName val="INPUT_DATA2"/>
      <sheetName val="개시대사_(2)2"/>
      <sheetName val="pile_bearing_capa_&amp;_arrenge2"/>
      <sheetName val="design_load2"/>
      <sheetName val="Fab__Skid2"/>
      <sheetName val="입고장부_(4)2"/>
      <sheetName val="FEUILLE_INTERNE2"/>
      <sheetName val="L_V_Separator2"/>
      <sheetName val="CAMP_-_CONSTRUCTION2"/>
      <sheetName val="E_Rate_PM2"/>
      <sheetName val="Schedule_2_and_32"/>
      <sheetName val="CAL_2"/>
      <sheetName val="COMPARISON_TABLE2"/>
      <sheetName val="3_0_Overall_Progress_S-curve2"/>
      <sheetName val="3-4_SPI2"/>
      <sheetName val="7_5_1(A)_Data4"/>
      <sheetName val="7_5_1(B)_BOQ_Breakdown4"/>
      <sheetName val="7_5_1(C)_Scope4"/>
      <sheetName val="7_5_1(D)_Basis4"/>
      <sheetName val="7_5_1(E)_Allowance4"/>
      <sheetName val="7_5_2_BOQ_Summary4"/>
      <sheetName val="7_5_3_BOQ4"/>
      <sheetName val="A__Erec_BOQ(Shop)4"/>
      <sheetName val="B__Erec_BOQ(Field)4"/>
      <sheetName val="C__Surface_Protection4"/>
      <sheetName val="A__Erec_BOQ(Shop)_(2)4"/>
      <sheetName val="B__Erec_BOQ(Field)_(2)4"/>
      <sheetName val="C__Surf_Protection4"/>
      <sheetName val="Attachment_#14"/>
      <sheetName val="Attachment_#24"/>
      <sheetName val="302_C14"/>
      <sheetName val="302_C24"/>
      <sheetName val="SUPPLY_(2)4"/>
      <sheetName val="RETURN_(2)4"/>
      <sheetName val="303_(2)4"/>
      <sheetName val="308_(2)4"/>
      <sheetName val="309_(2)4"/>
      <sheetName val="JUNCTION_BOX4"/>
      <sheetName val="PIPE_FITTING4"/>
      <sheetName val="TUBE_FITTING4"/>
      <sheetName val="CABLE_GLAND4"/>
      <sheetName val="BLR_14"/>
      <sheetName val="CONS__EQUIP___4"/>
      <sheetName val="REINF_4"/>
      <sheetName val="ITB_COST3"/>
      <sheetName val="97_사업추정(WEKI)3"/>
      <sheetName val="FIRE_FIGHTING3"/>
      <sheetName val="Cost_control3"/>
      <sheetName val="90EL_JACKET3"/>
      <sheetName val="보온_회사분3"/>
      <sheetName val="Sheet_11"/>
      <sheetName val="배관물량_(STEEL)1"/>
      <sheetName val="CAL_1"/>
      <sheetName val="3_0_Overall_Progress_S-curve1"/>
      <sheetName val="3-4_SPI1"/>
      <sheetName val="Vent Line size"/>
      <sheetName val="HT-INTROD"/>
      <sheetName val="Site Expenses"/>
      <sheetName val="LOB"/>
      <sheetName val="Récapitulatif"/>
      <sheetName val="실행철강하도"/>
      <sheetName val="ABUT수량-A1"/>
      <sheetName val="Cause&amp;Effects"/>
      <sheetName val="Paint - Mat Summ"/>
      <sheetName val="Paint_-_Mat_Summ"/>
      <sheetName val="Piling &amp; Tk Fdn"/>
      <sheetName val="COST-TZ"/>
      <sheetName val="Coeff."/>
    </sheetNames>
    <sheetDataSet>
      <sheetData sheetId="0">
        <row r="5">
          <cell r="C5" t="str">
            <v>Isolated type</v>
          </cell>
        </row>
      </sheetData>
      <sheetData sheetId="1">
        <row r="5">
          <cell r="C5" t="str">
            <v>Isolated type</v>
          </cell>
        </row>
      </sheetData>
      <sheetData sheetId="2" refreshError="1">
        <row r="5">
          <cell r="C5" t="str">
            <v>Isolated type</v>
          </cell>
        </row>
        <row r="6">
          <cell r="C6" t="str">
            <v>Sleeper type</v>
          </cell>
        </row>
        <row r="7">
          <cell r="C7" t="str">
            <v xml:space="preserve"> Horizontal Vessel</v>
          </cell>
        </row>
        <row r="8">
          <cell r="C8" t="str">
            <v>Vertical vessel type</v>
          </cell>
        </row>
        <row r="9">
          <cell r="C9" t="str">
            <v>Pump Type</v>
          </cell>
        </row>
        <row r="10">
          <cell r="C10" t="str">
            <v>Combined type</v>
          </cell>
        </row>
        <row r="11">
          <cell r="C11" t="str">
            <v>기타1</v>
          </cell>
        </row>
        <row r="12">
          <cell r="C12" t="str">
            <v>기타2</v>
          </cell>
        </row>
        <row r="13">
          <cell r="C13" t="str">
            <v>기타3</v>
          </cell>
        </row>
        <row r="14">
          <cell r="C14" t="str">
            <v>기타4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C9" t="str">
            <v>현대건설㈜</v>
          </cell>
        </row>
      </sheetData>
      <sheetData sheetId="129"/>
      <sheetData sheetId="130"/>
      <sheetData sheetId="131"/>
      <sheetData sheetId="132"/>
      <sheetData sheetId="133">
        <row r="9">
          <cell r="C9" t="str">
            <v>현대건설㈜</v>
          </cell>
        </row>
      </sheetData>
      <sheetData sheetId="134"/>
      <sheetData sheetId="135">
        <row r="9">
          <cell r="C9" t="str">
            <v>현대건설㈜</v>
          </cell>
        </row>
      </sheetData>
      <sheetData sheetId="136">
        <row r="5">
          <cell r="C5" t="str">
            <v>PACKAGE NO.</v>
          </cell>
        </row>
      </sheetData>
      <sheetData sheetId="137">
        <row r="5">
          <cell r="C5" t="str">
            <v>PACKAGE NO.</v>
          </cell>
        </row>
      </sheetData>
      <sheetData sheetId="138">
        <row r="5">
          <cell r="C5" t="str">
            <v>PACKAGE NO.</v>
          </cell>
        </row>
      </sheetData>
      <sheetData sheetId="139">
        <row r="5">
          <cell r="C5" t="str">
            <v>PACKAGE NO.</v>
          </cell>
        </row>
      </sheetData>
      <sheetData sheetId="140">
        <row r="5">
          <cell r="C5" t="str">
            <v>PACKAGE NO.</v>
          </cell>
        </row>
      </sheetData>
      <sheetData sheetId="141">
        <row r="5">
          <cell r="C5" t="str">
            <v>PACKAGE NO.</v>
          </cell>
        </row>
      </sheetData>
      <sheetData sheetId="142">
        <row r="5">
          <cell r="C5" t="str">
            <v>PACKAGE NO.</v>
          </cell>
        </row>
      </sheetData>
      <sheetData sheetId="143">
        <row r="5">
          <cell r="C5" t="str">
            <v>PACKAGE NO.</v>
          </cell>
        </row>
      </sheetData>
      <sheetData sheetId="144">
        <row r="5">
          <cell r="C5" t="str">
            <v>PACKAGE NO.</v>
          </cell>
        </row>
      </sheetData>
      <sheetData sheetId="145">
        <row r="5">
          <cell r="C5" t="str">
            <v>PACKAGE NO.</v>
          </cell>
        </row>
      </sheetData>
      <sheetData sheetId="146">
        <row r="5">
          <cell r="C5" t="str">
            <v>PACKAGE NO.</v>
          </cell>
        </row>
      </sheetData>
      <sheetData sheetId="147">
        <row r="5">
          <cell r="C5" t="str">
            <v>PACKAGE NO.</v>
          </cell>
        </row>
      </sheetData>
      <sheetData sheetId="148">
        <row r="5">
          <cell r="C5" t="str">
            <v>PACKAGE NO.</v>
          </cell>
        </row>
      </sheetData>
      <sheetData sheetId="149">
        <row r="5">
          <cell r="C5" t="str">
            <v>PACKAGE NO.</v>
          </cell>
        </row>
      </sheetData>
      <sheetData sheetId="150">
        <row r="5">
          <cell r="C5" t="str">
            <v>PACKAGE NO.</v>
          </cell>
        </row>
      </sheetData>
      <sheetData sheetId="151">
        <row r="5">
          <cell r="C5" t="str">
            <v>PACKAGE NO.</v>
          </cell>
        </row>
      </sheetData>
      <sheetData sheetId="152">
        <row r="5">
          <cell r="C5" t="str">
            <v>PACKAGE NO.</v>
          </cell>
        </row>
      </sheetData>
      <sheetData sheetId="153">
        <row r="5">
          <cell r="C5" t="str">
            <v>PACKAGE NO.</v>
          </cell>
        </row>
      </sheetData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 refreshError="1"/>
      <sheetData sheetId="1071" refreshError="1"/>
      <sheetData sheetId="107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_data"/>
      <sheetName val="g_data"/>
      <sheetName val="BOP"/>
      <sheetName val="FI-SC"/>
      <sheetName val="DRIVES-SC"/>
      <sheetName val="PACKAGES-SC"/>
      <sheetName val="MOV-CC"/>
      <sheetName val="FI-CC"/>
      <sheetName val="DRIVES-CC"/>
      <sheetName val="PACKAGES-CC"/>
      <sheetName val="STG-10"/>
      <sheetName val="STG-20 "/>
      <sheetName val="Electric control cable list"/>
      <sheetName val="Cable thickness"/>
      <sheetName val="c_data"/>
      <sheetName val="temp"/>
      <sheetName val="overfill (2)"/>
      <sheetName val="Sheet2"/>
    </sheetNames>
    <sheetDataSet>
      <sheetData sheetId="0" refreshError="1"/>
      <sheetData sheetId="1">
        <row r="2">
          <cell r="A2" t="str">
            <v>DNEX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>
        <row r="3">
          <cell r="V3" t="str">
            <v>8.7/15 (17.5)kV</v>
          </cell>
          <cell r="W3" t="str">
            <v>A1</v>
          </cell>
        </row>
        <row r="4">
          <cell r="V4" t="str">
            <v>6/10kV</v>
          </cell>
          <cell r="W4" t="str">
            <v>A2</v>
          </cell>
        </row>
        <row r="5">
          <cell r="V5" t="str">
            <v>3.6/6(7.2)kV</v>
          </cell>
          <cell r="W5" t="str">
            <v>A3</v>
          </cell>
        </row>
        <row r="6">
          <cell r="V6" t="str">
            <v>12/20kV</v>
          </cell>
          <cell r="W6" t="str">
            <v>A4</v>
          </cell>
        </row>
        <row r="7">
          <cell r="V7" t="str">
            <v>0.6/1kV</v>
          </cell>
          <cell r="W7" t="str">
            <v>B1</v>
          </cell>
        </row>
        <row r="8">
          <cell r="V8" t="str">
            <v>0.6/1kV</v>
          </cell>
          <cell r="W8" t="str">
            <v>C1</v>
          </cell>
        </row>
        <row r="9">
          <cell r="V9" t="str">
            <v>0.6/1kV</v>
          </cell>
          <cell r="W9" t="str">
            <v>S1</v>
          </cell>
        </row>
        <row r="10">
          <cell r="W10" t="str">
            <v>G1</v>
          </cell>
        </row>
        <row r="11">
          <cell r="V11" t="str">
            <v>450/750V</v>
          </cell>
          <cell r="W11" t="str">
            <v>G2</v>
          </cell>
        </row>
        <row r="12">
          <cell r="W12" t="str">
            <v>Tx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OR"/>
      <sheetName val="source"/>
      <sheetName val="table"/>
      <sheetName val="rho,T-Diagram"/>
      <sheetName val="n,T-Diagram"/>
      <sheetName val="density_calc_UNESCO"/>
      <sheetName val="viscosity_calc_Süderman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8">
          <cell r="G8">
            <v>10</v>
          </cell>
        </row>
        <row r="10">
          <cell r="G10">
            <v>10</v>
          </cell>
        </row>
      </sheetData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. effluent characteristics"/>
      <sheetName val="2. discharge characteristics"/>
      <sheetName val="3. jet properties"/>
      <sheetName val="SUMMARY"/>
      <sheetName val="density&amp;viscosity calculator"/>
      <sheetName val="Fig.2(a)-jet prop."/>
      <sheetName val="Fig.2(b)-dilution@z_max"/>
      <sheetName val="Fig.4(a)-jet trajec."/>
      <sheetName val="Fig.4(b)-dilution"/>
    </sheetNames>
    <sheetDataSet>
      <sheetData sheetId="0"/>
      <sheetData sheetId="1">
        <row r="35">
          <cell r="C35">
            <v>20</v>
          </cell>
        </row>
      </sheetData>
      <sheetData sheetId="2">
        <row r="6">
          <cell r="C6">
            <v>1028.0282602258953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Y229"/>
  <sheetViews>
    <sheetView view="pageBreakPreview" zoomScale="70" zoomScaleNormal="70" zoomScaleSheetLayoutView="70" workbookViewId="0">
      <pane ySplit="6" topLeftCell="A7" activePane="bottomLeft" state="frozen"/>
      <selection activeCell="E16" sqref="E16"/>
      <selection pane="bottomLeft" activeCell="D29" sqref="D29"/>
    </sheetView>
  </sheetViews>
  <sheetFormatPr defaultColWidth="8.75" defaultRowHeight="12" x14ac:dyDescent="0.3"/>
  <cols>
    <col min="1" max="1" width="5.25" style="4" customWidth="1"/>
    <col min="2" max="2" width="20.25" style="4" customWidth="1"/>
    <col min="3" max="3" width="26.25" style="4" customWidth="1"/>
    <col min="4" max="4" width="7.125" style="4" customWidth="1"/>
    <col min="5" max="5" width="14.25" style="4" customWidth="1"/>
    <col min="6" max="6" width="51.25" style="4" customWidth="1"/>
    <col min="7" max="7" width="13.375" style="5" customWidth="1"/>
    <col min="8" max="9" width="10.625" style="4" customWidth="1"/>
    <col min="10" max="10" width="11.125" style="4" customWidth="1"/>
    <col min="11" max="11" width="9.75" style="4" customWidth="1"/>
    <col min="12" max="12" width="9.125" style="4" customWidth="1"/>
    <col min="13" max="13" width="10.75" style="4" customWidth="1"/>
    <col min="14" max="14" width="21.875" style="5" customWidth="1"/>
    <col min="15" max="15" width="12.5" style="4" customWidth="1"/>
    <col min="16" max="16" width="14.875" style="4" customWidth="1"/>
    <col min="17" max="17" width="10.625" style="4" customWidth="1"/>
    <col min="18" max="18" width="9.125" style="4" customWidth="1"/>
    <col min="19" max="19" width="16.375" style="4" customWidth="1"/>
    <col min="20" max="20" width="9.625" style="4" customWidth="1"/>
    <col min="21" max="21" width="8.75" style="4" customWidth="1"/>
    <col min="22" max="22" width="9.875" style="4" customWidth="1"/>
    <col min="23" max="24" width="10.625" style="4" customWidth="1"/>
    <col min="25" max="25" width="22" style="4" customWidth="1"/>
    <col min="26" max="31" width="8.75" style="6"/>
    <col min="32" max="32" width="8.875" style="6" customWidth="1"/>
    <col min="33" max="16384" width="8.75" style="6"/>
  </cols>
  <sheetData>
    <row r="1" spans="1:25" s="23" customFormat="1" ht="30" x14ac:dyDescent="0.3">
      <c r="A1" s="26" t="s">
        <v>155</v>
      </c>
      <c r="B1" s="21"/>
      <c r="C1" s="21"/>
      <c r="D1" s="21"/>
      <c r="E1" s="21"/>
      <c r="F1" s="21"/>
      <c r="G1" s="22"/>
      <c r="H1" s="21"/>
      <c r="I1" s="21"/>
      <c r="J1" s="21"/>
      <c r="K1" s="21"/>
      <c r="L1" s="21"/>
      <c r="M1" s="21"/>
      <c r="N1" s="22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s="25" customFormat="1" ht="20.100000000000001" customHeight="1" x14ac:dyDescent="0.3">
      <c r="A2" s="3" t="s">
        <v>102</v>
      </c>
      <c r="B2" s="8"/>
      <c r="C2" s="8"/>
      <c r="D2" s="8"/>
      <c r="E2" s="39"/>
      <c r="F2" s="7"/>
      <c r="G2" s="9"/>
      <c r="H2" s="8"/>
      <c r="I2" s="8"/>
      <c r="J2" s="8"/>
      <c r="K2" s="7"/>
      <c r="L2" s="7"/>
      <c r="M2" s="8"/>
      <c r="N2" s="9"/>
      <c r="O2" s="8"/>
      <c r="P2" s="8"/>
      <c r="Q2" s="8"/>
      <c r="R2" s="8"/>
      <c r="S2" s="8"/>
      <c r="T2" s="8"/>
      <c r="U2" s="8"/>
      <c r="V2" s="8"/>
      <c r="W2" s="8"/>
      <c r="X2" s="8"/>
      <c r="Y2" s="24"/>
    </row>
    <row r="3" spans="1:25" s="25" customFormat="1" ht="20.100000000000001" customHeight="1" x14ac:dyDescent="0.3">
      <c r="A3" s="1" t="s">
        <v>1302</v>
      </c>
      <c r="B3" s="8"/>
      <c r="C3" s="8"/>
      <c r="D3" s="8"/>
      <c r="E3" s="30"/>
      <c r="F3" s="7"/>
      <c r="G3" s="9"/>
      <c r="H3" s="8"/>
      <c r="I3" s="8"/>
      <c r="J3" s="8"/>
      <c r="K3" s="7"/>
      <c r="L3" s="7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8"/>
      <c r="Y3" s="24"/>
    </row>
    <row r="4" spans="1:25" s="25" customFormat="1" ht="20.100000000000001" customHeight="1" x14ac:dyDescent="0.3">
      <c r="A4" s="1" t="s">
        <v>103</v>
      </c>
      <c r="B4" s="8"/>
      <c r="C4" s="8"/>
      <c r="D4" s="30"/>
      <c r="E4" s="30"/>
      <c r="F4" s="7"/>
      <c r="G4" s="9"/>
      <c r="H4" s="38" t="s">
        <v>704</v>
      </c>
      <c r="I4" s="8"/>
      <c r="J4" s="41" t="s">
        <v>705</v>
      </c>
      <c r="K4" s="7"/>
      <c r="L4" s="7"/>
      <c r="M4" s="8"/>
      <c r="N4" s="9"/>
      <c r="O4" s="8"/>
      <c r="P4" s="8"/>
      <c r="Q4" s="8"/>
      <c r="R4" s="8"/>
      <c r="S4" s="8"/>
      <c r="T4" s="8"/>
      <c r="U4" s="8"/>
      <c r="V4" s="8"/>
      <c r="W4" s="8"/>
      <c r="X4" s="8"/>
      <c r="Y4" s="24"/>
    </row>
    <row r="5" spans="1:25" s="10" customFormat="1" ht="24.75" customHeight="1" x14ac:dyDescent="0.3">
      <c r="A5" s="240" t="s">
        <v>110</v>
      </c>
      <c r="B5" s="240" t="s">
        <v>111</v>
      </c>
      <c r="C5" s="240" t="s">
        <v>105</v>
      </c>
      <c r="D5" s="240" t="s">
        <v>106</v>
      </c>
      <c r="E5" s="241" t="s">
        <v>112</v>
      </c>
      <c r="F5" s="241" t="s">
        <v>520</v>
      </c>
      <c r="G5" s="240" t="s">
        <v>107</v>
      </c>
      <c r="H5" s="244" t="s">
        <v>108</v>
      </c>
      <c r="I5" s="245"/>
      <c r="J5" s="248" t="s">
        <v>1301</v>
      </c>
      <c r="K5" s="243" t="s">
        <v>113</v>
      </c>
      <c r="L5" s="243" t="s">
        <v>114</v>
      </c>
      <c r="M5" s="243" t="s">
        <v>116</v>
      </c>
      <c r="N5" s="240" t="s">
        <v>117</v>
      </c>
      <c r="O5" s="240"/>
      <c r="P5" s="240"/>
      <c r="Q5" s="240"/>
      <c r="R5" s="240"/>
      <c r="S5" s="240"/>
      <c r="T5" s="240"/>
      <c r="U5" s="240"/>
      <c r="V5" s="240"/>
      <c r="W5" s="241" t="s">
        <v>131</v>
      </c>
      <c r="X5" s="246" t="s">
        <v>132</v>
      </c>
      <c r="Y5" s="243" t="s">
        <v>122</v>
      </c>
    </row>
    <row r="6" spans="1:25" s="10" customFormat="1" ht="24.75" customHeight="1" x14ac:dyDescent="0.3">
      <c r="A6" s="240"/>
      <c r="B6" s="240"/>
      <c r="C6" s="240"/>
      <c r="D6" s="240"/>
      <c r="E6" s="242"/>
      <c r="F6" s="242"/>
      <c r="G6" s="240"/>
      <c r="H6" s="40" t="s">
        <v>1300</v>
      </c>
      <c r="I6" s="37" t="s">
        <v>252</v>
      </c>
      <c r="J6" s="248"/>
      <c r="K6" s="243"/>
      <c r="L6" s="243"/>
      <c r="M6" s="243"/>
      <c r="N6" s="37" t="s">
        <v>109</v>
      </c>
      <c r="O6" s="37" t="s">
        <v>560</v>
      </c>
      <c r="P6" s="37" t="s">
        <v>123</v>
      </c>
      <c r="Q6" s="37" t="s">
        <v>125</v>
      </c>
      <c r="R6" s="37" t="s">
        <v>126</v>
      </c>
      <c r="S6" s="37" t="s">
        <v>127</v>
      </c>
      <c r="T6" s="37" t="s">
        <v>128</v>
      </c>
      <c r="U6" s="37" t="s">
        <v>130</v>
      </c>
      <c r="V6" s="37" t="s">
        <v>657</v>
      </c>
      <c r="W6" s="242"/>
      <c r="X6" s="247"/>
      <c r="Y6" s="243"/>
    </row>
    <row r="7" spans="1:25" s="16" customFormat="1" ht="24.75" customHeight="1" x14ac:dyDescent="0.3">
      <c r="A7" s="11">
        <v>1</v>
      </c>
      <c r="B7" s="11" t="s">
        <v>133</v>
      </c>
      <c r="C7" s="11" t="s">
        <v>134</v>
      </c>
      <c r="D7" s="11" t="s">
        <v>7</v>
      </c>
      <c r="E7" s="11" t="s">
        <v>401</v>
      </c>
      <c r="F7" s="27" t="s">
        <v>293</v>
      </c>
      <c r="G7" s="12" t="s">
        <v>164</v>
      </c>
      <c r="H7" s="31">
        <v>147</v>
      </c>
      <c r="I7" s="31">
        <v>574</v>
      </c>
      <c r="J7" s="32" t="s">
        <v>91</v>
      </c>
      <c r="K7" s="12" t="s">
        <v>620</v>
      </c>
      <c r="L7" s="12">
        <v>200</v>
      </c>
      <c r="M7" s="12" t="s">
        <v>621</v>
      </c>
      <c r="N7" s="12" t="s">
        <v>178</v>
      </c>
      <c r="O7" s="12" t="s">
        <v>8</v>
      </c>
      <c r="P7" s="12" t="s">
        <v>83</v>
      </c>
      <c r="Q7" s="11" t="s">
        <v>81</v>
      </c>
      <c r="R7" s="12">
        <v>200</v>
      </c>
      <c r="S7" s="14" t="s">
        <v>658</v>
      </c>
      <c r="T7" s="12" t="s">
        <v>9</v>
      </c>
      <c r="U7" s="12">
        <v>2500</v>
      </c>
      <c r="V7" s="12" t="s">
        <v>10</v>
      </c>
      <c r="W7" s="11" t="s">
        <v>25</v>
      </c>
      <c r="X7" s="11" t="s">
        <v>25</v>
      </c>
      <c r="Y7" s="15"/>
    </row>
    <row r="8" spans="1:25" s="16" customFormat="1" ht="24.75" customHeight="1" x14ac:dyDescent="0.3">
      <c r="A8" s="11">
        <v>2</v>
      </c>
      <c r="B8" s="11" t="s">
        <v>133</v>
      </c>
      <c r="C8" s="11" t="s">
        <v>134</v>
      </c>
      <c r="D8" s="17" t="s">
        <v>41</v>
      </c>
      <c r="E8" s="17" t="s">
        <v>402</v>
      </c>
      <c r="F8" s="27" t="s">
        <v>404</v>
      </c>
      <c r="G8" s="12" t="s">
        <v>164</v>
      </c>
      <c r="H8" s="31">
        <v>147</v>
      </c>
      <c r="I8" s="31">
        <v>574</v>
      </c>
      <c r="J8" s="33" t="s">
        <v>91</v>
      </c>
      <c r="K8" s="12" t="s">
        <v>513</v>
      </c>
      <c r="L8" s="12">
        <v>40</v>
      </c>
      <c r="M8" s="14" t="s">
        <v>623</v>
      </c>
      <c r="N8" s="12" t="s">
        <v>178</v>
      </c>
      <c r="O8" s="14" t="s">
        <v>0</v>
      </c>
      <c r="P8" s="12" t="s">
        <v>92</v>
      </c>
      <c r="Q8" s="11" t="s">
        <v>81</v>
      </c>
      <c r="R8" s="12">
        <v>40</v>
      </c>
      <c r="S8" s="14" t="s">
        <v>565</v>
      </c>
      <c r="T8" s="14" t="s">
        <v>3</v>
      </c>
      <c r="U8" s="14">
        <v>2500</v>
      </c>
      <c r="V8" s="14" t="s">
        <v>62</v>
      </c>
      <c r="W8" s="11" t="s">
        <v>93</v>
      </c>
      <c r="X8" s="11" t="s">
        <v>93</v>
      </c>
      <c r="Y8" s="15"/>
    </row>
    <row r="9" spans="1:25" s="24" customFormat="1" ht="24.75" customHeight="1" x14ac:dyDescent="0.3">
      <c r="A9" s="11">
        <v>3</v>
      </c>
      <c r="B9" s="11" t="s">
        <v>133</v>
      </c>
      <c r="C9" s="11" t="s">
        <v>134</v>
      </c>
      <c r="D9" s="17" t="s">
        <v>41</v>
      </c>
      <c r="E9" s="17" t="s">
        <v>403</v>
      </c>
      <c r="F9" s="27" t="s">
        <v>405</v>
      </c>
      <c r="G9" s="12" t="s">
        <v>164</v>
      </c>
      <c r="H9" s="31">
        <v>147</v>
      </c>
      <c r="I9" s="31">
        <v>574</v>
      </c>
      <c r="J9" s="33" t="s">
        <v>91</v>
      </c>
      <c r="K9" s="12" t="s">
        <v>513</v>
      </c>
      <c r="L9" s="12">
        <v>40</v>
      </c>
      <c r="M9" s="14" t="s">
        <v>623</v>
      </c>
      <c r="N9" s="12" t="s">
        <v>178</v>
      </c>
      <c r="O9" s="14" t="s">
        <v>0</v>
      </c>
      <c r="P9" s="12" t="s">
        <v>92</v>
      </c>
      <c r="Q9" s="11" t="s">
        <v>81</v>
      </c>
      <c r="R9" s="12">
        <v>40</v>
      </c>
      <c r="S9" s="14" t="s">
        <v>565</v>
      </c>
      <c r="T9" s="14" t="s">
        <v>3</v>
      </c>
      <c r="U9" s="14">
        <v>2500</v>
      </c>
      <c r="V9" s="14" t="s">
        <v>62</v>
      </c>
      <c r="W9" s="11" t="s">
        <v>93</v>
      </c>
      <c r="X9" s="11" t="s">
        <v>93</v>
      </c>
      <c r="Y9" s="15"/>
    </row>
    <row r="10" spans="1:25" s="16" customFormat="1" ht="24.75" customHeight="1" x14ac:dyDescent="0.3">
      <c r="A10" s="11">
        <v>4</v>
      </c>
      <c r="B10" s="11" t="s">
        <v>133</v>
      </c>
      <c r="C10" s="11" t="s">
        <v>134</v>
      </c>
      <c r="D10" s="11" t="s">
        <v>7</v>
      </c>
      <c r="E10" s="11" t="s">
        <v>419</v>
      </c>
      <c r="F10" s="27" t="s">
        <v>703</v>
      </c>
      <c r="G10" s="12" t="s">
        <v>164</v>
      </c>
      <c r="H10" s="31">
        <v>147</v>
      </c>
      <c r="I10" s="31">
        <v>574</v>
      </c>
      <c r="J10" s="32" t="s">
        <v>91</v>
      </c>
      <c r="K10" s="12" t="s">
        <v>620</v>
      </c>
      <c r="L10" s="12">
        <v>150</v>
      </c>
      <c r="M10" s="12" t="s">
        <v>621</v>
      </c>
      <c r="N10" s="12" t="s">
        <v>178</v>
      </c>
      <c r="O10" s="12" t="s">
        <v>8</v>
      </c>
      <c r="P10" s="12" t="s">
        <v>83</v>
      </c>
      <c r="Q10" s="11" t="s">
        <v>81</v>
      </c>
      <c r="R10" s="12">
        <v>150</v>
      </c>
      <c r="S10" s="14" t="s">
        <v>658</v>
      </c>
      <c r="T10" s="12" t="s">
        <v>9</v>
      </c>
      <c r="U10" s="12">
        <v>2500</v>
      </c>
      <c r="V10" s="12" t="s">
        <v>10</v>
      </c>
      <c r="W10" s="11" t="s">
        <v>25</v>
      </c>
      <c r="X10" s="11" t="s">
        <v>25</v>
      </c>
      <c r="Y10" s="15"/>
    </row>
    <row r="11" spans="1:25" s="16" customFormat="1" ht="24.75" customHeight="1" x14ac:dyDescent="0.3">
      <c r="A11" s="11">
        <v>5</v>
      </c>
      <c r="B11" s="11" t="s">
        <v>133</v>
      </c>
      <c r="C11" s="11" t="s">
        <v>134</v>
      </c>
      <c r="D11" s="17" t="s">
        <v>41</v>
      </c>
      <c r="E11" s="17" t="s">
        <v>406</v>
      </c>
      <c r="F11" s="27" t="s">
        <v>408</v>
      </c>
      <c r="G11" s="12" t="s">
        <v>164</v>
      </c>
      <c r="H11" s="31">
        <v>147</v>
      </c>
      <c r="I11" s="31">
        <v>574</v>
      </c>
      <c r="J11" s="33" t="s">
        <v>91</v>
      </c>
      <c r="K11" s="12" t="s">
        <v>513</v>
      </c>
      <c r="L11" s="12">
        <v>40</v>
      </c>
      <c r="M11" s="14" t="s">
        <v>623</v>
      </c>
      <c r="N11" s="12" t="s">
        <v>178</v>
      </c>
      <c r="O11" s="14" t="s">
        <v>0</v>
      </c>
      <c r="P11" s="12" t="s">
        <v>92</v>
      </c>
      <c r="Q11" s="11" t="s">
        <v>81</v>
      </c>
      <c r="R11" s="12">
        <v>40</v>
      </c>
      <c r="S11" s="14" t="s">
        <v>565</v>
      </c>
      <c r="T11" s="14" t="s">
        <v>3</v>
      </c>
      <c r="U11" s="14">
        <v>2500</v>
      </c>
      <c r="V11" s="14" t="s">
        <v>62</v>
      </c>
      <c r="W11" s="11" t="s">
        <v>93</v>
      </c>
      <c r="X11" s="11" t="s">
        <v>93</v>
      </c>
      <c r="Y11" s="15"/>
    </row>
    <row r="12" spans="1:25" s="24" customFormat="1" ht="24.75" customHeight="1" x14ac:dyDescent="0.3">
      <c r="A12" s="11">
        <v>6</v>
      </c>
      <c r="B12" s="11" t="s">
        <v>133</v>
      </c>
      <c r="C12" s="11" t="s">
        <v>134</v>
      </c>
      <c r="D12" s="17" t="s">
        <v>41</v>
      </c>
      <c r="E12" s="17" t="s">
        <v>407</v>
      </c>
      <c r="F12" s="27" t="s">
        <v>409</v>
      </c>
      <c r="G12" s="12" t="s">
        <v>164</v>
      </c>
      <c r="H12" s="31">
        <v>147</v>
      </c>
      <c r="I12" s="31">
        <v>574</v>
      </c>
      <c r="J12" s="33" t="s">
        <v>91</v>
      </c>
      <c r="K12" s="12" t="s">
        <v>513</v>
      </c>
      <c r="L12" s="12">
        <v>40</v>
      </c>
      <c r="M12" s="14" t="s">
        <v>623</v>
      </c>
      <c r="N12" s="12" t="s">
        <v>178</v>
      </c>
      <c r="O12" s="14" t="s">
        <v>0</v>
      </c>
      <c r="P12" s="12" t="s">
        <v>92</v>
      </c>
      <c r="Q12" s="11" t="s">
        <v>81</v>
      </c>
      <c r="R12" s="12">
        <v>40</v>
      </c>
      <c r="S12" s="14" t="s">
        <v>565</v>
      </c>
      <c r="T12" s="14" t="s">
        <v>3</v>
      </c>
      <c r="U12" s="14">
        <v>2500</v>
      </c>
      <c r="V12" s="14" t="s">
        <v>62</v>
      </c>
      <c r="W12" s="11" t="s">
        <v>93</v>
      </c>
      <c r="X12" s="11" t="s">
        <v>93</v>
      </c>
      <c r="Y12" s="15"/>
    </row>
    <row r="13" spans="1:25" s="24" customFormat="1" ht="24.75" customHeight="1" x14ac:dyDescent="0.3">
      <c r="A13" s="11">
        <v>7</v>
      </c>
      <c r="B13" s="11" t="s">
        <v>133</v>
      </c>
      <c r="C13" s="11" t="s">
        <v>134</v>
      </c>
      <c r="D13" s="11" t="s">
        <v>7</v>
      </c>
      <c r="E13" s="11" t="s">
        <v>420</v>
      </c>
      <c r="F13" s="27" t="s">
        <v>294</v>
      </c>
      <c r="G13" s="12" t="s">
        <v>164</v>
      </c>
      <c r="H13" s="31">
        <v>147</v>
      </c>
      <c r="I13" s="31">
        <v>574</v>
      </c>
      <c r="J13" s="32" t="s">
        <v>91</v>
      </c>
      <c r="K13" s="12" t="s">
        <v>620</v>
      </c>
      <c r="L13" s="12">
        <v>150</v>
      </c>
      <c r="M13" s="12" t="s">
        <v>621</v>
      </c>
      <c r="N13" s="12" t="s">
        <v>178</v>
      </c>
      <c r="O13" s="12" t="s">
        <v>8</v>
      </c>
      <c r="P13" s="12" t="s">
        <v>83</v>
      </c>
      <c r="Q13" s="11" t="s">
        <v>81</v>
      </c>
      <c r="R13" s="12">
        <v>150</v>
      </c>
      <c r="S13" s="14" t="s">
        <v>658</v>
      </c>
      <c r="T13" s="12" t="s">
        <v>9</v>
      </c>
      <c r="U13" s="12">
        <v>2500</v>
      </c>
      <c r="V13" s="12" t="s">
        <v>10</v>
      </c>
      <c r="W13" s="11" t="s">
        <v>25</v>
      </c>
      <c r="X13" s="11" t="s">
        <v>25</v>
      </c>
      <c r="Y13" s="15"/>
    </row>
    <row r="14" spans="1:25" s="16" customFormat="1" ht="24.75" customHeight="1" x14ac:dyDescent="0.3">
      <c r="A14" s="11">
        <v>8</v>
      </c>
      <c r="B14" s="11" t="s">
        <v>133</v>
      </c>
      <c r="C14" s="11" t="s">
        <v>134</v>
      </c>
      <c r="D14" s="17" t="s">
        <v>41</v>
      </c>
      <c r="E14" s="17" t="s">
        <v>410</v>
      </c>
      <c r="F14" s="27" t="s">
        <v>414</v>
      </c>
      <c r="G14" s="12" t="s">
        <v>164</v>
      </c>
      <c r="H14" s="31">
        <v>147</v>
      </c>
      <c r="I14" s="31">
        <v>574</v>
      </c>
      <c r="J14" s="33" t="s">
        <v>91</v>
      </c>
      <c r="K14" s="12" t="s">
        <v>513</v>
      </c>
      <c r="L14" s="12">
        <v>40</v>
      </c>
      <c r="M14" s="14" t="s">
        <v>623</v>
      </c>
      <c r="N14" s="12" t="s">
        <v>178</v>
      </c>
      <c r="O14" s="14" t="s">
        <v>0</v>
      </c>
      <c r="P14" s="12" t="s">
        <v>92</v>
      </c>
      <c r="Q14" s="11" t="s">
        <v>81</v>
      </c>
      <c r="R14" s="12">
        <v>40</v>
      </c>
      <c r="S14" s="14" t="s">
        <v>565</v>
      </c>
      <c r="T14" s="14" t="s">
        <v>3</v>
      </c>
      <c r="U14" s="14">
        <v>2500</v>
      </c>
      <c r="V14" s="14" t="s">
        <v>62</v>
      </c>
      <c r="W14" s="11" t="s">
        <v>93</v>
      </c>
      <c r="X14" s="11" t="s">
        <v>93</v>
      </c>
      <c r="Y14" s="15"/>
    </row>
    <row r="15" spans="1:25" s="24" customFormat="1" ht="24.75" customHeight="1" x14ac:dyDescent="0.3">
      <c r="A15" s="11">
        <v>9</v>
      </c>
      <c r="B15" s="11" t="s">
        <v>133</v>
      </c>
      <c r="C15" s="11" t="s">
        <v>134</v>
      </c>
      <c r="D15" s="17" t="s">
        <v>41</v>
      </c>
      <c r="E15" s="17" t="s">
        <v>411</v>
      </c>
      <c r="F15" s="27" t="s">
        <v>415</v>
      </c>
      <c r="G15" s="12" t="s">
        <v>164</v>
      </c>
      <c r="H15" s="31">
        <v>147</v>
      </c>
      <c r="I15" s="31">
        <v>574</v>
      </c>
      <c r="J15" s="33" t="s">
        <v>91</v>
      </c>
      <c r="K15" s="12" t="s">
        <v>513</v>
      </c>
      <c r="L15" s="12">
        <v>40</v>
      </c>
      <c r="M15" s="14" t="s">
        <v>623</v>
      </c>
      <c r="N15" s="12" t="s">
        <v>178</v>
      </c>
      <c r="O15" s="14" t="s">
        <v>0</v>
      </c>
      <c r="P15" s="12" t="s">
        <v>92</v>
      </c>
      <c r="Q15" s="11" t="s">
        <v>81</v>
      </c>
      <c r="R15" s="12">
        <v>40</v>
      </c>
      <c r="S15" s="14" t="s">
        <v>565</v>
      </c>
      <c r="T15" s="14" t="s">
        <v>3</v>
      </c>
      <c r="U15" s="14">
        <v>2500</v>
      </c>
      <c r="V15" s="14" t="s">
        <v>62</v>
      </c>
      <c r="W15" s="11" t="s">
        <v>93</v>
      </c>
      <c r="X15" s="11" t="s">
        <v>93</v>
      </c>
      <c r="Y15" s="15"/>
    </row>
    <row r="16" spans="1:25" s="16" customFormat="1" ht="24.75" customHeight="1" x14ac:dyDescent="0.3">
      <c r="A16" s="11">
        <v>10</v>
      </c>
      <c r="B16" s="11" t="s">
        <v>133</v>
      </c>
      <c r="C16" s="11" t="s">
        <v>134</v>
      </c>
      <c r="D16" s="17" t="s">
        <v>41</v>
      </c>
      <c r="E16" s="17" t="s">
        <v>412</v>
      </c>
      <c r="F16" s="27" t="s">
        <v>416</v>
      </c>
      <c r="G16" s="12" t="s">
        <v>164</v>
      </c>
      <c r="H16" s="31">
        <v>147</v>
      </c>
      <c r="I16" s="31">
        <v>574</v>
      </c>
      <c r="J16" s="33" t="s">
        <v>91</v>
      </c>
      <c r="K16" s="12" t="s">
        <v>513</v>
      </c>
      <c r="L16" s="12">
        <v>40</v>
      </c>
      <c r="M16" s="14" t="s">
        <v>623</v>
      </c>
      <c r="N16" s="12" t="s">
        <v>178</v>
      </c>
      <c r="O16" s="14" t="s">
        <v>0</v>
      </c>
      <c r="P16" s="12" t="s">
        <v>92</v>
      </c>
      <c r="Q16" s="11" t="s">
        <v>81</v>
      </c>
      <c r="R16" s="12">
        <v>40</v>
      </c>
      <c r="S16" s="14" t="s">
        <v>565</v>
      </c>
      <c r="T16" s="14" t="s">
        <v>3</v>
      </c>
      <c r="U16" s="14">
        <v>2500</v>
      </c>
      <c r="V16" s="14" t="s">
        <v>62</v>
      </c>
      <c r="W16" s="11" t="s">
        <v>93</v>
      </c>
      <c r="X16" s="11" t="s">
        <v>93</v>
      </c>
      <c r="Y16" s="15"/>
    </row>
    <row r="17" spans="1:25" s="24" customFormat="1" ht="24.75" customHeight="1" x14ac:dyDescent="0.3">
      <c r="A17" s="11">
        <v>11</v>
      </c>
      <c r="B17" s="11" t="s">
        <v>133</v>
      </c>
      <c r="C17" s="11" t="s">
        <v>134</v>
      </c>
      <c r="D17" s="17" t="s">
        <v>41</v>
      </c>
      <c r="E17" s="17" t="s">
        <v>413</v>
      </c>
      <c r="F17" s="27" t="s">
        <v>417</v>
      </c>
      <c r="G17" s="12" t="s">
        <v>164</v>
      </c>
      <c r="H17" s="31">
        <v>147</v>
      </c>
      <c r="I17" s="31">
        <v>574</v>
      </c>
      <c r="J17" s="33" t="s">
        <v>91</v>
      </c>
      <c r="K17" s="12" t="s">
        <v>513</v>
      </c>
      <c r="L17" s="12">
        <v>40</v>
      </c>
      <c r="M17" s="14" t="s">
        <v>623</v>
      </c>
      <c r="N17" s="12" t="s">
        <v>178</v>
      </c>
      <c r="O17" s="14" t="s">
        <v>0</v>
      </c>
      <c r="P17" s="12" t="s">
        <v>92</v>
      </c>
      <c r="Q17" s="11" t="s">
        <v>81</v>
      </c>
      <c r="R17" s="12">
        <v>40</v>
      </c>
      <c r="S17" s="14" t="s">
        <v>565</v>
      </c>
      <c r="T17" s="14" t="s">
        <v>3</v>
      </c>
      <c r="U17" s="14">
        <v>2500</v>
      </c>
      <c r="V17" s="14" t="s">
        <v>62</v>
      </c>
      <c r="W17" s="11" t="s">
        <v>93</v>
      </c>
      <c r="X17" s="11" t="s">
        <v>93</v>
      </c>
      <c r="Y17" s="15"/>
    </row>
    <row r="18" spans="1:25" s="16" customFormat="1" ht="24.75" customHeight="1" x14ac:dyDescent="0.3">
      <c r="A18" s="11">
        <v>12</v>
      </c>
      <c r="B18" s="11" t="s">
        <v>135</v>
      </c>
      <c r="C18" s="11" t="s">
        <v>134</v>
      </c>
      <c r="D18" s="11" t="s">
        <v>7</v>
      </c>
      <c r="E18" s="11" t="s">
        <v>423</v>
      </c>
      <c r="F18" s="27" t="s">
        <v>295</v>
      </c>
      <c r="G18" s="12" t="s">
        <v>164</v>
      </c>
      <c r="H18" s="31">
        <v>147</v>
      </c>
      <c r="I18" s="31">
        <v>574</v>
      </c>
      <c r="J18" s="32" t="s">
        <v>91</v>
      </c>
      <c r="K18" s="12" t="s">
        <v>620</v>
      </c>
      <c r="L18" s="12">
        <v>200</v>
      </c>
      <c r="M18" s="12" t="s">
        <v>621</v>
      </c>
      <c r="N18" s="12" t="s">
        <v>178</v>
      </c>
      <c r="O18" s="12" t="s">
        <v>8</v>
      </c>
      <c r="P18" s="12" t="s">
        <v>83</v>
      </c>
      <c r="Q18" s="11" t="s">
        <v>81</v>
      </c>
      <c r="R18" s="12">
        <v>200</v>
      </c>
      <c r="S18" s="14" t="s">
        <v>658</v>
      </c>
      <c r="T18" s="12" t="s">
        <v>9</v>
      </c>
      <c r="U18" s="12">
        <v>2500</v>
      </c>
      <c r="V18" s="12" t="s">
        <v>10</v>
      </c>
      <c r="W18" s="11" t="s">
        <v>25</v>
      </c>
      <c r="X18" s="11" t="s">
        <v>25</v>
      </c>
      <c r="Y18" s="15"/>
    </row>
    <row r="19" spans="1:25" s="16" customFormat="1" ht="24.75" customHeight="1" x14ac:dyDescent="0.3">
      <c r="A19" s="11">
        <v>13</v>
      </c>
      <c r="B19" s="11" t="s">
        <v>135</v>
      </c>
      <c r="C19" s="11" t="s">
        <v>134</v>
      </c>
      <c r="D19" s="17" t="s">
        <v>41</v>
      </c>
      <c r="E19" s="17" t="s">
        <v>421</v>
      </c>
      <c r="F19" s="27" t="s">
        <v>424</v>
      </c>
      <c r="G19" s="12" t="s">
        <v>164</v>
      </c>
      <c r="H19" s="31">
        <v>147</v>
      </c>
      <c r="I19" s="31">
        <v>574</v>
      </c>
      <c r="J19" s="33" t="s">
        <v>91</v>
      </c>
      <c r="K19" s="12" t="s">
        <v>513</v>
      </c>
      <c r="L19" s="12">
        <v>40</v>
      </c>
      <c r="M19" s="14" t="s">
        <v>623</v>
      </c>
      <c r="N19" s="12" t="s">
        <v>178</v>
      </c>
      <c r="O19" s="14" t="s">
        <v>0</v>
      </c>
      <c r="P19" s="12" t="s">
        <v>92</v>
      </c>
      <c r="Q19" s="11" t="s">
        <v>81</v>
      </c>
      <c r="R19" s="12">
        <v>40</v>
      </c>
      <c r="S19" s="14" t="s">
        <v>565</v>
      </c>
      <c r="T19" s="14" t="s">
        <v>3</v>
      </c>
      <c r="U19" s="14">
        <v>2500</v>
      </c>
      <c r="V19" s="14" t="s">
        <v>62</v>
      </c>
      <c r="W19" s="11" t="s">
        <v>93</v>
      </c>
      <c r="X19" s="11" t="s">
        <v>93</v>
      </c>
      <c r="Y19" s="15"/>
    </row>
    <row r="20" spans="1:25" s="24" customFormat="1" ht="24.75" customHeight="1" x14ac:dyDescent="0.3">
      <c r="A20" s="11">
        <v>14</v>
      </c>
      <c r="B20" s="11" t="s">
        <v>135</v>
      </c>
      <c r="C20" s="11" t="s">
        <v>134</v>
      </c>
      <c r="D20" s="17" t="s">
        <v>41</v>
      </c>
      <c r="E20" s="17" t="s">
        <v>422</v>
      </c>
      <c r="F20" s="27" t="s">
        <v>425</v>
      </c>
      <c r="G20" s="12" t="s">
        <v>164</v>
      </c>
      <c r="H20" s="31">
        <v>147</v>
      </c>
      <c r="I20" s="31">
        <v>574</v>
      </c>
      <c r="J20" s="33" t="s">
        <v>91</v>
      </c>
      <c r="K20" s="12" t="s">
        <v>513</v>
      </c>
      <c r="L20" s="12">
        <v>40</v>
      </c>
      <c r="M20" s="14" t="s">
        <v>623</v>
      </c>
      <c r="N20" s="12" t="s">
        <v>178</v>
      </c>
      <c r="O20" s="14" t="s">
        <v>0</v>
      </c>
      <c r="P20" s="12" t="s">
        <v>92</v>
      </c>
      <c r="Q20" s="11" t="s">
        <v>81</v>
      </c>
      <c r="R20" s="12">
        <v>40</v>
      </c>
      <c r="S20" s="14" t="s">
        <v>565</v>
      </c>
      <c r="T20" s="14" t="s">
        <v>3</v>
      </c>
      <c r="U20" s="14">
        <v>2500</v>
      </c>
      <c r="V20" s="14" t="s">
        <v>62</v>
      </c>
      <c r="W20" s="11" t="s">
        <v>93</v>
      </c>
      <c r="X20" s="11" t="s">
        <v>93</v>
      </c>
      <c r="Y20" s="15"/>
    </row>
    <row r="21" spans="1:25" s="16" customFormat="1" ht="24.75" customHeight="1" x14ac:dyDescent="0.3">
      <c r="A21" s="11">
        <v>15</v>
      </c>
      <c r="B21" s="11" t="s">
        <v>135</v>
      </c>
      <c r="C21" s="11" t="s">
        <v>134</v>
      </c>
      <c r="D21" s="11" t="s">
        <v>7</v>
      </c>
      <c r="E21" s="11" t="s">
        <v>438</v>
      </c>
      <c r="F21" s="27" t="s">
        <v>296</v>
      </c>
      <c r="G21" s="12" t="s">
        <v>164</v>
      </c>
      <c r="H21" s="31">
        <v>147</v>
      </c>
      <c r="I21" s="31">
        <v>574</v>
      </c>
      <c r="J21" s="32" t="s">
        <v>91</v>
      </c>
      <c r="K21" s="12" t="s">
        <v>620</v>
      </c>
      <c r="L21" s="12">
        <v>200</v>
      </c>
      <c r="M21" s="12" t="s">
        <v>621</v>
      </c>
      <c r="N21" s="12" t="s">
        <v>178</v>
      </c>
      <c r="O21" s="12" t="s">
        <v>8</v>
      </c>
      <c r="P21" s="12" t="s">
        <v>83</v>
      </c>
      <c r="Q21" s="11" t="s">
        <v>81</v>
      </c>
      <c r="R21" s="12">
        <v>200</v>
      </c>
      <c r="S21" s="14" t="s">
        <v>658</v>
      </c>
      <c r="T21" s="12" t="s">
        <v>9</v>
      </c>
      <c r="U21" s="12">
        <v>2500</v>
      </c>
      <c r="V21" s="12" t="s">
        <v>10</v>
      </c>
      <c r="W21" s="11" t="s">
        <v>25</v>
      </c>
      <c r="X21" s="11" t="s">
        <v>25</v>
      </c>
      <c r="Y21" s="15"/>
    </row>
    <row r="22" spans="1:25" s="16" customFormat="1" ht="24.75" customHeight="1" x14ac:dyDescent="0.3">
      <c r="A22" s="11">
        <v>16</v>
      </c>
      <c r="B22" s="11" t="s">
        <v>135</v>
      </c>
      <c r="C22" s="11" t="s">
        <v>134</v>
      </c>
      <c r="D22" s="17" t="s">
        <v>41</v>
      </c>
      <c r="E22" s="17" t="s">
        <v>432</v>
      </c>
      <c r="F22" s="27" t="s">
        <v>426</v>
      </c>
      <c r="G22" s="12" t="s">
        <v>164</v>
      </c>
      <c r="H22" s="31">
        <v>147</v>
      </c>
      <c r="I22" s="31">
        <v>574</v>
      </c>
      <c r="J22" s="33" t="s">
        <v>91</v>
      </c>
      <c r="K22" s="12" t="s">
        <v>513</v>
      </c>
      <c r="L22" s="12">
        <v>40</v>
      </c>
      <c r="M22" s="14" t="s">
        <v>623</v>
      </c>
      <c r="N22" s="12" t="s">
        <v>178</v>
      </c>
      <c r="O22" s="14" t="s">
        <v>0</v>
      </c>
      <c r="P22" s="12" t="s">
        <v>92</v>
      </c>
      <c r="Q22" s="11" t="s">
        <v>81</v>
      </c>
      <c r="R22" s="12">
        <v>40</v>
      </c>
      <c r="S22" s="14" t="s">
        <v>565</v>
      </c>
      <c r="T22" s="14" t="s">
        <v>3</v>
      </c>
      <c r="U22" s="14">
        <v>2500</v>
      </c>
      <c r="V22" s="14" t="s">
        <v>62</v>
      </c>
      <c r="W22" s="11" t="s">
        <v>93</v>
      </c>
      <c r="X22" s="11" t="s">
        <v>93</v>
      </c>
      <c r="Y22" s="15"/>
    </row>
    <row r="23" spans="1:25" s="24" customFormat="1" ht="24.75" customHeight="1" x14ac:dyDescent="0.3">
      <c r="A23" s="11">
        <v>17</v>
      </c>
      <c r="B23" s="11" t="s">
        <v>135</v>
      </c>
      <c r="C23" s="11" t="s">
        <v>134</v>
      </c>
      <c r="D23" s="17" t="s">
        <v>41</v>
      </c>
      <c r="E23" s="17" t="s">
        <v>433</v>
      </c>
      <c r="F23" s="27" t="s">
        <v>427</v>
      </c>
      <c r="G23" s="12" t="s">
        <v>164</v>
      </c>
      <c r="H23" s="31">
        <v>147</v>
      </c>
      <c r="I23" s="31">
        <v>574</v>
      </c>
      <c r="J23" s="33" t="s">
        <v>91</v>
      </c>
      <c r="K23" s="12" t="s">
        <v>513</v>
      </c>
      <c r="L23" s="12">
        <v>40</v>
      </c>
      <c r="M23" s="14" t="s">
        <v>623</v>
      </c>
      <c r="N23" s="12" t="s">
        <v>178</v>
      </c>
      <c r="O23" s="14" t="s">
        <v>0</v>
      </c>
      <c r="P23" s="12" t="s">
        <v>92</v>
      </c>
      <c r="Q23" s="11" t="s">
        <v>81</v>
      </c>
      <c r="R23" s="12">
        <v>40</v>
      </c>
      <c r="S23" s="14" t="s">
        <v>565</v>
      </c>
      <c r="T23" s="14" t="s">
        <v>3</v>
      </c>
      <c r="U23" s="14">
        <v>2500</v>
      </c>
      <c r="V23" s="14" t="s">
        <v>62</v>
      </c>
      <c r="W23" s="11" t="s">
        <v>93</v>
      </c>
      <c r="X23" s="11" t="s">
        <v>93</v>
      </c>
      <c r="Y23" s="15"/>
    </row>
    <row r="24" spans="1:25" s="16" customFormat="1" ht="24.75" customHeight="1" x14ac:dyDescent="0.3">
      <c r="A24" s="11">
        <v>18</v>
      </c>
      <c r="B24" s="11" t="s">
        <v>135</v>
      </c>
      <c r="C24" s="11" t="s">
        <v>134</v>
      </c>
      <c r="D24" s="17" t="s">
        <v>41</v>
      </c>
      <c r="E24" s="17" t="s">
        <v>434</v>
      </c>
      <c r="F24" s="27" t="s">
        <v>428</v>
      </c>
      <c r="G24" s="12" t="s">
        <v>164</v>
      </c>
      <c r="H24" s="31">
        <v>147</v>
      </c>
      <c r="I24" s="31">
        <v>574</v>
      </c>
      <c r="J24" s="33" t="s">
        <v>91</v>
      </c>
      <c r="K24" s="12" t="s">
        <v>513</v>
      </c>
      <c r="L24" s="12">
        <v>40</v>
      </c>
      <c r="M24" s="14" t="s">
        <v>623</v>
      </c>
      <c r="N24" s="12" t="s">
        <v>178</v>
      </c>
      <c r="O24" s="14" t="s">
        <v>0</v>
      </c>
      <c r="P24" s="12" t="s">
        <v>92</v>
      </c>
      <c r="Q24" s="11" t="s">
        <v>81</v>
      </c>
      <c r="R24" s="12">
        <v>40</v>
      </c>
      <c r="S24" s="14" t="s">
        <v>565</v>
      </c>
      <c r="T24" s="14" t="s">
        <v>3</v>
      </c>
      <c r="U24" s="14">
        <v>2500</v>
      </c>
      <c r="V24" s="14" t="s">
        <v>62</v>
      </c>
      <c r="W24" s="11" t="s">
        <v>93</v>
      </c>
      <c r="X24" s="11" t="s">
        <v>93</v>
      </c>
      <c r="Y24" s="15"/>
    </row>
    <row r="25" spans="1:25" s="24" customFormat="1" ht="24.75" customHeight="1" x14ac:dyDescent="0.3">
      <c r="A25" s="11">
        <v>19</v>
      </c>
      <c r="B25" s="11" t="s">
        <v>135</v>
      </c>
      <c r="C25" s="11" t="s">
        <v>134</v>
      </c>
      <c r="D25" s="17" t="s">
        <v>41</v>
      </c>
      <c r="E25" s="17" t="s">
        <v>435</v>
      </c>
      <c r="F25" s="27" t="s">
        <v>429</v>
      </c>
      <c r="G25" s="12" t="s">
        <v>164</v>
      </c>
      <c r="H25" s="31">
        <v>147</v>
      </c>
      <c r="I25" s="31">
        <v>574</v>
      </c>
      <c r="J25" s="33" t="s">
        <v>91</v>
      </c>
      <c r="K25" s="12" t="s">
        <v>513</v>
      </c>
      <c r="L25" s="12">
        <v>40</v>
      </c>
      <c r="M25" s="14" t="s">
        <v>623</v>
      </c>
      <c r="N25" s="12" t="s">
        <v>178</v>
      </c>
      <c r="O25" s="14" t="s">
        <v>0</v>
      </c>
      <c r="P25" s="12" t="s">
        <v>92</v>
      </c>
      <c r="Q25" s="11" t="s">
        <v>81</v>
      </c>
      <c r="R25" s="12">
        <v>40</v>
      </c>
      <c r="S25" s="14" t="s">
        <v>565</v>
      </c>
      <c r="T25" s="14" t="s">
        <v>3</v>
      </c>
      <c r="U25" s="14">
        <v>2500</v>
      </c>
      <c r="V25" s="14" t="s">
        <v>62</v>
      </c>
      <c r="W25" s="11" t="s">
        <v>93</v>
      </c>
      <c r="X25" s="11" t="s">
        <v>93</v>
      </c>
      <c r="Y25" s="15"/>
    </row>
    <row r="26" spans="1:25" s="16" customFormat="1" ht="24.75" customHeight="1" x14ac:dyDescent="0.3">
      <c r="A26" s="11">
        <v>20</v>
      </c>
      <c r="B26" s="11" t="s">
        <v>135</v>
      </c>
      <c r="C26" s="11" t="s">
        <v>134</v>
      </c>
      <c r="D26" s="17" t="s">
        <v>41</v>
      </c>
      <c r="E26" s="17" t="s">
        <v>436</v>
      </c>
      <c r="F26" s="27" t="s">
        <v>430</v>
      </c>
      <c r="G26" s="12" t="s">
        <v>164</v>
      </c>
      <c r="H26" s="31">
        <v>147</v>
      </c>
      <c r="I26" s="31">
        <v>574</v>
      </c>
      <c r="J26" s="33" t="s">
        <v>91</v>
      </c>
      <c r="K26" s="12" t="s">
        <v>513</v>
      </c>
      <c r="L26" s="12">
        <v>40</v>
      </c>
      <c r="M26" s="14" t="s">
        <v>623</v>
      </c>
      <c r="N26" s="12" t="s">
        <v>178</v>
      </c>
      <c r="O26" s="14" t="s">
        <v>0</v>
      </c>
      <c r="P26" s="12" t="s">
        <v>92</v>
      </c>
      <c r="Q26" s="11" t="s">
        <v>81</v>
      </c>
      <c r="R26" s="12">
        <v>40</v>
      </c>
      <c r="S26" s="14" t="s">
        <v>565</v>
      </c>
      <c r="T26" s="14" t="s">
        <v>3</v>
      </c>
      <c r="U26" s="14">
        <v>2500</v>
      </c>
      <c r="V26" s="14" t="s">
        <v>62</v>
      </c>
      <c r="W26" s="11" t="s">
        <v>93</v>
      </c>
      <c r="X26" s="11" t="s">
        <v>93</v>
      </c>
      <c r="Y26" s="15"/>
    </row>
    <row r="27" spans="1:25" s="24" customFormat="1" ht="24.75" customHeight="1" x14ac:dyDescent="0.3">
      <c r="A27" s="11">
        <v>21</v>
      </c>
      <c r="B27" s="11" t="s">
        <v>135</v>
      </c>
      <c r="C27" s="11" t="s">
        <v>134</v>
      </c>
      <c r="D27" s="17" t="s">
        <v>41</v>
      </c>
      <c r="E27" s="17" t="s">
        <v>437</v>
      </c>
      <c r="F27" s="27" t="s">
        <v>431</v>
      </c>
      <c r="G27" s="12" t="s">
        <v>164</v>
      </c>
      <c r="H27" s="31">
        <v>147</v>
      </c>
      <c r="I27" s="31">
        <v>574</v>
      </c>
      <c r="J27" s="33" t="s">
        <v>91</v>
      </c>
      <c r="K27" s="12" t="s">
        <v>513</v>
      </c>
      <c r="L27" s="12">
        <v>40</v>
      </c>
      <c r="M27" s="14" t="s">
        <v>623</v>
      </c>
      <c r="N27" s="12" t="s">
        <v>178</v>
      </c>
      <c r="O27" s="14" t="s">
        <v>0</v>
      </c>
      <c r="P27" s="12" t="s">
        <v>92</v>
      </c>
      <c r="Q27" s="11" t="s">
        <v>81</v>
      </c>
      <c r="R27" s="12">
        <v>40</v>
      </c>
      <c r="S27" s="14" t="s">
        <v>565</v>
      </c>
      <c r="T27" s="14" t="s">
        <v>3</v>
      </c>
      <c r="U27" s="14">
        <v>2500</v>
      </c>
      <c r="V27" s="14" t="s">
        <v>62</v>
      </c>
      <c r="W27" s="11" t="s">
        <v>93</v>
      </c>
      <c r="X27" s="11" t="s">
        <v>93</v>
      </c>
      <c r="Y27" s="15"/>
    </row>
    <row r="28" spans="1:25" s="24" customFormat="1" ht="24.75" customHeight="1" x14ac:dyDescent="0.3">
      <c r="A28" s="11">
        <v>22</v>
      </c>
      <c r="B28" s="11" t="s">
        <v>136</v>
      </c>
      <c r="C28" s="11" t="s">
        <v>134</v>
      </c>
      <c r="D28" s="11" t="s">
        <v>7</v>
      </c>
      <c r="E28" s="11" t="s">
        <v>439</v>
      </c>
      <c r="F28" s="27" t="s">
        <v>297</v>
      </c>
      <c r="G28" s="12" t="s">
        <v>164</v>
      </c>
      <c r="H28" s="31">
        <v>147</v>
      </c>
      <c r="I28" s="31">
        <v>574</v>
      </c>
      <c r="J28" s="33" t="s">
        <v>91</v>
      </c>
      <c r="K28" s="14" t="s">
        <v>622</v>
      </c>
      <c r="L28" s="14">
        <v>200</v>
      </c>
      <c r="M28" s="14" t="s">
        <v>11</v>
      </c>
      <c r="N28" s="12" t="s">
        <v>178</v>
      </c>
      <c r="O28" s="14" t="s">
        <v>13</v>
      </c>
      <c r="P28" s="12" t="s">
        <v>83</v>
      </c>
      <c r="Q28" s="11" t="s">
        <v>81</v>
      </c>
      <c r="R28" s="12">
        <v>200</v>
      </c>
      <c r="S28" s="14" t="s">
        <v>2</v>
      </c>
      <c r="T28" s="14" t="s">
        <v>3</v>
      </c>
      <c r="U28" s="14">
        <v>2500</v>
      </c>
      <c r="V28" s="14" t="s">
        <v>4</v>
      </c>
      <c r="W28" s="11" t="s">
        <v>25</v>
      </c>
      <c r="X28" s="11" t="s">
        <v>25</v>
      </c>
      <c r="Y28" s="15"/>
    </row>
    <row r="29" spans="1:25" s="16" customFormat="1" ht="24.75" customHeight="1" x14ac:dyDescent="0.3">
      <c r="A29" s="11">
        <v>23</v>
      </c>
      <c r="B29" s="11" t="s">
        <v>136</v>
      </c>
      <c r="C29" s="11" t="s">
        <v>134</v>
      </c>
      <c r="D29" s="17" t="s">
        <v>41</v>
      </c>
      <c r="E29" s="17" t="s">
        <v>440</v>
      </c>
      <c r="F29" s="27" t="s">
        <v>441</v>
      </c>
      <c r="G29" s="12" t="s">
        <v>164</v>
      </c>
      <c r="H29" s="31">
        <v>147</v>
      </c>
      <c r="I29" s="31">
        <v>574</v>
      </c>
      <c r="J29" s="33" t="s">
        <v>91</v>
      </c>
      <c r="K29" s="12" t="s">
        <v>418</v>
      </c>
      <c r="L29" s="12">
        <v>25</v>
      </c>
      <c r="M29" s="12" t="s">
        <v>623</v>
      </c>
      <c r="N29" s="12" t="s">
        <v>178</v>
      </c>
      <c r="O29" s="14" t="s">
        <v>0</v>
      </c>
      <c r="P29" s="12" t="s">
        <v>92</v>
      </c>
      <c r="Q29" s="11" t="s">
        <v>81</v>
      </c>
      <c r="R29" s="12">
        <v>25</v>
      </c>
      <c r="S29" s="14" t="s">
        <v>565</v>
      </c>
      <c r="T29" s="14" t="s">
        <v>3</v>
      </c>
      <c r="U29" s="14">
        <v>2500</v>
      </c>
      <c r="V29" s="14" t="s">
        <v>62</v>
      </c>
      <c r="W29" s="11" t="s">
        <v>93</v>
      </c>
      <c r="X29" s="11" t="s">
        <v>93</v>
      </c>
      <c r="Y29" s="15"/>
    </row>
    <row r="30" spans="1:25" s="24" customFormat="1" ht="24.75" customHeight="1" x14ac:dyDescent="0.3">
      <c r="A30" s="11">
        <v>24</v>
      </c>
      <c r="B30" s="11" t="s">
        <v>136</v>
      </c>
      <c r="C30" s="11" t="s">
        <v>134</v>
      </c>
      <c r="D30" s="11" t="s">
        <v>7</v>
      </c>
      <c r="E30" s="11" t="s">
        <v>442</v>
      </c>
      <c r="F30" s="27" t="s">
        <v>298</v>
      </c>
      <c r="G30" s="12" t="s">
        <v>164</v>
      </c>
      <c r="H30" s="31">
        <v>147</v>
      </c>
      <c r="I30" s="31">
        <v>574</v>
      </c>
      <c r="J30" s="33" t="s">
        <v>91</v>
      </c>
      <c r="K30" s="14" t="s">
        <v>622</v>
      </c>
      <c r="L30" s="14">
        <v>400</v>
      </c>
      <c r="M30" s="14" t="s">
        <v>11</v>
      </c>
      <c r="N30" s="12" t="s">
        <v>178</v>
      </c>
      <c r="O30" s="14" t="s">
        <v>13</v>
      </c>
      <c r="P30" s="12" t="s">
        <v>83</v>
      </c>
      <c r="Q30" s="11" t="s">
        <v>81</v>
      </c>
      <c r="R30" s="12">
        <v>400</v>
      </c>
      <c r="S30" s="14" t="s">
        <v>2</v>
      </c>
      <c r="T30" s="14" t="s">
        <v>3</v>
      </c>
      <c r="U30" s="14">
        <v>2500</v>
      </c>
      <c r="V30" s="12" t="s">
        <v>4</v>
      </c>
      <c r="W30" s="11" t="s">
        <v>25</v>
      </c>
      <c r="X30" s="11" t="s">
        <v>25</v>
      </c>
      <c r="Y30" s="15"/>
    </row>
    <row r="31" spans="1:25" s="16" customFormat="1" ht="24.75" customHeight="1" x14ac:dyDescent="0.3">
      <c r="A31" s="11">
        <v>25</v>
      </c>
      <c r="B31" s="11" t="s">
        <v>136</v>
      </c>
      <c r="C31" s="11" t="s">
        <v>134</v>
      </c>
      <c r="D31" s="17" t="s">
        <v>41</v>
      </c>
      <c r="E31" s="17" t="s">
        <v>443</v>
      </c>
      <c r="F31" s="27" t="s">
        <v>446</v>
      </c>
      <c r="G31" s="12" t="s">
        <v>164</v>
      </c>
      <c r="H31" s="31">
        <v>147</v>
      </c>
      <c r="I31" s="31">
        <v>574</v>
      </c>
      <c r="J31" s="33" t="s">
        <v>91</v>
      </c>
      <c r="K31" s="12" t="s">
        <v>513</v>
      </c>
      <c r="L31" s="12">
        <v>40</v>
      </c>
      <c r="M31" s="14" t="s">
        <v>623</v>
      </c>
      <c r="N31" s="12" t="s">
        <v>178</v>
      </c>
      <c r="O31" s="14" t="s">
        <v>0</v>
      </c>
      <c r="P31" s="12" t="s">
        <v>92</v>
      </c>
      <c r="Q31" s="11" t="s">
        <v>81</v>
      </c>
      <c r="R31" s="12">
        <v>40</v>
      </c>
      <c r="S31" s="14" t="s">
        <v>565</v>
      </c>
      <c r="T31" s="14" t="s">
        <v>3</v>
      </c>
      <c r="U31" s="14">
        <v>2500</v>
      </c>
      <c r="V31" s="14" t="s">
        <v>62</v>
      </c>
      <c r="W31" s="11" t="s">
        <v>93</v>
      </c>
      <c r="X31" s="11" t="s">
        <v>93</v>
      </c>
      <c r="Y31" s="15"/>
    </row>
    <row r="32" spans="1:25" s="16" customFormat="1" ht="24.75" customHeight="1" x14ac:dyDescent="0.3">
      <c r="A32" s="11">
        <v>26</v>
      </c>
      <c r="B32" s="11" t="s">
        <v>136</v>
      </c>
      <c r="C32" s="11" t="s">
        <v>134</v>
      </c>
      <c r="D32" s="17" t="s">
        <v>41</v>
      </c>
      <c r="E32" s="17" t="s">
        <v>444</v>
      </c>
      <c r="F32" s="27" t="s">
        <v>447</v>
      </c>
      <c r="G32" s="12" t="s">
        <v>164</v>
      </c>
      <c r="H32" s="31">
        <v>147</v>
      </c>
      <c r="I32" s="31">
        <v>574</v>
      </c>
      <c r="J32" s="33" t="s">
        <v>91</v>
      </c>
      <c r="K32" s="12" t="s">
        <v>513</v>
      </c>
      <c r="L32" s="12">
        <v>40</v>
      </c>
      <c r="M32" s="14" t="s">
        <v>623</v>
      </c>
      <c r="N32" s="12" t="s">
        <v>178</v>
      </c>
      <c r="O32" s="14" t="s">
        <v>0</v>
      </c>
      <c r="P32" s="12" t="s">
        <v>92</v>
      </c>
      <c r="Q32" s="11" t="s">
        <v>81</v>
      </c>
      <c r="R32" s="12">
        <v>40</v>
      </c>
      <c r="S32" s="14" t="s">
        <v>565</v>
      </c>
      <c r="T32" s="14" t="s">
        <v>3</v>
      </c>
      <c r="U32" s="14">
        <v>2500</v>
      </c>
      <c r="V32" s="14" t="s">
        <v>62</v>
      </c>
      <c r="W32" s="11" t="s">
        <v>93</v>
      </c>
      <c r="X32" s="11" t="s">
        <v>93</v>
      </c>
      <c r="Y32" s="15"/>
    </row>
    <row r="33" spans="1:25" s="16" customFormat="1" ht="24.75" customHeight="1" x14ac:dyDescent="0.3">
      <c r="A33" s="11">
        <v>27</v>
      </c>
      <c r="B33" s="11" t="s">
        <v>136</v>
      </c>
      <c r="C33" s="11" t="s">
        <v>134</v>
      </c>
      <c r="D33" s="17" t="s">
        <v>41</v>
      </c>
      <c r="E33" s="17" t="s">
        <v>445</v>
      </c>
      <c r="F33" s="27" t="s">
        <v>448</v>
      </c>
      <c r="G33" s="12" t="s">
        <v>164</v>
      </c>
      <c r="H33" s="31">
        <v>147</v>
      </c>
      <c r="I33" s="31">
        <v>574</v>
      </c>
      <c r="J33" s="33" t="s">
        <v>91</v>
      </c>
      <c r="K33" s="12" t="s">
        <v>513</v>
      </c>
      <c r="L33" s="12">
        <v>40</v>
      </c>
      <c r="M33" s="14" t="s">
        <v>623</v>
      </c>
      <c r="N33" s="12" t="s">
        <v>178</v>
      </c>
      <c r="O33" s="14" t="s">
        <v>0</v>
      </c>
      <c r="P33" s="12" t="s">
        <v>92</v>
      </c>
      <c r="Q33" s="11" t="s">
        <v>81</v>
      </c>
      <c r="R33" s="12">
        <v>40</v>
      </c>
      <c r="S33" s="14" t="s">
        <v>565</v>
      </c>
      <c r="T33" s="14" t="s">
        <v>3</v>
      </c>
      <c r="U33" s="14">
        <v>2500</v>
      </c>
      <c r="V33" s="14" t="s">
        <v>62</v>
      </c>
      <c r="W33" s="11" t="s">
        <v>93</v>
      </c>
      <c r="X33" s="11" t="s">
        <v>93</v>
      </c>
      <c r="Y33" s="15"/>
    </row>
    <row r="34" spans="1:25" s="16" customFormat="1" ht="24.75" customHeight="1" x14ac:dyDescent="0.3">
      <c r="A34" s="11">
        <v>28</v>
      </c>
      <c r="B34" s="11" t="s">
        <v>136</v>
      </c>
      <c r="C34" s="11" t="s">
        <v>134</v>
      </c>
      <c r="D34" s="17" t="s">
        <v>41</v>
      </c>
      <c r="E34" s="17" t="s">
        <v>453</v>
      </c>
      <c r="F34" s="27" t="s">
        <v>449</v>
      </c>
      <c r="G34" s="12" t="s">
        <v>164</v>
      </c>
      <c r="H34" s="31">
        <v>147</v>
      </c>
      <c r="I34" s="31">
        <v>574</v>
      </c>
      <c r="J34" s="33" t="s">
        <v>91</v>
      </c>
      <c r="K34" s="12" t="s">
        <v>418</v>
      </c>
      <c r="L34" s="12">
        <v>50</v>
      </c>
      <c r="M34" s="12" t="s">
        <v>623</v>
      </c>
      <c r="N34" s="12" t="s">
        <v>178</v>
      </c>
      <c r="O34" s="14" t="s">
        <v>0</v>
      </c>
      <c r="P34" s="12" t="s">
        <v>92</v>
      </c>
      <c r="Q34" s="11" t="s">
        <v>81</v>
      </c>
      <c r="R34" s="12">
        <v>50</v>
      </c>
      <c r="S34" s="14" t="s">
        <v>565</v>
      </c>
      <c r="T34" s="14" t="s">
        <v>3</v>
      </c>
      <c r="U34" s="14">
        <v>2500</v>
      </c>
      <c r="V34" s="14" t="s">
        <v>62</v>
      </c>
      <c r="W34" s="11" t="s">
        <v>93</v>
      </c>
      <c r="X34" s="11" t="s">
        <v>93</v>
      </c>
      <c r="Y34" s="15"/>
    </row>
    <row r="35" spans="1:25" s="16" customFormat="1" ht="24.75" customHeight="1" x14ac:dyDescent="0.3">
      <c r="A35" s="11">
        <v>29</v>
      </c>
      <c r="B35" s="11" t="s">
        <v>136</v>
      </c>
      <c r="C35" s="11" t="s">
        <v>134</v>
      </c>
      <c r="D35" s="17" t="s">
        <v>41</v>
      </c>
      <c r="E35" s="17" t="s">
        <v>454</v>
      </c>
      <c r="F35" s="27" t="s">
        <v>450</v>
      </c>
      <c r="G35" s="12" t="s">
        <v>164</v>
      </c>
      <c r="H35" s="31">
        <v>50.3</v>
      </c>
      <c r="I35" s="31">
        <v>398.9</v>
      </c>
      <c r="J35" s="33" t="s">
        <v>91</v>
      </c>
      <c r="K35" s="12" t="s">
        <v>455</v>
      </c>
      <c r="L35" s="12">
        <v>25</v>
      </c>
      <c r="M35" s="12" t="s">
        <v>624</v>
      </c>
      <c r="N35" s="12" t="s">
        <v>178</v>
      </c>
      <c r="O35" s="14" t="s">
        <v>0</v>
      </c>
      <c r="P35" s="12" t="s">
        <v>92</v>
      </c>
      <c r="Q35" s="11" t="s">
        <v>81</v>
      </c>
      <c r="R35" s="12">
        <v>25</v>
      </c>
      <c r="S35" s="14" t="s">
        <v>63</v>
      </c>
      <c r="T35" s="14" t="s">
        <v>15</v>
      </c>
      <c r="U35" s="14">
        <v>600</v>
      </c>
      <c r="V35" s="14" t="s">
        <v>62</v>
      </c>
      <c r="W35" s="11" t="s">
        <v>93</v>
      </c>
      <c r="X35" s="11" t="s">
        <v>93</v>
      </c>
      <c r="Y35" s="15"/>
    </row>
    <row r="36" spans="1:25" s="16" customFormat="1" ht="24.75" customHeight="1" x14ac:dyDescent="0.3">
      <c r="A36" s="11">
        <v>30</v>
      </c>
      <c r="B36" s="11" t="s">
        <v>136</v>
      </c>
      <c r="C36" s="11" t="s">
        <v>134</v>
      </c>
      <c r="D36" s="17" t="s">
        <v>41</v>
      </c>
      <c r="E36" s="17" t="s">
        <v>459</v>
      </c>
      <c r="F36" s="27" t="s">
        <v>451</v>
      </c>
      <c r="G36" s="12" t="s">
        <v>164</v>
      </c>
      <c r="H36" s="31">
        <v>9.6999999999999993</v>
      </c>
      <c r="I36" s="31">
        <v>253.1</v>
      </c>
      <c r="J36" s="33" t="s">
        <v>91</v>
      </c>
      <c r="K36" s="12" t="s">
        <v>517</v>
      </c>
      <c r="L36" s="12">
        <v>50</v>
      </c>
      <c r="M36" s="14" t="s">
        <v>636</v>
      </c>
      <c r="N36" s="12" t="s">
        <v>178</v>
      </c>
      <c r="O36" s="14" t="s">
        <v>0</v>
      </c>
      <c r="P36" s="12" t="s">
        <v>92</v>
      </c>
      <c r="Q36" s="11" t="s">
        <v>81</v>
      </c>
      <c r="R36" s="12">
        <v>50</v>
      </c>
      <c r="S36" s="14" t="s">
        <v>63</v>
      </c>
      <c r="T36" s="14" t="s">
        <v>637</v>
      </c>
      <c r="U36" s="14">
        <v>600</v>
      </c>
      <c r="V36" s="14" t="s">
        <v>62</v>
      </c>
      <c r="W36" s="11" t="s">
        <v>93</v>
      </c>
      <c r="X36" s="11" t="s">
        <v>93</v>
      </c>
      <c r="Y36" s="15"/>
    </row>
    <row r="37" spans="1:25" s="16" customFormat="1" ht="24.75" customHeight="1" x14ac:dyDescent="0.3">
      <c r="A37" s="11">
        <v>31</v>
      </c>
      <c r="B37" s="11" t="s">
        <v>136</v>
      </c>
      <c r="C37" s="11" t="s">
        <v>134</v>
      </c>
      <c r="D37" s="17" t="s">
        <v>41</v>
      </c>
      <c r="E37" s="17" t="s">
        <v>460</v>
      </c>
      <c r="F37" s="27" t="s">
        <v>452</v>
      </c>
      <c r="G37" s="12" t="s">
        <v>164</v>
      </c>
      <c r="H37" s="31">
        <v>9.6999999999999993</v>
      </c>
      <c r="I37" s="31">
        <v>253.1</v>
      </c>
      <c r="J37" s="33" t="s">
        <v>91</v>
      </c>
      <c r="K37" s="12" t="s">
        <v>456</v>
      </c>
      <c r="L37" s="12">
        <v>50</v>
      </c>
      <c r="M37" s="14" t="s">
        <v>636</v>
      </c>
      <c r="N37" s="12" t="s">
        <v>178</v>
      </c>
      <c r="O37" s="14" t="s">
        <v>0</v>
      </c>
      <c r="P37" s="12" t="s">
        <v>92</v>
      </c>
      <c r="Q37" s="11" t="s">
        <v>81</v>
      </c>
      <c r="R37" s="12">
        <v>50</v>
      </c>
      <c r="S37" s="14" t="s">
        <v>63</v>
      </c>
      <c r="T37" s="14" t="s">
        <v>637</v>
      </c>
      <c r="U37" s="14">
        <v>600</v>
      </c>
      <c r="V37" s="14" t="s">
        <v>62</v>
      </c>
      <c r="W37" s="11" t="s">
        <v>93</v>
      </c>
      <c r="X37" s="11" t="s">
        <v>93</v>
      </c>
      <c r="Y37" s="15"/>
    </row>
    <row r="38" spans="1:25" s="24" customFormat="1" ht="24.75" customHeight="1" x14ac:dyDescent="0.3">
      <c r="A38" s="11">
        <v>32</v>
      </c>
      <c r="B38" s="11" t="s">
        <v>137</v>
      </c>
      <c r="C38" s="11" t="s">
        <v>134</v>
      </c>
      <c r="D38" s="11" t="s">
        <v>7</v>
      </c>
      <c r="E38" s="11" t="s">
        <v>457</v>
      </c>
      <c r="F38" s="27" t="s">
        <v>299</v>
      </c>
      <c r="G38" s="12" t="s">
        <v>164</v>
      </c>
      <c r="H38" s="31">
        <v>147</v>
      </c>
      <c r="I38" s="31">
        <v>574</v>
      </c>
      <c r="J38" s="33" t="s">
        <v>91</v>
      </c>
      <c r="K38" s="14" t="s">
        <v>622</v>
      </c>
      <c r="L38" s="14">
        <v>200</v>
      </c>
      <c r="M38" s="14" t="s">
        <v>11</v>
      </c>
      <c r="N38" s="12" t="s">
        <v>178</v>
      </c>
      <c r="O38" s="14" t="s">
        <v>13</v>
      </c>
      <c r="P38" s="12" t="s">
        <v>83</v>
      </c>
      <c r="Q38" s="11" t="s">
        <v>81</v>
      </c>
      <c r="R38" s="12">
        <v>200</v>
      </c>
      <c r="S38" s="14" t="s">
        <v>2</v>
      </c>
      <c r="T38" s="14" t="s">
        <v>3</v>
      </c>
      <c r="U38" s="14">
        <v>2500</v>
      </c>
      <c r="V38" s="14" t="s">
        <v>4</v>
      </c>
      <c r="W38" s="11" t="s">
        <v>25</v>
      </c>
      <c r="X38" s="11" t="s">
        <v>25</v>
      </c>
      <c r="Y38" s="15"/>
    </row>
    <row r="39" spans="1:25" s="16" customFormat="1" ht="24.75" customHeight="1" x14ac:dyDescent="0.3">
      <c r="A39" s="11">
        <v>33</v>
      </c>
      <c r="B39" s="11" t="s">
        <v>137</v>
      </c>
      <c r="C39" s="11" t="s">
        <v>134</v>
      </c>
      <c r="D39" s="17" t="s">
        <v>41</v>
      </c>
      <c r="E39" s="17" t="s">
        <v>461</v>
      </c>
      <c r="F39" s="28" t="s">
        <v>606</v>
      </c>
      <c r="G39" s="12" t="s">
        <v>164</v>
      </c>
      <c r="H39" s="31">
        <v>147</v>
      </c>
      <c r="I39" s="31">
        <v>574</v>
      </c>
      <c r="J39" s="33" t="s">
        <v>91</v>
      </c>
      <c r="K39" s="12" t="s">
        <v>418</v>
      </c>
      <c r="L39" s="12">
        <v>25</v>
      </c>
      <c r="M39" s="12" t="s">
        <v>623</v>
      </c>
      <c r="N39" s="12" t="s">
        <v>178</v>
      </c>
      <c r="O39" s="14" t="s">
        <v>0</v>
      </c>
      <c r="P39" s="12" t="s">
        <v>92</v>
      </c>
      <c r="Q39" s="11" t="s">
        <v>81</v>
      </c>
      <c r="R39" s="12">
        <v>25</v>
      </c>
      <c r="S39" s="14" t="s">
        <v>565</v>
      </c>
      <c r="T39" s="14" t="s">
        <v>3</v>
      </c>
      <c r="U39" s="14">
        <v>2500</v>
      </c>
      <c r="V39" s="14" t="s">
        <v>62</v>
      </c>
      <c r="W39" s="11" t="s">
        <v>93</v>
      </c>
      <c r="X39" s="11" t="s">
        <v>93</v>
      </c>
      <c r="Y39" s="15"/>
    </row>
    <row r="40" spans="1:25" s="24" customFormat="1" ht="24.75" customHeight="1" x14ac:dyDescent="0.3">
      <c r="A40" s="11">
        <v>34</v>
      </c>
      <c r="B40" s="11" t="s">
        <v>137</v>
      </c>
      <c r="C40" s="11" t="s">
        <v>134</v>
      </c>
      <c r="D40" s="11" t="s">
        <v>7</v>
      </c>
      <c r="E40" s="11" t="s">
        <v>458</v>
      </c>
      <c r="F40" s="28" t="s">
        <v>607</v>
      </c>
      <c r="G40" s="12" t="s">
        <v>164</v>
      </c>
      <c r="H40" s="31">
        <v>147</v>
      </c>
      <c r="I40" s="31">
        <v>574</v>
      </c>
      <c r="J40" s="33" t="s">
        <v>91</v>
      </c>
      <c r="K40" s="14" t="s">
        <v>622</v>
      </c>
      <c r="L40" s="14">
        <v>400</v>
      </c>
      <c r="M40" s="14" t="s">
        <v>11</v>
      </c>
      <c r="N40" s="12" t="s">
        <v>178</v>
      </c>
      <c r="O40" s="14" t="s">
        <v>13</v>
      </c>
      <c r="P40" s="12" t="s">
        <v>83</v>
      </c>
      <c r="Q40" s="11" t="s">
        <v>81</v>
      </c>
      <c r="R40" s="12">
        <v>400</v>
      </c>
      <c r="S40" s="14" t="s">
        <v>2</v>
      </c>
      <c r="T40" s="14" t="s">
        <v>3</v>
      </c>
      <c r="U40" s="14">
        <v>2500</v>
      </c>
      <c r="V40" s="12" t="s">
        <v>4</v>
      </c>
      <c r="W40" s="11" t="s">
        <v>25</v>
      </c>
      <c r="X40" s="11" t="s">
        <v>25</v>
      </c>
      <c r="Y40" s="15"/>
    </row>
    <row r="41" spans="1:25" s="16" customFormat="1" ht="24.75" customHeight="1" x14ac:dyDescent="0.3">
      <c r="A41" s="11">
        <v>35</v>
      </c>
      <c r="B41" s="11" t="s">
        <v>137</v>
      </c>
      <c r="C41" s="11" t="s">
        <v>134</v>
      </c>
      <c r="D41" s="17" t="s">
        <v>41</v>
      </c>
      <c r="E41" s="17" t="s">
        <v>462</v>
      </c>
      <c r="F41" s="28" t="s">
        <v>608</v>
      </c>
      <c r="G41" s="12" t="s">
        <v>164</v>
      </c>
      <c r="H41" s="31">
        <v>147</v>
      </c>
      <c r="I41" s="31">
        <v>574</v>
      </c>
      <c r="J41" s="33" t="s">
        <v>91</v>
      </c>
      <c r="K41" s="12" t="s">
        <v>513</v>
      </c>
      <c r="L41" s="12">
        <v>40</v>
      </c>
      <c r="M41" s="14" t="s">
        <v>623</v>
      </c>
      <c r="N41" s="12" t="s">
        <v>178</v>
      </c>
      <c r="O41" s="14" t="s">
        <v>0</v>
      </c>
      <c r="P41" s="12" t="s">
        <v>92</v>
      </c>
      <c r="Q41" s="11" t="s">
        <v>81</v>
      </c>
      <c r="R41" s="12">
        <v>40</v>
      </c>
      <c r="S41" s="14" t="s">
        <v>565</v>
      </c>
      <c r="T41" s="14" t="s">
        <v>3</v>
      </c>
      <c r="U41" s="14">
        <v>2500</v>
      </c>
      <c r="V41" s="14" t="s">
        <v>62</v>
      </c>
      <c r="W41" s="11" t="s">
        <v>93</v>
      </c>
      <c r="X41" s="11" t="s">
        <v>93</v>
      </c>
      <c r="Y41" s="15"/>
    </row>
    <row r="42" spans="1:25" s="16" customFormat="1" ht="24.75" customHeight="1" x14ac:dyDescent="0.3">
      <c r="A42" s="11">
        <v>36</v>
      </c>
      <c r="B42" s="11" t="s">
        <v>137</v>
      </c>
      <c r="C42" s="11" t="s">
        <v>134</v>
      </c>
      <c r="D42" s="17" t="s">
        <v>41</v>
      </c>
      <c r="E42" s="17" t="s">
        <v>463</v>
      </c>
      <c r="F42" s="28" t="s">
        <v>609</v>
      </c>
      <c r="G42" s="12" t="s">
        <v>164</v>
      </c>
      <c r="H42" s="31">
        <v>147</v>
      </c>
      <c r="I42" s="31">
        <v>574</v>
      </c>
      <c r="J42" s="33" t="s">
        <v>91</v>
      </c>
      <c r="K42" s="12" t="s">
        <v>513</v>
      </c>
      <c r="L42" s="12">
        <v>40</v>
      </c>
      <c r="M42" s="14" t="s">
        <v>623</v>
      </c>
      <c r="N42" s="12" t="s">
        <v>178</v>
      </c>
      <c r="O42" s="14" t="s">
        <v>0</v>
      </c>
      <c r="P42" s="12" t="s">
        <v>92</v>
      </c>
      <c r="Q42" s="11" t="s">
        <v>81</v>
      </c>
      <c r="R42" s="12">
        <v>40</v>
      </c>
      <c r="S42" s="14" t="s">
        <v>565</v>
      </c>
      <c r="T42" s="14" t="s">
        <v>3</v>
      </c>
      <c r="U42" s="14">
        <v>2500</v>
      </c>
      <c r="V42" s="14" t="s">
        <v>62</v>
      </c>
      <c r="W42" s="11" t="s">
        <v>93</v>
      </c>
      <c r="X42" s="11" t="s">
        <v>93</v>
      </c>
      <c r="Y42" s="15"/>
    </row>
    <row r="43" spans="1:25" s="16" customFormat="1" ht="24.75" customHeight="1" x14ac:dyDescent="0.3">
      <c r="A43" s="11">
        <v>37</v>
      </c>
      <c r="B43" s="11" t="s">
        <v>137</v>
      </c>
      <c r="C43" s="11" t="s">
        <v>134</v>
      </c>
      <c r="D43" s="17" t="s">
        <v>41</v>
      </c>
      <c r="E43" s="17" t="s">
        <v>464</v>
      </c>
      <c r="F43" s="28" t="s">
        <v>610</v>
      </c>
      <c r="G43" s="12" t="s">
        <v>164</v>
      </c>
      <c r="H43" s="31">
        <v>147</v>
      </c>
      <c r="I43" s="31">
        <v>574</v>
      </c>
      <c r="J43" s="33" t="s">
        <v>91</v>
      </c>
      <c r="K43" s="12" t="s">
        <v>513</v>
      </c>
      <c r="L43" s="12">
        <v>40</v>
      </c>
      <c r="M43" s="14" t="s">
        <v>623</v>
      </c>
      <c r="N43" s="12" t="s">
        <v>178</v>
      </c>
      <c r="O43" s="14" t="s">
        <v>0</v>
      </c>
      <c r="P43" s="12" t="s">
        <v>92</v>
      </c>
      <c r="Q43" s="11" t="s">
        <v>81</v>
      </c>
      <c r="R43" s="12">
        <v>40</v>
      </c>
      <c r="S43" s="14" t="s">
        <v>565</v>
      </c>
      <c r="T43" s="14" t="s">
        <v>3</v>
      </c>
      <c r="U43" s="14">
        <v>2500</v>
      </c>
      <c r="V43" s="14" t="s">
        <v>62</v>
      </c>
      <c r="W43" s="11" t="s">
        <v>93</v>
      </c>
      <c r="X43" s="11" t="s">
        <v>93</v>
      </c>
      <c r="Y43" s="15"/>
    </row>
    <row r="44" spans="1:25" s="16" customFormat="1" ht="24.75" customHeight="1" x14ac:dyDescent="0.3">
      <c r="A44" s="11">
        <v>38</v>
      </c>
      <c r="B44" s="11" t="s">
        <v>137</v>
      </c>
      <c r="C44" s="11" t="s">
        <v>134</v>
      </c>
      <c r="D44" s="17" t="s">
        <v>41</v>
      </c>
      <c r="E44" s="17" t="s">
        <v>465</v>
      </c>
      <c r="F44" s="28" t="s">
        <v>611</v>
      </c>
      <c r="G44" s="12" t="s">
        <v>164</v>
      </c>
      <c r="H44" s="31">
        <v>147</v>
      </c>
      <c r="I44" s="31">
        <v>574</v>
      </c>
      <c r="J44" s="33" t="s">
        <v>91</v>
      </c>
      <c r="K44" s="12" t="s">
        <v>418</v>
      </c>
      <c r="L44" s="12">
        <v>50</v>
      </c>
      <c r="M44" s="12" t="s">
        <v>623</v>
      </c>
      <c r="N44" s="12" t="s">
        <v>178</v>
      </c>
      <c r="O44" s="14" t="s">
        <v>0</v>
      </c>
      <c r="P44" s="12" t="s">
        <v>92</v>
      </c>
      <c r="Q44" s="11" t="s">
        <v>81</v>
      </c>
      <c r="R44" s="12">
        <v>50</v>
      </c>
      <c r="S44" s="14" t="s">
        <v>565</v>
      </c>
      <c r="T44" s="14" t="s">
        <v>3</v>
      </c>
      <c r="U44" s="14">
        <v>2500</v>
      </c>
      <c r="V44" s="14" t="s">
        <v>62</v>
      </c>
      <c r="W44" s="11" t="s">
        <v>93</v>
      </c>
      <c r="X44" s="11" t="s">
        <v>93</v>
      </c>
      <c r="Y44" s="15"/>
    </row>
    <row r="45" spans="1:25" s="16" customFormat="1" ht="24.75" customHeight="1" x14ac:dyDescent="0.3">
      <c r="A45" s="11">
        <v>39</v>
      </c>
      <c r="B45" s="11" t="s">
        <v>137</v>
      </c>
      <c r="C45" s="11" t="s">
        <v>134</v>
      </c>
      <c r="D45" s="17" t="s">
        <v>41</v>
      </c>
      <c r="E45" s="17" t="s">
        <v>466</v>
      </c>
      <c r="F45" s="27" t="s">
        <v>603</v>
      </c>
      <c r="G45" s="12" t="s">
        <v>164</v>
      </c>
      <c r="H45" s="31">
        <v>50.3</v>
      </c>
      <c r="I45" s="31">
        <v>398.9</v>
      </c>
      <c r="J45" s="33" t="s">
        <v>91</v>
      </c>
      <c r="K45" s="12" t="s">
        <v>455</v>
      </c>
      <c r="L45" s="12">
        <v>25</v>
      </c>
      <c r="M45" s="12" t="s">
        <v>624</v>
      </c>
      <c r="N45" s="12" t="s">
        <v>178</v>
      </c>
      <c r="O45" s="14" t="s">
        <v>0</v>
      </c>
      <c r="P45" s="12" t="s">
        <v>92</v>
      </c>
      <c r="Q45" s="11" t="s">
        <v>81</v>
      </c>
      <c r="R45" s="12">
        <v>25</v>
      </c>
      <c r="S45" s="14" t="s">
        <v>63</v>
      </c>
      <c r="T45" s="14" t="s">
        <v>15</v>
      </c>
      <c r="U45" s="14">
        <v>600</v>
      </c>
      <c r="V45" s="14" t="s">
        <v>62</v>
      </c>
      <c r="W45" s="11" t="s">
        <v>93</v>
      </c>
      <c r="X45" s="11" t="s">
        <v>93</v>
      </c>
      <c r="Y45" s="15"/>
    </row>
    <row r="46" spans="1:25" s="16" customFormat="1" ht="24.75" customHeight="1" x14ac:dyDescent="0.3">
      <c r="A46" s="11">
        <v>40</v>
      </c>
      <c r="B46" s="11" t="s">
        <v>137</v>
      </c>
      <c r="C46" s="11" t="s">
        <v>134</v>
      </c>
      <c r="D46" s="17" t="s">
        <v>41</v>
      </c>
      <c r="E46" s="17" t="s">
        <v>467</v>
      </c>
      <c r="F46" s="27" t="s">
        <v>604</v>
      </c>
      <c r="G46" s="12" t="s">
        <v>164</v>
      </c>
      <c r="H46" s="31">
        <v>9.6999999999999993</v>
      </c>
      <c r="I46" s="31">
        <v>253.1</v>
      </c>
      <c r="J46" s="33" t="s">
        <v>91</v>
      </c>
      <c r="K46" s="12" t="s">
        <v>517</v>
      </c>
      <c r="L46" s="12">
        <v>50</v>
      </c>
      <c r="M46" s="14" t="s">
        <v>636</v>
      </c>
      <c r="N46" s="12" t="s">
        <v>178</v>
      </c>
      <c r="O46" s="14" t="s">
        <v>0</v>
      </c>
      <c r="P46" s="12" t="s">
        <v>92</v>
      </c>
      <c r="Q46" s="11" t="s">
        <v>81</v>
      </c>
      <c r="R46" s="12">
        <v>50</v>
      </c>
      <c r="S46" s="14" t="s">
        <v>63</v>
      </c>
      <c r="T46" s="14" t="s">
        <v>637</v>
      </c>
      <c r="U46" s="14">
        <v>600</v>
      </c>
      <c r="V46" s="14" t="s">
        <v>62</v>
      </c>
      <c r="W46" s="11" t="s">
        <v>93</v>
      </c>
      <c r="X46" s="11" t="s">
        <v>93</v>
      </c>
      <c r="Y46" s="15"/>
    </row>
    <row r="47" spans="1:25" s="16" customFormat="1" ht="24.75" customHeight="1" x14ac:dyDescent="0.3">
      <c r="A47" s="11">
        <v>41</v>
      </c>
      <c r="B47" s="11" t="s">
        <v>137</v>
      </c>
      <c r="C47" s="11" t="s">
        <v>134</v>
      </c>
      <c r="D47" s="17" t="s">
        <v>41</v>
      </c>
      <c r="E47" s="17" t="s">
        <v>468</v>
      </c>
      <c r="F47" s="27" t="s">
        <v>605</v>
      </c>
      <c r="G47" s="12" t="s">
        <v>164</v>
      </c>
      <c r="H47" s="31">
        <v>9.6999999999999993</v>
      </c>
      <c r="I47" s="31">
        <v>253.1</v>
      </c>
      <c r="J47" s="33" t="s">
        <v>91</v>
      </c>
      <c r="K47" s="12" t="s">
        <v>456</v>
      </c>
      <c r="L47" s="12">
        <v>50</v>
      </c>
      <c r="M47" s="14" t="s">
        <v>636</v>
      </c>
      <c r="N47" s="12" t="s">
        <v>178</v>
      </c>
      <c r="O47" s="14" t="s">
        <v>0</v>
      </c>
      <c r="P47" s="12" t="s">
        <v>92</v>
      </c>
      <c r="Q47" s="11" t="s">
        <v>81</v>
      </c>
      <c r="R47" s="12">
        <v>50</v>
      </c>
      <c r="S47" s="14" t="s">
        <v>63</v>
      </c>
      <c r="T47" s="14" t="s">
        <v>637</v>
      </c>
      <c r="U47" s="14">
        <v>600</v>
      </c>
      <c r="V47" s="14" t="s">
        <v>62</v>
      </c>
      <c r="W47" s="11" t="s">
        <v>93</v>
      </c>
      <c r="X47" s="11" t="s">
        <v>93</v>
      </c>
      <c r="Y47" s="15"/>
    </row>
    <row r="48" spans="1:25" s="16" customFormat="1" ht="24.75" customHeight="1" x14ac:dyDescent="0.3">
      <c r="A48" s="11">
        <v>42</v>
      </c>
      <c r="B48" s="11" t="s">
        <v>138</v>
      </c>
      <c r="C48" s="11" t="s">
        <v>18</v>
      </c>
      <c r="D48" s="11" t="s">
        <v>7</v>
      </c>
      <c r="E48" s="11" t="s">
        <v>469</v>
      </c>
      <c r="F48" s="27" t="s">
        <v>300</v>
      </c>
      <c r="G48" s="12" t="s">
        <v>164</v>
      </c>
      <c r="H48" s="31">
        <v>50.3</v>
      </c>
      <c r="I48" s="33">
        <v>398.9</v>
      </c>
      <c r="J48" s="32" t="s">
        <v>91</v>
      </c>
      <c r="K48" s="12" t="s">
        <v>64</v>
      </c>
      <c r="L48" s="12">
        <v>250</v>
      </c>
      <c r="M48" s="12" t="s">
        <v>624</v>
      </c>
      <c r="N48" s="12" t="s">
        <v>178</v>
      </c>
      <c r="O48" s="12" t="s">
        <v>13</v>
      </c>
      <c r="P48" s="12" t="s">
        <v>83</v>
      </c>
      <c r="Q48" s="11" t="s">
        <v>81</v>
      </c>
      <c r="R48" s="12">
        <v>250</v>
      </c>
      <c r="S48" s="12" t="s">
        <v>14</v>
      </c>
      <c r="T48" s="12" t="s">
        <v>15</v>
      </c>
      <c r="U48" s="12">
        <v>600</v>
      </c>
      <c r="V48" s="12" t="s">
        <v>10</v>
      </c>
      <c r="W48" s="11" t="s">
        <v>25</v>
      </c>
      <c r="X48" s="11" t="s">
        <v>25</v>
      </c>
      <c r="Y48" s="15"/>
    </row>
    <row r="49" spans="1:25" s="18" customFormat="1" ht="24.75" customHeight="1" x14ac:dyDescent="0.3">
      <c r="A49" s="11">
        <v>43</v>
      </c>
      <c r="B49" s="11" t="s">
        <v>138</v>
      </c>
      <c r="C49" s="11" t="s">
        <v>18</v>
      </c>
      <c r="D49" s="11" t="s">
        <v>19</v>
      </c>
      <c r="E49" s="11" t="s">
        <v>157</v>
      </c>
      <c r="F49" s="27" t="s">
        <v>615</v>
      </c>
      <c r="G49" s="12" t="s">
        <v>164</v>
      </c>
      <c r="H49" s="31">
        <v>50.3</v>
      </c>
      <c r="I49" s="33">
        <v>399</v>
      </c>
      <c r="J49" s="33">
        <v>50.3</v>
      </c>
      <c r="K49" s="33" t="s">
        <v>455</v>
      </c>
      <c r="L49" s="32" t="s">
        <v>639</v>
      </c>
      <c r="M49" s="12" t="s">
        <v>624</v>
      </c>
      <c r="N49" s="12" t="s">
        <v>61</v>
      </c>
      <c r="O49" s="12" t="s">
        <v>86</v>
      </c>
      <c r="P49" s="12" t="s">
        <v>80</v>
      </c>
      <c r="Q49" s="12" t="s">
        <v>80</v>
      </c>
      <c r="R49" s="12" t="s">
        <v>639</v>
      </c>
      <c r="S49" s="33" t="s">
        <v>14</v>
      </c>
      <c r="T49" s="12" t="s">
        <v>89</v>
      </c>
      <c r="U49" s="12">
        <v>600</v>
      </c>
      <c r="V49" s="12" t="s">
        <v>568</v>
      </c>
      <c r="W49" s="11" t="s">
        <v>25</v>
      </c>
      <c r="X49" s="11" t="s">
        <v>25</v>
      </c>
      <c r="Y49" s="15"/>
    </row>
    <row r="50" spans="1:25" s="16" customFormat="1" ht="24.75" customHeight="1" x14ac:dyDescent="0.3">
      <c r="A50" s="11">
        <v>44</v>
      </c>
      <c r="B50" s="11" t="s">
        <v>470</v>
      </c>
      <c r="C50" s="11" t="s">
        <v>471</v>
      </c>
      <c r="D50" s="17" t="s">
        <v>41</v>
      </c>
      <c r="E50" s="17" t="s">
        <v>472</v>
      </c>
      <c r="F50" s="27" t="s">
        <v>474</v>
      </c>
      <c r="G50" s="12" t="s">
        <v>164</v>
      </c>
      <c r="H50" s="31" t="s">
        <v>93</v>
      </c>
      <c r="I50" s="31" t="s">
        <v>25</v>
      </c>
      <c r="J50" s="33" t="s">
        <v>91</v>
      </c>
      <c r="K50" s="12" t="s">
        <v>515</v>
      </c>
      <c r="L50" s="12">
        <v>40</v>
      </c>
      <c r="M50" s="12" t="s">
        <v>624</v>
      </c>
      <c r="N50" s="12" t="s">
        <v>178</v>
      </c>
      <c r="O50" s="14" t="s">
        <v>0</v>
      </c>
      <c r="P50" s="12" t="s">
        <v>92</v>
      </c>
      <c r="Q50" s="11" t="s">
        <v>81</v>
      </c>
      <c r="R50" s="12">
        <v>40</v>
      </c>
      <c r="S50" s="14" t="s">
        <v>63</v>
      </c>
      <c r="T50" s="14" t="s">
        <v>15</v>
      </c>
      <c r="U50" s="14">
        <v>600</v>
      </c>
      <c r="V50" s="14" t="s">
        <v>62</v>
      </c>
      <c r="W50" s="11" t="s">
        <v>93</v>
      </c>
      <c r="X50" s="11" t="s">
        <v>93</v>
      </c>
      <c r="Y50" s="15"/>
    </row>
    <row r="51" spans="1:25" s="16" customFormat="1" ht="24.75" customHeight="1" x14ac:dyDescent="0.3">
      <c r="A51" s="11">
        <v>45</v>
      </c>
      <c r="B51" s="11" t="s">
        <v>470</v>
      </c>
      <c r="C51" s="11" t="s">
        <v>471</v>
      </c>
      <c r="D51" s="17" t="s">
        <v>41</v>
      </c>
      <c r="E51" s="17" t="s">
        <v>473</v>
      </c>
      <c r="F51" s="27" t="s">
        <v>475</v>
      </c>
      <c r="G51" s="12" t="s">
        <v>164</v>
      </c>
      <c r="H51" s="31" t="s">
        <v>93</v>
      </c>
      <c r="I51" s="31" t="s">
        <v>25</v>
      </c>
      <c r="J51" s="33" t="s">
        <v>91</v>
      </c>
      <c r="K51" s="12" t="s">
        <v>515</v>
      </c>
      <c r="L51" s="12">
        <v>40</v>
      </c>
      <c r="M51" s="12" t="s">
        <v>624</v>
      </c>
      <c r="N51" s="12" t="s">
        <v>178</v>
      </c>
      <c r="O51" s="14" t="s">
        <v>0</v>
      </c>
      <c r="P51" s="12" t="s">
        <v>92</v>
      </c>
      <c r="Q51" s="11" t="s">
        <v>81</v>
      </c>
      <c r="R51" s="12">
        <v>40</v>
      </c>
      <c r="S51" s="14" t="s">
        <v>63</v>
      </c>
      <c r="T51" s="14" t="s">
        <v>15</v>
      </c>
      <c r="U51" s="14">
        <v>600</v>
      </c>
      <c r="V51" s="14" t="s">
        <v>62</v>
      </c>
      <c r="W51" s="11" t="s">
        <v>93</v>
      </c>
      <c r="X51" s="11" t="s">
        <v>93</v>
      </c>
      <c r="Y51" s="15"/>
    </row>
    <row r="52" spans="1:25" s="16" customFormat="1" ht="24.75" customHeight="1" x14ac:dyDescent="0.3">
      <c r="A52" s="11">
        <v>46</v>
      </c>
      <c r="B52" s="11" t="s">
        <v>138</v>
      </c>
      <c r="C52" s="11" t="s">
        <v>18</v>
      </c>
      <c r="D52" s="11" t="s">
        <v>7</v>
      </c>
      <c r="E52" s="11" t="s">
        <v>480</v>
      </c>
      <c r="F52" s="27" t="s">
        <v>368</v>
      </c>
      <c r="G52" s="12" t="s">
        <v>164</v>
      </c>
      <c r="H52" s="31">
        <v>50.3</v>
      </c>
      <c r="I52" s="31">
        <v>398.9</v>
      </c>
      <c r="J52" s="32" t="s">
        <v>91</v>
      </c>
      <c r="K52" s="12" t="s">
        <v>64</v>
      </c>
      <c r="L52" s="12">
        <v>450</v>
      </c>
      <c r="M52" s="12" t="s">
        <v>624</v>
      </c>
      <c r="N52" s="12" t="s">
        <v>178</v>
      </c>
      <c r="O52" s="12" t="s">
        <v>13</v>
      </c>
      <c r="P52" s="12" t="s">
        <v>83</v>
      </c>
      <c r="Q52" s="11" t="s">
        <v>81</v>
      </c>
      <c r="R52" s="12">
        <v>450</v>
      </c>
      <c r="S52" s="12" t="s">
        <v>14</v>
      </c>
      <c r="T52" s="12" t="s">
        <v>15</v>
      </c>
      <c r="U52" s="12">
        <v>600</v>
      </c>
      <c r="V52" s="12" t="s">
        <v>10</v>
      </c>
      <c r="W52" s="11" t="s">
        <v>25</v>
      </c>
      <c r="X52" s="11" t="s">
        <v>25</v>
      </c>
      <c r="Y52" s="15"/>
    </row>
    <row r="53" spans="1:25" s="16" customFormat="1" ht="24.75" customHeight="1" x14ac:dyDescent="0.3">
      <c r="A53" s="11">
        <v>47</v>
      </c>
      <c r="B53" s="11" t="s">
        <v>138</v>
      </c>
      <c r="C53" s="11" t="s">
        <v>18</v>
      </c>
      <c r="D53" s="11" t="s">
        <v>7</v>
      </c>
      <c r="E53" s="11" t="s">
        <v>481</v>
      </c>
      <c r="F53" s="27" t="s">
        <v>301</v>
      </c>
      <c r="G53" s="12" t="s">
        <v>164</v>
      </c>
      <c r="H53" s="31">
        <v>50.3</v>
      </c>
      <c r="I53" s="31">
        <v>398.9</v>
      </c>
      <c r="J53" s="32" t="s">
        <v>91</v>
      </c>
      <c r="K53" s="12" t="s">
        <v>64</v>
      </c>
      <c r="L53" s="12">
        <v>250</v>
      </c>
      <c r="M53" s="12" t="s">
        <v>624</v>
      </c>
      <c r="N53" s="12" t="s">
        <v>178</v>
      </c>
      <c r="O53" s="12" t="s">
        <v>13</v>
      </c>
      <c r="P53" s="12" t="s">
        <v>83</v>
      </c>
      <c r="Q53" s="11" t="s">
        <v>81</v>
      </c>
      <c r="R53" s="12">
        <v>250</v>
      </c>
      <c r="S53" s="12" t="s">
        <v>14</v>
      </c>
      <c r="T53" s="12" t="s">
        <v>15</v>
      </c>
      <c r="U53" s="12">
        <v>600</v>
      </c>
      <c r="V53" s="12" t="s">
        <v>10</v>
      </c>
      <c r="W53" s="11" t="s">
        <v>25</v>
      </c>
      <c r="X53" s="11" t="s">
        <v>25</v>
      </c>
      <c r="Y53" s="15"/>
    </row>
    <row r="54" spans="1:25" s="18" customFormat="1" ht="24.75" customHeight="1" x14ac:dyDescent="0.3">
      <c r="A54" s="11">
        <v>48</v>
      </c>
      <c r="B54" s="11" t="s">
        <v>138</v>
      </c>
      <c r="C54" s="11" t="s">
        <v>18</v>
      </c>
      <c r="D54" s="11" t="s">
        <v>19</v>
      </c>
      <c r="E54" s="11" t="s">
        <v>158</v>
      </c>
      <c r="F54" s="27" t="s">
        <v>278</v>
      </c>
      <c r="G54" s="12" t="s">
        <v>164</v>
      </c>
      <c r="H54" s="31">
        <v>50.3</v>
      </c>
      <c r="I54" s="33">
        <v>399</v>
      </c>
      <c r="J54" s="33">
        <v>50.3</v>
      </c>
      <c r="K54" s="33" t="s">
        <v>455</v>
      </c>
      <c r="L54" s="32" t="s">
        <v>639</v>
      </c>
      <c r="M54" s="12" t="s">
        <v>624</v>
      </c>
      <c r="N54" s="12" t="s">
        <v>20</v>
      </c>
      <c r="O54" s="12" t="s">
        <v>86</v>
      </c>
      <c r="P54" s="12" t="s">
        <v>80</v>
      </c>
      <c r="Q54" s="12" t="s">
        <v>80</v>
      </c>
      <c r="R54" s="12" t="s">
        <v>639</v>
      </c>
      <c r="S54" s="33" t="s">
        <v>14</v>
      </c>
      <c r="T54" s="12" t="s">
        <v>89</v>
      </c>
      <c r="U54" s="12">
        <v>600</v>
      </c>
      <c r="V54" s="12" t="s">
        <v>568</v>
      </c>
      <c r="W54" s="11" t="s">
        <v>25</v>
      </c>
      <c r="X54" s="11" t="s">
        <v>25</v>
      </c>
      <c r="Y54" s="15"/>
    </row>
    <row r="55" spans="1:25" s="16" customFormat="1" ht="24.75" customHeight="1" x14ac:dyDescent="0.3">
      <c r="A55" s="11">
        <v>49</v>
      </c>
      <c r="B55" s="11" t="s">
        <v>138</v>
      </c>
      <c r="C55" s="11" t="s">
        <v>18</v>
      </c>
      <c r="D55" s="17" t="s">
        <v>7</v>
      </c>
      <c r="E55" s="17" t="s">
        <v>478</v>
      </c>
      <c r="F55" s="27" t="s">
        <v>476</v>
      </c>
      <c r="G55" s="12" t="s">
        <v>164</v>
      </c>
      <c r="H55" s="31" t="s">
        <v>93</v>
      </c>
      <c r="I55" s="31" t="s">
        <v>25</v>
      </c>
      <c r="J55" s="33" t="s">
        <v>91</v>
      </c>
      <c r="K55" s="12" t="s">
        <v>515</v>
      </c>
      <c r="L55" s="12">
        <v>40</v>
      </c>
      <c r="M55" s="12" t="s">
        <v>624</v>
      </c>
      <c r="N55" s="12" t="s">
        <v>178</v>
      </c>
      <c r="O55" s="14" t="s">
        <v>0</v>
      </c>
      <c r="P55" s="12" t="s">
        <v>83</v>
      </c>
      <c r="Q55" s="11" t="s">
        <v>81</v>
      </c>
      <c r="R55" s="12">
        <v>40</v>
      </c>
      <c r="S55" s="14" t="s">
        <v>63</v>
      </c>
      <c r="T55" s="14" t="s">
        <v>15</v>
      </c>
      <c r="U55" s="14">
        <v>600</v>
      </c>
      <c r="V55" s="14" t="s">
        <v>62</v>
      </c>
      <c r="W55" s="11" t="s">
        <v>25</v>
      </c>
      <c r="X55" s="11" t="s">
        <v>25</v>
      </c>
      <c r="Y55" s="15"/>
    </row>
    <row r="56" spans="1:25" s="16" customFormat="1" ht="24.75" customHeight="1" x14ac:dyDescent="0.3">
      <c r="A56" s="11">
        <v>50</v>
      </c>
      <c r="B56" s="11" t="s">
        <v>138</v>
      </c>
      <c r="C56" s="11" t="s">
        <v>18</v>
      </c>
      <c r="D56" s="17" t="s">
        <v>7</v>
      </c>
      <c r="E56" s="17" t="s">
        <v>479</v>
      </c>
      <c r="F56" s="27" t="s">
        <v>477</v>
      </c>
      <c r="G56" s="12" t="s">
        <v>164</v>
      </c>
      <c r="H56" s="31" t="s">
        <v>93</v>
      </c>
      <c r="I56" s="31" t="s">
        <v>25</v>
      </c>
      <c r="J56" s="33" t="s">
        <v>91</v>
      </c>
      <c r="K56" s="12" t="s">
        <v>515</v>
      </c>
      <c r="L56" s="12">
        <v>40</v>
      </c>
      <c r="M56" s="12" t="s">
        <v>624</v>
      </c>
      <c r="N56" s="12" t="s">
        <v>178</v>
      </c>
      <c r="O56" s="14" t="s">
        <v>0</v>
      </c>
      <c r="P56" s="12" t="s">
        <v>83</v>
      </c>
      <c r="Q56" s="11" t="s">
        <v>81</v>
      </c>
      <c r="R56" s="12">
        <v>40</v>
      </c>
      <c r="S56" s="14" t="s">
        <v>63</v>
      </c>
      <c r="T56" s="14" t="s">
        <v>15</v>
      </c>
      <c r="U56" s="14">
        <v>600</v>
      </c>
      <c r="V56" s="14" t="s">
        <v>62</v>
      </c>
      <c r="W56" s="11" t="s">
        <v>25</v>
      </c>
      <c r="X56" s="11" t="s">
        <v>25</v>
      </c>
      <c r="Y56" s="15"/>
    </row>
    <row r="57" spans="1:25" s="16" customFormat="1" ht="24.75" customHeight="1" x14ac:dyDescent="0.3">
      <c r="A57" s="11">
        <v>51</v>
      </c>
      <c r="B57" s="11" t="s">
        <v>138</v>
      </c>
      <c r="C57" s="11" t="s">
        <v>18</v>
      </c>
      <c r="D57" s="11" t="s">
        <v>7</v>
      </c>
      <c r="E57" s="11" t="s">
        <v>482</v>
      </c>
      <c r="F57" s="27" t="s">
        <v>369</v>
      </c>
      <c r="G57" s="12" t="s">
        <v>164</v>
      </c>
      <c r="H57" s="31">
        <v>50.3</v>
      </c>
      <c r="I57" s="31">
        <v>398.9</v>
      </c>
      <c r="J57" s="32" t="s">
        <v>91</v>
      </c>
      <c r="K57" s="12" t="s">
        <v>64</v>
      </c>
      <c r="L57" s="12">
        <v>450</v>
      </c>
      <c r="M57" s="12" t="s">
        <v>624</v>
      </c>
      <c r="N57" s="12" t="s">
        <v>178</v>
      </c>
      <c r="O57" s="12" t="s">
        <v>13</v>
      </c>
      <c r="P57" s="12" t="s">
        <v>83</v>
      </c>
      <c r="Q57" s="11" t="s">
        <v>81</v>
      </c>
      <c r="R57" s="12">
        <v>450</v>
      </c>
      <c r="S57" s="12" t="s">
        <v>14</v>
      </c>
      <c r="T57" s="12" t="s">
        <v>15</v>
      </c>
      <c r="U57" s="12">
        <v>600</v>
      </c>
      <c r="V57" s="12" t="s">
        <v>10</v>
      </c>
      <c r="W57" s="11" t="s">
        <v>25</v>
      </c>
      <c r="X57" s="11" t="s">
        <v>25</v>
      </c>
      <c r="Y57" s="15"/>
    </row>
    <row r="58" spans="1:25" s="16" customFormat="1" ht="24.75" customHeight="1" x14ac:dyDescent="0.3">
      <c r="A58" s="11">
        <v>52</v>
      </c>
      <c r="B58" s="11" t="s">
        <v>570</v>
      </c>
      <c r="C58" s="11" t="s">
        <v>571</v>
      </c>
      <c r="D58" s="17" t="s">
        <v>41</v>
      </c>
      <c r="E58" s="17" t="s">
        <v>575</v>
      </c>
      <c r="F58" s="27" t="s">
        <v>572</v>
      </c>
      <c r="G58" s="12" t="s">
        <v>164</v>
      </c>
      <c r="H58" s="31" t="s">
        <v>93</v>
      </c>
      <c r="I58" s="31" t="s">
        <v>25</v>
      </c>
      <c r="J58" s="33" t="s">
        <v>80</v>
      </c>
      <c r="K58" s="12" t="s">
        <v>25</v>
      </c>
      <c r="L58" s="12" t="s">
        <v>25</v>
      </c>
      <c r="M58" s="14" t="s">
        <v>25</v>
      </c>
      <c r="N58" s="12" t="s">
        <v>178</v>
      </c>
      <c r="O58" s="14" t="s">
        <v>0</v>
      </c>
      <c r="P58" s="12" t="s">
        <v>92</v>
      </c>
      <c r="Q58" s="11" t="s">
        <v>81</v>
      </c>
      <c r="R58" s="12" t="s">
        <v>93</v>
      </c>
      <c r="S58" s="14" t="s">
        <v>25</v>
      </c>
      <c r="T58" s="14" t="s">
        <v>25</v>
      </c>
      <c r="U58" s="14" t="s">
        <v>25</v>
      </c>
      <c r="V58" s="14" t="s">
        <v>25</v>
      </c>
      <c r="W58" s="11" t="s">
        <v>93</v>
      </c>
      <c r="X58" s="11" t="s">
        <v>93</v>
      </c>
      <c r="Y58" s="15"/>
    </row>
    <row r="59" spans="1:25" s="16" customFormat="1" ht="24.75" customHeight="1" x14ac:dyDescent="0.3">
      <c r="A59" s="11">
        <v>53</v>
      </c>
      <c r="B59" s="11" t="s">
        <v>570</v>
      </c>
      <c r="C59" s="11" t="s">
        <v>571</v>
      </c>
      <c r="D59" s="17" t="s">
        <v>41</v>
      </c>
      <c r="E59" s="17" t="s">
        <v>576</v>
      </c>
      <c r="F59" s="27" t="s">
        <v>573</v>
      </c>
      <c r="G59" s="12" t="s">
        <v>164</v>
      </c>
      <c r="H59" s="31" t="s">
        <v>93</v>
      </c>
      <c r="I59" s="31" t="s">
        <v>25</v>
      </c>
      <c r="J59" s="33" t="s">
        <v>80</v>
      </c>
      <c r="K59" s="12" t="s">
        <v>25</v>
      </c>
      <c r="L59" s="12" t="s">
        <v>25</v>
      </c>
      <c r="M59" s="14" t="s">
        <v>25</v>
      </c>
      <c r="N59" s="12" t="s">
        <v>178</v>
      </c>
      <c r="O59" s="14" t="s">
        <v>0</v>
      </c>
      <c r="P59" s="12" t="s">
        <v>92</v>
      </c>
      <c r="Q59" s="11" t="s">
        <v>81</v>
      </c>
      <c r="R59" s="12" t="s">
        <v>93</v>
      </c>
      <c r="S59" s="14" t="s">
        <v>25</v>
      </c>
      <c r="T59" s="14" t="s">
        <v>25</v>
      </c>
      <c r="U59" s="14" t="s">
        <v>25</v>
      </c>
      <c r="V59" s="14" t="s">
        <v>25</v>
      </c>
      <c r="W59" s="11" t="s">
        <v>93</v>
      </c>
      <c r="X59" s="11" t="s">
        <v>93</v>
      </c>
      <c r="Y59" s="15"/>
    </row>
    <row r="60" spans="1:25" s="16" customFormat="1" ht="24.75" customHeight="1" x14ac:dyDescent="0.3">
      <c r="A60" s="11">
        <v>54</v>
      </c>
      <c r="B60" s="11" t="s">
        <v>570</v>
      </c>
      <c r="C60" s="11" t="s">
        <v>571</v>
      </c>
      <c r="D60" s="17" t="s">
        <v>41</v>
      </c>
      <c r="E60" s="17" t="s">
        <v>577</v>
      </c>
      <c r="F60" s="27" t="s">
        <v>574</v>
      </c>
      <c r="G60" s="12" t="s">
        <v>164</v>
      </c>
      <c r="H60" s="31" t="s">
        <v>93</v>
      </c>
      <c r="I60" s="31" t="s">
        <v>25</v>
      </c>
      <c r="J60" s="33" t="s">
        <v>80</v>
      </c>
      <c r="K60" s="12" t="s">
        <v>25</v>
      </c>
      <c r="L60" s="12" t="s">
        <v>25</v>
      </c>
      <c r="M60" s="14" t="s">
        <v>25</v>
      </c>
      <c r="N60" s="12" t="s">
        <v>178</v>
      </c>
      <c r="O60" s="14" t="s">
        <v>0</v>
      </c>
      <c r="P60" s="12" t="s">
        <v>92</v>
      </c>
      <c r="Q60" s="11" t="s">
        <v>81</v>
      </c>
      <c r="R60" s="12" t="s">
        <v>93</v>
      </c>
      <c r="S60" s="14" t="s">
        <v>25</v>
      </c>
      <c r="T60" s="14" t="s">
        <v>25</v>
      </c>
      <c r="U60" s="14" t="s">
        <v>25</v>
      </c>
      <c r="V60" s="14" t="s">
        <v>25</v>
      </c>
      <c r="W60" s="11" t="s">
        <v>93</v>
      </c>
      <c r="X60" s="11" t="s">
        <v>93</v>
      </c>
      <c r="Y60" s="15"/>
    </row>
    <row r="61" spans="1:25" s="16" customFormat="1" ht="24.75" customHeight="1" x14ac:dyDescent="0.3">
      <c r="A61" s="11">
        <v>55</v>
      </c>
      <c r="B61" s="11" t="s">
        <v>139</v>
      </c>
      <c r="C61" s="11" t="s">
        <v>21</v>
      </c>
      <c r="D61" s="11" t="s">
        <v>19</v>
      </c>
      <c r="E61" s="11" t="s">
        <v>168</v>
      </c>
      <c r="F61" s="27" t="s">
        <v>283</v>
      </c>
      <c r="G61" s="12" t="s">
        <v>164</v>
      </c>
      <c r="H61" s="31">
        <v>9.6999999999999993</v>
      </c>
      <c r="I61" s="33">
        <v>253</v>
      </c>
      <c r="J61" s="33">
        <v>9.5</v>
      </c>
      <c r="K61" s="33" t="s">
        <v>519</v>
      </c>
      <c r="L61" s="32" t="s">
        <v>93</v>
      </c>
      <c r="M61" s="33" t="s">
        <v>635</v>
      </c>
      <c r="N61" s="12" t="s">
        <v>20</v>
      </c>
      <c r="O61" s="12" t="s">
        <v>86</v>
      </c>
      <c r="P61" s="12" t="s">
        <v>80</v>
      </c>
      <c r="Q61" s="12" t="s">
        <v>80</v>
      </c>
      <c r="R61" s="12" t="s">
        <v>640</v>
      </c>
      <c r="S61" s="33" t="s">
        <v>14</v>
      </c>
      <c r="T61" s="12" t="s">
        <v>89</v>
      </c>
      <c r="U61" s="12">
        <v>600</v>
      </c>
      <c r="V61" s="12" t="s">
        <v>568</v>
      </c>
      <c r="W61" s="11" t="s">
        <v>25</v>
      </c>
      <c r="X61" s="11" t="s">
        <v>25</v>
      </c>
      <c r="Y61" s="15"/>
    </row>
    <row r="62" spans="1:25" s="16" customFormat="1" ht="24.75" customHeight="1" x14ac:dyDescent="0.3">
      <c r="A62" s="11">
        <v>56</v>
      </c>
      <c r="B62" s="11" t="s">
        <v>139</v>
      </c>
      <c r="C62" s="11" t="s">
        <v>21</v>
      </c>
      <c r="D62" s="11" t="s">
        <v>19</v>
      </c>
      <c r="E62" s="11" t="s">
        <v>169</v>
      </c>
      <c r="F62" s="27" t="s">
        <v>284</v>
      </c>
      <c r="G62" s="12" t="s">
        <v>164</v>
      </c>
      <c r="H62" s="31">
        <v>9.6999999999999993</v>
      </c>
      <c r="I62" s="33">
        <v>253</v>
      </c>
      <c r="J62" s="33">
        <v>9.5</v>
      </c>
      <c r="K62" s="33" t="s">
        <v>519</v>
      </c>
      <c r="L62" s="32" t="s">
        <v>93</v>
      </c>
      <c r="M62" s="33" t="s">
        <v>635</v>
      </c>
      <c r="N62" s="12" t="s">
        <v>20</v>
      </c>
      <c r="O62" s="12" t="s">
        <v>86</v>
      </c>
      <c r="P62" s="12" t="s">
        <v>80</v>
      </c>
      <c r="Q62" s="12" t="s">
        <v>80</v>
      </c>
      <c r="R62" s="12" t="s">
        <v>640</v>
      </c>
      <c r="S62" s="33" t="s">
        <v>14</v>
      </c>
      <c r="T62" s="12" t="s">
        <v>89</v>
      </c>
      <c r="U62" s="12">
        <v>600</v>
      </c>
      <c r="V62" s="12" t="s">
        <v>568</v>
      </c>
      <c r="W62" s="11" t="s">
        <v>25</v>
      </c>
      <c r="X62" s="11" t="s">
        <v>25</v>
      </c>
      <c r="Y62" s="15"/>
    </row>
    <row r="63" spans="1:25" s="16" customFormat="1" ht="24.75" customHeight="1" x14ac:dyDescent="0.3">
      <c r="A63" s="11">
        <v>57</v>
      </c>
      <c r="B63" s="11" t="s">
        <v>139</v>
      </c>
      <c r="C63" s="11" t="s">
        <v>21</v>
      </c>
      <c r="D63" s="11" t="s">
        <v>19</v>
      </c>
      <c r="E63" s="11" t="s">
        <v>170</v>
      </c>
      <c r="F63" s="27" t="s">
        <v>285</v>
      </c>
      <c r="G63" s="12" t="s">
        <v>164</v>
      </c>
      <c r="H63" s="31">
        <v>9.6999999999999993</v>
      </c>
      <c r="I63" s="33">
        <v>253</v>
      </c>
      <c r="J63" s="33">
        <v>9.6999999999999993</v>
      </c>
      <c r="K63" s="33" t="s">
        <v>519</v>
      </c>
      <c r="L63" s="32" t="s">
        <v>93</v>
      </c>
      <c r="M63" s="33" t="s">
        <v>635</v>
      </c>
      <c r="N63" s="12" t="s">
        <v>20</v>
      </c>
      <c r="O63" s="12" t="s">
        <v>86</v>
      </c>
      <c r="P63" s="12" t="s">
        <v>80</v>
      </c>
      <c r="Q63" s="12" t="s">
        <v>80</v>
      </c>
      <c r="R63" s="12" t="s">
        <v>640</v>
      </c>
      <c r="S63" s="33" t="s">
        <v>14</v>
      </c>
      <c r="T63" s="12" t="s">
        <v>89</v>
      </c>
      <c r="U63" s="12">
        <v>600</v>
      </c>
      <c r="V63" s="12" t="s">
        <v>568</v>
      </c>
      <c r="W63" s="11" t="s">
        <v>25</v>
      </c>
      <c r="X63" s="11" t="s">
        <v>25</v>
      </c>
      <c r="Y63" s="15"/>
    </row>
    <row r="64" spans="1:25" s="16" customFormat="1" ht="24.75" customHeight="1" x14ac:dyDescent="0.3">
      <c r="A64" s="11">
        <v>58</v>
      </c>
      <c r="B64" s="11" t="s">
        <v>139</v>
      </c>
      <c r="C64" s="11" t="s">
        <v>21</v>
      </c>
      <c r="D64" s="11" t="s">
        <v>19</v>
      </c>
      <c r="E64" s="11" t="s">
        <v>171</v>
      </c>
      <c r="F64" s="27" t="s">
        <v>286</v>
      </c>
      <c r="G64" s="12" t="s">
        <v>164</v>
      </c>
      <c r="H64" s="31">
        <v>9.6999999999999993</v>
      </c>
      <c r="I64" s="33">
        <v>253</v>
      </c>
      <c r="J64" s="33">
        <v>9.6999999999999993</v>
      </c>
      <c r="K64" s="33" t="s">
        <v>519</v>
      </c>
      <c r="L64" s="32" t="s">
        <v>93</v>
      </c>
      <c r="M64" s="33" t="s">
        <v>635</v>
      </c>
      <c r="N64" s="12" t="s">
        <v>20</v>
      </c>
      <c r="O64" s="12" t="s">
        <v>86</v>
      </c>
      <c r="P64" s="12" t="s">
        <v>80</v>
      </c>
      <c r="Q64" s="12" t="s">
        <v>80</v>
      </c>
      <c r="R64" s="12" t="s">
        <v>640</v>
      </c>
      <c r="S64" s="33" t="s">
        <v>14</v>
      </c>
      <c r="T64" s="12" t="s">
        <v>89</v>
      </c>
      <c r="U64" s="12">
        <v>600</v>
      </c>
      <c r="V64" s="12" t="s">
        <v>568</v>
      </c>
      <c r="W64" s="11" t="s">
        <v>25</v>
      </c>
      <c r="X64" s="11" t="s">
        <v>25</v>
      </c>
      <c r="Y64" s="15"/>
    </row>
    <row r="65" spans="1:25" s="16" customFormat="1" ht="24.75" customHeight="1" x14ac:dyDescent="0.3">
      <c r="A65" s="11">
        <v>59</v>
      </c>
      <c r="B65" s="11" t="s">
        <v>139</v>
      </c>
      <c r="C65" s="11" t="s">
        <v>21</v>
      </c>
      <c r="D65" s="11" t="s">
        <v>19</v>
      </c>
      <c r="E65" s="11" t="s">
        <v>172</v>
      </c>
      <c r="F65" s="27" t="s">
        <v>287</v>
      </c>
      <c r="G65" s="12" t="s">
        <v>164</v>
      </c>
      <c r="H65" s="31">
        <v>9.6999999999999993</v>
      </c>
      <c r="I65" s="33">
        <v>253</v>
      </c>
      <c r="J65" s="33">
        <v>9.6999999999999993</v>
      </c>
      <c r="K65" s="33" t="s">
        <v>519</v>
      </c>
      <c r="L65" s="32" t="s">
        <v>93</v>
      </c>
      <c r="M65" s="33" t="s">
        <v>635</v>
      </c>
      <c r="N65" s="12" t="s">
        <v>20</v>
      </c>
      <c r="O65" s="12" t="s">
        <v>86</v>
      </c>
      <c r="P65" s="12" t="s">
        <v>80</v>
      </c>
      <c r="Q65" s="12" t="s">
        <v>80</v>
      </c>
      <c r="R65" s="12" t="s">
        <v>640</v>
      </c>
      <c r="S65" s="33" t="s">
        <v>14</v>
      </c>
      <c r="T65" s="12" t="s">
        <v>89</v>
      </c>
      <c r="U65" s="12">
        <v>600</v>
      </c>
      <c r="V65" s="12" t="s">
        <v>568</v>
      </c>
      <c r="W65" s="11" t="s">
        <v>25</v>
      </c>
      <c r="X65" s="11" t="s">
        <v>25</v>
      </c>
      <c r="Y65" s="15"/>
    </row>
    <row r="66" spans="1:25" s="16" customFormat="1" ht="24.75" customHeight="1" x14ac:dyDescent="0.3">
      <c r="A66" s="11">
        <v>60</v>
      </c>
      <c r="B66" s="11" t="s">
        <v>139</v>
      </c>
      <c r="C66" s="11" t="s">
        <v>21</v>
      </c>
      <c r="D66" s="11" t="s">
        <v>19</v>
      </c>
      <c r="E66" s="11" t="s">
        <v>173</v>
      </c>
      <c r="F66" s="27" t="s">
        <v>159</v>
      </c>
      <c r="G66" s="12" t="s">
        <v>164</v>
      </c>
      <c r="H66" s="31">
        <v>9.6999999999999993</v>
      </c>
      <c r="I66" s="33">
        <v>253</v>
      </c>
      <c r="J66" s="33">
        <v>9.5</v>
      </c>
      <c r="K66" s="33" t="s">
        <v>519</v>
      </c>
      <c r="L66" s="32" t="s">
        <v>93</v>
      </c>
      <c r="M66" s="33" t="s">
        <v>635</v>
      </c>
      <c r="N66" s="12" t="s">
        <v>20</v>
      </c>
      <c r="O66" s="12" t="s">
        <v>86</v>
      </c>
      <c r="P66" s="12" t="s">
        <v>80</v>
      </c>
      <c r="Q66" s="12" t="s">
        <v>80</v>
      </c>
      <c r="R66" s="12" t="s">
        <v>640</v>
      </c>
      <c r="S66" s="33" t="s">
        <v>14</v>
      </c>
      <c r="T66" s="12" t="s">
        <v>89</v>
      </c>
      <c r="U66" s="12">
        <v>600</v>
      </c>
      <c r="V66" s="12" t="s">
        <v>568</v>
      </c>
      <c r="W66" s="11" t="s">
        <v>25</v>
      </c>
      <c r="X66" s="11" t="s">
        <v>25</v>
      </c>
      <c r="Y66" s="15"/>
    </row>
    <row r="67" spans="1:25" s="16" customFormat="1" ht="24.75" customHeight="1" x14ac:dyDescent="0.3">
      <c r="A67" s="11">
        <v>61</v>
      </c>
      <c r="B67" s="11" t="s">
        <v>139</v>
      </c>
      <c r="C67" s="11" t="s">
        <v>21</v>
      </c>
      <c r="D67" s="11" t="s">
        <v>19</v>
      </c>
      <c r="E67" s="11" t="s">
        <v>174</v>
      </c>
      <c r="F67" s="27" t="s">
        <v>160</v>
      </c>
      <c r="G67" s="12" t="s">
        <v>164</v>
      </c>
      <c r="H67" s="31">
        <v>9.6999999999999993</v>
      </c>
      <c r="I67" s="33">
        <v>253</v>
      </c>
      <c r="J67" s="33">
        <v>9.5</v>
      </c>
      <c r="K67" s="33" t="s">
        <v>519</v>
      </c>
      <c r="L67" s="32" t="s">
        <v>93</v>
      </c>
      <c r="M67" s="33" t="s">
        <v>635</v>
      </c>
      <c r="N67" s="12" t="s">
        <v>20</v>
      </c>
      <c r="O67" s="12" t="s">
        <v>86</v>
      </c>
      <c r="P67" s="12" t="s">
        <v>80</v>
      </c>
      <c r="Q67" s="12" t="s">
        <v>80</v>
      </c>
      <c r="R67" s="12" t="s">
        <v>640</v>
      </c>
      <c r="S67" s="33" t="s">
        <v>14</v>
      </c>
      <c r="T67" s="12" t="s">
        <v>89</v>
      </c>
      <c r="U67" s="12">
        <v>600</v>
      </c>
      <c r="V67" s="12" t="s">
        <v>568</v>
      </c>
      <c r="W67" s="11" t="s">
        <v>25</v>
      </c>
      <c r="X67" s="11" t="s">
        <v>25</v>
      </c>
      <c r="Y67" s="15"/>
    </row>
    <row r="68" spans="1:25" s="16" customFormat="1" ht="24.75" customHeight="1" x14ac:dyDescent="0.3">
      <c r="A68" s="11">
        <v>62</v>
      </c>
      <c r="B68" s="11" t="s">
        <v>139</v>
      </c>
      <c r="C68" s="11" t="s">
        <v>21</v>
      </c>
      <c r="D68" s="11" t="s">
        <v>19</v>
      </c>
      <c r="E68" s="11" t="s">
        <v>175</v>
      </c>
      <c r="F68" s="27" t="s">
        <v>161</v>
      </c>
      <c r="G68" s="12" t="s">
        <v>164</v>
      </c>
      <c r="H68" s="31">
        <v>9.6999999999999993</v>
      </c>
      <c r="I68" s="33">
        <v>253</v>
      </c>
      <c r="J68" s="33">
        <v>9.6999999999999993</v>
      </c>
      <c r="K68" s="33" t="s">
        <v>519</v>
      </c>
      <c r="L68" s="32" t="s">
        <v>93</v>
      </c>
      <c r="M68" s="33" t="s">
        <v>635</v>
      </c>
      <c r="N68" s="12" t="s">
        <v>20</v>
      </c>
      <c r="O68" s="12" t="s">
        <v>86</v>
      </c>
      <c r="P68" s="12" t="s">
        <v>80</v>
      </c>
      <c r="Q68" s="12" t="s">
        <v>80</v>
      </c>
      <c r="R68" s="12" t="s">
        <v>640</v>
      </c>
      <c r="S68" s="33" t="s">
        <v>14</v>
      </c>
      <c r="T68" s="12" t="s">
        <v>89</v>
      </c>
      <c r="U68" s="12">
        <v>600</v>
      </c>
      <c r="V68" s="12" t="s">
        <v>568</v>
      </c>
      <c r="W68" s="11" t="s">
        <v>25</v>
      </c>
      <c r="X68" s="11" t="s">
        <v>25</v>
      </c>
      <c r="Y68" s="15"/>
    </row>
    <row r="69" spans="1:25" s="16" customFormat="1" ht="24.75" customHeight="1" x14ac:dyDescent="0.3">
      <c r="A69" s="11">
        <v>63</v>
      </c>
      <c r="B69" s="11" t="s">
        <v>139</v>
      </c>
      <c r="C69" s="11" t="s">
        <v>21</v>
      </c>
      <c r="D69" s="11" t="s">
        <v>19</v>
      </c>
      <c r="E69" s="11" t="s">
        <v>176</v>
      </c>
      <c r="F69" s="27" t="s">
        <v>162</v>
      </c>
      <c r="G69" s="12" t="s">
        <v>164</v>
      </c>
      <c r="H69" s="31">
        <v>9.6999999999999993</v>
      </c>
      <c r="I69" s="33">
        <v>253</v>
      </c>
      <c r="J69" s="33">
        <v>9.6999999999999993</v>
      </c>
      <c r="K69" s="33" t="s">
        <v>519</v>
      </c>
      <c r="L69" s="32" t="s">
        <v>93</v>
      </c>
      <c r="M69" s="33" t="s">
        <v>635</v>
      </c>
      <c r="N69" s="12" t="s">
        <v>20</v>
      </c>
      <c r="O69" s="12" t="s">
        <v>86</v>
      </c>
      <c r="P69" s="12" t="s">
        <v>80</v>
      </c>
      <c r="Q69" s="12" t="s">
        <v>80</v>
      </c>
      <c r="R69" s="12" t="s">
        <v>640</v>
      </c>
      <c r="S69" s="33" t="s">
        <v>14</v>
      </c>
      <c r="T69" s="12" t="s">
        <v>89</v>
      </c>
      <c r="U69" s="12">
        <v>600</v>
      </c>
      <c r="V69" s="12" t="s">
        <v>568</v>
      </c>
      <c r="W69" s="11" t="s">
        <v>25</v>
      </c>
      <c r="X69" s="11" t="s">
        <v>25</v>
      </c>
      <c r="Y69" s="15"/>
    </row>
    <row r="70" spans="1:25" s="16" customFormat="1" ht="24.75" customHeight="1" x14ac:dyDescent="0.3">
      <c r="A70" s="11">
        <v>64</v>
      </c>
      <c r="B70" s="11" t="s">
        <v>139</v>
      </c>
      <c r="C70" s="11" t="s">
        <v>21</v>
      </c>
      <c r="D70" s="11" t="s">
        <v>19</v>
      </c>
      <c r="E70" s="11" t="s">
        <v>177</v>
      </c>
      <c r="F70" s="27" t="s">
        <v>163</v>
      </c>
      <c r="G70" s="12" t="s">
        <v>164</v>
      </c>
      <c r="H70" s="31">
        <v>9.6999999999999993</v>
      </c>
      <c r="I70" s="33">
        <v>253</v>
      </c>
      <c r="J70" s="33">
        <v>9.6999999999999993</v>
      </c>
      <c r="K70" s="33" t="s">
        <v>519</v>
      </c>
      <c r="L70" s="32" t="s">
        <v>93</v>
      </c>
      <c r="M70" s="33" t="s">
        <v>635</v>
      </c>
      <c r="N70" s="12" t="s">
        <v>20</v>
      </c>
      <c r="O70" s="12" t="s">
        <v>86</v>
      </c>
      <c r="P70" s="12" t="s">
        <v>80</v>
      </c>
      <c r="Q70" s="12" t="s">
        <v>80</v>
      </c>
      <c r="R70" s="12" t="s">
        <v>640</v>
      </c>
      <c r="S70" s="33" t="s">
        <v>14</v>
      </c>
      <c r="T70" s="12" t="s">
        <v>89</v>
      </c>
      <c r="U70" s="12">
        <v>600</v>
      </c>
      <c r="V70" s="12" t="s">
        <v>568</v>
      </c>
      <c r="W70" s="11" t="s">
        <v>25</v>
      </c>
      <c r="X70" s="11" t="s">
        <v>25</v>
      </c>
      <c r="Y70" s="15"/>
    </row>
    <row r="71" spans="1:25" s="18" customFormat="1" ht="24.75" customHeight="1" x14ac:dyDescent="0.3">
      <c r="A71" s="11">
        <v>65</v>
      </c>
      <c r="B71" s="11" t="s">
        <v>140</v>
      </c>
      <c r="C71" s="11" t="s">
        <v>97</v>
      </c>
      <c r="D71" s="11" t="s">
        <v>17</v>
      </c>
      <c r="E71" s="11" t="s">
        <v>511</v>
      </c>
      <c r="F71" s="27" t="s">
        <v>598</v>
      </c>
      <c r="G71" s="12" t="s">
        <v>164</v>
      </c>
      <c r="H71" s="31" t="s">
        <v>93</v>
      </c>
      <c r="I71" s="31" t="s">
        <v>25</v>
      </c>
      <c r="J71" s="33" t="s">
        <v>80</v>
      </c>
      <c r="K71" s="12" t="s">
        <v>93</v>
      </c>
      <c r="L71" s="14" t="s">
        <v>25</v>
      </c>
      <c r="M71" s="14" t="s">
        <v>25</v>
      </c>
      <c r="N71" s="13" t="s">
        <v>22</v>
      </c>
      <c r="O71" s="13" t="s">
        <v>0</v>
      </c>
      <c r="P71" s="12" t="s">
        <v>25</v>
      </c>
      <c r="Q71" s="13" t="s">
        <v>94</v>
      </c>
      <c r="R71" s="12" t="s">
        <v>93</v>
      </c>
      <c r="S71" s="14" t="s">
        <v>25</v>
      </c>
      <c r="T71" s="14" t="s">
        <v>25</v>
      </c>
      <c r="U71" s="14" t="s">
        <v>25</v>
      </c>
      <c r="V71" s="14" t="s">
        <v>25</v>
      </c>
      <c r="W71" s="11" t="s">
        <v>93</v>
      </c>
      <c r="X71" s="11" t="s">
        <v>93</v>
      </c>
      <c r="Y71" s="15"/>
    </row>
    <row r="72" spans="1:25" s="18" customFormat="1" ht="24.75" customHeight="1" x14ac:dyDescent="0.3">
      <c r="A72" s="11">
        <v>66</v>
      </c>
      <c r="B72" s="11" t="s">
        <v>140</v>
      </c>
      <c r="C72" s="11" t="s">
        <v>97</v>
      </c>
      <c r="D72" s="11" t="s">
        <v>17</v>
      </c>
      <c r="E72" s="11" t="s">
        <v>512</v>
      </c>
      <c r="F72" s="27" t="s">
        <v>599</v>
      </c>
      <c r="G72" s="12" t="s">
        <v>164</v>
      </c>
      <c r="H72" s="31" t="s">
        <v>93</v>
      </c>
      <c r="I72" s="31" t="s">
        <v>25</v>
      </c>
      <c r="J72" s="33" t="s">
        <v>80</v>
      </c>
      <c r="K72" s="12" t="s">
        <v>93</v>
      </c>
      <c r="L72" s="14" t="s">
        <v>25</v>
      </c>
      <c r="M72" s="14" t="s">
        <v>25</v>
      </c>
      <c r="N72" s="13" t="s">
        <v>22</v>
      </c>
      <c r="O72" s="13" t="s">
        <v>0</v>
      </c>
      <c r="P72" s="12" t="s">
        <v>25</v>
      </c>
      <c r="Q72" s="13" t="s">
        <v>94</v>
      </c>
      <c r="R72" s="12" t="s">
        <v>93</v>
      </c>
      <c r="S72" s="14" t="s">
        <v>25</v>
      </c>
      <c r="T72" s="14" t="s">
        <v>25</v>
      </c>
      <c r="U72" s="14" t="s">
        <v>25</v>
      </c>
      <c r="V72" s="14" t="s">
        <v>25</v>
      </c>
      <c r="W72" s="11" t="s">
        <v>93</v>
      </c>
      <c r="X72" s="11" t="s">
        <v>93</v>
      </c>
      <c r="Y72" s="15"/>
    </row>
    <row r="73" spans="1:25" s="16" customFormat="1" ht="24.75" customHeight="1" x14ac:dyDescent="0.3">
      <c r="A73" s="11">
        <v>67</v>
      </c>
      <c r="B73" s="11" t="s">
        <v>140</v>
      </c>
      <c r="C73" s="11" t="s">
        <v>21</v>
      </c>
      <c r="D73" s="11" t="s">
        <v>7</v>
      </c>
      <c r="E73" s="11" t="s">
        <v>484</v>
      </c>
      <c r="F73" s="27" t="s">
        <v>579</v>
      </c>
      <c r="G73" s="12" t="s">
        <v>164</v>
      </c>
      <c r="H73" s="31">
        <v>9.6999999999999993</v>
      </c>
      <c r="I73" s="31">
        <v>253.1</v>
      </c>
      <c r="J73" s="32" t="s">
        <v>91</v>
      </c>
      <c r="K73" s="12" t="s">
        <v>518</v>
      </c>
      <c r="L73" s="12">
        <v>50</v>
      </c>
      <c r="M73" s="33" t="s">
        <v>635</v>
      </c>
      <c r="N73" s="12" t="s">
        <v>178</v>
      </c>
      <c r="O73" s="12" t="s">
        <v>44</v>
      </c>
      <c r="P73" s="12" t="s">
        <v>83</v>
      </c>
      <c r="Q73" s="11" t="s">
        <v>81</v>
      </c>
      <c r="R73" s="12">
        <v>50</v>
      </c>
      <c r="S73" s="12" t="s">
        <v>63</v>
      </c>
      <c r="T73" s="12" t="s">
        <v>15</v>
      </c>
      <c r="U73" s="12">
        <v>600</v>
      </c>
      <c r="V73" s="12" t="s">
        <v>62</v>
      </c>
      <c r="W73" s="11" t="s">
        <v>25</v>
      </c>
      <c r="X73" s="11" t="s">
        <v>25</v>
      </c>
      <c r="Y73" s="15"/>
    </row>
    <row r="74" spans="1:25" s="16" customFormat="1" ht="24.75" customHeight="1" x14ac:dyDescent="0.3">
      <c r="A74" s="11">
        <v>68</v>
      </c>
      <c r="B74" s="11" t="s">
        <v>140</v>
      </c>
      <c r="C74" s="11" t="s">
        <v>21</v>
      </c>
      <c r="D74" s="11" t="s">
        <v>7</v>
      </c>
      <c r="E74" s="11" t="s">
        <v>483</v>
      </c>
      <c r="F74" s="27" t="s">
        <v>370</v>
      </c>
      <c r="G74" s="12" t="s">
        <v>164</v>
      </c>
      <c r="H74" s="31">
        <v>9.6999999999999993</v>
      </c>
      <c r="I74" s="31">
        <v>253.1</v>
      </c>
      <c r="J74" s="32" t="s">
        <v>91</v>
      </c>
      <c r="K74" s="33" t="s">
        <v>519</v>
      </c>
      <c r="L74" s="12">
        <v>1300</v>
      </c>
      <c r="M74" s="33" t="s">
        <v>635</v>
      </c>
      <c r="N74" s="12" t="s">
        <v>178</v>
      </c>
      <c r="O74" s="12" t="s">
        <v>8</v>
      </c>
      <c r="P74" s="12" t="s">
        <v>83</v>
      </c>
      <c r="Q74" s="11" t="s">
        <v>81</v>
      </c>
      <c r="R74" s="12">
        <v>1300</v>
      </c>
      <c r="S74" s="12" t="s">
        <v>14</v>
      </c>
      <c r="T74" s="12" t="s">
        <v>15</v>
      </c>
      <c r="U74" s="12">
        <v>150</v>
      </c>
      <c r="V74" s="12" t="s">
        <v>10</v>
      </c>
      <c r="W74" s="11" t="s">
        <v>25</v>
      </c>
      <c r="X74" s="11" t="s">
        <v>25</v>
      </c>
      <c r="Y74" s="15"/>
    </row>
    <row r="75" spans="1:25" s="16" customFormat="1" ht="24.75" customHeight="1" x14ac:dyDescent="0.3">
      <c r="A75" s="11">
        <v>69</v>
      </c>
      <c r="B75" s="11" t="s">
        <v>140</v>
      </c>
      <c r="C75" s="11" t="s">
        <v>21</v>
      </c>
      <c r="D75" s="11" t="s">
        <v>7</v>
      </c>
      <c r="E75" s="11" t="s">
        <v>485</v>
      </c>
      <c r="F75" s="27" t="s">
        <v>580</v>
      </c>
      <c r="G75" s="12" t="s">
        <v>164</v>
      </c>
      <c r="H75" s="31">
        <v>9.6999999999999993</v>
      </c>
      <c r="I75" s="31">
        <v>253.1</v>
      </c>
      <c r="J75" s="32" t="s">
        <v>91</v>
      </c>
      <c r="K75" s="12" t="s">
        <v>518</v>
      </c>
      <c r="L75" s="12">
        <v>50</v>
      </c>
      <c r="M75" s="33" t="s">
        <v>635</v>
      </c>
      <c r="N75" s="12" t="s">
        <v>178</v>
      </c>
      <c r="O75" s="12" t="s">
        <v>44</v>
      </c>
      <c r="P75" s="12" t="s">
        <v>83</v>
      </c>
      <c r="Q75" s="11" t="s">
        <v>81</v>
      </c>
      <c r="R75" s="12">
        <v>50</v>
      </c>
      <c r="S75" s="12" t="s">
        <v>63</v>
      </c>
      <c r="T75" s="12" t="s">
        <v>15</v>
      </c>
      <c r="U75" s="12">
        <v>600</v>
      </c>
      <c r="V75" s="12" t="s">
        <v>62</v>
      </c>
      <c r="W75" s="11" t="s">
        <v>25</v>
      </c>
      <c r="X75" s="11" t="s">
        <v>25</v>
      </c>
      <c r="Y75" s="15"/>
    </row>
    <row r="76" spans="1:25" s="16" customFormat="1" ht="24.75" customHeight="1" x14ac:dyDescent="0.3">
      <c r="A76" s="11">
        <v>70</v>
      </c>
      <c r="B76" s="11" t="s">
        <v>140</v>
      </c>
      <c r="C76" s="11" t="s">
        <v>21</v>
      </c>
      <c r="D76" s="11" t="s">
        <v>7</v>
      </c>
      <c r="E76" s="11" t="s">
        <v>486</v>
      </c>
      <c r="F76" s="27" t="s">
        <v>371</v>
      </c>
      <c r="G76" s="12" t="s">
        <v>164</v>
      </c>
      <c r="H76" s="31">
        <v>9.6999999999999993</v>
      </c>
      <c r="I76" s="31">
        <v>253.1</v>
      </c>
      <c r="J76" s="32" t="s">
        <v>91</v>
      </c>
      <c r="K76" s="33" t="s">
        <v>519</v>
      </c>
      <c r="L76" s="12">
        <v>1300</v>
      </c>
      <c r="M76" s="33" t="s">
        <v>635</v>
      </c>
      <c r="N76" s="12" t="s">
        <v>178</v>
      </c>
      <c r="O76" s="12" t="s">
        <v>8</v>
      </c>
      <c r="P76" s="12" t="s">
        <v>83</v>
      </c>
      <c r="Q76" s="11" t="s">
        <v>81</v>
      </c>
      <c r="R76" s="12">
        <v>1300</v>
      </c>
      <c r="S76" s="12" t="s">
        <v>14</v>
      </c>
      <c r="T76" s="12" t="s">
        <v>15</v>
      </c>
      <c r="U76" s="12">
        <v>150</v>
      </c>
      <c r="V76" s="12" t="s">
        <v>10</v>
      </c>
      <c r="W76" s="11" t="s">
        <v>25</v>
      </c>
      <c r="X76" s="11" t="s">
        <v>25</v>
      </c>
      <c r="Y76" s="15"/>
    </row>
    <row r="77" spans="1:25" s="24" customFormat="1" ht="24.75" customHeight="1" x14ac:dyDescent="0.3">
      <c r="A77" s="11">
        <v>71</v>
      </c>
      <c r="B77" s="17" t="s">
        <v>141</v>
      </c>
      <c r="C77" s="11" t="s">
        <v>99</v>
      </c>
      <c r="D77" s="17" t="s">
        <v>17</v>
      </c>
      <c r="E77" s="11" t="s">
        <v>180</v>
      </c>
      <c r="F77" s="27" t="s">
        <v>558</v>
      </c>
      <c r="G77" s="12" t="s">
        <v>164</v>
      </c>
      <c r="H77" s="31">
        <v>50.3</v>
      </c>
      <c r="I77" s="31">
        <v>398.9</v>
      </c>
      <c r="J77" s="32" t="s">
        <v>91</v>
      </c>
      <c r="K77" s="14" t="s">
        <v>64</v>
      </c>
      <c r="L77" s="14">
        <v>80</v>
      </c>
      <c r="M77" s="12" t="s">
        <v>624</v>
      </c>
      <c r="N77" s="12" t="s">
        <v>22</v>
      </c>
      <c r="O77" s="12" t="s">
        <v>0</v>
      </c>
      <c r="P77" s="12" t="s">
        <v>25</v>
      </c>
      <c r="Q77" s="11" t="s">
        <v>81</v>
      </c>
      <c r="R77" s="12">
        <v>80</v>
      </c>
      <c r="S77" s="13" t="s">
        <v>563</v>
      </c>
      <c r="T77" s="13" t="s">
        <v>15</v>
      </c>
      <c r="U77" s="29" t="s">
        <v>566</v>
      </c>
      <c r="V77" s="13" t="s">
        <v>10</v>
      </c>
      <c r="W77" s="13" t="s">
        <v>25</v>
      </c>
      <c r="X77" s="13" t="s">
        <v>25</v>
      </c>
      <c r="Y77" s="15"/>
    </row>
    <row r="78" spans="1:25" s="16" customFormat="1" ht="24.75" customHeight="1" x14ac:dyDescent="0.3">
      <c r="A78" s="11">
        <v>72</v>
      </c>
      <c r="B78" s="17" t="s">
        <v>141</v>
      </c>
      <c r="C78" s="11" t="s">
        <v>23</v>
      </c>
      <c r="D78" s="11" t="s">
        <v>7</v>
      </c>
      <c r="E78" s="11" t="s">
        <v>487</v>
      </c>
      <c r="F78" s="27" t="s">
        <v>492</v>
      </c>
      <c r="G78" s="12" t="s">
        <v>164</v>
      </c>
      <c r="H78" s="31" t="s">
        <v>93</v>
      </c>
      <c r="I78" s="31" t="s">
        <v>25</v>
      </c>
      <c r="J78" s="32" t="s">
        <v>91</v>
      </c>
      <c r="K78" s="12" t="s">
        <v>515</v>
      </c>
      <c r="L78" s="12">
        <v>25</v>
      </c>
      <c r="M78" s="12" t="s">
        <v>624</v>
      </c>
      <c r="N78" s="12" t="s">
        <v>178</v>
      </c>
      <c r="O78" s="12" t="s">
        <v>0</v>
      </c>
      <c r="P78" s="12" t="s">
        <v>83</v>
      </c>
      <c r="Q78" s="11" t="s">
        <v>81</v>
      </c>
      <c r="R78" s="12">
        <v>25</v>
      </c>
      <c r="S78" s="14" t="s">
        <v>63</v>
      </c>
      <c r="T78" s="14" t="s">
        <v>15</v>
      </c>
      <c r="U78" s="14">
        <v>600</v>
      </c>
      <c r="V78" s="14" t="s">
        <v>62</v>
      </c>
      <c r="W78" s="11" t="s">
        <v>25</v>
      </c>
      <c r="X78" s="11" t="s">
        <v>25</v>
      </c>
      <c r="Y78" s="15"/>
    </row>
    <row r="79" spans="1:25" s="16" customFormat="1" ht="24.75" customHeight="1" x14ac:dyDescent="0.3">
      <c r="A79" s="11">
        <v>73</v>
      </c>
      <c r="B79" s="17" t="s">
        <v>141</v>
      </c>
      <c r="C79" s="11" t="s">
        <v>23</v>
      </c>
      <c r="D79" s="11" t="s">
        <v>19</v>
      </c>
      <c r="E79" s="11" t="s">
        <v>497</v>
      </c>
      <c r="F79" s="27" t="s">
        <v>488</v>
      </c>
      <c r="G79" s="12" t="s">
        <v>164</v>
      </c>
      <c r="H79" s="31">
        <v>12</v>
      </c>
      <c r="I79" s="33">
        <v>330</v>
      </c>
      <c r="J79" s="33">
        <v>13</v>
      </c>
      <c r="K79" s="33" t="s">
        <v>642</v>
      </c>
      <c r="L79" s="32" t="s">
        <v>643</v>
      </c>
      <c r="M79" s="33" t="s">
        <v>644</v>
      </c>
      <c r="N79" s="12" t="s">
        <v>20</v>
      </c>
      <c r="O79" s="12" t="s">
        <v>86</v>
      </c>
      <c r="P79" s="12" t="s">
        <v>80</v>
      </c>
      <c r="Q79" s="12" t="s">
        <v>80</v>
      </c>
      <c r="R79" s="12" t="s">
        <v>643</v>
      </c>
      <c r="S79" s="33" t="s">
        <v>14</v>
      </c>
      <c r="T79" s="12" t="s">
        <v>89</v>
      </c>
      <c r="U79" s="12">
        <v>600</v>
      </c>
      <c r="V79" s="12" t="s">
        <v>568</v>
      </c>
      <c r="W79" s="11" t="s">
        <v>25</v>
      </c>
      <c r="X79" s="11" t="s">
        <v>25</v>
      </c>
      <c r="Y79" s="15"/>
    </row>
    <row r="80" spans="1:25" s="16" customFormat="1" ht="24.75" customHeight="1" x14ac:dyDescent="0.3">
      <c r="A80" s="11">
        <v>74</v>
      </c>
      <c r="B80" s="17" t="s">
        <v>141</v>
      </c>
      <c r="C80" s="11" t="s">
        <v>23</v>
      </c>
      <c r="D80" s="11" t="s">
        <v>7</v>
      </c>
      <c r="E80" s="11" t="s">
        <v>493</v>
      </c>
      <c r="F80" s="27" t="s">
        <v>494</v>
      </c>
      <c r="G80" s="12" t="s">
        <v>164</v>
      </c>
      <c r="H80" s="31" t="s">
        <v>93</v>
      </c>
      <c r="I80" s="31" t="s">
        <v>25</v>
      </c>
      <c r="J80" s="32" t="s">
        <v>91</v>
      </c>
      <c r="K80" s="12" t="s">
        <v>515</v>
      </c>
      <c r="L80" s="12">
        <v>25</v>
      </c>
      <c r="M80" s="12" t="s">
        <v>624</v>
      </c>
      <c r="N80" s="12" t="s">
        <v>178</v>
      </c>
      <c r="O80" s="12" t="s">
        <v>0</v>
      </c>
      <c r="P80" s="12" t="s">
        <v>83</v>
      </c>
      <c r="Q80" s="11" t="s">
        <v>81</v>
      </c>
      <c r="R80" s="12">
        <v>25</v>
      </c>
      <c r="S80" s="14" t="s">
        <v>63</v>
      </c>
      <c r="T80" s="14" t="s">
        <v>15</v>
      </c>
      <c r="U80" s="14">
        <v>600</v>
      </c>
      <c r="V80" s="14" t="s">
        <v>62</v>
      </c>
      <c r="W80" s="11" t="s">
        <v>25</v>
      </c>
      <c r="X80" s="11" t="s">
        <v>25</v>
      </c>
      <c r="Y80" s="15"/>
    </row>
    <row r="81" spans="1:25" s="24" customFormat="1" ht="24.75" customHeight="1" x14ac:dyDescent="0.3">
      <c r="A81" s="11">
        <v>75</v>
      </c>
      <c r="B81" s="17" t="s">
        <v>141</v>
      </c>
      <c r="C81" s="11" t="s">
        <v>99</v>
      </c>
      <c r="D81" s="17" t="s">
        <v>17</v>
      </c>
      <c r="E81" s="11" t="s">
        <v>181</v>
      </c>
      <c r="F81" s="27" t="s">
        <v>559</v>
      </c>
      <c r="G81" s="12" t="s">
        <v>164</v>
      </c>
      <c r="H81" s="31">
        <v>50.3</v>
      </c>
      <c r="I81" s="31">
        <v>398.9</v>
      </c>
      <c r="J81" s="32" t="s">
        <v>91</v>
      </c>
      <c r="K81" s="14" t="s">
        <v>64</v>
      </c>
      <c r="L81" s="14">
        <v>80</v>
      </c>
      <c r="M81" s="12" t="s">
        <v>624</v>
      </c>
      <c r="N81" s="12" t="s">
        <v>22</v>
      </c>
      <c r="O81" s="12" t="s">
        <v>0</v>
      </c>
      <c r="P81" s="12" t="s">
        <v>25</v>
      </c>
      <c r="Q81" s="11" t="s">
        <v>81</v>
      </c>
      <c r="R81" s="12">
        <v>80</v>
      </c>
      <c r="S81" s="13" t="s">
        <v>563</v>
      </c>
      <c r="T81" s="13" t="s">
        <v>15</v>
      </c>
      <c r="U81" s="29" t="s">
        <v>566</v>
      </c>
      <c r="V81" s="13" t="s">
        <v>10</v>
      </c>
      <c r="W81" s="13" t="s">
        <v>25</v>
      </c>
      <c r="X81" s="13" t="s">
        <v>25</v>
      </c>
      <c r="Y81" s="15"/>
    </row>
    <row r="82" spans="1:25" s="16" customFormat="1" ht="24.75" customHeight="1" x14ac:dyDescent="0.3">
      <c r="A82" s="11">
        <v>76</v>
      </c>
      <c r="B82" s="17" t="s">
        <v>141</v>
      </c>
      <c r="C82" s="11" t="s">
        <v>23</v>
      </c>
      <c r="D82" s="11" t="s">
        <v>19</v>
      </c>
      <c r="E82" s="11" t="s">
        <v>498</v>
      </c>
      <c r="F82" s="27" t="s">
        <v>489</v>
      </c>
      <c r="G82" s="12" t="s">
        <v>164</v>
      </c>
      <c r="H82" s="31">
        <v>12</v>
      </c>
      <c r="I82" s="33">
        <v>330</v>
      </c>
      <c r="J82" s="33">
        <v>13</v>
      </c>
      <c r="K82" s="33" t="s">
        <v>642</v>
      </c>
      <c r="L82" s="32" t="s">
        <v>643</v>
      </c>
      <c r="M82" s="33" t="s">
        <v>644</v>
      </c>
      <c r="N82" s="12" t="s">
        <v>20</v>
      </c>
      <c r="O82" s="12" t="s">
        <v>86</v>
      </c>
      <c r="P82" s="12" t="s">
        <v>80</v>
      </c>
      <c r="Q82" s="12" t="s">
        <v>80</v>
      </c>
      <c r="R82" s="12" t="s">
        <v>643</v>
      </c>
      <c r="S82" s="33" t="s">
        <v>14</v>
      </c>
      <c r="T82" s="12" t="s">
        <v>89</v>
      </c>
      <c r="U82" s="12">
        <v>600</v>
      </c>
      <c r="V82" s="12" t="s">
        <v>568</v>
      </c>
      <c r="W82" s="11" t="s">
        <v>25</v>
      </c>
      <c r="X82" s="11" t="s">
        <v>25</v>
      </c>
      <c r="Y82" s="15"/>
    </row>
    <row r="83" spans="1:25" s="16" customFormat="1" ht="24.75" customHeight="1" x14ac:dyDescent="0.3">
      <c r="A83" s="11">
        <v>77</v>
      </c>
      <c r="B83" s="17" t="s">
        <v>141</v>
      </c>
      <c r="C83" s="11" t="s">
        <v>23</v>
      </c>
      <c r="D83" s="11" t="s">
        <v>7</v>
      </c>
      <c r="E83" s="11" t="s">
        <v>495</v>
      </c>
      <c r="F83" s="27" t="s">
        <v>490</v>
      </c>
      <c r="G83" s="12" t="s">
        <v>164</v>
      </c>
      <c r="H83" s="31">
        <v>12</v>
      </c>
      <c r="I83" s="31">
        <v>330</v>
      </c>
      <c r="J83" s="32" t="s">
        <v>91</v>
      </c>
      <c r="K83" s="12" t="s">
        <v>65</v>
      </c>
      <c r="L83" s="12">
        <v>50</v>
      </c>
      <c r="M83" s="33" t="s">
        <v>644</v>
      </c>
      <c r="N83" s="12" t="s">
        <v>178</v>
      </c>
      <c r="O83" s="12" t="s">
        <v>0</v>
      </c>
      <c r="P83" s="12" t="s">
        <v>84</v>
      </c>
      <c r="Q83" s="11" t="s">
        <v>81</v>
      </c>
      <c r="R83" s="12">
        <v>50</v>
      </c>
      <c r="S83" s="12" t="s">
        <v>25</v>
      </c>
      <c r="T83" s="12" t="s">
        <v>25</v>
      </c>
      <c r="U83" s="12" t="s">
        <v>25</v>
      </c>
      <c r="V83" s="12" t="s">
        <v>25</v>
      </c>
      <c r="W83" s="11" t="s">
        <v>25</v>
      </c>
      <c r="X83" s="11" t="s">
        <v>25</v>
      </c>
      <c r="Y83" s="15"/>
    </row>
    <row r="84" spans="1:25" s="16" customFormat="1" ht="24.75" customHeight="1" x14ac:dyDescent="0.3">
      <c r="A84" s="11">
        <v>78</v>
      </c>
      <c r="B84" s="17" t="s">
        <v>141</v>
      </c>
      <c r="C84" s="11" t="s">
        <v>23</v>
      </c>
      <c r="D84" s="11" t="s">
        <v>7</v>
      </c>
      <c r="E84" s="11" t="s">
        <v>496</v>
      </c>
      <c r="F84" s="27" t="s">
        <v>491</v>
      </c>
      <c r="G84" s="12" t="s">
        <v>164</v>
      </c>
      <c r="H84" s="31">
        <v>12</v>
      </c>
      <c r="I84" s="31">
        <v>330</v>
      </c>
      <c r="J84" s="32" t="s">
        <v>91</v>
      </c>
      <c r="K84" s="12" t="s">
        <v>65</v>
      </c>
      <c r="L84" s="12">
        <v>50</v>
      </c>
      <c r="M84" s="33" t="s">
        <v>644</v>
      </c>
      <c r="N84" s="12" t="s">
        <v>178</v>
      </c>
      <c r="O84" s="12" t="s">
        <v>0</v>
      </c>
      <c r="P84" s="12" t="s">
        <v>84</v>
      </c>
      <c r="Q84" s="11" t="s">
        <v>81</v>
      </c>
      <c r="R84" s="12">
        <v>50</v>
      </c>
      <c r="S84" s="12" t="s">
        <v>25</v>
      </c>
      <c r="T84" s="12" t="s">
        <v>25</v>
      </c>
      <c r="U84" s="12" t="s">
        <v>25</v>
      </c>
      <c r="V84" s="12" t="s">
        <v>25</v>
      </c>
      <c r="W84" s="11" t="s">
        <v>25</v>
      </c>
      <c r="X84" s="11" t="s">
        <v>25</v>
      </c>
      <c r="Y84" s="15"/>
    </row>
    <row r="85" spans="1:25" s="16" customFormat="1" ht="24.75" customHeight="1" x14ac:dyDescent="0.3">
      <c r="A85" s="11">
        <v>79</v>
      </c>
      <c r="B85" s="11" t="s">
        <v>499</v>
      </c>
      <c r="C85" s="11" t="s">
        <v>95</v>
      </c>
      <c r="D85" s="17" t="s">
        <v>41</v>
      </c>
      <c r="E85" s="17" t="s">
        <v>500</v>
      </c>
      <c r="F85" s="27" t="s">
        <v>501</v>
      </c>
      <c r="G85" s="12" t="s">
        <v>164</v>
      </c>
      <c r="H85" s="31">
        <v>147</v>
      </c>
      <c r="I85" s="31">
        <v>574</v>
      </c>
      <c r="J85" s="33" t="s">
        <v>91</v>
      </c>
      <c r="K85" s="12" t="s">
        <v>513</v>
      </c>
      <c r="L85" s="12">
        <v>40</v>
      </c>
      <c r="M85" s="14" t="s">
        <v>623</v>
      </c>
      <c r="N85" s="12" t="s">
        <v>178</v>
      </c>
      <c r="O85" s="14" t="s">
        <v>0</v>
      </c>
      <c r="P85" s="12" t="s">
        <v>92</v>
      </c>
      <c r="Q85" s="11" t="s">
        <v>81</v>
      </c>
      <c r="R85" s="12">
        <v>40</v>
      </c>
      <c r="S85" s="14" t="s">
        <v>565</v>
      </c>
      <c r="T85" s="14" t="s">
        <v>3</v>
      </c>
      <c r="U85" s="14">
        <v>2500</v>
      </c>
      <c r="V85" s="14" t="s">
        <v>62</v>
      </c>
      <c r="W85" s="11" t="s">
        <v>93</v>
      </c>
      <c r="X85" s="11" t="s">
        <v>93</v>
      </c>
      <c r="Y85" s="15"/>
    </row>
    <row r="86" spans="1:25" s="16" customFormat="1" ht="24.75" customHeight="1" x14ac:dyDescent="0.3">
      <c r="A86" s="11">
        <v>80</v>
      </c>
      <c r="B86" s="11" t="s">
        <v>499</v>
      </c>
      <c r="C86" s="11" t="s">
        <v>95</v>
      </c>
      <c r="D86" s="17" t="s">
        <v>41</v>
      </c>
      <c r="E86" s="17" t="s">
        <v>502</v>
      </c>
      <c r="F86" s="27" t="s">
        <v>581</v>
      </c>
      <c r="G86" s="12" t="s">
        <v>164</v>
      </c>
      <c r="H86" s="31">
        <v>147</v>
      </c>
      <c r="I86" s="31">
        <v>574</v>
      </c>
      <c r="J86" s="33" t="s">
        <v>91</v>
      </c>
      <c r="K86" s="12" t="s">
        <v>513</v>
      </c>
      <c r="L86" s="12">
        <v>40</v>
      </c>
      <c r="M86" s="14" t="s">
        <v>623</v>
      </c>
      <c r="N86" s="12" t="s">
        <v>178</v>
      </c>
      <c r="O86" s="14" t="s">
        <v>0</v>
      </c>
      <c r="P86" s="12" t="s">
        <v>92</v>
      </c>
      <c r="Q86" s="11" t="s">
        <v>81</v>
      </c>
      <c r="R86" s="12">
        <v>40</v>
      </c>
      <c r="S86" s="14" t="s">
        <v>565</v>
      </c>
      <c r="T86" s="14" t="s">
        <v>3</v>
      </c>
      <c r="U86" s="14">
        <v>2500</v>
      </c>
      <c r="V86" s="14" t="s">
        <v>62</v>
      </c>
      <c r="W86" s="11" t="s">
        <v>93</v>
      </c>
      <c r="X86" s="11" t="s">
        <v>93</v>
      </c>
      <c r="Y86" s="15"/>
    </row>
    <row r="87" spans="1:25" s="16" customFormat="1" ht="24.75" customHeight="1" x14ac:dyDescent="0.3">
      <c r="A87" s="11">
        <v>81</v>
      </c>
      <c r="B87" s="11" t="s">
        <v>49</v>
      </c>
      <c r="C87" s="11" t="s">
        <v>142</v>
      </c>
      <c r="D87" s="11" t="s">
        <v>7</v>
      </c>
      <c r="E87" s="11" t="s">
        <v>383</v>
      </c>
      <c r="F87" s="27" t="s">
        <v>582</v>
      </c>
      <c r="G87" s="12" t="s">
        <v>156</v>
      </c>
      <c r="H87" s="31">
        <v>4</v>
      </c>
      <c r="I87" s="34">
        <v>100</v>
      </c>
      <c r="J87" s="32" t="s">
        <v>91</v>
      </c>
      <c r="K87" s="12" t="s">
        <v>514</v>
      </c>
      <c r="L87" s="12">
        <v>50</v>
      </c>
      <c r="M87" s="12" t="s">
        <v>562</v>
      </c>
      <c r="N87" s="12" t="s">
        <v>178</v>
      </c>
      <c r="O87" s="12" t="s">
        <v>44</v>
      </c>
      <c r="P87" s="12" t="s">
        <v>83</v>
      </c>
      <c r="Q87" s="11" t="s">
        <v>81</v>
      </c>
      <c r="R87" s="12">
        <v>50</v>
      </c>
      <c r="S87" s="14" t="s">
        <v>63</v>
      </c>
      <c r="T87" s="12" t="s">
        <v>15</v>
      </c>
      <c r="U87" s="12">
        <v>600</v>
      </c>
      <c r="V87" s="12" t="s">
        <v>62</v>
      </c>
      <c r="W87" s="11" t="s">
        <v>25</v>
      </c>
      <c r="X87" s="11" t="s">
        <v>25</v>
      </c>
      <c r="Y87" s="15"/>
    </row>
    <row r="88" spans="1:25" s="16" customFormat="1" ht="24.75" customHeight="1" x14ac:dyDescent="0.3">
      <c r="A88" s="11">
        <v>82</v>
      </c>
      <c r="B88" s="11" t="s">
        <v>66</v>
      </c>
      <c r="C88" s="11" t="s">
        <v>143</v>
      </c>
      <c r="D88" s="11" t="s">
        <v>7</v>
      </c>
      <c r="E88" s="11" t="s">
        <v>388</v>
      </c>
      <c r="F88" s="27" t="s">
        <v>583</v>
      </c>
      <c r="G88" s="12" t="s">
        <v>156</v>
      </c>
      <c r="H88" s="31">
        <v>4</v>
      </c>
      <c r="I88" s="34">
        <v>100</v>
      </c>
      <c r="J88" s="35" t="s">
        <v>91</v>
      </c>
      <c r="K88" s="12" t="s">
        <v>514</v>
      </c>
      <c r="L88" s="12">
        <v>50</v>
      </c>
      <c r="M88" s="12" t="s">
        <v>562</v>
      </c>
      <c r="N88" s="12" t="s">
        <v>178</v>
      </c>
      <c r="O88" s="12" t="s">
        <v>44</v>
      </c>
      <c r="P88" s="12" t="s">
        <v>83</v>
      </c>
      <c r="Q88" s="11" t="s">
        <v>81</v>
      </c>
      <c r="R88" s="12">
        <v>50</v>
      </c>
      <c r="S88" s="14" t="s">
        <v>63</v>
      </c>
      <c r="T88" s="12" t="s">
        <v>15</v>
      </c>
      <c r="U88" s="12">
        <v>600</v>
      </c>
      <c r="V88" s="12" t="s">
        <v>62</v>
      </c>
      <c r="W88" s="11" t="s">
        <v>25</v>
      </c>
      <c r="X88" s="11" t="s">
        <v>25</v>
      </c>
      <c r="Y88" s="15"/>
    </row>
    <row r="89" spans="1:25" s="16" customFormat="1" ht="24.75" customHeight="1" x14ac:dyDescent="0.3">
      <c r="A89" s="11">
        <v>83</v>
      </c>
      <c r="B89" s="11" t="s">
        <v>50</v>
      </c>
      <c r="C89" s="11" t="s">
        <v>24</v>
      </c>
      <c r="D89" s="11" t="s">
        <v>17</v>
      </c>
      <c r="E89" s="11" t="s">
        <v>254</v>
      </c>
      <c r="F89" s="27" t="s">
        <v>302</v>
      </c>
      <c r="G89" s="12" t="s">
        <v>156</v>
      </c>
      <c r="H89" s="31" t="s">
        <v>93</v>
      </c>
      <c r="I89" s="31" t="s">
        <v>25</v>
      </c>
      <c r="J89" s="32" t="s">
        <v>91</v>
      </c>
      <c r="K89" s="12" t="s">
        <v>255</v>
      </c>
      <c r="L89" s="12">
        <v>150</v>
      </c>
      <c r="M89" s="12" t="s">
        <v>25</v>
      </c>
      <c r="N89" s="12" t="s">
        <v>22</v>
      </c>
      <c r="O89" s="12" t="s">
        <v>0</v>
      </c>
      <c r="P89" s="12" t="s">
        <v>84</v>
      </c>
      <c r="Q89" s="11" t="s">
        <v>81</v>
      </c>
      <c r="R89" s="12">
        <v>150</v>
      </c>
      <c r="S89" s="12" t="s">
        <v>25</v>
      </c>
      <c r="T89" s="12" t="s">
        <v>25</v>
      </c>
      <c r="U89" s="12" t="s">
        <v>25</v>
      </c>
      <c r="V89" s="12" t="s">
        <v>25</v>
      </c>
      <c r="W89" s="11" t="s">
        <v>25</v>
      </c>
      <c r="X89" s="11" t="s">
        <v>25</v>
      </c>
      <c r="Y89" s="12"/>
    </row>
    <row r="90" spans="1:25" s="16" customFormat="1" ht="24.75" customHeight="1" x14ac:dyDescent="0.3">
      <c r="A90" s="11">
        <v>84</v>
      </c>
      <c r="B90" s="11" t="s">
        <v>50</v>
      </c>
      <c r="C90" s="11" t="s">
        <v>24</v>
      </c>
      <c r="D90" s="11" t="s">
        <v>7</v>
      </c>
      <c r="E90" s="11" t="s">
        <v>381</v>
      </c>
      <c r="F90" s="27" t="s">
        <v>303</v>
      </c>
      <c r="G90" s="12" t="s">
        <v>156</v>
      </c>
      <c r="H90" s="31" t="s">
        <v>93</v>
      </c>
      <c r="I90" s="31" t="s">
        <v>25</v>
      </c>
      <c r="J90" s="32" t="s">
        <v>91</v>
      </c>
      <c r="K90" s="12" t="s">
        <v>67</v>
      </c>
      <c r="L90" s="12">
        <v>100</v>
      </c>
      <c r="M90" s="14" t="s">
        <v>25</v>
      </c>
      <c r="N90" s="12" t="s">
        <v>178</v>
      </c>
      <c r="O90" s="12" t="s">
        <v>8</v>
      </c>
      <c r="P90" s="12" t="s">
        <v>83</v>
      </c>
      <c r="Q90" s="11" t="s">
        <v>81</v>
      </c>
      <c r="R90" s="12">
        <v>100</v>
      </c>
      <c r="S90" s="14" t="s">
        <v>25</v>
      </c>
      <c r="T90" s="14" t="s">
        <v>25</v>
      </c>
      <c r="U90" s="14" t="s">
        <v>25</v>
      </c>
      <c r="V90" s="14" t="s">
        <v>25</v>
      </c>
      <c r="W90" s="11" t="s">
        <v>25</v>
      </c>
      <c r="X90" s="11" t="s">
        <v>25</v>
      </c>
      <c r="Y90" s="15"/>
    </row>
    <row r="91" spans="1:25" s="16" customFormat="1" ht="24.75" customHeight="1" x14ac:dyDescent="0.3">
      <c r="A91" s="11">
        <v>85</v>
      </c>
      <c r="B91" s="11" t="s">
        <v>50</v>
      </c>
      <c r="C91" s="11" t="s">
        <v>24</v>
      </c>
      <c r="D91" s="11" t="s">
        <v>7</v>
      </c>
      <c r="E91" s="11" t="s">
        <v>382</v>
      </c>
      <c r="F91" s="27" t="s">
        <v>304</v>
      </c>
      <c r="G91" s="12" t="s">
        <v>156</v>
      </c>
      <c r="H91" s="31" t="s">
        <v>93</v>
      </c>
      <c r="I91" s="31" t="s">
        <v>25</v>
      </c>
      <c r="J91" s="32" t="s">
        <v>91</v>
      </c>
      <c r="K91" s="12" t="s">
        <v>67</v>
      </c>
      <c r="L91" s="12">
        <v>100</v>
      </c>
      <c r="M91" s="14" t="s">
        <v>25</v>
      </c>
      <c r="N91" s="12" t="s">
        <v>178</v>
      </c>
      <c r="O91" s="12" t="s">
        <v>8</v>
      </c>
      <c r="P91" s="12" t="s">
        <v>83</v>
      </c>
      <c r="Q91" s="11" t="s">
        <v>81</v>
      </c>
      <c r="R91" s="12">
        <v>100</v>
      </c>
      <c r="S91" s="14" t="s">
        <v>25</v>
      </c>
      <c r="T91" s="14" t="s">
        <v>25</v>
      </c>
      <c r="U91" s="14" t="s">
        <v>25</v>
      </c>
      <c r="V91" s="14" t="s">
        <v>25</v>
      </c>
      <c r="W91" s="11" t="s">
        <v>25</v>
      </c>
      <c r="X91" s="11" t="s">
        <v>25</v>
      </c>
      <c r="Y91" s="15"/>
    </row>
    <row r="92" spans="1:25" s="16" customFormat="1" ht="24.75" customHeight="1" x14ac:dyDescent="0.3">
      <c r="A92" s="11">
        <v>86</v>
      </c>
      <c r="B92" s="11" t="s">
        <v>51</v>
      </c>
      <c r="C92" s="11" t="s">
        <v>27</v>
      </c>
      <c r="D92" s="11" t="s">
        <v>17</v>
      </c>
      <c r="E92" s="11" t="s">
        <v>256</v>
      </c>
      <c r="F92" s="27" t="s">
        <v>305</v>
      </c>
      <c r="G92" s="12" t="s">
        <v>156</v>
      </c>
      <c r="H92" s="31" t="s">
        <v>93</v>
      </c>
      <c r="I92" s="31" t="s">
        <v>25</v>
      </c>
      <c r="J92" s="32" t="s">
        <v>91</v>
      </c>
      <c r="K92" s="12" t="s">
        <v>255</v>
      </c>
      <c r="L92" s="12">
        <v>150</v>
      </c>
      <c r="M92" s="12" t="s">
        <v>25</v>
      </c>
      <c r="N92" s="12" t="s">
        <v>22</v>
      </c>
      <c r="O92" s="12" t="s">
        <v>0</v>
      </c>
      <c r="P92" s="12" t="s">
        <v>84</v>
      </c>
      <c r="Q92" s="11" t="s">
        <v>81</v>
      </c>
      <c r="R92" s="12">
        <v>150</v>
      </c>
      <c r="S92" s="12" t="s">
        <v>25</v>
      </c>
      <c r="T92" s="12" t="s">
        <v>25</v>
      </c>
      <c r="U92" s="12" t="s">
        <v>25</v>
      </c>
      <c r="V92" s="12" t="s">
        <v>25</v>
      </c>
      <c r="W92" s="11" t="s">
        <v>25</v>
      </c>
      <c r="X92" s="11" t="s">
        <v>25</v>
      </c>
      <c r="Y92" s="12"/>
    </row>
    <row r="93" spans="1:25" s="16" customFormat="1" ht="24.75" customHeight="1" x14ac:dyDescent="0.3">
      <c r="A93" s="11">
        <v>87</v>
      </c>
      <c r="B93" s="11" t="s">
        <v>51</v>
      </c>
      <c r="C93" s="11" t="s">
        <v>27</v>
      </c>
      <c r="D93" s="11" t="s">
        <v>7</v>
      </c>
      <c r="E93" s="11" t="s">
        <v>386</v>
      </c>
      <c r="F93" s="27" t="s">
        <v>306</v>
      </c>
      <c r="G93" s="12" t="s">
        <v>156</v>
      </c>
      <c r="H93" s="31" t="s">
        <v>93</v>
      </c>
      <c r="I93" s="31" t="s">
        <v>25</v>
      </c>
      <c r="J93" s="32" t="s">
        <v>91</v>
      </c>
      <c r="K93" s="12" t="s">
        <v>67</v>
      </c>
      <c r="L93" s="12">
        <v>100</v>
      </c>
      <c r="M93" s="14" t="s">
        <v>25</v>
      </c>
      <c r="N93" s="12" t="s">
        <v>178</v>
      </c>
      <c r="O93" s="12" t="s">
        <v>8</v>
      </c>
      <c r="P93" s="12" t="s">
        <v>83</v>
      </c>
      <c r="Q93" s="11" t="s">
        <v>81</v>
      </c>
      <c r="R93" s="12">
        <v>100</v>
      </c>
      <c r="S93" s="14" t="s">
        <v>25</v>
      </c>
      <c r="T93" s="14" t="s">
        <v>25</v>
      </c>
      <c r="U93" s="14" t="s">
        <v>25</v>
      </c>
      <c r="V93" s="14" t="s">
        <v>25</v>
      </c>
      <c r="W93" s="11" t="s">
        <v>25</v>
      </c>
      <c r="X93" s="11" t="s">
        <v>25</v>
      </c>
      <c r="Y93" s="15"/>
    </row>
    <row r="94" spans="1:25" s="16" customFormat="1" ht="24.75" customHeight="1" x14ac:dyDescent="0.3">
      <c r="A94" s="11">
        <v>88</v>
      </c>
      <c r="B94" s="11" t="s">
        <v>51</v>
      </c>
      <c r="C94" s="11" t="s">
        <v>27</v>
      </c>
      <c r="D94" s="11" t="s">
        <v>7</v>
      </c>
      <c r="E94" s="11" t="s">
        <v>387</v>
      </c>
      <c r="F94" s="27" t="s">
        <v>307</v>
      </c>
      <c r="G94" s="12" t="s">
        <v>156</v>
      </c>
      <c r="H94" s="31" t="s">
        <v>93</v>
      </c>
      <c r="I94" s="31" t="s">
        <v>25</v>
      </c>
      <c r="J94" s="32" t="s">
        <v>91</v>
      </c>
      <c r="K94" s="12" t="s">
        <v>67</v>
      </c>
      <c r="L94" s="12">
        <v>100</v>
      </c>
      <c r="M94" s="14" t="s">
        <v>25</v>
      </c>
      <c r="N94" s="12" t="s">
        <v>178</v>
      </c>
      <c r="O94" s="12" t="s">
        <v>8</v>
      </c>
      <c r="P94" s="12" t="s">
        <v>83</v>
      </c>
      <c r="Q94" s="11" t="s">
        <v>81</v>
      </c>
      <c r="R94" s="12">
        <v>100</v>
      </c>
      <c r="S94" s="14" t="s">
        <v>25</v>
      </c>
      <c r="T94" s="14" t="s">
        <v>25</v>
      </c>
      <c r="U94" s="14" t="s">
        <v>25</v>
      </c>
      <c r="V94" s="14" t="s">
        <v>25</v>
      </c>
      <c r="W94" s="11" t="s">
        <v>25</v>
      </c>
      <c r="X94" s="11" t="s">
        <v>25</v>
      </c>
      <c r="Y94" s="15"/>
    </row>
    <row r="95" spans="1:25" s="16" customFormat="1" ht="24.75" customHeight="1" x14ac:dyDescent="0.3">
      <c r="A95" s="11">
        <v>89</v>
      </c>
      <c r="B95" s="11" t="s">
        <v>52</v>
      </c>
      <c r="C95" s="11" t="s">
        <v>28</v>
      </c>
      <c r="D95" s="11" t="s">
        <v>7</v>
      </c>
      <c r="E95" s="11" t="s">
        <v>389</v>
      </c>
      <c r="F95" s="27" t="s">
        <v>308</v>
      </c>
      <c r="G95" s="12" t="s">
        <v>156</v>
      </c>
      <c r="H95" s="31" t="s">
        <v>93</v>
      </c>
      <c r="I95" s="31" t="s">
        <v>25</v>
      </c>
      <c r="J95" s="32" t="s">
        <v>91</v>
      </c>
      <c r="K95" s="12" t="s">
        <v>68</v>
      </c>
      <c r="L95" s="12">
        <v>100</v>
      </c>
      <c r="M95" s="14" t="s">
        <v>25</v>
      </c>
      <c r="N95" s="12" t="s">
        <v>178</v>
      </c>
      <c r="O95" s="12" t="s">
        <v>8</v>
      </c>
      <c r="P95" s="12" t="s">
        <v>83</v>
      </c>
      <c r="Q95" s="11" t="s">
        <v>81</v>
      </c>
      <c r="R95" s="12">
        <v>100</v>
      </c>
      <c r="S95" s="14" t="s">
        <v>25</v>
      </c>
      <c r="T95" s="14" t="s">
        <v>25</v>
      </c>
      <c r="U95" s="14" t="s">
        <v>25</v>
      </c>
      <c r="V95" s="14" t="s">
        <v>25</v>
      </c>
      <c r="W95" s="11" t="s">
        <v>25</v>
      </c>
      <c r="X95" s="11" t="s">
        <v>25</v>
      </c>
      <c r="Y95" s="15"/>
    </row>
    <row r="96" spans="1:25" s="16" customFormat="1" ht="24.75" customHeight="1" x14ac:dyDescent="0.3">
      <c r="A96" s="11">
        <v>90</v>
      </c>
      <c r="B96" s="11" t="s">
        <v>52</v>
      </c>
      <c r="C96" s="11" t="s">
        <v>28</v>
      </c>
      <c r="D96" s="11" t="s">
        <v>7</v>
      </c>
      <c r="E96" s="11" t="s">
        <v>390</v>
      </c>
      <c r="F96" s="27" t="s">
        <v>309</v>
      </c>
      <c r="G96" s="12" t="s">
        <v>156</v>
      </c>
      <c r="H96" s="31" t="s">
        <v>93</v>
      </c>
      <c r="I96" s="31" t="s">
        <v>25</v>
      </c>
      <c r="J96" s="32" t="s">
        <v>91</v>
      </c>
      <c r="K96" s="12" t="s">
        <v>68</v>
      </c>
      <c r="L96" s="12">
        <v>100</v>
      </c>
      <c r="M96" s="14" t="s">
        <v>25</v>
      </c>
      <c r="N96" s="12" t="s">
        <v>178</v>
      </c>
      <c r="O96" s="12" t="s">
        <v>8</v>
      </c>
      <c r="P96" s="12" t="s">
        <v>83</v>
      </c>
      <c r="Q96" s="11" t="s">
        <v>81</v>
      </c>
      <c r="R96" s="12">
        <v>100</v>
      </c>
      <c r="S96" s="14" t="s">
        <v>25</v>
      </c>
      <c r="T96" s="14" t="s">
        <v>25</v>
      </c>
      <c r="U96" s="14" t="s">
        <v>25</v>
      </c>
      <c r="V96" s="14" t="s">
        <v>25</v>
      </c>
      <c r="W96" s="11" t="s">
        <v>25</v>
      </c>
      <c r="X96" s="11" t="s">
        <v>25</v>
      </c>
      <c r="Y96" s="15"/>
    </row>
    <row r="97" spans="1:25" s="16" customFormat="1" ht="24.75" customHeight="1" x14ac:dyDescent="0.3">
      <c r="A97" s="11">
        <v>91</v>
      </c>
      <c r="B97" s="11" t="s">
        <v>53</v>
      </c>
      <c r="C97" s="11" t="s">
        <v>29</v>
      </c>
      <c r="D97" s="11" t="s">
        <v>7</v>
      </c>
      <c r="E97" s="11" t="s">
        <v>391</v>
      </c>
      <c r="F97" s="27" t="s">
        <v>310</v>
      </c>
      <c r="G97" s="12" t="s">
        <v>156</v>
      </c>
      <c r="H97" s="31" t="s">
        <v>93</v>
      </c>
      <c r="I97" s="31" t="s">
        <v>25</v>
      </c>
      <c r="J97" s="32" t="s">
        <v>91</v>
      </c>
      <c r="K97" s="12" t="s">
        <v>68</v>
      </c>
      <c r="L97" s="12">
        <v>100</v>
      </c>
      <c r="M97" s="14" t="s">
        <v>25</v>
      </c>
      <c r="N97" s="12" t="s">
        <v>178</v>
      </c>
      <c r="O97" s="12" t="s">
        <v>8</v>
      </c>
      <c r="P97" s="12" t="s">
        <v>83</v>
      </c>
      <c r="Q97" s="11" t="s">
        <v>81</v>
      </c>
      <c r="R97" s="12">
        <v>100</v>
      </c>
      <c r="S97" s="14" t="s">
        <v>25</v>
      </c>
      <c r="T97" s="14" t="s">
        <v>25</v>
      </c>
      <c r="U97" s="14" t="s">
        <v>25</v>
      </c>
      <c r="V97" s="14" t="s">
        <v>25</v>
      </c>
      <c r="W97" s="11" t="s">
        <v>25</v>
      </c>
      <c r="X97" s="11" t="s">
        <v>25</v>
      </c>
      <c r="Y97" s="15"/>
    </row>
    <row r="98" spans="1:25" s="16" customFormat="1" ht="24.75" customHeight="1" x14ac:dyDescent="0.3">
      <c r="A98" s="11">
        <v>92</v>
      </c>
      <c r="B98" s="11" t="s">
        <v>53</v>
      </c>
      <c r="C98" s="11" t="s">
        <v>29</v>
      </c>
      <c r="D98" s="11" t="s">
        <v>7</v>
      </c>
      <c r="E98" s="11" t="s">
        <v>392</v>
      </c>
      <c r="F98" s="27" t="s">
        <v>311</v>
      </c>
      <c r="G98" s="12" t="s">
        <v>156</v>
      </c>
      <c r="H98" s="31" t="s">
        <v>93</v>
      </c>
      <c r="I98" s="31" t="s">
        <v>25</v>
      </c>
      <c r="J98" s="32" t="s">
        <v>91</v>
      </c>
      <c r="K98" s="12" t="s">
        <v>68</v>
      </c>
      <c r="L98" s="12">
        <v>100</v>
      </c>
      <c r="M98" s="14" t="s">
        <v>25</v>
      </c>
      <c r="N98" s="12" t="s">
        <v>178</v>
      </c>
      <c r="O98" s="12" t="s">
        <v>8</v>
      </c>
      <c r="P98" s="12" t="s">
        <v>83</v>
      </c>
      <c r="Q98" s="11" t="s">
        <v>81</v>
      </c>
      <c r="R98" s="12">
        <v>100</v>
      </c>
      <c r="S98" s="14" t="s">
        <v>25</v>
      </c>
      <c r="T98" s="14" t="s">
        <v>25</v>
      </c>
      <c r="U98" s="14" t="s">
        <v>25</v>
      </c>
      <c r="V98" s="14" t="s">
        <v>25</v>
      </c>
      <c r="W98" s="11" t="s">
        <v>25</v>
      </c>
      <c r="X98" s="11" t="s">
        <v>25</v>
      </c>
      <c r="Y98" s="15"/>
    </row>
    <row r="99" spans="1:25" s="16" customFormat="1" ht="24.75" customHeight="1" x14ac:dyDescent="0.3">
      <c r="A99" s="11">
        <v>93</v>
      </c>
      <c r="B99" s="11" t="s">
        <v>54</v>
      </c>
      <c r="C99" s="11" t="s">
        <v>30</v>
      </c>
      <c r="D99" s="11" t="s">
        <v>7</v>
      </c>
      <c r="E99" s="11" t="s">
        <v>393</v>
      </c>
      <c r="F99" s="27" t="s">
        <v>312</v>
      </c>
      <c r="G99" s="12" t="s">
        <v>156</v>
      </c>
      <c r="H99" s="31" t="s">
        <v>93</v>
      </c>
      <c r="I99" s="31" t="s">
        <v>25</v>
      </c>
      <c r="J99" s="32" t="s">
        <v>91</v>
      </c>
      <c r="K99" s="12" t="s">
        <v>68</v>
      </c>
      <c r="L99" s="12">
        <v>100</v>
      </c>
      <c r="M99" s="14" t="s">
        <v>25</v>
      </c>
      <c r="N99" s="12" t="s">
        <v>178</v>
      </c>
      <c r="O99" s="12" t="s">
        <v>8</v>
      </c>
      <c r="P99" s="12" t="s">
        <v>83</v>
      </c>
      <c r="Q99" s="11" t="s">
        <v>81</v>
      </c>
      <c r="R99" s="12">
        <v>100</v>
      </c>
      <c r="S99" s="14" t="s">
        <v>25</v>
      </c>
      <c r="T99" s="14" t="s">
        <v>25</v>
      </c>
      <c r="U99" s="14" t="s">
        <v>25</v>
      </c>
      <c r="V99" s="14" t="s">
        <v>25</v>
      </c>
      <c r="W99" s="11" t="s">
        <v>25</v>
      </c>
      <c r="X99" s="11" t="s">
        <v>25</v>
      </c>
      <c r="Y99" s="15"/>
    </row>
    <row r="100" spans="1:25" s="16" customFormat="1" ht="24.75" customHeight="1" x14ac:dyDescent="0.3">
      <c r="A100" s="11">
        <v>94</v>
      </c>
      <c r="B100" s="11" t="s">
        <v>54</v>
      </c>
      <c r="C100" s="11" t="s">
        <v>30</v>
      </c>
      <c r="D100" s="11" t="s">
        <v>7</v>
      </c>
      <c r="E100" s="11" t="s">
        <v>394</v>
      </c>
      <c r="F100" s="27" t="s">
        <v>313</v>
      </c>
      <c r="G100" s="12" t="s">
        <v>156</v>
      </c>
      <c r="H100" s="31" t="s">
        <v>93</v>
      </c>
      <c r="I100" s="31" t="s">
        <v>25</v>
      </c>
      <c r="J100" s="32" t="s">
        <v>91</v>
      </c>
      <c r="K100" s="12" t="s">
        <v>68</v>
      </c>
      <c r="L100" s="12">
        <v>100</v>
      </c>
      <c r="M100" s="14" t="s">
        <v>25</v>
      </c>
      <c r="N100" s="12" t="s">
        <v>178</v>
      </c>
      <c r="O100" s="12" t="s">
        <v>8</v>
      </c>
      <c r="P100" s="12" t="s">
        <v>83</v>
      </c>
      <c r="Q100" s="11" t="s">
        <v>81</v>
      </c>
      <c r="R100" s="12">
        <v>100</v>
      </c>
      <c r="S100" s="14" t="s">
        <v>25</v>
      </c>
      <c r="T100" s="14" t="s">
        <v>25</v>
      </c>
      <c r="U100" s="14" t="s">
        <v>25</v>
      </c>
      <c r="V100" s="14" t="s">
        <v>25</v>
      </c>
      <c r="W100" s="11" t="s">
        <v>25</v>
      </c>
      <c r="X100" s="11" t="s">
        <v>25</v>
      </c>
      <c r="Y100" s="15"/>
    </row>
    <row r="101" spans="1:25" s="16" customFormat="1" ht="24.75" customHeight="1" x14ac:dyDescent="0.3">
      <c r="A101" s="11">
        <v>95</v>
      </c>
      <c r="B101" s="11" t="s">
        <v>55</v>
      </c>
      <c r="C101" s="11" t="s">
        <v>31</v>
      </c>
      <c r="D101" s="11" t="s">
        <v>7</v>
      </c>
      <c r="E101" s="11" t="s">
        <v>395</v>
      </c>
      <c r="F101" s="27" t="s">
        <v>314</v>
      </c>
      <c r="G101" s="12" t="s">
        <v>156</v>
      </c>
      <c r="H101" s="31" t="s">
        <v>93</v>
      </c>
      <c r="I101" s="31" t="s">
        <v>25</v>
      </c>
      <c r="J101" s="32" t="s">
        <v>91</v>
      </c>
      <c r="K101" s="12" t="s">
        <v>68</v>
      </c>
      <c r="L101" s="12">
        <v>80</v>
      </c>
      <c r="M101" s="14" t="s">
        <v>25</v>
      </c>
      <c r="N101" s="12" t="s">
        <v>178</v>
      </c>
      <c r="O101" s="12" t="s">
        <v>8</v>
      </c>
      <c r="P101" s="12" t="s">
        <v>83</v>
      </c>
      <c r="Q101" s="11" t="s">
        <v>81</v>
      </c>
      <c r="R101" s="12">
        <v>80</v>
      </c>
      <c r="S101" s="14" t="s">
        <v>25</v>
      </c>
      <c r="T101" s="14" t="s">
        <v>25</v>
      </c>
      <c r="U101" s="14" t="s">
        <v>25</v>
      </c>
      <c r="V101" s="14" t="s">
        <v>25</v>
      </c>
      <c r="W101" s="11" t="s">
        <v>25</v>
      </c>
      <c r="X101" s="11" t="s">
        <v>25</v>
      </c>
      <c r="Y101" s="15"/>
    </row>
    <row r="102" spans="1:25" s="16" customFormat="1" ht="24.75" customHeight="1" x14ac:dyDescent="0.3">
      <c r="A102" s="11">
        <v>96</v>
      </c>
      <c r="B102" s="11" t="s">
        <v>55</v>
      </c>
      <c r="C102" s="11" t="s">
        <v>31</v>
      </c>
      <c r="D102" s="11" t="s">
        <v>7</v>
      </c>
      <c r="E102" s="11" t="s">
        <v>396</v>
      </c>
      <c r="F102" s="27" t="s">
        <v>315</v>
      </c>
      <c r="G102" s="12" t="s">
        <v>156</v>
      </c>
      <c r="H102" s="31" t="s">
        <v>93</v>
      </c>
      <c r="I102" s="31" t="s">
        <v>25</v>
      </c>
      <c r="J102" s="32" t="s">
        <v>91</v>
      </c>
      <c r="K102" s="12" t="s">
        <v>68</v>
      </c>
      <c r="L102" s="12">
        <v>80</v>
      </c>
      <c r="M102" s="14" t="s">
        <v>25</v>
      </c>
      <c r="N102" s="12" t="s">
        <v>178</v>
      </c>
      <c r="O102" s="12" t="s">
        <v>8</v>
      </c>
      <c r="P102" s="12" t="s">
        <v>83</v>
      </c>
      <c r="Q102" s="11" t="s">
        <v>81</v>
      </c>
      <c r="R102" s="12">
        <v>80</v>
      </c>
      <c r="S102" s="14" t="s">
        <v>25</v>
      </c>
      <c r="T102" s="14" t="s">
        <v>25</v>
      </c>
      <c r="U102" s="14" t="s">
        <v>25</v>
      </c>
      <c r="V102" s="14" t="s">
        <v>25</v>
      </c>
      <c r="W102" s="11" t="s">
        <v>25</v>
      </c>
      <c r="X102" s="11" t="s">
        <v>25</v>
      </c>
      <c r="Y102" s="15"/>
    </row>
    <row r="103" spans="1:25" s="16" customFormat="1" ht="24.75" customHeight="1" x14ac:dyDescent="0.3">
      <c r="A103" s="11">
        <v>97</v>
      </c>
      <c r="B103" s="11" t="s">
        <v>56</v>
      </c>
      <c r="C103" s="11" t="s">
        <v>32</v>
      </c>
      <c r="D103" s="11" t="s">
        <v>7</v>
      </c>
      <c r="E103" s="11" t="s">
        <v>397</v>
      </c>
      <c r="F103" s="27" t="s">
        <v>316</v>
      </c>
      <c r="G103" s="12" t="s">
        <v>156</v>
      </c>
      <c r="H103" s="31" t="s">
        <v>93</v>
      </c>
      <c r="I103" s="31" t="s">
        <v>25</v>
      </c>
      <c r="J103" s="32" t="s">
        <v>91</v>
      </c>
      <c r="K103" s="12" t="s">
        <v>68</v>
      </c>
      <c r="L103" s="12">
        <v>80</v>
      </c>
      <c r="M103" s="14" t="s">
        <v>25</v>
      </c>
      <c r="N103" s="12" t="s">
        <v>178</v>
      </c>
      <c r="O103" s="12" t="s">
        <v>8</v>
      </c>
      <c r="P103" s="12" t="s">
        <v>83</v>
      </c>
      <c r="Q103" s="11" t="s">
        <v>81</v>
      </c>
      <c r="R103" s="12">
        <v>80</v>
      </c>
      <c r="S103" s="14" t="s">
        <v>25</v>
      </c>
      <c r="T103" s="14" t="s">
        <v>25</v>
      </c>
      <c r="U103" s="14" t="s">
        <v>25</v>
      </c>
      <c r="V103" s="14" t="s">
        <v>25</v>
      </c>
      <c r="W103" s="11" t="s">
        <v>25</v>
      </c>
      <c r="X103" s="11" t="s">
        <v>25</v>
      </c>
      <c r="Y103" s="15"/>
    </row>
    <row r="104" spans="1:25" s="16" customFormat="1" ht="24.75" customHeight="1" x14ac:dyDescent="0.3">
      <c r="A104" s="11">
        <v>98</v>
      </c>
      <c r="B104" s="11" t="s">
        <v>56</v>
      </c>
      <c r="C104" s="11" t="s">
        <v>32</v>
      </c>
      <c r="D104" s="11" t="s">
        <v>7</v>
      </c>
      <c r="E104" s="11" t="s">
        <v>398</v>
      </c>
      <c r="F104" s="27" t="s">
        <v>317</v>
      </c>
      <c r="G104" s="12" t="s">
        <v>156</v>
      </c>
      <c r="H104" s="31" t="s">
        <v>93</v>
      </c>
      <c r="I104" s="31" t="s">
        <v>25</v>
      </c>
      <c r="J104" s="32" t="s">
        <v>91</v>
      </c>
      <c r="K104" s="12" t="s">
        <v>68</v>
      </c>
      <c r="L104" s="12">
        <v>80</v>
      </c>
      <c r="M104" s="14" t="s">
        <v>25</v>
      </c>
      <c r="N104" s="12" t="s">
        <v>178</v>
      </c>
      <c r="O104" s="12" t="s">
        <v>8</v>
      </c>
      <c r="P104" s="12" t="s">
        <v>83</v>
      </c>
      <c r="Q104" s="11" t="s">
        <v>81</v>
      </c>
      <c r="R104" s="12">
        <v>80</v>
      </c>
      <c r="S104" s="14" t="s">
        <v>25</v>
      </c>
      <c r="T104" s="14" t="s">
        <v>25</v>
      </c>
      <c r="U104" s="14" t="s">
        <v>25</v>
      </c>
      <c r="V104" s="14" t="s">
        <v>25</v>
      </c>
      <c r="W104" s="11" t="s">
        <v>25</v>
      </c>
      <c r="X104" s="11" t="s">
        <v>25</v>
      </c>
      <c r="Y104" s="15"/>
    </row>
    <row r="105" spans="1:25" s="24" customFormat="1" ht="24.75" customHeight="1" x14ac:dyDescent="0.3">
      <c r="A105" s="11">
        <v>99</v>
      </c>
      <c r="B105" s="11" t="s">
        <v>57</v>
      </c>
      <c r="C105" s="17" t="s">
        <v>34</v>
      </c>
      <c r="D105" s="17" t="s">
        <v>17</v>
      </c>
      <c r="E105" s="17" t="s">
        <v>69</v>
      </c>
      <c r="F105" s="27" t="s">
        <v>318</v>
      </c>
      <c r="G105" s="12" t="s">
        <v>156</v>
      </c>
      <c r="H105" s="31" t="s">
        <v>93</v>
      </c>
      <c r="I105" s="31" t="s">
        <v>25</v>
      </c>
      <c r="J105" s="32" t="s">
        <v>91</v>
      </c>
      <c r="K105" s="19" t="s">
        <v>625</v>
      </c>
      <c r="L105" s="14">
        <v>100</v>
      </c>
      <c r="M105" s="12" t="s">
        <v>619</v>
      </c>
      <c r="N105" s="12" t="s">
        <v>22</v>
      </c>
      <c r="O105" s="12" t="s">
        <v>0</v>
      </c>
      <c r="P105" s="12" t="s">
        <v>84</v>
      </c>
      <c r="Q105" s="11" t="s">
        <v>81</v>
      </c>
      <c r="R105" s="12">
        <v>100</v>
      </c>
      <c r="S105" s="12" t="s">
        <v>78</v>
      </c>
      <c r="T105" s="12" t="s">
        <v>87</v>
      </c>
      <c r="U105" s="20">
        <v>150</v>
      </c>
      <c r="V105" s="12" t="s">
        <v>10</v>
      </c>
      <c r="W105" s="11" t="s">
        <v>25</v>
      </c>
      <c r="X105" s="11" t="s">
        <v>25</v>
      </c>
      <c r="Y105" s="15"/>
    </row>
    <row r="106" spans="1:25" s="16" customFormat="1" ht="24.75" customHeight="1" x14ac:dyDescent="0.3">
      <c r="A106" s="11">
        <v>100</v>
      </c>
      <c r="B106" s="11" t="s">
        <v>58</v>
      </c>
      <c r="C106" s="17" t="s">
        <v>33</v>
      </c>
      <c r="D106" s="11" t="s">
        <v>26</v>
      </c>
      <c r="E106" s="11" t="s">
        <v>379</v>
      </c>
      <c r="F106" s="27" t="s">
        <v>613</v>
      </c>
      <c r="G106" s="12" t="s">
        <v>156</v>
      </c>
      <c r="H106" s="31">
        <v>4</v>
      </c>
      <c r="I106" s="34">
        <v>100</v>
      </c>
      <c r="J106" s="31">
        <v>13</v>
      </c>
      <c r="K106" s="12" t="s">
        <v>70</v>
      </c>
      <c r="L106" s="12">
        <v>50</v>
      </c>
      <c r="M106" s="12" t="s">
        <v>569</v>
      </c>
      <c r="N106" s="12" t="s">
        <v>20</v>
      </c>
      <c r="O106" s="12" t="s">
        <v>0</v>
      </c>
      <c r="P106" s="12" t="s">
        <v>80</v>
      </c>
      <c r="Q106" s="12" t="s">
        <v>80</v>
      </c>
      <c r="R106" s="12">
        <v>50</v>
      </c>
      <c r="S106" s="14" t="s">
        <v>63</v>
      </c>
      <c r="T106" s="20" t="s">
        <v>15</v>
      </c>
      <c r="U106" s="12">
        <v>600</v>
      </c>
      <c r="V106" s="12" t="s">
        <v>62</v>
      </c>
      <c r="W106" s="11" t="s">
        <v>25</v>
      </c>
      <c r="X106" s="11" t="s">
        <v>25</v>
      </c>
      <c r="Y106" s="12"/>
    </row>
    <row r="107" spans="1:25" s="24" customFormat="1" ht="24.75" customHeight="1" x14ac:dyDescent="0.3">
      <c r="A107" s="11">
        <v>101</v>
      </c>
      <c r="B107" s="11" t="s">
        <v>58</v>
      </c>
      <c r="C107" s="17" t="s">
        <v>33</v>
      </c>
      <c r="D107" s="11" t="s">
        <v>19</v>
      </c>
      <c r="E107" s="11" t="s">
        <v>182</v>
      </c>
      <c r="F107" s="27" t="s">
        <v>266</v>
      </c>
      <c r="G107" s="12" t="s">
        <v>156</v>
      </c>
      <c r="H107" s="31">
        <v>4</v>
      </c>
      <c r="I107" s="33">
        <v>100</v>
      </c>
      <c r="J107" s="33">
        <v>4</v>
      </c>
      <c r="K107" s="33" t="s">
        <v>647</v>
      </c>
      <c r="L107" s="32" t="s">
        <v>645</v>
      </c>
      <c r="M107" s="33" t="s">
        <v>646</v>
      </c>
      <c r="N107" s="12" t="s">
        <v>20</v>
      </c>
      <c r="O107" s="12" t="s">
        <v>86</v>
      </c>
      <c r="P107" s="12" t="s">
        <v>80</v>
      </c>
      <c r="Q107" s="12" t="s">
        <v>80</v>
      </c>
      <c r="R107" s="12" t="s">
        <v>645</v>
      </c>
      <c r="S107" s="33" t="s">
        <v>98</v>
      </c>
      <c r="T107" s="12" t="s">
        <v>89</v>
      </c>
      <c r="U107" s="12">
        <v>600</v>
      </c>
      <c r="V107" s="12" t="s">
        <v>568</v>
      </c>
      <c r="W107" s="11" t="s">
        <v>25</v>
      </c>
      <c r="X107" s="11" t="s">
        <v>25</v>
      </c>
      <c r="Y107" s="12"/>
    </row>
    <row r="108" spans="1:25" s="16" customFormat="1" ht="24.75" customHeight="1" x14ac:dyDescent="0.3">
      <c r="A108" s="11">
        <v>102</v>
      </c>
      <c r="B108" s="11" t="s">
        <v>58</v>
      </c>
      <c r="C108" s="17" t="s">
        <v>33</v>
      </c>
      <c r="D108" s="11" t="s">
        <v>17</v>
      </c>
      <c r="E108" s="11" t="s">
        <v>183</v>
      </c>
      <c r="F108" s="27" t="s">
        <v>319</v>
      </c>
      <c r="G108" s="12" t="s">
        <v>156</v>
      </c>
      <c r="H108" s="31">
        <v>17.987000000000002</v>
      </c>
      <c r="I108" s="31">
        <v>100</v>
      </c>
      <c r="J108" s="32" t="s">
        <v>91</v>
      </c>
      <c r="K108" s="12" t="s">
        <v>70</v>
      </c>
      <c r="L108" s="12">
        <v>80</v>
      </c>
      <c r="M108" s="12" t="s">
        <v>569</v>
      </c>
      <c r="N108" s="12" t="s">
        <v>22</v>
      </c>
      <c r="O108" s="12" t="s">
        <v>0</v>
      </c>
      <c r="P108" s="12" t="s">
        <v>84</v>
      </c>
      <c r="Q108" s="11" t="s">
        <v>81</v>
      </c>
      <c r="R108" s="12">
        <v>80</v>
      </c>
      <c r="S108" s="12" t="s">
        <v>14</v>
      </c>
      <c r="T108" s="20" t="s">
        <v>15</v>
      </c>
      <c r="U108" s="12">
        <v>300</v>
      </c>
      <c r="V108" s="12" t="s">
        <v>10</v>
      </c>
      <c r="W108" s="11" t="s">
        <v>25</v>
      </c>
      <c r="X108" s="11" t="s">
        <v>25</v>
      </c>
      <c r="Y108" s="12"/>
    </row>
    <row r="109" spans="1:25" s="16" customFormat="1" ht="24.75" customHeight="1" x14ac:dyDescent="0.3">
      <c r="A109" s="11">
        <v>103</v>
      </c>
      <c r="B109" s="11" t="s">
        <v>58</v>
      </c>
      <c r="C109" s="17" t="s">
        <v>33</v>
      </c>
      <c r="D109" s="11" t="s">
        <v>17</v>
      </c>
      <c r="E109" s="11" t="s">
        <v>184</v>
      </c>
      <c r="F109" s="27" t="s">
        <v>320</v>
      </c>
      <c r="G109" s="12" t="s">
        <v>156</v>
      </c>
      <c r="H109" s="31">
        <v>17.987000000000002</v>
      </c>
      <c r="I109" s="31">
        <v>100</v>
      </c>
      <c r="J109" s="32" t="s">
        <v>91</v>
      </c>
      <c r="K109" s="12" t="s">
        <v>70</v>
      </c>
      <c r="L109" s="12">
        <v>80</v>
      </c>
      <c r="M109" s="12" t="s">
        <v>569</v>
      </c>
      <c r="N109" s="12" t="s">
        <v>22</v>
      </c>
      <c r="O109" s="12" t="s">
        <v>0</v>
      </c>
      <c r="P109" s="12" t="s">
        <v>84</v>
      </c>
      <c r="Q109" s="11" t="s">
        <v>81</v>
      </c>
      <c r="R109" s="12">
        <v>80</v>
      </c>
      <c r="S109" s="12" t="s">
        <v>14</v>
      </c>
      <c r="T109" s="20" t="s">
        <v>15</v>
      </c>
      <c r="U109" s="12">
        <v>300</v>
      </c>
      <c r="V109" s="12" t="s">
        <v>10</v>
      </c>
      <c r="W109" s="11" t="s">
        <v>25</v>
      </c>
      <c r="X109" s="11" t="s">
        <v>25</v>
      </c>
      <c r="Y109" s="12"/>
    </row>
    <row r="110" spans="1:25" s="16" customFormat="1" ht="24.75" customHeight="1" x14ac:dyDescent="0.3">
      <c r="A110" s="11">
        <v>104</v>
      </c>
      <c r="B110" s="11" t="s">
        <v>58</v>
      </c>
      <c r="C110" s="17" t="s">
        <v>33</v>
      </c>
      <c r="D110" s="11" t="s">
        <v>17</v>
      </c>
      <c r="E110" s="11" t="s">
        <v>185</v>
      </c>
      <c r="F110" s="27" t="s">
        <v>321</v>
      </c>
      <c r="G110" s="12" t="s">
        <v>156</v>
      </c>
      <c r="H110" s="31">
        <v>17.987000000000002</v>
      </c>
      <c r="I110" s="31">
        <v>100</v>
      </c>
      <c r="J110" s="32" t="s">
        <v>91</v>
      </c>
      <c r="K110" s="12" t="s">
        <v>70</v>
      </c>
      <c r="L110" s="12">
        <v>250</v>
      </c>
      <c r="M110" s="12" t="s">
        <v>569</v>
      </c>
      <c r="N110" s="12" t="s">
        <v>22</v>
      </c>
      <c r="O110" s="12" t="s">
        <v>0</v>
      </c>
      <c r="P110" s="12" t="s">
        <v>82</v>
      </c>
      <c r="Q110" s="11" t="s">
        <v>81</v>
      </c>
      <c r="R110" s="12">
        <v>250</v>
      </c>
      <c r="S110" s="12" t="s">
        <v>14</v>
      </c>
      <c r="T110" s="20" t="s">
        <v>15</v>
      </c>
      <c r="U110" s="12">
        <v>300</v>
      </c>
      <c r="V110" s="12" t="s">
        <v>10</v>
      </c>
      <c r="W110" s="11" t="s">
        <v>25</v>
      </c>
      <c r="X110" s="11" t="s">
        <v>25</v>
      </c>
      <c r="Y110" s="12"/>
    </row>
    <row r="111" spans="1:25" s="16" customFormat="1" ht="24.75" customHeight="1" x14ac:dyDescent="0.3">
      <c r="A111" s="11">
        <v>105</v>
      </c>
      <c r="B111" s="11" t="s">
        <v>58</v>
      </c>
      <c r="C111" s="17" t="s">
        <v>33</v>
      </c>
      <c r="D111" s="11" t="s">
        <v>7</v>
      </c>
      <c r="E111" s="11" t="s">
        <v>380</v>
      </c>
      <c r="F111" s="27" t="s">
        <v>322</v>
      </c>
      <c r="G111" s="12" t="s">
        <v>156</v>
      </c>
      <c r="H111" s="31">
        <v>17.987000000000002</v>
      </c>
      <c r="I111" s="31">
        <v>100</v>
      </c>
      <c r="J111" s="32" t="s">
        <v>91</v>
      </c>
      <c r="K111" s="12" t="s">
        <v>70</v>
      </c>
      <c r="L111" s="12">
        <v>250</v>
      </c>
      <c r="M111" s="12" t="s">
        <v>569</v>
      </c>
      <c r="N111" s="12" t="s">
        <v>178</v>
      </c>
      <c r="O111" s="12" t="s">
        <v>38</v>
      </c>
      <c r="P111" s="12" t="s">
        <v>83</v>
      </c>
      <c r="Q111" s="11" t="s">
        <v>81</v>
      </c>
      <c r="R111" s="12">
        <v>250</v>
      </c>
      <c r="S111" s="12" t="s">
        <v>14</v>
      </c>
      <c r="T111" s="20" t="s">
        <v>78</v>
      </c>
      <c r="U111" s="12">
        <v>300</v>
      </c>
      <c r="V111" s="12" t="s">
        <v>567</v>
      </c>
      <c r="W111" s="11" t="s">
        <v>25</v>
      </c>
      <c r="X111" s="11" t="s">
        <v>25</v>
      </c>
      <c r="Y111" s="15"/>
    </row>
    <row r="112" spans="1:25" s="24" customFormat="1" ht="24.75" customHeight="1" x14ac:dyDescent="0.3">
      <c r="A112" s="11">
        <v>106</v>
      </c>
      <c r="B112" s="11" t="s">
        <v>59</v>
      </c>
      <c r="C112" s="17" t="s">
        <v>36</v>
      </c>
      <c r="D112" s="17" t="s">
        <v>17</v>
      </c>
      <c r="E112" s="17" t="s">
        <v>71</v>
      </c>
      <c r="F112" s="27" t="s">
        <v>323</v>
      </c>
      <c r="G112" s="12" t="s">
        <v>156</v>
      </c>
      <c r="H112" s="31" t="s">
        <v>93</v>
      </c>
      <c r="I112" s="31" t="s">
        <v>25</v>
      </c>
      <c r="J112" s="32" t="s">
        <v>91</v>
      </c>
      <c r="K112" s="19" t="s">
        <v>625</v>
      </c>
      <c r="L112" s="14">
        <v>100</v>
      </c>
      <c r="M112" s="12" t="s">
        <v>619</v>
      </c>
      <c r="N112" s="12" t="s">
        <v>22</v>
      </c>
      <c r="O112" s="12" t="s">
        <v>0</v>
      </c>
      <c r="P112" s="12" t="s">
        <v>84</v>
      </c>
      <c r="Q112" s="11" t="s">
        <v>81</v>
      </c>
      <c r="R112" s="12">
        <v>100</v>
      </c>
      <c r="S112" s="12" t="s">
        <v>78</v>
      </c>
      <c r="T112" s="12" t="s">
        <v>87</v>
      </c>
      <c r="U112" s="20">
        <v>150</v>
      </c>
      <c r="V112" s="12" t="s">
        <v>10</v>
      </c>
      <c r="W112" s="11" t="s">
        <v>25</v>
      </c>
      <c r="X112" s="11" t="s">
        <v>25</v>
      </c>
      <c r="Y112" s="15"/>
    </row>
    <row r="113" spans="1:25" s="16" customFormat="1" ht="24.75" customHeight="1" x14ac:dyDescent="0.3">
      <c r="A113" s="11">
        <v>107</v>
      </c>
      <c r="B113" s="11" t="s">
        <v>60</v>
      </c>
      <c r="C113" s="17" t="s">
        <v>35</v>
      </c>
      <c r="D113" s="11" t="s">
        <v>26</v>
      </c>
      <c r="E113" s="11" t="s">
        <v>384</v>
      </c>
      <c r="F113" s="27" t="s">
        <v>267</v>
      </c>
      <c r="G113" s="12" t="s">
        <v>156</v>
      </c>
      <c r="H113" s="31">
        <v>4</v>
      </c>
      <c r="I113" s="34">
        <v>100</v>
      </c>
      <c r="J113" s="31">
        <v>13</v>
      </c>
      <c r="K113" s="12" t="s">
        <v>70</v>
      </c>
      <c r="L113" s="12">
        <v>50</v>
      </c>
      <c r="M113" s="12" t="s">
        <v>569</v>
      </c>
      <c r="N113" s="12" t="s">
        <v>20</v>
      </c>
      <c r="O113" s="12" t="s">
        <v>0</v>
      </c>
      <c r="P113" s="12" t="s">
        <v>80</v>
      </c>
      <c r="Q113" s="12" t="s">
        <v>80</v>
      </c>
      <c r="R113" s="12">
        <v>50</v>
      </c>
      <c r="S113" s="14" t="s">
        <v>63</v>
      </c>
      <c r="T113" s="20" t="s">
        <v>15</v>
      </c>
      <c r="U113" s="12">
        <v>600</v>
      </c>
      <c r="V113" s="12" t="s">
        <v>62</v>
      </c>
      <c r="W113" s="11" t="s">
        <v>25</v>
      </c>
      <c r="X113" s="11" t="s">
        <v>25</v>
      </c>
      <c r="Y113" s="12"/>
    </row>
    <row r="114" spans="1:25" s="24" customFormat="1" ht="24.75" customHeight="1" x14ac:dyDescent="0.3">
      <c r="A114" s="11">
        <v>108</v>
      </c>
      <c r="B114" s="11" t="s">
        <v>60</v>
      </c>
      <c r="C114" s="17" t="s">
        <v>35</v>
      </c>
      <c r="D114" s="11" t="s">
        <v>19</v>
      </c>
      <c r="E114" s="11" t="s">
        <v>186</v>
      </c>
      <c r="F114" s="27" t="s">
        <v>268</v>
      </c>
      <c r="G114" s="12" t="s">
        <v>156</v>
      </c>
      <c r="H114" s="31">
        <v>4</v>
      </c>
      <c r="I114" s="33">
        <v>100</v>
      </c>
      <c r="J114" s="33">
        <v>4</v>
      </c>
      <c r="K114" s="33" t="s">
        <v>647</v>
      </c>
      <c r="L114" s="32" t="s">
        <v>645</v>
      </c>
      <c r="M114" s="33" t="s">
        <v>646</v>
      </c>
      <c r="N114" s="12" t="s">
        <v>20</v>
      </c>
      <c r="O114" s="12" t="s">
        <v>86</v>
      </c>
      <c r="P114" s="12" t="s">
        <v>80</v>
      </c>
      <c r="Q114" s="12" t="s">
        <v>80</v>
      </c>
      <c r="R114" s="12" t="s">
        <v>645</v>
      </c>
      <c r="S114" s="33" t="s">
        <v>98</v>
      </c>
      <c r="T114" s="12" t="s">
        <v>89</v>
      </c>
      <c r="U114" s="12">
        <v>600</v>
      </c>
      <c r="V114" s="12" t="s">
        <v>568</v>
      </c>
      <c r="W114" s="11" t="s">
        <v>25</v>
      </c>
      <c r="X114" s="11" t="s">
        <v>25</v>
      </c>
      <c r="Y114" s="12"/>
    </row>
    <row r="115" spans="1:25" s="16" customFormat="1" ht="24.75" customHeight="1" x14ac:dyDescent="0.3">
      <c r="A115" s="11">
        <v>109</v>
      </c>
      <c r="B115" s="11" t="s">
        <v>60</v>
      </c>
      <c r="C115" s="17" t="s">
        <v>35</v>
      </c>
      <c r="D115" s="11" t="s">
        <v>17</v>
      </c>
      <c r="E115" s="11" t="s">
        <v>187</v>
      </c>
      <c r="F115" s="27" t="s">
        <v>324</v>
      </c>
      <c r="G115" s="12" t="s">
        <v>156</v>
      </c>
      <c r="H115" s="31">
        <v>17.987000000000002</v>
      </c>
      <c r="I115" s="31">
        <v>100</v>
      </c>
      <c r="J115" s="32" t="s">
        <v>91</v>
      </c>
      <c r="K115" s="12" t="s">
        <v>70</v>
      </c>
      <c r="L115" s="12">
        <v>80</v>
      </c>
      <c r="M115" s="12" t="s">
        <v>569</v>
      </c>
      <c r="N115" s="12" t="s">
        <v>22</v>
      </c>
      <c r="O115" s="12" t="s">
        <v>0</v>
      </c>
      <c r="P115" s="12" t="s">
        <v>84</v>
      </c>
      <c r="Q115" s="11" t="s">
        <v>81</v>
      </c>
      <c r="R115" s="12">
        <v>80</v>
      </c>
      <c r="S115" s="12" t="s">
        <v>14</v>
      </c>
      <c r="T115" s="20" t="s">
        <v>15</v>
      </c>
      <c r="U115" s="12">
        <v>300</v>
      </c>
      <c r="V115" s="12" t="s">
        <v>10</v>
      </c>
      <c r="W115" s="11" t="s">
        <v>25</v>
      </c>
      <c r="X115" s="11" t="s">
        <v>25</v>
      </c>
      <c r="Y115" s="12"/>
    </row>
    <row r="116" spans="1:25" s="16" customFormat="1" ht="24.75" customHeight="1" x14ac:dyDescent="0.3">
      <c r="A116" s="11">
        <v>110</v>
      </c>
      <c r="B116" s="11" t="s">
        <v>60</v>
      </c>
      <c r="C116" s="17" t="s">
        <v>35</v>
      </c>
      <c r="D116" s="11" t="s">
        <v>17</v>
      </c>
      <c r="E116" s="11" t="s">
        <v>188</v>
      </c>
      <c r="F116" s="27" t="s">
        <v>325</v>
      </c>
      <c r="G116" s="12" t="s">
        <v>156</v>
      </c>
      <c r="H116" s="31">
        <v>17.987000000000002</v>
      </c>
      <c r="I116" s="31">
        <v>100</v>
      </c>
      <c r="J116" s="32" t="s">
        <v>91</v>
      </c>
      <c r="K116" s="12" t="s">
        <v>70</v>
      </c>
      <c r="L116" s="12">
        <v>80</v>
      </c>
      <c r="M116" s="12" t="s">
        <v>569</v>
      </c>
      <c r="N116" s="12" t="s">
        <v>22</v>
      </c>
      <c r="O116" s="12" t="s">
        <v>0</v>
      </c>
      <c r="P116" s="12" t="s">
        <v>84</v>
      </c>
      <c r="Q116" s="11" t="s">
        <v>81</v>
      </c>
      <c r="R116" s="12">
        <v>80</v>
      </c>
      <c r="S116" s="12" t="s">
        <v>14</v>
      </c>
      <c r="T116" s="20" t="s">
        <v>15</v>
      </c>
      <c r="U116" s="12">
        <v>300</v>
      </c>
      <c r="V116" s="12" t="s">
        <v>10</v>
      </c>
      <c r="W116" s="11" t="s">
        <v>25</v>
      </c>
      <c r="X116" s="11" t="s">
        <v>25</v>
      </c>
      <c r="Y116" s="12"/>
    </row>
    <row r="117" spans="1:25" s="16" customFormat="1" ht="24.75" customHeight="1" x14ac:dyDescent="0.3">
      <c r="A117" s="11">
        <v>111</v>
      </c>
      <c r="B117" s="11" t="s">
        <v>60</v>
      </c>
      <c r="C117" s="17" t="s">
        <v>35</v>
      </c>
      <c r="D117" s="11" t="s">
        <v>17</v>
      </c>
      <c r="E117" s="11" t="s">
        <v>189</v>
      </c>
      <c r="F117" s="27" t="s">
        <v>326</v>
      </c>
      <c r="G117" s="12" t="s">
        <v>156</v>
      </c>
      <c r="H117" s="31">
        <v>17.987000000000002</v>
      </c>
      <c r="I117" s="31">
        <v>100</v>
      </c>
      <c r="J117" s="32" t="s">
        <v>91</v>
      </c>
      <c r="K117" s="12" t="s">
        <v>70</v>
      </c>
      <c r="L117" s="12">
        <v>250</v>
      </c>
      <c r="M117" s="12" t="s">
        <v>569</v>
      </c>
      <c r="N117" s="12" t="s">
        <v>22</v>
      </c>
      <c r="O117" s="12" t="s">
        <v>0</v>
      </c>
      <c r="P117" s="12" t="s">
        <v>82</v>
      </c>
      <c r="Q117" s="11" t="s">
        <v>81</v>
      </c>
      <c r="R117" s="12">
        <v>250</v>
      </c>
      <c r="S117" s="12" t="s">
        <v>14</v>
      </c>
      <c r="T117" s="20" t="s">
        <v>15</v>
      </c>
      <c r="U117" s="12">
        <v>300</v>
      </c>
      <c r="V117" s="12" t="s">
        <v>10</v>
      </c>
      <c r="W117" s="11" t="s">
        <v>25</v>
      </c>
      <c r="X117" s="11" t="s">
        <v>25</v>
      </c>
      <c r="Y117" s="12"/>
    </row>
    <row r="118" spans="1:25" s="16" customFormat="1" ht="24.75" customHeight="1" x14ac:dyDescent="0.3">
      <c r="A118" s="11">
        <v>112</v>
      </c>
      <c r="B118" s="11" t="s">
        <v>60</v>
      </c>
      <c r="C118" s="17" t="s">
        <v>35</v>
      </c>
      <c r="D118" s="11" t="s">
        <v>7</v>
      </c>
      <c r="E118" s="11" t="s">
        <v>385</v>
      </c>
      <c r="F118" s="27" t="s">
        <v>327</v>
      </c>
      <c r="G118" s="12" t="s">
        <v>156</v>
      </c>
      <c r="H118" s="31">
        <v>17.987000000000002</v>
      </c>
      <c r="I118" s="31">
        <v>100</v>
      </c>
      <c r="J118" s="32" t="s">
        <v>91</v>
      </c>
      <c r="K118" s="12" t="s">
        <v>70</v>
      </c>
      <c r="L118" s="12">
        <v>250</v>
      </c>
      <c r="M118" s="12" t="s">
        <v>569</v>
      </c>
      <c r="N118" s="12" t="s">
        <v>178</v>
      </c>
      <c r="O118" s="12" t="s">
        <v>38</v>
      </c>
      <c r="P118" s="12" t="s">
        <v>83</v>
      </c>
      <c r="Q118" s="11" t="s">
        <v>81</v>
      </c>
      <c r="R118" s="12">
        <v>250</v>
      </c>
      <c r="S118" s="12" t="s">
        <v>14</v>
      </c>
      <c r="T118" s="20" t="s">
        <v>78</v>
      </c>
      <c r="U118" s="12">
        <v>300</v>
      </c>
      <c r="V118" s="12" t="s">
        <v>567</v>
      </c>
      <c r="W118" s="11" t="s">
        <v>25</v>
      </c>
      <c r="X118" s="11" t="s">
        <v>25</v>
      </c>
      <c r="Y118" s="15"/>
    </row>
    <row r="119" spans="1:25" s="24" customFormat="1" ht="24.75" customHeight="1" x14ac:dyDescent="0.3">
      <c r="A119" s="11">
        <v>113</v>
      </c>
      <c r="B119" s="11" t="s">
        <v>144</v>
      </c>
      <c r="C119" s="11" t="s">
        <v>37</v>
      </c>
      <c r="D119" s="17" t="s">
        <v>19</v>
      </c>
      <c r="E119" s="17" t="s">
        <v>503</v>
      </c>
      <c r="F119" s="27" t="s">
        <v>279</v>
      </c>
      <c r="G119" s="12" t="s">
        <v>156</v>
      </c>
      <c r="H119" s="31" t="s">
        <v>648</v>
      </c>
      <c r="I119" s="33">
        <v>65</v>
      </c>
      <c r="J119" s="33">
        <v>14.5</v>
      </c>
      <c r="K119" s="33" t="s">
        <v>649</v>
      </c>
      <c r="L119" s="32" t="s">
        <v>645</v>
      </c>
      <c r="M119" s="33" t="s">
        <v>562</v>
      </c>
      <c r="N119" s="12" t="s">
        <v>20</v>
      </c>
      <c r="O119" s="12" t="s">
        <v>86</v>
      </c>
      <c r="P119" s="12" t="s">
        <v>80</v>
      </c>
      <c r="Q119" s="12" t="s">
        <v>80</v>
      </c>
      <c r="R119" s="12" t="s">
        <v>645</v>
      </c>
      <c r="S119" s="33" t="s">
        <v>98</v>
      </c>
      <c r="T119" s="12" t="s">
        <v>89</v>
      </c>
      <c r="U119" s="12">
        <v>600</v>
      </c>
      <c r="V119" s="12" t="s">
        <v>568</v>
      </c>
      <c r="W119" s="11" t="s">
        <v>25</v>
      </c>
      <c r="X119" s="11" t="s">
        <v>25</v>
      </c>
      <c r="Y119" s="12"/>
    </row>
    <row r="120" spans="1:25" s="24" customFormat="1" ht="24.75" customHeight="1" x14ac:dyDescent="0.3">
      <c r="A120" s="11">
        <v>114</v>
      </c>
      <c r="B120" s="11" t="s">
        <v>144</v>
      </c>
      <c r="C120" s="11" t="s">
        <v>37</v>
      </c>
      <c r="D120" s="17" t="s">
        <v>19</v>
      </c>
      <c r="E120" s="17" t="s">
        <v>504</v>
      </c>
      <c r="F120" s="27" t="s">
        <v>280</v>
      </c>
      <c r="G120" s="12" t="s">
        <v>156</v>
      </c>
      <c r="H120" s="31" t="s">
        <v>648</v>
      </c>
      <c r="I120" s="33">
        <v>65</v>
      </c>
      <c r="J120" s="33">
        <v>14.5</v>
      </c>
      <c r="K120" s="33" t="s">
        <v>649</v>
      </c>
      <c r="L120" s="32" t="s">
        <v>645</v>
      </c>
      <c r="M120" s="33" t="s">
        <v>562</v>
      </c>
      <c r="N120" s="12" t="s">
        <v>20</v>
      </c>
      <c r="O120" s="12" t="s">
        <v>86</v>
      </c>
      <c r="P120" s="12" t="s">
        <v>80</v>
      </c>
      <c r="Q120" s="12" t="s">
        <v>80</v>
      </c>
      <c r="R120" s="12" t="s">
        <v>645</v>
      </c>
      <c r="S120" s="33" t="s">
        <v>98</v>
      </c>
      <c r="T120" s="12" t="s">
        <v>89</v>
      </c>
      <c r="U120" s="12">
        <v>600</v>
      </c>
      <c r="V120" s="12" t="s">
        <v>568</v>
      </c>
      <c r="W120" s="11" t="s">
        <v>25</v>
      </c>
      <c r="X120" s="11" t="s">
        <v>25</v>
      </c>
      <c r="Y120" s="12"/>
    </row>
    <row r="121" spans="1:25" s="16" customFormat="1" ht="24.75" customHeight="1" x14ac:dyDescent="0.3">
      <c r="A121" s="11">
        <v>115</v>
      </c>
      <c r="B121" s="11" t="s">
        <v>699</v>
      </c>
      <c r="C121" s="11" t="s">
        <v>37</v>
      </c>
      <c r="D121" s="11" t="s">
        <v>7</v>
      </c>
      <c r="E121" s="11" t="s">
        <v>700</v>
      </c>
      <c r="F121" s="27" t="s">
        <v>701</v>
      </c>
      <c r="G121" s="12" t="s">
        <v>156</v>
      </c>
      <c r="H121" s="31" t="s">
        <v>93</v>
      </c>
      <c r="I121" s="31" t="s">
        <v>25</v>
      </c>
      <c r="J121" s="32" t="s">
        <v>91</v>
      </c>
      <c r="K121" s="33" t="s">
        <v>702</v>
      </c>
      <c r="L121" s="12">
        <v>25</v>
      </c>
      <c r="M121" s="33" t="s">
        <v>562</v>
      </c>
      <c r="N121" s="12" t="s">
        <v>178</v>
      </c>
      <c r="O121" s="12" t="s">
        <v>8</v>
      </c>
      <c r="P121" s="12" t="s">
        <v>83</v>
      </c>
      <c r="Q121" s="11" t="s">
        <v>81</v>
      </c>
      <c r="R121" s="12">
        <v>25</v>
      </c>
      <c r="S121" s="12" t="s">
        <v>63</v>
      </c>
      <c r="T121" s="20" t="s">
        <v>637</v>
      </c>
      <c r="U121" s="20">
        <v>600</v>
      </c>
      <c r="V121" s="12" t="s">
        <v>62</v>
      </c>
      <c r="W121" s="11" t="s">
        <v>25</v>
      </c>
      <c r="X121" s="11" t="s">
        <v>25</v>
      </c>
      <c r="Y121" s="12"/>
    </row>
    <row r="122" spans="1:25" s="16" customFormat="1" ht="24.75" customHeight="1" x14ac:dyDescent="0.3">
      <c r="A122" s="11">
        <v>116</v>
      </c>
      <c r="B122" s="11" t="s">
        <v>145</v>
      </c>
      <c r="C122" s="11" t="s">
        <v>37</v>
      </c>
      <c r="D122" s="11" t="s">
        <v>7</v>
      </c>
      <c r="E122" s="11" t="s">
        <v>505</v>
      </c>
      <c r="F122" s="27" t="s">
        <v>328</v>
      </c>
      <c r="G122" s="12" t="s">
        <v>156</v>
      </c>
      <c r="H122" s="31">
        <v>2.9870000000000001</v>
      </c>
      <c r="I122" s="36">
        <v>65</v>
      </c>
      <c r="J122" s="32" t="s">
        <v>91</v>
      </c>
      <c r="K122" s="33" t="s">
        <v>649</v>
      </c>
      <c r="L122" s="12">
        <v>350</v>
      </c>
      <c r="M122" s="33" t="s">
        <v>562</v>
      </c>
      <c r="N122" s="12" t="s">
        <v>178</v>
      </c>
      <c r="O122" s="12" t="s">
        <v>38</v>
      </c>
      <c r="P122" s="12" t="s">
        <v>83</v>
      </c>
      <c r="Q122" s="11" t="s">
        <v>81</v>
      </c>
      <c r="R122" s="12">
        <v>350</v>
      </c>
      <c r="S122" s="12" t="s">
        <v>14</v>
      </c>
      <c r="T122" s="20" t="s">
        <v>78</v>
      </c>
      <c r="U122" s="20">
        <v>150</v>
      </c>
      <c r="V122" s="12" t="s">
        <v>567</v>
      </c>
      <c r="W122" s="11" t="s">
        <v>25</v>
      </c>
      <c r="X122" s="11" t="s">
        <v>25</v>
      </c>
      <c r="Y122" s="15"/>
    </row>
    <row r="123" spans="1:25" s="16" customFormat="1" ht="24.75" customHeight="1" x14ac:dyDescent="0.3">
      <c r="A123" s="11">
        <v>117</v>
      </c>
      <c r="B123" s="11" t="s">
        <v>145</v>
      </c>
      <c r="C123" s="11" t="s">
        <v>37</v>
      </c>
      <c r="D123" s="11" t="s">
        <v>7</v>
      </c>
      <c r="E123" s="11" t="s">
        <v>506</v>
      </c>
      <c r="F123" s="27" t="s">
        <v>329</v>
      </c>
      <c r="G123" s="12" t="s">
        <v>156</v>
      </c>
      <c r="H123" s="31">
        <v>2.9870000000000001</v>
      </c>
      <c r="I123" s="36">
        <v>65</v>
      </c>
      <c r="J123" s="32" t="s">
        <v>91</v>
      </c>
      <c r="K123" s="33" t="s">
        <v>649</v>
      </c>
      <c r="L123" s="12">
        <v>350</v>
      </c>
      <c r="M123" s="33" t="s">
        <v>562</v>
      </c>
      <c r="N123" s="12" t="s">
        <v>178</v>
      </c>
      <c r="O123" s="12" t="s">
        <v>38</v>
      </c>
      <c r="P123" s="12" t="s">
        <v>83</v>
      </c>
      <c r="Q123" s="11" t="s">
        <v>81</v>
      </c>
      <c r="R123" s="12">
        <v>350</v>
      </c>
      <c r="S123" s="12" t="s">
        <v>14</v>
      </c>
      <c r="T123" s="20" t="s">
        <v>78</v>
      </c>
      <c r="U123" s="20">
        <v>150</v>
      </c>
      <c r="V123" s="12" t="s">
        <v>567</v>
      </c>
      <c r="W123" s="11" t="s">
        <v>25</v>
      </c>
      <c r="X123" s="11" t="s">
        <v>25</v>
      </c>
      <c r="Y123" s="12"/>
    </row>
    <row r="124" spans="1:25" s="16" customFormat="1" ht="24.75" customHeight="1" x14ac:dyDescent="0.3">
      <c r="A124" s="11">
        <v>118</v>
      </c>
      <c r="B124" s="11" t="s">
        <v>145</v>
      </c>
      <c r="C124" s="11" t="s">
        <v>37</v>
      </c>
      <c r="D124" s="11" t="s">
        <v>17</v>
      </c>
      <c r="E124" s="11" t="s">
        <v>190</v>
      </c>
      <c r="F124" s="27" t="s">
        <v>330</v>
      </c>
      <c r="G124" s="12" t="s">
        <v>156</v>
      </c>
      <c r="H124" s="31" t="s">
        <v>93</v>
      </c>
      <c r="I124" s="31" t="s">
        <v>25</v>
      </c>
      <c r="J124" s="32" t="s">
        <v>91</v>
      </c>
      <c r="K124" s="12" t="s">
        <v>626</v>
      </c>
      <c r="L124" s="12">
        <v>250</v>
      </c>
      <c r="M124" s="12" t="s">
        <v>569</v>
      </c>
      <c r="N124" s="12" t="s">
        <v>22</v>
      </c>
      <c r="O124" s="12" t="s">
        <v>0</v>
      </c>
      <c r="P124" s="12" t="s">
        <v>84</v>
      </c>
      <c r="Q124" s="11" t="s">
        <v>81</v>
      </c>
      <c r="R124" s="12">
        <v>250</v>
      </c>
      <c r="S124" s="12" t="s">
        <v>14</v>
      </c>
      <c r="T124" s="20" t="s">
        <v>15</v>
      </c>
      <c r="U124" s="20">
        <v>300</v>
      </c>
      <c r="V124" s="12" t="s">
        <v>10</v>
      </c>
      <c r="W124" s="11" t="s">
        <v>25</v>
      </c>
      <c r="X124" s="11" t="s">
        <v>25</v>
      </c>
      <c r="Y124" s="12"/>
    </row>
    <row r="125" spans="1:25" s="16" customFormat="1" ht="24.75" customHeight="1" x14ac:dyDescent="0.3">
      <c r="A125" s="11">
        <v>119</v>
      </c>
      <c r="B125" s="11" t="s">
        <v>145</v>
      </c>
      <c r="C125" s="11" t="s">
        <v>37</v>
      </c>
      <c r="D125" s="11" t="s">
        <v>17</v>
      </c>
      <c r="E125" s="11" t="s">
        <v>191</v>
      </c>
      <c r="F125" s="27" t="s">
        <v>331</v>
      </c>
      <c r="G125" s="12" t="s">
        <v>156</v>
      </c>
      <c r="H125" s="31" t="s">
        <v>93</v>
      </c>
      <c r="I125" s="31" t="s">
        <v>25</v>
      </c>
      <c r="J125" s="32" t="s">
        <v>91</v>
      </c>
      <c r="K125" s="12" t="s">
        <v>626</v>
      </c>
      <c r="L125" s="12">
        <v>450</v>
      </c>
      <c r="M125" s="12" t="s">
        <v>569</v>
      </c>
      <c r="N125" s="12" t="s">
        <v>22</v>
      </c>
      <c r="O125" s="12" t="s">
        <v>0</v>
      </c>
      <c r="P125" s="12" t="s">
        <v>82</v>
      </c>
      <c r="Q125" s="11" t="s">
        <v>81</v>
      </c>
      <c r="R125" s="12">
        <v>450</v>
      </c>
      <c r="S125" s="12" t="s">
        <v>14</v>
      </c>
      <c r="T125" s="20" t="s">
        <v>15</v>
      </c>
      <c r="U125" s="20">
        <v>300</v>
      </c>
      <c r="V125" s="12" t="s">
        <v>10</v>
      </c>
      <c r="W125" s="11" t="s">
        <v>25</v>
      </c>
      <c r="X125" s="11" t="s">
        <v>25</v>
      </c>
      <c r="Y125" s="12"/>
    </row>
    <row r="126" spans="1:25" s="16" customFormat="1" ht="24.75" customHeight="1" x14ac:dyDescent="0.3">
      <c r="A126" s="11">
        <v>120</v>
      </c>
      <c r="B126" s="11" t="s">
        <v>145</v>
      </c>
      <c r="C126" s="11" t="s">
        <v>37</v>
      </c>
      <c r="D126" s="11" t="s">
        <v>17</v>
      </c>
      <c r="E126" s="11" t="s">
        <v>192</v>
      </c>
      <c r="F126" s="27" t="s">
        <v>332</v>
      </c>
      <c r="G126" s="12" t="s">
        <v>156</v>
      </c>
      <c r="H126" s="31" t="s">
        <v>93</v>
      </c>
      <c r="I126" s="31" t="s">
        <v>25</v>
      </c>
      <c r="J126" s="32" t="s">
        <v>91</v>
      </c>
      <c r="K126" s="12" t="s">
        <v>626</v>
      </c>
      <c r="L126" s="12">
        <v>450</v>
      </c>
      <c r="M126" s="12" t="s">
        <v>569</v>
      </c>
      <c r="N126" s="12" t="s">
        <v>22</v>
      </c>
      <c r="O126" s="12" t="s">
        <v>0</v>
      </c>
      <c r="P126" s="12" t="s">
        <v>82</v>
      </c>
      <c r="Q126" s="11" t="s">
        <v>81</v>
      </c>
      <c r="R126" s="12">
        <v>450</v>
      </c>
      <c r="S126" s="12" t="s">
        <v>14</v>
      </c>
      <c r="T126" s="20" t="s">
        <v>15</v>
      </c>
      <c r="U126" s="20">
        <v>300</v>
      </c>
      <c r="V126" s="12" t="s">
        <v>10</v>
      </c>
      <c r="W126" s="11" t="s">
        <v>25</v>
      </c>
      <c r="X126" s="11" t="s">
        <v>25</v>
      </c>
      <c r="Y126" s="12"/>
    </row>
    <row r="127" spans="1:25" s="16" customFormat="1" ht="24.75" customHeight="1" x14ac:dyDescent="0.3">
      <c r="A127" s="11">
        <v>121</v>
      </c>
      <c r="B127" s="11" t="s">
        <v>145</v>
      </c>
      <c r="C127" s="11" t="s">
        <v>37</v>
      </c>
      <c r="D127" s="11" t="s">
        <v>7</v>
      </c>
      <c r="E127" s="11" t="s">
        <v>507</v>
      </c>
      <c r="F127" s="27" t="s">
        <v>333</v>
      </c>
      <c r="G127" s="12" t="s">
        <v>156</v>
      </c>
      <c r="H127" s="31">
        <v>2.9870000000000001</v>
      </c>
      <c r="I127" s="36">
        <v>65</v>
      </c>
      <c r="J127" s="32" t="s">
        <v>91</v>
      </c>
      <c r="K127" s="33" t="s">
        <v>649</v>
      </c>
      <c r="L127" s="12">
        <v>150</v>
      </c>
      <c r="M127" s="33" t="s">
        <v>562</v>
      </c>
      <c r="N127" s="12" t="s">
        <v>693</v>
      </c>
      <c r="O127" s="12" t="s">
        <v>38</v>
      </c>
      <c r="P127" s="12" t="s">
        <v>83</v>
      </c>
      <c r="Q127" s="11" t="s">
        <v>81</v>
      </c>
      <c r="R127" s="12">
        <v>150</v>
      </c>
      <c r="S127" s="12" t="s">
        <v>14</v>
      </c>
      <c r="T127" s="20" t="s">
        <v>78</v>
      </c>
      <c r="U127" s="20">
        <v>150</v>
      </c>
      <c r="V127" s="12" t="s">
        <v>567</v>
      </c>
      <c r="W127" s="11" t="s">
        <v>25</v>
      </c>
      <c r="X127" s="11" t="s">
        <v>25</v>
      </c>
      <c r="Y127" s="12"/>
    </row>
    <row r="128" spans="1:25" s="16" customFormat="1" ht="24.75" customHeight="1" x14ac:dyDescent="0.3">
      <c r="A128" s="11">
        <v>122</v>
      </c>
      <c r="B128" s="11" t="s">
        <v>145</v>
      </c>
      <c r="C128" s="11" t="s">
        <v>37</v>
      </c>
      <c r="D128" s="11" t="s">
        <v>7</v>
      </c>
      <c r="E128" s="11" t="s">
        <v>694</v>
      </c>
      <c r="F128" s="27" t="s">
        <v>696</v>
      </c>
      <c r="G128" s="12" t="s">
        <v>156</v>
      </c>
      <c r="H128" s="31">
        <v>25.987000000000002</v>
      </c>
      <c r="I128" s="36">
        <v>65</v>
      </c>
      <c r="J128" s="32" t="s">
        <v>91</v>
      </c>
      <c r="K128" s="33" t="s">
        <v>698</v>
      </c>
      <c r="L128" s="12">
        <v>650</v>
      </c>
      <c r="M128" s="33" t="s">
        <v>569</v>
      </c>
      <c r="N128" s="12" t="s">
        <v>178</v>
      </c>
      <c r="O128" s="12" t="s">
        <v>38</v>
      </c>
      <c r="P128" s="12" t="s">
        <v>83</v>
      </c>
      <c r="Q128" s="11" t="s">
        <v>81</v>
      </c>
      <c r="R128" s="12">
        <v>650</v>
      </c>
      <c r="S128" s="12" t="s">
        <v>14</v>
      </c>
      <c r="T128" s="20" t="s">
        <v>78</v>
      </c>
      <c r="U128" s="20">
        <v>150</v>
      </c>
      <c r="V128" s="12" t="s">
        <v>567</v>
      </c>
      <c r="W128" s="11" t="s">
        <v>25</v>
      </c>
      <c r="X128" s="11" t="s">
        <v>25</v>
      </c>
      <c r="Y128" s="12"/>
    </row>
    <row r="129" spans="1:25" s="16" customFormat="1" ht="24.75" customHeight="1" x14ac:dyDescent="0.3">
      <c r="A129" s="11">
        <v>123</v>
      </c>
      <c r="B129" s="11" t="s">
        <v>145</v>
      </c>
      <c r="C129" s="11" t="s">
        <v>37</v>
      </c>
      <c r="D129" s="11" t="s">
        <v>7</v>
      </c>
      <c r="E129" s="11" t="s">
        <v>695</v>
      </c>
      <c r="F129" s="27" t="s">
        <v>697</v>
      </c>
      <c r="G129" s="12" t="s">
        <v>156</v>
      </c>
      <c r="H129" s="31">
        <v>25.987000000000002</v>
      </c>
      <c r="I129" s="36">
        <v>65</v>
      </c>
      <c r="J129" s="32" t="s">
        <v>91</v>
      </c>
      <c r="K129" s="33" t="s">
        <v>698</v>
      </c>
      <c r="L129" s="12">
        <v>650</v>
      </c>
      <c r="M129" s="33" t="s">
        <v>569</v>
      </c>
      <c r="N129" s="12" t="s">
        <v>178</v>
      </c>
      <c r="O129" s="12" t="s">
        <v>38</v>
      </c>
      <c r="P129" s="12" t="s">
        <v>83</v>
      </c>
      <c r="Q129" s="11" t="s">
        <v>81</v>
      </c>
      <c r="R129" s="12">
        <v>650</v>
      </c>
      <c r="S129" s="12" t="s">
        <v>14</v>
      </c>
      <c r="T129" s="20" t="s">
        <v>78</v>
      </c>
      <c r="U129" s="20">
        <v>150</v>
      </c>
      <c r="V129" s="12" t="s">
        <v>567</v>
      </c>
      <c r="W129" s="11" t="s">
        <v>25</v>
      </c>
      <c r="X129" s="11" t="s">
        <v>25</v>
      </c>
      <c r="Y129" s="12"/>
    </row>
    <row r="130" spans="1:25" s="24" customFormat="1" ht="24.75" customHeight="1" x14ac:dyDescent="0.3">
      <c r="A130" s="11">
        <v>124</v>
      </c>
      <c r="B130" s="11" t="s">
        <v>146</v>
      </c>
      <c r="C130" s="11" t="s">
        <v>37</v>
      </c>
      <c r="D130" s="17" t="s">
        <v>17</v>
      </c>
      <c r="E130" s="17" t="s">
        <v>193</v>
      </c>
      <c r="F130" s="27" t="s">
        <v>600</v>
      </c>
      <c r="G130" s="12" t="s">
        <v>156</v>
      </c>
      <c r="H130" s="31" t="s">
        <v>100</v>
      </c>
      <c r="I130" s="36" t="s">
        <v>90</v>
      </c>
      <c r="J130" s="32" t="s">
        <v>91</v>
      </c>
      <c r="K130" s="19" t="s">
        <v>625</v>
      </c>
      <c r="L130" s="12">
        <v>150</v>
      </c>
      <c r="M130" s="12" t="s">
        <v>619</v>
      </c>
      <c r="N130" s="12" t="s">
        <v>22</v>
      </c>
      <c r="O130" s="12" t="s">
        <v>0</v>
      </c>
      <c r="P130" s="12" t="s">
        <v>82</v>
      </c>
      <c r="Q130" s="11" t="s">
        <v>81</v>
      </c>
      <c r="R130" s="12">
        <v>150</v>
      </c>
      <c r="S130" s="12" t="s">
        <v>78</v>
      </c>
      <c r="T130" s="12" t="s">
        <v>87</v>
      </c>
      <c r="U130" s="20">
        <v>150</v>
      </c>
      <c r="V130" s="12" t="s">
        <v>10</v>
      </c>
      <c r="W130" s="11" t="s">
        <v>25</v>
      </c>
      <c r="X130" s="11" t="s">
        <v>25</v>
      </c>
      <c r="Y130" s="12"/>
    </row>
    <row r="131" spans="1:25" s="24" customFormat="1" ht="24.75" customHeight="1" x14ac:dyDescent="0.3">
      <c r="A131" s="11">
        <v>125</v>
      </c>
      <c r="B131" s="11" t="s">
        <v>146</v>
      </c>
      <c r="C131" s="11" t="s">
        <v>37</v>
      </c>
      <c r="D131" s="17" t="s">
        <v>17</v>
      </c>
      <c r="E131" s="17" t="s">
        <v>194</v>
      </c>
      <c r="F131" s="27" t="s">
        <v>601</v>
      </c>
      <c r="G131" s="12" t="s">
        <v>156</v>
      </c>
      <c r="H131" s="31" t="s">
        <v>100</v>
      </c>
      <c r="I131" s="36" t="s">
        <v>90</v>
      </c>
      <c r="J131" s="32" t="s">
        <v>91</v>
      </c>
      <c r="K131" s="19" t="s">
        <v>625</v>
      </c>
      <c r="L131" s="12">
        <v>150</v>
      </c>
      <c r="M131" s="12" t="s">
        <v>619</v>
      </c>
      <c r="N131" s="12" t="s">
        <v>22</v>
      </c>
      <c r="O131" s="12" t="s">
        <v>0</v>
      </c>
      <c r="P131" s="12" t="s">
        <v>82</v>
      </c>
      <c r="Q131" s="11" t="s">
        <v>81</v>
      </c>
      <c r="R131" s="12">
        <v>150</v>
      </c>
      <c r="S131" s="12" t="s">
        <v>78</v>
      </c>
      <c r="T131" s="12" t="s">
        <v>87</v>
      </c>
      <c r="U131" s="20">
        <v>150</v>
      </c>
      <c r="V131" s="12" t="s">
        <v>10</v>
      </c>
      <c r="W131" s="11" t="s">
        <v>25</v>
      </c>
      <c r="X131" s="11" t="s">
        <v>25</v>
      </c>
      <c r="Y131" s="12"/>
    </row>
    <row r="132" spans="1:25" s="24" customFormat="1" ht="24.75" customHeight="1" x14ac:dyDescent="0.3">
      <c r="A132" s="11">
        <v>126</v>
      </c>
      <c r="B132" s="11" t="s">
        <v>146</v>
      </c>
      <c r="C132" s="11" t="s">
        <v>37</v>
      </c>
      <c r="D132" s="17" t="s">
        <v>19</v>
      </c>
      <c r="E132" s="17" t="s">
        <v>195</v>
      </c>
      <c r="F132" s="27" t="s">
        <v>281</v>
      </c>
      <c r="G132" s="12" t="s">
        <v>156</v>
      </c>
      <c r="H132" s="31">
        <v>25.987000000000002</v>
      </c>
      <c r="I132" s="33">
        <v>110</v>
      </c>
      <c r="J132" s="33">
        <v>26</v>
      </c>
      <c r="K132" s="33" t="s">
        <v>650</v>
      </c>
      <c r="L132" s="32" t="s">
        <v>645</v>
      </c>
      <c r="M132" s="33" t="s">
        <v>93</v>
      </c>
      <c r="N132" s="12" t="s">
        <v>20</v>
      </c>
      <c r="O132" s="12" t="s">
        <v>86</v>
      </c>
      <c r="P132" s="12" t="s">
        <v>80</v>
      </c>
      <c r="Q132" s="12" t="s">
        <v>80</v>
      </c>
      <c r="R132" s="12" t="s">
        <v>645</v>
      </c>
      <c r="S132" s="33" t="s">
        <v>98</v>
      </c>
      <c r="T132" s="12" t="s">
        <v>89</v>
      </c>
      <c r="U132" s="12">
        <v>600</v>
      </c>
      <c r="V132" s="12" t="s">
        <v>568</v>
      </c>
      <c r="W132" s="11" t="s">
        <v>25</v>
      </c>
      <c r="X132" s="11" t="s">
        <v>25</v>
      </c>
      <c r="Y132" s="12"/>
    </row>
    <row r="133" spans="1:25" s="24" customFormat="1" ht="24.75" customHeight="1" x14ac:dyDescent="0.3">
      <c r="A133" s="11">
        <v>127</v>
      </c>
      <c r="B133" s="11" t="s">
        <v>146</v>
      </c>
      <c r="C133" s="11" t="s">
        <v>37</v>
      </c>
      <c r="D133" s="17" t="s">
        <v>19</v>
      </c>
      <c r="E133" s="17" t="s">
        <v>196</v>
      </c>
      <c r="F133" s="27" t="s">
        <v>282</v>
      </c>
      <c r="G133" s="12" t="s">
        <v>156</v>
      </c>
      <c r="H133" s="31">
        <v>25.987000000000002</v>
      </c>
      <c r="I133" s="33">
        <v>110</v>
      </c>
      <c r="J133" s="33">
        <v>26</v>
      </c>
      <c r="K133" s="33" t="s">
        <v>650</v>
      </c>
      <c r="L133" s="32" t="s">
        <v>645</v>
      </c>
      <c r="M133" s="33" t="s">
        <v>93</v>
      </c>
      <c r="N133" s="12" t="s">
        <v>20</v>
      </c>
      <c r="O133" s="12" t="s">
        <v>86</v>
      </c>
      <c r="P133" s="12" t="s">
        <v>80</v>
      </c>
      <c r="Q133" s="12" t="s">
        <v>80</v>
      </c>
      <c r="R133" s="12" t="s">
        <v>645</v>
      </c>
      <c r="S133" s="33" t="s">
        <v>98</v>
      </c>
      <c r="T133" s="12" t="s">
        <v>89</v>
      </c>
      <c r="U133" s="12">
        <v>600</v>
      </c>
      <c r="V133" s="12" t="s">
        <v>568</v>
      </c>
      <c r="W133" s="11" t="s">
        <v>25</v>
      </c>
      <c r="X133" s="11" t="s">
        <v>25</v>
      </c>
      <c r="Y133" s="12"/>
    </row>
    <row r="134" spans="1:25" s="16" customFormat="1" ht="24.75" customHeight="1" x14ac:dyDescent="0.3">
      <c r="A134" s="11">
        <v>128</v>
      </c>
      <c r="B134" s="11" t="s">
        <v>147</v>
      </c>
      <c r="C134" s="11" t="s">
        <v>39</v>
      </c>
      <c r="D134" s="11" t="s">
        <v>41</v>
      </c>
      <c r="E134" s="11" t="s">
        <v>521</v>
      </c>
      <c r="F134" s="27" t="s">
        <v>584</v>
      </c>
      <c r="G134" s="12" t="s">
        <v>156</v>
      </c>
      <c r="H134" s="31" t="s">
        <v>100</v>
      </c>
      <c r="I134" s="36" t="s">
        <v>90</v>
      </c>
      <c r="J134" s="32" t="s">
        <v>91</v>
      </c>
      <c r="K134" s="12" t="s">
        <v>625</v>
      </c>
      <c r="L134" s="12">
        <v>100</v>
      </c>
      <c r="M134" s="12" t="s">
        <v>619</v>
      </c>
      <c r="N134" s="12" t="s">
        <v>178</v>
      </c>
      <c r="O134" s="12" t="s">
        <v>44</v>
      </c>
      <c r="P134" s="12" t="s">
        <v>83</v>
      </c>
      <c r="Q134" s="11" t="s">
        <v>81</v>
      </c>
      <c r="R134" s="12">
        <v>100</v>
      </c>
      <c r="S134" s="12" t="s">
        <v>78</v>
      </c>
      <c r="T134" s="12" t="s">
        <v>87</v>
      </c>
      <c r="U134" s="20">
        <v>150</v>
      </c>
      <c r="V134" s="12" t="s">
        <v>25</v>
      </c>
      <c r="W134" s="12" t="s">
        <v>25</v>
      </c>
      <c r="X134" s="12" t="s">
        <v>25</v>
      </c>
      <c r="Y134" s="12"/>
    </row>
    <row r="135" spans="1:25" s="16" customFormat="1" ht="24.75" customHeight="1" x14ac:dyDescent="0.3">
      <c r="A135" s="11">
        <v>129</v>
      </c>
      <c r="B135" s="11" t="s">
        <v>147</v>
      </c>
      <c r="C135" s="11" t="s">
        <v>39</v>
      </c>
      <c r="D135" s="11" t="s">
        <v>17</v>
      </c>
      <c r="E135" s="11" t="s">
        <v>197</v>
      </c>
      <c r="F135" s="27" t="s">
        <v>334</v>
      </c>
      <c r="G135" s="12" t="s">
        <v>156</v>
      </c>
      <c r="H135" s="31" t="s">
        <v>93</v>
      </c>
      <c r="I135" s="31" t="s">
        <v>25</v>
      </c>
      <c r="J135" s="32" t="s">
        <v>91</v>
      </c>
      <c r="K135" s="12" t="s">
        <v>73</v>
      </c>
      <c r="L135" s="12">
        <v>500</v>
      </c>
      <c r="M135" s="14" t="s">
        <v>25</v>
      </c>
      <c r="N135" s="12" t="s">
        <v>22</v>
      </c>
      <c r="O135" s="12" t="s">
        <v>0</v>
      </c>
      <c r="P135" s="12" t="s">
        <v>84</v>
      </c>
      <c r="Q135" s="11" t="s">
        <v>81</v>
      </c>
      <c r="R135" s="12">
        <v>500</v>
      </c>
      <c r="S135" s="14" t="s">
        <v>25</v>
      </c>
      <c r="T135" s="14" t="s">
        <v>25</v>
      </c>
      <c r="U135" s="14" t="s">
        <v>25</v>
      </c>
      <c r="V135" s="14" t="s">
        <v>25</v>
      </c>
      <c r="W135" s="11" t="s">
        <v>25</v>
      </c>
      <c r="X135" s="11" t="s">
        <v>25</v>
      </c>
      <c r="Y135" s="12"/>
    </row>
    <row r="136" spans="1:25" s="16" customFormat="1" ht="24.75" customHeight="1" x14ac:dyDescent="0.3">
      <c r="A136" s="11">
        <v>130</v>
      </c>
      <c r="B136" s="11" t="s">
        <v>147</v>
      </c>
      <c r="C136" s="11" t="s">
        <v>39</v>
      </c>
      <c r="D136" s="11" t="s">
        <v>17</v>
      </c>
      <c r="E136" s="11" t="s">
        <v>198</v>
      </c>
      <c r="F136" s="27" t="s">
        <v>335</v>
      </c>
      <c r="G136" s="12" t="s">
        <v>156</v>
      </c>
      <c r="H136" s="31" t="s">
        <v>93</v>
      </c>
      <c r="I136" s="31" t="s">
        <v>25</v>
      </c>
      <c r="J136" s="32" t="s">
        <v>91</v>
      </c>
      <c r="K136" s="11" t="s">
        <v>65</v>
      </c>
      <c r="L136" s="12">
        <v>80</v>
      </c>
      <c r="M136" s="33" t="s">
        <v>644</v>
      </c>
      <c r="N136" s="12" t="s">
        <v>22</v>
      </c>
      <c r="O136" s="12" t="s">
        <v>0</v>
      </c>
      <c r="P136" s="12" t="s">
        <v>82</v>
      </c>
      <c r="Q136" s="11" t="s">
        <v>81</v>
      </c>
      <c r="R136" s="12">
        <v>80</v>
      </c>
      <c r="S136" s="12" t="s">
        <v>25</v>
      </c>
      <c r="T136" s="12" t="s">
        <v>25</v>
      </c>
      <c r="U136" s="12" t="s">
        <v>25</v>
      </c>
      <c r="V136" s="12" t="s">
        <v>25</v>
      </c>
      <c r="W136" s="11" t="s">
        <v>25</v>
      </c>
      <c r="X136" s="11" t="s">
        <v>25</v>
      </c>
      <c r="Y136" s="12"/>
    </row>
    <row r="137" spans="1:25" s="16" customFormat="1" ht="24.75" customHeight="1" x14ac:dyDescent="0.3">
      <c r="A137" s="11">
        <v>131</v>
      </c>
      <c r="B137" s="11" t="s">
        <v>147</v>
      </c>
      <c r="C137" s="11" t="s">
        <v>39</v>
      </c>
      <c r="D137" s="11" t="s">
        <v>7</v>
      </c>
      <c r="E137" s="11" t="s">
        <v>522</v>
      </c>
      <c r="F137" s="27" t="s">
        <v>336</v>
      </c>
      <c r="G137" s="12" t="s">
        <v>164</v>
      </c>
      <c r="H137" s="31" t="s">
        <v>93</v>
      </c>
      <c r="I137" s="31" t="s">
        <v>25</v>
      </c>
      <c r="J137" s="32" t="s">
        <v>91</v>
      </c>
      <c r="K137" s="11" t="s">
        <v>65</v>
      </c>
      <c r="L137" s="12">
        <v>80</v>
      </c>
      <c r="M137" s="33" t="s">
        <v>644</v>
      </c>
      <c r="N137" s="12" t="s">
        <v>178</v>
      </c>
      <c r="O137" s="12" t="s">
        <v>13</v>
      </c>
      <c r="P137" s="12" t="s">
        <v>83</v>
      </c>
      <c r="Q137" s="11" t="s">
        <v>81</v>
      </c>
      <c r="R137" s="12">
        <v>80</v>
      </c>
      <c r="S137" s="12" t="s">
        <v>563</v>
      </c>
      <c r="T137" s="12" t="s">
        <v>637</v>
      </c>
      <c r="U137" s="12">
        <v>300</v>
      </c>
      <c r="V137" s="12" t="s">
        <v>10</v>
      </c>
      <c r="W137" s="12" t="s">
        <v>25</v>
      </c>
      <c r="X137" s="12" t="s">
        <v>25</v>
      </c>
      <c r="Y137" s="12"/>
    </row>
    <row r="138" spans="1:25" s="16" customFormat="1" ht="24.75" customHeight="1" x14ac:dyDescent="0.3">
      <c r="A138" s="11">
        <v>132</v>
      </c>
      <c r="B138" s="11" t="s">
        <v>147</v>
      </c>
      <c r="C138" s="11" t="s">
        <v>39</v>
      </c>
      <c r="D138" s="11" t="s">
        <v>17</v>
      </c>
      <c r="E138" s="11" t="s">
        <v>199</v>
      </c>
      <c r="F138" s="27" t="s">
        <v>337</v>
      </c>
      <c r="G138" s="12" t="s">
        <v>156</v>
      </c>
      <c r="H138" s="31">
        <v>40</v>
      </c>
      <c r="I138" s="31">
        <v>185</v>
      </c>
      <c r="J138" s="32" t="s">
        <v>91</v>
      </c>
      <c r="K138" s="12" t="s">
        <v>627</v>
      </c>
      <c r="L138" s="12">
        <v>150</v>
      </c>
      <c r="M138" s="12" t="s">
        <v>564</v>
      </c>
      <c r="N138" s="12" t="s">
        <v>22</v>
      </c>
      <c r="O138" s="12" t="s">
        <v>0</v>
      </c>
      <c r="P138" s="12" t="s">
        <v>82</v>
      </c>
      <c r="Q138" s="11" t="s">
        <v>81</v>
      </c>
      <c r="R138" s="12">
        <v>150</v>
      </c>
      <c r="S138" s="12" t="s">
        <v>14</v>
      </c>
      <c r="T138" s="12" t="s">
        <v>15</v>
      </c>
      <c r="U138" s="12">
        <v>300</v>
      </c>
      <c r="V138" s="12" t="s">
        <v>10</v>
      </c>
      <c r="W138" s="11" t="s">
        <v>25</v>
      </c>
      <c r="X138" s="11" t="s">
        <v>25</v>
      </c>
      <c r="Y138" s="12"/>
    </row>
    <row r="139" spans="1:25" s="16" customFormat="1" ht="24.75" customHeight="1" x14ac:dyDescent="0.3">
      <c r="A139" s="11">
        <v>133</v>
      </c>
      <c r="B139" s="11" t="s">
        <v>147</v>
      </c>
      <c r="C139" s="11" t="s">
        <v>39</v>
      </c>
      <c r="D139" s="11" t="s">
        <v>41</v>
      </c>
      <c r="E139" s="11" t="s">
        <v>523</v>
      </c>
      <c r="F139" s="27" t="s">
        <v>338</v>
      </c>
      <c r="G139" s="12" t="s">
        <v>156</v>
      </c>
      <c r="H139" s="31">
        <v>40</v>
      </c>
      <c r="I139" s="31">
        <v>185</v>
      </c>
      <c r="J139" s="32" t="s">
        <v>91</v>
      </c>
      <c r="K139" s="12" t="s">
        <v>627</v>
      </c>
      <c r="L139" s="12">
        <v>150</v>
      </c>
      <c r="M139" s="12" t="s">
        <v>564</v>
      </c>
      <c r="N139" s="12" t="s">
        <v>178</v>
      </c>
      <c r="O139" s="12" t="s">
        <v>13</v>
      </c>
      <c r="P139" s="12" t="s">
        <v>83</v>
      </c>
      <c r="Q139" s="11" t="s">
        <v>81</v>
      </c>
      <c r="R139" s="12">
        <v>150</v>
      </c>
      <c r="S139" s="12" t="s">
        <v>14</v>
      </c>
      <c r="T139" s="12" t="s">
        <v>15</v>
      </c>
      <c r="U139" s="12">
        <v>300</v>
      </c>
      <c r="V139" s="12" t="s">
        <v>10</v>
      </c>
      <c r="W139" s="11" t="s">
        <v>25</v>
      </c>
      <c r="X139" s="11" t="s">
        <v>25</v>
      </c>
      <c r="Y139" s="12"/>
    </row>
    <row r="140" spans="1:25" s="16" customFormat="1" ht="24.75" customHeight="1" x14ac:dyDescent="0.3">
      <c r="A140" s="11">
        <v>134</v>
      </c>
      <c r="B140" s="11" t="s">
        <v>147</v>
      </c>
      <c r="C140" s="11" t="s">
        <v>39</v>
      </c>
      <c r="D140" s="11" t="s">
        <v>19</v>
      </c>
      <c r="E140" s="11" t="s">
        <v>200</v>
      </c>
      <c r="F140" s="27" t="s">
        <v>616</v>
      </c>
      <c r="G140" s="12" t="s">
        <v>164</v>
      </c>
      <c r="H140" s="31" t="s">
        <v>93</v>
      </c>
      <c r="I140" s="33">
        <v>205</v>
      </c>
      <c r="J140" s="33">
        <v>10</v>
      </c>
      <c r="K140" s="12" t="s">
        <v>556</v>
      </c>
      <c r="L140" s="32" t="s">
        <v>639</v>
      </c>
      <c r="M140" s="14" t="s">
        <v>25</v>
      </c>
      <c r="N140" s="12" t="s">
        <v>20</v>
      </c>
      <c r="O140" s="12" t="s">
        <v>96</v>
      </c>
      <c r="P140" s="12" t="s">
        <v>91</v>
      </c>
      <c r="Q140" s="11" t="s">
        <v>91</v>
      </c>
      <c r="R140" s="12" t="s">
        <v>639</v>
      </c>
      <c r="S140" s="33" t="s">
        <v>98</v>
      </c>
      <c r="T140" s="12" t="s">
        <v>89</v>
      </c>
      <c r="U140" s="12">
        <v>600</v>
      </c>
      <c r="V140" s="12" t="s">
        <v>568</v>
      </c>
      <c r="W140" s="11" t="s">
        <v>93</v>
      </c>
      <c r="X140" s="11" t="s">
        <v>93</v>
      </c>
      <c r="Y140" s="12"/>
    </row>
    <row r="141" spans="1:25" s="16" customFormat="1" ht="24.75" customHeight="1" x14ac:dyDescent="0.3">
      <c r="A141" s="11">
        <v>135</v>
      </c>
      <c r="B141" s="11" t="s">
        <v>147</v>
      </c>
      <c r="C141" s="11" t="s">
        <v>39</v>
      </c>
      <c r="D141" s="11" t="s">
        <v>7</v>
      </c>
      <c r="E141" s="11" t="s">
        <v>524</v>
      </c>
      <c r="F141" s="27" t="s">
        <v>339</v>
      </c>
      <c r="G141" s="12" t="s">
        <v>156</v>
      </c>
      <c r="H141" s="31" t="s">
        <v>93</v>
      </c>
      <c r="I141" s="31" t="s">
        <v>25</v>
      </c>
      <c r="J141" s="32" t="s">
        <v>91</v>
      </c>
      <c r="K141" s="12" t="s">
        <v>556</v>
      </c>
      <c r="L141" s="12">
        <v>100</v>
      </c>
      <c r="M141" s="14" t="s">
        <v>25</v>
      </c>
      <c r="N141" s="12" t="s">
        <v>178</v>
      </c>
      <c r="O141" s="12" t="s">
        <v>8</v>
      </c>
      <c r="P141" s="12" t="s">
        <v>83</v>
      </c>
      <c r="Q141" s="11" t="s">
        <v>81</v>
      </c>
      <c r="R141" s="12">
        <v>100</v>
      </c>
      <c r="S141" s="14" t="s">
        <v>25</v>
      </c>
      <c r="T141" s="14" t="s">
        <v>25</v>
      </c>
      <c r="U141" s="14" t="s">
        <v>25</v>
      </c>
      <c r="V141" s="14" t="s">
        <v>25</v>
      </c>
      <c r="W141" s="11" t="s">
        <v>25</v>
      </c>
      <c r="X141" s="11" t="s">
        <v>25</v>
      </c>
      <c r="Y141" s="12"/>
    </row>
    <row r="142" spans="1:25" s="16" customFormat="1" ht="24.75" customHeight="1" x14ac:dyDescent="0.3">
      <c r="A142" s="11">
        <v>136</v>
      </c>
      <c r="B142" s="11" t="s">
        <v>147</v>
      </c>
      <c r="C142" s="11" t="s">
        <v>39</v>
      </c>
      <c r="D142" s="11" t="s">
        <v>41</v>
      </c>
      <c r="E142" s="11" t="s">
        <v>525</v>
      </c>
      <c r="F142" s="27" t="s">
        <v>340</v>
      </c>
      <c r="G142" s="12" t="s">
        <v>156</v>
      </c>
      <c r="H142" s="31">
        <v>13</v>
      </c>
      <c r="I142" s="31">
        <v>185</v>
      </c>
      <c r="J142" s="32" t="s">
        <v>91</v>
      </c>
      <c r="K142" s="12" t="s">
        <v>72</v>
      </c>
      <c r="L142" s="12">
        <v>150</v>
      </c>
      <c r="M142" s="12" t="s">
        <v>562</v>
      </c>
      <c r="N142" s="12" t="s">
        <v>178</v>
      </c>
      <c r="O142" s="12" t="s">
        <v>13</v>
      </c>
      <c r="P142" s="12" t="s">
        <v>83</v>
      </c>
      <c r="Q142" s="11" t="s">
        <v>81</v>
      </c>
      <c r="R142" s="12">
        <v>150</v>
      </c>
      <c r="S142" s="12" t="s">
        <v>14</v>
      </c>
      <c r="T142" s="12" t="s">
        <v>15</v>
      </c>
      <c r="U142" s="20">
        <v>150</v>
      </c>
      <c r="V142" s="12" t="s">
        <v>10</v>
      </c>
      <c r="W142" s="11" t="s">
        <v>25</v>
      </c>
      <c r="X142" s="11" t="s">
        <v>25</v>
      </c>
      <c r="Y142" s="12"/>
    </row>
    <row r="143" spans="1:25" s="16" customFormat="1" ht="24.75" customHeight="1" x14ac:dyDescent="0.3">
      <c r="A143" s="11">
        <v>137</v>
      </c>
      <c r="B143" s="11" t="s">
        <v>147</v>
      </c>
      <c r="C143" s="11" t="s">
        <v>39</v>
      </c>
      <c r="D143" s="11" t="s">
        <v>41</v>
      </c>
      <c r="E143" s="11" t="s">
        <v>526</v>
      </c>
      <c r="F143" s="27" t="s">
        <v>585</v>
      </c>
      <c r="G143" s="12" t="s">
        <v>156</v>
      </c>
      <c r="H143" s="31" t="s">
        <v>93</v>
      </c>
      <c r="I143" s="31" t="s">
        <v>25</v>
      </c>
      <c r="J143" s="32" t="s">
        <v>91</v>
      </c>
      <c r="K143" s="12" t="s">
        <v>628</v>
      </c>
      <c r="L143" s="12">
        <v>50</v>
      </c>
      <c r="M143" s="12" t="s">
        <v>624</v>
      </c>
      <c r="N143" s="12" t="s">
        <v>178</v>
      </c>
      <c r="O143" s="12" t="s">
        <v>13</v>
      </c>
      <c r="P143" s="12" t="s">
        <v>83</v>
      </c>
      <c r="Q143" s="11" t="s">
        <v>81</v>
      </c>
      <c r="R143" s="12">
        <v>50</v>
      </c>
      <c r="S143" s="12" t="s">
        <v>63</v>
      </c>
      <c r="T143" s="12" t="s">
        <v>15</v>
      </c>
      <c r="U143" s="20">
        <v>600</v>
      </c>
      <c r="V143" s="12" t="s">
        <v>62</v>
      </c>
      <c r="W143" s="11" t="s">
        <v>25</v>
      </c>
      <c r="X143" s="11" t="s">
        <v>25</v>
      </c>
      <c r="Y143" s="12"/>
    </row>
    <row r="144" spans="1:25" s="16" customFormat="1" ht="24.75" customHeight="1" x14ac:dyDescent="0.3">
      <c r="A144" s="11">
        <v>138</v>
      </c>
      <c r="B144" s="11" t="s">
        <v>148</v>
      </c>
      <c r="C144" s="11" t="s">
        <v>39</v>
      </c>
      <c r="D144" s="11" t="s">
        <v>41</v>
      </c>
      <c r="E144" s="11" t="s">
        <v>527</v>
      </c>
      <c r="F144" s="27" t="s">
        <v>586</v>
      </c>
      <c r="G144" s="12" t="s">
        <v>156</v>
      </c>
      <c r="H144" s="31" t="s">
        <v>100</v>
      </c>
      <c r="I144" s="36" t="s">
        <v>90</v>
      </c>
      <c r="J144" s="32" t="s">
        <v>91</v>
      </c>
      <c r="K144" s="12" t="s">
        <v>625</v>
      </c>
      <c r="L144" s="12">
        <v>100</v>
      </c>
      <c r="M144" s="12" t="s">
        <v>619</v>
      </c>
      <c r="N144" s="12" t="s">
        <v>178</v>
      </c>
      <c r="O144" s="12" t="s">
        <v>44</v>
      </c>
      <c r="P144" s="12" t="s">
        <v>83</v>
      </c>
      <c r="Q144" s="11" t="s">
        <v>81</v>
      </c>
      <c r="R144" s="12">
        <v>100</v>
      </c>
      <c r="S144" s="12" t="s">
        <v>78</v>
      </c>
      <c r="T144" s="12" t="s">
        <v>87</v>
      </c>
      <c r="U144" s="20">
        <v>150</v>
      </c>
      <c r="V144" s="12" t="s">
        <v>25</v>
      </c>
      <c r="W144" s="12" t="s">
        <v>25</v>
      </c>
      <c r="X144" s="12" t="s">
        <v>25</v>
      </c>
      <c r="Y144" s="12"/>
    </row>
    <row r="145" spans="1:25" s="16" customFormat="1" ht="24.75" customHeight="1" x14ac:dyDescent="0.3">
      <c r="A145" s="11">
        <v>139</v>
      </c>
      <c r="B145" s="11" t="s">
        <v>148</v>
      </c>
      <c r="C145" s="11" t="s">
        <v>40</v>
      </c>
      <c r="D145" s="11" t="s">
        <v>17</v>
      </c>
      <c r="E145" s="11" t="s">
        <v>201</v>
      </c>
      <c r="F145" s="27" t="s">
        <v>202</v>
      </c>
      <c r="G145" s="12" t="s">
        <v>156</v>
      </c>
      <c r="H145" s="31" t="s">
        <v>93</v>
      </c>
      <c r="I145" s="31" t="s">
        <v>25</v>
      </c>
      <c r="J145" s="32" t="s">
        <v>91</v>
      </c>
      <c r="K145" s="12" t="s">
        <v>73</v>
      </c>
      <c r="L145" s="12">
        <v>500</v>
      </c>
      <c r="M145" s="14" t="s">
        <v>25</v>
      </c>
      <c r="N145" s="12" t="s">
        <v>22</v>
      </c>
      <c r="O145" s="12" t="s">
        <v>0</v>
      </c>
      <c r="P145" s="12" t="s">
        <v>84</v>
      </c>
      <c r="Q145" s="11" t="s">
        <v>81</v>
      </c>
      <c r="R145" s="12">
        <v>500</v>
      </c>
      <c r="S145" s="14" t="s">
        <v>25</v>
      </c>
      <c r="T145" s="14" t="s">
        <v>25</v>
      </c>
      <c r="U145" s="14" t="s">
        <v>25</v>
      </c>
      <c r="V145" s="14" t="s">
        <v>25</v>
      </c>
      <c r="W145" s="11" t="s">
        <v>25</v>
      </c>
      <c r="X145" s="11" t="s">
        <v>25</v>
      </c>
      <c r="Y145" s="12"/>
    </row>
    <row r="146" spans="1:25" s="16" customFormat="1" ht="24.75" customHeight="1" x14ac:dyDescent="0.3">
      <c r="A146" s="11">
        <v>140</v>
      </c>
      <c r="B146" s="11" t="s">
        <v>148</v>
      </c>
      <c r="C146" s="11" t="s">
        <v>40</v>
      </c>
      <c r="D146" s="11" t="s">
        <v>17</v>
      </c>
      <c r="E146" s="11" t="s">
        <v>216</v>
      </c>
      <c r="F146" s="27" t="s">
        <v>203</v>
      </c>
      <c r="G146" s="12" t="s">
        <v>156</v>
      </c>
      <c r="H146" s="31" t="s">
        <v>93</v>
      </c>
      <c r="I146" s="31" t="s">
        <v>25</v>
      </c>
      <c r="J146" s="32" t="s">
        <v>91</v>
      </c>
      <c r="K146" s="11" t="s">
        <v>65</v>
      </c>
      <c r="L146" s="12">
        <v>80</v>
      </c>
      <c r="M146" s="33" t="s">
        <v>644</v>
      </c>
      <c r="N146" s="12" t="s">
        <v>22</v>
      </c>
      <c r="O146" s="12" t="s">
        <v>0</v>
      </c>
      <c r="P146" s="12" t="s">
        <v>82</v>
      </c>
      <c r="Q146" s="11" t="s">
        <v>81</v>
      </c>
      <c r="R146" s="12">
        <v>80</v>
      </c>
      <c r="S146" s="12" t="s">
        <v>25</v>
      </c>
      <c r="T146" s="12" t="s">
        <v>25</v>
      </c>
      <c r="U146" s="12" t="s">
        <v>25</v>
      </c>
      <c r="V146" s="12" t="s">
        <v>25</v>
      </c>
      <c r="W146" s="11" t="s">
        <v>25</v>
      </c>
      <c r="X146" s="11" t="s">
        <v>25</v>
      </c>
      <c r="Y146" s="12"/>
    </row>
    <row r="147" spans="1:25" s="16" customFormat="1" ht="24.75" customHeight="1" x14ac:dyDescent="0.3">
      <c r="A147" s="11">
        <v>141</v>
      </c>
      <c r="B147" s="11" t="s">
        <v>148</v>
      </c>
      <c r="C147" s="11" t="s">
        <v>39</v>
      </c>
      <c r="D147" s="11" t="s">
        <v>7</v>
      </c>
      <c r="E147" s="11" t="s">
        <v>528</v>
      </c>
      <c r="F147" s="27" t="s">
        <v>204</v>
      </c>
      <c r="G147" s="12" t="s">
        <v>164</v>
      </c>
      <c r="H147" s="31" t="s">
        <v>93</v>
      </c>
      <c r="I147" s="31" t="s">
        <v>25</v>
      </c>
      <c r="J147" s="32" t="s">
        <v>91</v>
      </c>
      <c r="K147" s="11" t="s">
        <v>65</v>
      </c>
      <c r="L147" s="12">
        <v>80</v>
      </c>
      <c r="M147" s="33" t="s">
        <v>644</v>
      </c>
      <c r="N147" s="12" t="s">
        <v>178</v>
      </c>
      <c r="O147" s="12" t="s">
        <v>13</v>
      </c>
      <c r="P147" s="12" t="s">
        <v>83</v>
      </c>
      <c r="Q147" s="11" t="s">
        <v>81</v>
      </c>
      <c r="R147" s="12">
        <v>80</v>
      </c>
      <c r="S147" s="12" t="s">
        <v>563</v>
      </c>
      <c r="T147" s="12" t="s">
        <v>637</v>
      </c>
      <c r="U147" s="12">
        <v>300</v>
      </c>
      <c r="V147" s="12" t="s">
        <v>10</v>
      </c>
      <c r="W147" s="12" t="s">
        <v>25</v>
      </c>
      <c r="X147" s="12" t="s">
        <v>25</v>
      </c>
      <c r="Y147" s="12"/>
    </row>
    <row r="148" spans="1:25" s="16" customFormat="1" ht="24.75" customHeight="1" x14ac:dyDescent="0.3">
      <c r="A148" s="11">
        <v>142</v>
      </c>
      <c r="B148" s="11" t="s">
        <v>148</v>
      </c>
      <c r="C148" s="11" t="s">
        <v>40</v>
      </c>
      <c r="D148" s="11" t="s">
        <v>17</v>
      </c>
      <c r="E148" s="11" t="s">
        <v>217</v>
      </c>
      <c r="F148" s="27" t="s">
        <v>205</v>
      </c>
      <c r="G148" s="12" t="s">
        <v>156</v>
      </c>
      <c r="H148" s="31">
        <v>197</v>
      </c>
      <c r="I148" s="31">
        <v>185</v>
      </c>
      <c r="J148" s="32" t="s">
        <v>91</v>
      </c>
      <c r="K148" s="12" t="s">
        <v>74</v>
      </c>
      <c r="L148" s="12">
        <v>150</v>
      </c>
      <c r="M148" s="12" t="s">
        <v>634</v>
      </c>
      <c r="N148" s="12" t="s">
        <v>22</v>
      </c>
      <c r="O148" s="12" t="s">
        <v>0</v>
      </c>
      <c r="P148" s="12" t="s">
        <v>82</v>
      </c>
      <c r="Q148" s="11" t="s">
        <v>81</v>
      </c>
      <c r="R148" s="12">
        <v>150</v>
      </c>
      <c r="S148" s="12" t="s">
        <v>88</v>
      </c>
      <c r="T148" s="12" t="s">
        <v>15</v>
      </c>
      <c r="U148" s="12">
        <v>1500</v>
      </c>
      <c r="V148" s="12" t="s">
        <v>10</v>
      </c>
      <c r="W148" s="11" t="s">
        <v>25</v>
      </c>
      <c r="X148" s="11" t="s">
        <v>25</v>
      </c>
      <c r="Y148" s="12"/>
    </row>
    <row r="149" spans="1:25" s="16" customFormat="1" ht="24.75" customHeight="1" x14ac:dyDescent="0.3">
      <c r="A149" s="11">
        <v>143</v>
      </c>
      <c r="B149" s="11" t="s">
        <v>148</v>
      </c>
      <c r="C149" s="11" t="s">
        <v>39</v>
      </c>
      <c r="D149" s="11" t="s">
        <v>41</v>
      </c>
      <c r="E149" s="11" t="s">
        <v>529</v>
      </c>
      <c r="F149" s="27" t="s">
        <v>206</v>
      </c>
      <c r="G149" s="12" t="s">
        <v>156</v>
      </c>
      <c r="H149" s="31">
        <v>197</v>
      </c>
      <c r="I149" s="31">
        <v>185</v>
      </c>
      <c r="J149" s="32" t="s">
        <v>91</v>
      </c>
      <c r="K149" s="12" t="s">
        <v>74</v>
      </c>
      <c r="L149" s="12">
        <v>150</v>
      </c>
      <c r="M149" s="12" t="s">
        <v>634</v>
      </c>
      <c r="N149" s="12" t="s">
        <v>178</v>
      </c>
      <c r="O149" s="12" t="s">
        <v>13</v>
      </c>
      <c r="P149" s="12" t="s">
        <v>83</v>
      </c>
      <c r="Q149" s="11" t="s">
        <v>81</v>
      </c>
      <c r="R149" s="12">
        <v>150</v>
      </c>
      <c r="S149" s="12" t="s">
        <v>88</v>
      </c>
      <c r="T149" s="20" t="s">
        <v>15</v>
      </c>
      <c r="U149" s="20">
        <v>1500</v>
      </c>
      <c r="V149" s="12" t="s">
        <v>4</v>
      </c>
      <c r="W149" s="11" t="s">
        <v>25</v>
      </c>
      <c r="X149" s="11" t="s">
        <v>25</v>
      </c>
      <c r="Y149" s="12"/>
    </row>
    <row r="150" spans="1:25" s="16" customFormat="1" ht="24.75" customHeight="1" x14ac:dyDescent="0.3">
      <c r="A150" s="11">
        <v>144</v>
      </c>
      <c r="B150" s="11" t="s">
        <v>148</v>
      </c>
      <c r="C150" s="11" t="s">
        <v>40</v>
      </c>
      <c r="D150" s="11" t="s">
        <v>19</v>
      </c>
      <c r="E150" s="11" t="s">
        <v>218</v>
      </c>
      <c r="F150" s="27" t="s">
        <v>617</v>
      </c>
      <c r="G150" s="12" t="s">
        <v>164</v>
      </c>
      <c r="H150" s="31" t="s">
        <v>93</v>
      </c>
      <c r="I150" s="33">
        <v>205</v>
      </c>
      <c r="J150" s="33">
        <v>10</v>
      </c>
      <c r="K150" s="12" t="s">
        <v>556</v>
      </c>
      <c r="L150" s="32" t="s">
        <v>639</v>
      </c>
      <c r="M150" s="14" t="s">
        <v>25</v>
      </c>
      <c r="N150" s="12" t="s">
        <v>20</v>
      </c>
      <c r="O150" s="12" t="s">
        <v>96</v>
      </c>
      <c r="P150" s="12" t="s">
        <v>91</v>
      </c>
      <c r="Q150" s="11" t="s">
        <v>91</v>
      </c>
      <c r="R150" s="12" t="s">
        <v>639</v>
      </c>
      <c r="S150" s="33" t="s">
        <v>98</v>
      </c>
      <c r="T150" s="12" t="s">
        <v>89</v>
      </c>
      <c r="U150" s="12">
        <v>600</v>
      </c>
      <c r="V150" s="12" t="s">
        <v>568</v>
      </c>
      <c r="W150" s="11" t="s">
        <v>93</v>
      </c>
      <c r="X150" s="11" t="s">
        <v>93</v>
      </c>
      <c r="Y150" s="12"/>
    </row>
    <row r="151" spans="1:25" s="16" customFormat="1" ht="24.75" customHeight="1" x14ac:dyDescent="0.3">
      <c r="A151" s="11">
        <v>145</v>
      </c>
      <c r="B151" s="11" t="s">
        <v>148</v>
      </c>
      <c r="C151" s="11" t="s">
        <v>39</v>
      </c>
      <c r="D151" s="11" t="s">
        <v>7</v>
      </c>
      <c r="E151" s="11" t="s">
        <v>530</v>
      </c>
      <c r="F151" s="27" t="s">
        <v>207</v>
      </c>
      <c r="G151" s="12" t="s">
        <v>156</v>
      </c>
      <c r="H151" s="31" t="s">
        <v>93</v>
      </c>
      <c r="I151" s="31" t="s">
        <v>25</v>
      </c>
      <c r="J151" s="32" t="s">
        <v>91</v>
      </c>
      <c r="K151" s="12" t="s">
        <v>556</v>
      </c>
      <c r="L151" s="12">
        <v>100</v>
      </c>
      <c r="M151" s="14" t="s">
        <v>25</v>
      </c>
      <c r="N151" s="12" t="s">
        <v>178</v>
      </c>
      <c r="O151" s="12" t="s">
        <v>8</v>
      </c>
      <c r="P151" s="12" t="s">
        <v>83</v>
      </c>
      <c r="Q151" s="11" t="s">
        <v>81</v>
      </c>
      <c r="R151" s="12">
        <v>100</v>
      </c>
      <c r="S151" s="14" t="s">
        <v>25</v>
      </c>
      <c r="T151" s="14" t="s">
        <v>25</v>
      </c>
      <c r="U151" s="14" t="s">
        <v>25</v>
      </c>
      <c r="V151" s="14" t="s">
        <v>25</v>
      </c>
      <c r="W151" s="11" t="s">
        <v>25</v>
      </c>
      <c r="X151" s="11" t="s">
        <v>25</v>
      </c>
      <c r="Y151" s="12"/>
    </row>
    <row r="152" spans="1:25" s="16" customFormat="1" ht="24.75" customHeight="1" x14ac:dyDescent="0.3">
      <c r="A152" s="11">
        <v>146</v>
      </c>
      <c r="B152" s="11" t="s">
        <v>148</v>
      </c>
      <c r="C152" s="11" t="s">
        <v>40</v>
      </c>
      <c r="D152" s="11" t="s">
        <v>41</v>
      </c>
      <c r="E152" s="11" t="s">
        <v>531</v>
      </c>
      <c r="F152" s="27" t="s">
        <v>208</v>
      </c>
      <c r="G152" s="12" t="s">
        <v>156</v>
      </c>
      <c r="H152" s="31">
        <v>13</v>
      </c>
      <c r="I152" s="31">
        <v>185</v>
      </c>
      <c r="J152" s="32" t="s">
        <v>91</v>
      </c>
      <c r="K152" s="12" t="s">
        <v>72</v>
      </c>
      <c r="L152" s="12">
        <v>150</v>
      </c>
      <c r="M152" s="12" t="s">
        <v>562</v>
      </c>
      <c r="N152" s="12" t="s">
        <v>178</v>
      </c>
      <c r="O152" s="12" t="s">
        <v>13</v>
      </c>
      <c r="P152" s="12" t="s">
        <v>83</v>
      </c>
      <c r="Q152" s="11" t="s">
        <v>81</v>
      </c>
      <c r="R152" s="12">
        <v>150</v>
      </c>
      <c r="S152" s="12" t="s">
        <v>14</v>
      </c>
      <c r="T152" s="12" t="s">
        <v>15</v>
      </c>
      <c r="U152" s="20">
        <v>150</v>
      </c>
      <c r="V152" s="12" t="s">
        <v>10</v>
      </c>
      <c r="W152" s="11" t="s">
        <v>25</v>
      </c>
      <c r="X152" s="11" t="s">
        <v>25</v>
      </c>
      <c r="Y152" s="12"/>
    </row>
    <row r="153" spans="1:25" s="16" customFormat="1" ht="24.75" customHeight="1" x14ac:dyDescent="0.3">
      <c r="A153" s="11">
        <v>147</v>
      </c>
      <c r="B153" s="11" t="s">
        <v>148</v>
      </c>
      <c r="C153" s="11" t="s">
        <v>39</v>
      </c>
      <c r="D153" s="11" t="s">
        <v>41</v>
      </c>
      <c r="E153" s="11" t="s">
        <v>532</v>
      </c>
      <c r="F153" s="27" t="s">
        <v>587</v>
      </c>
      <c r="G153" s="12" t="s">
        <v>156</v>
      </c>
      <c r="H153" s="31" t="s">
        <v>93</v>
      </c>
      <c r="I153" s="31" t="s">
        <v>25</v>
      </c>
      <c r="J153" s="32" t="s">
        <v>91</v>
      </c>
      <c r="K153" s="12" t="s">
        <v>628</v>
      </c>
      <c r="L153" s="12">
        <v>50</v>
      </c>
      <c r="M153" s="12" t="s">
        <v>624</v>
      </c>
      <c r="N153" s="12" t="s">
        <v>178</v>
      </c>
      <c r="O153" s="12" t="s">
        <v>13</v>
      </c>
      <c r="P153" s="12" t="s">
        <v>83</v>
      </c>
      <c r="Q153" s="11" t="s">
        <v>81</v>
      </c>
      <c r="R153" s="12">
        <v>50</v>
      </c>
      <c r="S153" s="12" t="s">
        <v>63</v>
      </c>
      <c r="T153" s="12" t="s">
        <v>15</v>
      </c>
      <c r="U153" s="20">
        <v>600</v>
      </c>
      <c r="V153" s="12" t="s">
        <v>62</v>
      </c>
      <c r="W153" s="11" t="s">
        <v>25</v>
      </c>
      <c r="X153" s="11" t="s">
        <v>25</v>
      </c>
      <c r="Y153" s="12"/>
    </row>
    <row r="154" spans="1:25" s="16" customFormat="1" ht="24.75" customHeight="1" x14ac:dyDescent="0.3">
      <c r="A154" s="11">
        <v>148</v>
      </c>
      <c r="B154" s="11" t="s">
        <v>149</v>
      </c>
      <c r="C154" s="11" t="s">
        <v>39</v>
      </c>
      <c r="D154" s="11" t="s">
        <v>41</v>
      </c>
      <c r="E154" s="11" t="s">
        <v>533</v>
      </c>
      <c r="F154" s="27" t="s">
        <v>588</v>
      </c>
      <c r="G154" s="12" t="s">
        <v>156</v>
      </c>
      <c r="H154" s="31" t="s">
        <v>100</v>
      </c>
      <c r="I154" s="36" t="s">
        <v>90</v>
      </c>
      <c r="J154" s="32" t="s">
        <v>91</v>
      </c>
      <c r="K154" s="12" t="s">
        <v>625</v>
      </c>
      <c r="L154" s="12">
        <v>100</v>
      </c>
      <c r="M154" s="12" t="s">
        <v>619</v>
      </c>
      <c r="N154" s="12" t="s">
        <v>178</v>
      </c>
      <c r="O154" s="12" t="s">
        <v>44</v>
      </c>
      <c r="P154" s="12" t="s">
        <v>83</v>
      </c>
      <c r="Q154" s="11" t="s">
        <v>81</v>
      </c>
      <c r="R154" s="12">
        <v>100</v>
      </c>
      <c r="S154" s="12" t="s">
        <v>78</v>
      </c>
      <c r="T154" s="12" t="s">
        <v>87</v>
      </c>
      <c r="U154" s="20">
        <v>150</v>
      </c>
      <c r="V154" s="12" t="s">
        <v>25</v>
      </c>
      <c r="W154" s="12" t="s">
        <v>25</v>
      </c>
      <c r="X154" s="12" t="s">
        <v>25</v>
      </c>
      <c r="Y154" s="12"/>
    </row>
    <row r="155" spans="1:25" s="16" customFormat="1" ht="24.75" customHeight="1" x14ac:dyDescent="0.3">
      <c r="A155" s="11">
        <v>149</v>
      </c>
      <c r="B155" s="11" t="s">
        <v>149</v>
      </c>
      <c r="C155" s="11" t="s">
        <v>40</v>
      </c>
      <c r="D155" s="11" t="s">
        <v>17</v>
      </c>
      <c r="E155" s="11" t="s">
        <v>219</v>
      </c>
      <c r="F155" s="27" t="s">
        <v>209</v>
      </c>
      <c r="G155" s="12" t="s">
        <v>156</v>
      </c>
      <c r="H155" s="31" t="s">
        <v>93</v>
      </c>
      <c r="I155" s="31" t="s">
        <v>25</v>
      </c>
      <c r="J155" s="32" t="s">
        <v>91</v>
      </c>
      <c r="K155" s="12" t="s">
        <v>73</v>
      </c>
      <c r="L155" s="12">
        <v>500</v>
      </c>
      <c r="M155" s="14" t="s">
        <v>25</v>
      </c>
      <c r="N155" s="12" t="s">
        <v>22</v>
      </c>
      <c r="O155" s="12" t="s">
        <v>0</v>
      </c>
      <c r="P155" s="12" t="s">
        <v>84</v>
      </c>
      <c r="Q155" s="11" t="s">
        <v>81</v>
      </c>
      <c r="R155" s="12">
        <v>500</v>
      </c>
      <c r="S155" s="14" t="s">
        <v>25</v>
      </c>
      <c r="T155" s="14" t="s">
        <v>25</v>
      </c>
      <c r="U155" s="14" t="s">
        <v>25</v>
      </c>
      <c r="V155" s="14" t="s">
        <v>25</v>
      </c>
      <c r="W155" s="11" t="s">
        <v>25</v>
      </c>
      <c r="X155" s="11" t="s">
        <v>25</v>
      </c>
      <c r="Y155" s="12"/>
    </row>
    <row r="156" spans="1:25" s="16" customFormat="1" ht="24.75" customHeight="1" x14ac:dyDescent="0.3">
      <c r="A156" s="11">
        <v>150</v>
      </c>
      <c r="B156" s="11" t="s">
        <v>149</v>
      </c>
      <c r="C156" s="11" t="s">
        <v>40</v>
      </c>
      <c r="D156" s="11" t="s">
        <v>17</v>
      </c>
      <c r="E156" s="11" t="s">
        <v>220</v>
      </c>
      <c r="F156" s="27" t="s">
        <v>210</v>
      </c>
      <c r="G156" s="12" t="s">
        <v>156</v>
      </c>
      <c r="H156" s="31" t="s">
        <v>93</v>
      </c>
      <c r="I156" s="31" t="s">
        <v>25</v>
      </c>
      <c r="J156" s="32" t="s">
        <v>91</v>
      </c>
      <c r="K156" s="11" t="s">
        <v>65</v>
      </c>
      <c r="L156" s="12">
        <v>80</v>
      </c>
      <c r="M156" s="33" t="s">
        <v>644</v>
      </c>
      <c r="N156" s="12" t="s">
        <v>22</v>
      </c>
      <c r="O156" s="12" t="s">
        <v>0</v>
      </c>
      <c r="P156" s="12" t="s">
        <v>82</v>
      </c>
      <c r="Q156" s="11" t="s">
        <v>81</v>
      </c>
      <c r="R156" s="12">
        <v>80</v>
      </c>
      <c r="S156" s="12" t="s">
        <v>25</v>
      </c>
      <c r="T156" s="12" t="s">
        <v>25</v>
      </c>
      <c r="U156" s="12" t="s">
        <v>25</v>
      </c>
      <c r="V156" s="12" t="s">
        <v>25</v>
      </c>
      <c r="W156" s="11" t="s">
        <v>25</v>
      </c>
      <c r="X156" s="11" t="s">
        <v>25</v>
      </c>
      <c r="Y156" s="12"/>
    </row>
    <row r="157" spans="1:25" s="16" customFormat="1" ht="24.75" customHeight="1" x14ac:dyDescent="0.3">
      <c r="A157" s="11">
        <v>151</v>
      </c>
      <c r="B157" s="11" t="s">
        <v>149</v>
      </c>
      <c r="C157" s="11" t="s">
        <v>39</v>
      </c>
      <c r="D157" s="11" t="s">
        <v>7</v>
      </c>
      <c r="E157" s="11" t="s">
        <v>534</v>
      </c>
      <c r="F157" s="27" t="s">
        <v>211</v>
      </c>
      <c r="G157" s="12" t="s">
        <v>164</v>
      </c>
      <c r="H157" s="31" t="s">
        <v>93</v>
      </c>
      <c r="I157" s="31" t="s">
        <v>25</v>
      </c>
      <c r="J157" s="32" t="s">
        <v>91</v>
      </c>
      <c r="K157" s="11" t="s">
        <v>65</v>
      </c>
      <c r="L157" s="12">
        <v>80</v>
      </c>
      <c r="M157" s="33" t="s">
        <v>644</v>
      </c>
      <c r="N157" s="12" t="s">
        <v>178</v>
      </c>
      <c r="O157" s="12" t="s">
        <v>13</v>
      </c>
      <c r="P157" s="12" t="s">
        <v>83</v>
      </c>
      <c r="Q157" s="11" t="s">
        <v>81</v>
      </c>
      <c r="R157" s="12">
        <v>80</v>
      </c>
      <c r="S157" s="12" t="s">
        <v>563</v>
      </c>
      <c r="T157" s="12" t="s">
        <v>637</v>
      </c>
      <c r="U157" s="12">
        <v>300</v>
      </c>
      <c r="V157" s="12" t="s">
        <v>10</v>
      </c>
      <c r="W157" s="12" t="s">
        <v>25</v>
      </c>
      <c r="X157" s="12" t="s">
        <v>25</v>
      </c>
      <c r="Y157" s="12"/>
    </row>
    <row r="158" spans="1:25" s="16" customFormat="1" ht="24.75" customHeight="1" x14ac:dyDescent="0.3">
      <c r="A158" s="11">
        <v>152</v>
      </c>
      <c r="B158" s="11" t="s">
        <v>149</v>
      </c>
      <c r="C158" s="11" t="s">
        <v>40</v>
      </c>
      <c r="D158" s="11" t="s">
        <v>17</v>
      </c>
      <c r="E158" s="11" t="s">
        <v>221</v>
      </c>
      <c r="F158" s="27" t="s">
        <v>212</v>
      </c>
      <c r="G158" s="12" t="s">
        <v>156</v>
      </c>
      <c r="H158" s="31">
        <v>197</v>
      </c>
      <c r="I158" s="31">
        <v>185</v>
      </c>
      <c r="J158" s="32" t="s">
        <v>91</v>
      </c>
      <c r="K158" s="12" t="s">
        <v>74</v>
      </c>
      <c r="L158" s="12">
        <v>150</v>
      </c>
      <c r="M158" s="12" t="s">
        <v>634</v>
      </c>
      <c r="N158" s="12" t="s">
        <v>22</v>
      </c>
      <c r="O158" s="12" t="s">
        <v>0</v>
      </c>
      <c r="P158" s="12" t="s">
        <v>82</v>
      </c>
      <c r="Q158" s="11" t="s">
        <v>81</v>
      </c>
      <c r="R158" s="12">
        <v>150</v>
      </c>
      <c r="S158" s="12" t="s">
        <v>88</v>
      </c>
      <c r="T158" s="12" t="s">
        <v>15</v>
      </c>
      <c r="U158" s="12">
        <v>1500</v>
      </c>
      <c r="V158" s="12" t="s">
        <v>10</v>
      </c>
      <c r="W158" s="11" t="s">
        <v>25</v>
      </c>
      <c r="X158" s="11" t="s">
        <v>25</v>
      </c>
      <c r="Y158" s="12"/>
    </row>
    <row r="159" spans="1:25" s="16" customFormat="1" ht="24.75" customHeight="1" x14ac:dyDescent="0.3">
      <c r="A159" s="11">
        <v>153</v>
      </c>
      <c r="B159" s="11" t="s">
        <v>149</v>
      </c>
      <c r="C159" s="11" t="s">
        <v>39</v>
      </c>
      <c r="D159" s="11" t="s">
        <v>41</v>
      </c>
      <c r="E159" s="11" t="s">
        <v>535</v>
      </c>
      <c r="F159" s="27" t="s">
        <v>213</v>
      </c>
      <c r="G159" s="12" t="s">
        <v>156</v>
      </c>
      <c r="H159" s="31">
        <v>197</v>
      </c>
      <c r="I159" s="31">
        <v>185</v>
      </c>
      <c r="J159" s="32" t="s">
        <v>91</v>
      </c>
      <c r="K159" s="12" t="s">
        <v>74</v>
      </c>
      <c r="L159" s="12">
        <v>150</v>
      </c>
      <c r="M159" s="12" t="s">
        <v>634</v>
      </c>
      <c r="N159" s="12" t="s">
        <v>178</v>
      </c>
      <c r="O159" s="12" t="s">
        <v>13</v>
      </c>
      <c r="P159" s="12" t="s">
        <v>83</v>
      </c>
      <c r="Q159" s="11" t="s">
        <v>81</v>
      </c>
      <c r="R159" s="12">
        <v>150</v>
      </c>
      <c r="S159" s="12" t="s">
        <v>88</v>
      </c>
      <c r="T159" s="20" t="s">
        <v>15</v>
      </c>
      <c r="U159" s="20">
        <v>1500</v>
      </c>
      <c r="V159" s="12" t="s">
        <v>4</v>
      </c>
      <c r="W159" s="11" t="s">
        <v>25</v>
      </c>
      <c r="X159" s="11" t="s">
        <v>25</v>
      </c>
      <c r="Y159" s="12"/>
    </row>
    <row r="160" spans="1:25" s="16" customFormat="1" ht="24.75" customHeight="1" x14ac:dyDescent="0.3">
      <c r="A160" s="11">
        <v>154</v>
      </c>
      <c r="B160" s="11" t="s">
        <v>149</v>
      </c>
      <c r="C160" s="11" t="s">
        <v>40</v>
      </c>
      <c r="D160" s="11" t="s">
        <v>19</v>
      </c>
      <c r="E160" s="11" t="s">
        <v>222</v>
      </c>
      <c r="F160" s="27" t="s">
        <v>618</v>
      </c>
      <c r="G160" s="12" t="s">
        <v>164</v>
      </c>
      <c r="H160" s="31" t="s">
        <v>93</v>
      </c>
      <c r="I160" s="33">
        <v>205</v>
      </c>
      <c r="J160" s="33">
        <v>10</v>
      </c>
      <c r="K160" s="12" t="s">
        <v>556</v>
      </c>
      <c r="L160" s="32" t="s">
        <v>639</v>
      </c>
      <c r="M160" s="14" t="s">
        <v>25</v>
      </c>
      <c r="N160" s="12" t="s">
        <v>20</v>
      </c>
      <c r="O160" s="12" t="s">
        <v>96</v>
      </c>
      <c r="P160" s="12" t="s">
        <v>91</v>
      </c>
      <c r="Q160" s="11" t="s">
        <v>91</v>
      </c>
      <c r="R160" s="12" t="s">
        <v>639</v>
      </c>
      <c r="S160" s="33" t="s">
        <v>98</v>
      </c>
      <c r="T160" s="12" t="s">
        <v>89</v>
      </c>
      <c r="U160" s="12">
        <v>600</v>
      </c>
      <c r="V160" s="12" t="s">
        <v>568</v>
      </c>
      <c r="W160" s="11" t="s">
        <v>93</v>
      </c>
      <c r="X160" s="11" t="s">
        <v>93</v>
      </c>
      <c r="Y160" s="12"/>
    </row>
    <row r="161" spans="1:25" s="16" customFormat="1" ht="24.75" customHeight="1" x14ac:dyDescent="0.3">
      <c r="A161" s="11">
        <v>155</v>
      </c>
      <c r="B161" s="11" t="s">
        <v>149</v>
      </c>
      <c r="C161" s="11" t="s">
        <v>39</v>
      </c>
      <c r="D161" s="11" t="s">
        <v>7</v>
      </c>
      <c r="E161" s="11" t="s">
        <v>536</v>
      </c>
      <c r="F161" s="27" t="s">
        <v>214</v>
      </c>
      <c r="G161" s="12" t="s">
        <v>156</v>
      </c>
      <c r="H161" s="31" t="s">
        <v>93</v>
      </c>
      <c r="I161" s="31" t="s">
        <v>25</v>
      </c>
      <c r="J161" s="32" t="s">
        <v>91</v>
      </c>
      <c r="K161" s="12" t="s">
        <v>556</v>
      </c>
      <c r="L161" s="12">
        <v>100</v>
      </c>
      <c r="M161" s="14" t="s">
        <v>25</v>
      </c>
      <c r="N161" s="12" t="s">
        <v>178</v>
      </c>
      <c r="O161" s="12" t="s">
        <v>8</v>
      </c>
      <c r="P161" s="12" t="s">
        <v>83</v>
      </c>
      <c r="Q161" s="11" t="s">
        <v>81</v>
      </c>
      <c r="R161" s="12">
        <v>100</v>
      </c>
      <c r="S161" s="14" t="s">
        <v>25</v>
      </c>
      <c r="T161" s="14" t="s">
        <v>25</v>
      </c>
      <c r="U161" s="14" t="s">
        <v>25</v>
      </c>
      <c r="V161" s="14" t="s">
        <v>25</v>
      </c>
      <c r="W161" s="11" t="s">
        <v>25</v>
      </c>
      <c r="X161" s="11" t="s">
        <v>25</v>
      </c>
      <c r="Y161" s="12"/>
    </row>
    <row r="162" spans="1:25" s="16" customFormat="1" ht="24.75" customHeight="1" x14ac:dyDescent="0.3">
      <c r="A162" s="11">
        <v>156</v>
      </c>
      <c r="B162" s="11" t="s">
        <v>149</v>
      </c>
      <c r="C162" s="11" t="s">
        <v>40</v>
      </c>
      <c r="D162" s="11" t="s">
        <v>41</v>
      </c>
      <c r="E162" s="11" t="s">
        <v>537</v>
      </c>
      <c r="F162" s="27" t="s">
        <v>215</v>
      </c>
      <c r="G162" s="12" t="s">
        <v>156</v>
      </c>
      <c r="H162" s="31">
        <v>13</v>
      </c>
      <c r="I162" s="31">
        <v>185</v>
      </c>
      <c r="J162" s="32" t="s">
        <v>91</v>
      </c>
      <c r="K162" s="12" t="s">
        <v>72</v>
      </c>
      <c r="L162" s="12">
        <v>150</v>
      </c>
      <c r="M162" s="12" t="s">
        <v>562</v>
      </c>
      <c r="N162" s="12" t="s">
        <v>178</v>
      </c>
      <c r="O162" s="12" t="s">
        <v>13</v>
      </c>
      <c r="P162" s="12" t="s">
        <v>83</v>
      </c>
      <c r="Q162" s="11" t="s">
        <v>81</v>
      </c>
      <c r="R162" s="12">
        <v>150</v>
      </c>
      <c r="S162" s="12" t="s">
        <v>14</v>
      </c>
      <c r="T162" s="12" t="s">
        <v>15</v>
      </c>
      <c r="U162" s="20">
        <v>150</v>
      </c>
      <c r="V162" s="12" t="s">
        <v>10</v>
      </c>
      <c r="W162" s="11" t="s">
        <v>25</v>
      </c>
      <c r="X162" s="11" t="s">
        <v>25</v>
      </c>
      <c r="Y162" s="12"/>
    </row>
    <row r="163" spans="1:25" s="16" customFormat="1" ht="24.75" customHeight="1" x14ac:dyDescent="0.3">
      <c r="A163" s="11">
        <v>157</v>
      </c>
      <c r="B163" s="11" t="s">
        <v>149</v>
      </c>
      <c r="C163" s="11" t="s">
        <v>39</v>
      </c>
      <c r="D163" s="11" t="s">
        <v>41</v>
      </c>
      <c r="E163" s="11" t="s">
        <v>538</v>
      </c>
      <c r="F163" s="27" t="s">
        <v>589</v>
      </c>
      <c r="G163" s="12" t="s">
        <v>156</v>
      </c>
      <c r="H163" s="31" t="s">
        <v>93</v>
      </c>
      <c r="I163" s="31" t="s">
        <v>25</v>
      </c>
      <c r="J163" s="32" t="s">
        <v>91</v>
      </c>
      <c r="K163" s="12" t="s">
        <v>628</v>
      </c>
      <c r="L163" s="12">
        <v>50</v>
      </c>
      <c r="M163" s="12" t="s">
        <v>624</v>
      </c>
      <c r="N163" s="12" t="s">
        <v>178</v>
      </c>
      <c r="O163" s="12" t="s">
        <v>13</v>
      </c>
      <c r="P163" s="12" t="s">
        <v>83</v>
      </c>
      <c r="Q163" s="11" t="s">
        <v>81</v>
      </c>
      <c r="R163" s="12">
        <v>50</v>
      </c>
      <c r="S163" s="12" t="s">
        <v>63</v>
      </c>
      <c r="T163" s="12" t="s">
        <v>15</v>
      </c>
      <c r="U163" s="20">
        <v>600</v>
      </c>
      <c r="V163" s="12" t="s">
        <v>62</v>
      </c>
      <c r="W163" s="11" t="s">
        <v>25</v>
      </c>
      <c r="X163" s="11" t="s">
        <v>25</v>
      </c>
      <c r="Y163" s="12"/>
    </row>
    <row r="164" spans="1:25" s="16" customFormat="1" ht="24.75" customHeight="1" x14ac:dyDescent="0.3">
      <c r="A164" s="11">
        <v>158</v>
      </c>
      <c r="B164" s="11" t="s">
        <v>150</v>
      </c>
      <c r="C164" s="11" t="s">
        <v>40</v>
      </c>
      <c r="D164" s="11" t="s">
        <v>7</v>
      </c>
      <c r="E164" s="11" t="s">
        <v>539</v>
      </c>
      <c r="F164" s="27" t="s">
        <v>341</v>
      </c>
      <c r="G164" s="12" t="s">
        <v>156</v>
      </c>
      <c r="H164" s="31">
        <v>13</v>
      </c>
      <c r="I164" s="31">
        <v>185</v>
      </c>
      <c r="J164" s="32" t="s">
        <v>91</v>
      </c>
      <c r="K164" s="12" t="s">
        <v>629</v>
      </c>
      <c r="L164" s="12">
        <v>500</v>
      </c>
      <c r="M164" s="12" t="s">
        <v>562</v>
      </c>
      <c r="N164" s="12" t="s">
        <v>178</v>
      </c>
      <c r="O164" s="12" t="s">
        <v>13</v>
      </c>
      <c r="P164" s="12" t="s">
        <v>83</v>
      </c>
      <c r="Q164" s="11" t="s">
        <v>81</v>
      </c>
      <c r="R164" s="12">
        <v>500</v>
      </c>
      <c r="S164" s="14" t="s">
        <v>563</v>
      </c>
      <c r="T164" s="12" t="s">
        <v>15</v>
      </c>
      <c r="U164" s="12">
        <v>150</v>
      </c>
      <c r="V164" s="12" t="s">
        <v>10</v>
      </c>
      <c r="W164" s="11" t="s">
        <v>25</v>
      </c>
      <c r="X164" s="11" t="s">
        <v>25</v>
      </c>
      <c r="Y164" s="12"/>
    </row>
    <row r="165" spans="1:25" s="16" customFormat="1" ht="24.75" customHeight="1" x14ac:dyDescent="0.3">
      <c r="A165" s="11">
        <v>159</v>
      </c>
      <c r="B165" s="11" t="s">
        <v>150</v>
      </c>
      <c r="C165" s="11" t="s">
        <v>40</v>
      </c>
      <c r="D165" s="11" t="s">
        <v>19</v>
      </c>
      <c r="E165" s="11" t="s">
        <v>223</v>
      </c>
      <c r="F165" s="27" t="s">
        <v>269</v>
      </c>
      <c r="G165" s="12" t="s">
        <v>156</v>
      </c>
      <c r="H165" s="31">
        <v>25.987000000000002</v>
      </c>
      <c r="I165" s="33">
        <v>110</v>
      </c>
      <c r="J165" s="33">
        <v>26</v>
      </c>
      <c r="K165" s="33" t="s">
        <v>651</v>
      </c>
      <c r="L165" s="32" t="s">
        <v>652</v>
      </c>
      <c r="M165" s="12" t="s">
        <v>569</v>
      </c>
      <c r="N165" s="12" t="s">
        <v>20</v>
      </c>
      <c r="O165" s="12" t="s">
        <v>86</v>
      </c>
      <c r="P165" s="12" t="s">
        <v>80</v>
      </c>
      <c r="Q165" s="12" t="s">
        <v>80</v>
      </c>
      <c r="R165" s="12" t="s">
        <v>652</v>
      </c>
      <c r="S165" s="33" t="s">
        <v>98</v>
      </c>
      <c r="T165" s="12" t="s">
        <v>89</v>
      </c>
      <c r="U165" s="12">
        <v>600</v>
      </c>
      <c r="V165" s="12" t="s">
        <v>568</v>
      </c>
      <c r="W165" s="11" t="s">
        <v>25</v>
      </c>
      <c r="X165" s="11" t="s">
        <v>25</v>
      </c>
      <c r="Y165" s="12"/>
    </row>
    <row r="166" spans="1:25" s="16" customFormat="1" ht="24.75" customHeight="1" x14ac:dyDescent="0.3">
      <c r="A166" s="11">
        <v>160</v>
      </c>
      <c r="B166" s="11" t="s">
        <v>150</v>
      </c>
      <c r="C166" s="11" t="s">
        <v>40</v>
      </c>
      <c r="D166" s="11" t="s">
        <v>19</v>
      </c>
      <c r="E166" s="11" t="s">
        <v>224</v>
      </c>
      <c r="F166" s="27" t="s">
        <v>270</v>
      </c>
      <c r="G166" s="12" t="s">
        <v>156</v>
      </c>
      <c r="H166" s="31">
        <v>13</v>
      </c>
      <c r="I166" s="33">
        <v>185</v>
      </c>
      <c r="J166" s="33">
        <v>13</v>
      </c>
      <c r="K166" s="33" t="s">
        <v>653</v>
      </c>
      <c r="L166" s="32" t="s">
        <v>652</v>
      </c>
      <c r="M166" s="33" t="s">
        <v>646</v>
      </c>
      <c r="N166" s="12" t="s">
        <v>20</v>
      </c>
      <c r="O166" s="12" t="s">
        <v>86</v>
      </c>
      <c r="P166" s="12" t="s">
        <v>80</v>
      </c>
      <c r="Q166" s="12" t="s">
        <v>80</v>
      </c>
      <c r="R166" s="12" t="s">
        <v>652</v>
      </c>
      <c r="S166" s="33" t="s">
        <v>98</v>
      </c>
      <c r="T166" s="12" t="s">
        <v>89</v>
      </c>
      <c r="U166" s="12">
        <v>600</v>
      </c>
      <c r="V166" s="12" t="s">
        <v>568</v>
      </c>
      <c r="W166" s="11" t="s">
        <v>25</v>
      </c>
      <c r="X166" s="11" t="s">
        <v>25</v>
      </c>
      <c r="Y166" s="12"/>
    </row>
    <row r="167" spans="1:25" s="16" customFormat="1" ht="24.75" customHeight="1" x14ac:dyDescent="0.3">
      <c r="A167" s="11">
        <v>161</v>
      </c>
      <c r="B167" s="11" t="s">
        <v>150</v>
      </c>
      <c r="C167" s="11" t="s">
        <v>40</v>
      </c>
      <c r="D167" s="11" t="s">
        <v>19</v>
      </c>
      <c r="E167" s="11" t="s">
        <v>225</v>
      </c>
      <c r="F167" s="27" t="s">
        <v>271</v>
      </c>
      <c r="G167" s="12" t="s">
        <v>156</v>
      </c>
      <c r="H167" s="31">
        <v>25.987000000000002</v>
      </c>
      <c r="I167" s="33">
        <v>110</v>
      </c>
      <c r="J167" s="33">
        <v>26</v>
      </c>
      <c r="K167" s="33" t="s">
        <v>651</v>
      </c>
      <c r="L167" s="32" t="s">
        <v>652</v>
      </c>
      <c r="M167" s="12" t="s">
        <v>569</v>
      </c>
      <c r="N167" s="12" t="s">
        <v>20</v>
      </c>
      <c r="O167" s="12" t="s">
        <v>86</v>
      </c>
      <c r="P167" s="12" t="s">
        <v>80</v>
      </c>
      <c r="Q167" s="12" t="s">
        <v>80</v>
      </c>
      <c r="R167" s="12" t="s">
        <v>652</v>
      </c>
      <c r="S167" s="33" t="s">
        <v>98</v>
      </c>
      <c r="T167" s="12" t="s">
        <v>89</v>
      </c>
      <c r="U167" s="12">
        <v>600</v>
      </c>
      <c r="V167" s="12" t="s">
        <v>568</v>
      </c>
      <c r="W167" s="11" t="s">
        <v>25</v>
      </c>
      <c r="X167" s="11" t="s">
        <v>25</v>
      </c>
      <c r="Y167" s="12"/>
    </row>
    <row r="168" spans="1:25" s="16" customFormat="1" ht="24.75" customHeight="1" x14ac:dyDescent="0.3">
      <c r="A168" s="11">
        <v>162</v>
      </c>
      <c r="B168" s="11" t="s">
        <v>150</v>
      </c>
      <c r="C168" s="11" t="s">
        <v>40</v>
      </c>
      <c r="D168" s="11" t="s">
        <v>19</v>
      </c>
      <c r="E168" s="11" t="s">
        <v>226</v>
      </c>
      <c r="F168" s="27" t="s">
        <v>272</v>
      </c>
      <c r="G168" s="12" t="s">
        <v>156</v>
      </c>
      <c r="H168" s="31">
        <v>13</v>
      </c>
      <c r="I168" s="33">
        <v>185</v>
      </c>
      <c r="J168" s="33">
        <v>13</v>
      </c>
      <c r="K168" s="33" t="s">
        <v>653</v>
      </c>
      <c r="L168" s="32" t="s">
        <v>652</v>
      </c>
      <c r="M168" s="33" t="s">
        <v>646</v>
      </c>
      <c r="N168" s="12" t="s">
        <v>20</v>
      </c>
      <c r="O168" s="12" t="s">
        <v>86</v>
      </c>
      <c r="P168" s="12" t="s">
        <v>80</v>
      </c>
      <c r="Q168" s="12" t="s">
        <v>80</v>
      </c>
      <c r="R168" s="12" t="s">
        <v>652</v>
      </c>
      <c r="S168" s="33" t="s">
        <v>98</v>
      </c>
      <c r="T168" s="12" t="s">
        <v>89</v>
      </c>
      <c r="U168" s="12">
        <v>600</v>
      </c>
      <c r="V168" s="12" t="s">
        <v>568</v>
      </c>
      <c r="W168" s="11" t="s">
        <v>25</v>
      </c>
      <c r="X168" s="11" t="s">
        <v>25</v>
      </c>
      <c r="Y168" s="12"/>
    </row>
    <row r="169" spans="1:25" s="16" customFormat="1" ht="24.75" customHeight="1" x14ac:dyDescent="0.3">
      <c r="A169" s="11">
        <v>163</v>
      </c>
      <c r="B169" s="11" t="s">
        <v>151</v>
      </c>
      <c r="C169" s="11" t="s">
        <v>42</v>
      </c>
      <c r="D169" s="11" t="s">
        <v>19</v>
      </c>
      <c r="E169" s="11" t="s">
        <v>227</v>
      </c>
      <c r="F169" s="27" t="s">
        <v>273</v>
      </c>
      <c r="G169" s="12" t="s">
        <v>156</v>
      </c>
      <c r="H169" s="31">
        <v>13</v>
      </c>
      <c r="I169" s="33">
        <v>185</v>
      </c>
      <c r="J169" s="33">
        <v>13</v>
      </c>
      <c r="K169" s="33" t="s">
        <v>653</v>
      </c>
      <c r="L169" s="32" t="s">
        <v>654</v>
      </c>
      <c r="M169" s="33" t="s">
        <v>646</v>
      </c>
      <c r="N169" s="12" t="s">
        <v>20</v>
      </c>
      <c r="O169" s="12" t="s">
        <v>86</v>
      </c>
      <c r="P169" s="12" t="s">
        <v>80</v>
      </c>
      <c r="Q169" s="12" t="s">
        <v>80</v>
      </c>
      <c r="R169" s="12" t="s">
        <v>654</v>
      </c>
      <c r="S169" s="33" t="s">
        <v>98</v>
      </c>
      <c r="T169" s="12" t="s">
        <v>89</v>
      </c>
      <c r="U169" s="12">
        <v>600</v>
      </c>
      <c r="V169" s="12" t="s">
        <v>568</v>
      </c>
      <c r="W169" s="11" t="s">
        <v>25</v>
      </c>
      <c r="X169" s="11" t="s">
        <v>25</v>
      </c>
      <c r="Y169" s="15"/>
    </row>
    <row r="170" spans="1:25" s="16" customFormat="1" ht="24.75" customHeight="1" x14ac:dyDescent="0.3">
      <c r="A170" s="11">
        <v>164</v>
      </c>
      <c r="B170" s="11" t="s">
        <v>151</v>
      </c>
      <c r="C170" s="11" t="s">
        <v>42</v>
      </c>
      <c r="D170" s="11" t="s">
        <v>7</v>
      </c>
      <c r="E170" s="11" t="s">
        <v>540</v>
      </c>
      <c r="F170" s="27" t="s">
        <v>342</v>
      </c>
      <c r="G170" s="12" t="s">
        <v>156</v>
      </c>
      <c r="H170" s="31">
        <v>197</v>
      </c>
      <c r="I170" s="31">
        <v>185</v>
      </c>
      <c r="J170" s="32" t="s">
        <v>91</v>
      </c>
      <c r="K170" s="12" t="s">
        <v>74</v>
      </c>
      <c r="L170" s="12">
        <v>300</v>
      </c>
      <c r="M170" s="12" t="s">
        <v>634</v>
      </c>
      <c r="N170" s="12" t="s">
        <v>178</v>
      </c>
      <c r="O170" s="12" t="s">
        <v>8</v>
      </c>
      <c r="P170" s="12" t="s">
        <v>83</v>
      </c>
      <c r="Q170" s="11" t="s">
        <v>81</v>
      </c>
      <c r="R170" s="12">
        <v>300</v>
      </c>
      <c r="S170" s="12" t="s">
        <v>88</v>
      </c>
      <c r="T170" s="20" t="s">
        <v>15</v>
      </c>
      <c r="U170" s="20">
        <v>1500</v>
      </c>
      <c r="V170" s="12" t="s">
        <v>4</v>
      </c>
      <c r="W170" s="11" t="s">
        <v>25</v>
      </c>
      <c r="X170" s="11" t="s">
        <v>25</v>
      </c>
      <c r="Y170" s="12"/>
    </row>
    <row r="171" spans="1:25" s="16" customFormat="1" ht="24.75" customHeight="1" x14ac:dyDescent="0.3">
      <c r="A171" s="11">
        <v>165</v>
      </c>
      <c r="B171" s="11" t="s">
        <v>151</v>
      </c>
      <c r="C171" s="11" t="s">
        <v>42</v>
      </c>
      <c r="D171" s="11" t="s">
        <v>17</v>
      </c>
      <c r="E171" s="11" t="s">
        <v>228</v>
      </c>
      <c r="F171" s="27" t="s">
        <v>343</v>
      </c>
      <c r="G171" s="12" t="s">
        <v>156</v>
      </c>
      <c r="H171" s="31">
        <v>197</v>
      </c>
      <c r="I171" s="31">
        <v>185</v>
      </c>
      <c r="J171" s="32" t="s">
        <v>91</v>
      </c>
      <c r="K171" s="12" t="s">
        <v>74</v>
      </c>
      <c r="L171" s="12">
        <v>150</v>
      </c>
      <c r="M171" s="12" t="s">
        <v>634</v>
      </c>
      <c r="N171" s="12" t="s">
        <v>22</v>
      </c>
      <c r="O171" s="12" t="s">
        <v>44</v>
      </c>
      <c r="P171" s="12" t="s">
        <v>84</v>
      </c>
      <c r="Q171" s="11" t="s">
        <v>81</v>
      </c>
      <c r="R171" s="12">
        <v>150</v>
      </c>
      <c r="S171" s="12" t="s">
        <v>88</v>
      </c>
      <c r="T171" s="20" t="s">
        <v>15</v>
      </c>
      <c r="U171" s="12">
        <v>1500</v>
      </c>
      <c r="V171" s="12" t="s">
        <v>4</v>
      </c>
      <c r="W171" s="11" t="s">
        <v>25</v>
      </c>
      <c r="X171" s="11" t="s">
        <v>25</v>
      </c>
      <c r="Y171" s="12"/>
    </row>
    <row r="172" spans="1:25" s="16" customFormat="1" ht="24.75" customHeight="1" x14ac:dyDescent="0.3">
      <c r="A172" s="11">
        <v>166</v>
      </c>
      <c r="B172" s="11" t="s">
        <v>151</v>
      </c>
      <c r="C172" s="11" t="s">
        <v>42</v>
      </c>
      <c r="D172" s="11" t="s">
        <v>19</v>
      </c>
      <c r="E172" s="11" t="s">
        <v>229</v>
      </c>
      <c r="F172" s="27" t="s">
        <v>274</v>
      </c>
      <c r="G172" s="12" t="s">
        <v>156</v>
      </c>
      <c r="H172" s="31">
        <v>13</v>
      </c>
      <c r="I172" s="33">
        <v>185</v>
      </c>
      <c r="J172" s="33">
        <v>13</v>
      </c>
      <c r="K172" s="33" t="s">
        <v>653</v>
      </c>
      <c r="L172" s="32" t="s">
        <v>654</v>
      </c>
      <c r="M172" s="33" t="s">
        <v>646</v>
      </c>
      <c r="N172" s="12" t="s">
        <v>20</v>
      </c>
      <c r="O172" s="12" t="s">
        <v>86</v>
      </c>
      <c r="P172" s="12" t="s">
        <v>80</v>
      </c>
      <c r="Q172" s="12" t="s">
        <v>80</v>
      </c>
      <c r="R172" s="12" t="s">
        <v>654</v>
      </c>
      <c r="S172" s="33" t="s">
        <v>98</v>
      </c>
      <c r="T172" s="12" t="s">
        <v>89</v>
      </c>
      <c r="U172" s="12">
        <v>600</v>
      </c>
      <c r="V172" s="12" t="s">
        <v>568</v>
      </c>
      <c r="W172" s="11" t="s">
        <v>25</v>
      </c>
      <c r="X172" s="11" t="s">
        <v>25</v>
      </c>
      <c r="Y172" s="15"/>
    </row>
    <row r="173" spans="1:25" s="16" customFormat="1" ht="24.75" customHeight="1" x14ac:dyDescent="0.3">
      <c r="A173" s="11">
        <v>167</v>
      </c>
      <c r="B173" s="11" t="s">
        <v>151</v>
      </c>
      <c r="C173" s="11" t="s">
        <v>42</v>
      </c>
      <c r="D173" s="11" t="s">
        <v>7</v>
      </c>
      <c r="E173" s="11" t="s">
        <v>541</v>
      </c>
      <c r="F173" s="27" t="s">
        <v>344</v>
      </c>
      <c r="G173" s="12" t="s">
        <v>156</v>
      </c>
      <c r="H173" s="31">
        <v>197</v>
      </c>
      <c r="I173" s="31">
        <v>185</v>
      </c>
      <c r="J173" s="32" t="s">
        <v>91</v>
      </c>
      <c r="K173" s="12" t="s">
        <v>74</v>
      </c>
      <c r="L173" s="12">
        <v>300</v>
      </c>
      <c r="M173" s="12" t="s">
        <v>634</v>
      </c>
      <c r="N173" s="12" t="s">
        <v>178</v>
      </c>
      <c r="O173" s="12" t="s">
        <v>8</v>
      </c>
      <c r="P173" s="12" t="s">
        <v>83</v>
      </c>
      <c r="Q173" s="11" t="s">
        <v>81</v>
      </c>
      <c r="R173" s="12">
        <v>300</v>
      </c>
      <c r="S173" s="12" t="s">
        <v>88</v>
      </c>
      <c r="T173" s="20" t="s">
        <v>15</v>
      </c>
      <c r="U173" s="20">
        <v>1500</v>
      </c>
      <c r="V173" s="12" t="s">
        <v>4</v>
      </c>
      <c r="W173" s="11" t="s">
        <v>25</v>
      </c>
      <c r="X173" s="11" t="s">
        <v>25</v>
      </c>
      <c r="Y173" s="12"/>
    </row>
    <row r="174" spans="1:25" s="16" customFormat="1" ht="24.75" customHeight="1" x14ac:dyDescent="0.3">
      <c r="A174" s="11">
        <v>168</v>
      </c>
      <c r="B174" s="11" t="s">
        <v>151</v>
      </c>
      <c r="C174" s="11" t="s">
        <v>42</v>
      </c>
      <c r="D174" s="11" t="s">
        <v>17</v>
      </c>
      <c r="E174" s="11" t="s">
        <v>230</v>
      </c>
      <c r="F174" s="27" t="s">
        <v>345</v>
      </c>
      <c r="G174" s="12" t="s">
        <v>156</v>
      </c>
      <c r="H174" s="31">
        <v>197</v>
      </c>
      <c r="I174" s="31">
        <v>185</v>
      </c>
      <c r="J174" s="32" t="s">
        <v>91</v>
      </c>
      <c r="K174" s="12" t="s">
        <v>74</v>
      </c>
      <c r="L174" s="12">
        <v>150</v>
      </c>
      <c r="M174" s="12" t="s">
        <v>634</v>
      </c>
      <c r="N174" s="12" t="s">
        <v>22</v>
      </c>
      <c r="O174" s="12" t="s">
        <v>44</v>
      </c>
      <c r="P174" s="12" t="s">
        <v>84</v>
      </c>
      <c r="Q174" s="11" t="s">
        <v>81</v>
      </c>
      <c r="R174" s="12">
        <v>150</v>
      </c>
      <c r="S174" s="12" t="s">
        <v>88</v>
      </c>
      <c r="T174" s="20" t="s">
        <v>15</v>
      </c>
      <c r="U174" s="12">
        <v>1500</v>
      </c>
      <c r="V174" s="12" t="s">
        <v>4</v>
      </c>
      <c r="W174" s="11" t="s">
        <v>25</v>
      </c>
      <c r="X174" s="11" t="s">
        <v>25</v>
      </c>
      <c r="Y174" s="12"/>
    </row>
    <row r="175" spans="1:25" s="16" customFormat="1" ht="24.75" customHeight="1" x14ac:dyDescent="0.3">
      <c r="A175" s="11">
        <v>169</v>
      </c>
      <c r="B175" s="11" t="s">
        <v>152</v>
      </c>
      <c r="C175" s="11" t="s">
        <v>42</v>
      </c>
      <c r="D175" s="11" t="s">
        <v>19</v>
      </c>
      <c r="E175" s="11" t="s">
        <v>231</v>
      </c>
      <c r="F175" s="27" t="s">
        <v>275</v>
      </c>
      <c r="G175" s="12" t="s">
        <v>156</v>
      </c>
      <c r="H175" s="31">
        <v>13</v>
      </c>
      <c r="I175" s="33">
        <v>185</v>
      </c>
      <c r="J175" s="33">
        <v>13</v>
      </c>
      <c r="K175" s="33" t="s">
        <v>653</v>
      </c>
      <c r="L175" s="32" t="s">
        <v>654</v>
      </c>
      <c r="M175" s="33" t="s">
        <v>646</v>
      </c>
      <c r="N175" s="12" t="s">
        <v>20</v>
      </c>
      <c r="O175" s="12" t="s">
        <v>86</v>
      </c>
      <c r="P175" s="12" t="s">
        <v>80</v>
      </c>
      <c r="Q175" s="12" t="s">
        <v>80</v>
      </c>
      <c r="R175" s="12" t="s">
        <v>654</v>
      </c>
      <c r="S175" s="33" t="s">
        <v>98</v>
      </c>
      <c r="T175" s="12" t="s">
        <v>89</v>
      </c>
      <c r="U175" s="12">
        <v>600</v>
      </c>
      <c r="V175" s="12" t="s">
        <v>568</v>
      </c>
      <c r="W175" s="11" t="s">
        <v>25</v>
      </c>
      <c r="X175" s="11" t="s">
        <v>25</v>
      </c>
      <c r="Y175" s="15"/>
    </row>
    <row r="176" spans="1:25" s="16" customFormat="1" ht="24.75" customHeight="1" x14ac:dyDescent="0.3">
      <c r="A176" s="11">
        <v>170</v>
      </c>
      <c r="B176" s="11" t="s">
        <v>152</v>
      </c>
      <c r="C176" s="11" t="s">
        <v>42</v>
      </c>
      <c r="D176" s="11" t="s">
        <v>7</v>
      </c>
      <c r="E176" s="11" t="s">
        <v>542</v>
      </c>
      <c r="F176" s="27" t="s">
        <v>346</v>
      </c>
      <c r="G176" s="12" t="s">
        <v>156</v>
      </c>
      <c r="H176" s="31">
        <v>197</v>
      </c>
      <c r="I176" s="31">
        <v>185</v>
      </c>
      <c r="J176" s="32" t="s">
        <v>91</v>
      </c>
      <c r="K176" s="12" t="s">
        <v>74</v>
      </c>
      <c r="L176" s="12">
        <v>300</v>
      </c>
      <c r="M176" s="12" t="s">
        <v>634</v>
      </c>
      <c r="N176" s="12" t="s">
        <v>178</v>
      </c>
      <c r="O176" s="12" t="s">
        <v>8</v>
      </c>
      <c r="P176" s="12" t="s">
        <v>83</v>
      </c>
      <c r="Q176" s="11" t="s">
        <v>81</v>
      </c>
      <c r="R176" s="12">
        <v>300</v>
      </c>
      <c r="S176" s="12" t="s">
        <v>88</v>
      </c>
      <c r="T176" s="20" t="s">
        <v>15</v>
      </c>
      <c r="U176" s="20">
        <v>1500</v>
      </c>
      <c r="V176" s="12" t="s">
        <v>4</v>
      </c>
      <c r="W176" s="11" t="s">
        <v>25</v>
      </c>
      <c r="X176" s="11" t="s">
        <v>25</v>
      </c>
      <c r="Y176" s="12"/>
    </row>
    <row r="177" spans="1:25" s="16" customFormat="1" ht="24.75" customHeight="1" x14ac:dyDescent="0.3">
      <c r="A177" s="11">
        <v>171</v>
      </c>
      <c r="B177" s="11" t="s">
        <v>152</v>
      </c>
      <c r="C177" s="11" t="s">
        <v>42</v>
      </c>
      <c r="D177" s="11" t="s">
        <v>17</v>
      </c>
      <c r="E177" s="11" t="s">
        <v>234</v>
      </c>
      <c r="F177" s="27" t="s">
        <v>347</v>
      </c>
      <c r="G177" s="12" t="s">
        <v>156</v>
      </c>
      <c r="H177" s="31">
        <v>197</v>
      </c>
      <c r="I177" s="31">
        <v>185</v>
      </c>
      <c r="J177" s="32" t="s">
        <v>91</v>
      </c>
      <c r="K177" s="12" t="s">
        <v>74</v>
      </c>
      <c r="L177" s="12">
        <v>150</v>
      </c>
      <c r="M177" s="12" t="s">
        <v>634</v>
      </c>
      <c r="N177" s="12" t="s">
        <v>22</v>
      </c>
      <c r="O177" s="12" t="s">
        <v>44</v>
      </c>
      <c r="P177" s="12" t="s">
        <v>84</v>
      </c>
      <c r="Q177" s="11" t="s">
        <v>81</v>
      </c>
      <c r="R177" s="12">
        <v>150</v>
      </c>
      <c r="S177" s="12" t="s">
        <v>88</v>
      </c>
      <c r="T177" s="20" t="s">
        <v>15</v>
      </c>
      <c r="U177" s="12">
        <v>1500</v>
      </c>
      <c r="V177" s="12" t="s">
        <v>4</v>
      </c>
      <c r="W177" s="11" t="s">
        <v>25</v>
      </c>
      <c r="X177" s="11" t="s">
        <v>25</v>
      </c>
      <c r="Y177" s="12"/>
    </row>
    <row r="178" spans="1:25" s="16" customFormat="1" ht="24.75" customHeight="1" x14ac:dyDescent="0.3">
      <c r="A178" s="11">
        <v>172</v>
      </c>
      <c r="B178" s="11" t="s">
        <v>152</v>
      </c>
      <c r="C178" s="11" t="s">
        <v>42</v>
      </c>
      <c r="D178" s="11" t="s">
        <v>19</v>
      </c>
      <c r="E178" s="11" t="s">
        <v>232</v>
      </c>
      <c r="F178" s="27" t="s">
        <v>277</v>
      </c>
      <c r="G178" s="12" t="s">
        <v>156</v>
      </c>
      <c r="H178" s="31">
        <v>13</v>
      </c>
      <c r="I178" s="33">
        <v>185</v>
      </c>
      <c r="J178" s="33">
        <v>13</v>
      </c>
      <c r="K178" s="33" t="s">
        <v>653</v>
      </c>
      <c r="L178" s="32" t="s">
        <v>654</v>
      </c>
      <c r="M178" s="33" t="s">
        <v>646</v>
      </c>
      <c r="N178" s="12" t="s">
        <v>20</v>
      </c>
      <c r="O178" s="12" t="s">
        <v>86</v>
      </c>
      <c r="P178" s="12" t="s">
        <v>80</v>
      </c>
      <c r="Q178" s="12" t="s">
        <v>80</v>
      </c>
      <c r="R178" s="12" t="s">
        <v>654</v>
      </c>
      <c r="S178" s="33" t="s">
        <v>98</v>
      </c>
      <c r="T178" s="12" t="s">
        <v>89</v>
      </c>
      <c r="U178" s="12">
        <v>600</v>
      </c>
      <c r="V178" s="12" t="s">
        <v>568</v>
      </c>
      <c r="W178" s="11" t="s">
        <v>25</v>
      </c>
      <c r="X178" s="11" t="s">
        <v>25</v>
      </c>
      <c r="Y178" s="15"/>
    </row>
    <row r="179" spans="1:25" s="16" customFormat="1" ht="24.75" customHeight="1" x14ac:dyDescent="0.3">
      <c r="A179" s="11">
        <v>173</v>
      </c>
      <c r="B179" s="11" t="s">
        <v>152</v>
      </c>
      <c r="C179" s="11" t="s">
        <v>42</v>
      </c>
      <c r="D179" s="11" t="s">
        <v>7</v>
      </c>
      <c r="E179" s="11" t="s">
        <v>543</v>
      </c>
      <c r="F179" s="27" t="s">
        <v>348</v>
      </c>
      <c r="G179" s="12" t="s">
        <v>156</v>
      </c>
      <c r="H179" s="31">
        <v>197</v>
      </c>
      <c r="I179" s="31">
        <v>185</v>
      </c>
      <c r="J179" s="32" t="s">
        <v>91</v>
      </c>
      <c r="K179" s="12" t="s">
        <v>74</v>
      </c>
      <c r="L179" s="12">
        <v>300</v>
      </c>
      <c r="M179" s="12" t="s">
        <v>634</v>
      </c>
      <c r="N179" s="12" t="s">
        <v>178</v>
      </c>
      <c r="O179" s="12" t="s">
        <v>8</v>
      </c>
      <c r="P179" s="12" t="s">
        <v>83</v>
      </c>
      <c r="Q179" s="11" t="s">
        <v>81</v>
      </c>
      <c r="R179" s="12">
        <v>300</v>
      </c>
      <c r="S179" s="12" t="s">
        <v>88</v>
      </c>
      <c r="T179" s="20" t="s">
        <v>15</v>
      </c>
      <c r="U179" s="20">
        <v>1500</v>
      </c>
      <c r="V179" s="12" t="s">
        <v>4</v>
      </c>
      <c r="W179" s="11" t="s">
        <v>25</v>
      </c>
      <c r="X179" s="11" t="s">
        <v>25</v>
      </c>
      <c r="Y179" s="12"/>
    </row>
    <row r="180" spans="1:25" s="16" customFormat="1" ht="24.75" customHeight="1" x14ac:dyDescent="0.3">
      <c r="A180" s="11">
        <v>174</v>
      </c>
      <c r="B180" s="11" t="s">
        <v>152</v>
      </c>
      <c r="C180" s="11" t="s">
        <v>42</v>
      </c>
      <c r="D180" s="11" t="s">
        <v>17</v>
      </c>
      <c r="E180" s="11" t="s">
        <v>235</v>
      </c>
      <c r="F180" s="27" t="s">
        <v>349</v>
      </c>
      <c r="G180" s="12" t="s">
        <v>156</v>
      </c>
      <c r="H180" s="31">
        <v>197</v>
      </c>
      <c r="I180" s="31">
        <v>185</v>
      </c>
      <c r="J180" s="32" t="s">
        <v>91</v>
      </c>
      <c r="K180" s="12" t="s">
        <v>74</v>
      </c>
      <c r="L180" s="12">
        <v>150</v>
      </c>
      <c r="M180" s="12" t="s">
        <v>634</v>
      </c>
      <c r="N180" s="12" t="s">
        <v>22</v>
      </c>
      <c r="O180" s="12" t="s">
        <v>44</v>
      </c>
      <c r="P180" s="12" t="s">
        <v>84</v>
      </c>
      <c r="Q180" s="11" t="s">
        <v>81</v>
      </c>
      <c r="R180" s="12">
        <v>150</v>
      </c>
      <c r="S180" s="12" t="s">
        <v>88</v>
      </c>
      <c r="T180" s="20" t="s">
        <v>15</v>
      </c>
      <c r="U180" s="12">
        <v>1500</v>
      </c>
      <c r="V180" s="12" t="s">
        <v>4</v>
      </c>
      <c r="W180" s="11" t="s">
        <v>25</v>
      </c>
      <c r="X180" s="11" t="s">
        <v>25</v>
      </c>
      <c r="Y180" s="12"/>
    </row>
    <row r="181" spans="1:25" s="16" customFormat="1" ht="24.75" customHeight="1" x14ac:dyDescent="0.3">
      <c r="A181" s="11">
        <v>175</v>
      </c>
      <c r="B181" s="11" t="s">
        <v>152</v>
      </c>
      <c r="C181" s="11" t="s">
        <v>42</v>
      </c>
      <c r="D181" s="11" t="s">
        <v>19</v>
      </c>
      <c r="E181" s="11" t="s">
        <v>233</v>
      </c>
      <c r="F181" s="27" t="s">
        <v>276</v>
      </c>
      <c r="G181" s="12" t="s">
        <v>156</v>
      </c>
      <c r="H181" s="31">
        <v>13</v>
      </c>
      <c r="I181" s="33">
        <v>185</v>
      </c>
      <c r="J181" s="33">
        <v>13</v>
      </c>
      <c r="K181" s="33" t="s">
        <v>653</v>
      </c>
      <c r="L181" s="32" t="s">
        <v>654</v>
      </c>
      <c r="M181" s="33" t="s">
        <v>646</v>
      </c>
      <c r="N181" s="12" t="s">
        <v>20</v>
      </c>
      <c r="O181" s="12" t="s">
        <v>86</v>
      </c>
      <c r="P181" s="12" t="s">
        <v>80</v>
      </c>
      <c r="Q181" s="12" t="s">
        <v>80</v>
      </c>
      <c r="R181" s="12" t="s">
        <v>654</v>
      </c>
      <c r="S181" s="33" t="s">
        <v>98</v>
      </c>
      <c r="T181" s="12" t="s">
        <v>89</v>
      </c>
      <c r="U181" s="12">
        <v>600</v>
      </c>
      <c r="V181" s="12" t="s">
        <v>568</v>
      </c>
      <c r="W181" s="11" t="s">
        <v>25</v>
      </c>
      <c r="X181" s="11" t="s">
        <v>25</v>
      </c>
      <c r="Y181" s="15"/>
    </row>
    <row r="182" spans="1:25" s="16" customFormat="1" ht="24.75" customHeight="1" x14ac:dyDescent="0.3">
      <c r="A182" s="11">
        <v>176</v>
      </c>
      <c r="B182" s="11" t="s">
        <v>152</v>
      </c>
      <c r="C182" s="11" t="s">
        <v>42</v>
      </c>
      <c r="D182" s="11" t="s">
        <v>7</v>
      </c>
      <c r="E182" s="11" t="s">
        <v>544</v>
      </c>
      <c r="F182" s="27" t="s">
        <v>350</v>
      </c>
      <c r="G182" s="12" t="s">
        <v>156</v>
      </c>
      <c r="H182" s="31">
        <v>197</v>
      </c>
      <c r="I182" s="31">
        <v>185</v>
      </c>
      <c r="J182" s="32" t="s">
        <v>91</v>
      </c>
      <c r="K182" s="12" t="s">
        <v>74</v>
      </c>
      <c r="L182" s="12">
        <v>300</v>
      </c>
      <c r="M182" s="12" t="s">
        <v>634</v>
      </c>
      <c r="N182" s="12" t="s">
        <v>178</v>
      </c>
      <c r="O182" s="12" t="s">
        <v>8</v>
      </c>
      <c r="P182" s="12" t="s">
        <v>83</v>
      </c>
      <c r="Q182" s="11" t="s">
        <v>81</v>
      </c>
      <c r="R182" s="12">
        <v>300</v>
      </c>
      <c r="S182" s="12" t="s">
        <v>88</v>
      </c>
      <c r="T182" s="20" t="s">
        <v>15</v>
      </c>
      <c r="U182" s="20">
        <v>1500</v>
      </c>
      <c r="V182" s="12" t="s">
        <v>4</v>
      </c>
      <c r="W182" s="11" t="s">
        <v>25</v>
      </c>
      <c r="X182" s="11" t="s">
        <v>25</v>
      </c>
      <c r="Y182" s="12"/>
    </row>
    <row r="183" spans="1:25" s="16" customFormat="1" ht="24.75" customHeight="1" x14ac:dyDescent="0.3">
      <c r="A183" s="11">
        <v>177</v>
      </c>
      <c r="B183" s="11" t="s">
        <v>152</v>
      </c>
      <c r="C183" s="11" t="s">
        <v>42</v>
      </c>
      <c r="D183" s="11" t="s">
        <v>17</v>
      </c>
      <c r="E183" s="11" t="s">
        <v>236</v>
      </c>
      <c r="F183" s="27" t="s">
        <v>351</v>
      </c>
      <c r="G183" s="12" t="s">
        <v>156</v>
      </c>
      <c r="H183" s="31">
        <v>197</v>
      </c>
      <c r="I183" s="31">
        <v>185</v>
      </c>
      <c r="J183" s="32" t="s">
        <v>91</v>
      </c>
      <c r="K183" s="12" t="s">
        <v>74</v>
      </c>
      <c r="L183" s="12">
        <v>150</v>
      </c>
      <c r="M183" s="12" t="s">
        <v>634</v>
      </c>
      <c r="N183" s="12" t="s">
        <v>22</v>
      </c>
      <c r="O183" s="12" t="s">
        <v>44</v>
      </c>
      <c r="P183" s="12" t="s">
        <v>84</v>
      </c>
      <c r="Q183" s="11" t="s">
        <v>81</v>
      </c>
      <c r="R183" s="12">
        <v>150</v>
      </c>
      <c r="S183" s="12" t="s">
        <v>88</v>
      </c>
      <c r="T183" s="20" t="s">
        <v>15</v>
      </c>
      <c r="U183" s="12">
        <v>1500</v>
      </c>
      <c r="V183" s="12" t="s">
        <v>4</v>
      </c>
      <c r="W183" s="11" t="s">
        <v>25</v>
      </c>
      <c r="X183" s="11" t="s">
        <v>25</v>
      </c>
      <c r="Y183" s="12"/>
    </row>
    <row r="184" spans="1:25" s="16" customFormat="1" ht="24.75" customHeight="1" x14ac:dyDescent="0.3">
      <c r="A184" s="11">
        <v>178</v>
      </c>
      <c r="B184" s="11" t="s">
        <v>153</v>
      </c>
      <c r="C184" s="11" t="s">
        <v>46</v>
      </c>
      <c r="D184" s="11" t="s">
        <v>19</v>
      </c>
      <c r="E184" s="11" t="s">
        <v>237</v>
      </c>
      <c r="F184" s="27" t="s">
        <v>288</v>
      </c>
      <c r="G184" s="12" t="s">
        <v>156</v>
      </c>
      <c r="H184" s="31">
        <v>13</v>
      </c>
      <c r="I184" s="33">
        <v>185</v>
      </c>
      <c r="J184" s="33">
        <v>13</v>
      </c>
      <c r="K184" s="33" t="s">
        <v>656</v>
      </c>
      <c r="L184" s="32" t="s">
        <v>654</v>
      </c>
      <c r="M184" s="33" t="s">
        <v>646</v>
      </c>
      <c r="N184" s="12" t="s">
        <v>20</v>
      </c>
      <c r="O184" s="12" t="s">
        <v>86</v>
      </c>
      <c r="P184" s="12" t="s">
        <v>80</v>
      </c>
      <c r="Q184" s="12" t="s">
        <v>80</v>
      </c>
      <c r="R184" s="12" t="s">
        <v>654</v>
      </c>
      <c r="S184" s="33" t="s">
        <v>98</v>
      </c>
      <c r="T184" s="12" t="s">
        <v>89</v>
      </c>
      <c r="U184" s="12">
        <v>600</v>
      </c>
      <c r="V184" s="12" t="s">
        <v>568</v>
      </c>
      <c r="W184" s="11" t="s">
        <v>25</v>
      </c>
      <c r="X184" s="11" t="s">
        <v>25</v>
      </c>
      <c r="Y184" s="15"/>
    </row>
    <row r="185" spans="1:25" s="16" customFormat="1" ht="24.75" customHeight="1" x14ac:dyDescent="0.3">
      <c r="A185" s="11">
        <v>179</v>
      </c>
      <c r="B185" s="11" t="s">
        <v>153</v>
      </c>
      <c r="C185" s="11" t="s">
        <v>46</v>
      </c>
      <c r="D185" s="11" t="s">
        <v>7</v>
      </c>
      <c r="E185" s="11" t="s">
        <v>545</v>
      </c>
      <c r="F185" s="27" t="s">
        <v>352</v>
      </c>
      <c r="G185" s="12" t="s">
        <v>156</v>
      </c>
      <c r="H185" s="31">
        <v>92.986999999999995</v>
      </c>
      <c r="I185" s="31">
        <v>185</v>
      </c>
      <c r="J185" s="32" t="s">
        <v>91</v>
      </c>
      <c r="K185" s="12" t="s">
        <v>76</v>
      </c>
      <c r="L185" s="12">
        <v>150</v>
      </c>
      <c r="M185" s="12" t="s">
        <v>43</v>
      </c>
      <c r="N185" s="12" t="s">
        <v>178</v>
      </c>
      <c r="O185" s="12" t="s">
        <v>8</v>
      </c>
      <c r="P185" s="12" t="s">
        <v>83</v>
      </c>
      <c r="Q185" s="11" t="s">
        <v>81</v>
      </c>
      <c r="R185" s="12">
        <v>150</v>
      </c>
      <c r="S185" s="12" t="s">
        <v>14</v>
      </c>
      <c r="T185" s="20" t="s">
        <v>15</v>
      </c>
      <c r="U185" s="20">
        <v>900</v>
      </c>
      <c r="V185" s="12" t="s">
        <v>4</v>
      </c>
      <c r="W185" s="11" t="s">
        <v>25</v>
      </c>
      <c r="X185" s="11" t="s">
        <v>25</v>
      </c>
      <c r="Y185" s="12"/>
    </row>
    <row r="186" spans="1:25" s="16" customFormat="1" ht="24.75" customHeight="1" x14ac:dyDescent="0.3">
      <c r="A186" s="11">
        <v>180</v>
      </c>
      <c r="B186" s="11" t="s">
        <v>153</v>
      </c>
      <c r="C186" s="11" t="s">
        <v>46</v>
      </c>
      <c r="D186" s="11" t="s">
        <v>17</v>
      </c>
      <c r="E186" s="11" t="s">
        <v>238</v>
      </c>
      <c r="F186" s="27" t="s">
        <v>353</v>
      </c>
      <c r="G186" s="12" t="s">
        <v>156</v>
      </c>
      <c r="H186" s="31">
        <v>92.986999999999995</v>
      </c>
      <c r="I186" s="31">
        <v>185</v>
      </c>
      <c r="J186" s="32" t="s">
        <v>91</v>
      </c>
      <c r="K186" s="12" t="s">
        <v>76</v>
      </c>
      <c r="L186" s="12">
        <v>80</v>
      </c>
      <c r="M186" s="12" t="s">
        <v>43</v>
      </c>
      <c r="N186" s="12" t="s">
        <v>22</v>
      </c>
      <c r="O186" s="12" t="s">
        <v>44</v>
      </c>
      <c r="P186" s="12" t="s">
        <v>84</v>
      </c>
      <c r="Q186" s="11" t="s">
        <v>81</v>
      </c>
      <c r="R186" s="12">
        <v>80</v>
      </c>
      <c r="S186" s="12" t="s">
        <v>14</v>
      </c>
      <c r="T186" s="20" t="s">
        <v>15</v>
      </c>
      <c r="U186" s="20">
        <v>900</v>
      </c>
      <c r="V186" s="12" t="s">
        <v>4</v>
      </c>
      <c r="W186" s="11" t="s">
        <v>25</v>
      </c>
      <c r="X186" s="11" t="s">
        <v>25</v>
      </c>
      <c r="Y186" s="12"/>
    </row>
    <row r="187" spans="1:25" s="16" customFormat="1" ht="24.75" customHeight="1" x14ac:dyDescent="0.3">
      <c r="A187" s="11">
        <v>181</v>
      </c>
      <c r="B187" s="11" t="s">
        <v>153</v>
      </c>
      <c r="C187" s="11" t="s">
        <v>46</v>
      </c>
      <c r="D187" s="11" t="s">
        <v>19</v>
      </c>
      <c r="E187" s="11" t="s">
        <v>239</v>
      </c>
      <c r="F187" s="27" t="s">
        <v>289</v>
      </c>
      <c r="G187" s="12" t="s">
        <v>156</v>
      </c>
      <c r="H187" s="31">
        <v>13</v>
      </c>
      <c r="I187" s="33">
        <v>185</v>
      </c>
      <c r="J187" s="33">
        <v>13</v>
      </c>
      <c r="K187" s="33" t="s">
        <v>656</v>
      </c>
      <c r="L187" s="32" t="s">
        <v>654</v>
      </c>
      <c r="M187" s="33" t="s">
        <v>646</v>
      </c>
      <c r="N187" s="12" t="s">
        <v>20</v>
      </c>
      <c r="O187" s="12" t="s">
        <v>86</v>
      </c>
      <c r="P187" s="12" t="s">
        <v>80</v>
      </c>
      <c r="Q187" s="12" t="s">
        <v>80</v>
      </c>
      <c r="R187" s="12" t="s">
        <v>654</v>
      </c>
      <c r="S187" s="33" t="s">
        <v>98</v>
      </c>
      <c r="T187" s="12" t="s">
        <v>89</v>
      </c>
      <c r="U187" s="12">
        <v>600</v>
      </c>
      <c r="V187" s="12" t="s">
        <v>568</v>
      </c>
      <c r="W187" s="11" t="s">
        <v>25</v>
      </c>
      <c r="X187" s="11" t="s">
        <v>25</v>
      </c>
      <c r="Y187" s="15"/>
    </row>
    <row r="188" spans="1:25" s="16" customFormat="1" ht="24.75" customHeight="1" x14ac:dyDescent="0.3">
      <c r="A188" s="11">
        <v>182</v>
      </c>
      <c r="B188" s="11" t="s">
        <v>153</v>
      </c>
      <c r="C188" s="11" t="s">
        <v>46</v>
      </c>
      <c r="D188" s="11" t="s">
        <v>7</v>
      </c>
      <c r="E188" s="11" t="s">
        <v>546</v>
      </c>
      <c r="F188" s="27" t="s">
        <v>354</v>
      </c>
      <c r="G188" s="12" t="s">
        <v>156</v>
      </c>
      <c r="H188" s="31">
        <v>92.986999999999995</v>
      </c>
      <c r="I188" s="31">
        <v>185</v>
      </c>
      <c r="J188" s="32" t="s">
        <v>91</v>
      </c>
      <c r="K188" s="12" t="s">
        <v>76</v>
      </c>
      <c r="L188" s="12">
        <v>150</v>
      </c>
      <c r="M188" s="12" t="s">
        <v>43</v>
      </c>
      <c r="N188" s="12" t="s">
        <v>178</v>
      </c>
      <c r="O188" s="12" t="s">
        <v>8</v>
      </c>
      <c r="P188" s="12" t="s">
        <v>83</v>
      </c>
      <c r="Q188" s="11" t="s">
        <v>81</v>
      </c>
      <c r="R188" s="12">
        <v>150</v>
      </c>
      <c r="S188" s="12" t="s">
        <v>14</v>
      </c>
      <c r="T188" s="20" t="s">
        <v>15</v>
      </c>
      <c r="U188" s="20">
        <v>900</v>
      </c>
      <c r="V188" s="12" t="s">
        <v>4</v>
      </c>
      <c r="W188" s="11" t="s">
        <v>25</v>
      </c>
      <c r="X188" s="11" t="s">
        <v>25</v>
      </c>
      <c r="Y188" s="12"/>
    </row>
    <row r="189" spans="1:25" s="16" customFormat="1" ht="24.75" customHeight="1" x14ac:dyDescent="0.3">
      <c r="A189" s="11">
        <v>183</v>
      </c>
      <c r="B189" s="11" t="s">
        <v>153</v>
      </c>
      <c r="C189" s="11" t="s">
        <v>46</v>
      </c>
      <c r="D189" s="11" t="s">
        <v>17</v>
      </c>
      <c r="E189" s="11" t="s">
        <v>240</v>
      </c>
      <c r="F189" s="27" t="s">
        <v>355</v>
      </c>
      <c r="G189" s="12" t="s">
        <v>156</v>
      </c>
      <c r="H189" s="31">
        <v>92.986999999999995</v>
      </c>
      <c r="I189" s="31">
        <v>185</v>
      </c>
      <c r="J189" s="32" t="s">
        <v>91</v>
      </c>
      <c r="K189" s="12" t="s">
        <v>76</v>
      </c>
      <c r="L189" s="12">
        <v>80</v>
      </c>
      <c r="M189" s="12" t="s">
        <v>43</v>
      </c>
      <c r="N189" s="12" t="s">
        <v>22</v>
      </c>
      <c r="O189" s="12" t="s">
        <v>44</v>
      </c>
      <c r="P189" s="12" t="s">
        <v>84</v>
      </c>
      <c r="Q189" s="11" t="s">
        <v>81</v>
      </c>
      <c r="R189" s="12">
        <v>80</v>
      </c>
      <c r="S189" s="12" t="s">
        <v>14</v>
      </c>
      <c r="T189" s="20" t="s">
        <v>15</v>
      </c>
      <c r="U189" s="20">
        <v>900</v>
      </c>
      <c r="V189" s="12" t="s">
        <v>4</v>
      </c>
      <c r="W189" s="11" t="s">
        <v>25</v>
      </c>
      <c r="X189" s="11" t="s">
        <v>25</v>
      </c>
      <c r="Y189" s="12"/>
    </row>
    <row r="190" spans="1:25" s="16" customFormat="1" ht="24.75" customHeight="1" x14ac:dyDescent="0.3">
      <c r="A190" s="11">
        <v>184</v>
      </c>
      <c r="B190" s="11" t="s">
        <v>153</v>
      </c>
      <c r="C190" s="11" t="s">
        <v>46</v>
      </c>
      <c r="D190" s="11" t="s">
        <v>7</v>
      </c>
      <c r="E190" s="11" t="s">
        <v>547</v>
      </c>
      <c r="F190" s="27" t="s">
        <v>356</v>
      </c>
      <c r="G190" s="12" t="s">
        <v>156</v>
      </c>
      <c r="H190" s="31">
        <v>92.986999999999995</v>
      </c>
      <c r="I190" s="31">
        <v>185</v>
      </c>
      <c r="J190" s="32" t="s">
        <v>91</v>
      </c>
      <c r="K190" s="12" t="s">
        <v>75</v>
      </c>
      <c r="L190" s="12">
        <v>250</v>
      </c>
      <c r="M190" s="12" t="s">
        <v>43</v>
      </c>
      <c r="N190" s="12" t="s">
        <v>178</v>
      </c>
      <c r="O190" s="12" t="s">
        <v>8</v>
      </c>
      <c r="P190" s="12" t="s">
        <v>83</v>
      </c>
      <c r="Q190" s="11" t="s">
        <v>81</v>
      </c>
      <c r="R190" s="12">
        <v>250</v>
      </c>
      <c r="S190" s="12" t="s">
        <v>14</v>
      </c>
      <c r="T190" s="20" t="s">
        <v>15</v>
      </c>
      <c r="U190" s="20">
        <v>900</v>
      </c>
      <c r="V190" s="12" t="s">
        <v>4</v>
      </c>
      <c r="W190" s="11" t="s">
        <v>25</v>
      </c>
      <c r="X190" s="11" t="s">
        <v>25</v>
      </c>
      <c r="Y190" s="12"/>
    </row>
    <row r="191" spans="1:25" s="16" customFormat="1" ht="24.75" customHeight="1" x14ac:dyDescent="0.3">
      <c r="A191" s="11">
        <v>185</v>
      </c>
      <c r="B191" s="11" t="s">
        <v>153</v>
      </c>
      <c r="C191" s="11" t="s">
        <v>46</v>
      </c>
      <c r="D191" s="11" t="s">
        <v>17</v>
      </c>
      <c r="E191" s="11" t="s">
        <v>241</v>
      </c>
      <c r="F191" s="27" t="s">
        <v>357</v>
      </c>
      <c r="G191" s="12" t="s">
        <v>156</v>
      </c>
      <c r="H191" s="31">
        <v>92.986999999999995</v>
      </c>
      <c r="I191" s="31">
        <v>185</v>
      </c>
      <c r="J191" s="32" t="s">
        <v>91</v>
      </c>
      <c r="K191" s="12" t="s">
        <v>75</v>
      </c>
      <c r="L191" s="12">
        <v>250</v>
      </c>
      <c r="M191" s="12" t="s">
        <v>43</v>
      </c>
      <c r="N191" s="12" t="s">
        <v>22</v>
      </c>
      <c r="O191" s="12" t="s">
        <v>44</v>
      </c>
      <c r="P191" s="12" t="s">
        <v>84</v>
      </c>
      <c r="Q191" s="11" t="s">
        <v>81</v>
      </c>
      <c r="R191" s="12">
        <v>250</v>
      </c>
      <c r="S191" s="12" t="s">
        <v>14</v>
      </c>
      <c r="T191" s="20" t="s">
        <v>15</v>
      </c>
      <c r="U191" s="20">
        <v>900</v>
      </c>
      <c r="V191" s="12" t="s">
        <v>4</v>
      </c>
      <c r="W191" s="11" t="s">
        <v>25</v>
      </c>
      <c r="X191" s="11" t="s">
        <v>25</v>
      </c>
      <c r="Y191" s="12"/>
    </row>
    <row r="192" spans="1:25" s="16" customFormat="1" ht="24.75" customHeight="1" x14ac:dyDescent="0.3">
      <c r="A192" s="11">
        <v>186</v>
      </c>
      <c r="B192" s="11" t="s">
        <v>153</v>
      </c>
      <c r="C192" s="11" t="s">
        <v>46</v>
      </c>
      <c r="D192" s="11" t="s">
        <v>7</v>
      </c>
      <c r="E192" s="11" t="s">
        <v>548</v>
      </c>
      <c r="F192" s="27" t="s">
        <v>358</v>
      </c>
      <c r="G192" s="12" t="s">
        <v>156</v>
      </c>
      <c r="H192" s="31">
        <v>92.986999999999995</v>
      </c>
      <c r="I192" s="31">
        <v>185</v>
      </c>
      <c r="J192" s="32" t="s">
        <v>91</v>
      </c>
      <c r="K192" s="12" t="s">
        <v>75</v>
      </c>
      <c r="L192" s="12">
        <v>250</v>
      </c>
      <c r="M192" s="12" t="s">
        <v>43</v>
      </c>
      <c r="N192" s="12" t="s">
        <v>178</v>
      </c>
      <c r="O192" s="12" t="s">
        <v>8</v>
      </c>
      <c r="P192" s="12" t="s">
        <v>83</v>
      </c>
      <c r="Q192" s="11" t="s">
        <v>81</v>
      </c>
      <c r="R192" s="12">
        <v>250</v>
      </c>
      <c r="S192" s="12" t="s">
        <v>14</v>
      </c>
      <c r="T192" s="20" t="s">
        <v>15</v>
      </c>
      <c r="U192" s="20">
        <v>900</v>
      </c>
      <c r="V192" s="12" t="s">
        <v>4</v>
      </c>
      <c r="W192" s="11" t="s">
        <v>25</v>
      </c>
      <c r="X192" s="11" t="s">
        <v>25</v>
      </c>
      <c r="Y192" s="12"/>
    </row>
    <row r="193" spans="1:25" s="16" customFormat="1" ht="24.75" customHeight="1" x14ac:dyDescent="0.3">
      <c r="A193" s="11">
        <v>187</v>
      </c>
      <c r="B193" s="11" t="s">
        <v>153</v>
      </c>
      <c r="C193" s="11" t="s">
        <v>46</v>
      </c>
      <c r="D193" s="11" t="s">
        <v>17</v>
      </c>
      <c r="E193" s="11" t="s">
        <v>242</v>
      </c>
      <c r="F193" s="27" t="s">
        <v>359</v>
      </c>
      <c r="G193" s="12" t="s">
        <v>156</v>
      </c>
      <c r="H193" s="31">
        <v>92.986999999999995</v>
      </c>
      <c r="I193" s="31">
        <v>185</v>
      </c>
      <c r="J193" s="32" t="s">
        <v>91</v>
      </c>
      <c r="K193" s="12" t="s">
        <v>75</v>
      </c>
      <c r="L193" s="12">
        <v>250</v>
      </c>
      <c r="M193" s="12" t="s">
        <v>43</v>
      </c>
      <c r="N193" s="12" t="s">
        <v>22</v>
      </c>
      <c r="O193" s="12" t="s">
        <v>44</v>
      </c>
      <c r="P193" s="12" t="s">
        <v>84</v>
      </c>
      <c r="Q193" s="11" t="s">
        <v>81</v>
      </c>
      <c r="R193" s="12">
        <v>250</v>
      </c>
      <c r="S193" s="12" t="s">
        <v>14</v>
      </c>
      <c r="T193" s="20" t="s">
        <v>15</v>
      </c>
      <c r="U193" s="20">
        <v>900</v>
      </c>
      <c r="V193" s="12" t="s">
        <v>4</v>
      </c>
      <c r="W193" s="11" t="s">
        <v>25</v>
      </c>
      <c r="X193" s="11" t="s">
        <v>25</v>
      </c>
      <c r="Y193" s="12"/>
    </row>
    <row r="194" spans="1:25" s="16" customFormat="1" ht="24.75" customHeight="1" x14ac:dyDescent="0.3">
      <c r="A194" s="11">
        <v>188</v>
      </c>
      <c r="B194" s="11" t="s">
        <v>550</v>
      </c>
      <c r="C194" s="11" t="s">
        <v>549</v>
      </c>
      <c r="D194" s="11" t="s">
        <v>41</v>
      </c>
      <c r="E194" s="11" t="s">
        <v>551</v>
      </c>
      <c r="F194" s="27" t="s">
        <v>614</v>
      </c>
      <c r="G194" s="12" t="s">
        <v>156</v>
      </c>
      <c r="H194" s="31">
        <v>92.986999999999995</v>
      </c>
      <c r="I194" s="31">
        <v>185</v>
      </c>
      <c r="J194" s="32" t="s">
        <v>91</v>
      </c>
      <c r="K194" s="12" t="s">
        <v>76</v>
      </c>
      <c r="L194" s="12">
        <v>80</v>
      </c>
      <c r="M194" s="12" t="s">
        <v>43</v>
      </c>
      <c r="N194" s="12" t="s">
        <v>178</v>
      </c>
      <c r="O194" s="12" t="s">
        <v>13</v>
      </c>
      <c r="P194" s="12" t="s">
        <v>83</v>
      </c>
      <c r="Q194" s="11" t="s">
        <v>81</v>
      </c>
      <c r="R194" s="12">
        <v>80</v>
      </c>
      <c r="S194" s="12" t="s">
        <v>14</v>
      </c>
      <c r="T194" s="12" t="s">
        <v>15</v>
      </c>
      <c r="U194" s="20">
        <v>900</v>
      </c>
      <c r="V194" s="12" t="s">
        <v>10</v>
      </c>
      <c r="W194" s="11" t="s">
        <v>25</v>
      </c>
      <c r="X194" s="11" t="s">
        <v>25</v>
      </c>
      <c r="Y194" s="12"/>
    </row>
    <row r="195" spans="1:25" s="16" customFormat="1" ht="24.75" customHeight="1" x14ac:dyDescent="0.3">
      <c r="A195" s="11">
        <v>189</v>
      </c>
      <c r="B195" s="11" t="s">
        <v>153</v>
      </c>
      <c r="C195" s="11" t="s">
        <v>46</v>
      </c>
      <c r="D195" s="11" t="s">
        <v>17</v>
      </c>
      <c r="E195" s="11" t="s">
        <v>552</v>
      </c>
      <c r="F195" s="27" t="s">
        <v>596</v>
      </c>
      <c r="G195" s="12" t="s">
        <v>156</v>
      </c>
      <c r="H195" s="31">
        <v>92.986999999999995</v>
      </c>
      <c r="I195" s="31">
        <v>185</v>
      </c>
      <c r="J195" s="32" t="s">
        <v>80</v>
      </c>
      <c r="K195" s="12" t="s">
        <v>75</v>
      </c>
      <c r="L195" s="12">
        <v>80</v>
      </c>
      <c r="M195" s="12" t="s">
        <v>43</v>
      </c>
      <c r="N195" s="12" t="s">
        <v>22</v>
      </c>
      <c r="O195" s="12" t="s">
        <v>13</v>
      </c>
      <c r="P195" s="12" t="s">
        <v>25</v>
      </c>
      <c r="Q195" s="11" t="s">
        <v>81</v>
      </c>
      <c r="R195" s="12">
        <v>80</v>
      </c>
      <c r="S195" s="12" t="s">
        <v>14</v>
      </c>
      <c r="T195" s="20" t="s">
        <v>15</v>
      </c>
      <c r="U195" s="20">
        <v>900</v>
      </c>
      <c r="V195" s="12" t="s">
        <v>4</v>
      </c>
      <c r="W195" s="11" t="s">
        <v>25</v>
      </c>
      <c r="X195" s="11" t="s">
        <v>25</v>
      </c>
      <c r="Y195" s="12"/>
    </row>
    <row r="196" spans="1:25" s="16" customFormat="1" ht="24.75" customHeight="1" x14ac:dyDescent="0.3">
      <c r="A196" s="11">
        <v>190</v>
      </c>
      <c r="B196" s="11" t="s">
        <v>154</v>
      </c>
      <c r="C196" s="11" t="s">
        <v>46</v>
      </c>
      <c r="D196" s="11" t="s">
        <v>19</v>
      </c>
      <c r="E196" s="11" t="s">
        <v>243</v>
      </c>
      <c r="F196" s="27" t="s">
        <v>290</v>
      </c>
      <c r="G196" s="12" t="s">
        <v>156</v>
      </c>
      <c r="H196" s="31">
        <v>13</v>
      </c>
      <c r="I196" s="33">
        <v>185</v>
      </c>
      <c r="J196" s="33">
        <v>13</v>
      </c>
      <c r="K196" s="33" t="s">
        <v>656</v>
      </c>
      <c r="L196" s="32" t="s">
        <v>654</v>
      </c>
      <c r="M196" s="33" t="s">
        <v>646</v>
      </c>
      <c r="N196" s="12" t="s">
        <v>20</v>
      </c>
      <c r="O196" s="12" t="s">
        <v>86</v>
      </c>
      <c r="P196" s="12" t="s">
        <v>80</v>
      </c>
      <c r="Q196" s="12" t="s">
        <v>80</v>
      </c>
      <c r="R196" s="12" t="s">
        <v>654</v>
      </c>
      <c r="S196" s="33" t="s">
        <v>98</v>
      </c>
      <c r="T196" s="12" t="s">
        <v>89</v>
      </c>
      <c r="U196" s="12">
        <v>600</v>
      </c>
      <c r="V196" s="12" t="s">
        <v>568</v>
      </c>
      <c r="W196" s="11" t="s">
        <v>25</v>
      </c>
      <c r="X196" s="11" t="s">
        <v>25</v>
      </c>
      <c r="Y196" s="15"/>
    </row>
    <row r="197" spans="1:25" s="16" customFormat="1" ht="24.75" customHeight="1" x14ac:dyDescent="0.3">
      <c r="A197" s="11">
        <v>191</v>
      </c>
      <c r="B197" s="11" t="s">
        <v>154</v>
      </c>
      <c r="C197" s="11" t="s">
        <v>46</v>
      </c>
      <c r="D197" s="11" t="s">
        <v>7</v>
      </c>
      <c r="E197" s="11" t="s">
        <v>553</v>
      </c>
      <c r="F197" s="27" t="s">
        <v>360</v>
      </c>
      <c r="G197" s="12" t="s">
        <v>156</v>
      </c>
      <c r="H197" s="31">
        <v>92.986999999999995</v>
      </c>
      <c r="I197" s="31">
        <v>185</v>
      </c>
      <c r="J197" s="32" t="s">
        <v>91</v>
      </c>
      <c r="K197" s="12" t="s">
        <v>76</v>
      </c>
      <c r="L197" s="12">
        <v>150</v>
      </c>
      <c r="M197" s="12" t="s">
        <v>43</v>
      </c>
      <c r="N197" s="12" t="s">
        <v>178</v>
      </c>
      <c r="O197" s="12" t="s">
        <v>8</v>
      </c>
      <c r="P197" s="12" t="s">
        <v>83</v>
      </c>
      <c r="Q197" s="11" t="s">
        <v>81</v>
      </c>
      <c r="R197" s="12">
        <v>150</v>
      </c>
      <c r="S197" s="12" t="s">
        <v>14</v>
      </c>
      <c r="T197" s="20" t="s">
        <v>15</v>
      </c>
      <c r="U197" s="20">
        <v>900</v>
      </c>
      <c r="V197" s="12" t="s">
        <v>4</v>
      </c>
      <c r="W197" s="11" t="s">
        <v>25</v>
      </c>
      <c r="X197" s="11" t="s">
        <v>25</v>
      </c>
      <c r="Y197" s="12"/>
    </row>
    <row r="198" spans="1:25" s="16" customFormat="1" ht="24.75" customHeight="1" x14ac:dyDescent="0.3">
      <c r="A198" s="11">
        <v>192</v>
      </c>
      <c r="B198" s="11" t="s">
        <v>154</v>
      </c>
      <c r="C198" s="11" t="s">
        <v>46</v>
      </c>
      <c r="D198" s="11" t="s">
        <v>17</v>
      </c>
      <c r="E198" s="11" t="s">
        <v>246</v>
      </c>
      <c r="F198" s="27" t="s">
        <v>361</v>
      </c>
      <c r="G198" s="12" t="s">
        <v>156</v>
      </c>
      <c r="H198" s="31">
        <v>92.986999999999995</v>
      </c>
      <c r="I198" s="31">
        <v>185</v>
      </c>
      <c r="J198" s="32" t="s">
        <v>91</v>
      </c>
      <c r="K198" s="12" t="s">
        <v>76</v>
      </c>
      <c r="L198" s="12">
        <v>80</v>
      </c>
      <c r="M198" s="12" t="s">
        <v>43</v>
      </c>
      <c r="N198" s="12" t="s">
        <v>22</v>
      </c>
      <c r="O198" s="12" t="s">
        <v>44</v>
      </c>
      <c r="P198" s="12" t="s">
        <v>84</v>
      </c>
      <c r="Q198" s="11" t="s">
        <v>81</v>
      </c>
      <c r="R198" s="12">
        <v>80</v>
      </c>
      <c r="S198" s="12" t="s">
        <v>14</v>
      </c>
      <c r="T198" s="20" t="s">
        <v>15</v>
      </c>
      <c r="U198" s="20">
        <v>900</v>
      </c>
      <c r="V198" s="12" t="s">
        <v>4</v>
      </c>
      <c r="W198" s="11" t="s">
        <v>25</v>
      </c>
      <c r="X198" s="11" t="s">
        <v>25</v>
      </c>
      <c r="Y198" s="12"/>
    </row>
    <row r="199" spans="1:25" s="16" customFormat="1" ht="24.75" customHeight="1" x14ac:dyDescent="0.3">
      <c r="A199" s="11">
        <v>193</v>
      </c>
      <c r="B199" s="11" t="s">
        <v>154</v>
      </c>
      <c r="C199" s="11" t="s">
        <v>46</v>
      </c>
      <c r="D199" s="11" t="s">
        <v>19</v>
      </c>
      <c r="E199" s="11" t="s">
        <v>244</v>
      </c>
      <c r="F199" s="27" t="s">
        <v>291</v>
      </c>
      <c r="G199" s="12" t="s">
        <v>156</v>
      </c>
      <c r="H199" s="31">
        <v>13</v>
      </c>
      <c r="I199" s="33">
        <v>185</v>
      </c>
      <c r="J199" s="33">
        <v>13</v>
      </c>
      <c r="K199" s="33" t="s">
        <v>656</v>
      </c>
      <c r="L199" s="32" t="s">
        <v>654</v>
      </c>
      <c r="M199" s="33" t="s">
        <v>646</v>
      </c>
      <c r="N199" s="12" t="s">
        <v>20</v>
      </c>
      <c r="O199" s="12" t="s">
        <v>86</v>
      </c>
      <c r="P199" s="12" t="s">
        <v>80</v>
      </c>
      <c r="Q199" s="12" t="s">
        <v>80</v>
      </c>
      <c r="R199" s="12" t="s">
        <v>654</v>
      </c>
      <c r="S199" s="33" t="s">
        <v>98</v>
      </c>
      <c r="T199" s="12" t="s">
        <v>89</v>
      </c>
      <c r="U199" s="12">
        <v>600</v>
      </c>
      <c r="V199" s="12" t="s">
        <v>568</v>
      </c>
      <c r="W199" s="11" t="s">
        <v>25</v>
      </c>
      <c r="X199" s="11" t="s">
        <v>25</v>
      </c>
      <c r="Y199" s="15"/>
    </row>
    <row r="200" spans="1:25" s="16" customFormat="1" ht="24.75" customHeight="1" x14ac:dyDescent="0.3">
      <c r="A200" s="11">
        <v>194</v>
      </c>
      <c r="B200" s="11" t="s">
        <v>154</v>
      </c>
      <c r="C200" s="11" t="s">
        <v>46</v>
      </c>
      <c r="D200" s="11" t="s">
        <v>7</v>
      </c>
      <c r="E200" s="11" t="s">
        <v>554</v>
      </c>
      <c r="F200" s="27" t="s">
        <v>362</v>
      </c>
      <c r="G200" s="12" t="s">
        <v>156</v>
      </c>
      <c r="H200" s="31">
        <v>92.986999999999995</v>
      </c>
      <c r="I200" s="31">
        <v>185</v>
      </c>
      <c r="J200" s="32" t="s">
        <v>91</v>
      </c>
      <c r="K200" s="12" t="s">
        <v>76</v>
      </c>
      <c r="L200" s="12">
        <v>150</v>
      </c>
      <c r="M200" s="12" t="s">
        <v>43</v>
      </c>
      <c r="N200" s="12" t="s">
        <v>178</v>
      </c>
      <c r="O200" s="12" t="s">
        <v>8</v>
      </c>
      <c r="P200" s="12" t="s">
        <v>83</v>
      </c>
      <c r="Q200" s="11" t="s">
        <v>81</v>
      </c>
      <c r="R200" s="12">
        <v>150</v>
      </c>
      <c r="S200" s="12" t="s">
        <v>14</v>
      </c>
      <c r="T200" s="20" t="s">
        <v>15</v>
      </c>
      <c r="U200" s="20">
        <v>900</v>
      </c>
      <c r="V200" s="12" t="s">
        <v>4</v>
      </c>
      <c r="W200" s="11" t="s">
        <v>25</v>
      </c>
      <c r="X200" s="11" t="s">
        <v>25</v>
      </c>
      <c r="Y200" s="12"/>
    </row>
    <row r="201" spans="1:25" s="16" customFormat="1" ht="24.75" customHeight="1" x14ac:dyDescent="0.3">
      <c r="A201" s="11">
        <v>195</v>
      </c>
      <c r="B201" s="11" t="s">
        <v>154</v>
      </c>
      <c r="C201" s="11" t="s">
        <v>46</v>
      </c>
      <c r="D201" s="11" t="s">
        <v>17</v>
      </c>
      <c r="E201" s="11" t="s">
        <v>247</v>
      </c>
      <c r="F201" s="27" t="s">
        <v>363</v>
      </c>
      <c r="G201" s="12" t="s">
        <v>156</v>
      </c>
      <c r="H201" s="31">
        <v>92.986999999999995</v>
      </c>
      <c r="I201" s="31">
        <v>185</v>
      </c>
      <c r="J201" s="32" t="s">
        <v>91</v>
      </c>
      <c r="K201" s="12" t="s">
        <v>76</v>
      </c>
      <c r="L201" s="12">
        <v>80</v>
      </c>
      <c r="M201" s="12" t="s">
        <v>43</v>
      </c>
      <c r="N201" s="12" t="s">
        <v>22</v>
      </c>
      <c r="O201" s="12" t="s">
        <v>44</v>
      </c>
      <c r="P201" s="12" t="s">
        <v>84</v>
      </c>
      <c r="Q201" s="11" t="s">
        <v>81</v>
      </c>
      <c r="R201" s="12">
        <v>80</v>
      </c>
      <c r="S201" s="12" t="s">
        <v>14</v>
      </c>
      <c r="T201" s="20" t="s">
        <v>15</v>
      </c>
      <c r="U201" s="20">
        <v>900</v>
      </c>
      <c r="V201" s="12" t="s">
        <v>4</v>
      </c>
      <c r="W201" s="11" t="s">
        <v>25</v>
      </c>
      <c r="X201" s="11" t="s">
        <v>25</v>
      </c>
      <c r="Y201" s="12"/>
    </row>
    <row r="202" spans="1:25" s="16" customFormat="1" ht="24.75" customHeight="1" x14ac:dyDescent="0.3">
      <c r="A202" s="11">
        <v>196</v>
      </c>
      <c r="B202" s="11" t="s">
        <v>154</v>
      </c>
      <c r="C202" s="11" t="s">
        <v>46</v>
      </c>
      <c r="D202" s="11" t="s">
        <v>19</v>
      </c>
      <c r="E202" s="11" t="s">
        <v>245</v>
      </c>
      <c r="F202" s="27" t="s">
        <v>292</v>
      </c>
      <c r="G202" s="12" t="s">
        <v>156</v>
      </c>
      <c r="H202" s="31">
        <v>13</v>
      </c>
      <c r="I202" s="33">
        <v>185</v>
      </c>
      <c r="J202" s="33">
        <v>13</v>
      </c>
      <c r="K202" s="33" t="s">
        <v>656</v>
      </c>
      <c r="L202" s="32" t="s">
        <v>654</v>
      </c>
      <c r="M202" s="33" t="s">
        <v>646</v>
      </c>
      <c r="N202" s="12" t="s">
        <v>20</v>
      </c>
      <c r="O202" s="12" t="s">
        <v>86</v>
      </c>
      <c r="P202" s="12" t="s">
        <v>80</v>
      </c>
      <c r="Q202" s="12" t="s">
        <v>80</v>
      </c>
      <c r="R202" s="12" t="s">
        <v>654</v>
      </c>
      <c r="S202" s="33" t="s">
        <v>98</v>
      </c>
      <c r="T202" s="12" t="s">
        <v>89</v>
      </c>
      <c r="U202" s="12">
        <v>600</v>
      </c>
      <c r="V202" s="12" t="s">
        <v>568</v>
      </c>
      <c r="W202" s="11" t="s">
        <v>25</v>
      </c>
      <c r="X202" s="11" t="s">
        <v>25</v>
      </c>
      <c r="Y202" s="15"/>
    </row>
    <row r="203" spans="1:25" s="16" customFormat="1" ht="24.75" customHeight="1" x14ac:dyDescent="0.3">
      <c r="A203" s="11">
        <v>197</v>
      </c>
      <c r="B203" s="11" t="s">
        <v>154</v>
      </c>
      <c r="C203" s="11" t="s">
        <v>46</v>
      </c>
      <c r="D203" s="11" t="s">
        <v>7</v>
      </c>
      <c r="E203" s="11" t="s">
        <v>555</v>
      </c>
      <c r="F203" s="27" t="s">
        <v>364</v>
      </c>
      <c r="G203" s="12" t="s">
        <v>156</v>
      </c>
      <c r="H203" s="31">
        <v>92.986999999999995</v>
      </c>
      <c r="I203" s="31">
        <v>185</v>
      </c>
      <c r="J203" s="32" t="s">
        <v>91</v>
      </c>
      <c r="K203" s="12" t="s">
        <v>76</v>
      </c>
      <c r="L203" s="12">
        <v>150</v>
      </c>
      <c r="M203" s="12" t="s">
        <v>43</v>
      </c>
      <c r="N203" s="12" t="s">
        <v>178</v>
      </c>
      <c r="O203" s="12" t="s">
        <v>8</v>
      </c>
      <c r="P203" s="12" t="s">
        <v>83</v>
      </c>
      <c r="Q203" s="11" t="s">
        <v>81</v>
      </c>
      <c r="R203" s="12">
        <v>150</v>
      </c>
      <c r="S203" s="12" t="s">
        <v>14</v>
      </c>
      <c r="T203" s="20" t="s">
        <v>15</v>
      </c>
      <c r="U203" s="20">
        <v>900</v>
      </c>
      <c r="V203" s="12" t="s">
        <v>4</v>
      </c>
      <c r="W203" s="11" t="s">
        <v>25</v>
      </c>
      <c r="X203" s="11" t="s">
        <v>25</v>
      </c>
      <c r="Y203" s="12"/>
    </row>
    <row r="204" spans="1:25" s="16" customFormat="1" ht="24.75" customHeight="1" x14ac:dyDescent="0.3">
      <c r="A204" s="11">
        <v>198</v>
      </c>
      <c r="B204" s="11" t="s">
        <v>154</v>
      </c>
      <c r="C204" s="11" t="s">
        <v>46</v>
      </c>
      <c r="D204" s="11" t="s">
        <v>17</v>
      </c>
      <c r="E204" s="11" t="s">
        <v>248</v>
      </c>
      <c r="F204" s="27" t="s">
        <v>365</v>
      </c>
      <c r="G204" s="12" t="s">
        <v>156</v>
      </c>
      <c r="H204" s="31">
        <v>92.986999999999995</v>
      </c>
      <c r="I204" s="31">
        <v>185</v>
      </c>
      <c r="J204" s="32" t="s">
        <v>91</v>
      </c>
      <c r="K204" s="12" t="s">
        <v>76</v>
      </c>
      <c r="L204" s="12">
        <v>80</v>
      </c>
      <c r="M204" s="12" t="s">
        <v>43</v>
      </c>
      <c r="N204" s="12" t="s">
        <v>22</v>
      </c>
      <c r="O204" s="12" t="s">
        <v>44</v>
      </c>
      <c r="P204" s="12" t="s">
        <v>84</v>
      </c>
      <c r="Q204" s="11" t="s">
        <v>81</v>
      </c>
      <c r="R204" s="12">
        <v>80</v>
      </c>
      <c r="S204" s="12" t="s">
        <v>14</v>
      </c>
      <c r="T204" s="20" t="s">
        <v>15</v>
      </c>
      <c r="U204" s="20">
        <v>900</v>
      </c>
      <c r="V204" s="12" t="s">
        <v>4</v>
      </c>
      <c r="W204" s="11" t="s">
        <v>25</v>
      </c>
      <c r="X204" s="11" t="s">
        <v>25</v>
      </c>
      <c r="Y204" s="12"/>
    </row>
    <row r="205" spans="1:25" s="16" customFormat="1" ht="24.75" customHeight="1" x14ac:dyDescent="0.3">
      <c r="A205" s="11">
        <v>199</v>
      </c>
      <c r="B205" s="11" t="s">
        <v>253</v>
      </c>
      <c r="C205" s="11" t="s">
        <v>47</v>
      </c>
      <c r="D205" s="11" t="s">
        <v>12</v>
      </c>
      <c r="E205" s="11" t="s">
        <v>508</v>
      </c>
      <c r="F205" s="27" t="s">
        <v>366</v>
      </c>
      <c r="G205" s="11" t="s">
        <v>156</v>
      </c>
      <c r="H205" s="31" t="s">
        <v>93</v>
      </c>
      <c r="I205" s="31" t="s">
        <v>25</v>
      </c>
      <c r="J205" s="32" t="s">
        <v>91</v>
      </c>
      <c r="K205" s="12" t="s">
        <v>625</v>
      </c>
      <c r="L205" s="12">
        <v>50</v>
      </c>
      <c r="M205" s="12" t="s">
        <v>619</v>
      </c>
      <c r="N205" s="12" t="s">
        <v>179</v>
      </c>
      <c r="O205" s="12" t="s">
        <v>8</v>
      </c>
      <c r="P205" s="12" t="s">
        <v>82</v>
      </c>
      <c r="Q205" s="11" t="s">
        <v>81</v>
      </c>
      <c r="R205" s="12">
        <v>50</v>
      </c>
      <c r="S205" s="12" t="s">
        <v>633</v>
      </c>
      <c r="T205" s="12" t="s">
        <v>87</v>
      </c>
      <c r="U205" s="20">
        <v>600</v>
      </c>
      <c r="V205" s="12" t="s">
        <v>62</v>
      </c>
      <c r="W205" s="11" t="s">
        <v>25</v>
      </c>
      <c r="X205" s="11" t="s">
        <v>25</v>
      </c>
      <c r="Y205" s="12"/>
    </row>
    <row r="206" spans="1:25" s="16" customFormat="1" ht="24.75" customHeight="1" x14ac:dyDescent="0.3">
      <c r="A206" s="11">
        <v>200</v>
      </c>
      <c r="B206" s="11" t="s">
        <v>664</v>
      </c>
      <c r="C206" s="11" t="s">
        <v>665</v>
      </c>
      <c r="D206" s="11" t="s">
        <v>19</v>
      </c>
      <c r="E206" s="11" t="s">
        <v>666</v>
      </c>
      <c r="F206" s="27" t="s">
        <v>667</v>
      </c>
      <c r="G206" s="12" t="s">
        <v>156</v>
      </c>
      <c r="H206" s="31">
        <v>11</v>
      </c>
      <c r="I206" s="33">
        <v>70</v>
      </c>
      <c r="J206" s="33" t="s">
        <v>25</v>
      </c>
      <c r="K206" s="33" t="s">
        <v>668</v>
      </c>
      <c r="L206" s="32" t="s">
        <v>669</v>
      </c>
      <c r="M206" s="33" t="s">
        <v>692</v>
      </c>
      <c r="N206" s="12" t="s">
        <v>20</v>
      </c>
      <c r="O206" s="12" t="s">
        <v>86</v>
      </c>
      <c r="P206" s="12" t="s">
        <v>80</v>
      </c>
      <c r="Q206" s="12" t="s">
        <v>80</v>
      </c>
      <c r="R206" s="12" t="s">
        <v>654</v>
      </c>
      <c r="S206" s="33" t="s">
        <v>63</v>
      </c>
      <c r="T206" s="12" t="s">
        <v>89</v>
      </c>
      <c r="U206" s="12">
        <v>600</v>
      </c>
      <c r="V206" s="12" t="s">
        <v>568</v>
      </c>
      <c r="W206" s="11" t="s">
        <v>25</v>
      </c>
      <c r="X206" s="11" t="s">
        <v>25</v>
      </c>
      <c r="Y206" s="15"/>
    </row>
    <row r="207" spans="1:25" s="16" customFormat="1" ht="24.75" customHeight="1" x14ac:dyDescent="0.3">
      <c r="A207" s="11">
        <v>201</v>
      </c>
      <c r="B207" s="11" t="s">
        <v>664</v>
      </c>
      <c r="C207" s="11" t="s">
        <v>665</v>
      </c>
      <c r="D207" s="11" t="s">
        <v>19</v>
      </c>
      <c r="E207" s="11" t="s">
        <v>670</v>
      </c>
      <c r="F207" s="27" t="s">
        <v>675</v>
      </c>
      <c r="G207" s="12" t="s">
        <v>156</v>
      </c>
      <c r="H207" s="31">
        <v>11</v>
      </c>
      <c r="I207" s="33">
        <v>70</v>
      </c>
      <c r="J207" s="33" t="s">
        <v>25</v>
      </c>
      <c r="K207" s="33" t="s">
        <v>668</v>
      </c>
      <c r="L207" s="32" t="s">
        <v>669</v>
      </c>
      <c r="M207" s="33" t="s">
        <v>692</v>
      </c>
      <c r="N207" s="12" t="s">
        <v>20</v>
      </c>
      <c r="O207" s="12" t="s">
        <v>86</v>
      </c>
      <c r="P207" s="12" t="s">
        <v>80</v>
      </c>
      <c r="Q207" s="12" t="s">
        <v>80</v>
      </c>
      <c r="R207" s="12" t="s">
        <v>654</v>
      </c>
      <c r="S207" s="33" t="s">
        <v>63</v>
      </c>
      <c r="T207" s="12" t="s">
        <v>89</v>
      </c>
      <c r="U207" s="12">
        <v>600</v>
      </c>
      <c r="V207" s="12" t="s">
        <v>568</v>
      </c>
      <c r="W207" s="11" t="s">
        <v>25</v>
      </c>
      <c r="X207" s="11" t="s">
        <v>25</v>
      </c>
      <c r="Y207" s="15"/>
    </row>
    <row r="208" spans="1:25" s="16" customFormat="1" ht="24.75" customHeight="1" x14ac:dyDescent="0.3">
      <c r="A208" s="11">
        <v>202</v>
      </c>
      <c r="B208" s="11" t="s">
        <v>664</v>
      </c>
      <c r="C208" s="11" t="s">
        <v>665</v>
      </c>
      <c r="D208" s="11" t="s">
        <v>19</v>
      </c>
      <c r="E208" s="11" t="s">
        <v>671</v>
      </c>
      <c r="F208" s="27" t="s">
        <v>676</v>
      </c>
      <c r="G208" s="12" t="s">
        <v>156</v>
      </c>
      <c r="H208" s="31">
        <v>11</v>
      </c>
      <c r="I208" s="33">
        <v>70</v>
      </c>
      <c r="J208" s="33" t="s">
        <v>25</v>
      </c>
      <c r="K208" s="33" t="s">
        <v>668</v>
      </c>
      <c r="L208" s="32" t="s">
        <v>669</v>
      </c>
      <c r="M208" s="33" t="s">
        <v>692</v>
      </c>
      <c r="N208" s="12" t="s">
        <v>20</v>
      </c>
      <c r="O208" s="12" t="s">
        <v>86</v>
      </c>
      <c r="P208" s="12" t="s">
        <v>80</v>
      </c>
      <c r="Q208" s="12" t="s">
        <v>80</v>
      </c>
      <c r="R208" s="12" t="s">
        <v>654</v>
      </c>
      <c r="S208" s="33" t="s">
        <v>63</v>
      </c>
      <c r="T208" s="12" t="s">
        <v>89</v>
      </c>
      <c r="U208" s="12">
        <v>600</v>
      </c>
      <c r="V208" s="12" t="s">
        <v>568</v>
      </c>
      <c r="W208" s="11" t="s">
        <v>25</v>
      </c>
      <c r="X208" s="11" t="s">
        <v>25</v>
      </c>
      <c r="Y208" s="15"/>
    </row>
    <row r="209" spans="1:25" s="16" customFormat="1" ht="24.75" customHeight="1" x14ac:dyDescent="0.3">
      <c r="A209" s="11">
        <v>203</v>
      </c>
      <c r="B209" s="11" t="s">
        <v>664</v>
      </c>
      <c r="C209" s="11" t="s">
        <v>665</v>
      </c>
      <c r="D209" s="11" t="s">
        <v>19</v>
      </c>
      <c r="E209" s="11" t="s">
        <v>672</v>
      </c>
      <c r="F209" s="27" t="s">
        <v>677</v>
      </c>
      <c r="G209" s="12" t="s">
        <v>156</v>
      </c>
      <c r="H209" s="31">
        <v>11</v>
      </c>
      <c r="I209" s="33">
        <v>70</v>
      </c>
      <c r="J209" s="33" t="s">
        <v>25</v>
      </c>
      <c r="K209" s="33" t="s">
        <v>668</v>
      </c>
      <c r="L209" s="32" t="s">
        <v>669</v>
      </c>
      <c r="M209" s="33" t="s">
        <v>692</v>
      </c>
      <c r="N209" s="12" t="s">
        <v>20</v>
      </c>
      <c r="O209" s="12" t="s">
        <v>86</v>
      </c>
      <c r="P209" s="12" t="s">
        <v>80</v>
      </c>
      <c r="Q209" s="12" t="s">
        <v>80</v>
      </c>
      <c r="R209" s="12" t="s">
        <v>654</v>
      </c>
      <c r="S209" s="33" t="s">
        <v>63</v>
      </c>
      <c r="T209" s="12" t="s">
        <v>89</v>
      </c>
      <c r="U209" s="12">
        <v>600</v>
      </c>
      <c r="V209" s="12" t="s">
        <v>568</v>
      </c>
      <c r="W209" s="11" t="s">
        <v>25</v>
      </c>
      <c r="X209" s="11" t="s">
        <v>25</v>
      </c>
      <c r="Y209" s="15"/>
    </row>
    <row r="210" spans="1:25" s="16" customFormat="1" ht="24.75" customHeight="1" x14ac:dyDescent="0.3">
      <c r="A210" s="11">
        <v>204</v>
      </c>
      <c r="B210" s="11" t="s">
        <v>664</v>
      </c>
      <c r="C210" s="11" t="s">
        <v>665</v>
      </c>
      <c r="D210" s="11" t="s">
        <v>19</v>
      </c>
      <c r="E210" s="11" t="s">
        <v>673</v>
      </c>
      <c r="F210" s="27" t="s">
        <v>678</v>
      </c>
      <c r="G210" s="12" t="s">
        <v>156</v>
      </c>
      <c r="H210" s="31">
        <v>11</v>
      </c>
      <c r="I210" s="33">
        <v>70</v>
      </c>
      <c r="J210" s="33" t="s">
        <v>25</v>
      </c>
      <c r="K210" s="33" t="s">
        <v>668</v>
      </c>
      <c r="L210" s="32" t="s">
        <v>669</v>
      </c>
      <c r="M210" s="33" t="s">
        <v>692</v>
      </c>
      <c r="N210" s="12" t="s">
        <v>20</v>
      </c>
      <c r="O210" s="12" t="s">
        <v>86</v>
      </c>
      <c r="P210" s="12" t="s">
        <v>80</v>
      </c>
      <c r="Q210" s="12" t="s">
        <v>80</v>
      </c>
      <c r="R210" s="12" t="s">
        <v>654</v>
      </c>
      <c r="S210" s="33" t="s">
        <v>63</v>
      </c>
      <c r="T210" s="12" t="s">
        <v>89</v>
      </c>
      <c r="U210" s="12">
        <v>600</v>
      </c>
      <c r="V210" s="12" t="s">
        <v>568</v>
      </c>
      <c r="W210" s="11" t="s">
        <v>25</v>
      </c>
      <c r="X210" s="11" t="s">
        <v>25</v>
      </c>
      <c r="Y210" s="15"/>
    </row>
    <row r="211" spans="1:25" s="16" customFormat="1" ht="24.75" customHeight="1" x14ac:dyDescent="0.3">
      <c r="A211" s="11">
        <v>205</v>
      </c>
      <c r="B211" s="11" t="s">
        <v>664</v>
      </c>
      <c r="C211" s="11" t="s">
        <v>665</v>
      </c>
      <c r="D211" s="11" t="s">
        <v>19</v>
      </c>
      <c r="E211" s="11" t="s">
        <v>674</v>
      </c>
      <c r="F211" s="27" t="s">
        <v>679</v>
      </c>
      <c r="G211" s="12" t="s">
        <v>156</v>
      </c>
      <c r="H211" s="31">
        <v>11</v>
      </c>
      <c r="I211" s="33">
        <v>70</v>
      </c>
      <c r="J211" s="33" t="s">
        <v>25</v>
      </c>
      <c r="K211" s="33" t="s">
        <v>668</v>
      </c>
      <c r="L211" s="32" t="s">
        <v>669</v>
      </c>
      <c r="M211" s="33" t="s">
        <v>692</v>
      </c>
      <c r="N211" s="12" t="s">
        <v>20</v>
      </c>
      <c r="O211" s="12" t="s">
        <v>86</v>
      </c>
      <c r="P211" s="12" t="s">
        <v>80</v>
      </c>
      <c r="Q211" s="12" t="s">
        <v>80</v>
      </c>
      <c r="R211" s="12" t="s">
        <v>654</v>
      </c>
      <c r="S211" s="33" t="s">
        <v>63</v>
      </c>
      <c r="T211" s="12" t="s">
        <v>89</v>
      </c>
      <c r="U211" s="12">
        <v>600</v>
      </c>
      <c r="V211" s="12" t="s">
        <v>568</v>
      </c>
      <c r="W211" s="11" t="s">
        <v>25</v>
      </c>
      <c r="X211" s="11" t="s">
        <v>25</v>
      </c>
      <c r="Y211" s="15"/>
    </row>
    <row r="212" spans="1:25" s="16" customFormat="1" ht="24.75" customHeight="1" x14ac:dyDescent="0.3">
      <c r="A212" s="11">
        <v>206</v>
      </c>
      <c r="B212" s="11" t="s">
        <v>664</v>
      </c>
      <c r="C212" s="11" t="s">
        <v>665</v>
      </c>
      <c r="D212" s="11" t="s">
        <v>19</v>
      </c>
      <c r="E212" s="11" t="s">
        <v>680</v>
      </c>
      <c r="F212" s="27" t="s">
        <v>686</v>
      </c>
      <c r="G212" s="12" t="s">
        <v>156</v>
      </c>
      <c r="H212" s="31">
        <v>11</v>
      </c>
      <c r="I212" s="33">
        <v>70</v>
      </c>
      <c r="J212" s="33" t="s">
        <v>25</v>
      </c>
      <c r="K212" s="33" t="s">
        <v>668</v>
      </c>
      <c r="L212" s="32" t="s">
        <v>669</v>
      </c>
      <c r="M212" s="33" t="s">
        <v>692</v>
      </c>
      <c r="N212" s="12" t="s">
        <v>20</v>
      </c>
      <c r="O212" s="12" t="s">
        <v>86</v>
      </c>
      <c r="P212" s="12" t="s">
        <v>80</v>
      </c>
      <c r="Q212" s="12" t="s">
        <v>80</v>
      </c>
      <c r="R212" s="12" t="s">
        <v>654</v>
      </c>
      <c r="S212" s="33" t="s">
        <v>63</v>
      </c>
      <c r="T212" s="12" t="s">
        <v>89</v>
      </c>
      <c r="U212" s="12">
        <v>600</v>
      </c>
      <c r="V212" s="12" t="s">
        <v>568</v>
      </c>
      <c r="W212" s="11" t="s">
        <v>25</v>
      </c>
      <c r="X212" s="11" t="s">
        <v>25</v>
      </c>
      <c r="Y212" s="15"/>
    </row>
    <row r="213" spans="1:25" s="16" customFormat="1" ht="24.75" customHeight="1" x14ac:dyDescent="0.3">
      <c r="A213" s="11">
        <v>207</v>
      </c>
      <c r="B213" s="11" t="s">
        <v>664</v>
      </c>
      <c r="C213" s="11" t="s">
        <v>665</v>
      </c>
      <c r="D213" s="11" t="s">
        <v>19</v>
      </c>
      <c r="E213" s="11" t="s">
        <v>681</v>
      </c>
      <c r="F213" s="27" t="s">
        <v>687</v>
      </c>
      <c r="G213" s="12" t="s">
        <v>156</v>
      </c>
      <c r="H213" s="31">
        <v>11</v>
      </c>
      <c r="I213" s="33">
        <v>70</v>
      </c>
      <c r="J213" s="33" t="s">
        <v>25</v>
      </c>
      <c r="K213" s="33" t="s">
        <v>668</v>
      </c>
      <c r="L213" s="32" t="s">
        <v>669</v>
      </c>
      <c r="M213" s="33" t="s">
        <v>692</v>
      </c>
      <c r="N213" s="12" t="s">
        <v>20</v>
      </c>
      <c r="O213" s="12" t="s">
        <v>86</v>
      </c>
      <c r="P213" s="12" t="s">
        <v>80</v>
      </c>
      <c r="Q213" s="12" t="s">
        <v>80</v>
      </c>
      <c r="R213" s="12" t="s">
        <v>654</v>
      </c>
      <c r="S213" s="33" t="s">
        <v>63</v>
      </c>
      <c r="T213" s="12" t="s">
        <v>89</v>
      </c>
      <c r="U213" s="12">
        <v>600</v>
      </c>
      <c r="V213" s="12" t="s">
        <v>568</v>
      </c>
      <c r="W213" s="11" t="s">
        <v>25</v>
      </c>
      <c r="X213" s="11" t="s">
        <v>25</v>
      </c>
      <c r="Y213" s="15"/>
    </row>
    <row r="214" spans="1:25" s="16" customFormat="1" ht="24.75" customHeight="1" x14ac:dyDescent="0.3">
      <c r="A214" s="11">
        <v>208</v>
      </c>
      <c r="B214" s="11" t="s">
        <v>664</v>
      </c>
      <c r="C214" s="11" t="s">
        <v>665</v>
      </c>
      <c r="D214" s="11" t="s">
        <v>19</v>
      </c>
      <c r="E214" s="11" t="s">
        <v>682</v>
      </c>
      <c r="F214" s="27" t="s">
        <v>688</v>
      </c>
      <c r="G214" s="12" t="s">
        <v>156</v>
      </c>
      <c r="H214" s="31">
        <v>11</v>
      </c>
      <c r="I214" s="33">
        <v>70</v>
      </c>
      <c r="J214" s="33" t="s">
        <v>25</v>
      </c>
      <c r="K214" s="33" t="s">
        <v>668</v>
      </c>
      <c r="L214" s="32" t="s">
        <v>669</v>
      </c>
      <c r="M214" s="33" t="s">
        <v>692</v>
      </c>
      <c r="N214" s="12" t="s">
        <v>20</v>
      </c>
      <c r="O214" s="12" t="s">
        <v>86</v>
      </c>
      <c r="P214" s="12" t="s">
        <v>80</v>
      </c>
      <c r="Q214" s="12" t="s">
        <v>80</v>
      </c>
      <c r="R214" s="12" t="s">
        <v>654</v>
      </c>
      <c r="S214" s="33" t="s">
        <v>63</v>
      </c>
      <c r="T214" s="12" t="s">
        <v>89</v>
      </c>
      <c r="U214" s="12">
        <v>600</v>
      </c>
      <c r="V214" s="12" t="s">
        <v>568</v>
      </c>
      <c r="W214" s="11" t="s">
        <v>25</v>
      </c>
      <c r="X214" s="11" t="s">
        <v>25</v>
      </c>
      <c r="Y214" s="15"/>
    </row>
    <row r="215" spans="1:25" s="16" customFormat="1" ht="24.75" customHeight="1" x14ac:dyDescent="0.3">
      <c r="A215" s="11">
        <v>209</v>
      </c>
      <c r="B215" s="11" t="s">
        <v>664</v>
      </c>
      <c r="C215" s="11" t="s">
        <v>665</v>
      </c>
      <c r="D215" s="11" t="s">
        <v>19</v>
      </c>
      <c r="E215" s="11" t="s">
        <v>683</v>
      </c>
      <c r="F215" s="27" t="s">
        <v>689</v>
      </c>
      <c r="G215" s="12" t="s">
        <v>156</v>
      </c>
      <c r="H215" s="31">
        <v>11</v>
      </c>
      <c r="I215" s="33">
        <v>70</v>
      </c>
      <c r="J215" s="33" t="s">
        <v>25</v>
      </c>
      <c r="K215" s="33" t="s">
        <v>668</v>
      </c>
      <c r="L215" s="32" t="s">
        <v>669</v>
      </c>
      <c r="M215" s="33" t="s">
        <v>692</v>
      </c>
      <c r="N215" s="12" t="s">
        <v>20</v>
      </c>
      <c r="O215" s="12" t="s">
        <v>86</v>
      </c>
      <c r="P215" s="12" t="s">
        <v>80</v>
      </c>
      <c r="Q215" s="12" t="s">
        <v>80</v>
      </c>
      <c r="R215" s="12" t="s">
        <v>654</v>
      </c>
      <c r="S215" s="33" t="s">
        <v>63</v>
      </c>
      <c r="T215" s="12" t="s">
        <v>89</v>
      </c>
      <c r="U215" s="12">
        <v>600</v>
      </c>
      <c r="V215" s="12" t="s">
        <v>568</v>
      </c>
      <c r="W215" s="11" t="s">
        <v>25</v>
      </c>
      <c r="X215" s="11" t="s">
        <v>25</v>
      </c>
      <c r="Y215" s="15"/>
    </row>
    <row r="216" spans="1:25" s="16" customFormat="1" ht="24.75" customHeight="1" x14ac:dyDescent="0.3">
      <c r="A216" s="11">
        <v>210</v>
      </c>
      <c r="B216" s="11" t="s">
        <v>664</v>
      </c>
      <c r="C216" s="11" t="s">
        <v>665</v>
      </c>
      <c r="D216" s="11" t="s">
        <v>19</v>
      </c>
      <c r="E216" s="11" t="s">
        <v>684</v>
      </c>
      <c r="F216" s="27" t="s">
        <v>690</v>
      </c>
      <c r="G216" s="12" t="s">
        <v>156</v>
      </c>
      <c r="H216" s="31">
        <v>11</v>
      </c>
      <c r="I216" s="33">
        <v>70</v>
      </c>
      <c r="J216" s="33" t="s">
        <v>25</v>
      </c>
      <c r="K216" s="33" t="s">
        <v>668</v>
      </c>
      <c r="L216" s="32" t="s">
        <v>669</v>
      </c>
      <c r="M216" s="33" t="s">
        <v>692</v>
      </c>
      <c r="N216" s="12" t="s">
        <v>20</v>
      </c>
      <c r="O216" s="12" t="s">
        <v>86</v>
      </c>
      <c r="P216" s="12" t="s">
        <v>80</v>
      </c>
      <c r="Q216" s="12" t="s">
        <v>80</v>
      </c>
      <c r="R216" s="12" t="s">
        <v>654</v>
      </c>
      <c r="S216" s="33" t="s">
        <v>63</v>
      </c>
      <c r="T216" s="12" t="s">
        <v>89</v>
      </c>
      <c r="U216" s="12">
        <v>600</v>
      </c>
      <c r="V216" s="12" t="s">
        <v>568</v>
      </c>
      <c r="W216" s="11" t="s">
        <v>25</v>
      </c>
      <c r="X216" s="11" t="s">
        <v>25</v>
      </c>
      <c r="Y216" s="15"/>
    </row>
    <row r="217" spans="1:25" s="16" customFormat="1" ht="24.75" customHeight="1" x14ac:dyDescent="0.3">
      <c r="A217" s="11">
        <v>211</v>
      </c>
      <c r="B217" s="11" t="s">
        <v>664</v>
      </c>
      <c r="C217" s="11" t="s">
        <v>665</v>
      </c>
      <c r="D217" s="11" t="s">
        <v>19</v>
      </c>
      <c r="E217" s="11" t="s">
        <v>685</v>
      </c>
      <c r="F217" s="27" t="s">
        <v>691</v>
      </c>
      <c r="G217" s="12" t="s">
        <v>156</v>
      </c>
      <c r="H217" s="31">
        <v>11</v>
      </c>
      <c r="I217" s="33">
        <v>70</v>
      </c>
      <c r="J217" s="33" t="s">
        <v>25</v>
      </c>
      <c r="K217" s="33" t="s">
        <v>668</v>
      </c>
      <c r="L217" s="32" t="s">
        <v>669</v>
      </c>
      <c r="M217" s="33" t="s">
        <v>692</v>
      </c>
      <c r="N217" s="12" t="s">
        <v>20</v>
      </c>
      <c r="O217" s="12" t="s">
        <v>86</v>
      </c>
      <c r="P217" s="12" t="s">
        <v>80</v>
      </c>
      <c r="Q217" s="12" t="s">
        <v>80</v>
      </c>
      <c r="R217" s="12" t="s">
        <v>654</v>
      </c>
      <c r="S217" s="33" t="s">
        <v>63</v>
      </c>
      <c r="T217" s="12" t="s">
        <v>89</v>
      </c>
      <c r="U217" s="12">
        <v>600</v>
      </c>
      <c r="V217" s="12" t="s">
        <v>568</v>
      </c>
      <c r="W217" s="11" t="s">
        <v>25</v>
      </c>
      <c r="X217" s="11" t="s">
        <v>25</v>
      </c>
      <c r="Y217" s="15"/>
    </row>
    <row r="218" spans="1:25" s="16" customFormat="1" ht="24.75" customHeight="1" x14ac:dyDescent="0.3">
      <c r="A218" s="11">
        <v>212</v>
      </c>
      <c r="B218" s="11" t="s">
        <v>372</v>
      </c>
      <c r="C218" s="11" t="s">
        <v>85</v>
      </c>
      <c r="D218" s="11" t="s">
        <v>12</v>
      </c>
      <c r="E218" s="11" t="s">
        <v>373</v>
      </c>
      <c r="F218" s="27" t="s">
        <v>557</v>
      </c>
      <c r="G218" s="11" t="s">
        <v>167</v>
      </c>
      <c r="H218" s="31">
        <v>18</v>
      </c>
      <c r="I218" s="31">
        <v>70</v>
      </c>
      <c r="J218" s="32" t="s">
        <v>91</v>
      </c>
      <c r="K218" s="12" t="s">
        <v>630</v>
      </c>
      <c r="L218" s="12">
        <v>150</v>
      </c>
      <c r="M218" s="12" t="s">
        <v>25</v>
      </c>
      <c r="N218" s="12" t="s">
        <v>179</v>
      </c>
      <c r="O218" s="12" t="s">
        <v>79</v>
      </c>
      <c r="P218" s="12" t="s">
        <v>82</v>
      </c>
      <c r="Q218" s="11" t="s">
        <v>81</v>
      </c>
      <c r="R218" s="12">
        <v>150</v>
      </c>
      <c r="S218" s="12" t="s">
        <v>25</v>
      </c>
      <c r="T218" s="12" t="s">
        <v>25</v>
      </c>
      <c r="U218" s="12" t="s">
        <v>25</v>
      </c>
      <c r="V218" s="12" t="s">
        <v>25</v>
      </c>
      <c r="W218" s="11" t="s">
        <v>25</v>
      </c>
      <c r="X218" s="11" t="s">
        <v>25</v>
      </c>
      <c r="Y218" s="12"/>
    </row>
    <row r="219" spans="1:25" s="16" customFormat="1" ht="24.75" customHeight="1" x14ac:dyDescent="0.3">
      <c r="A219" s="11">
        <v>213</v>
      </c>
      <c r="B219" s="11" t="s">
        <v>372</v>
      </c>
      <c r="C219" s="11" t="s">
        <v>85</v>
      </c>
      <c r="D219" s="11" t="s">
        <v>12</v>
      </c>
      <c r="E219" s="11" t="s">
        <v>374</v>
      </c>
      <c r="F219" s="27" t="s">
        <v>590</v>
      </c>
      <c r="G219" s="11" t="s">
        <v>249</v>
      </c>
      <c r="H219" s="31">
        <v>18</v>
      </c>
      <c r="I219" s="31">
        <v>150</v>
      </c>
      <c r="J219" s="32" t="s">
        <v>91</v>
      </c>
      <c r="K219" s="12" t="s">
        <v>631</v>
      </c>
      <c r="L219" s="12">
        <v>350</v>
      </c>
      <c r="M219" s="14" t="s">
        <v>25</v>
      </c>
      <c r="N219" s="12" t="s">
        <v>179</v>
      </c>
      <c r="O219" s="12" t="s">
        <v>79</v>
      </c>
      <c r="P219" s="12" t="s">
        <v>83</v>
      </c>
      <c r="Q219" s="11" t="s">
        <v>81</v>
      </c>
      <c r="R219" s="12">
        <v>350</v>
      </c>
      <c r="S219" s="12" t="s">
        <v>25</v>
      </c>
      <c r="T219" s="12" t="s">
        <v>25</v>
      </c>
      <c r="U219" s="12" t="s">
        <v>25</v>
      </c>
      <c r="V219" s="12" t="s">
        <v>25</v>
      </c>
      <c r="W219" s="11" t="s">
        <v>25</v>
      </c>
      <c r="X219" s="11" t="s">
        <v>25</v>
      </c>
      <c r="Y219" s="12"/>
    </row>
    <row r="220" spans="1:25" s="16" customFormat="1" ht="24.75" customHeight="1" x14ac:dyDescent="0.3">
      <c r="A220" s="11">
        <v>214</v>
      </c>
      <c r="B220" s="11" t="s">
        <v>372</v>
      </c>
      <c r="C220" s="11" t="s">
        <v>85</v>
      </c>
      <c r="D220" s="11" t="s">
        <v>7</v>
      </c>
      <c r="E220" s="11" t="s">
        <v>375</v>
      </c>
      <c r="F220" s="27" t="s">
        <v>591</v>
      </c>
      <c r="G220" s="12" t="s">
        <v>164</v>
      </c>
      <c r="H220" s="31" t="s">
        <v>93</v>
      </c>
      <c r="I220" s="31" t="s">
        <v>25</v>
      </c>
      <c r="J220" s="32" t="s">
        <v>91</v>
      </c>
      <c r="K220" s="12" t="s">
        <v>64</v>
      </c>
      <c r="L220" s="12">
        <v>80</v>
      </c>
      <c r="M220" s="12" t="s">
        <v>624</v>
      </c>
      <c r="N220" s="12" t="s">
        <v>178</v>
      </c>
      <c r="O220" s="12" t="s">
        <v>8</v>
      </c>
      <c r="P220" s="12" t="s">
        <v>83</v>
      </c>
      <c r="Q220" s="11" t="s">
        <v>81</v>
      </c>
      <c r="R220" s="12">
        <v>80</v>
      </c>
      <c r="S220" s="12" t="s">
        <v>14</v>
      </c>
      <c r="T220" s="12" t="s">
        <v>15</v>
      </c>
      <c r="U220" s="12">
        <v>600</v>
      </c>
      <c r="V220" s="12" t="s">
        <v>10</v>
      </c>
      <c r="W220" s="11" t="s">
        <v>25</v>
      </c>
      <c r="X220" s="11" t="s">
        <v>25</v>
      </c>
      <c r="Y220" s="12"/>
    </row>
    <row r="221" spans="1:25" s="16" customFormat="1" ht="24.75" customHeight="1" x14ac:dyDescent="0.3">
      <c r="A221" s="11">
        <v>215</v>
      </c>
      <c r="B221" s="11" t="s">
        <v>372</v>
      </c>
      <c r="C221" s="11" t="s">
        <v>85</v>
      </c>
      <c r="D221" s="11" t="s">
        <v>17</v>
      </c>
      <c r="E221" s="11" t="s">
        <v>376</v>
      </c>
      <c r="F221" s="27" t="s">
        <v>612</v>
      </c>
      <c r="G221" s="12" t="s">
        <v>164</v>
      </c>
      <c r="H221" s="31">
        <v>50.3</v>
      </c>
      <c r="I221" s="31">
        <v>399</v>
      </c>
      <c r="J221" s="32" t="s">
        <v>91</v>
      </c>
      <c r="K221" s="12" t="s">
        <v>628</v>
      </c>
      <c r="L221" s="12">
        <v>50</v>
      </c>
      <c r="M221" s="12" t="s">
        <v>624</v>
      </c>
      <c r="N221" s="12" t="s">
        <v>22</v>
      </c>
      <c r="O221" s="12" t="s">
        <v>44</v>
      </c>
      <c r="P221" s="12" t="s">
        <v>82</v>
      </c>
      <c r="Q221" s="11" t="s">
        <v>81</v>
      </c>
      <c r="R221" s="12">
        <v>50</v>
      </c>
      <c r="S221" s="12" t="s">
        <v>63</v>
      </c>
      <c r="T221" s="12" t="s">
        <v>15</v>
      </c>
      <c r="U221" s="20">
        <v>600</v>
      </c>
      <c r="V221" s="12" t="s">
        <v>62</v>
      </c>
      <c r="W221" s="11" t="s">
        <v>25</v>
      </c>
      <c r="X221" s="11" t="s">
        <v>25</v>
      </c>
      <c r="Y221" s="12"/>
    </row>
    <row r="222" spans="1:25" s="16" customFormat="1" ht="24.75" customHeight="1" x14ac:dyDescent="0.3">
      <c r="A222" s="11">
        <v>216</v>
      </c>
      <c r="B222" s="11" t="s">
        <v>257</v>
      </c>
      <c r="C222" s="11" t="s">
        <v>251</v>
      </c>
      <c r="D222" s="11" t="s">
        <v>7</v>
      </c>
      <c r="E222" s="11" t="s">
        <v>399</v>
      </c>
      <c r="F222" s="27" t="s">
        <v>592</v>
      </c>
      <c r="G222" s="12" t="s">
        <v>156</v>
      </c>
      <c r="H222" s="31" t="s">
        <v>93</v>
      </c>
      <c r="I222" s="31" t="s">
        <v>25</v>
      </c>
      <c r="J222" s="32" t="s">
        <v>91</v>
      </c>
      <c r="K222" s="12" t="s">
        <v>77</v>
      </c>
      <c r="L222" s="12">
        <v>450</v>
      </c>
      <c r="M222" s="12" t="s">
        <v>619</v>
      </c>
      <c r="N222" s="12" t="s">
        <v>178</v>
      </c>
      <c r="O222" s="12" t="s">
        <v>38</v>
      </c>
      <c r="P222" s="12" t="s">
        <v>83</v>
      </c>
      <c r="Q222" s="11" t="s">
        <v>81</v>
      </c>
      <c r="R222" s="12">
        <v>450</v>
      </c>
      <c r="S222" s="20" t="s">
        <v>78</v>
      </c>
      <c r="T222" s="20" t="s">
        <v>78</v>
      </c>
      <c r="U222" s="20">
        <v>150</v>
      </c>
      <c r="V222" s="12" t="s">
        <v>567</v>
      </c>
      <c r="W222" s="11" t="s">
        <v>25</v>
      </c>
      <c r="X222" s="11" t="s">
        <v>25</v>
      </c>
      <c r="Y222" s="12"/>
    </row>
    <row r="223" spans="1:25" s="16" customFormat="1" ht="24.75" customHeight="1" x14ac:dyDescent="0.3">
      <c r="A223" s="11">
        <v>217</v>
      </c>
      <c r="B223" s="11" t="s">
        <v>257</v>
      </c>
      <c r="C223" s="11" t="s">
        <v>251</v>
      </c>
      <c r="D223" s="11" t="s">
        <v>7</v>
      </c>
      <c r="E223" s="11" t="s">
        <v>400</v>
      </c>
      <c r="F223" s="27" t="s">
        <v>593</v>
      </c>
      <c r="G223" s="12" t="s">
        <v>156</v>
      </c>
      <c r="H223" s="31" t="s">
        <v>93</v>
      </c>
      <c r="I223" s="31" t="s">
        <v>25</v>
      </c>
      <c r="J223" s="32" t="s">
        <v>91</v>
      </c>
      <c r="K223" s="12" t="s">
        <v>77</v>
      </c>
      <c r="L223" s="12">
        <v>450</v>
      </c>
      <c r="M223" s="12" t="s">
        <v>619</v>
      </c>
      <c r="N223" s="12" t="s">
        <v>178</v>
      </c>
      <c r="O223" s="12" t="s">
        <v>38</v>
      </c>
      <c r="P223" s="12" t="s">
        <v>83</v>
      </c>
      <c r="Q223" s="11" t="s">
        <v>81</v>
      </c>
      <c r="R223" s="12">
        <v>450</v>
      </c>
      <c r="S223" s="20" t="s">
        <v>78</v>
      </c>
      <c r="T223" s="20" t="s">
        <v>78</v>
      </c>
      <c r="U223" s="20">
        <v>150</v>
      </c>
      <c r="V223" s="12" t="s">
        <v>567</v>
      </c>
      <c r="W223" s="11" t="s">
        <v>25</v>
      </c>
      <c r="X223" s="11" t="s">
        <v>25</v>
      </c>
      <c r="Y223" s="12"/>
    </row>
    <row r="224" spans="1:25" s="16" customFormat="1" ht="24.75" customHeight="1" x14ac:dyDescent="0.3">
      <c r="A224" s="11">
        <v>218</v>
      </c>
      <c r="B224" s="11" t="s">
        <v>258</v>
      </c>
      <c r="C224" s="11" t="s">
        <v>48</v>
      </c>
      <c r="D224" s="11" t="s">
        <v>7</v>
      </c>
      <c r="E224" s="11" t="s">
        <v>509</v>
      </c>
      <c r="F224" s="27" t="s">
        <v>594</v>
      </c>
      <c r="G224" s="12" t="s">
        <v>156</v>
      </c>
      <c r="H224" s="31">
        <v>2</v>
      </c>
      <c r="I224" s="31">
        <v>55</v>
      </c>
      <c r="J224" s="32" t="s">
        <v>91</v>
      </c>
      <c r="K224" s="12" t="s">
        <v>632</v>
      </c>
      <c r="L224" s="12">
        <v>200</v>
      </c>
      <c r="M224" s="12" t="s">
        <v>619</v>
      </c>
      <c r="N224" s="12" t="s">
        <v>178</v>
      </c>
      <c r="O224" s="12" t="s">
        <v>38</v>
      </c>
      <c r="P224" s="12" t="s">
        <v>83</v>
      </c>
      <c r="Q224" s="11" t="s">
        <v>81</v>
      </c>
      <c r="R224" s="12">
        <v>200</v>
      </c>
      <c r="S224" s="12" t="s">
        <v>78</v>
      </c>
      <c r="T224" s="12" t="s">
        <v>78</v>
      </c>
      <c r="U224" s="20">
        <v>150</v>
      </c>
      <c r="V224" s="12" t="s">
        <v>567</v>
      </c>
      <c r="W224" s="11" t="s">
        <v>25</v>
      </c>
      <c r="X224" s="11" t="s">
        <v>25</v>
      </c>
      <c r="Y224" s="12"/>
    </row>
    <row r="225" spans="1:25" s="16" customFormat="1" ht="24.75" customHeight="1" x14ac:dyDescent="0.3">
      <c r="A225" s="11">
        <v>219</v>
      </c>
      <c r="B225" s="11" t="s">
        <v>258</v>
      </c>
      <c r="C225" s="11" t="s">
        <v>48</v>
      </c>
      <c r="D225" s="11" t="s">
        <v>7</v>
      </c>
      <c r="E225" s="11" t="s">
        <v>510</v>
      </c>
      <c r="F225" s="27" t="s">
        <v>595</v>
      </c>
      <c r="G225" s="12" t="s">
        <v>156</v>
      </c>
      <c r="H225" s="31">
        <v>2</v>
      </c>
      <c r="I225" s="31">
        <v>55</v>
      </c>
      <c r="J225" s="32" t="s">
        <v>91</v>
      </c>
      <c r="K225" s="12" t="s">
        <v>632</v>
      </c>
      <c r="L225" s="12">
        <v>200</v>
      </c>
      <c r="M225" s="12" t="s">
        <v>619</v>
      </c>
      <c r="N225" s="12" t="s">
        <v>178</v>
      </c>
      <c r="O225" s="12" t="s">
        <v>38</v>
      </c>
      <c r="P225" s="12" t="s">
        <v>83</v>
      </c>
      <c r="Q225" s="11" t="s">
        <v>81</v>
      </c>
      <c r="R225" s="12">
        <v>200</v>
      </c>
      <c r="S225" s="12" t="s">
        <v>78</v>
      </c>
      <c r="T225" s="12" t="s">
        <v>78</v>
      </c>
      <c r="U225" s="20">
        <v>150</v>
      </c>
      <c r="V225" s="12" t="s">
        <v>567</v>
      </c>
      <c r="W225" s="11" t="s">
        <v>25</v>
      </c>
      <c r="X225" s="11" t="s">
        <v>25</v>
      </c>
      <c r="Y225" s="12"/>
    </row>
    <row r="226" spans="1:25" s="16" customFormat="1" ht="24.75" customHeight="1" x14ac:dyDescent="0.3">
      <c r="A226" s="11">
        <v>220</v>
      </c>
      <c r="B226" s="11" t="s">
        <v>367</v>
      </c>
      <c r="C226" s="11" t="s">
        <v>259</v>
      </c>
      <c r="D226" s="11" t="s">
        <v>17</v>
      </c>
      <c r="E226" s="11" t="s">
        <v>260</v>
      </c>
      <c r="F226" s="27" t="s">
        <v>602</v>
      </c>
      <c r="G226" s="12" t="s">
        <v>156</v>
      </c>
      <c r="H226" s="31" t="s">
        <v>100</v>
      </c>
      <c r="I226" s="31" t="s">
        <v>100</v>
      </c>
      <c r="J226" s="32" t="s">
        <v>91</v>
      </c>
      <c r="K226" s="12" t="s">
        <v>625</v>
      </c>
      <c r="L226" s="12">
        <v>100</v>
      </c>
      <c r="M226" s="12" t="s">
        <v>619</v>
      </c>
      <c r="N226" s="12" t="s">
        <v>22</v>
      </c>
      <c r="O226" s="12" t="s">
        <v>0</v>
      </c>
      <c r="P226" s="12" t="s">
        <v>84</v>
      </c>
      <c r="Q226" s="11" t="s">
        <v>81</v>
      </c>
      <c r="R226" s="12">
        <v>100</v>
      </c>
      <c r="S226" s="12" t="s">
        <v>78</v>
      </c>
      <c r="T226" s="12" t="s">
        <v>87</v>
      </c>
      <c r="U226" s="20">
        <v>150</v>
      </c>
      <c r="V226" s="12" t="s">
        <v>10</v>
      </c>
      <c r="W226" s="11" t="s">
        <v>25</v>
      </c>
      <c r="X226" s="11" t="s">
        <v>25</v>
      </c>
      <c r="Y226" s="12"/>
    </row>
    <row r="227" spans="1:25" s="16" customFormat="1" ht="24.75" customHeight="1" x14ac:dyDescent="0.3">
      <c r="A227" s="11">
        <v>221</v>
      </c>
      <c r="B227" s="11" t="s">
        <v>367</v>
      </c>
      <c r="C227" s="11" t="s">
        <v>259</v>
      </c>
      <c r="D227" s="11" t="s">
        <v>19</v>
      </c>
      <c r="E227" s="11" t="s">
        <v>659</v>
      </c>
      <c r="F227" s="27" t="s">
        <v>661</v>
      </c>
      <c r="G227" s="12" t="s">
        <v>156</v>
      </c>
      <c r="H227" s="31" t="s">
        <v>93</v>
      </c>
      <c r="I227" s="33" t="s">
        <v>25</v>
      </c>
      <c r="J227" s="33" t="s">
        <v>25</v>
      </c>
      <c r="K227" s="33" t="s">
        <v>625</v>
      </c>
      <c r="L227" s="32" t="s">
        <v>25</v>
      </c>
      <c r="M227" s="32" t="s">
        <v>619</v>
      </c>
      <c r="N227" s="12" t="s">
        <v>20</v>
      </c>
      <c r="O227" s="12" t="s">
        <v>86</v>
      </c>
      <c r="P227" s="12" t="s">
        <v>80</v>
      </c>
      <c r="Q227" s="12" t="s">
        <v>80</v>
      </c>
      <c r="R227" s="12" t="s">
        <v>25</v>
      </c>
      <c r="S227" s="33" t="s">
        <v>633</v>
      </c>
      <c r="T227" s="12" t="s">
        <v>663</v>
      </c>
      <c r="U227" s="12">
        <v>600</v>
      </c>
      <c r="V227" s="12" t="s">
        <v>568</v>
      </c>
      <c r="W227" s="11" t="s">
        <v>25</v>
      </c>
      <c r="X227" s="11" t="s">
        <v>25</v>
      </c>
      <c r="Y227" s="15"/>
    </row>
    <row r="228" spans="1:25" s="16" customFormat="1" ht="24.75" customHeight="1" x14ac:dyDescent="0.3">
      <c r="A228" s="11">
        <v>222</v>
      </c>
      <c r="B228" s="11" t="s">
        <v>367</v>
      </c>
      <c r="C228" s="11" t="s">
        <v>259</v>
      </c>
      <c r="D228" s="11" t="s">
        <v>26</v>
      </c>
      <c r="E228" s="11" t="s">
        <v>660</v>
      </c>
      <c r="F228" s="27" t="s">
        <v>662</v>
      </c>
      <c r="G228" s="12" t="s">
        <v>156</v>
      </c>
      <c r="H228" s="31" t="s">
        <v>93</v>
      </c>
      <c r="I228" s="33" t="s">
        <v>25</v>
      </c>
      <c r="J228" s="33" t="s">
        <v>25</v>
      </c>
      <c r="K228" s="33" t="s">
        <v>93</v>
      </c>
      <c r="L228" s="12">
        <v>150</v>
      </c>
      <c r="M228" s="33" t="s">
        <v>619</v>
      </c>
      <c r="N228" s="12" t="s">
        <v>61</v>
      </c>
      <c r="O228" s="12" t="s">
        <v>0</v>
      </c>
      <c r="P228" s="12" t="s">
        <v>80</v>
      </c>
      <c r="Q228" s="12" t="s">
        <v>80</v>
      </c>
      <c r="R228" s="12">
        <v>150</v>
      </c>
      <c r="S228" s="14" t="s">
        <v>78</v>
      </c>
      <c r="T228" s="12" t="s">
        <v>663</v>
      </c>
      <c r="U228" s="12">
        <v>150</v>
      </c>
      <c r="V228" s="12" t="s">
        <v>10</v>
      </c>
      <c r="W228" s="11" t="s">
        <v>25</v>
      </c>
      <c r="X228" s="11" t="s">
        <v>25</v>
      </c>
      <c r="Y228" s="12"/>
    </row>
    <row r="229" spans="1:25" s="16" customFormat="1" ht="24.75" customHeight="1" x14ac:dyDescent="0.3">
      <c r="A229" s="11">
        <v>223</v>
      </c>
      <c r="B229" s="11" t="s">
        <v>378</v>
      </c>
      <c r="C229" s="11" t="s">
        <v>250</v>
      </c>
      <c r="D229" s="11" t="s">
        <v>12</v>
      </c>
      <c r="E229" s="11" t="s">
        <v>377</v>
      </c>
      <c r="F229" s="27" t="s">
        <v>597</v>
      </c>
      <c r="G229" s="11" t="s">
        <v>166</v>
      </c>
      <c r="H229" s="31" t="s">
        <v>93</v>
      </c>
      <c r="I229" s="31" t="s">
        <v>25</v>
      </c>
      <c r="J229" s="32" t="s">
        <v>91</v>
      </c>
      <c r="K229" s="12" t="s">
        <v>516</v>
      </c>
      <c r="L229" s="12">
        <v>80</v>
      </c>
      <c r="M229" s="12" t="s">
        <v>25</v>
      </c>
      <c r="N229" s="12" t="s">
        <v>179</v>
      </c>
      <c r="O229" s="12" t="s">
        <v>8</v>
      </c>
      <c r="P229" s="12" t="s">
        <v>82</v>
      </c>
      <c r="Q229" s="11" t="s">
        <v>81</v>
      </c>
      <c r="R229" s="12">
        <v>80</v>
      </c>
      <c r="S229" s="12" t="s">
        <v>25</v>
      </c>
      <c r="T229" s="12" t="s">
        <v>25</v>
      </c>
      <c r="U229" s="12" t="s">
        <v>25</v>
      </c>
      <c r="V229" s="12" t="s">
        <v>25</v>
      </c>
      <c r="W229" s="11" t="s">
        <v>25</v>
      </c>
      <c r="X229" s="11" t="s">
        <v>25</v>
      </c>
      <c r="Y229" s="12"/>
    </row>
  </sheetData>
  <autoFilter ref="A6:Y229" xr:uid="{00000000-0009-0000-0000-000000000000}"/>
  <mergeCells count="16">
    <mergeCell ref="Y5:Y6"/>
    <mergeCell ref="H5:I5"/>
    <mergeCell ref="X5:X6"/>
    <mergeCell ref="W5:W6"/>
    <mergeCell ref="L5:L6"/>
    <mergeCell ref="M5:M6"/>
    <mergeCell ref="N5:V5"/>
    <mergeCell ref="J5:J6"/>
    <mergeCell ref="K5:K6"/>
    <mergeCell ref="D5:D6"/>
    <mergeCell ref="E5:E6"/>
    <mergeCell ref="F5:F6"/>
    <mergeCell ref="G5:G6"/>
    <mergeCell ref="A5:A6"/>
    <mergeCell ref="B5:B6"/>
    <mergeCell ref="C5:C6"/>
  </mergeCells>
  <phoneticPr fontId="1" type="noConversion"/>
  <pageMargins left="0.7" right="0.7" top="0.75" bottom="0.75" header="0.3" footer="0.3"/>
  <pageSetup paperSize="9" scale="33" fitToHeight="0" orientation="landscape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B1:BJ48"/>
  <sheetViews>
    <sheetView tabSelected="1" view="pageBreakPreview" zoomScaleNormal="70" zoomScaleSheetLayoutView="100" zoomScalePageLayoutView="55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G17" sqref="G17"/>
    </sheetView>
  </sheetViews>
  <sheetFormatPr defaultColWidth="8.75" defaultRowHeight="12" x14ac:dyDescent="0.3"/>
  <cols>
    <col min="1" max="1" width="2.75" style="6" customWidth="1"/>
    <col min="2" max="2" width="8.75" style="6" customWidth="1"/>
    <col min="3" max="4" width="5.25" style="4" customWidth="1"/>
    <col min="5" max="5" width="8.125" style="4" customWidth="1"/>
    <col min="6" max="6" width="20.25" style="4" hidden="1" customWidth="1"/>
    <col min="7" max="7" width="27.75" style="4" customWidth="1"/>
    <col min="8" max="8" width="9.5" style="4" customWidth="1"/>
    <col min="9" max="9" width="14.25" style="4" customWidth="1"/>
    <col min="10" max="10" width="51.25" style="219" customWidth="1"/>
    <col min="11" max="11" width="13.375" style="5" customWidth="1"/>
    <col min="12" max="15" width="13.25" style="4" customWidth="1"/>
    <col min="16" max="19" width="13.25" style="221" customWidth="1"/>
    <col min="20" max="20" width="19.375" style="221" customWidth="1"/>
    <col min="21" max="21" width="14.375" style="221" customWidth="1"/>
    <col min="22" max="22" width="9.75" style="221" customWidth="1"/>
    <col min="23" max="23" width="9.125" style="221" customWidth="1"/>
    <col min="24" max="24" width="17.25" style="221" customWidth="1"/>
    <col min="25" max="25" width="10.75" style="221" customWidth="1"/>
    <col min="26" max="26" width="21.875" style="5" customWidth="1"/>
    <col min="27" max="27" width="17.5" style="4" customWidth="1"/>
    <col min="28" max="28" width="19" style="4" customWidth="1"/>
    <col min="29" max="30" width="8.75" style="4" customWidth="1"/>
    <col min="31" max="31" width="9.125" style="4" customWidth="1"/>
    <col min="32" max="32" width="16.375" style="4" customWidth="1"/>
    <col min="33" max="33" width="14" style="4" customWidth="1"/>
    <col min="34" max="34" width="10.875" style="4" customWidth="1"/>
    <col min="35" max="36" width="8.75" style="4" customWidth="1"/>
    <col min="37" max="37" width="18.125" style="4" customWidth="1"/>
    <col min="38" max="38" width="8.75" style="4" customWidth="1"/>
    <col min="39" max="43" width="10.625" style="4" customWidth="1"/>
    <col min="44" max="44" width="11.25" style="4" customWidth="1"/>
    <col min="45" max="45" width="8.5" style="4" customWidth="1"/>
    <col min="46" max="48" width="8.75" style="6"/>
    <col min="49" max="49" width="8.875" style="6" customWidth="1"/>
    <col min="50" max="16384" width="8.75" style="6"/>
  </cols>
  <sheetData>
    <row r="1" spans="2:62" s="25" customFormat="1" ht="20.100000000000001" customHeight="1" x14ac:dyDescent="0.3">
      <c r="C1" s="1"/>
      <c r="D1" s="1"/>
      <c r="E1" s="7"/>
      <c r="F1" s="8"/>
      <c r="G1" s="8"/>
      <c r="H1" s="21"/>
      <c r="I1" s="21"/>
      <c r="J1" s="218"/>
      <c r="K1" s="9"/>
      <c r="L1" s="8"/>
      <c r="M1" s="8"/>
      <c r="N1" s="8"/>
      <c r="O1" s="8"/>
      <c r="P1" s="8"/>
      <c r="Q1" s="8"/>
      <c r="R1" s="8"/>
      <c r="S1" s="8"/>
      <c r="T1" s="8"/>
      <c r="U1" s="8"/>
      <c r="V1" s="7"/>
      <c r="W1" s="7"/>
      <c r="X1" s="7"/>
      <c r="Y1" s="8"/>
      <c r="Z1" s="9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24"/>
      <c r="AP1" s="24"/>
      <c r="AQ1" s="24"/>
      <c r="AR1" s="24"/>
      <c r="AS1" s="7"/>
    </row>
    <row r="2" spans="2:62" s="10" customFormat="1" ht="24.75" customHeight="1" x14ac:dyDescent="0.3">
      <c r="C2" s="249" t="s">
        <v>110</v>
      </c>
      <c r="D2" s="249" t="s">
        <v>1636</v>
      </c>
      <c r="E2" s="249" t="s">
        <v>104</v>
      </c>
      <c r="F2" s="249" t="s">
        <v>1609</v>
      </c>
      <c r="G2" s="249" t="s">
        <v>105</v>
      </c>
      <c r="H2" s="249" t="s">
        <v>106</v>
      </c>
      <c r="I2" s="249" t="s">
        <v>1491</v>
      </c>
      <c r="J2" s="260" t="s">
        <v>520</v>
      </c>
      <c r="K2" s="249" t="s">
        <v>107</v>
      </c>
      <c r="L2" s="249" t="s">
        <v>1616</v>
      </c>
      <c r="M2" s="249"/>
      <c r="N2" s="249"/>
      <c r="O2" s="249" t="s">
        <v>1316</v>
      </c>
      <c r="P2" s="249"/>
      <c r="Q2" s="249"/>
      <c r="R2" s="249"/>
      <c r="S2" s="249"/>
      <c r="T2" s="249"/>
      <c r="U2" s="249"/>
      <c r="V2" s="260" t="s">
        <v>113</v>
      </c>
      <c r="W2" s="260" t="s">
        <v>114</v>
      </c>
      <c r="X2" s="260" t="s">
        <v>115</v>
      </c>
      <c r="Y2" s="260" t="s">
        <v>1612</v>
      </c>
      <c r="Z2" s="249" t="s">
        <v>117</v>
      </c>
      <c r="AA2" s="249"/>
      <c r="AB2" s="249"/>
      <c r="AC2" s="249"/>
      <c r="AD2" s="249"/>
      <c r="AE2" s="249"/>
      <c r="AF2" s="249"/>
      <c r="AG2" s="249"/>
      <c r="AH2" s="249"/>
      <c r="AI2" s="249"/>
      <c r="AJ2" s="249"/>
      <c r="AK2" s="249"/>
      <c r="AL2" s="249"/>
      <c r="AM2" s="249" t="s">
        <v>118</v>
      </c>
      <c r="AN2" s="249"/>
      <c r="AO2" s="249" t="s">
        <v>119</v>
      </c>
      <c r="AP2" s="249"/>
      <c r="AQ2" s="249"/>
      <c r="AR2" s="260" t="s">
        <v>120</v>
      </c>
      <c r="AS2" s="259" t="s">
        <v>1305</v>
      </c>
      <c r="AT2" s="252" t="s">
        <v>1619</v>
      </c>
      <c r="AU2" s="254" t="s">
        <v>1620</v>
      </c>
      <c r="AV2" s="255"/>
      <c r="AW2" s="255"/>
      <c r="AX2" s="255"/>
      <c r="AY2" s="255"/>
      <c r="AZ2" s="255"/>
      <c r="BA2" s="256" t="s">
        <v>1621</v>
      </c>
      <c r="BB2" s="257"/>
      <c r="BC2" s="258"/>
      <c r="BD2" s="256" t="s">
        <v>1622</v>
      </c>
      <c r="BE2" s="257"/>
      <c r="BF2" s="257"/>
      <c r="BG2" s="258"/>
      <c r="BH2" s="249" t="s">
        <v>1623</v>
      </c>
      <c r="BI2" s="249"/>
      <c r="BJ2" s="249"/>
    </row>
    <row r="3" spans="2:62" s="10" customFormat="1" ht="24.75" customHeight="1" x14ac:dyDescent="0.3">
      <c r="C3" s="251"/>
      <c r="D3" s="251"/>
      <c r="E3" s="251"/>
      <c r="F3" s="251"/>
      <c r="G3" s="251"/>
      <c r="H3" s="251"/>
      <c r="I3" s="251"/>
      <c r="J3" s="252"/>
      <c r="K3" s="251"/>
      <c r="L3" s="222" t="s">
        <v>1673</v>
      </c>
      <c r="M3" s="222" t="s">
        <v>1300</v>
      </c>
      <c r="N3" s="222" t="s">
        <v>252</v>
      </c>
      <c r="O3" s="222" t="s">
        <v>1673</v>
      </c>
      <c r="P3" s="222" t="s">
        <v>1300</v>
      </c>
      <c r="Q3" s="222" t="s">
        <v>252</v>
      </c>
      <c r="R3" s="222" t="s">
        <v>1672</v>
      </c>
      <c r="S3" s="222" t="s">
        <v>1671</v>
      </c>
      <c r="T3" s="230" t="s">
        <v>1674</v>
      </c>
      <c r="U3" s="230" t="s">
        <v>1683</v>
      </c>
      <c r="V3" s="252"/>
      <c r="W3" s="252"/>
      <c r="X3" s="252"/>
      <c r="Y3" s="252"/>
      <c r="Z3" s="222" t="s">
        <v>109</v>
      </c>
      <c r="AA3" s="222" t="s">
        <v>560</v>
      </c>
      <c r="AB3" s="222" t="s">
        <v>1608</v>
      </c>
      <c r="AC3" s="222" t="s">
        <v>124</v>
      </c>
      <c r="AD3" s="222" t="s">
        <v>1490</v>
      </c>
      <c r="AE3" s="222" t="s">
        <v>126</v>
      </c>
      <c r="AF3" s="222" t="s">
        <v>1306</v>
      </c>
      <c r="AG3" s="222" t="s">
        <v>1607</v>
      </c>
      <c r="AH3" s="222" t="s">
        <v>1614</v>
      </c>
      <c r="AI3" s="222" t="s">
        <v>1615</v>
      </c>
      <c r="AJ3" s="222" t="s">
        <v>657</v>
      </c>
      <c r="AK3" s="223" t="s">
        <v>1610</v>
      </c>
      <c r="AL3" s="222" t="s">
        <v>561</v>
      </c>
      <c r="AM3" s="223" t="s">
        <v>131</v>
      </c>
      <c r="AN3" s="223" t="s">
        <v>132</v>
      </c>
      <c r="AO3" s="223" t="s">
        <v>131</v>
      </c>
      <c r="AP3" s="239" t="s">
        <v>132</v>
      </c>
      <c r="AQ3" s="223" t="s">
        <v>1684</v>
      </c>
      <c r="AR3" s="252"/>
      <c r="AS3" s="252"/>
      <c r="AT3" s="253"/>
      <c r="AU3" s="222" t="s">
        <v>1624</v>
      </c>
      <c r="AV3" s="222" t="s">
        <v>1625</v>
      </c>
      <c r="AW3" s="222" t="s">
        <v>1626</v>
      </c>
      <c r="AX3" s="224" t="s">
        <v>1627</v>
      </c>
      <c r="AY3" s="224" t="s">
        <v>1628</v>
      </c>
      <c r="AZ3" s="222" t="s">
        <v>1629</v>
      </c>
      <c r="BA3" s="222" t="s">
        <v>1630</v>
      </c>
      <c r="BB3" s="222" t="s">
        <v>1631</v>
      </c>
      <c r="BC3" s="222" t="s">
        <v>1632</v>
      </c>
      <c r="BD3" s="223" t="s">
        <v>131</v>
      </c>
      <c r="BE3" s="223" t="s">
        <v>132</v>
      </c>
      <c r="BF3" s="222" t="s">
        <v>1633</v>
      </c>
      <c r="BG3" s="222" t="s">
        <v>1634</v>
      </c>
      <c r="BH3" s="223" t="s">
        <v>131</v>
      </c>
      <c r="BI3" s="223" t="s">
        <v>132</v>
      </c>
      <c r="BJ3" s="223" t="s">
        <v>1635</v>
      </c>
    </row>
    <row r="4" spans="2:62" s="221" customFormat="1" ht="22.9" customHeight="1" x14ac:dyDescent="0.3">
      <c r="B4" s="261" t="s">
        <v>1637</v>
      </c>
      <c r="C4" s="227">
        <v>5</v>
      </c>
      <c r="D4" s="225"/>
      <c r="E4" s="226"/>
      <c r="F4" s="231" t="s">
        <v>1640</v>
      </c>
      <c r="G4" s="231" t="s">
        <v>47</v>
      </c>
      <c r="H4" s="231" t="s">
        <v>41</v>
      </c>
      <c r="I4" s="231" t="s">
        <v>1644</v>
      </c>
      <c r="J4" s="233" t="s">
        <v>1652</v>
      </c>
      <c r="K4" s="231" t="s">
        <v>1660</v>
      </c>
      <c r="L4" s="231">
        <v>1850</v>
      </c>
      <c r="M4" s="234">
        <v>6</v>
      </c>
      <c r="N4" s="234">
        <v>48.8</v>
      </c>
      <c r="O4" s="231">
        <v>1850</v>
      </c>
      <c r="P4" s="237" t="s">
        <v>1662</v>
      </c>
      <c r="Q4" s="234" t="s">
        <v>1663</v>
      </c>
      <c r="R4" s="237">
        <v>0.98880000000000001</v>
      </c>
      <c r="S4" s="237">
        <v>0.5</v>
      </c>
      <c r="T4" s="234">
        <v>0.1163</v>
      </c>
      <c r="U4" s="237" t="s">
        <v>1662</v>
      </c>
      <c r="V4" s="232" t="s">
        <v>1141</v>
      </c>
      <c r="W4" s="232" t="s">
        <v>1666</v>
      </c>
      <c r="X4" s="232" t="s">
        <v>1136</v>
      </c>
      <c r="Y4" s="232" t="s">
        <v>635</v>
      </c>
      <c r="Z4" s="232" t="s">
        <v>1618</v>
      </c>
      <c r="AA4" s="232" t="s">
        <v>1667</v>
      </c>
      <c r="AB4" s="232" t="s">
        <v>92</v>
      </c>
      <c r="AC4" s="232" t="s">
        <v>1682</v>
      </c>
      <c r="AD4" s="232" t="s">
        <v>1606</v>
      </c>
      <c r="AE4" s="232" t="s">
        <v>1666</v>
      </c>
      <c r="AF4" s="232" t="s">
        <v>14</v>
      </c>
      <c r="AG4" s="232" t="s">
        <v>951</v>
      </c>
      <c r="AH4" s="232"/>
      <c r="AI4" s="232">
        <v>150</v>
      </c>
      <c r="AJ4" s="232" t="s">
        <v>567</v>
      </c>
      <c r="AK4" s="232" t="s">
        <v>1685</v>
      </c>
      <c r="AL4" s="232" t="s">
        <v>1611</v>
      </c>
      <c r="AM4" s="232"/>
      <c r="AN4" s="232"/>
      <c r="AO4" s="231"/>
      <c r="AP4" s="231"/>
      <c r="AQ4" s="231" t="s">
        <v>1686</v>
      </c>
      <c r="AR4" s="232" t="s">
        <v>91</v>
      </c>
      <c r="AS4" s="232" t="s">
        <v>814</v>
      </c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6"/>
    </row>
    <row r="5" spans="2:62" s="221" customFormat="1" ht="22.9" customHeight="1" x14ac:dyDescent="0.3">
      <c r="B5" s="261"/>
      <c r="C5" s="227">
        <v>6</v>
      </c>
      <c r="D5" s="225"/>
      <c r="E5" s="226"/>
      <c r="F5" s="231" t="s">
        <v>1640</v>
      </c>
      <c r="G5" s="231" t="s">
        <v>47</v>
      </c>
      <c r="H5" s="231" t="s">
        <v>41</v>
      </c>
      <c r="I5" s="231" t="s">
        <v>1645</v>
      </c>
      <c r="J5" s="233" t="s">
        <v>1653</v>
      </c>
      <c r="K5" s="231" t="s">
        <v>1660</v>
      </c>
      <c r="L5" s="231">
        <v>1850</v>
      </c>
      <c r="M5" s="234">
        <v>6</v>
      </c>
      <c r="N5" s="234">
        <v>48.8</v>
      </c>
      <c r="O5" s="231">
        <v>1850</v>
      </c>
      <c r="P5" s="237" t="s">
        <v>1662</v>
      </c>
      <c r="Q5" s="234" t="s">
        <v>1663</v>
      </c>
      <c r="R5" s="237">
        <v>0.98880000000000001</v>
      </c>
      <c r="S5" s="237">
        <v>0.5</v>
      </c>
      <c r="T5" s="234">
        <v>0.1163</v>
      </c>
      <c r="U5" s="237" t="s">
        <v>1662</v>
      </c>
      <c r="V5" s="232" t="s">
        <v>1141</v>
      </c>
      <c r="W5" s="232" t="s">
        <v>1666</v>
      </c>
      <c r="X5" s="232" t="s">
        <v>1136</v>
      </c>
      <c r="Y5" s="232" t="s">
        <v>635</v>
      </c>
      <c r="Z5" s="232" t="s">
        <v>1618</v>
      </c>
      <c r="AA5" s="232" t="s">
        <v>1667</v>
      </c>
      <c r="AB5" s="232" t="s">
        <v>92</v>
      </c>
      <c r="AC5" s="232" t="s">
        <v>1682</v>
      </c>
      <c r="AD5" s="232" t="s">
        <v>1606</v>
      </c>
      <c r="AE5" s="232" t="s">
        <v>1666</v>
      </c>
      <c r="AF5" s="232" t="s">
        <v>14</v>
      </c>
      <c r="AG5" s="232" t="s">
        <v>951</v>
      </c>
      <c r="AH5" s="232"/>
      <c r="AI5" s="232">
        <v>150</v>
      </c>
      <c r="AJ5" s="232" t="s">
        <v>567</v>
      </c>
      <c r="AK5" s="232" t="s">
        <v>1685</v>
      </c>
      <c r="AL5" s="232" t="s">
        <v>1611</v>
      </c>
      <c r="AM5" s="232"/>
      <c r="AN5" s="232"/>
      <c r="AO5" s="231"/>
      <c r="AP5" s="231"/>
      <c r="AQ5" s="231" t="s">
        <v>1686</v>
      </c>
      <c r="AR5" s="232" t="s">
        <v>91</v>
      </c>
      <c r="AS5" s="232" t="s">
        <v>814</v>
      </c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6"/>
    </row>
    <row r="6" spans="2:62" s="221" customFormat="1" ht="22.9" customHeight="1" x14ac:dyDescent="0.3">
      <c r="B6" s="261"/>
      <c r="C6" s="227">
        <v>7</v>
      </c>
      <c r="D6" s="225"/>
      <c r="E6" s="226"/>
      <c r="F6" s="231" t="s">
        <v>1641</v>
      </c>
      <c r="G6" s="231" t="s">
        <v>47</v>
      </c>
      <c r="H6" s="231" t="s">
        <v>1613</v>
      </c>
      <c r="I6" s="231" t="s">
        <v>1646</v>
      </c>
      <c r="J6" s="233" t="s">
        <v>1654</v>
      </c>
      <c r="K6" s="231" t="s">
        <v>1660</v>
      </c>
      <c r="L6" s="231">
        <v>925</v>
      </c>
      <c r="M6" s="234">
        <v>6</v>
      </c>
      <c r="N6" s="234">
        <v>48.8</v>
      </c>
      <c r="O6" s="231">
        <v>925</v>
      </c>
      <c r="P6" s="237" t="s">
        <v>1662</v>
      </c>
      <c r="Q6" s="234" t="s">
        <v>1663</v>
      </c>
      <c r="R6" s="237">
        <v>0.98880000000000001</v>
      </c>
      <c r="S6" s="237">
        <v>0.5</v>
      </c>
      <c r="T6" s="234">
        <v>0.1163</v>
      </c>
      <c r="U6" s="237" t="s">
        <v>1662</v>
      </c>
      <c r="V6" s="232" t="s">
        <v>1141</v>
      </c>
      <c r="W6" s="232" t="s">
        <v>1665</v>
      </c>
      <c r="X6" s="232" t="s">
        <v>1136</v>
      </c>
      <c r="Y6" s="232" t="s">
        <v>635</v>
      </c>
      <c r="Z6" s="232" t="s">
        <v>178</v>
      </c>
      <c r="AA6" s="232" t="s">
        <v>1667</v>
      </c>
      <c r="AB6" s="232" t="s">
        <v>92</v>
      </c>
      <c r="AC6" s="232" t="s">
        <v>1680</v>
      </c>
      <c r="AD6" s="231" t="s">
        <v>1606</v>
      </c>
      <c r="AE6" s="232" t="s">
        <v>1665</v>
      </c>
      <c r="AF6" s="232" t="s">
        <v>14</v>
      </c>
      <c r="AG6" s="232" t="s">
        <v>951</v>
      </c>
      <c r="AH6" s="232"/>
      <c r="AI6" s="232">
        <v>150</v>
      </c>
      <c r="AJ6" s="232" t="s">
        <v>567</v>
      </c>
      <c r="AK6" s="232" t="s">
        <v>1685</v>
      </c>
      <c r="AL6" s="232" t="s">
        <v>1611</v>
      </c>
      <c r="AM6" s="232"/>
      <c r="AN6" s="232"/>
      <c r="AO6" s="231"/>
      <c r="AP6" s="231"/>
      <c r="AQ6" s="231" t="s">
        <v>1686</v>
      </c>
      <c r="AR6" s="232" t="s">
        <v>91</v>
      </c>
      <c r="AS6" s="232" t="s">
        <v>814</v>
      </c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5"/>
      <c r="BJ6" s="236"/>
    </row>
    <row r="7" spans="2:62" s="221" customFormat="1" ht="22.9" customHeight="1" x14ac:dyDescent="0.3">
      <c r="B7" s="261"/>
      <c r="C7" s="227">
        <v>8</v>
      </c>
      <c r="D7" s="225"/>
      <c r="E7" s="226"/>
      <c r="F7" s="231" t="s">
        <v>1641</v>
      </c>
      <c r="G7" s="231" t="s">
        <v>47</v>
      </c>
      <c r="H7" s="231" t="s">
        <v>1613</v>
      </c>
      <c r="I7" s="231" t="s">
        <v>1647</v>
      </c>
      <c r="J7" s="233" t="s">
        <v>1655</v>
      </c>
      <c r="K7" s="231" t="s">
        <v>1660</v>
      </c>
      <c r="L7" s="231">
        <v>925</v>
      </c>
      <c r="M7" s="234">
        <v>6</v>
      </c>
      <c r="N7" s="234">
        <v>48.8</v>
      </c>
      <c r="O7" s="231">
        <v>925</v>
      </c>
      <c r="P7" s="237" t="s">
        <v>1662</v>
      </c>
      <c r="Q7" s="234" t="s">
        <v>1663</v>
      </c>
      <c r="R7" s="237">
        <v>0.98880000000000001</v>
      </c>
      <c r="S7" s="237">
        <v>0.5</v>
      </c>
      <c r="T7" s="234">
        <v>0.1163</v>
      </c>
      <c r="U7" s="237" t="s">
        <v>1662</v>
      </c>
      <c r="V7" s="232" t="s">
        <v>1141</v>
      </c>
      <c r="W7" s="232" t="s">
        <v>1665</v>
      </c>
      <c r="X7" s="232" t="s">
        <v>1136</v>
      </c>
      <c r="Y7" s="232" t="s">
        <v>635</v>
      </c>
      <c r="Z7" s="232" t="s">
        <v>178</v>
      </c>
      <c r="AA7" s="232" t="s">
        <v>1667</v>
      </c>
      <c r="AB7" s="232" t="s">
        <v>92</v>
      </c>
      <c r="AC7" s="232" t="s">
        <v>1680</v>
      </c>
      <c r="AD7" s="231" t="s">
        <v>1606</v>
      </c>
      <c r="AE7" s="232" t="s">
        <v>1665</v>
      </c>
      <c r="AF7" s="232" t="s">
        <v>14</v>
      </c>
      <c r="AG7" s="232" t="s">
        <v>951</v>
      </c>
      <c r="AH7" s="232"/>
      <c r="AI7" s="232">
        <v>150</v>
      </c>
      <c r="AJ7" s="232" t="s">
        <v>567</v>
      </c>
      <c r="AK7" s="232" t="s">
        <v>1685</v>
      </c>
      <c r="AL7" s="232" t="s">
        <v>1611</v>
      </c>
      <c r="AM7" s="232"/>
      <c r="AN7" s="232"/>
      <c r="AO7" s="231"/>
      <c r="AP7" s="231"/>
      <c r="AQ7" s="231" t="s">
        <v>1686</v>
      </c>
      <c r="AR7" s="232" t="s">
        <v>91</v>
      </c>
      <c r="AS7" s="232" t="s">
        <v>814</v>
      </c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5"/>
      <c r="BJ7" s="236"/>
    </row>
    <row r="8" spans="2:62" s="221" customFormat="1" ht="22.9" customHeight="1" x14ac:dyDescent="0.3">
      <c r="B8" s="261"/>
      <c r="C8" s="227">
        <v>9</v>
      </c>
      <c r="D8" s="225"/>
      <c r="E8" s="226"/>
      <c r="F8" s="231" t="s">
        <v>1642</v>
      </c>
      <c r="G8" s="231" t="s">
        <v>47</v>
      </c>
      <c r="H8" s="231" t="s">
        <v>1613</v>
      </c>
      <c r="I8" s="231" t="s">
        <v>1648</v>
      </c>
      <c r="J8" s="233" t="s">
        <v>1656</v>
      </c>
      <c r="K8" s="231" t="s">
        <v>1660</v>
      </c>
      <c r="L8" s="231">
        <v>925</v>
      </c>
      <c r="M8" s="234">
        <v>6</v>
      </c>
      <c r="N8" s="234">
        <v>48.8</v>
      </c>
      <c r="O8" s="231">
        <v>925</v>
      </c>
      <c r="P8" s="237" t="s">
        <v>1662</v>
      </c>
      <c r="Q8" s="234" t="s">
        <v>1663</v>
      </c>
      <c r="R8" s="237">
        <v>0.98880000000000001</v>
      </c>
      <c r="S8" s="237">
        <v>0.5</v>
      </c>
      <c r="T8" s="234">
        <v>0.1163</v>
      </c>
      <c r="U8" s="237" t="s">
        <v>1662</v>
      </c>
      <c r="V8" s="232" t="s">
        <v>1141</v>
      </c>
      <c r="W8" s="232" t="s">
        <v>1665</v>
      </c>
      <c r="X8" s="232" t="s">
        <v>1136</v>
      </c>
      <c r="Y8" s="232" t="s">
        <v>635</v>
      </c>
      <c r="Z8" s="232" t="s">
        <v>178</v>
      </c>
      <c r="AA8" s="232" t="s">
        <v>1667</v>
      </c>
      <c r="AB8" s="232" t="s">
        <v>92</v>
      </c>
      <c r="AC8" s="232" t="s">
        <v>1680</v>
      </c>
      <c r="AD8" s="231" t="s">
        <v>1606</v>
      </c>
      <c r="AE8" s="232" t="s">
        <v>1665</v>
      </c>
      <c r="AF8" s="232" t="s">
        <v>14</v>
      </c>
      <c r="AG8" s="232" t="s">
        <v>951</v>
      </c>
      <c r="AH8" s="232"/>
      <c r="AI8" s="232">
        <v>150</v>
      </c>
      <c r="AJ8" s="232" t="s">
        <v>567</v>
      </c>
      <c r="AK8" s="232" t="s">
        <v>1685</v>
      </c>
      <c r="AL8" s="232" t="s">
        <v>1611</v>
      </c>
      <c r="AM8" s="232"/>
      <c r="AN8" s="232"/>
      <c r="AO8" s="231"/>
      <c r="AP8" s="231"/>
      <c r="AQ8" s="231" t="s">
        <v>1686</v>
      </c>
      <c r="AR8" s="232" t="s">
        <v>91</v>
      </c>
      <c r="AS8" s="232" t="s">
        <v>814</v>
      </c>
      <c r="AT8" s="235"/>
      <c r="AU8" s="235"/>
      <c r="AV8" s="235"/>
      <c r="AW8" s="235"/>
      <c r="AX8" s="235"/>
      <c r="AY8" s="235"/>
      <c r="AZ8" s="235"/>
      <c r="BA8" s="235"/>
      <c r="BB8" s="235"/>
      <c r="BC8" s="235"/>
      <c r="BD8" s="235"/>
      <c r="BE8" s="235"/>
      <c r="BF8" s="235"/>
      <c r="BG8" s="235"/>
      <c r="BH8" s="235"/>
      <c r="BI8" s="235"/>
      <c r="BJ8" s="236"/>
    </row>
    <row r="9" spans="2:62" s="221" customFormat="1" ht="22.9" customHeight="1" x14ac:dyDescent="0.3">
      <c r="B9" s="261"/>
      <c r="C9" s="227">
        <v>10</v>
      </c>
      <c r="D9" s="225"/>
      <c r="E9" s="226"/>
      <c r="F9" s="231" t="s">
        <v>1642</v>
      </c>
      <c r="G9" s="231" t="s">
        <v>47</v>
      </c>
      <c r="H9" s="231" t="s">
        <v>1613</v>
      </c>
      <c r="I9" s="231" t="s">
        <v>1649</v>
      </c>
      <c r="J9" s="233" t="s">
        <v>1657</v>
      </c>
      <c r="K9" s="231" t="s">
        <v>1660</v>
      </c>
      <c r="L9" s="231">
        <v>925</v>
      </c>
      <c r="M9" s="234">
        <v>6</v>
      </c>
      <c r="N9" s="234">
        <v>48.8</v>
      </c>
      <c r="O9" s="231">
        <v>925</v>
      </c>
      <c r="P9" s="237" t="s">
        <v>1662</v>
      </c>
      <c r="Q9" s="234" t="s">
        <v>1663</v>
      </c>
      <c r="R9" s="237">
        <v>0.98880000000000001</v>
      </c>
      <c r="S9" s="237">
        <v>0.5</v>
      </c>
      <c r="T9" s="234">
        <v>0.1163</v>
      </c>
      <c r="U9" s="237" t="s">
        <v>1662</v>
      </c>
      <c r="V9" s="232" t="s">
        <v>1141</v>
      </c>
      <c r="W9" s="232" t="s">
        <v>1665</v>
      </c>
      <c r="X9" s="232" t="s">
        <v>1136</v>
      </c>
      <c r="Y9" s="232" t="s">
        <v>635</v>
      </c>
      <c r="Z9" s="232" t="s">
        <v>178</v>
      </c>
      <c r="AA9" s="232" t="s">
        <v>1667</v>
      </c>
      <c r="AB9" s="232" t="s">
        <v>92</v>
      </c>
      <c r="AC9" s="232" t="s">
        <v>1680</v>
      </c>
      <c r="AD9" s="231" t="s">
        <v>1606</v>
      </c>
      <c r="AE9" s="232" t="s">
        <v>1665</v>
      </c>
      <c r="AF9" s="232" t="s">
        <v>14</v>
      </c>
      <c r="AG9" s="232" t="s">
        <v>951</v>
      </c>
      <c r="AH9" s="232"/>
      <c r="AI9" s="232">
        <v>150</v>
      </c>
      <c r="AJ9" s="232" t="s">
        <v>567</v>
      </c>
      <c r="AK9" s="232" t="s">
        <v>1685</v>
      </c>
      <c r="AL9" s="232" t="s">
        <v>1611</v>
      </c>
      <c r="AM9" s="232"/>
      <c r="AN9" s="232"/>
      <c r="AO9" s="231"/>
      <c r="AP9" s="231"/>
      <c r="AQ9" s="231" t="s">
        <v>1686</v>
      </c>
      <c r="AR9" s="232" t="s">
        <v>91</v>
      </c>
      <c r="AS9" s="232" t="s">
        <v>814</v>
      </c>
      <c r="AT9" s="235"/>
      <c r="AU9" s="235"/>
      <c r="AV9" s="235"/>
      <c r="AW9" s="235"/>
      <c r="AX9" s="235"/>
      <c r="AY9" s="235"/>
      <c r="AZ9" s="235"/>
      <c r="BA9" s="235"/>
      <c r="BB9" s="235"/>
      <c r="BC9" s="235"/>
      <c r="BD9" s="235"/>
      <c r="BE9" s="235"/>
      <c r="BF9" s="235"/>
      <c r="BG9" s="235"/>
      <c r="BH9" s="235"/>
      <c r="BI9" s="235"/>
      <c r="BJ9" s="236"/>
    </row>
    <row r="10" spans="2:62" s="221" customFormat="1" ht="22.9" customHeight="1" x14ac:dyDescent="0.3">
      <c r="B10" s="261"/>
      <c r="C10" s="227">
        <v>11</v>
      </c>
      <c r="D10" s="225"/>
      <c r="E10" s="226"/>
      <c r="F10" s="231" t="s">
        <v>1643</v>
      </c>
      <c r="G10" s="231" t="s">
        <v>1670</v>
      </c>
      <c r="H10" s="231" t="s">
        <v>1613</v>
      </c>
      <c r="I10" s="231" t="s">
        <v>1650</v>
      </c>
      <c r="J10" s="233" t="s">
        <v>1658</v>
      </c>
      <c r="K10" s="231" t="s">
        <v>1660</v>
      </c>
      <c r="L10" s="231">
        <v>300</v>
      </c>
      <c r="M10" s="234">
        <v>2</v>
      </c>
      <c r="N10" s="234" t="s">
        <v>1258</v>
      </c>
      <c r="O10" s="231">
        <v>300</v>
      </c>
      <c r="P10" s="237" t="s">
        <v>1664</v>
      </c>
      <c r="Q10" s="237" t="s">
        <v>1661</v>
      </c>
      <c r="R10" s="237">
        <v>0.98719999999999997</v>
      </c>
      <c r="S10" s="237">
        <v>0.5</v>
      </c>
      <c r="T10" s="237">
        <v>0.13600000000000001</v>
      </c>
      <c r="U10" s="237" t="s">
        <v>1664</v>
      </c>
      <c r="V10" s="232" t="s">
        <v>1675</v>
      </c>
      <c r="W10" s="232">
        <v>200</v>
      </c>
      <c r="X10" s="232" t="s">
        <v>1669</v>
      </c>
      <c r="Y10" s="232" t="s">
        <v>1073</v>
      </c>
      <c r="Z10" s="232" t="s">
        <v>178</v>
      </c>
      <c r="AA10" s="232" t="s">
        <v>1667</v>
      </c>
      <c r="AB10" s="232" t="s">
        <v>92</v>
      </c>
      <c r="AC10" s="232" t="s">
        <v>1681</v>
      </c>
      <c r="AD10" s="231" t="s">
        <v>1606</v>
      </c>
      <c r="AE10" s="238">
        <v>200</v>
      </c>
      <c r="AF10" s="232" t="s">
        <v>1668</v>
      </c>
      <c r="AG10" s="232" t="s">
        <v>951</v>
      </c>
      <c r="AH10" s="232"/>
      <c r="AI10" s="232">
        <v>150</v>
      </c>
      <c r="AJ10" s="232" t="s">
        <v>567</v>
      </c>
      <c r="AK10" s="232" t="s">
        <v>1685</v>
      </c>
      <c r="AL10" s="232" t="s">
        <v>1611</v>
      </c>
      <c r="AM10" s="232"/>
      <c r="AN10" s="232"/>
      <c r="AO10" s="231"/>
      <c r="AP10" s="231"/>
      <c r="AQ10" s="231" t="s">
        <v>1686</v>
      </c>
      <c r="AR10" s="232" t="s">
        <v>91</v>
      </c>
      <c r="AS10" s="232" t="s">
        <v>1617</v>
      </c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6"/>
    </row>
    <row r="11" spans="2:62" s="221" customFormat="1" ht="22.9" customHeight="1" x14ac:dyDescent="0.3">
      <c r="B11" s="261"/>
      <c r="C11" s="227">
        <v>12</v>
      </c>
      <c r="D11" s="225"/>
      <c r="E11" s="226"/>
      <c r="F11" s="231" t="s">
        <v>1643</v>
      </c>
      <c r="G11" s="231" t="s">
        <v>1670</v>
      </c>
      <c r="H11" s="231" t="s">
        <v>1613</v>
      </c>
      <c r="I11" s="231" t="s">
        <v>1651</v>
      </c>
      <c r="J11" s="233" t="s">
        <v>1659</v>
      </c>
      <c r="K11" s="231" t="s">
        <v>1660</v>
      </c>
      <c r="L11" s="231">
        <v>300</v>
      </c>
      <c r="M11" s="234">
        <v>2</v>
      </c>
      <c r="N11" s="234" t="s">
        <v>1258</v>
      </c>
      <c r="O11" s="231">
        <v>300</v>
      </c>
      <c r="P11" s="237" t="s">
        <v>1664</v>
      </c>
      <c r="Q11" s="237" t="s">
        <v>1661</v>
      </c>
      <c r="R11" s="237">
        <v>0.98719999999999997</v>
      </c>
      <c r="S11" s="237">
        <v>0.5</v>
      </c>
      <c r="T11" s="237">
        <v>0.13600000000000001</v>
      </c>
      <c r="U11" s="237" t="s">
        <v>1664</v>
      </c>
      <c r="V11" s="232" t="s">
        <v>1675</v>
      </c>
      <c r="W11" s="232">
        <v>200</v>
      </c>
      <c r="X11" s="232" t="s">
        <v>1669</v>
      </c>
      <c r="Y11" s="232" t="s">
        <v>1073</v>
      </c>
      <c r="Z11" s="232" t="s">
        <v>178</v>
      </c>
      <c r="AA11" s="232" t="s">
        <v>1667</v>
      </c>
      <c r="AB11" s="232" t="s">
        <v>92</v>
      </c>
      <c r="AC11" s="232" t="s">
        <v>1681</v>
      </c>
      <c r="AD11" s="231" t="s">
        <v>1606</v>
      </c>
      <c r="AE11" s="238">
        <v>200</v>
      </c>
      <c r="AF11" s="232" t="s">
        <v>1668</v>
      </c>
      <c r="AG11" s="232" t="s">
        <v>951</v>
      </c>
      <c r="AH11" s="232"/>
      <c r="AI11" s="232">
        <v>150</v>
      </c>
      <c r="AJ11" s="232" t="s">
        <v>567</v>
      </c>
      <c r="AK11" s="232" t="s">
        <v>1685</v>
      </c>
      <c r="AL11" s="232" t="s">
        <v>1611</v>
      </c>
      <c r="AM11" s="232"/>
      <c r="AN11" s="232"/>
      <c r="AO11" s="231"/>
      <c r="AP11" s="231"/>
      <c r="AQ11" s="231" t="s">
        <v>1686</v>
      </c>
      <c r="AR11" s="232" t="s">
        <v>91</v>
      </c>
      <c r="AS11" s="232" t="s">
        <v>1617</v>
      </c>
      <c r="AT11" s="235"/>
      <c r="AU11" s="235"/>
      <c r="AV11" s="235"/>
      <c r="AW11" s="235"/>
      <c r="AX11" s="235"/>
      <c r="AY11" s="235"/>
      <c r="AZ11" s="235"/>
      <c r="BA11" s="235"/>
      <c r="BB11" s="235"/>
      <c r="BC11" s="235"/>
      <c r="BD11" s="235"/>
      <c r="BE11" s="235"/>
      <c r="BF11" s="235"/>
      <c r="BG11" s="235"/>
      <c r="BH11" s="235"/>
      <c r="BI11" s="235"/>
      <c r="BJ11" s="236"/>
    </row>
    <row r="12" spans="2:62" s="221" customFormat="1" ht="22.9" customHeight="1" x14ac:dyDescent="0.3">
      <c r="B12" s="261"/>
      <c r="C12" s="179">
        <v>5</v>
      </c>
      <c r="D12" s="179"/>
      <c r="E12" s="185"/>
      <c r="F12" s="179" t="s">
        <v>1640</v>
      </c>
      <c r="G12" s="179" t="s">
        <v>665</v>
      </c>
      <c r="H12" s="179" t="s">
        <v>41</v>
      </c>
      <c r="I12" s="179" t="s">
        <v>1644</v>
      </c>
      <c r="J12" s="184" t="s">
        <v>1652</v>
      </c>
      <c r="K12" s="179" t="s">
        <v>1660</v>
      </c>
      <c r="L12" s="179">
        <v>1850</v>
      </c>
      <c r="M12" s="188">
        <v>6</v>
      </c>
      <c r="N12" s="188">
        <v>48.8</v>
      </c>
      <c r="O12" s="179">
        <v>1850</v>
      </c>
      <c r="P12" s="220" t="s">
        <v>1662</v>
      </c>
      <c r="Q12" s="220" t="s">
        <v>1663</v>
      </c>
      <c r="R12" s="220">
        <v>0.98880000000000001</v>
      </c>
      <c r="S12" s="220">
        <v>0.5</v>
      </c>
      <c r="T12" s="188">
        <v>0.1163</v>
      </c>
      <c r="U12" s="188" t="s">
        <v>1662</v>
      </c>
      <c r="V12" s="181" t="s">
        <v>1141</v>
      </c>
      <c r="W12" s="181" t="s">
        <v>1666</v>
      </c>
      <c r="X12" s="181" t="s">
        <v>1676</v>
      </c>
      <c r="Y12" s="181" t="s">
        <v>635</v>
      </c>
      <c r="Z12" s="181" t="s">
        <v>1618</v>
      </c>
      <c r="AA12" s="181" t="s">
        <v>1667</v>
      </c>
      <c r="AB12" s="181" t="s">
        <v>92</v>
      </c>
      <c r="AC12" s="181" t="s">
        <v>1639</v>
      </c>
      <c r="AD12" s="181" t="s">
        <v>1639</v>
      </c>
      <c r="AE12" s="181" t="s">
        <v>1639</v>
      </c>
      <c r="AF12" s="181" t="s">
        <v>1639</v>
      </c>
      <c r="AG12" s="181" t="s">
        <v>1639</v>
      </c>
      <c r="AH12" s="181" t="s">
        <v>1639</v>
      </c>
      <c r="AI12" s="181" t="s">
        <v>1639</v>
      </c>
      <c r="AJ12" s="181" t="s">
        <v>1639</v>
      </c>
      <c r="AK12" s="181" t="s">
        <v>1639</v>
      </c>
      <c r="AL12" s="181" t="s">
        <v>1639</v>
      </c>
      <c r="AM12" s="181" t="s">
        <v>1639</v>
      </c>
      <c r="AN12" s="181" t="s">
        <v>1639</v>
      </c>
      <c r="AO12" s="181" t="s">
        <v>1639</v>
      </c>
      <c r="AP12" s="181"/>
      <c r="AQ12" s="181" t="s">
        <v>1639</v>
      </c>
      <c r="AR12" s="181" t="s">
        <v>1639</v>
      </c>
      <c r="AS12" s="181" t="s">
        <v>1639</v>
      </c>
      <c r="AT12" s="181" t="s">
        <v>1639</v>
      </c>
      <c r="AU12" s="181" t="s">
        <v>1639</v>
      </c>
      <c r="AV12" s="181" t="s">
        <v>1639</v>
      </c>
      <c r="AW12" s="181" t="s">
        <v>1639</v>
      </c>
      <c r="AX12" s="181" t="s">
        <v>1639</v>
      </c>
      <c r="AY12" s="181" t="s">
        <v>1639</v>
      </c>
      <c r="AZ12" s="181" t="s">
        <v>1639</v>
      </c>
      <c r="BA12" s="181" t="s">
        <v>1639</v>
      </c>
      <c r="BB12" s="181" t="s">
        <v>1639</v>
      </c>
      <c r="BC12" s="181" t="s">
        <v>1639</v>
      </c>
      <c r="BD12" s="181" t="s">
        <v>1639</v>
      </c>
      <c r="BE12" s="181" t="s">
        <v>1639</v>
      </c>
      <c r="BF12" s="181" t="s">
        <v>1639</v>
      </c>
      <c r="BG12" s="181" t="s">
        <v>1639</v>
      </c>
      <c r="BH12" s="181" t="s">
        <v>1639</v>
      </c>
      <c r="BI12" s="181" t="s">
        <v>1639</v>
      </c>
      <c r="BJ12" s="181" t="s">
        <v>1639</v>
      </c>
    </row>
    <row r="13" spans="2:62" s="221" customFormat="1" ht="22.9" customHeight="1" x14ac:dyDescent="0.3">
      <c r="B13" s="261"/>
      <c r="C13" s="179">
        <v>6</v>
      </c>
      <c r="D13" s="179"/>
      <c r="E13" s="185"/>
      <c r="F13" s="179" t="s">
        <v>1640</v>
      </c>
      <c r="G13" s="179" t="s">
        <v>665</v>
      </c>
      <c r="H13" s="179" t="s">
        <v>41</v>
      </c>
      <c r="I13" s="179" t="s">
        <v>1645</v>
      </c>
      <c r="J13" s="184" t="s">
        <v>1653</v>
      </c>
      <c r="K13" s="179" t="s">
        <v>1660</v>
      </c>
      <c r="L13" s="179">
        <v>1850</v>
      </c>
      <c r="M13" s="188">
        <v>6</v>
      </c>
      <c r="N13" s="188">
        <v>48.8</v>
      </c>
      <c r="O13" s="179">
        <v>1850</v>
      </c>
      <c r="P13" s="220" t="s">
        <v>1662</v>
      </c>
      <c r="Q13" s="220" t="s">
        <v>1663</v>
      </c>
      <c r="R13" s="220">
        <v>0.98880000000000001</v>
      </c>
      <c r="S13" s="220">
        <v>0.5</v>
      </c>
      <c r="T13" s="188">
        <v>0.1163</v>
      </c>
      <c r="U13" s="188" t="s">
        <v>1662</v>
      </c>
      <c r="V13" s="181" t="s">
        <v>1141</v>
      </c>
      <c r="W13" s="181" t="s">
        <v>1666</v>
      </c>
      <c r="X13" s="181" t="s">
        <v>1676</v>
      </c>
      <c r="Y13" s="181" t="s">
        <v>635</v>
      </c>
      <c r="Z13" s="181" t="s">
        <v>1618</v>
      </c>
      <c r="AA13" s="181" t="s">
        <v>1667</v>
      </c>
      <c r="AB13" s="181" t="s">
        <v>92</v>
      </c>
      <c r="AC13" s="181" t="s">
        <v>1639</v>
      </c>
      <c r="AD13" s="181" t="s">
        <v>1639</v>
      </c>
      <c r="AE13" s="181" t="s">
        <v>1639</v>
      </c>
      <c r="AF13" s="181" t="s">
        <v>1639</v>
      </c>
      <c r="AG13" s="181" t="s">
        <v>1639</v>
      </c>
      <c r="AH13" s="181" t="s">
        <v>1639</v>
      </c>
      <c r="AI13" s="181" t="s">
        <v>1639</v>
      </c>
      <c r="AJ13" s="181" t="s">
        <v>1639</v>
      </c>
      <c r="AK13" s="181" t="s">
        <v>1639</v>
      </c>
      <c r="AL13" s="181" t="s">
        <v>1639</v>
      </c>
      <c r="AM13" s="181" t="s">
        <v>1639</v>
      </c>
      <c r="AN13" s="181" t="s">
        <v>1639</v>
      </c>
      <c r="AO13" s="181" t="s">
        <v>1639</v>
      </c>
      <c r="AP13" s="181"/>
      <c r="AQ13" s="181" t="s">
        <v>1639</v>
      </c>
      <c r="AR13" s="181" t="s">
        <v>1639</v>
      </c>
      <c r="AS13" s="181" t="s">
        <v>1639</v>
      </c>
      <c r="AT13" s="181" t="s">
        <v>1639</v>
      </c>
      <c r="AU13" s="181" t="s">
        <v>1639</v>
      </c>
      <c r="AV13" s="181" t="s">
        <v>1639</v>
      </c>
      <c r="AW13" s="181" t="s">
        <v>1639</v>
      </c>
      <c r="AX13" s="181" t="s">
        <v>1639</v>
      </c>
      <c r="AY13" s="181" t="s">
        <v>1639</v>
      </c>
      <c r="AZ13" s="181" t="s">
        <v>1639</v>
      </c>
      <c r="BA13" s="181" t="s">
        <v>1639</v>
      </c>
      <c r="BB13" s="181" t="s">
        <v>1639</v>
      </c>
      <c r="BC13" s="181" t="s">
        <v>1639</v>
      </c>
      <c r="BD13" s="181" t="s">
        <v>1639</v>
      </c>
      <c r="BE13" s="181" t="s">
        <v>1639</v>
      </c>
      <c r="BF13" s="181" t="s">
        <v>1639</v>
      </c>
      <c r="BG13" s="181" t="s">
        <v>1639</v>
      </c>
      <c r="BH13" s="181" t="s">
        <v>1639</v>
      </c>
      <c r="BI13" s="181" t="s">
        <v>1639</v>
      </c>
      <c r="BJ13" s="181" t="s">
        <v>1639</v>
      </c>
    </row>
    <row r="14" spans="2:62" s="221" customFormat="1" ht="22.9" customHeight="1" x14ac:dyDescent="0.3">
      <c r="B14" s="261"/>
      <c r="C14" s="179">
        <v>7</v>
      </c>
      <c r="D14" s="179"/>
      <c r="E14" s="185"/>
      <c r="F14" s="179" t="s">
        <v>1641</v>
      </c>
      <c r="G14" s="179" t="s">
        <v>665</v>
      </c>
      <c r="H14" s="179" t="s">
        <v>41</v>
      </c>
      <c r="I14" s="179" t="s">
        <v>1646</v>
      </c>
      <c r="J14" s="184" t="s">
        <v>1654</v>
      </c>
      <c r="K14" s="179" t="s">
        <v>1660</v>
      </c>
      <c r="L14" s="179">
        <v>925</v>
      </c>
      <c r="M14" s="188">
        <v>6</v>
      </c>
      <c r="N14" s="188">
        <v>48.8</v>
      </c>
      <c r="O14" s="179">
        <v>925</v>
      </c>
      <c r="P14" s="220" t="s">
        <v>1662</v>
      </c>
      <c r="Q14" s="220" t="s">
        <v>1663</v>
      </c>
      <c r="R14" s="220">
        <v>0.98880000000000001</v>
      </c>
      <c r="S14" s="220">
        <v>0.5</v>
      </c>
      <c r="T14" s="188">
        <v>0.1163</v>
      </c>
      <c r="U14" s="188" t="s">
        <v>1662</v>
      </c>
      <c r="V14" s="181" t="s">
        <v>1141</v>
      </c>
      <c r="W14" s="181" t="s">
        <v>1665</v>
      </c>
      <c r="X14" s="181" t="s">
        <v>1676</v>
      </c>
      <c r="Y14" s="181" t="s">
        <v>635</v>
      </c>
      <c r="Z14" s="181" t="s">
        <v>178</v>
      </c>
      <c r="AA14" s="181" t="s">
        <v>1667</v>
      </c>
      <c r="AB14" s="181" t="s">
        <v>92</v>
      </c>
      <c r="AC14" s="181" t="s">
        <v>1639</v>
      </c>
      <c r="AD14" s="181" t="s">
        <v>1639</v>
      </c>
      <c r="AE14" s="181" t="s">
        <v>1639</v>
      </c>
      <c r="AF14" s="181" t="s">
        <v>1639</v>
      </c>
      <c r="AG14" s="181" t="s">
        <v>1639</v>
      </c>
      <c r="AH14" s="181" t="s">
        <v>1639</v>
      </c>
      <c r="AI14" s="181" t="s">
        <v>1639</v>
      </c>
      <c r="AJ14" s="181" t="s">
        <v>1639</v>
      </c>
      <c r="AK14" s="181" t="s">
        <v>1639</v>
      </c>
      <c r="AL14" s="181" t="s">
        <v>1639</v>
      </c>
      <c r="AM14" s="181" t="s">
        <v>1639</v>
      </c>
      <c r="AN14" s="181" t="s">
        <v>1639</v>
      </c>
      <c r="AO14" s="181" t="s">
        <v>1639</v>
      </c>
      <c r="AP14" s="181"/>
      <c r="AQ14" s="181" t="s">
        <v>1639</v>
      </c>
      <c r="AR14" s="181" t="s">
        <v>1639</v>
      </c>
      <c r="AS14" s="181" t="s">
        <v>1639</v>
      </c>
      <c r="AT14" s="181" t="s">
        <v>1639</v>
      </c>
      <c r="AU14" s="181" t="s">
        <v>1639</v>
      </c>
      <c r="AV14" s="181" t="s">
        <v>1639</v>
      </c>
      <c r="AW14" s="181" t="s">
        <v>1639</v>
      </c>
      <c r="AX14" s="181" t="s">
        <v>1639</v>
      </c>
      <c r="AY14" s="181" t="s">
        <v>1639</v>
      </c>
      <c r="AZ14" s="181" t="s">
        <v>1639</v>
      </c>
      <c r="BA14" s="181" t="s">
        <v>1639</v>
      </c>
      <c r="BB14" s="181" t="s">
        <v>1639</v>
      </c>
      <c r="BC14" s="181" t="s">
        <v>1639</v>
      </c>
      <c r="BD14" s="181" t="s">
        <v>1639</v>
      </c>
      <c r="BE14" s="181" t="s">
        <v>1639</v>
      </c>
      <c r="BF14" s="181" t="s">
        <v>1639</v>
      </c>
      <c r="BG14" s="181" t="s">
        <v>1639</v>
      </c>
      <c r="BH14" s="181" t="s">
        <v>1639</v>
      </c>
      <c r="BI14" s="181" t="s">
        <v>1639</v>
      </c>
      <c r="BJ14" s="181" t="s">
        <v>1639</v>
      </c>
    </row>
    <row r="15" spans="2:62" s="221" customFormat="1" ht="22.9" customHeight="1" x14ac:dyDescent="0.3">
      <c r="B15" s="261"/>
      <c r="C15" s="179">
        <v>8</v>
      </c>
      <c r="D15" s="179"/>
      <c r="E15" s="185"/>
      <c r="F15" s="179" t="s">
        <v>1641</v>
      </c>
      <c r="G15" s="179" t="s">
        <v>665</v>
      </c>
      <c r="H15" s="179" t="s">
        <v>41</v>
      </c>
      <c r="I15" s="179" t="s">
        <v>1647</v>
      </c>
      <c r="J15" s="184" t="s">
        <v>1655</v>
      </c>
      <c r="K15" s="179" t="s">
        <v>1660</v>
      </c>
      <c r="L15" s="179">
        <v>925</v>
      </c>
      <c r="M15" s="188">
        <v>6</v>
      </c>
      <c r="N15" s="188">
        <v>48.8</v>
      </c>
      <c r="O15" s="179">
        <v>925</v>
      </c>
      <c r="P15" s="220" t="s">
        <v>1662</v>
      </c>
      <c r="Q15" s="220" t="s">
        <v>1663</v>
      </c>
      <c r="R15" s="220">
        <v>0.98880000000000001</v>
      </c>
      <c r="S15" s="220">
        <v>0.5</v>
      </c>
      <c r="T15" s="188">
        <v>0.1163</v>
      </c>
      <c r="U15" s="188" t="s">
        <v>1662</v>
      </c>
      <c r="V15" s="181" t="s">
        <v>1141</v>
      </c>
      <c r="W15" s="181" t="s">
        <v>1665</v>
      </c>
      <c r="X15" s="181" t="s">
        <v>1676</v>
      </c>
      <c r="Y15" s="181" t="s">
        <v>635</v>
      </c>
      <c r="Z15" s="181" t="s">
        <v>178</v>
      </c>
      <c r="AA15" s="181" t="s">
        <v>1667</v>
      </c>
      <c r="AB15" s="181" t="s">
        <v>92</v>
      </c>
      <c r="AC15" s="181" t="s">
        <v>1639</v>
      </c>
      <c r="AD15" s="181" t="s">
        <v>1639</v>
      </c>
      <c r="AE15" s="181" t="s">
        <v>1639</v>
      </c>
      <c r="AF15" s="181" t="s">
        <v>1639</v>
      </c>
      <c r="AG15" s="181" t="s">
        <v>1639</v>
      </c>
      <c r="AH15" s="181" t="s">
        <v>1639</v>
      </c>
      <c r="AI15" s="181" t="s">
        <v>1639</v>
      </c>
      <c r="AJ15" s="181" t="s">
        <v>1639</v>
      </c>
      <c r="AK15" s="181" t="s">
        <v>1639</v>
      </c>
      <c r="AL15" s="181" t="s">
        <v>1639</v>
      </c>
      <c r="AM15" s="181" t="s">
        <v>1639</v>
      </c>
      <c r="AN15" s="181" t="s">
        <v>1639</v>
      </c>
      <c r="AO15" s="181" t="s">
        <v>1639</v>
      </c>
      <c r="AP15" s="181"/>
      <c r="AQ15" s="181" t="s">
        <v>1639</v>
      </c>
      <c r="AR15" s="181" t="s">
        <v>1639</v>
      </c>
      <c r="AS15" s="181" t="s">
        <v>1639</v>
      </c>
      <c r="AT15" s="181" t="s">
        <v>1639</v>
      </c>
      <c r="AU15" s="181" t="s">
        <v>1639</v>
      </c>
      <c r="AV15" s="181" t="s">
        <v>1639</v>
      </c>
      <c r="AW15" s="181" t="s">
        <v>1639</v>
      </c>
      <c r="AX15" s="181" t="s">
        <v>1639</v>
      </c>
      <c r="AY15" s="181" t="s">
        <v>1639</v>
      </c>
      <c r="AZ15" s="181" t="s">
        <v>1639</v>
      </c>
      <c r="BA15" s="181" t="s">
        <v>1639</v>
      </c>
      <c r="BB15" s="181" t="s">
        <v>1639</v>
      </c>
      <c r="BC15" s="181" t="s">
        <v>1639</v>
      </c>
      <c r="BD15" s="181" t="s">
        <v>1639</v>
      </c>
      <c r="BE15" s="181" t="s">
        <v>1639</v>
      </c>
      <c r="BF15" s="181" t="s">
        <v>1639</v>
      </c>
      <c r="BG15" s="181" t="s">
        <v>1639</v>
      </c>
      <c r="BH15" s="181" t="s">
        <v>1639</v>
      </c>
      <c r="BI15" s="181" t="s">
        <v>1639</v>
      </c>
      <c r="BJ15" s="181" t="s">
        <v>1639</v>
      </c>
    </row>
    <row r="16" spans="2:62" s="221" customFormat="1" ht="22.9" customHeight="1" x14ac:dyDescent="0.3">
      <c r="B16" s="261"/>
      <c r="C16" s="179">
        <v>9</v>
      </c>
      <c r="D16" s="179"/>
      <c r="E16" s="185"/>
      <c r="F16" s="179" t="s">
        <v>1642</v>
      </c>
      <c r="G16" s="179" t="s">
        <v>665</v>
      </c>
      <c r="H16" s="179" t="s">
        <v>41</v>
      </c>
      <c r="I16" s="179" t="s">
        <v>1648</v>
      </c>
      <c r="J16" s="184" t="s">
        <v>1656</v>
      </c>
      <c r="K16" s="179" t="s">
        <v>1660</v>
      </c>
      <c r="L16" s="179">
        <v>925</v>
      </c>
      <c r="M16" s="188">
        <v>6</v>
      </c>
      <c r="N16" s="188">
        <v>48.8</v>
      </c>
      <c r="O16" s="179">
        <v>925</v>
      </c>
      <c r="P16" s="220" t="s">
        <v>1662</v>
      </c>
      <c r="Q16" s="220" t="s">
        <v>1663</v>
      </c>
      <c r="R16" s="220">
        <v>0.98880000000000001</v>
      </c>
      <c r="S16" s="220">
        <v>0.5</v>
      </c>
      <c r="T16" s="188">
        <v>0.1163</v>
      </c>
      <c r="U16" s="188" t="s">
        <v>1662</v>
      </c>
      <c r="V16" s="181" t="s">
        <v>1141</v>
      </c>
      <c r="W16" s="181" t="s">
        <v>1665</v>
      </c>
      <c r="X16" s="181" t="s">
        <v>1676</v>
      </c>
      <c r="Y16" s="181" t="s">
        <v>635</v>
      </c>
      <c r="Z16" s="181" t="s">
        <v>178</v>
      </c>
      <c r="AA16" s="181" t="s">
        <v>1667</v>
      </c>
      <c r="AB16" s="181" t="s">
        <v>92</v>
      </c>
      <c r="AC16" s="181" t="s">
        <v>1639</v>
      </c>
      <c r="AD16" s="181" t="s">
        <v>1639</v>
      </c>
      <c r="AE16" s="181" t="s">
        <v>1639</v>
      </c>
      <c r="AF16" s="181" t="s">
        <v>1639</v>
      </c>
      <c r="AG16" s="181" t="s">
        <v>1639</v>
      </c>
      <c r="AH16" s="181" t="s">
        <v>1639</v>
      </c>
      <c r="AI16" s="181" t="s">
        <v>1639</v>
      </c>
      <c r="AJ16" s="181" t="s">
        <v>1639</v>
      </c>
      <c r="AK16" s="181" t="s">
        <v>1639</v>
      </c>
      <c r="AL16" s="181" t="s">
        <v>1639</v>
      </c>
      <c r="AM16" s="181" t="s">
        <v>1639</v>
      </c>
      <c r="AN16" s="181" t="s">
        <v>1639</v>
      </c>
      <c r="AO16" s="181" t="s">
        <v>1639</v>
      </c>
      <c r="AP16" s="181"/>
      <c r="AQ16" s="181" t="s">
        <v>1639</v>
      </c>
      <c r="AR16" s="181" t="s">
        <v>1639</v>
      </c>
      <c r="AS16" s="181" t="s">
        <v>1639</v>
      </c>
      <c r="AT16" s="181" t="s">
        <v>1639</v>
      </c>
      <c r="AU16" s="181" t="s">
        <v>1639</v>
      </c>
      <c r="AV16" s="181" t="s">
        <v>1639</v>
      </c>
      <c r="AW16" s="181" t="s">
        <v>1639</v>
      </c>
      <c r="AX16" s="181" t="s">
        <v>1639</v>
      </c>
      <c r="AY16" s="181" t="s">
        <v>1639</v>
      </c>
      <c r="AZ16" s="181" t="s">
        <v>1639</v>
      </c>
      <c r="BA16" s="181" t="s">
        <v>1639</v>
      </c>
      <c r="BB16" s="181" t="s">
        <v>1639</v>
      </c>
      <c r="BC16" s="181" t="s">
        <v>1639</v>
      </c>
      <c r="BD16" s="181" t="s">
        <v>1639</v>
      </c>
      <c r="BE16" s="181" t="s">
        <v>1639</v>
      </c>
      <c r="BF16" s="181" t="s">
        <v>1639</v>
      </c>
      <c r="BG16" s="181" t="s">
        <v>1639</v>
      </c>
      <c r="BH16" s="181" t="s">
        <v>1639</v>
      </c>
      <c r="BI16" s="181" t="s">
        <v>1639</v>
      </c>
      <c r="BJ16" s="181" t="s">
        <v>1639</v>
      </c>
    </row>
    <row r="17" spans="2:62" s="221" customFormat="1" ht="22.9" customHeight="1" x14ac:dyDescent="0.3">
      <c r="B17" s="261"/>
      <c r="C17" s="179">
        <v>10</v>
      </c>
      <c r="D17" s="179"/>
      <c r="E17" s="185"/>
      <c r="F17" s="179" t="s">
        <v>1642</v>
      </c>
      <c r="G17" s="179" t="s">
        <v>665</v>
      </c>
      <c r="H17" s="179" t="s">
        <v>41</v>
      </c>
      <c r="I17" s="179" t="s">
        <v>1649</v>
      </c>
      <c r="J17" s="184" t="s">
        <v>1657</v>
      </c>
      <c r="K17" s="179" t="s">
        <v>1660</v>
      </c>
      <c r="L17" s="179">
        <v>925</v>
      </c>
      <c r="M17" s="188">
        <v>6</v>
      </c>
      <c r="N17" s="188">
        <v>48.8</v>
      </c>
      <c r="O17" s="179">
        <v>925</v>
      </c>
      <c r="P17" s="220" t="s">
        <v>1662</v>
      </c>
      <c r="Q17" s="220" t="s">
        <v>1663</v>
      </c>
      <c r="R17" s="220">
        <v>0.98880000000000001</v>
      </c>
      <c r="S17" s="220">
        <v>0.5</v>
      </c>
      <c r="T17" s="188">
        <v>0.1163</v>
      </c>
      <c r="U17" s="188" t="s">
        <v>1662</v>
      </c>
      <c r="V17" s="181" t="s">
        <v>1141</v>
      </c>
      <c r="W17" s="181" t="s">
        <v>1665</v>
      </c>
      <c r="X17" s="181" t="s">
        <v>1676</v>
      </c>
      <c r="Y17" s="181" t="s">
        <v>635</v>
      </c>
      <c r="Z17" s="181" t="s">
        <v>178</v>
      </c>
      <c r="AA17" s="181" t="s">
        <v>1667</v>
      </c>
      <c r="AB17" s="181" t="s">
        <v>92</v>
      </c>
      <c r="AC17" s="181" t="s">
        <v>1639</v>
      </c>
      <c r="AD17" s="181" t="s">
        <v>1639</v>
      </c>
      <c r="AE17" s="181" t="s">
        <v>1639</v>
      </c>
      <c r="AF17" s="181" t="s">
        <v>1639</v>
      </c>
      <c r="AG17" s="181" t="s">
        <v>1639</v>
      </c>
      <c r="AH17" s="181" t="s">
        <v>1639</v>
      </c>
      <c r="AI17" s="181" t="s">
        <v>1639</v>
      </c>
      <c r="AJ17" s="181" t="s">
        <v>1639</v>
      </c>
      <c r="AK17" s="181" t="s">
        <v>1639</v>
      </c>
      <c r="AL17" s="181" t="s">
        <v>1639</v>
      </c>
      <c r="AM17" s="181" t="s">
        <v>1639</v>
      </c>
      <c r="AN17" s="181" t="s">
        <v>1639</v>
      </c>
      <c r="AO17" s="181" t="s">
        <v>1639</v>
      </c>
      <c r="AP17" s="181"/>
      <c r="AQ17" s="181" t="s">
        <v>1639</v>
      </c>
      <c r="AR17" s="181" t="s">
        <v>1639</v>
      </c>
      <c r="AS17" s="181" t="s">
        <v>1639</v>
      </c>
      <c r="AT17" s="181" t="s">
        <v>1639</v>
      </c>
      <c r="AU17" s="181" t="s">
        <v>1639</v>
      </c>
      <c r="AV17" s="181" t="s">
        <v>1639</v>
      </c>
      <c r="AW17" s="181" t="s">
        <v>1639</v>
      </c>
      <c r="AX17" s="181" t="s">
        <v>1639</v>
      </c>
      <c r="AY17" s="181" t="s">
        <v>1639</v>
      </c>
      <c r="AZ17" s="181" t="s">
        <v>1639</v>
      </c>
      <c r="BA17" s="181" t="s">
        <v>1639</v>
      </c>
      <c r="BB17" s="181" t="s">
        <v>1639</v>
      </c>
      <c r="BC17" s="181" t="s">
        <v>1639</v>
      </c>
      <c r="BD17" s="181" t="s">
        <v>1639</v>
      </c>
      <c r="BE17" s="181" t="s">
        <v>1639</v>
      </c>
      <c r="BF17" s="181" t="s">
        <v>1639</v>
      </c>
      <c r="BG17" s="181" t="s">
        <v>1639</v>
      </c>
      <c r="BH17" s="181" t="s">
        <v>1639</v>
      </c>
      <c r="BI17" s="181" t="s">
        <v>1639</v>
      </c>
      <c r="BJ17" s="181" t="s">
        <v>1639</v>
      </c>
    </row>
    <row r="18" spans="2:62" s="221" customFormat="1" ht="22.9" customHeight="1" x14ac:dyDescent="0.3">
      <c r="B18" s="261"/>
      <c r="C18" s="179">
        <v>11</v>
      </c>
      <c r="D18" s="179"/>
      <c r="E18" s="185"/>
      <c r="F18" s="179" t="s">
        <v>1643</v>
      </c>
      <c r="G18" s="179" t="s">
        <v>1677</v>
      </c>
      <c r="H18" s="179" t="s">
        <v>41</v>
      </c>
      <c r="I18" s="179" t="s">
        <v>1650</v>
      </c>
      <c r="J18" s="184" t="s">
        <v>1658</v>
      </c>
      <c r="K18" s="179" t="s">
        <v>1660</v>
      </c>
      <c r="L18" s="179">
        <v>300</v>
      </c>
      <c r="M18" s="188">
        <v>2</v>
      </c>
      <c r="N18" s="188" t="s">
        <v>1678</v>
      </c>
      <c r="O18" s="179">
        <v>300</v>
      </c>
      <c r="P18" s="220" t="s">
        <v>1664</v>
      </c>
      <c r="Q18" s="220" t="s">
        <v>1661</v>
      </c>
      <c r="R18" s="220">
        <v>0.98719999999999997</v>
      </c>
      <c r="S18" s="220">
        <v>0.5</v>
      </c>
      <c r="T18" s="188">
        <v>0.13600000000000001</v>
      </c>
      <c r="U18" s="188" t="s">
        <v>1664</v>
      </c>
      <c r="V18" s="181" t="s">
        <v>1675</v>
      </c>
      <c r="W18" s="181">
        <v>200</v>
      </c>
      <c r="X18" s="181" t="s">
        <v>1679</v>
      </c>
      <c r="Y18" s="181" t="s">
        <v>1073</v>
      </c>
      <c r="Z18" s="181" t="s">
        <v>178</v>
      </c>
      <c r="AA18" s="181" t="s">
        <v>1667</v>
      </c>
      <c r="AB18" s="181" t="s">
        <v>92</v>
      </c>
      <c r="AC18" s="181" t="s">
        <v>1639</v>
      </c>
      <c r="AD18" s="181" t="s">
        <v>1639</v>
      </c>
      <c r="AE18" s="181" t="s">
        <v>1639</v>
      </c>
      <c r="AF18" s="181" t="s">
        <v>1639</v>
      </c>
      <c r="AG18" s="181" t="s">
        <v>1639</v>
      </c>
      <c r="AH18" s="181" t="s">
        <v>1639</v>
      </c>
      <c r="AI18" s="181" t="s">
        <v>1639</v>
      </c>
      <c r="AJ18" s="181" t="s">
        <v>1639</v>
      </c>
      <c r="AK18" s="181" t="s">
        <v>1639</v>
      </c>
      <c r="AL18" s="181" t="s">
        <v>1639</v>
      </c>
      <c r="AM18" s="181" t="s">
        <v>1639</v>
      </c>
      <c r="AN18" s="181" t="s">
        <v>1639</v>
      </c>
      <c r="AO18" s="181" t="s">
        <v>1639</v>
      </c>
      <c r="AP18" s="181"/>
      <c r="AQ18" s="181" t="s">
        <v>1639</v>
      </c>
      <c r="AR18" s="181" t="s">
        <v>1639</v>
      </c>
      <c r="AS18" s="181" t="s">
        <v>1639</v>
      </c>
      <c r="AT18" s="181" t="s">
        <v>1639</v>
      </c>
      <c r="AU18" s="181" t="s">
        <v>1639</v>
      </c>
      <c r="AV18" s="181" t="s">
        <v>1639</v>
      </c>
      <c r="AW18" s="181" t="s">
        <v>1639</v>
      </c>
      <c r="AX18" s="181" t="s">
        <v>1639</v>
      </c>
      <c r="AY18" s="181" t="s">
        <v>1639</v>
      </c>
      <c r="AZ18" s="181" t="s">
        <v>1639</v>
      </c>
      <c r="BA18" s="181" t="s">
        <v>1639</v>
      </c>
      <c r="BB18" s="181" t="s">
        <v>1639</v>
      </c>
      <c r="BC18" s="181" t="s">
        <v>1639</v>
      </c>
      <c r="BD18" s="181" t="s">
        <v>1639</v>
      </c>
      <c r="BE18" s="181" t="s">
        <v>1639</v>
      </c>
      <c r="BF18" s="181" t="s">
        <v>1639</v>
      </c>
      <c r="BG18" s="181" t="s">
        <v>1639</v>
      </c>
      <c r="BH18" s="181" t="s">
        <v>1639</v>
      </c>
      <c r="BI18" s="181" t="s">
        <v>1639</v>
      </c>
      <c r="BJ18" s="181" t="s">
        <v>1639</v>
      </c>
    </row>
    <row r="19" spans="2:62" s="221" customFormat="1" ht="22.9" customHeight="1" x14ac:dyDescent="0.3">
      <c r="B19" s="261"/>
      <c r="C19" s="179">
        <v>12</v>
      </c>
      <c r="D19" s="179"/>
      <c r="E19" s="185"/>
      <c r="F19" s="179" t="s">
        <v>1643</v>
      </c>
      <c r="G19" s="179" t="s">
        <v>1677</v>
      </c>
      <c r="H19" s="179" t="s">
        <v>41</v>
      </c>
      <c r="I19" s="179" t="s">
        <v>1651</v>
      </c>
      <c r="J19" s="184" t="s">
        <v>1659</v>
      </c>
      <c r="K19" s="179" t="s">
        <v>1660</v>
      </c>
      <c r="L19" s="179">
        <v>300</v>
      </c>
      <c r="M19" s="188">
        <v>2</v>
      </c>
      <c r="N19" s="188" t="s">
        <v>1678</v>
      </c>
      <c r="O19" s="179">
        <v>300</v>
      </c>
      <c r="P19" s="220" t="s">
        <v>1664</v>
      </c>
      <c r="Q19" s="220" t="s">
        <v>1661</v>
      </c>
      <c r="R19" s="220">
        <v>0.98719999999999997</v>
      </c>
      <c r="S19" s="220">
        <v>0.5</v>
      </c>
      <c r="T19" s="220">
        <v>0.13600000000000001</v>
      </c>
      <c r="U19" s="220" t="s">
        <v>1664</v>
      </c>
      <c r="V19" s="181" t="s">
        <v>1675</v>
      </c>
      <c r="W19" s="181">
        <v>200</v>
      </c>
      <c r="X19" s="181" t="s">
        <v>1679</v>
      </c>
      <c r="Y19" s="181" t="s">
        <v>1073</v>
      </c>
      <c r="Z19" s="181" t="s">
        <v>178</v>
      </c>
      <c r="AA19" s="181" t="s">
        <v>1667</v>
      </c>
      <c r="AB19" s="181" t="s">
        <v>92</v>
      </c>
      <c r="AC19" s="181" t="s">
        <v>1639</v>
      </c>
      <c r="AD19" s="181" t="s">
        <v>1639</v>
      </c>
      <c r="AE19" s="181" t="s">
        <v>1639</v>
      </c>
      <c r="AF19" s="181" t="s">
        <v>1639</v>
      </c>
      <c r="AG19" s="181" t="s">
        <v>1639</v>
      </c>
      <c r="AH19" s="181" t="s">
        <v>1639</v>
      </c>
      <c r="AI19" s="181" t="s">
        <v>1639</v>
      </c>
      <c r="AJ19" s="181" t="s">
        <v>1639</v>
      </c>
      <c r="AK19" s="181" t="s">
        <v>1639</v>
      </c>
      <c r="AL19" s="181" t="s">
        <v>1639</v>
      </c>
      <c r="AM19" s="181" t="s">
        <v>1639</v>
      </c>
      <c r="AN19" s="181" t="s">
        <v>1639</v>
      </c>
      <c r="AO19" s="181" t="s">
        <v>1639</v>
      </c>
      <c r="AP19" s="181"/>
      <c r="AQ19" s="181" t="s">
        <v>1639</v>
      </c>
      <c r="AR19" s="181" t="s">
        <v>1639</v>
      </c>
      <c r="AS19" s="181" t="s">
        <v>1639</v>
      </c>
      <c r="AT19" s="181" t="s">
        <v>1639</v>
      </c>
      <c r="AU19" s="181" t="s">
        <v>1639</v>
      </c>
      <c r="AV19" s="181" t="s">
        <v>1639</v>
      </c>
      <c r="AW19" s="181" t="s">
        <v>1639</v>
      </c>
      <c r="AX19" s="181" t="s">
        <v>1639</v>
      </c>
      <c r="AY19" s="181" t="s">
        <v>1639</v>
      </c>
      <c r="AZ19" s="181" t="s">
        <v>1639</v>
      </c>
      <c r="BA19" s="181" t="s">
        <v>1639</v>
      </c>
      <c r="BB19" s="181" t="s">
        <v>1639</v>
      </c>
      <c r="BC19" s="181" t="s">
        <v>1639</v>
      </c>
      <c r="BD19" s="181" t="s">
        <v>1639</v>
      </c>
      <c r="BE19" s="181" t="s">
        <v>1639</v>
      </c>
      <c r="BF19" s="181" t="s">
        <v>1639</v>
      </c>
      <c r="BG19" s="181" t="s">
        <v>1639</v>
      </c>
      <c r="BH19" s="181" t="s">
        <v>1639</v>
      </c>
      <c r="BI19" s="181" t="s">
        <v>1639</v>
      </c>
      <c r="BJ19" s="181" t="s">
        <v>1639</v>
      </c>
    </row>
    <row r="20" spans="2:62" s="221" customFormat="1" ht="22.9" customHeight="1" x14ac:dyDescent="0.3">
      <c r="B20" s="261"/>
      <c r="C20" s="179">
        <v>17</v>
      </c>
      <c r="D20" s="179"/>
      <c r="E20" s="185"/>
      <c r="F20" s="179"/>
      <c r="G20" s="179"/>
      <c r="H20" s="179"/>
      <c r="I20" s="179"/>
      <c r="J20" s="184"/>
      <c r="K20" s="179"/>
      <c r="L20" s="179"/>
      <c r="M20" s="188"/>
      <c r="N20" s="188"/>
      <c r="O20" s="179"/>
      <c r="P20" s="220"/>
      <c r="Q20" s="220"/>
      <c r="R20" s="220"/>
      <c r="S20" s="220"/>
      <c r="T20" s="220"/>
      <c r="U20" s="220"/>
      <c r="V20" s="181"/>
      <c r="W20" s="181"/>
      <c r="X20" s="181"/>
      <c r="Y20" s="181"/>
      <c r="Z20" s="181"/>
      <c r="AA20" s="181"/>
      <c r="AB20" s="181"/>
      <c r="AC20" s="181" t="s">
        <v>1639</v>
      </c>
      <c r="AD20" s="181" t="s">
        <v>1639</v>
      </c>
      <c r="AE20" s="181" t="s">
        <v>1639</v>
      </c>
      <c r="AF20" s="181" t="s">
        <v>1639</v>
      </c>
      <c r="AG20" s="181" t="s">
        <v>1639</v>
      </c>
      <c r="AH20" s="181" t="s">
        <v>1639</v>
      </c>
      <c r="AI20" s="181" t="s">
        <v>1639</v>
      </c>
      <c r="AJ20" s="181" t="s">
        <v>1639</v>
      </c>
      <c r="AK20" s="181" t="s">
        <v>1639</v>
      </c>
      <c r="AL20" s="181" t="s">
        <v>1639</v>
      </c>
      <c r="AM20" s="181" t="s">
        <v>1639</v>
      </c>
      <c r="AN20" s="181" t="s">
        <v>1639</v>
      </c>
      <c r="AO20" s="181" t="s">
        <v>1639</v>
      </c>
      <c r="AP20" s="181"/>
      <c r="AQ20" s="181" t="s">
        <v>1639</v>
      </c>
      <c r="AR20" s="181" t="s">
        <v>1639</v>
      </c>
      <c r="AS20" s="181" t="s">
        <v>1639</v>
      </c>
      <c r="AT20" s="181" t="s">
        <v>1639</v>
      </c>
      <c r="AU20" s="181" t="s">
        <v>1639</v>
      </c>
      <c r="AV20" s="181" t="s">
        <v>1639</v>
      </c>
      <c r="AW20" s="181" t="s">
        <v>1639</v>
      </c>
      <c r="AX20" s="181" t="s">
        <v>1639</v>
      </c>
      <c r="AY20" s="181" t="s">
        <v>1639</v>
      </c>
      <c r="AZ20" s="181" t="s">
        <v>1639</v>
      </c>
      <c r="BA20" s="181" t="s">
        <v>1639</v>
      </c>
      <c r="BB20" s="181" t="s">
        <v>1639</v>
      </c>
      <c r="BC20" s="181" t="s">
        <v>1639</v>
      </c>
      <c r="BD20" s="181" t="s">
        <v>1639</v>
      </c>
      <c r="BE20" s="181" t="s">
        <v>1639</v>
      </c>
      <c r="BF20" s="181" t="s">
        <v>1639</v>
      </c>
      <c r="BG20" s="181" t="s">
        <v>1639</v>
      </c>
      <c r="BH20" s="181" t="s">
        <v>1639</v>
      </c>
      <c r="BI20" s="181" t="s">
        <v>1639</v>
      </c>
      <c r="BJ20" s="181" t="s">
        <v>1639</v>
      </c>
    </row>
    <row r="21" spans="2:62" s="221" customFormat="1" ht="22.9" customHeight="1" x14ac:dyDescent="0.3">
      <c r="B21" s="261"/>
      <c r="C21" s="179">
        <v>18</v>
      </c>
      <c r="D21" s="179"/>
      <c r="E21" s="185"/>
      <c r="F21" s="179"/>
      <c r="G21" s="179"/>
      <c r="H21" s="179"/>
      <c r="I21" s="179"/>
      <c r="J21" s="184"/>
      <c r="K21" s="179"/>
      <c r="L21" s="179"/>
      <c r="M21" s="188"/>
      <c r="N21" s="188"/>
      <c r="O21" s="179"/>
      <c r="P21" s="220"/>
      <c r="Q21" s="220"/>
      <c r="R21" s="220"/>
      <c r="S21" s="220"/>
      <c r="T21" s="220"/>
      <c r="U21" s="220"/>
      <c r="V21" s="181"/>
      <c r="W21" s="181"/>
      <c r="X21" s="181"/>
      <c r="Y21" s="181"/>
      <c r="Z21" s="181"/>
      <c r="AA21" s="181"/>
      <c r="AB21" s="181"/>
      <c r="AC21" s="181" t="s">
        <v>1639</v>
      </c>
      <c r="AD21" s="181" t="s">
        <v>1639</v>
      </c>
      <c r="AE21" s="181" t="s">
        <v>1639</v>
      </c>
      <c r="AF21" s="181" t="s">
        <v>1639</v>
      </c>
      <c r="AG21" s="181" t="s">
        <v>1639</v>
      </c>
      <c r="AH21" s="181" t="s">
        <v>1639</v>
      </c>
      <c r="AI21" s="181" t="s">
        <v>1639</v>
      </c>
      <c r="AJ21" s="181" t="s">
        <v>1639</v>
      </c>
      <c r="AK21" s="181" t="s">
        <v>1639</v>
      </c>
      <c r="AL21" s="181" t="s">
        <v>1639</v>
      </c>
      <c r="AM21" s="181" t="s">
        <v>1639</v>
      </c>
      <c r="AN21" s="181" t="s">
        <v>1639</v>
      </c>
      <c r="AO21" s="181" t="s">
        <v>1639</v>
      </c>
      <c r="AP21" s="181"/>
      <c r="AQ21" s="181" t="s">
        <v>1639</v>
      </c>
      <c r="AR21" s="181" t="s">
        <v>1639</v>
      </c>
      <c r="AS21" s="181" t="s">
        <v>1639</v>
      </c>
      <c r="AT21" s="181" t="s">
        <v>1639</v>
      </c>
      <c r="AU21" s="181" t="s">
        <v>1639</v>
      </c>
      <c r="AV21" s="181" t="s">
        <v>1639</v>
      </c>
      <c r="AW21" s="181" t="s">
        <v>1639</v>
      </c>
      <c r="AX21" s="181" t="s">
        <v>1639</v>
      </c>
      <c r="AY21" s="181" t="s">
        <v>1639</v>
      </c>
      <c r="AZ21" s="181" t="s">
        <v>1639</v>
      </c>
      <c r="BA21" s="181" t="s">
        <v>1639</v>
      </c>
      <c r="BB21" s="181" t="s">
        <v>1639</v>
      </c>
      <c r="BC21" s="181" t="s">
        <v>1639</v>
      </c>
      <c r="BD21" s="181" t="s">
        <v>1639</v>
      </c>
      <c r="BE21" s="181" t="s">
        <v>1639</v>
      </c>
      <c r="BF21" s="181" t="s">
        <v>1639</v>
      </c>
      <c r="BG21" s="181" t="s">
        <v>1639</v>
      </c>
      <c r="BH21" s="181" t="s">
        <v>1639</v>
      </c>
      <c r="BI21" s="181" t="s">
        <v>1639</v>
      </c>
      <c r="BJ21" s="181" t="s">
        <v>1639</v>
      </c>
    </row>
    <row r="22" spans="2:62" s="221" customFormat="1" ht="22.9" customHeight="1" x14ac:dyDescent="0.3">
      <c r="B22" s="261"/>
      <c r="C22" s="179">
        <v>19</v>
      </c>
      <c r="D22" s="179"/>
      <c r="E22" s="185"/>
      <c r="F22" s="179"/>
      <c r="G22" s="179"/>
      <c r="H22" s="179"/>
      <c r="I22" s="179"/>
      <c r="J22" s="184"/>
      <c r="K22" s="179"/>
      <c r="L22" s="179"/>
      <c r="M22" s="188"/>
      <c r="N22" s="188"/>
      <c r="O22" s="179"/>
      <c r="P22" s="220"/>
      <c r="Q22" s="220"/>
      <c r="R22" s="220"/>
      <c r="S22" s="220"/>
      <c r="T22" s="220"/>
      <c r="U22" s="220"/>
      <c r="V22" s="181"/>
      <c r="W22" s="181"/>
      <c r="X22" s="181"/>
      <c r="Y22" s="181"/>
      <c r="Z22" s="181"/>
      <c r="AA22" s="181"/>
      <c r="AB22" s="181"/>
      <c r="AC22" s="181" t="s">
        <v>1639</v>
      </c>
      <c r="AD22" s="181" t="s">
        <v>1639</v>
      </c>
      <c r="AE22" s="181" t="s">
        <v>1639</v>
      </c>
      <c r="AF22" s="181" t="s">
        <v>1639</v>
      </c>
      <c r="AG22" s="181" t="s">
        <v>1639</v>
      </c>
      <c r="AH22" s="181" t="s">
        <v>1639</v>
      </c>
      <c r="AI22" s="181" t="s">
        <v>1639</v>
      </c>
      <c r="AJ22" s="181" t="s">
        <v>1639</v>
      </c>
      <c r="AK22" s="181" t="s">
        <v>1639</v>
      </c>
      <c r="AL22" s="181" t="s">
        <v>1639</v>
      </c>
      <c r="AM22" s="181" t="s">
        <v>1639</v>
      </c>
      <c r="AN22" s="181" t="s">
        <v>1639</v>
      </c>
      <c r="AO22" s="181" t="s">
        <v>1639</v>
      </c>
      <c r="AP22" s="181"/>
      <c r="AQ22" s="181" t="s">
        <v>1639</v>
      </c>
      <c r="AR22" s="181" t="s">
        <v>1639</v>
      </c>
      <c r="AS22" s="181" t="s">
        <v>1639</v>
      </c>
      <c r="AT22" s="181" t="s">
        <v>1639</v>
      </c>
      <c r="AU22" s="181" t="s">
        <v>1639</v>
      </c>
      <c r="AV22" s="181" t="s">
        <v>1639</v>
      </c>
      <c r="AW22" s="181" t="s">
        <v>1639</v>
      </c>
      <c r="AX22" s="181" t="s">
        <v>1639</v>
      </c>
      <c r="AY22" s="181" t="s">
        <v>1639</v>
      </c>
      <c r="AZ22" s="181" t="s">
        <v>1639</v>
      </c>
      <c r="BA22" s="181" t="s">
        <v>1639</v>
      </c>
      <c r="BB22" s="181" t="s">
        <v>1639</v>
      </c>
      <c r="BC22" s="181" t="s">
        <v>1639</v>
      </c>
      <c r="BD22" s="181" t="s">
        <v>1639</v>
      </c>
      <c r="BE22" s="181" t="s">
        <v>1639</v>
      </c>
      <c r="BF22" s="181" t="s">
        <v>1639</v>
      </c>
      <c r="BG22" s="181" t="s">
        <v>1639</v>
      </c>
      <c r="BH22" s="181" t="s">
        <v>1639</v>
      </c>
      <c r="BI22" s="181" t="s">
        <v>1639</v>
      </c>
      <c r="BJ22" s="181" t="s">
        <v>1639</v>
      </c>
    </row>
    <row r="23" spans="2:62" s="221" customFormat="1" ht="22.9" customHeight="1" x14ac:dyDescent="0.3">
      <c r="B23" s="261"/>
      <c r="C23" s="179">
        <v>20</v>
      </c>
      <c r="D23" s="179"/>
      <c r="E23" s="185"/>
      <c r="F23" s="179"/>
      <c r="G23" s="179"/>
      <c r="H23" s="179"/>
      <c r="I23" s="179"/>
      <c r="J23" s="184"/>
      <c r="K23" s="179"/>
      <c r="L23" s="179"/>
      <c r="M23" s="188"/>
      <c r="N23" s="188"/>
      <c r="O23" s="179"/>
      <c r="P23" s="220"/>
      <c r="Q23" s="220"/>
      <c r="R23" s="220"/>
      <c r="S23" s="220"/>
      <c r="T23" s="220"/>
      <c r="U23" s="220"/>
      <c r="V23" s="181"/>
      <c r="W23" s="181"/>
      <c r="X23" s="181"/>
      <c r="Y23" s="181"/>
      <c r="Z23" s="181"/>
      <c r="AA23" s="181"/>
      <c r="AB23" s="181"/>
      <c r="AC23" s="181" t="s">
        <v>1639</v>
      </c>
      <c r="AD23" s="181" t="s">
        <v>1639</v>
      </c>
      <c r="AE23" s="181" t="s">
        <v>1639</v>
      </c>
      <c r="AF23" s="181" t="s">
        <v>1639</v>
      </c>
      <c r="AG23" s="181" t="s">
        <v>1639</v>
      </c>
      <c r="AH23" s="181" t="s">
        <v>1639</v>
      </c>
      <c r="AI23" s="181" t="s">
        <v>1639</v>
      </c>
      <c r="AJ23" s="181" t="s">
        <v>1639</v>
      </c>
      <c r="AK23" s="181" t="s">
        <v>1639</v>
      </c>
      <c r="AL23" s="181" t="s">
        <v>1639</v>
      </c>
      <c r="AM23" s="181" t="s">
        <v>1639</v>
      </c>
      <c r="AN23" s="181" t="s">
        <v>1639</v>
      </c>
      <c r="AO23" s="181" t="s">
        <v>1639</v>
      </c>
      <c r="AP23" s="181"/>
      <c r="AQ23" s="181" t="s">
        <v>1639</v>
      </c>
      <c r="AR23" s="181" t="s">
        <v>1639</v>
      </c>
      <c r="AS23" s="181" t="s">
        <v>1639</v>
      </c>
      <c r="AT23" s="181" t="s">
        <v>1639</v>
      </c>
      <c r="AU23" s="181" t="s">
        <v>1639</v>
      </c>
      <c r="AV23" s="181" t="s">
        <v>1639</v>
      </c>
      <c r="AW23" s="181" t="s">
        <v>1639</v>
      </c>
      <c r="AX23" s="181" t="s">
        <v>1639</v>
      </c>
      <c r="AY23" s="181" t="s">
        <v>1639</v>
      </c>
      <c r="AZ23" s="181" t="s">
        <v>1639</v>
      </c>
      <c r="BA23" s="181" t="s">
        <v>1639</v>
      </c>
      <c r="BB23" s="181" t="s">
        <v>1639</v>
      </c>
      <c r="BC23" s="181" t="s">
        <v>1639</v>
      </c>
      <c r="BD23" s="181" t="s">
        <v>1639</v>
      </c>
      <c r="BE23" s="181" t="s">
        <v>1639</v>
      </c>
      <c r="BF23" s="181" t="s">
        <v>1639</v>
      </c>
      <c r="BG23" s="181" t="s">
        <v>1639</v>
      </c>
      <c r="BH23" s="181" t="s">
        <v>1639</v>
      </c>
      <c r="BI23" s="181" t="s">
        <v>1639</v>
      </c>
      <c r="BJ23" s="181" t="s">
        <v>1639</v>
      </c>
    </row>
    <row r="24" spans="2:62" s="221" customFormat="1" ht="22.9" customHeight="1" x14ac:dyDescent="0.3">
      <c r="B24" s="261"/>
      <c r="C24" s="179">
        <v>21</v>
      </c>
      <c r="D24" s="179"/>
      <c r="E24" s="185"/>
      <c r="F24" s="179"/>
      <c r="G24" s="179"/>
      <c r="H24" s="179"/>
      <c r="I24" s="179"/>
      <c r="J24" s="184"/>
      <c r="K24" s="179"/>
      <c r="L24" s="179"/>
      <c r="M24" s="188"/>
      <c r="N24" s="188"/>
      <c r="O24" s="179"/>
      <c r="P24" s="220"/>
      <c r="Q24" s="220"/>
      <c r="R24" s="220"/>
      <c r="S24" s="220"/>
      <c r="T24" s="220"/>
      <c r="U24" s="220"/>
      <c r="V24" s="181"/>
      <c r="W24" s="181"/>
      <c r="X24" s="181"/>
      <c r="Y24" s="181"/>
      <c r="Z24" s="181"/>
      <c r="AA24" s="181"/>
      <c r="AB24" s="181"/>
      <c r="AC24" s="181" t="s">
        <v>1639</v>
      </c>
      <c r="AD24" s="181" t="s">
        <v>1639</v>
      </c>
      <c r="AE24" s="181" t="s">
        <v>1639</v>
      </c>
      <c r="AF24" s="181" t="s">
        <v>1639</v>
      </c>
      <c r="AG24" s="181" t="s">
        <v>1639</v>
      </c>
      <c r="AH24" s="181" t="s">
        <v>1639</v>
      </c>
      <c r="AI24" s="181" t="s">
        <v>1639</v>
      </c>
      <c r="AJ24" s="181" t="s">
        <v>1639</v>
      </c>
      <c r="AK24" s="181" t="s">
        <v>1639</v>
      </c>
      <c r="AL24" s="181" t="s">
        <v>1639</v>
      </c>
      <c r="AM24" s="181" t="s">
        <v>1639</v>
      </c>
      <c r="AN24" s="181" t="s">
        <v>1639</v>
      </c>
      <c r="AO24" s="181" t="s">
        <v>1639</v>
      </c>
      <c r="AP24" s="181"/>
      <c r="AQ24" s="181" t="s">
        <v>1639</v>
      </c>
      <c r="AR24" s="181" t="s">
        <v>1639</v>
      </c>
      <c r="AS24" s="181" t="s">
        <v>1639</v>
      </c>
      <c r="AT24" s="181" t="s">
        <v>1639</v>
      </c>
      <c r="AU24" s="181" t="s">
        <v>1639</v>
      </c>
      <c r="AV24" s="181" t="s">
        <v>1639</v>
      </c>
      <c r="AW24" s="181" t="s">
        <v>1639</v>
      </c>
      <c r="AX24" s="181" t="s">
        <v>1639</v>
      </c>
      <c r="AY24" s="181" t="s">
        <v>1639</v>
      </c>
      <c r="AZ24" s="181" t="s">
        <v>1639</v>
      </c>
      <c r="BA24" s="181" t="s">
        <v>1639</v>
      </c>
      <c r="BB24" s="181" t="s">
        <v>1639</v>
      </c>
      <c r="BC24" s="181" t="s">
        <v>1639</v>
      </c>
      <c r="BD24" s="181" t="s">
        <v>1639</v>
      </c>
      <c r="BE24" s="181" t="s">
        <v>1639</v>
      </c>
      <c r="BF24" s="181" t="s">
        <v>1639</v>
      </c>
      <c r="BG24" s="181" t="s">
        <v>1639</v>
      </c>
      <c r="BH24" s="181" t="s">
        <v>1639</v>
      </c>
      <c r="BI24" s="181" t="s">
        <v>1639</v>
      </c>
      <c r="BJ24" s="181" t="s">
        <v>1639</v>
      </c>
    </row>
    <row r="25" spans="2:62" s="221" customFormat="1" ht="22.9" customHeight="1" x14ac:dyDescent="0.3">
      <c r="B25" s="261"/>
      <c r="C25" s="179">
        <v>22</v>
      </c>
      <c r="D25" s="179"/>
      <c r="E25" s="185"/>
      <c r="F25" s="179"/>
      <c r="G25" s="179"/>
      <c r="H25" s="179"/>
      <c r="I25" s="179"/>
      <c r="J25" s="184"/>
      <c r="K25" s="179"/>
      <c r="L25" s="179"/>
      <c r="M25" s="188"/>
      <c r="N25" s="188"/>
      <c r="O25" s="179"/>
      <c r="P25" s="220"/>
      <c r="Q25" s="220"/>
      <c r="R25" s="220"/>
      <c r="S25" s="220"/>
      <c r="T25" s="220"/>
      <c r="U25" s="220"/>
      <c r="V25" s="181"/>
      <c r="W25" s="181"/>
      <c r="X25" s="181"/>
      <c r="Y25" s="181"/>
      <c r="Z25" s="181"/>
      <c r="AA25" s="181"/>
      <c r="AB25" s="181"/>
      <c r="AC25" s="181" t="s">
        <v>1639</v>
      </c>
      <c r="AD25" s="181" t="s">
        <v>1639</v>
      </c>
      <c r="AE25" s="181" t="s">
        <v>1639</v>
      </c>
      <c r="AF25" s="181" t="s">
        <v>1639</v>
      </c>
      <c r="AG25" s="181" t="s">
        <v>1639</v>
      </c>
      <c r="AH25" s="181" t="s">
        <v>1639</v>
      </c>
      <c r="AI25" s="181" t="s">
        <v>1639</v>
      </c>
      <c r="AJ25" s="181" t="s">
        <v>1639</v>
      </c>
      <c r="AK25" s="181" t="s">
        <v>1639</v>
      </c>
      <c r="AL25" s="181" t="s">
        <v>1639</v>
      </c>
      <c r="AM25" s="181" t="s">
        <v>1639</v>
      </c>
      <c r="AN25" s="181" t="s">
        <v>1639</v>
      </c>
      <c r="AO25" s="181" t="s">
        <v>1639</v>
      </c>
      <c r="AP25" s="181"/>
      <c r="AQ25" s="181" t="s">
        <v>1639</v>
      </c>
      <c r="AR25" s="181" t="s">
        <v>1639</v>
      </c>
      <c r="AS25" s="181" t="s">
        <v>1639</v>
      </c>
      <c r="AT25" s="181" t="s">
        <v>1639</v>
      </c>
      <c r="AU25" s="181" t="s">
        <v>1639</v>
      </c>
      <c r="AV25" s="181" t="s">
        <v>1639</v>
      </c>
      <c r="AW25" s="181" t="s">
        <v>1639</v>
      </c>
      <c r="AX25" s="181" t="s">
        <v>1639</v>
      </c>
      <c r="AY25" s="181" t="s">
        <v>1639</v>
      </c>
      <c r="AZ25" s="181" t="s">
        <v>1639</v>
      </c>
      <c r="BA25" s="181" t="s">
        <v>1639</v>
      </c>
      <c r="BB25" s="181" t="s">
        <v>1639</v>
      </c>
      <c r="BC25" s="181" t="s">
        <v>1639</v>
      </c>
      <c r="BD25" s="181" t="s">
        <v>1639</v>
      </c>
      <c r="BE25" s="181" t="s">
        <v>1639</v>
      </c>
      <c r="BF25" s="181" t="s">
        <v>1639</v>
      </c>
      <c r="BG25" s="181" t="s">
        <v>1639</v>
      </c>
      <c r="BH25" s="181" t="s">
        <v>1639</v>
      </c>
      <c r="BI25" s="181" t="s">
        <v>1639</v>
      </c>
      <c r="BJ25" s="181" t="s">
        <v>1639</v>
      </c>
    </row>
    <row r="26" spans="2:62" s="221" customFormat="1" ht="22.9" customHeight="1" x14ac:dyDescent="0.3">
      <c r="B26" s="261"/>
      <c r="C26" s="179">
        <v>23</v>
      </c>
      <c r="D26" s="179"/>
      <c r="E26" s="185"/>
      <c r="F26" s="179"/>
      <c r="G26" s="179"/>
      <c r="H26" s="179"/>
      <c r="I26" s="179"/>
      <c r="J26" s="184"/>
      <c r="K26" s="179"/>
      <c r="L26" s="179"/>
      <c r="M26" s="188"/>
      <c r="N26" s="188"/>
      <c r="O26" s="179"/>
      <c r="P26" s="220"/>
      <c r="Q26" s="220"/>
      <c r="R26" s="220"/>
      <c r="S26" s="220"/>
      <c r="T26" s="220"/>
      <c r="U26" s="220"/>
      <c r="V26" s="181"/>
      <c r="W26" s="181"/>
      <c r="X26" s="181"/>
      <c r="Y26" s="181"/>
      <c r="Z26" s="181"/>
      <c r="AA26" s="181"/>
      <c r="AB26" s="181"/>
      <c r="AC26" s="181" t="s">
        <v>1639</v>
      </c>
      <c r="AD26" s="181" t="s">
        <v>1639</v>
      </c>
      <c r="AE26" s="181" t="s">
        <v>1639</v>
      </c>
      <c r="AF26" s="181" t="s">
        <v>1639</v>
      </c>
      <c r="AG26" s="181" t="s">
        <v>1639</v>
      </c>
      <c r="AH26" s="181" t="s">
        <v>1639</v>
      </c>
      <c r="AI26" s="181" t="s">
        <v>1639</v>
      </c>
      <c r="AJ26" s="181" t="s">
        <v>1639</v>
      </c>
      <c r="AK26" s="181" t="s">
        <v>1639</v>
      </c>
      <c r="AL26" s="181" t="s">
        <v>1639</v>
      </c>
      <c r="AM26" s="181" t="s">
        <v>1639</v>
      </c>
      <c r="AN26" s="181" t="s">
        <v>1639</v>
      </c>
      <c r="AO26" s="181" t="s">
        <v>1639</v>
      </c>
      <c r="AP26" s="181"/>
      <c r="AQ26" s="181" t="s">
        <v>1639</v>
      </c>
      <c r="AR26" s="181" t="s">
        <v>1639</v>
      </c>
      <c r="AS26" s="181" t="s">
        <v>1639</v>
      </c>
      <c r="AT26" s="181" t="s">
        <v>1639</v>
      </c>
      <c r="AU26" s="181" t="s">
        <v>1639</v>
      </c>
      <c r="AV26" s="181" t="s">
        <v>1639</v>
      </c>
      <c r="AW26" s="181" t="s">
        <v>1639</v>
      </c>
      <c r="AX26" s="181" t="s">
        <v>1639</v>
      </c>
      <c r="AY26" s="181" t="s">
        <v>1639</v>
      </c>
      <c r="AZ26" s="181" t="s">
        <v>1639</v>
      </c>
      <c r="BA26" s="181" t="s">
        <v>1639</v>
      </c>
      <c r="BB26" s="181" t="s">
        <v>1639</v>
      </c>
      <c r="BC26" s="181" t="s">
        <v>1639</v>
      </c>
      <c r="BD26" s="181" t="s">
        <v>1639</v>
      </c>
      <c r="BE26" s="181" t="s">
        <v>1639</v>
      </c>
      <c r="BF26" s="181" t="s">
        <v>1639</v>
      </c>
      <c r="BG26" s="181" t="s">
        <v>1639</v>
      </c>
      <c r="BH26" s="181" t="s">
        <v>1639</v>
      </c>
      <c r="BI26" s="181" t="s">
        <v>1639</v>
      </c>
      <c r="BJ26" s="181" t="s">
        <v>1639</v>
      </c>
    </row>
    <row r="27" spans="2:62" s="221" customFormat="1" ht="22.9" customHeight="1" x14ac:dyDescent="0.3">
      <c r="B27" s="261"/>
      <c r="C27" s="179">
        <v>24</v>
      </c>
      <c r="D27" s="179"/>
      <c r="E27" s="185"/>
      <c r="F27" s="179"/>
      <c r="G27" s="179"/>
      <c r="H27" s="179"/>
      <c r="I27" s="179"/>
      <c r="J27" s="184"/>
      <c r="K27" s="179"/>
      <c r="L27" s="179"/>
      <c r="M27" s="188"/>
      <c r="N27" s="188"/>
      <c r="O27" s="179"/>
      <c r="P27" s="220"/>
      <c r="Q27" s="220"/>
      <c r="R27" s="220"/>
      <c r="S27" s="220"/>
      <c r="T27" s="220"/>
      <c r="U27" s="220"/>
      <c r="V27" s="181"/>
      <c r="W27" s="181"/>
      <c r="X27" s="181"/>
      <c r="Y27" s="181"/>
      <c r="Z27" s="181"/>
      <c r="AA27" s="181"/>
      <c r="AB27" s="181"/>
      <c r="AC27" s="181" t="s">
        <v>1639</v>
      </c>
      <c r="AD27" s="181" t="s">
        <v>1639</v>
      </c>
      <c r="AE27" s="181" t="s">
        <v>1639</v>
      </c>
      <c r="AF27" s="181" t="s">
        <v>1639</v>
      </c>
      <c r="AG27" s="181" t="s">
        <v>1639</v>
      </c>
      <c r="AH27" s="181" t="s">
        <v>1639</v>
      </c>
      <c r="AI27" s="181" t="s">
        <v>1639</v>
      </c>
      <c r="AJ27" s="181" t="s">
        <v>1639</v>
      </c>
      <c r="AK27" s="181" t="s">
        <v>1639</v>
      </c>
      <c r="AL27" s="181" t="s">
        <v>1639</v>
      </c>
      <c r="AM27" s="181" t="s">
        <v>1639</v>
      </c>
      <c r="AN27" s="181" t="s">
        <v>1639</v>
      </c>
      <c r="AO27" s="181" t="s">
        <v>1639</v>
      </c>
      <c r="AP27" s="181"/>
      <c r="AQ27" s="181" t="s">
        <v>1639</v>
      </c>
      <c r="AR27" s="181" t="s">
        <v>1639</v>
      </c>
      <c r="AS27" s="181" t="s">
        <v>1639</v>
      </c>
      <c r="AT27" s="181" t="s">
        <v>1639</v>
      </c>
      <c r="AU27" s="181" t="s">
        <v>1639</v>
      </c>
      <c r="AV27" s="181" t="s">
        <v>1639</v>
      </c>
      <c r="AW27" s="181" t="s">
        <v>1639</v>
      </c>
      <c r="AX27" s="181" t="s">
        <v>1639</v>
      </c>
      <c r="AY27" s="181" t="s">
        <v>1639</v>
      </c>
      <c r="AZ27" s="181" t="s">
        <v>1639</v>
      </c>
      <c r="BA27" s="181" t="s">
        <v>1639</v>
      </c>
      <c r="BB27" s="181" t="s">
        <v>1639</v>
      </c>
      <c r="BC27" s="181" t="s">
        <v>1639</v>
      </c>
      <c r="BD27" s="181" t="s">
        <v>1639</v>
      </c>
      <c r="BE27" s="181" t="s">
        <v>1639</v>
      </c>
      <c r="BF27" s="181" t="s">
        <v>1639</v>
      </c>
      <c r="BG27" s="181" t="s">
        <v>1639</v>
      </c>
      <c r="BH27" s="181" t="s">
        <v>1639</v>
      </c>
      <c r="BI27" s="181" t="s">
        <v>1639</v>
      </c>
      <c r="BJ27" s="181" t="s">
        <v>1639</v>
      </c>
    </row>
    <row r="28" spans="2:62" s="221" customFormat="1" ht="22.9" customHeight="1" x14ac:dyDescent="0.3">
      <c r="B28" s="261"/>
      <c r="C28" s="179">
        <v>25</v>
      </c>
      <c r="D28" s="179"/>
      <c r="E28" s="185"/>
      <c r="F28" s="179"/>
      <c r="G28" s="179"/>
      <c r="H28" s="179"/>
      <c r="I28" s="179"/>
      <c r="J28" s="184"/>
      <c r="K28" s="179"/>
      <c r="L28" s="179"/>
      <c r="M28" s="188"/>
      <c r="N28" s="188"/>
      <c r="O28" s="179"/>
      <c r="P28" s="220"/>
      <c r="Q28" s="220"/>
      <c r="R28" s="220"/>
      <c r="S28" s="220"/>
      <c r="T28" s="220"/>
      <c r="U28" s="220"/>
      <c r="V28" s="181"/>
      <c r="W28" s="181"/>
      <c r="X28" s="181"/>
      <c r="Y28" s="181"/>
      <c r="Z28" s="181"/>
      <c r="AA28" s="181"/>
      <c r="AB28" s="181"/>
      <c r="AC28" s="181" t="s">
        <v>1639</v>
      </c>
      <c r="AD28" s="181" t="s">
        <v>1639</v>
      </c>
      <c r="AE28" s="181" t="s">
        <v>1639</v>
      </c>
      <c r="AF28" s="181" t="s">
        <v>1639</v>
      </c>
      <c r="AG28" s="181" t="s">
        <v>1639</v>
      </c>
      <c r="AH28" s="181" t="s">
        <v>1639</v>
      </c>
      <c r="AI28" s="181" t="s">
        <v>1639</v>
      </c>
      <c r="AJ28" s="181" t="s">
        <v>1639</v>
      </c>
      <c r="AK28" s="181" t="s">
        <v>1639</v>
      </c>
      <c r="AL28" s="181" t="s">
        <v>1639</v>
      </c>
      <c r="AM28" s="181" t="s">
        <v>1639</v>
      </c>
      <c r="AN28" s="181" t="s">
        <v>1639</v>
      </c>
      <c r="AO28" s="181" t="s">
        <v>1639</v>
      </c>
      <c r="AP28" s="181"/>
      <c r="AQ28" s="181" t="s">
        <v>1639</v>
      </c>
      <c r="AR28" s="181" t="s">
        <v>1639</v>
      </c>
      <c r="AS28" s="181" t="s">
        <v>1639</v>
      </c>
      <c r="AT28" s="181" t="s">
        <v>1639</v>
      </c>
      <c r="AU28" s="181" t="s">
        <v>1639</v>
      </c>
      <c r="AV28" s="181" t="s">
        <v>1639</v>
      </c>
      <c r="AW28" s="181" t="s">
        <v>1639</v>
      </c>
      <c r="AX28" s="181" t="s">
        <v>1639</v>
      </c>
      <c r="AY28" s="181" t="s">
        <v>1639</v>
      </c>
      <c r="AZ28" s="181" t="s">
        <v>1639</v>
      </c>
      <c r="BA28" s="181" t="s">
        <v>1639</v>
      </c>
      <c r="BB28" s="181" t="s">
        <v>1639</v>
      </c>
      <c r="BC28" s="181" t="s">
        <v>1639</v>
      </c>
      <c r="BD28" s="181" t="s">
        <v>1639</v>
      </c>
      <c r="BE28" s="181" t="s">
        <v>1639</v>
      </c>
      <c r="BF28" s="181" t="s">
        <v>1639</v>
      </c>
      <c r="BG28" s="181" t="s">
        <v>1639</v>
      </c>
      <c r="BH28" s="181" t="s">
        <v>1639</v>
      </c>
      <c r="BI28" s="181" t="s">
        <v>1639</v>
      </c>
      <c r="BJ28" s="181" t="s">
        <v>1639</v>
      </c>
    </row>
    <row r="29" spans="2:62" s="221" customFormat="1" ht="22.9" customHeight="1" x14ac:dyDescent="0.3">
      <c r="B29" s="261"/>
      <c r="C29" s="179">
        <v>26</v>
      </c>
      <c r="D29" s="179"/>
      <c r="E29" s="185"/>
      <c r="F29" s="179"/>
      <c r="G29" s="179"/>
      <c r="H29" s="179"/>
      <c r="I29" s="179"/>
      <c r="J29" s="184"/>
      <c r="K29" s="179"/>
      <c r="L29" s="179"/>
      <c r="M29" s="188"/>
      <c r="N29" s="188"/>
      <c r="O29" s="179"/>
      <c r="P29" s="220"/>
      <c r="Q29" s="220"/>
      <c r="R29" s="220"/>
      <c r="S29" s="220"/>
      <c r="T29" s="220"/>
      <c r="U29" s="220"/>
      <c r="V29" s="181"/>
      <c r="W29" s="181"/>
      <c r="X29" s="181"/>
      <c r="Y29" s="181"/>
      <c r="Z29" s="181"/>
      <c r="AA29" s="181"/>
      <c r="AB29" s="181"/>
      <c r="AC29" s="181" t="s">
        <v>1639</v>
      </c>
      <c r="AD29" s="181" t="s">
        <v>1639</v>
      </c>
      <c r="AE29" s="181" t="s">
        <v>1639</v>
      </c>
      <c r="AF29" s="181" t="s">
        <v>1639</v>
      </c>
      <c r="AG29" s="181" t="s">
        <v>1639</v>
      </c>
      <c r="AH29" s="181" t="s">
        <v>1639</v>
      </c>
      <c r="AI29" s="181" t="s">
        <v>1639</v>
      </c>
      <c r="AJ29" s="181" t="s">
        <v>1639</v>
      </c>
      <c r="AK29" s="181" t="s">
        <v>1639</v>
      </c>
      <c r="AL29" s="181" t="s">
        <v>1639</v>
      </c>
      <c r="AM29" s="181" t="s">
        <v>1639</v>
      </c>
      <c r="AN29" s="181" t="s">
        <v>1639</v>
      </c>
      <c r="AO29" s="181" t="s">
        <v>1639</v>
      </c>
      <c r="AP29" s="181"/>
      <c r="AQ29" s="181" t="s">
        <v>1639</v>
      </c>
      <c r="AR29" s="181" t="s">
        <v>1639</v>
      </c>
      <c r="AS29" s="181" t="s">
        <v>1639</v>
      </c>
      <c r="AT29" s="181" t="s">
        <v>1639</v>
      </c>
      <c r="AU29" s="181" t="s">
        <v>1639</v>
      </c>
      <c r="AV29" s="181" t="s">
        <v>1639</v>
      </c>
      <c r="AW29" s="181" t="s">
        <v>1639</v>
      </c>
      <c r="AX29" s="181" t="s">
        <v>1639</v>
      </c>
      <c r="AY29" s="181" t="s">
        <v>1639</v>
      </c>
      <c r="AZ29" s="181" t="s">
        <v>1639</v>
      </c>
      <c r="BA29" s="181" t="s">
        <v>1639</v>
      </c>
      <c r="BB29" s="181" t="s">
        <v>1639</v>
      </c>
      <c r="BC29" s="181" t="s">
        <v>1639</v>
      </c>
      <c r="BD29" s="181" t="s">
        <v>1639</v>
      </c>
      <c r="BE29" s="181" t="s">
        <v>1639</v>
      </c>
      <c r="BF29" s="181" t="s">
        <v>1639</v>
      </c>
      <c r="BG29" s="181" t="s">
        <v>1639</v>
      </c>
      <c r="BH29" s="181" t="s">
        <v>1639</v>
      </c>
      <c r="BI29" s="181" t="s">
        <v>1639</v>
      </c>
      <c r="BJ29" s="181" t="s">
        <v>1639</v>
      </c>
    </row>
    <row r="30" spans="2:62" s="221" customFormat="1" ht="22.9" customHeight="1" x14ac:dyDescent="0.3">
      <c r="B30" s="261"/>
      <c r="C30" s="179">
        <v>27</v>
      </c>
      <c r="D30" s="179"/>
      <c r="E30" s="185"/>
      <c r="F30" s="179"/>
      <c r="G30" s="179"/>
      <c r="H30" s="179"/>
      <c r="I30" s="179"/>
      <c r="J30" s="184"/>
      <c r="K30" s="179"/>
      <c r="L30" s="250"/>
      <c r="M30" s="250"/>
      <c r="N30" s="250"/>
      <c r="O30" s="250"/>
      <c r="P30" s="220"/>
      <c r="Q30" s="220"/>
      <c r="R30" s="220"/>
      <c r="S30" s="220"/>
      <c r="T30" s="220"/>
      <c r="U30" s="220"/>
      <c r="V30" s="181"/>
      <c r="W30" s="181"/>
      <c r="X30" s="181"/>
      <c r="Y30" s="181"/>
      <c r="Z30" s="181"/>
      <c r="AA30" s="181"/>
      <c r="AB30" s="181"/>
      <c r="AC30" s="181" t="s">
        <v>1639</v>
      </c>
      <c r="AD30" s="181" t="s">
        <v>1639</v>
      </c>
      <c r="AE30" s="181" t="s">
        <v>1639</v>
      </c>
      <c r="AF30" s="181" t="s">
        <v>1639</v>
      </c>
      <c r="AG30" s="181" t="s">
        <v>1639</v>
      </c>
      <c r="AH30" s="181" t="s">
        <v>1639</v>
      </c>
      <c r="AI30" s="181" t="s">
        <v>1639</v>
      </c>
      <c r="AJ30" s="181" t="s">
        <v>1639</v>
      </c>
      <c r="AK30" s="181" t="s">
        <v>1639</v>
      </c>
      <c r="AL30" s="181" t="s">
        <v>1639</v>
      </c>
      <c r="AM30" s="181" t="s">
        <v>1639</v>
      </c>
      <c r="AN30" s="181" t="s">
        <v>1639</v>
      </c>
      <c r="AO30" s="181" t="s">
        <v>1639</v>
      </c>
      <c r="AP30" s="181"/>
      <c r="AQ30" s="181" t="s">
        <v>1639</v>
      </c>
      <c r="AR30" s="181" t="s">
        <v>1639</v>
      </c>
      <c r="AS30" s="181" t="s">
        <v>1639</v>
      </c>
      <c r="AT30" s="181" t="s">
        <v>1639</v>
      </c>
      <c r="AU30" s="181" t="s">
        <v>1639</v>
      </c>
      <c r="AV30" s="181" t="s">
        <v>1639</v>
      </c>
      <c r="AW30" s="181" t="s">
        <v>1639</v>
      </c>
      <c r="AX30" s="181" t="s">
        <v>1639</v>
      </c>
      <c r="AY30" s="181" t="s">
        <v>1639</v>
      </c>
      <c r="AZ30" s="181" t="s">
        <v>1639</v>
      </c>
      <c r="BA30" s="181" t="s">
        <v>1639</v>
      </c>
      <c r="BB30" s="181" t="s">
        <v>1639</v>
      </c>
      <c r="BC30" s="181" t="s">
        <v>1639</v>
      </c>
      <c r="BD30" s="181" t="s">
        <v>1639</v>
      </c>
      <c r="BE30" s="181" t="s">
        <v>1639</v>
      </c>
      <c r="BF30" s="181" t="s">
        <v>1639</v>
      </c>
      <c r="BG30" s="181" t="s">
        <v>1639</v>
      </c>
      <c r="BH30" s="181" t="s">
        <v>1639</v>
      </c>
      <c r="BI30" s="181" t="s">
        <v>1639</v>
      </c>
      <c r="BJ30" s="181" t="s">
        <v>1639</v>
      </c>
    </row>
    <row r="31" spans="2:62" s="221" customFormat="1" ht="22.9" customHeight="1" x14ac:dyDescent="0.3">
      <c r="B31" s="261"/>
      <c r="C31" s="179">
        <v>28</v>
      </c>
      <c r="D31" s="179"/>
      <c r="E31" s="185"/>
      <c r="F31" s="179"/>
      <c r="G31" s="179"/>
      <c r="H31" s="179"/>
      <c r="I31" s="179"/>
      <c r="J31" s="184"/>
      <c r="K31" s="179"/>
      <c r="L31" s="179"/>
      <c r="M31" s="188"/>
      <c r="N31" s="188"/>
      <c r="O31" s="179"/>
      <c r="P31" s="220"/>
      <c r="Q31" s="220"/>
      <c r="R31" s="220"/>
      <c r="S31" s="220"/>
      <c r="T31" s="220"/>
      <c r="U31" s="220"/>
      <c r="V31" s="181"/>
      <c r="W31" s="181"/>
      <c r="X31" s="181"/>
      <c r="Y31" s="181"/>
      <c r="Z31" s="181"/>
      <c r="AA31" s="181"/>
      <c r="AB31" s="181"/>
      <c r="AC31" s="181" t="s">
        <v>1639</v>
      </c>
      <c r="AD31" s="181" t="s">
        <v>1639</v>
      </c>
      <c r="AE31" s="181" t="s">
        <v>1639</v>
      </c>
      <c r="AF31" s="181" t="s">
        <v>1639</v>
      </c>
      <c r="AG31" s="181" t="s">
        <v>1639</v>
      </c>
      <c r="AH31" s="181" t="s">
        <v>1639</v>
      </c>
      <c r="AI31" s="181" t="s">
        <v>1639</v>
      </c>
      <c r="AJ31" s="181" t="s">
        <v>1639</v>
      </c>
      <c r="AK31" s="181" t="s">
        <v>1639</v>
      </c>
      <c r="AL31" s="181" t="s">
        <v>1639</v>
      </c>
      <c r="AM31" s="181" t="s">
        <v>1639</v>
      </c>
      <c r="AN31" s="181" t="s">
        <v>1639</v>
      </c>
      <c r="AO31" s="181" t="s">
        <v>1639</v>
      </c>
      <c r="AP31" s="181"/>
      <c r="AQ31" s="181" t="s">
        <v>1639</v>
      </c>
      <c r="AR31" s="181" t="s">
        <v>1639</v>
      </c>
      <c r="AS31" s="181" t="s">
        <v>1639</v>
      </c>
      <c r="AT31" s="181" t="s">
        <v>1639</v>
      </c>
      <c r="AU31" s="181" t="s">
        <v>1639</v>
      </c>
      <c r="AV31" s="181" t="s">
        <v>1639</v>
      </c>
      <c r="AW31" s="181" t="s">
        <v>1639</v>
      </c>
      <c r="AX31" s="181" t="s">
        <v>1639</v>
      </c>
      <c r="AY31" s="181" t="s">
        <v>1639</v>
      </c>
      <c r="AZ31" s="181" t="s">
        <v>1639</v>
      </c>
      <c r="BA31" s="181" t="s">
        <v>1639</v>
      </c>
      <c r="BB31" s="181" t="s">
        <v>1639</v>
      </c>
      <c r="BC31" s="181" t="s">
        <v>1639</v>
      </c>
      <c r="BD31" s="181" t="s">
        <v>1639</v>
      </c>
      <c r="BE31" s="181" t="s">
        <v>1639</v>
      </c>
      <c r="BF31" s="181" t="s">
        <v>1639</v>
      </c>
      <c r="BG31" s="181" t="s">
        <v>1639</v>
      </c>
      <c r="BH31" s="181" t="s">
        <v>1639</v>
      </c>
      <c r="BI31" s="181" t="s">
        <v>1639</v>
      </c>
      <c r="BJ31" s="181" t="s">
        <v>1639</v>
      </c>
    </row>
    <row r="32" spans="2:62" s="221" customFormat="1" ht="22.9" customHeight="1" x14ac:dyDescent="0.3">
      <c r="B32" s="261"/>
      <c r="C32" s="179">
        <v>29</v>
      </c>
      <c r="D32" s="179"/>
      <c r="E32" s="185"/>
      <c r="F32" s="179"/>
      <c r="G32" s="179"/>
      <c r="H32" s="179"/>
      <c r="I32" s="179"/>
      <c r="J32" s="184"/>
      <c r="K32" s="179"/>
      <c r="L32" s="250"/>
      <c r="M32" s="250"/>
      <c r="N32" s="250"/>
      <c r="O32" s="250"/>
      <c r="P32" s="220"/>
      <c r="Q32" s="220"/>
      <c r="R32" s="220"/>
      <c r="S32" s="220"/>
      <c r="T32" s="220"/>
      <c r="U32" s="220"/>
      <c r="V32" s="181"/>
      <c r="W32" s="181"/>
      <c r="X32" s="181"/>
      <c r="Y32" s="181"/>
      <c r="Z32" s="181"/>
      <c r="AA32" s="181"/>
      <c r="AB32" s="181"/>
      <c r="AC32" s="181" t="s">
        <v>1639</v>
      </c>
      <c r="AD32" s="181" t="s">
        <v>1639</v>
      </c>
      <c r="AE32" s="181" t="s">
        <v>1639</v>
      </c>
      <c r="AF32" s="181" t="s">
        <v>1639</v>
      </c>
      <c r="AG32" s="181" t="s">
        <v>1639</v>
      </c>
      <c r="AH32" s="181" t="s">
        <v>1639</v>
      </c>
      <c r="AI32" s="181" t="s">
        <v>1639</v>
      </c>
      <c r="AJ32" s="181" t="s">
        <v>1639</v>
      </c>
      <c r="AK32" s="181" t="s">
        <v>1639</v>
      </c>
      <c r="AL32" s="181" t="s">
        <v>1639</v>
      </c>
      <c r="AM32" s="181" t="s">
        <v>1639</v>
      </c>
      <c r="AN32" s="181" t="s">
        <v>1639</v>
      </c>
      <c r="AO32" s="181" t="s">
        <v>1639</v>
      </c>
      <c r="AP32" s="181"/>
      <c r="AQ32" s="181" t="s">
        <v>1639</v>
      </c>
      <c r="AR32" s="181" t="s">
        <v>1639</v>
      </c>
      <c r="AS32" s="181" t="s">
        <v>1639</v>
      </c>
      <c r="AT32" s="181" t="s">
        <v>1639</v>
      </c>
      <c r="AU32" s="181" t="s">
        <v>1639</v>
      </c>
      <c r="AV32" s="181" t="s">
        <v>1639</v>
      </c>
      <c r="AW32" s="181" t="s">
        <v>1639</v>
      </c>
      <c r="AX32" s="181" t="s">
        <v>1639</v>
      </c>
      <c r="AY32" s="181" t="s">
        <v>1639</v>
      </c>
      <c r="AZ32" s="181" t="s">
        <v>1639</v>
      </c>
      <c r="BA32" s="181" t="s">
        <v>1639</v>
      </c>
      <c r="BB32" s="181" t="s">
        <v>1639</v>
      </c>
      <c r="BC32" s="181" t="s">
        <v>1639</v>
      </c>
      <c r="BD32" s="181" t="s">
        <v>1639</v>
      </c>
      <c r="BE32" s="181" t="s">
        <v>1639</v>
      </c>
      <c r="BF32" s="181" t="s">
        <v>1639</v>
      </c>
      <c r="BG32" s="181" t="s">
        <v>1639</v>
      </c>
      <c r="BH32" s="181" t="s">
        <v>1639</v>
      </c>
      <c r="BI32" s="181" t="s">
        <v>1639</v>
      </c>
      <c r="BJ32" s="181" t="s">
        <v>1639</v>
      </c>
    </row>
    <row r="33" spans="2:62" s="221" customFormat="1" ht="22.9" customHeight="1" x14ac:dyDescent="0.3">
      <c r="B33" s="261"/>
      <c r="C33" s="179">
        <v>30</v>
      </c>
      <c r="D33" s="179"/>
      <c r="E33" s="185"/>
      <c r="F33" s="179"/>
      <c r="G33" s="179"/>
      <c r="H33" s="179"/>
      <c r="I33" s="179"/>
      <c r="J33" s="184"/>
      <c r="K33" s="179"/>
      <c r="L33" s="179"/>
      <c r="M33" s="188"/>
      <c r="N33" s="188"/>
      <c r="O33" s="179"/>
      <c r="P33" s="220"/>
      <c r="Q33" s="220"/>
      <c r="R33" s="220"/>
      <c r="S33" s="220"/>
      <c r="T33" s="220"/>
      <c r="U33" s="220"/>
      <c r="V33" s="181"/>
      <c r="W33" s="181"/>
      <c r="X33" s="181"/>
      <c r="Y33" s="181"/>
      <c r="Z33" s="181"/>
      <c r="AA33" s="181"/>
      <c r="AB33" s="181"/>
      <c r="AC33" s="181" t="s">
        <v>1639</v>
      </c>
      <c r="AD33" s="181" t="s">
        <v>1639</v>
      </c>
      <c r="AE33" s="181" t="s">
        <v>1639</v>
      </c>
      <c r="AF33" s="181" t="s">
        <v>1639</v>
      </c>
      <c r="AG33" s="181" t="s">
        <v>1639</v>
      </c>
      <c r="AH33" s="181" t="s">
        <v>1639</v>
      </c>
      <c r="AI33" s="181" t="s">
        <v>1639</v>
      </c>
      <c r="AJ33" s="181" t="s">
        <v>1639</v>
      </c>
      <c r="AK33" s="181" t="s">
        <v>1639</v>
      </c>
      <c r="AL33" s="181" t="s">
        <v>1639</v>
      </c>
      <c r="AM33" s="181" t="s">
        <v>1639</v>
      </c>
      <c r="AN33" s="181" t="s">
        <v>1639</v>
      </c>
      <c r="AO33" s="181" t="s">
        <v>1639</v>
      </c>
      <c r="AP33" s="181"/>
      <c r="AQ33" s="181" t="s">
        <v>1639</v>
      </c>
      <c r="AR33" s="181" t="s">
        <v>1639</v>
      </c>
      <c r="AS33" s="181" t="s">
        <v>1639</v>
      </c>
      <c r="AT33" s="181" t="s">
        <v>1639</v>
      </c>
      <c r="AU33" s="181" t="s">
        <v>1639</v>
      </c>
      <c r="AV33" s="181" t="s">
        <v>1639</v>
      </c>
      <c r="AW33" s="181" t="s">
        <v>1639</v>
      </c>
      <c r="AX33" s="181" t="s">
        <v>1639</v>
      </c>
      <c r="AY33" s="181" t="s">
        <v>1639</v>
      </c>
      <c r="AZ33" s="181" t="s">
        <v>1639</v>
      </c>
      <c r="BA33" s="181" t="s">
        <v>1639</v>
      </c>
      <c r="BB33" s="181" t="s">
        <v>1639</v>
      </c>
      <c r="BC33" s="181" t="s">
        <v>1639</v>
      </c>
      <c r="BD33" s="181" t="s">
        <v>1639</v>
      </c>
      <c r="BE33" s="181" t="s">
        <v>1639</v>
      </c>
      <c r="BF33" s="181" t="s">
        <v>1639</v>
      </c>
      <c r="BG33" s="181" t="s">
        <v>1639</v>
      </c>
      <c r="BH33" s="181" t="s">
        <v>1639</v>
      </c>
      <c r="BI33" s="181" t="s">
        <v>1639</v>
      </c>
      <c r="BJ33" s="181" t="s">
        <v>1639</v>
      </c>
    </row>
    <row r="34" spans="2:62" s="221" customFormat="1" ht="22.9" customHeight="1" x14ac:dyDescent="0.3">
      <c r="B34" s="261"/>
      <c r="C34" s="179">
        <v>31</v>
      </c>
      <c r="D34" s="179"/>
      <c r="E34" s="185"/>
      <c r="F34" s="179"/>
      <c r="G34" s="179"/>
      <c r="H34" s="179"/>
      <c r="I34" s="179"/>
      <c r="J34" s="184"/>
      <c r="K34" s="179"/>
      <c r="L34" s="179"/>
      <c r="M34" s="188"/>
      <c r="N34" s="188"/>
      <c r="O34" s="179"/>
      <c r="P34" s="220"/>
      <c r="Q34" s="220"/>
      <c r="R34" s="220"/>
      <c r="S34" s="220"/>
      <c r="T34" s="188"/>
      <c r="U34" s="188"/>
      <c r="V34" s="181"/>
      <c r="W34" s="181"/>
      <c r="X34" s="181"/>
      <c r="Y34" s="181"/>
      <c r="Z34" s="181"/>
      <c r="AA34" s="181"/>
      <c r="AB34" s="181"/>
      <c r="AC34" s="181" t="s">
        <v>1639</v>
      </c>
      <c r="AD34" s="181" t="s">
        <v>1639</v>
      </c>
      <c r="AE34" s="181" t="s">
        <v>1639</v>
      </c>
      <c r="AF34" s="181" t="s">
        <v>1639</v>
      </c>
      <c r="AG34" s="181" t="s">
        <v>1639</v>
      </c>
      <c r="AH34" s="181" t="s">
        <v>1639</v>
      </c>
      <c r="AI34" s="181" t="s">
        <v>1639</v>
      </c>
      <c r="AJ34" s="181" t="s">
        <v>1639</v>
      </c>
      <c r="AK34" s="181" t="s">
        <v>1639</v>
      </c>
      <c r="AL34" s="181" t="s">
        <v>1639</v>
      </c>
      <c r="AM34" s="181" t="s">
        <v>1639</v>
      </c>
      <c r="AN34" s="181" t="s">
        <v>1639</v>
      </c>
      <c r="AO34" s="181" t="s">
        <v>1639</v>
      </c>
      <c r="AP34" s="181"/>
      <c r="AQ34" s="181" t="s">
        <v>1639</v>
      </c>
      <c r="AR34" s="181" t="s">
        <v>1639</v>
      </c>
      <c r="AS34" s="181" t="s">
        <v>1639</v>
      </c>
      <c r="AT34" s="181" t="s">
        <v>1639</v>
      </c>
      <c r="AU34" s="181" t="s">
        <v>1639</v>
      </c>
      <c r="AV34" s="181" t="s">
        <v>1639</v>
      </c>
      <c r="AW34" s="181" t="s">
        <v>1639</v>
      </c>
      <c r="AX34" s="181" t="s">
        <v>1639</v>
      </c>
      <c r="AY34" s="181" t="s">
        <v>1639</v>
      </c>
      <c r="AZ34" s="181" t="s">
        <v>1639</v>
      </c>
      <c r="BA34" s="181" t="s">
        <v>1639</v>
      </c>
      <c r="BB34" s="181" t="s">
        <v>1639</v>
      </c>
      <c r="BC34" s="181" t="s">
        <v>1639</v>
      </c>
      <c r="BD34" s="181" t="s">
        <v>1639</v>
      </c>
      <c r="BE34" s="181" t="s">
        <v>1639</v>
      </c>
      <c r="BF34" s="181" t="s">
        <v>1639</v>
      </c>
      <c r="BG34" s="181" t="s">
        <v>1639</v>
      </c>
      <c r="BH34" s="181" t="s">
        <v>1639</v>
      </c>
      <c r="BI34" s="181" t="s">
        <v>1639</v>
      </c>
      <c r="BJ34" s="181" t="s">
        <v>1639</v>
      </c>
    </row>
    <row r="35" spans="2:62" s="221" customFormat="1" ht="22.9" customHeight="1" x14ac:dyDescent="0.3">
      <c r="B35" s="261"/>
      <c r="C35" s="179">
        <v>32</v>
      </c>
      <c r="D35" s="179"/>
      <c r="E35" s="185"/>
      <c r="F35" s="179"/>
      <c r="G35" s="179"/>
      <c r="H35" s="179"/>
      <c r="I35" s="179"/>
      <c r="J35" s="184"/>
      <c r="K35" s="179"/>
      <c r="L35" s="179"/>
      <c r="M35" s="188"/>
      <c r="N35" s="188"/>
      <c r="O35" s="179"/>
      <c r="P35" s="220"/>
      <c r="Q35" s="220"/>
      <c r="R35" s="220"/>
      <c r="S35" s="220"/>
      <c r="T35" s="188"/>
      <c r="U35" s="188"/>
      <c r="V35" s="181"/>
      <c r="W35" s="181"/>
      <c r="X35" s="181"/>
      <c r="Y35" s="181"/>
      <c r="Z35" s="181"/>
      <c r="AA35" s="181"/>
      <c r="AB35" s="181"/>
      <c r="AC35" s="181" t="s">
        <v>1639</v>
      </c>
      <c r="AD35" s="181" t="s">
        <v>1639</v>
      </c>
      <c r="AE35" s="181" t="s">
        <v>1639</v>
      </c>
      <c r="AF35" s="181" t="s">
        <v>1639</v>
      </c>
      <c r="AG35" s="181" t="s">
        <v>1639</v>
      </c>
      <c r="AH35" s="181" t="s">
        <v>1639</v>
      </c>
      <c r="AI35" s="181" t="s">
        <v>1639</v>
      </c>
      <c r="AJ35" s="181" t="s">
        <v>1639</v>
      </c>
      <c r="AK35" s="181" t="s">
        <v>1639</v>
      </c>
      <c r="AL35" s="181" t="s">
        <v>1639</v>
      </c>
      <c r="AM35" s="181" t="s">
        <v>1639</v>
      </c>
      <c r="AN35" s="181" t="s">
        <v>1639</v>
      </c>
      <c r="AO35" s="181" t="s">
        <v>1639</v>
      </c>
      <c r="AP35" s="181"/>
      <c r="AQ35" s="181" t="s">
        <v>1639</v>
      </c>
      <c r="AR35" s="181" t="s">
        <v>1639</v>
      </c>
      <c r="AS35" s="181" t="s">
        <v>1639</v>
      </c>
      <c r="AT35" s="181" t="s">
        <v>1639</v>
      </c>
      <c r="AU35" s="181" t="s">
        <v>1639</v>
      </c>
      <c r="AV35" s="181" t="s">
        <v>1639</v>
      </c>
      <c r="AW35" s="181" t="s">
        <v>1639</v>
      </c>
      <c r="AX35" s="181" t="s">
        <v>1639</v>
      </c>
      <c r="AY35" s="181" t="s">
        <v>1639</v>
      </c>
      <c r="AZ35" s="181" t="s">
        <v>1639</v>
      </c>
      <c r="BA35" s="181" t="s">
        <v>1639</v>
      </c>
      <c r="BB35" s="181" t="s">
        <v>1639</v>
      </c>
      <c r="BC35" s="181" t="s">
        <v>1639</v>
      </c>
      <c r="BD35" s="181" t="s">
        <v>1639</v>
      </c>
      <c r="BE35" s="181" t="s">
        <v>1639</v>
      </c>
      <c r="BF35" s="181" t="s">
        <v>1639</v>
      </c>
      <c r="BG35" s="181" t="s">
        <v>1639</v>
      </c>
      <c r="BH35" s="181" t="s">
        <v>1639</v>
      </c>
      <c r="BI35" s="181" t="s">
        <v>1639</v>
      </c>
      <c r="BJ35" s="181" t="s">
        <v>1639</v>
      </c>
    </row>
    <row r="36" spans="2:62" s="221" customFormat="1" ht="22.9" customHeight="1" x14ac:dyDescent="0.3">
      <c r="B36" s="261"/>
      <c r="C36" s="179">
        <v>33</v>
      </c>
      <c r="D36" s="179"/>
      <c r="E36" s="185"/>
      <c r="F36" s="179"/>
      <c r="G36" s="179"/>
      <c r="H36" s="179"/>
      <c r="I36" s="179"/>
      <c r="J36" s="184"/>
      <c r="K36" s="179"/>
      <c r="L36" s="179"/>
      <c r="M36" s="188"/>
      <c r="N36" s="188"/>
      <c r="O36" s="179"/>
      <c r="P36" s="220"/>
      <c r="Q36" s="220"/>
      <c r="R36" s="220"/>
      <c r="S36" s="220"/>
      <c r="T36" s="220"/>
      <c r="U36" s="220"/>
      <c r="V36" s="181"/>
      <c r="W36" s="181"/>
      <c r="X36" s="181"/>
      <c r="Y36" s="181"/>
      <c r="Z36" s="181"/>
      <c r="AA36" s="181"/>
      <c r="AB36" s="181"/>
      <c r="AC36" s="181" t="s">
        <v>1639</v>
      </c>
      <c r="AD36" s="181" t="s">
        <v>1639</v>
      </c>
      <c r="AE36" s="181" t="s">
        <v>1639</v>
      </c>
      <c r="AF36" s="181" t="s">
        <v>1639</v>
      </c>
      <c r="AG36" s="181" t="s">
        <v>1639</v>
      </c>
      <c r="AH36" s="181" t="s">
        <v>1639</v>
      </c>
      <c r="AI36" s="181" t="s">
        <v>1639</v>
      </c>
      <c r="AJ36" s="181" t="s">
        <v>1639</v>
      </c>
      <c r="AK36" s="181" t="s">
        <v>1639</v>
      </c>
      <c r="AL36" s="181" t="s">
        <v>1639</v>
      </c>
      <c r="AM36" s="181" t="s">
        <v>1639</v>
      </c>
      <c r="AN36" s="181" t="s">
        <v>1639</v>
      </c>
      <c r="AO36" s="181" t="s">
        <v>1639</v>
      </c>
      <c r="AP36" s="181"/>
      <c r="AQ36" s="181" t="s">
        <v>1639</v>
      </c>
      <c r="AR36" s="181" t="s">
        <v>1639</v>
      </c>
      <c r="AS36" s="181" t="s">
        <v>1639</v>
      </c>
      <c r="AT36" s="181" t="s">
        <v>1639</v>
      </c>
      <c r="AU36" s="181" t="s">
        <v>1639</v>
      </c>
      <c r="AV36" s="181" t="s">
        <v>1639</v>
      </c>
      <c r="AW36" s="181" t="s">
        <v>1639</v>
      </c>
      <c r="AX36" s="181" t="s">
        <v>1639</v>
      </c>
      <c r="AY36" s="181" t="s">
        <v>1639</v>
      </c>
      <c r="AZ36" s="181" t="s">
        <v>1639</v>
      </c>
      <c r="BA36" s="181" t="s">
        <v>1639</v>
      </c>
      <c r="BB36" s="181" t="s">
        <v>1639</v>
      </c>
      <c r="BC36" s="181" t="s">
        <v>1639</v>
      </c>
      <c r="BD36" s="181" t="s">
        <v>1639</v>
      </c>
      <c r="BE36" s="181" t="s">
        <v>1639</v>
      </c>
      <c r="BF36" s="181" t="s">
        <v>1639</v>
      </c>
      <c r="BG36" s="181" t="s">
        <v>1639</v>
      </c>
      <c r="BH36" s="181" t="s">
        <v>1639</v>
      </c>
      <c r="BI36" s="181" t="s">
        <v>1639</v>
      </c>
      <c r="BJ36" s="181" t="s">
        <v>1639</v>
      </c>
    </row>
    <row r="37" spans="2:62" s="221" customFormat="1" ht="22.9" customHeight="1" x14ac:dyDescent="0.3">
      <c r="B37" s="261"/>
      <c r="C37" s="179">
        <v>34</v>
      </c>
      <c r="D37" s="179"/>
      <c r="E37" s="185"/>
      <c r="F37" s="179"/>
      <c r="G37" s="179"/>
      <c r="H37" s="179"/>
      <c r="I37" s="179"/>
      <c r="J37" s="184"/>
      <c r="K37" s="179"/>
      <c r="L37" s="179"/>
      <c r="M37" s="188"/>
      <c r="N37" s="188"/>
      <c r="O37" s="179"/>
      <c r="P37" s="220"/>
      <c r="Q37" s="220"/>
      <c r="R37" s="220"/>
      <c r="S37" s="220"/>
      <c r="T37" s="220"/>
      <c r="U37" s="220"/>
      <c r="V37" s="181"/>
      <c r="W37" s="181"/>
      <c r="X37" s="181"/>
      <c r="Y37" s="181"/>
      <c r="Z37" s="181"/>
      <c r="AA37" s="181"/>
      <c r="AB37" s="181"/>
      <c r="AC37" s="181" t="s">
        <v>1639</v>
      </c>
      <c r="AD37" s="181" t="s">
        <v>1639</v>
      </c>
      <c r="AE37" s="181" t="s">
        <v>1639</v>
      </c>
      <c r="AF37" s="181" t="s">
        <v>1639</v>
      </c>
      <c r="AG37" s="181" t="s">
        <v>1639</v>
      </c>
      <c r="AH37" s="181" t="s">
        <v>1639</v>
      </c>
      <c r="AI37" s="181" t="s">
        <v>1639</v>
      </c>
      <c r="AJ37" s="181" t="s">
        <v>1639</v>
      </c>
      <c r="AK37" s="181" t="s">
        <v>1639</v>
      </c>
      <c r="AL37" s="181" t="s">
        <v>1639</v>
      </c>
      <c r="AM37" s="181" t="s">
        <v>1639</v>
      </c>
      <c r="AN37" s="181" t="s">
        <v>1639</v>
      </c>
      <c r="AO37" s="181" t="s">
        <v>1639</v>
      </c>
      <c r="AP37" s="181"/>
      <c r="AQ37" s="181" t="s">
        <v>1639</v>
      </c>
      <c r="AR37" s="181" t="s">
        <v>1639</v>
      </c>
      <c r="AS37" s="181" t="s">
        <v>1639</v>
      </c>
      <c r="AT37" s="181" t="s">
        <v>1639</v>
      </c>
      <c r="AU37" s="181" t="s">
        <v>1639</v>
      </c>
      <c r="AV37" s="181" t="s">
        <v>1639</v>
      </c>
      <c r="AW37" s="181" t="s">
        <v>1639</v>
      </c>
      <c r="AX37" s="181" t="s">
        <v>1639</v>
      </c>
      <c r="AY37" s="181" t="s">
        <v>1639</v>
      </c>
      <c r="AZ37" s="181" t="s">
        <v>1639</v>
      </c>
      <c r="BA37" s="181" t="s">
        <v>1639</v>
      </c>
      <c r="BB37" s="181" t="s">
        <v>1639</v>
      </c>
      <c r="BC37" s="181" t="s">
        <v>1639</v>
      </c>
      <c r="BD37" s="181" t="s">
        <v>1639</v>
      </c>
      <c r="BE37" s="181" t="s">
        <v>1639</v>
      </c>
      <c r="BF37" s="181" t="s">
        <v>1639</v>
      </c>
      <c r="BG37" s="181" t="s">
        <v>1639</v>
      </c>
      <c r="BH37" s="181" t="s">
        <v>1639</v>
      </c>
      <c r="BI37" s="181" t="s">
        <v>1639</v>
      </c>
      <c r="BJ37" s="181" t="s">
        <v>1639</v>
      </c>
    </row>
    <row r="38" spans="2:62" s="221" customFormat="1" ht="22.9" customHeight="1" x14ac:dyDescent="0.3">
      <c r="B38" s="261"/>
      <c r="C38" s="179">
        <v>35</v>
      </c>
      <c r="D38" s="179"/>
      <c r="E38" s="185"/>
      <c r="F38" s="179"/>
      <c r="G38" s="179"/>
      <c r="H38" s="179"/>
      <c r="I38" s="179"/>
      <c r="J38" s="184"/>
      <c r="K38" s="179"/>
      <c r="L38" s="179"/>
      <c r="M38" s="188"/>
      <c r="N38" s="188"/>
      <c r="O38" s="179"/>
      <c r="P38" s="220"/>
      <c r="Q38" s="220"/>
      <c r="R38" s="220"/>
      <c r="S38" s="220"/>
      <c r="T38" s="220"/>
      <c r="U38" s="220"/>
      <c r="V38" s="181"/>
      <c r="W38" s="181"/>
      <c r="X38" s="181"/>
      <c r="Y38" s="181"/>
      <c r="Z38" s="181"/>
      <c r="AA38" s="181"/>
      <c r="AB38" s="181"/>
      <c r="AC38" s="181" t="s">
        <v>1639</v>
      </c>
      <c r="AD38" s="181" t="s">
        <v>1639</v>
      </c>
      <c r="AE38" s="181" t="s">
        <v>1639</v>
      </c>
      <c r="AF38" s="181" t="s">
        <v>1639</v>
      </c>
      <c r="AG38" s="181" t="s">
        <v>1639</v>
      </c>
      <c r="AH38" s="181" t="s">
        <v>1639</v>
      </c>
      <c r="AI38" s="181" t="s">
        <v>1639</v>
      </c>
      <c r="AJ38" s="181" t="s">
        <v>1639</v>
      </c>
      <c r="AK38" s="181" t="s">
        <v>1639</v>
      </c>
      <c r="AL38" s="181" t="s">
        <v>1639</v>
      </c>
      <c r="AM38" s="181" t="s">
        <v>1639</v>
      </c>
      <c r="AN38" s="181" t="s">
        <v>1639</v>
      </c>
      <c r="AO38" s="181" t="s">
        <v>1639</v>
      </c>
      <c r="AP38" s="181"/>
      <c r="AQ38" s="181" t="s">
        <v>1639</v>
      </c>
      <c r="AR38" s="181" t="s">
        <v>1639</v>
      </c>
      <c r="AS38" s="181" t="s">
        <v>1639</v>
      </c>
      <c r="AT38" s="181" t="s">
        <v>1639</v>
      </c>
      <c r="AU38" s="181" t="s">
        <v>1639</v>
      </c>
      <c r="AV38" s="181" t="s">
        <v>1639</v>
      </c>
      <c r="AW38" s="181" t="s">
        <v>1639</v>
      </c>
      <c r="AX38" s="181" t="s">
        <v>1639</v>
      </c>
      <c r="AY38" s="181" t="s">
        <v>1639</v>
      </c>
      <c r="AZ38" s="181" t="s">
        <v>1639</v>
      </c>
      <c r="BA38" s="181" t="s">
        <v>1639</v>
      </c>
      <c r="BB38" s="181" t="s">
        <v>1639</v>
      </c>
      <c r="BC38" s="181" t="s">
        <v>1639</v>
      </c>
      <c r="BD38" s="181" t="s">
        <v>1639</v>
      </c>
      <c r="BE38" s="181" t="s">
        <v>1639</v>
      </c>
      <c r="BF38" s="181" t="s">
        <v>1639</v>
      </c>
      <c r="BG38" s="181" t="s">
        <v>1639</v>
      </c>
      <c r="BH38" s="181" t="s">
        <v>1639</v>
      </c>
      <c r="BI38" s="181" t="s">
        <v>1639</v>
      </c>
      <c r="BJ38" s="181" t="s">
        <v>1639</v>
      </c>
    </row>
    <row r="39" spans="2:62" s="221" customFormat="1" ht="22.9" customHeight="1" x14ac:dyDescent="0.3">
      <c r="B39" s="261"/>
      <c r="C39" s="179">
        <v>36</v>
      </c>
      <c r="D39" s="179"/>
      <c r="E39" s="185"/>
      <c r="F39" s="179"/>
      <c r="G39" s="179"/>
      <c r="H39" s="179"/>
      <c r="I39" s="179"/>
      <c r="J39" s="184"/>
      <c r="K39" s="179"/>
      <c r="L39" s="179"/>
      <c r="M39" s="188"/>
      <c r="N39" s="188"/>
      <c r="O39" s="179"/>
      <c r="P39" s="220"/>
      <c r="Q39" s="220"/>
      <c r="R39" s="220"/>
      <c r="S39" s="220"/>
      <c r="T39" s="220"/>
      <c r="U39" s="220"/>
      <c r="V39" s="181"/>
      <c r="W39" s="181"/>
      <c r="X39" s="181"/>
      <c r="Y39" s="181"/>
      <c r="Z39" s="181"/>
      <c r="AA39" s="181"/>
      <c r="AB39" s="181"/>
      <c r="AC39" s="181" t="s">
        <v>1639</v>
      </c>
      <c r="AD39" s="181" t="s">
        <v>1639</v>
      </c>
      <c r="AE39" s="181" t="s">
        <v>1639</v>
      </c>
      <c r="AF39" s="181" t="s">
        <v>1639</v>
      </c>
      <c r="AG39" s="181" t="s">
        <v>1639</v>
      </c>
      <c r="AH39" s="181" t="s">
        <v>1639</v>
      </c>
      <c r="AI39" s="181" t="s">
        <v>1639</v>
      </c>
      <c r="AJ39" s="181" t="s">
        <v>1639</v>
      </c>
      <c r="AK39" s="181" t="s">
        <v>1639</v>
      </c>
      <c r="AL39" s="181" t="s">
        <v>1639</v>
      </c>
      <c r="AM39" s="181" t="s">
        <v>1639</v>
      </c>
      <c r="AN39" s="181" t="s">
        <v>1639</v>
      </c>
      <c r="AO39" s="181" t="s">
        <v>1639</v>
      </c>
      <c r="AP39" s="181"/>
      <c r="AQ39" s="181" t="s">
        <v>1639</v>
      </c>
      <c r="AR39" s="181" t="s">
        <v>1639</v>
      </c>
      <c r="AS39" s="181" t="s">
        <v>1639</v>
      </c>
      <c r="AT39" s="181" t="s">
        <v>1639</v>
      </c>
      <c r="AU39" s="181" t="s">
        <v>1639</v>
      </c>
      <c r="AV39" s="181" t="s">
        <v>1639</v>
      </c>
      <c r="AW39" s="181" t="s">
        <v>1639</v>
      </c>
      <c r="AX39" s="181" t="s">
        <v>1639</v>
      </c>
      <c r="AY39" s="181" t="s">
        <v>1639</v>
      </c>
      <c r="AZ39" s="181" t="s">
        <v>1639</v>
      </c>
      <c r="BA39" s="181" t="s">
        <v>1639</v>
      </c>
      <c r="BB39" s="181" t="s">
        <v>1639</v>
      </c>
      <c r="BC39" s="181" t="s">
        <v>1639</v>
      </c>
      <c r="BD39" s="181" t="s">
        <v>1639</v>
      </c>
      <c r="BE39" s="181" t="s">
        <v>1639</v>
      </c>
      <c r="BF39" s="181" t="s">
        <v>1639</v>
      </c>
      <c r="BG39" s="181" t="s">
        <v>1639</v>
      </c>
      <c r="BH39" s="181" t="s">
        <v>1639</v>
      </c>
      <c r="BI39" s="181" t="s">
        <v>1639</v>
      </c>
      <c r="BJ39" s="181" t="s">
        <v>1639</v>
      </c>
    </row>
    <row r="40" spans="2:62" s="221" customFormat="1" ht="22.9" customHeight="1" x14ac:dyDescent="0.3">
      <c r="B40" s="261"/>
      <c r="C40" s="179">
        <v>37</v>
      </c>
      <c r="D40" s="179"/>
      <c r="E40" s="185"/>
      <c r="F40" s="179"/>
      <c r="G40" s="179"/>
      <c r="H40" s="179"/>
      <c r="I40" s="179"/>
      <c r="J40" s="184"/>
      <c r="K40" s="179"/>
      <c r="L40" s="179"/>
      <c r="M40" s="188"/>
      <c r="N40" s="188"/>
      <c r="O40" s="179"/>
      <c r="P40" s="220"/>
      <c r="Q40" s="220"/>
      <c r="R40" s="220"/>
      <c r="S40" s="220"/>
      <c r="T40" s="220"/>
      <c r="U40" s="220"/>
      <c r="V40" s="181"/>
      <c r="W40" s="181"/>
      <c r="X40" s="181"/>
      <c r="Y40" s="181"/>
      <c r="Z40" s="181"/>
      <c r="AA40" s="181"/>
      <c r="AB40" s="181"/>
      <c r="AC40" s="181" t="s">
        <v>1639</v>
      </c>
      <c r="AD40" s="181" t="s">
        <v>1639</v>
      </c>
      <c r="AE40" s="181" t="s">
        <v>1639</v>
      </c>
      <c r="AF40" s="181" t="s">
        <v>1639</v>
      </c>
      <c r="AG40" s="181" t="s">
        <v>1639</v>
      </c>
      <c r="AH40" s="181" t="s">
        <v>1639</v>
      </c>
      <c r="AI40" s="181" t="s">
        <v>1639</v>
      </c>
      <c r="AJ40" s="181" t="s">
        <v>1639</v>
      </c>
      <c r="AK40" s="181" t="s">
        <v>1639</v>
      </c>
      <c r="AL40" s="181" t="s">
        <v>1639</v>
      </c>
      <c r="AM40" s="181" t="s">
        <v>1639</v>
      </c>
      <c r="AN40" s="181" t="s">
        <v>1639</v>
      </c>
      <c r="AO40" s="181" t="s">
        <v>1639</v>
      </c>
      <c r="AP40" s="181"/>
      <c r="AQ40" s="181" t="s">
        <v>1639</v>
      </c>
      <c r="AR40" s="181" t="s">
        <v>1639</v>
      </c>
      <c r="AS40" s="181" t="s">
        <v>1639</v>
      </c>
      <c r="AT40" s="181" t="s">
        <v>1639</v>
      </c>
      <c r="AU40" s="181" t="s">
        <v>1639</v>
      </c>
      <c r="AV40" s="181" t="s">
        <v>1639</v>
      </c>
      <c r="AW40" s="181" t="s">
        <v>1639</v>
      </c>
      <c r="AX40" s="181" t="s">
        <v>1639</v>
      </c>
      <c r="AY40" s="181" t="s">
        <v>1639</v>
      </c>
      <c r="AZ40" s="181" t="s">
        <v>1639</v>
      </c>
      <c r="BA40" s="181" t="s">
        <v>1639</v>
      </c>
      <c r="BB40" s="181" t="s">
        <v>1639</v>
      </c>
      <c r="BC40" s="181" t="s">
        <v>1639</v>
      </c>
      <c r="BD40" s="181" t="s">
        <v>1639</v>
      </c>
      <c r="BE40" s="181" t="s">
        <v>1639</v>
      </c>
      <c r="BF40" s="181" t="s">
        <v>1639</v>
      </c>
      <c r="BG40" s="181" t="s">
        <v>1639</v>
      </c>
      <c r="BH40" s="181" t="s">
        <v>1639</v>
      </c>
      <c r="BI40" s="181" t="s">
        <v>1639</v>
      </c>
      <c r="BJ40" s="181" t="s">
        <v>1639</v>
      </c>
    </row>
    <row r="41" spans="2:62" s="221" customFormat="1" ht="22.9" customHeight="1" x14ac:dyDescent="0.3">
      <c r="B41" s="261"/>
      <c r="C41" s="179">
        <v>38</v>
      </c>
      <c r="D41" s="179"/>
      <c r="E41" s="185"/>
      <c r="F41" s="179"/>
      <c r="G41" s="179"/>
      <c r="H41" s="179"/>
      <c r="I41" s="179"/>
      <c r="J41" s="184"/>
      <c r="K41" s="179"/>
      <c r="L41" s="179"/>
      <c r="M41" s="188"/>
      <c r="N41" s="188"/>
      <c r="O41" s="179"/>
      <c r="P41" s="220"/>
      <c r="Q41" s="220"/>
      <c r="R41" s="220"/>
      <c r="S41" s="220"/>
      <c r="T41" s="220"/>
      <c r="U41" s="220"/>
      <c r="V41" s="181"/>
      <c r="W41" s="181"/>
      <c r="X41" s="181"/>
      <c r="Y41" s="181"/>
      <c r="Z41" s="181"/>
      <c r="AA41" s="181"/>
      <c r="AB41" s="181"/>
      <c r="AC41" s="181" t="s">
        <v>1639</v>
      </c>
      <c r="AD41" s="181" t="s">
        <v>1639</v>
      </c>
      <c r="AE41" s="181" t="s">
        <v>1639</v>
      </c>
      <c r="AF41" s="181" t="s">
        <v>1639</v>
      </c>
      <c r="AG41" s="181" t="s">
        <v>1639</v>
      </c>
      <c r="AH41" s="181" t="s">
        <v>1639</v>
      </c>
      <c r="AI41" s="181" t="s">
        <v>1639</v>
      </c>
      <c r="AJ41" s="181" t="s">
        <v>1639</v>
      </c>
      <c r="AK41" s="181" t="s">
        <v>1639</v>
      </c>
      <c r="AL41" s="181" t="s">
        <v>1639</v>
      </c>
      <c r="AM41" s="181" t="s">
        <v>1639</v>
      </c>
      <c r="AN41" s="181" t="s">
        <v>1639</v>
      </c>
      <c r="AO41" s="181" t="s">
        <v>1639</v>
      </c>
      <c r="AP41" s="181"/>
      <c r="AQ41" s="181" t="s">
        <v>1639</v>
      </c>
      <c r="AR41" s="181" t="s">
        <v>1639</v>
      </c>
      <c r="AS41" s="181" t="s">
        <v>1639</v>
      </c>
      <c r="AT41" s="181" t="s">
        <v>1639</v>
      </c>
      <c r="AU41" s="181" t="s">
        <v>1639</v>
      </c>
      <c r="AV41" s="181" t="s">
        <v>1639</v>
      </c>
      <c r="AW41" s="181" t="s">
        <v>1639</v>
      </c>
      <c r="AX41" s="181" t="s">
        <v>1639</v>
      </c>
      <c r="AY41" s="181" t="s">
        <v>1639</v>
      </c>
      <c r="AZ41" s="181" t="s">
        <v>1639</v>
      </c>
      <c r="BA41" s="181" t="s">
        <v>1639</v>
      </c>
      <c r="BB41" s="181" t="s">
        <v>1639</v>
      </c>
      <c r="BC41" s="181" t="s">
        <v>1639</v>
      </c>
      <c r="BD41" s="181" t="s">
        <v>1639</v>
      </c>
      <c r="BE41" s="181" t="s">
        <v>1639</v>
      </c>
      <c r="BF41" s="181" t="s">
        <v>1639</v>
      </c>
      <c r="BG41" s="181" t="s">
        <v>1639</v>
      </c>
      <c r="BH41" s="181" t="s">
        <v>1639</v>
      </c>
      <c r="BI41" s="181" t="s">
        <v>1639</v>
      </c>
      <c r="BJ41" s="181" t="s">
        <v>1639</v>
      </c>
    </row>
    <row r="42" spans="2:62" s="221" customFormat="1" ht="22.9" customHeight="1" x14ac:dyDescent="0.3">
      <c r="B42" s="261"/>
      <c r="C42" s="179">
        <v>39</v>
      </c>
      <c r="D42" s="179"/>
      <c r="E42" s="185"/>
      <c r="F42" s="179"/>
      <c r="G42" s="179"/>
      <c r="H42" s="179"/>
      <c r="I42" s="179"/>
      <c r="J42" s="184"/>
      <c r="K42" s="179"/>
      <c r="L42" s="179"/>
      <c r="M42" s="188"/>
      <c r="N42" s="188"/>
      <c r="O42" s="179"/>
      <c r="P42" s="220"/>
      <c r="Q42" s="220"/>
      <c r="R42" s="220"/>
      <c r="S42" s="220"/>
      <c r="T42" s="220"/>
      <c r="U42" s="220"/>
      <c r="V42" s="181"/>
      <c r="W42" s="181"/>
      <c r="X42" s="181"/>
      <c r="Y42" s="181"/>
      <c r="Z42" s="181"/>
      <c r="AA42" s="181"/>
      <c r="AB42" s="181"/>
      <c r="AC42" s="181" t="s">
        <v>1639</v>
      </c>
      <c r="AD42" s="181" t="s">
        <v>1639</v>
      </c>
      <c r="AE42" s="181" t="s">
        <v>1639</v>
      </c>
      <c r="AF42" s="181" t="s">
        <v>1639</v>
      </c>
      <c r="AG42" s="181" t="s">
        <v>1639</v>
      </c>
      <c r="AH42" s="181" t="s">
        <v>1639</v>
      </c>
      <c r="AI42" s="181" t="s">
        <v>1639</v>
      </c>
      <c r="AJ42" s="181" t="s">
        <v>1639</v>
      </c>
      <c r="AK42" s="181" t="s">
        <v>1639</v>
      </c>
      <c r="AL42" s="181" t="s">
        <v>1639</v>
      </c>
      <c r="AM42" s="181" t="s">
        <v>1639</v>
      </c>
      <c r="AN42" s="181" t="s">
        <v>1639</v>
      </c>
      <c r="AO42" s="181" t="s">
        <v>1639</v>
      </c>
      <c r="AP42" s="181"/>
      <c r="AQ42" s="181" t="s">
        <v>1639</v>
      </c>
      <c r="AR42" s="181" t="s">
        <v>1639</v>
      </c>
      <c r="AS42" s="181" t="s">
        <v>1639</v>
      </c>
      <c r="AT42" s="181" t="s">
        <v>1639</v>
      </c>
      <c r="AU42" s="181" t="s">
        <v>1639</v>
      </c>
      <c r="AV42" s="181" t="s">
        <v>1639</v>
      </c>
      <c r="AW42" s="181" t="s">
        <v>1639</v>
      </c>
      <c r="AX42" s="181" t="s">
        <v>1639</v>
      </c>
      <c r="AY42" s="181" t="s">
        <v>1639</v>
      </c>
      <c r="AZ42" s="181" t="s">
        <v>1639</v>
      </c>
      <c r="BA42" s="181" t="s">
        <v>1639</v>
      </c>
      <c r="BB42" s="181" t="s">
        <v>1639</v>
      </c>
      <c r="BC42" s="181" t="s">
        <v>1639</v>
      </c>
      <c r="BD42" s="181" t="s">
        <v>1639</v>
      </c>
      <c r="BE42" s="181" t="s">
        <v>1639</v>
      </c>
      <c r="BF42" s="181" t="s">
        <v>1639</v>
      </c>
      <c r="BG42" s="181" t="s">
        <v>1639</v>
      </c>
      <c r="BH42" s="181" t="s">
        <v>1639</v>
      </c>
      <c r="BI42" s="181" t="s">
        <v>1639</v>
      </c>
      <c r="BJ42" s="181" t="s">
        <v>1639</v>
      </c>
    </row>
    <row r="43" spans="2:62" s="221" customFormat="1" ht="22.9" customHeight="1" x14ac:dyDescent="0.3">
      <c r="B43" s="261"/>
      <c r="C43" s="179">
        <v>40</v>
      </c>
      <c r="D43" s="179"/>
      <c r="E43" s="185"/>
      <c r="F43" s="179"/>
      <c r="G43" s="179"/>
      <c r="H43" s="179"/>
      <c r="I43" s="179"/>
      <c r="J43" s="184"/>
      <c r="K43" s="179"/>
      <c r="L43" s="179"/>
      <c r="M43" s="188"/>
      <c r="N43" s="188"/>
      <c r="O43" s="179"/>
      <c r="P43" s="220"/>
      <c r="Q43" s="220"/>
      <c r="R43" s="220"/>
      <c r="S43" s="220"/>
      <c r="T43" s="220"/>
      <c r="U43" s="220"/>
      <c r="V43" s="181"/>
      <c r="W43" s="181"/>
      <c r="X43" s="181"/>
      <c r="Y43" s="181"/>
      <c r="Z43" s="181"/>
      <c r="AA43" s="181"/>
      <c r="AB43" s="181"/>
      <c r="AC43" s="181" t="s">
        <v>1639</v>
      </c>
      <c r="AD43" s="181" t="s">
        <v>1639</v>
      </c>
      <c r="AE43" s="181" t="s">
        <v>1639</v>
      </c>
      <c r="AF43" s="181" t="s">
        <v>1639</v>
      </c>
      <c r="AG43" s="181" t="s">
        <v>1639</v>
      </c>
      <c r="AH43" s="181" t="s">
        <v>1639</v>
      </c>
      <c r="AI43" s="181" t="s">
        <v>1639</v>
      </c>
      <c r="AJ43" s="181" t="s">
        <v>1639</v>
      </c>
      <c r="AK43" s="181" t="s">
        <v>1639</v>
      </c>
      <c r="AL43" s="181" t="s">
        <v>1639</v>
      </c>
      <c r="AM43" s="181" t="s">
        <v>1639</v>
      </c>
      <c r="AN43" s="181" t="s">
        <v>1639</v>
      </c>
      <c r="AO43" s="181" t="s">
        <v>1639</v>
      </c>
      <c r="AP43" s="181"/>
      <c r="AQ43" s="181" t="s">
        <v>1639</v>
      </c>
      <c r="AR43" s="181" t="s">
        <v>1639</v>
      </c>
      <c r="AS43" s="181" t="s">
        <v>1639</v>
      </c>
      <c r="AT43" s="181" t="s">
        <v>1639</v>
      </c>
      <c r="AU43" s="181" t="s">
        <v>1639</v>
      </c>
      <c r="AV43" s="181" t="s">
        <v>1639</v>
      </c>
      <c r="AW43" s="181" t="s">
        <v>1639</v>
      </c>
      <c r="AX43" s="181" t="s">
        <v>1639</v>
      </c>
      <c r="AY43" s="181" t="s">
        <v>1639</v>
      </c>
      <c r="AZ43" s="181" t="s">
        <v>1639</v>
      </c>
      <c r="BA43" s="181" t="s">
        <v>1639</v>
      </c>
      <c r="BB43" s="181" t="s">
        <v>1639</v>
      </c>
      <c r="BC43" s="181" t="s">
        <v>1639</v>
      </c>
      <c r="BD43" s="181" t="s">
        <v>1639</v>
      </c>
      <c r="BE43" s="181" t="s">
        <v>1639</v>
      </c>
      <c r="BF43" s="181" t="s">
        <v>1639</v>
      </c>
      <c r="BG43" s="181" t="s">
        <v>1639</v>
      </c>
      <c r="BH43" s="181" t="s">
        <v>1639</v>
      </c>
      <c r="BI43" s="181" t="s">
        <v>1639</v>
      </c>
      <c r="BJ43" s="181" t="s">
        <v>1639</v>
      </c>
    </row>
    <row r="44" spans="2:62" s="221" customFormat="1" ht="22.9" customHeight="1" x14ac:dyDescent="0.3">
      <c r="B44" s="261"/>
      <c r="C44" s="179">
        <v>41</v>
      </c>
      <c r="D44" s="179"/>
      <c r="E44" s="185"/>
      <c r="F44" s="179"/>
      <c r="G44" s="179"/>
      <c r="H44" s="179"/>
      <c r="I44" s="179"/>
      <c r="J44" s="184"/>
      <c r="K44" s="179"/>
      <c r="L44" s="179"/>
      <c r="M44" s="188"/>
      <c r="N44" s="188"/>
      <c r="O44" s="179"/>
      <c r="P44" s="220"/>
      <c r="Q44" s="220"/>
      <c r="R44" s="220"/>
      <c r="S44" s="220"/>
      <c r="T44" s="220"/>
      <c r="U44" s="220"/>
      <c r="V44" s="181"/>
      <c r="W44" s="181"/>
      <c r="X44" s="181"/>
      <c r="Y44" s="181"/>
      <c r="Z44" s="181"/>
      <c r="AA44" s="181"/>
      <c r="AB44" s="181"/>
      <c r="AC44" s="181" t="s">
        <v>1639</v>
      </c>
      <c r="AD44" s="181" t="s">
        <v>1639</v>
      </c>
      <c r="AE44" s="181" t="s">
        <v>1639</v>
      </c>
      <c r="AF44" s="181" t="s">
        <v>1639</v>
      </c>
      <c r="AG44" s="181" t="s">
        <v>1639</v>
      </c>
      <c r="AH44" s="181" t="s">
        <v>1639</v>
      </c>
      <c r="AI44" s="181" t="s">
        <v>1639</v>
      </c>
      <c r="AJ44" s="181" t="s">
        <v>1639</v>
      </c>
      <c r="AK44" s="181" t="s">
        <v>1639</v>
      </c>
      <c r="AL44" s="181" t="s">
        <v>1639</v>
      </c>
      <c r="AM44" s="181" t="s">
        <v>1639</v>
      </c>
      <c r="AN44" s="181" t="s">
        <v>1639</v>
      </c>
      <c r="AO44" s="181" t="s">
        <v>1639</v>
      </c>
      <c r="AP44" s="181"/>
      <c r="AQ44" s="181" t="s">
        <v>1639</v>
      </c>
      <c r="AR44" s="181" t="s">
        <v>1639</v>
      </c>
      <c r="AS44" s="181" t="s">
        <v>1639</v>
      </c>
      <c r="AT44" s="181" t="s">
        <v>1639</v>
      </c>
      <c r="AU44" s="181" t="s">
        <v>1639</v>
      </c>
      <c r="AV44" s="181" t="s">
        <v>1639</v>
      </c>
      <c r="AW44" s="181" t="s">
        <v>1639</v>
      </c>
      <c r="AX44" s="181" t="s">
        <v>1639</v>
      </c>
      <c r="AY44" s="181" t="s">
        <v>1639</v>
      </c>
      <c r="AZ44" s="181" t="s">
        <v>1639</v>
      </c>
      <c r="BA44" s="181" t="s">
        <v>1639</v>
      </c>
      <c r="BB44" s="181" t="s">
        <v>1639</v>
      </c>
      <c r="BC44" s="181" t="s">
        <v>1639</v>
      </c>
      <c r="BD44" s="181" t="s">
        <v>1639</v>
      </c>
      <c r="BE44" s="181" t="s">
        <v>1639</v>
      </c>
      <c r="BF44" s="181" t="s">
        <v>1639</v>
      </c>
      <c r="BG44" s="181" t="s">
        <v>1639</v>
      </c>
      <c r="BH44" s="181" t="s">
        <v>1639</v>
      </c>
      <c r="BI44" s="181" t="s">
        <v>1639</v>
      </c>
      <c r="BJ44" s="181" t="s">
        <v>1639</v>
      </c>
    </row>
    <row r="45" spans="2:62" s="221" customFormat="1" ht="22.9" customHeight="1" x14ac:dyDescent="0.3">
      <c r="B45" s="261"/>
      <c r="C45" s="179">
        <v>42</v>
      </c>
      <c r="D45" s="179"/>
      <c r="E45" s="185"/>
      <c r="F45" s="179"/>
      <c r="G45" s="179"/>
      <c r="H45" s="179"/>
      <c r="I45" s="179"/>
      <c r="J45" s="184"/>
      <c r="K45" s="179"/>
      <c r="L45" s="179"/>
      <c r="M45" s="188"/>
      <c r="N45" s="188"/>
      <c r="O45" s="179"/>
      <c r="P45" s="220"/>
      <c r="Q45" s="220"/>
      <c r="R45" s="220"/>
      <c r="S45" s="220"/>
      <c r="T45" s="220"/>
      <c r="U45" s="220"/>
      <c r="V45" s="181"/>
      <c r="W45" s="181"/>
      <c r="X45" s="181"/>
      <c r="Y45" s="181"/>
      <c r="Z45" s="181"/>
      <c r="AA45" s="181"/>
      <c r="AB45" s="181"/>
      <c r="AC45" s="181" t="s">
        <v>1639</v>
      </c>
      <c r="AD45" s="181" t="s">
        <v>1639</v>
      </c>
      <c r="AE45" s="181" t="s">
        <v>1639</v>
      </c>
      <c r="AF45" s="181" t="s">
        <v>1639</v>
      </c>
      <c r="AG45" s="181" t="s">
        <v>1639</v>
      </c>
      <c r="AH45" s="181" t="s">
        <v>1639</v>
      </c>
      <c r="AI45" s="181" t="s">
        <v>1639</v>
      </c>
      <c r="AJ45" s="181" t="s">
        <v>1639</v>
      </c>
      <c r="AK45" s="181" t="s">
        <v>1639</v>
      </c>
      <c r="AL45" s="181" t="s">
        <v>1639</v>
      </c>
      <c r="AM45" s="181" t="s">
        <v>1639</v>
      </c>
      <c r="AN45" s="181" t="s">
        <v>1639</v>
      </c>
      <c r="AO45" s="181" t="s">
        <v>1639</v>
      </c>
      <c r="AP45" s="181"/>
      <c r="AQ45" s="181" t="s">
        <v>1639</v>
      </c>
      <c r="AR45" s="181" t="s">
        <v>1639</v>
      </c>
      <c r="AS45" s="181" t="s">
        <v>1639</v>
      </c>
      <c r="AT45" s="181" t="s">
        <v>1639</v>
      </c>
      <c r="AU45" s="181" t="s">
        <v>1639</v>
      </c>
      <c r="AV45" s="181" t="s">
        <v>1639</v>
      </c>
      <c r="AW45" s="181" t="s">
        <v>1639</v>
      </c>
      <c r="AX45" s="181" t="s">
        <v>1639</v>
      </c>
      <c r="AY45" s="181" t="s">
        <v>1639</v>
      </c>
      <c r="AZ45" s="181" t="s">
        <v>1639</v>
      </c>
      <c r="BA45" s="181" t="s">
        <v>1639</v>
      </c>
      <c r="BB45" s="181" t="s">
        <v>1639</v>
      </c>
      <c r="BC45" s="181" t="s">
        <v>1639</v>
      </c>
      <c r="BD45" s="181" t="s">
        <v>1639</v>
      </c>
      <c r="BE45" s="181" t="s">
        <v>1639</v>
      </c>
      <c r="BF45" s="181" t="s">
        <v>1639</v>
      </c>
      <c r="BG45" s="181" t="s">
        <v>1639</v>
      </c>
      <c r="BH45" s="181" t="s">
        <v>1639</v>
      </c>
      <c r="BI45" s="181" t="s">
        <v>1639</v>
      </c>
      <c r="BJ45" s="181" t="s">
        <v>1639</v>
      </c>
    </row>
    <row r="46" spans="2:62" s="221" customFormat="1" ht="22.9" customHeight="1" x14ac:dyDescent="0.3">
      <c r="B46" s="261"/>
      <c r="C46" s="179">
        <v>43</v>
      </c>
      <c r="D46" s="179"/>
      <c r="E46" s="185"/>
      <c r="F46" s="179"/>
      <c r="G46" s="179"/>
      <c r="H46" s="179"/>
      <c r="I46" s="179"/>
      <c r="J46" s="184"/>
      <c r="K46" s="179"/>
      <c r="L46" s="179"/>
      <c r="M46" s="188"/>
      <c r="N46" s="188"/>
      <c r="O46" s="179"/>
      <c r="P46" s="220"/>
      <c r="Q46" s="220"/>
      <c r="R46" s="220"/>
      <c r="S46" s="220"/>
      <c r="T46" s="220"/>
      <c r="U46" s="220"/>
      <c r="V46" s="181"/>
      <c r="W46" s="181"/>
      <c r="X46" s="181"/>
      <c r="Y46" s="181"/>
      <c r="Z46" s="181"/>
      <c r="AA46" s="181"/>
      <c r="AB46" s="181"/>
      <c r="AC46" s="181" t="s">
        <v>1639</v>
      </c>
      <c r="AD46" s="181" t="s">
        <v>1639</v>
      </c>
      <c r="AE46" s="181" t="s">
        <v>1639</v>
      </c>
      <c r="AF46" s="181" t="s">
        <v>1639</v>
      </c>
      <c r="AG46" s="181" t="s">
        <v>1639</v>
      </c>
      <c r="AH46" s="181" t="s">
        <v>1639</v>
      </c>
      <c r="AI46" s="181" t="s">
        <v>1639</v>
      </c>
      <c r="AJ46" s="181" t="s">
        <v>1639</v>
      </c>
      <c r="AK46" s="181" t="s">
        <v>1639</v>
      </c>
      <c r="AL46" s="181" t="s">
        <v>1639</v>
      </c>
      <c r="AM46" s="181" t="s">
        <v>1639</v>
      </c>
      <c r="AN46" s="181" t="s">
        <v>1639</v>
      </c>
      <c r="AO46" s="181" t="s">
        <v>1639</v>
      </c>
      <c r="AP46" s="181"/>
      <c r="AQ46" s="181" t="s">
        <v>1639</v>
      </c>
      <c r="AR46" s="181" t="s">
        <v>1639</v>
      </c>
      <c r="AS46" s="181" t="s">
        <v>1639</v>
      </c>
      <c r="AT46" s="181" t="s">
        <v>1639</v>
      </c>
      <c r="AU46" s="181" t="s">
        <v>1639</v>
      </c>
      <c r="AV46" s="181" t="s">
        <v>1639</v>
      </c>
      <c r="AW46" s="181" t="s">
        <v>1639</v>
      </c>
      <c r="AX46" s="181" t="s">
        <v>1639</v>
      </c>
      <c r="AY46" s="181" t="s">
        <v>1639</v>
      </c>
      <c r="AZ46" s="181" t="s">
        <v>1639</v>
      </c>
      <c r="BA46" s="181" t="s">
        <v>1639</v>
      </c>
      <c r="BB46" s="181" t="s">
        <v>1639</v>
      </c>
      <c r="BC46" s="181" t="s">
        <v>1639</v>
      </c>
      <c r="BD46" s="181" t="s">
        <v>1639</v>
      </c>
      <c r="BE46" s="181" t="s">
        <v>1639</v>
      </c>
      <c r="BF46" s="181" t="s">
        <v>1639</v>
      </c>
      <c r="BG46" s="181" t="s">
        <v>1639</v>
      </c>
      <c r="BH46" s="181" t="s">
        <v>1639</v>
      </c>
      <c r="BI46" s="181" t="s">
        <v>1639</v>
      </c>
      <c r="BJ46" s="181" t="s">
        <v>1639</v>
      </c>
    </row>
    <row r="47" spans="2:62" s="221" customFormat="1" ht="22.9" customHeight="1" x14ac:dyDescent="0.3">
      <c r="B47" s="262"/>
      <c r="C47" s="179">
        <v>44</v>
      </c>
      <c r="D47" s="179"/>
      <c r="E47" s="185"/>
      <c r="F47" s="179"/>
      <c r="G47" s="179"/>
      <c r="H47" s="179"/>
      <c r="I47" s="179"/>
      <c r="J47" s="184"/>
      <c r="K47" s="179"/>
      <c r="L47" s="179"/>
      <c r="M47" s="188"/>
      <c r="N47" s="188"/>
      <c r="O47" s="179"/>
      <c r="P47" s="220"/>
      <c r="Q47" s="220"/>
      <c r="R47" s="220"/>
      <c r="S47" s="220"/>
      <c r="T47" s="220"/>
      <c r="U47" s="220"/>
      <c r="V47" s="181"/>
      <c r="W47" s="181"/>
      <c r="X47" s="181"/>
      <c r="Y47" s="181"/>
      <c r="Z47" s="181"/>
      <c r="AA47" s="181"/>
      <c r="AB47" s="181"/>
      <c r="AC47" s="181" t="s">
        <v>1639</v>
      </c>
      <c r="AD47" s="181" t="s">
        <v>1639</v>
      </c>
      <c r="AE47" s="181" t="s">
        <v>1639</v>
      </c>
      <c r="AF47" s="181" t="s">
        <v>1639</v>
      </c>
      <c r="AG47" s="181" t="s">
        <v>1639</v>
      </c>
      <c r="AH47" s="181" t="s">
        <v>1639</v>
      </c>
      <c r="AI47" s="181" t="s">
        <v>1639</v>
      </c>
      <c r="AJ47" s="181" t="s">
        <v>1639</v>
      </c>
      <c r="AK47" s="181" t="s">
        <v>1639</v>
      </c>
      <c r="AL47" s="181" t="s">
        <v>1639</v>
      </c>
      <c r="AM47" s="181" t="s">
        <v>1639</v>
      </c>
      <c r="AN47" s="181" t="s">
        <v>1639</v>
      </c>
      <c r="AO47" s="181" t="s">
        <v>1639</v>
      </c>
      <c r="AP47" s="181"/>
      <c r="AQ47" s="181" t="s">
        <v>1639</v>
      </c>
      <c r="AR47" s="181" t="s">
        <v>1639</v>
      </c>
      <c r="AS47" s="181" t="s">
        <v>1639</v>
      </c>
      <c r="AT47" s="181" t="s">
        <v>1639</v>
      </c>
      <c r="AU47" s="181" t="s">
        <v>1639</v>
      </c>
      <c r="AV47" s="181" t="s">
        <v>1639</v>
      </c>
      <c r="AW47" s="181" t="s">
        <v>1639</v>
      </c>
      <c r="AX47" s="181" t="s">
        <v>1639</v>
      </c>
      <c r="AY47" s="181" t="s">
        <v>1639</v>
      </c>
      <c r="AZ47" s="181" t="s">
        <v>1639</v>
      </c>
      <c r="BA47" s="181" t="s">
        <v>1639</v>
      </c>
      <c r="BB47" s="181" t="s">
        <v>1639</v>
      </c>
      <c r="BC47" s="181" t="s">
        <v>1639</v>
      </c>
      <c r="BD47" s="181" t="s">
        <v>1639</v>
      </c>
      <c r="BE47" s="181" t="s">
        <v>1639</v>
      </c>
      <c r="BF47" s="181" t="s">
        <v>1639</v>
      </c>
      <c r="BG47" s="181" t="s">
        <v>1639</v>
      </c>
      <c r="BH47" s="181" t="s">
        <v>1639</v>
      </c>
      <c r="BI47" s="181" t="s">
        <v>1639</v>
      </c>
      <c r="BJ47" s="181" t="s">
        <v>1639</v>
      </c>
    </row>
    <row r="48" spans="2:62" ht="24" x14ac:dyDescent="0.3">
      <c r="C48" s="228" t="s">
        <v>1638</v>
      </c>
      <c r="D48" s="229"/>
      <c r="E48" s="229"/>
      <c r="F48" s="229"/>
      <c r="G48" s="229"/>
      <c r="H48" s="229"/>
    </row>
  </sheetData>
  <autoFilter ref="A3:BK48" xr:uid="{00000000-0009-0000-0000-000001000000}"/>
  <mergeCells count="29">
    <mergeCell ref="B4:B11"/>
    <mergeCell ref="B12:B47"/>
    <mergeCell ref="AO2:AQ2"/>
    <mergeCell ref="E2:E3"/>
    <mergeCell ref="F2:F3"/>
    <mergeCell ref="K2:K3"/>
    <mergeCell ref="L2:N2"/>
    <mergeCell ref="O2:U2"/>
    <mergeCell ref="AM2:AN2"/>
    <mergeCell ref="I2:I3"/>
    <mergeCell ref="J2:J3"/>
    <mergeCell ref="V2:V3"/>
    <mergeCell ref="W2:W3"/>
    <mergeCell ref="X2:X3"/>
    <mergeCell ref="G2:G3"/>
    <mergeCell ref="BH2:BJ2"/>
    <mergeCell ref="L30:O30"/>
    <mergeCell ref="L32:O32"/>
    <mergeCell ref="C2:C3"/>
    <mergeCell ref="AT2:AT3"/>
    <mergeCell ref="AU2:AZ2"/>
    <mergeCell ref="BA2:BC2"/>
    <mergeCell ref="BD2:BG2"/>
    <mergeCell ref="AS2:AS3"/>
    <mergeCell ref="AR2:AR3"/>
    <mergeCell ref="D2:D3"/>
    <mergeCell ref="Y2:Y3"/>
    <mergeCell ref="H2:H3"/>
    <mergeCell ref="Z2:AL2"/>
  </mergeCells>
  <phoneticPr fontId="1" type="noConversion"/>
  <printOptions horizontalCentered="1"/>
  <pageMargins left="0.7" right="0.7" top="0.75" bottom="0.75" header="0.3" footer="0.3"/>
  <pageSetup paperSize="8" scale="24" fitToHeight="0" orientation="landscape" r:id="rId1"/>
  <headerFooter>
    <oddFooter>&amp;CPage :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3:AI413"/>
  <sheetViews>
    <sheetView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58" sqref="F58"/>
    </sheetView>
  </sheetViews>
  <sheetFormatPr defaultRowHeight="16.5" x14ac:dyDescent="0.3"/>
  <cols>
    <col min="1" max="1" width="6.25" customWidth="1"/>
    <col min="2" max="2" width="37.25" style="2" customWidth="1"/>
    <col min="3" max="3" width="14.75" style="2" customWidth="1"/>
    <col min="4" max="11" width="8.375" style="2" customWidth="1"/>
    <col min="18" max="18" width="17.875" customWidth="1"/>
    <col min="19" max="31" width="8.75" hidden="1" customWidth="1"/>
    <col min="32" max="34" width="8.75" customWidth="1"/>
  </cols>
  <sheetData>
    <row r="3" spans="1:35" s="44" customFormat="1" ht="19.5" customHeight="1" x14ac:dyDescent="0.3">
      <c r="A3" s="266" t="s">
        <v>706</v>
      </c>
      <c r="B3" s="266" t="s">
        <v>707</v>
      </c>
      <c r="C3" s="275" t="s">
        <v>708</v>
      </c>
      <c r="D3" s="266" t="s">
        <v>709</v>
      </c>
      <c r="E3" s="266"/>
      <c r="F3" s="266"/>
      <c r="G3" s="266"/>
      <c r="H3" s="266" t="s">
        <v>710</v>
      </c>
      <c r="I3" s="266"/>
      <c r="J3" s="266"/>
      <c r="K3" s="266"/>
      <c r="L3" s="273" t="s">
        <v>711</v>
      </c>
      <c r="M3" s="42" t="s">
        <v>712</v>
      </c>
      <c r="N3" s="42" t="s">
        <v>712</v>
      </c>
      <c r="O3" s="42" t="s">
        <v>712</v>
      </c>
      <c r="P3" s="266" t="s">
        <v>713</v>
      </c>
      <c r="Q3" s="268" t="s">
        <v>714</v>
      </c>
      <c r="R3" s="266" t="s">
        <v>715</v>
      </c>
      <c r="S3" s="263" t="s">
        <v>716</v>
      </c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43"/>
      <c r="AG3" s="43"/>
    </row>
    <row r="4" spans="1:35" s="44" customFormat="1" ht="24.75" customHeight="1" x14ac:dyDescent="0.3">
      <c r="A4" s="266"/>
      <c r="B4" s="266"/>
      <c r="C4" s="273"/>
      <c r="D4" s="45" t="s">
        <v>717</v>
      </c>
      <c r="E4" s="46" t="s">
        <v>718</v>
      </c>
      <c r="F4" s="46" t="s">
        <v>718</v>
      </c>
      <c r="G4" s="45" t="s">
        <v>719</v>
      </c>
      <c r="H4" s="45" t="s">
        <v>717</v>
      </c>
      <c r="I4" s="46" t="s">
        <v>718</v>
      </c>
      <c r="J4" s="46" t="s">
        <v>718</v>
      </c>
      <c r="K4" s="45" t="s">
        <v>719</v>
      </c>
      <c r="L4" s="273"/>
      <c r="M4" s="47" t="s">
        <v>720</v>
      </c>
      <c r="N4" s="48" t="s">
        <v>721</v>
      </c>
      <c r="O4" s="269" t="s">
        <v>722</v>
      </c>
      <c r="P4" s="266"/>
      <c r="Q4" s="268"/>
      <c r="R4" s="266"/>
      <c r="S4" s="271" t="s">
        <v>723</v>
      </c>
      <c r="T4" s="271" t="s">
        <v>724</v>
      </c>
      <c r="U4" s="271" t="s">
        <v>725</v>
      </c>
      <c r="V4" s="49"/>
      <c r="W4" s="49"/>
      <c r="X4" s="49"/>
      <c r="Y4" s="271" t="s">
        <v>726</v>
      </c>
      <c r="Z4" s="50" t="s">
        <v>727</v>
      </c>
      <c r="AA4" s="263" t="s">
        <v>728</v>
      </c>
      <c r="AB4" s="263"/>
      <c r="AC4" s="263" t="s">
        <v>729</v>
      </c>
      <c r="AD4" s="263"/>
      <c r="AE4" s="263"/>
      <c r="AF4" s="43"/>
      <c r="AG4" s="43"/>
    </row>
    <row r="5" spans="1:35" s="44" customFormat="1" ht="19.5" customHeight="1" x14ac:dyDescent="0.3">
      <c r="A5" s="267"/>
      <c r="B5" s="267"/>
      <c r="C5" s="274"/>
      <c r="D5" s="51" t="s">
        <v>730</v>
      </c>
      <c r="E5" s="52" t="s">
        <v>731</v>
      </c>
      <c r="F5" s="52" t="s">
        <v>732</v>
      </c>
      <c r="G5" s="51" t="s">
        <v>733</v>
      </c>
      <c r="H5" s="51" t="s">
        <v>730</v>
      </c>
      <c r="I5" s="52" t="s">
        <v>731</v>
      </c>
      <c r="J5" s="52" t="s">
        <v>732</v>
      </c>
      <c r="K5" s="51" t="s">
        <v>733</v>
      </c>
      <c r="L5" s="274"/>
      <c r="M5" s="51" t="s">
        <v>734</v>
      </c>
      <c r="N5" s="51" t="s">
        <v>735</v>
      </c>
      <c r="O5" s="270"/>
      <c r="P5" s="267"/>
      <c r="Q5" s="51" t="s">
        <v>736</v>
      </c>
      <c r="R5" s="267"/>
      <c r="S5" s="272"/>
      <c r="T5" s="272"/>
      <c r="U5" s="272"/>
      <c r="V5" s="53" t="s">
        <v>737</v>
      </c>
      <c r="W5" s="53" t="s">
        <v>738</v>
      </c>
      <c r="X5" s="53" t="s">
        <v>739</v>
      </c>
      <c r="Y5" s="272"/>
      <c r="Z5" s="54" t="s">
        <v>740</v>
      </c>
      <c r="AA5" s="49" t="s">
        <v>741</v>
      </c>
      <c r="AB5" s="49" t="s">
        <v>742</v>
      </c>
      <c r="AC5" s="49" t="s">
        <v>743</v>
      </c>
      <c r="AD5" s="49" t="s">
        <v>744</v>
      </c>
      <c r="AE5" s="49" t="s">
        <v>745</v>
      </c>
      <c r="AF5" s="44" t="s">
        <v>746</v>
      </c>
      <c r="AG5" s="44" t="s">
        <v>747</v>
      </c>
      <c r="AH5" s="44" t="s">
        <v>748</v>
      </c>
      <c r="AI5" s="44" t="s">
        <v>749</v>
      </c>
    </row>
    <row r="6" spans="1:35" s="44" customFormat="1" ht="11.25" x14ac:dyDescent="0.3">
      <c r="A6" s="55" t="s">
        <v>750</v>
      </c>
      <c r="B6" s="56" t="s">
        <v>751</v>
      </c>
      <c r="C6" s="55"/>
      <c r="D6" s="57"/>
      <c r="E6" s="57"/>
      <c r="F6" s="57"/>
      <c r="G6" s="57"/>
      <c r="H6" s="57"/>
      <c r="I6" s="57"/>
      <c r="J6" s="57"/>
      <c r="K6" s="57"/>
      <c r="L6" s="57"/>
      <c r="M6" s="58"/>
      <c r="N6" s="59"/>
      <c r="O6" s="59"/>
      <c r="P6" s="60"/>
      <c r="Q6" s="57"/>
      <c r="R6" s="61"/>
      <c r="T6" s="62"/>
      <c r="U6" s="63"/>
      <c r="V6" s="63"/>
      <c r="W6" s="63"/>
      <c r="X6" s="64"/>
      <c r="Y6" s="63"/>
      <c r="Z6" s="63"/>
      <c r="AA6" s="63"/>
      <c r="AB6" s="63"/>
      <c r="AC6" s="63"/>
      <c r="AD6" s="65"/>
      <c r="AE6" s="65"/>
    </row>
    <row r="7" spans="1:35" s="75" customFormat="1" ht="11.25" x14ac:dyDescent="0.3">
      <c r="A7" s="66">
        <v>1</v>
      </c>
      <c r="B7" s="66" t="s">
        <v>752</v>
      </c>
      <c r="C7" s="67" t="s">
        <v>753</v>
      </c>
      <c r="D7" s="68">
        <v>94.4</v>
      </c>
      <c r="E7" s="69">
        <v>140</v>
      </c>
      <c r="F7" s="70">
        <v>138.98699999999999</v>
      </c>
      <c r="G7" s="70">
        <v>567.1</v>
      </c>
      <c r="H7" s="69">
        <v>94.4</v>
      </c>
      <c r="I7" s="69">
        <v>148.01300000000001</v>
      </c>
      <c r="J7" s="70">
        <v>147</v>
      </c>
      <c r="K7" s="70">
        <v>574</v>
      </c>
      <c r="L7" s="70" t="s">
        <v>754</v>
      </c>
      <c r="M7" s="67" t="s">
        <v>755</v>
      </c>
      <c r="N7" s="71">
        <v>250</v>
      </c>
      <c r="O7" s="71">
        <v>140</v>
      </c>
      <c r="P7" s="72"/>
      <c r="Q7" s="70">
        <v>70</v>
      </c>
      <c r="R7" s="73"/>
      <c r="S7" s="74">
        <v>1.1499999999999999</v>
      </c>
      <c r="T7" s="74">
        <v>2500</v>
      </c>
      <c r="U7" s="74" t="str">
        <f>V7&amp;W7&amp;X7</f>
        <v>BA1</v>
      </c>
      <c r="V7" s="74" t="s">
        <v>756</v>
      </c>
      <c r="W7" s="74" t="s">
        <v>757</v>
      </c>
      <c r="X7" s="74">
        <v>1</v>
      </c>
      <c r="Y7" s="74">
        <v>0</v>
      </c>
      <c r="Z7" s="74">
        <v>20.03</v>
      </c>
      <c r="AA7" s="74" t="s">
        <v>758</v>
      </c>
      <c r="AB7" s="74">
        <v>21.44</v>
      </c>
      <c r="AC7" s="74" t="s">
        <v>2</v>
      </c>
      <c r="AD7" s="74" t="s">
        <v>3</v>
      </c>
      <c r="AE7" s="74" t="s">
        <v>6</v>
      </c>
      <c r="AG7" s="76">
        <v>43602</v>
      </c>
      <c r="AH7" s="77">
        <v>0.58508101851851857</v>
      </c>
    </row>
    <row r="8" spans="1:35" s="75" customFormat="1" ht="11.25" x14ac:dyDescent="0.3">
      <c r="A8" s="66">
        <v>2</v>
      </c>
      <c r="B8" s="66" t="s">
        <v>262</v>
      </c>
      <c r="C8" s="67" t="s">
        <v>418</v>
      </c>
      <c r="D8" s="68">
        <v>188.8</v>
      </c>
      <c r="E8" s="69">
        <v>140</v>
      </c>
      <c r="F8" s="70">
        <v>138.98699999999999</v>
      </c>
      <c r="G8" s="70">
        <v>567.1</v>
      </c>
      <c r="H8" s="69">
        <v>188.8</v>
      </c>
      <c r="I8" s="69">
        <v>148.01300000000001</v>
      </c>
      <c r="J8" s="70">
        <v>147</v>
      </c>
      <c r="K8" s="70">
        <v>574</v>
      </c>
      <c r="L8" s="70" t="s">
        <v>11</v>
      </c>
      <c r="M8" s="67" t="s">
        <v>759</v>
      </c>
      <c r="N8" s="71">
        <v>400</v>
      </c>
      <c r="O8" s="71">
        <v>140</v>
      </c>
      <c r="P8" s="72"/>
      <c r="Q8" s="70">
        <v>70</v>
      </c>
      <c r="R8" s="73"/>
      <c r="S8" s="74">
        <v>1.1499999999999999</v>
      </c>
      <c r="T8" s="74">
        <v>2500</v>
      </c>
      <c r="U8" s="74" t="str">
        <f t="shared" ref="U8:U41" si="0">V8&amp;W8&amp;X8</f>
        <v>BA1</v>
      </c>
      <c r="V8" s="74" t="s">
        <v>756</v>
      </c>
      <c r="W8" s="74" t="s">
        <v>757</v>
      </c>
      <c r="X8" s="74">
        <v>1</v>
      </c>
      <c r="Y8" s="74">
        <v>0</v>
      </c>
      <c r="Z8" s="74">
        <v>29.810000000000002</v>
      </c>
      <c r="AA8" s="74" t="s">
        <v>758</v>
      </c>
      <c r="AB8" s="74">
        <v>30.96</v>
      </c>
      <c r="AC8" s="74" t="s">
        <v>2</v>
      </c>
      <c r="AD8" s="74" t="s">
        <v>3</v>
      </c>
      <c r="AE8" s="74" t="s">
        <v>6</v>
      </c>
      <c r="AG8" s="76">
        <v>43602</v>
      </c>
      <c r="AH8" s="77">
        <v>0.58508101851851857</v>
      </c>
    </row>
    <row r="9" spans="1:35" s="75" customFormat="1" ht="11.25" x14ac:dyDescent="0.3">
      <c r="A9" s="66">
        <v>3</v>
      </c>
      <c r="B9" s="66" t="s">
        <v>760</v>
      </c>
      <c r="C9" s="67" t="s">
        <v>753</v>
      </c>
      <c r="D9" s="68">
        <v>160.5</v>
      </c>
      <c r="E9" s="69">
        <v>140</v>
      </c>
      <c r="F9" s="70">
        <v>138.98699999999999</v>
      </c>
      <c r="G9" s="70">
        <v>567.1</v>
      </c>
      <c r="H9" s="69">
        <v>160.5</v>
      </c>
      <c r="I9" s="69">
        <v>148.01300000000001</v>
      </c>
      <c r="J9" s="70">
        <v>147</v>
      </c>
      <c r="K9" s="70">
        <v>574</v>
      </c>
      <c r="L9" s="70" t="s">
        <v>754</v>
      </c>
      <c r="M9" s="67" t="s">
        <v>755</v>
      </c>
      <c r="N9" s="71">
        <v>350</v>
      </c>
      <c r="O9" s="71">
        <v>140</v>
      </c>
      <c r="P9" s="72"/>
      <c r="Q9" s="70">
        <v>70</v>
      </c>
      <c r="R9" s="73"/>
      <c r="S9" s="74">
        <v>1.1499999999999999</v>
      </c>
      <c r="T9" s="74">
        <v>2500</v>
      </c>
      <c r="U9" s="74" t="str">
        <f t="shared" si="0"/>
        <v>BA1</v>
      </c>
      <c r="V9" s="74" t="s">
        <v>756</v>
      </c>
      <c r="W9" s="74" t="s">
        <v>757</v>
      </c>
      <c r="X9" s="74">
        <v>1</v>
      </c>
      <c r="Y9" s="74">
        <v>0</v>
      </c>
      <c r="Z9" s="74">
        <v>37.26</v>
      </c>
      <c r="AA9" s="74" t="s">
        <v>758</v>
      </c>
      <c r="AB9" s="74">
        <v>38.1</v>
      </c>
      <c r="AC9" s="74" t="s">
        <v>2</v>
      </c>
      <c r="AD9" s="74" t="s">
        <v>3</v>
      </c>
      <c r="AE9" s="74" t="s">
        <v>6</v>
      </c>
      <c r="AG9" s="76">
        <v>43602</v>
      </c>
      <c r="AH9" s="77">
        <v>0.58508101851851857</v>
      </c>
    </row>
    <row r="10" spans="1:35" s="75" customFormat="1" ht="11.25" x14ac:dyDescent="0.3">
      <c r="A10" s="66">
        <v>4</v>
      </c>
      <c r="B10" s="66" t="s">
        <v>761</v>
      </c>
      <c r="C10" s="67" t="s">
        <v>418</v>
      </c>
      <c r="D10" s="68">
        <v>351.4</v>
      </c>
      <c r="E10" s="69">
        <v>140</v>
      </c>
      <c r="F10" s="70">
        <v>138.98699999999999</v>
      </c>
      <c r="G10" s="70">
        <v>567.1</v>
      </c>
      <c r="H10" s="69">
        <v>351.4</v>
      </c>
      <c r="I10" s="69">
        <v>148.01300000000001</v>
      </c>
      <c r="J10" s="70">
        <v>147</v>
      </c>
      <c r="K10" s="70">
        <v>574</v>
      </c>
      <c r="L10" s="70" t="s">
        <v>11</v>
      </c>
      <c r="M10" s="67" t="s">
        <v>759</v>
      </c>
      <c r="N10" s="71">
        <v>500</v>
      </c>
      <c r="O10" s="71">
        <v>140</v>
      </c>
      <c r="P10" s="72"/>
      <c r="Q10" s="70">
        <v>70</v>
      </c>
      <c r="R10" s="73"/>
      <c r="S10" s="74">
        <v>1.1499999999999999</v>
      </c>
      <c r="T10" s="74">
        <v>2500</v>
      </c>
      <c r="U10" s="74" t="str">
        <f t="shared" si="0"/>
        <v>BA1</v>
      </c>
      <c r="V10" s="74" t="s">
        <v>756</v>
      </c>
      <c r="W10" s="74" t="s">
        <v>757</v>
      </c>
      <c r="X10" s="74">
        <v>1</v>
      </c>
      <c r="Y10" s="74">
        <v>0</v>
      </c>
      <c r="Z10" s="74">
        <v>20.03</v>
      </c>
      <c r="AA10" s="74" t="s">
        <v>758</v>
      </c>
      <c r="AB10" s="74">
        <v>21.44</v>
      </c>
      <c r="AC10" s="74" t="s">
        <v>2</v>
      </c>
      <c r="AD10" s="74" t="s">
        <v>3</v>
      </c>
      <c r="AE10" s="74" t="s">
        <v>6</v>
      </c>
      <c r="AG10" s="76">
        <v>43602</v>
      </c>
      <c r="AH10" s="77">
        <v>0.58508101851851857</v>
      </c>
    </row>
    <row r="11" spans="1:35" s="75" customFormat="1" ht="11.25" x14ac:dyDescent="0.3">
      <c r="A11" s="66">
        <v>5</v>
      </c>
      <c r="B11" s="66" t="s">
        <v>263</v>
      </c>
      <c r="C11" s="67" t="s">
        <v>418</v>
      </c>
      <c r="D11" s="68">
        <v>183.8</v>
      </c>
      <c r="E11" s="69">
        <v>140</v>
      </c>
      <c r="F11" s="70">
        <v>138.98699999999999</v>
      </c>
      <c r="G11" s="70">
        <v>567.1</v>
      </c>
      <c r="H11" s="69">
        <v>183.8</v>
      </c>
      <c r="I11" s="69">
        <v>148.01300000000001</v>
      </c>
      <c r="J11" s="70">
        <v>147</v>
      </c>
      <c r="K11" s="70">
        <v>574</v>
      </c>
      <c r="L11" s="70" t="s">
        <v>11</v>
      </c>
      <c r="M11" s="67" t="s">
        <v>759</v>
      </c>
      <c r="N11" s="71">
        <v>400</v>
      </c>
      <c r="O11" s="71">
        <v>140</v>
      </c>
      <c r="P11" s="72"/>
      <c r="Q11" s="70">
        <v>70</v>
      </c>
      <c r="R11" s="73"/>
      <c r="S11" s="74">
        <v>1.1499999999999999</v>
      </c>
      <c r="T11" s="74">
        <v>2500</v>
      </c>
      <c r="U11" s="74" t="str">
        <f t="shared" si="0"/>
        <v>BA1</v>
      </c>
      <c r="V11" s="74" t="s">
        <v>756</v>
      </c>
      <c r="W11" s="74" t="s">
        <v>757</v>
      </c>
      <c r="X11" s="74">
        <v>1</v>
      </c>
      <c r="Y11" s="74">
        <v>0</v>
      </c>
      <c r="Z11" s="74">
        <v>29.810000000000002</v>
      </c>
      <c r="AA11" s="74" t="s">
        <v>758</v>
      </c>
      <c r="AB11" s="74">
        <v>30.96</v>
      </c>
      <c r="AC11" s="74" t="s">
        <v>2</v>
      </c>
      <c r="AD11" s="74" t="s">
        <v>3</v>
      </c>
      <c r="AE11" s="74" t="s">
        <v>6</v>
      </c>
      <c r="AG11" s="76">
        <v>43602</v>
      </c>
      <c r="AH11" s="77">
        <v>0.58508101851851857</v>
      </c>
    </row>
    <row r="12" spans="1:35" s="75" customFormat="1" ht="11.25" x14ac:dyDescent="0.3">
      <c r="A12" s="66">
        <v>6</v>
      </c>
      <c r="B12" s="66" t="s">
        <v>762</v>
      </c>
      <c r="C12" s="67" t="s">
        <v>418</v>
      </c>
      <c r="D12" s="68">
        <v>21.769771774276158</v>
      </c>
      <c r="E12" s="69">
        <v>140</v>
      </c>
      <c r="F12" s="70">
        <v>138.98699999999999</v>
      </c>
      <c r="G12" s="70">
        <v>567.1</v>
      </c>
      <c r="H12" s="69">
        <v>21.769771774276158</v>
      </c>
      <c r="I12" s="69">
        <v>148.01300000000001</v>
      </c>
      <c r="J12" s="70">
        <v>147</v>
      </c>
      <c r="K12" s="70">
        <v>574</v>
      </c>
      <c r="L12" s="70" t="s">
        <v>11</v>
      </c>
      <c r="M12" s="67" t="s">
        <v>759</v>
      </c>
      <c r="N12" s="71">
        <v>100</v>
      </c>
      <c r="O12" s="71">
        <v>120</v>
      </c>
      <c r="P12" s="72"/>
      <c r="Q12" s="70">
        <v>100</v>
      </c>
      <c r="R12" s="73"/>
      <c r="S12" s="74">
        <v>1.1499999999999999</v>
      </c>
      <c r="T12" s="74">
        <v>2500</v>
      </c>
      <c r="U12" s="74" t="str">
        <f t="shared" si="0"/>
        <v>BA1</v>
      </c>
      <c r="V12" s="74" t="s">
        <v>756</v>
      </c>
      <c r="W12" s="74" t="s">
        <v>757</v>
      </c>
      <c r="X12" s="74">
        <v>1</v>
      </c>
      <c r="Y12" s="74">
        <v>0</v>
      </c>
      <c r="Z12" s="74">
        <v>37.26</v>
      </c>
      <c r="AA12" s="74" t="s">
        <v>758</v>
      </c>
      <c r="AB12" s="74">
        <v>38.1</v>
      </c>
      <c r="AC12" s="74" t="s">
        <v>2</v>
      </c>
      <c r="AD12" s="74" t="s">
        <v>3</v>
      </c>
      <c r="AE12" s="74" t="s">
        <v>6</v>
      </c>
      <c r="AG12" s="76">
        <v>43602</v>
      </c>
      <c r="AH12" s="77">
        <v>0.58508101851851857</v>
      </c>
    </row>
    <row r="13" spans="1:35" s="75" customFormat="1" ht="11.25" x14ac:dyDescent="0.3">
      <c r="A13" s="66">
        <v>7</v>
      </c>
      <c r="B13" s="66" t="s">
        <v>763</v>
      </c>
      <c r="C13" s="67" t="s">
        <v>418</v>
      </c>
      <c r="D13" s="68">
        <v>267.5734775123878</v>
      </c>
      <c r="E13" s="69">
        <v>140</v>
      </c>
      <c r="F13" s="70">
        <v>138.98699999999999</v>
      </c>
      <c r="G13" s="70">
        <v>567.1</v>
      </c>
      <c r="H13" s="69">
        <v>267.5734775123878</v>
      </c>
      <c r="I13" s="69">
        <v>148.01300000000001</v>
      </c>
      <c r="J13" s="70">
        <v>147</v>
      </c>
      <c r="K13" s="70">
        <v>574</v>
      </c>
      <c r="L13" s="70" t="s">
        <v>11</v>
      </c>
      <c r="M13" s="67" t="s">
        <v>759</v>
      </c>
      <c r="N13" s="71">
        <v>400</v>
      </c>
      <c r="O13" s="71">
        <v>140</v>
      </c>
      <c r="P13" s="72"/>
      <c r="Q13" s="70">
        <v>100</v>
      </c>
      <c r="R13" s="73"/>
      <c r="S13" s="74">
        <v>1.1499999999999999</v>
      </c>
      <c r="T13" s="74">
        <v>2500</v>
      </c>
      <c r="U13" s="74" t="str">
        <f t="shared" si="0"/>
        <v>BA1</v>
      </c>
      <c r="V13" s="74" t="s">
        <v>756</v>
      </c>
      <c r="W13" s="74" t="s">
        <v>757</v>
      </c>
      <c r="X13" s="74">
        <v>1</v>
      </c>
      <c r="Y13" s="74">
        <v>0</v>
      </c>
      <c r="Z13" s="74">
        <v>26.080000000000002</v>
      </c>
      <c r="AA13" s="74" t="s">
        <v>758</v>
      </c>
      <c r="AB13" s="74">
        <v>27.79</v>
      </c>
      <c r="AC13" s="74" t="s">
        <v>2</v>
      </c>
      <c r="AD13" s="74" t="s">
        <v>3</v>
      </c>
      <c r="AE13" s="74" t="s">
        <v>6</v>
      </c>
      <c r="AG13" s="76">
        <v>43602</v>
      </c>
      <c r="AH13" s="77">
        <v>0.58508101851851857</v>
      </c>
    </row>
    <row r="14" spans="1:35" s="75" customFormat="1" ht="11.25" x14ac:dyDescent="0.3">
      <c r="A14" s="66">
        <v>8</v>
      </c>
      <c r="B14" s="66" t="s">
        <v>764</v>
      </c>
      <c r="C14" s="67" t="s">
        <v>418</v>
      </c>
      <c r="D14" s="68">
        <v>46.8</v>
      </c>
      <c r="E14" s="69">
        <v>108.72000000000001</v>
      </c>
      <c r="F14" s="70">
        <v>107.70700000000001</v>
      </c>
      <c r="G14" s="70">
        <v>567.1</v>
      </c>
      <c r="H14" s="69">
        <v>46.8</v>
      </c>
      <c r="I14" s="69">
        <v>148.01300000000001</v>
      </c>
      <c r="J14" s="70">
        <v>147</v>
      </c>
      <c r="K14" s="70">
        <v>574</v>
      </c>
      <c r="L14" s="70" t="s">
        <v>11</v>
      </c>
      <c r="M14" s="67" t="s">
        <v>759</v>
      </c>
      <c r="N14" s="71">
        <v>200</v>
      </c>
      <c r="O14" s="71">
        <v>140</v>
      </c>
      <c r="P14" s="72"/>
      <c r="Q14" s="70">
        <v>100</v>
      </c>
      <c r="R14" s="73"/>
      <c r="S14" s="74">
        <v>1.1499999999999999</v>
      </c>
      <c r="T14" s="74">
        <v>2500</v>
      </c>
      <c r="U14" s="74" t="str">
        <f t="shared" si="0"/>
        <v>BA1</v>
      </c>
      <c r="V14" s="74" t="s">
        <v>756</v>
      </c>
      <c r="W14" s="74" t="s">
        <v>757</v>
      </c>
      <c r="X14" s="74">
        <v>1</v>
      </c>
      <c r="Y14" s="74">
        <v>0</v>
      </c>
      <c r="Z14" s="74">
        <v>29.810000000000002</v>
      </c>
      <c r="AA14" s="74" t="s">
        <v>758</v>
      </c>
      <c r="AB14" s="74">
        <v>30.96</v>
      </c>
      <c r="AC14" s="74" t="s">
        <v>2</v>
      </c>
      <c r="AD14" s="74" t="s">
        <v>3</v>
      </c>
      <c r="AE14" s="74" t="s">
        <v>6</v>
      </c>
      <c r="AG14" s="76">
        <v>43602</v>
      </c>
      <c r="AH14" s="77">
        <v>0.58508101851851857</v>
      </c>
    </row>
    <row r="15" spans="1:35" s="75" customFormat="1" ht="11.25" x14ac:dyDescent="0.3">
      <c r="A15" s="66">
        <v>9</v>
      </c>
      <c r="B15" s="66" t="s">
        <v>261</v>
      </c>
      <c r="C15" s="67" t="s">
        <v>418</v>
      </c>
      <c r="D15" s="68">
        <v>35.1</v>
      </c>
      <c r="E15" s="69">
        <v>127.8</v>
      </c>
      <c r="F15" s="70">
        <v>126.78699999999999</v>
      </c>
      <c r="G15" s="70">
        <v>563.70000000000005</v>
      </c>
      <c r="H15" s="69">
        <v>35.1</v>
      </c>
      <c r="I15" s="69">
        <v>148.01300000000001</v>
      </c>
      <c r="J15" s="70">
        <v>147</v>
      </c>
      <c r="K15" s="70">
        <v>574</v>
      </c>
      <c r="L15" s="70" t="s">
        <v>11</v>
      </c>
      <c r="M15" s="67" t="s">
        <v>759</v>
      </c>
      <c r="N15" s="71">
        <v>200</v>
      </c>
      <c r="O15" s="71">
        <v>140</v>
      </c>
      <c r="P15" s="72"/>
      <c r="Q15" s="70">
        <v>70</v>
      </c>
      <c r="R15" s="73"/>
      <c r="S15" s="74">
        <v>1.1499999999999999</v>
      </c>
      <c r="T15" s="74">
        <v>2500</v>
      </c>
      <c r="U15" s="74" t="str">
        <f t="shared" si="0"/>
        <v>BA1</v>
      </c>
      <c r="V15" s="74" t="s">
        <v>756</v>
      </c>
      <c r="W15" s="74" t="s">
        <v>757</v>
      </c>
      <c r="X15" s="74">
        <v>1</v>
      </c>
      <c r="Y15" s="74">
        <v>0</v>
      </c>
      <c r="Z15" s="74">
        <v>12.35</v>
      </c>
      <c r="AA15" s="74" t="s">
        <v>758</v>
      </c>
      <c r="AB15" s="74">
        <v>14.27</v>
      </c>
      <c r="AC15" s="74" t="s">
        <v>2</v>
      </c>
      <c r="AD15" s="74" t="s">
        <v>3</v>
      </c>
      <c r="AE15" s="74" t="s">
        <v>6</v>
      </c>
      <c r="AG15" s="76">
        <v>43602</v>
      </c>
      <c r="AH15" s="77">
        <v>0.58508101851851857</v>
      </c>
    </row>
    <row r="16" spans="1:35" s="75" customFormat="1" ht="11.25" x14ac:dyDescent="0.3">
      <c r="A16" s="66">
        <v>10</v>
      </c>
      <c r="B16" s="66" t="s">
        <v>264</v>
      </c>
      <c r="C16" s="67" t="s">
        <v>418</v>
      </c>
      <c r="D16" s="68">
        <v>40.288616433964137</v>
      </c>
      <c r="E16" s="69">
        <v>80</v>
      </c>
      <c r="F16" s="70">
        <v>78.986999999999995</v>
      </c>
      <c r="G16" s="70">
        <v>390</v>
      </c>
      <c r="H16" s="69">
        <v>40.288616433964137</v>
      </c>
      <c r="I16" s="69">
        <v>148.01300000000001</v>
      </c>
      <c r="J16" s="70">
        <v>147</v>
      </c>
      <c r="K16" s="70">
        <v>574</v>
      </c>
      <c r="L16" s="70" t="s">
        <v>11</v>
      </c>
      <c r="M16" s="67" t="s">
        <v>759</v>
      </c>
      <c r="N16" s="71">
        <v>200</v>
      </c>
      <c r="O16" s="71">
        <v>140</v>
      </c>
      <c r="P16" s="72"/>
      <c r="Q16" s="70">
        <v>70</v>
      </c>
      <c r="R16" s="73"/>
      <c r="S16" s="74">
        <v>1.1499999999999999</v>
      </c>
      <c r="T16" s="74">
        <v>2500</v>
      </c>
      <c r="U16" s="74" t="str">
        <f t="shared" si="0"/>
        <v>BA1</v>
      </c>
      <c r="V16" s="74" t="s">
        <v>756</v>
      </c>
      <c r="W16" s="74" t="s">
        <v>757</v>
      </c>
      <c r="X16" s="74">
        <v>1</v>
      </c>
      <c r="Y16" s="74">
        <v>0</v>
      </c>
      <c r="Z16" s="74">
        <v>12.35</v>
      </c>
      <c r="AA16" s="74" t="s">
        <v>758</v>
      </c>
      <c r="AB16" s="74">
        <v>14.27</v>
      </c>
      <c r="AC16" s="74" t="s">
        <v>2</v>
      </c>
      <c r="AD16" s="74" t="s">
        <v>3</v>
      </c>
      <c r="AE16" s="74" t="s">
        <v>6</v>
      </c>
      <c r="AG16" s="76">
        <v>43602</v>
      </c>
      <c r="AH16" s="77">
        <v>0.58508101851851857</v>
      </c>
    </row>
    <row r="17" spans="1:34" s="75" customFormat="1" ht="11.25" x14ac:dyDescent="0.3">
      <c r="A17" s="66">
        <v>11</v>
      </c>
      <c r="B17" s="66" t="s">
        <v>765</v>
      </c>
      <c r="C17" s="67" t="s">
        <v>418</v>
      </c>
      <c r="D17" s="68">
        <v>40.288616433964137</v>
      </c>
      <c r="E17" s="69">
        <v>140</v>
      </c>
      <c r="F17" s="70">
        <v>138.98699999999999</v>
      </c>
      <c r="G17" s="70">
        <v>567.1</v>
      </c>
      <c r="H17" s="69">
        <v>40.288616433964137</v>
      </c>
      <c r="I17" s="69">
        <v>148.01300000000001</v>
      </c>
      <c r="J17" s="70">
        <v>147</v>
      </c>
      <c r="K17" s="70">
        <v>574</v>
      </c>
      <c r="L17" s="70" t="s">
        <v>11</v>
      </c>
      <c r="M17" s="67" t="s">
        <v>759</v>
      </c>
      <c r="N17" s="71">
        <v>200</v>
      </c>
      <c r="O17" s="71">
        <v>140</v>
      </c>
      <c r="P17" s="72"/>
      <c r="Q17" s="70">
        <v>100</v>
      </c>
      <c r="R17" s="73"/>
      <c r="S17" s="74">
        <v>1.1499999999999999</v>
      </c>
      <c r="T17" s="74">
        <v>2500</v>
      </c>
      <c r="U17" s="74" t="str">
        <f t="shared" si="0"/>
        <v>BA1</v>
      </c>
      <c r="V17" s="74" t="s">
        <v>756</v>
      </c>
      <c r="W17" s="74" t="s">
        <v>757</v>
      </c>
      <c r="X17" s="74">
        <v>1</v>
      </c>
      <c r="Y17" s="74">
        <v>0</v>
      </c>
      <c r="Z17" s="74">
        <v>12.35</v>
      </c>
      <c r="AA17" s="74" t="s">
        <v>758</v>
      </c>
      <c r="AB17" s="74">
        <v>14.27</v>
      </c>
      <c r="AC17" s="74" t="s">
        <v>2</v>
      </c>
      <c r="AD17" s="74" t="s">
        <v>3</v>
      </c>
      <c r="AE17" s="74" t="s">
        <v>6</v>
      </c>
      <c r="AG17" s="76">
        <v>43602</v>
      </c>
      <c r="AH17" s="77">
        <v>0.58508101851851857</v>
      </c>
    </row>
    <row r="18" spans="1:34" s="75" customFormat="1" ht="11.25" x14ac:dyDescent="0.3">
      <c r="A18" s="66">
        <v>12</v>
      </c>
      <c r="B18" s="66" t="s">
        <v>766</v>
      </c>
      <c r="C18" s="67" t="s">
        <v>513</v>
      </c>
      <c r="D18" s="68" t="s">
        <v>100</v>
      </c>
      <c r="E18" s="69" t="s">
        <v>100</v>
      </c>
      <c r="F18" s="70" t="s">
        <v>100</v>
      </c>
      <c r="G18" s="70" t="s">
        <v>100</v>
      </c>
      <c r="H18" s="69" t="s">
        <v>100</v>
      </c>
      <c r="I18" s="69">
        <v>148.01300000000001</v>
      </c>
      <c r="J18" s="70">
        <v>147</v>
      </c>
      <c r="K18" s="70">
        <v>574</v>
      </c>
      <c r="L18" s="70" t="s">
        <v>11</v>
      </c>
      <c r="M18" s="67" t="s">
        <v>759</v>
      </c>
      <c r="N18" s="71">
        <v>40</v>
      </c>
      <c r="O18" s="71">
        <v>80</v>
      </c>
      <c r="P18" s="72"/>
      <c r="Q18" s="70" t="s">
        <v>100</v>
      </c>
      <c r="R18" s="73"/>
      <c r="S18" s="74">
        <v>1.1499999999999999</v>
      </c>
      <c r="T18" s="74">
        <v>2500</v>
      </c>
      <c r="U18" s="74" t="str">
        <f t="shared" si="0"/>
        <v>BA1</v>
      </c>
      <c r="V18" s="74" t="s">
        <v>756</v>
      </c>
      <c r="W18" s="74" t="s">
        <v>757</v>
      </c>
      <c r="X18" s="74">
        <v>1</v>
      </c>
      <c r="Y18" s="74">
        <v>0</v>
      </c>
      <c r="Z18" s="74">
        <v>12.35</v>
      </c>
      <c r="AA18" s="74" t="s">
        <v>758</v>
      </c>
      <c r="AB18" s="74">
        <v>14.27</v>
      </c>
      <c r="AC18" s="74" t="s">
        <v>2</v>
      </c>
      <c r="AD18" s="74" t="s">
        <v>3</v>
      </c>
      <c r="AE18" s="74" t="s">
        <v>6</v>
      </c>
      <c r="AG18" s="76">
        <v>43602</v>
      </c>
      <c r="AH18" s="77">
        <v>0.58508101851851857</v>
      </c>
    </row>
    <row r="19" spans="1:34" s="75" customFormat="1" ht="11.25" x14ac:dyDescent="0.3">
      <c r="A19" s="66">
        <v>13</v>
      </c>
      <c r="B19" s="66" t="s">
        <v>638</v>
      </c>
      <c r="C19" s="67" t="s">
        <v>455</v>
      </c>
      <c r="D19" s="68">
        <v>85</v>
      </c>
      <c r="E19" s="69">
        <v>47.207790330809857</v>
      </c>
      <c r="F19" s="70">
        <v>46.194790330809859</v>
      </c>
      <c r="G19" s="70">
        <v>371.11111111111109</v>
      </c>
      <c r="H19" s="69">
        <v>85</v>
      </c>
      <c r="I19" s="69">
        <v>51.344637226106258</v>
      </c>
      <c r="J19" s="70">
        <v>50.3</v>
      </c>
      <c r="K19" s="70">
        <v>399</v>
      </c>
      <c r="L19" s="70" t="s">
        <v>767</v>
      </c>
      <c r="M19" s="67" t="s">
        <v>768</v>
      </c>
      <c r="N19" s="71">
        <v>450</v>
      </c>
      <c r="O19" s="71">
        <v>60</v>
      </c>
      <c r="P19" s="72"/>
      <c r="Q19" s="70">
        <v>70</v>
      </c>
      <c r="R19" s="73"/>
      <c r="S19" s="74">
        <v>1.1499999999999999</v>
      </c>
      <c r="T19" s="74">
        <v>2500</v>
      </c>
      <c r="U19" s="74" t="str">
        <f t="shared" si="0"/>
        <v>BA1</v>
      </c>
      <c r="V19" s="74" t="s">
        <v>756</v>
      </c>
      <c r="W19" s="74" t="s">
        <v>757</v>
      </c>
      <c r="X19" s="74">
        <v>1</v>
      </c>
      <c r="Y19" s="74">
        <v>0</v>
      </c>
      <c r="Z19" s="74">
        <v>16.07</v>
      </c>
      <c r="AA19" s="74" t="s">
        <v>758</v>
      </c>
      <c r="AB19" s="74">
        <v>18.260000000000002</v>
      </c>
      <c r="AC19" s="74" t="s">
        <v>2</v>
      </c>
      <c r="AD19" s="74" t="s">
        <v>3</v>
      </c>
      <c r="AE19" s="74" t="s">
        <v>6</v>
      </c>
      <c r="AG19" s="76">
        <v>43602</v>
      </c>
      <c r="AH19" s="77">
        <v>0.58508101851851857</v>
      </c>
    </row>
    <row r="20" spans="1:34" s="75" customFormat="1" ht="11.25" x14ac:dyDescent="0.3">
      <c r="A20" s="66">
        <v>14</v>
      </c>
      <c r="B20" s="66" t="s">
        <v>769</v>
      </c>
      <c r="C20" s="67" t="s">
        <v>455</v>
      </c>
      <c r="D20" s="68">
        <v>85</v>
      </c>
      <c r="E20" s="69">
        <v>47.207790330809857</v>
      </c>
      <c r="F20" s="70">
        <v>46.194790330809859</v>
      </c>
      <c r="G20" s="70">
        <v>371.11111111111109</v>
      </c>
      <c r="H20" s="69">
        <v>85</v>
      </c>
      <c r="I20" s="69">
        <v>51.344637226106258</v>
      </c>
      <c r="J20" s="70">
        <v>50.3</v>
      </c>
      <c r="K20" s="70">
        <v>399</v>
      </c>
      <c r="L20" s="70" t="s">
        <v>767</v>
      </c>
      <c r="M20" s="67" t="s">
        <v>768</v>
      </c>
      <c r="N20" s="71">
        <v>750</v>
      </c>
      <c r="O20" s="71" t="s">
        <v>770</v>
      </c>
      <c r="P20" s="72">
        <v>25.742377342086836</v>
      </c>
      <c r="Q20" s="70" t="s">
        <v>100</v>
      </c>
      <c r="R20" s="73"/>
      <c r="S20" s="74">
        <v>1.1000000000000001</v>
      </c>
      <c r="T20" s="74">
        <v>600</v>
      </c>
      <c r="U20" s="74" t="str">
        <f t="shared" si="0"/>
        <v>FB1</v>
      </c>
      <c r="V20" s="74" t="s">
        <v>771</v>
      </c>
      <c r="W20" s="74" t="s">
        <v>756</v>
      </c>
      <c r="X20" s="74">
        <v>1</v>
      </c>
      <c r="Y20" s="74">
        <v>0</v>
      </c>
      <c r="Z20" s="74">
        <v>3.3299999999999996</v>
      </c>
      <c r="AA20" s="74" t="s">
        <v>772</v>
      </c>
      <c r="AB20" s="74">
        <v>6.02</v>
      </c>
      <c r="AC20" s="74" t="s">
        <v>14</v>
      </c>
      <c r="AD20" s="74" t="s">
        <v>15</v>
      </c>
      <c r="AE20" s="74" t="s">
        <v>16</v>
      </c>
      <c r="AG20" s="76">
        <v>43602</v>
      </c>
      <c r="AH20" s="77">
        <v>0.58508101851851857</v>
      </c>
    </row>
    <row r="21" spans="1:34" s="75" customFormat="1" ht="11.25" x14ac:dyDescent="0.3">
      <c r="A21" s="66">
        <v>15</v>
      </c>
      <c r="B21" s="66" t="s">
        <v>265</v>
      </c>
      <c r="C21" s="67" t="s">
        <v>455</v>
      </c>
      <c r="D21" s="68">
        <v>42.5</v>
      </c>
      <c r="E21" s="69">
        <v>47.207790330809857</v>
      </c>
      <c r="F21" s="70">
        <v>46.194790330809859</v>
      </c>
      <c r="G21" s="70">
        <v>371.11111111111109</v>
      </c>
      <c r="H21" s="69">
        <v>42.5</v>
      </c>
      <c r="I21" s="69">
        <v>51.344637226106258</v>
      </c>
      <c r="J21" s="70">
        <v>50.3</v>
      </c>
      <c r="K21" s="70">
        <v>399</v>
      </c>
      <c r="L21" s="70" t="s">
        <v>767</v>
      </c>
      <c r="M21" s="67" t="s">
        <v>768</v>
      </c>
      <c r="N21" s="71">
        <v>250</v>
      </c>
      <c r="O21" s="71">
        <v>60</v>
      </c>
      <c r="P21" s="72"/>
      <c r="Q21" s="70">
        <v>70</v>
      </c>
      <c r="R21" s="73"/>
      <c r="S21" s="74">
        <v>1.1000000000000001</v>
      </c>
      <c r="T21" s="74">
        <v>600</v>
      </c>
      <c r="U21" s="74" t="str">
        <f t="shared" si="0"/>
        <v>FB1</v>
      </c>
      <c r="V21" s="74" t="s">
        <v>771</v>
      </c>
      <c r="W21" s="74" t="s">
        <v>756</v>
      </c>
      <c r="X21" s="74">
        <v>1</v>
      </c>
      <c r="Y21" s="74">
        <v>0</v>
      </c>
      <c r="Z21" s="74">
        <v>4.8999999999999995</v>
      </c>
      <c r="AA21" s="74" t="s">
        <v>772</v>
      </c>
      <c r="AB21" s="74">
        <v>7.11</v>
      </c>
      <c r="AC21" s="74" t="s">
        <v>14</v>
      </c>
      <c r="AD21" s="74" t="s">
        <v>15</v>
      </c>
      <c r="AE21" s="74" t="s">
        <v>16</v>
      </c>
      <c r="AG21" s="76">
        <v>43602</v>
      </c>
      <c r="AH21" s="77">
        <v>0.58508101851851857</v>
      </c>
    </row>
    <row r="22" spans="1:34" s="75" customFormat="1" ht="11.25" x14ac:dyDescent="0.3">
      <c r="A22" s="66">
        <v>16</v>
      </c>
      <c r="B22" s="66" t="s">
        <v>773</v>
      </c>
      <c r="C22" s="67" t="s">
        <v>455</v>
      </c>
      <c r="D22" s="68">
        <v>0</v>
      </c>
      <c r="E22" s="69">
        <v>47.207790330809857</v>
      </c>
      <c r="F22" s="70">
        <v>46.194790330809859</v>
      </c>
      <c r="G22" s="70">
        <v>371.11111111111109</v>
      </c>
      <c r="H22" s="69">
        <v>0</v>
      </c>
      <c r="I22" s="69">
        <v>51.344637226106258</v>
      </c>
      <c r="J22" s="70">
        <v>50.3</v>
      </c>
      <c r="K22" s="70">
        <v>399</v>
      </c>
      <c r="L22" s="70" t="s">
        <v>767</v>
      </c>
      <c r="M22" s="67" t="s">
        <v>768</v>
      </c>
      <c r="N22" s="71">
        <v>50</v>
      </c>
      <c r="O22" s="71">
        <v>80</v>
      </c>
      <c r="P22" s="72"/>
      <c r="Q22" s="70" t="s">
        <v>100</v>
      </c>
      <c r="R22" s="73"/>
      <c r="S22" s="74">
        <v>1.1000000000000001</v>
      </c>
      <c r="T22" s="74">
        <v>600</v>
      </c>
      <c r="U22" s="74" t="str">
        <f t="shared" si="0"/>
        <v>FB1</v>
      </c>
      <c r="V22" s="74" t="s">
        <v>771</v>
      </c>
      <c r="W22" s="74" t="s">
        <v>756</v>
      </c>
      <c r="X22" s="74">
        <v>1</v>
      </c>
      <c r="Y22" s="74">
        <v>0</v>
      </c>
      <c r="Z22" s="74">
        <v>4.8999999999999995</v>
      </c>
      <c r="AA22" s="74" t="s">
        <v>772</v>
      </c>
      <c r="AB22" s="74">
        <v>7.11</v>
      </c>
      <c r="AC22" s="74" t="s">
        <v>14</v>
      </c>
      <c r="AD22" s="74" t="s">
        <v>15</v>
      </c>
      <c r="AE22" s="74" t="s">
        <v>16</v>
      </c>
      <c r="AG22" s="76">
        <v>43602</v>
      </c>
      <c r="AH22" s="77">
        <v>0.58508101851851857</v>
      </c>
    </row>
    <row r="23" spans="1:34" s="75" customFormat="1" ht="11.25" x14ac:dyDescent="0.3">
      <c r="A23" s="66">
        <v>17</v>
      </c>
      <c r="B23" s="66" t="s">
        <v>774</v>
      </c>
      <c r="C23" s="67" t="s">
        <v>455</v>
      </c>
      <c r="D23" s="68">
        <v>3.7086111111111109</v>
      </c>
      <c r="E23" s="69">
        <v>47.207790330809857</v>
      </c>
      <c r="F23" s="70">
        <v>46.194790330809859</v>
      </c>
      <c r="G23" s="70">
        <v>371.11111111111109</v>
      </c>
      <c r="H23" s="69">
        <v>3.7086111111111109</v>
      </c>
      <c r="I23" s="69">
        <v>51.344637226106258</v>
      </c>
      <c r="J23" s="70">
        <v>50.3</v>
      </c>
      <c r="K23" s="70">
        <v>399</v>
      </c>
      <c r="L23" s="70" t="s">
        <v>767</v>
      </c>
      <c r="M23" s="67" t="s">
        <v>768</v>
      </c>
      <c r="N23" s="71">
        <v>80</v>
      </c>
      <c r="O23" s="71">
        <v>80</v>
      </c>
      <c r="P23" s="72"/>
      <c r="Q23" s="70">
        <v>70</v>
      </c>
      <c r="R23" s="73"/>
      <c r="S23" s="74">
        <v>1.1000000000000001</v>
      </c>
      <c r="T23" s="74">
        <v>600</v>
      </c>
      <c r="U23" s="74" t="str">
        <f t="shared" si="0"/>
        <v>FB1</v>
      </c>
      <c r="V23" s="74" t="s">
        <v>771</v>
      </c>
      <c r="W23" s="74" t="s">
        <v>756</v>
      </c>
      <c r="X23" s="74">
        <v>1</v>
      </c>
      <c r="Y23" s="74">
        <v>0</v>
      </c>
      <c r="Z23" s="74">
        <v>6.38</v>
      </c>
      <c r="AA23" s="74" t="s">
        <v>775</v>
      </c>
      <c r="AB23" s="74">
        <v>7.04</v>
      </c>
      <c r="AC23" s="74" t="s">
        <v>14</v>
      </c>
      <c r="AD23" s="74" t="s">
        <v>15</v>
      </c>
      <c r="AE23" s="74" t="s">
        <v>16</v>
      </c>
      <c r="AG23" s="76">
        <v>43602</v>
      </c>
      <c r="AH23" s="77">
        <v>0.58508101851851857</v>
      </c>
    </row>
    <row r="24" spans="1:34" s="75" customFormat="1" ht="11.25" x14ac:dyDescent="0.3">
      <c r="A24" s="66">
        <v>18</v>
      </c>
      <c r="B24" s="66" t="s">
        <v>776</v>
      </c>
      <c r="C24" s="67" t="s">
        <v>455</v>
      </c>
      <c r="D24" s="68">
        <v>25.2</v>
      </c>
      <c r="E24" s="69">
        <v>47.207790330809857</v>
      </c>
      <c r="F24" s="70">
        <v>46.194790330809859</v>
      </c>
      <c r="G24" s="70">
        <v>371.11111111111109</v>
      </c>
      <c r="H24" s="69">
        <v>25.2</v>
      </c>
      <c r="I24" s="69">
        <v>51.344637226106258</v>
      </c>
      <c r="J24" s="70">
        <v>50.3</v>
      </c>
      <c r="K24" s="70">
        <v>399</v>
      </c>
      <c r="L24" s="70" t="s">
        <v>767</v>
      </c>
      <c r="M24" s="67" t="s">
        <v>768</v>
      </c>
      <c r="N24" s="71">
        <v>150</v>
      </c>
      <c r="O24" s="71">
        <v>80</v>
      </c>
      <c r="P24" s="72"/>
      <c r="Q24" s="70">
        <v>100</v>
      </c>
      <c r="R24" s="73"/>
      <c r="S24" s="74">
        <v>1.1000000000000001</v>
      </c>
      <c r="T24" s="74">
        <v>600</v>
      </c>
      <c r="U24" s="74" t="str">
        <f t="shared" si="0"/>
        <v>FB1</v>
      </c>
      <c r="V24" s="74" t="s">
        <v>771</v>
      </c>
      <c r="W24" s="74" t="s">
        <v>756</v>
      </c>
      <c r="X24" s="74">
        <v>1</v>
      </c>
      <c r="Y24" s="74">
        <v>0</v>
      </c>
      <c r="Z24" s="74">
        <v>7.95</v>
      </c>
      <c r="AA24" s="74" t="s">
        <v>772</v>
      </c>
      <c r="AB24" s="74">
        <v>9.27</v>
      </c>
      <c r="AC24" s="74" t="s">
        <v>14</v>
      </c>
      <c r="AD24" s="74" t="s">
        <v>15</v>
      </c>
      <c r="AE24" s="74" t="s">
        <v>16</v>
      </c>
      <c r="AG24" s="76">
        <v>43602</v>
      </c>
      <c r="AH24" s="77">
        <v>0.58508101851851857</v>
      </c>
    </row>
    <row r="25" spans="1:34" s="75" customFormat="1" ht="11.25" x14ac:dyDescent="0.3">
      <c r="A25" s="66">
        <v>19</v>
      </c>
      <c r="B25" s="66" t="s">
        <v>777</v>
      </c>
      <c r="C25" s="67" t="s">
        <v>455</v>
      </c>
      <c r="D25" s="68">
        <v>85</v>
      </c>
      <c r="E25" s="69">
        <v>47.207790330809857</v>
      </c>
      <c r="F25" s="70">
        <v>46.194790330809859</v>
      </c>
      <c r="G25" s="70">
        <v>371.11111111111109</v>
      </c>
      <c r="H25" s="69">
        <v>85</v>
      </c>
      <c r="I25" s="69">
        <v>51.344637226106258</v>
      </c>
      <c r="J25" s="70">
        <v>50.3</v>
      </c>
      <c r="K25" s="70">
        <v>399</v>
      </c>
      <c r="L25" s="70" t="s">
        <v>767</v>
      </c>
      <c r="M25" s="67" t="s">
        <v>768</v>
      </c>
      <c r="N25" s="71">
        <v>300</v>
      </c>
      <c r="O25" s="71">
        <v>60</v>
      </c>
      <c r="P25" s="72"/>
      <c r="Q25" s="70">
        <v>100</v>
      </c>
      <c r="R25" s="73"/>
      <c r="S25" s="74">
        <v>1.1000000000000001</v>
      </c>
      <c r="T25" s="74">
        <v>600</v>
      </c>
      <c r="U25" s="74" t="str">
        <f t="shared" si="0"/>
        <v>FB1</v>
      </c>
      <c r="V25" s="74" t="s">
        <v>771</v>
      </c>
      <c r="W25" s="74" t="s">
        <v>756</v>
      </c>
      <c r="X25" s="74">
        <v>1</v>
      </c>
      <c r="Y25" s="74">
        <v>0</v>
      </c>
      <c r="Z25" s="74">
        <v>7.95</v>
      </c>
      <c r="AA25" s="74" t="s">
        <v>772</v>
      </c>
      <c r="AB25" s="74">
        <v>9.27</v>
      </c>
      <c r="AC25" s="74" t="s">
        <v>14</v>
      </c>
      <c r="AD25" s="74" t="s">
        <v>15</v>
      </c>
      <c r="AE25" s="74" t="s">
        <v>16</v>
      </c>
      <c r="AG25" s="76">
        <v>43602</v>
      </c>
      <c r="AH25" s="77">
        <v>0.58508101851851857</v>
      </c>
    </row>
    <row r="26" spans="1:34" s="75" customFormat="1" ht="11.25" x14ac:dyDescent="0.3">
      <c r="A26" s="66">
        <v>20</v>
      </c>
      <c r="B26" s="66" t="s">
        <v>778</v>
      </c>
      <c r="C26" s="67" t="s">
        <v>515</v>
      </c>
      <c r="D26" s="68" t="s">
        <v>100</v>
      </c>
      <c r="E26" s="69" t="s">
        <v>100</v>
      </c>
      <c r="F26" s="70" t="s">
        <v>100</v>
      </c>
      <c r="G26" s="70" t="s">
        <v>100</v>
      </c>
      <c r="H26" s="69" t="s">
        <v>100</v>
      </c>
      <c r="I26" s="69">
        <v>51.344637226106258</v>
      </c>
      <c r="J26" s="70">
        <v>50.3</v>
      </c>
      <c r="K26" s="70">
        <v>399</v>
      </c>
      <c r="L26" s="70" t="s">
        <v>767</v>
      </c>
      <c r="M26" s="67" t="s">
        <v>768</v>
      </c>
      <c r="N26" s="71">
        <v>40</v>
      </c>
      <c r="O26" s="71">
        <v>80</v>
      </c>
      <c r="P26" s="72"/>
      <c r="Q26" s="70" t="s">
        <v>100</v>
      </c>
      <c r="R26" s="73"/>
      <c r="S26" s="74">
        <v>1.1000000000000001</v>
      </c>
      <c r="T26" s="74">
        <v>600</v>
      </c>
      <c r="U26" s="74" t="str">
        <f t="shared" si="0"/>
        <v>FB1</v>
      </c>
      <c r="V26" s="74" t="s">
        <v>771</v>
      </c>
      <c r="W26" s="74" t="s">
        <v>756</v>
      </c>
      <c r="X26" s="74">
        <v>1</v>
      </c>
      <c r="Y26" s="74">
        <v>0</v>
      </c>
      <c r="Z26" s="74">
        <v>6.38</v>
      </c>
      <c r="AA26" s="74" t="s">
        <v>775</v>
      </c>
      <c r="AB26" s="74">
        <v>7.04</v>
      </c>
      <c r="AC26" s="74" t="s">
        <v>14</v>
      </c>
      <c r="AD26" s="74" t="s">
        <v>15</v>
      </c>
      <c r="AE26" s="74" t="s">
        <v>16</v>
      </c>
      <c r="AG26" s="76">
        <v>43602</v>
      </c>
      <c r="AH26" s="77">
        <v>0.58508101851851857</v>
      </c>
    </row>
    <row r="27" spans="1:34" s="75" customFormat="1" ht="11.25" x14ac:dyDescent="0.3">
      <c r="A27" s="66">
        <v>21</v>
      </c>
      <c r="B27" s="66" t="s">
        <v>779</v>
      </c>
      <c r="C27" s="67" t="s">
        <v>780</v>
      </c>
      <c r="D27" s="68">
        <v>5.7990000000000004</v>
      </c>
      <c r="E27" s="69">
        <v>9.6314310318675105</v>
      </c>
      <c r="F27" s="70">
        <v>8.6184310318675106</v>
      </c>
      <c r="G27" s="70">
        <v>247.1</v>
      </c>
      <c r="H27" s="69">
        <v>5.7990000000000004</v>
      </c>
      <c r="I27" s="69">
        <v>10.665642755691612</v>
      </c>
      <c r="J27" s="70">
        <v>9.6999999999999993</v>
      </c>
      <c r="K27" s="70">
        <v>253</v>
      </c>
      <c r="L27" s="70" t="s">
        <v>781</v>
      </c>
      <c r="M27" s="67" t="s">
        <v>782</v>
      </c>
      <c r="N27" s="71">
        <v>200</v>
      </c>
      <c r="O27" s="71">
        <v>40</v>
      </c>
      <c r="P27" s="72"/>
      <c r="Q27" s="70">
        <v>60</v>
      </c>
      <c r="R27" s="73"/>
      <c r="S27" s="74">
        <v>1.1000000000000001</v>
      </c>
      <c r="T27" s="74">
        <v>600</v>
      </c>
      <c r="U27" s="74" t="str">
        <f t="shared" si="0"/>
        <v>FB1</v>
      </c>
      <c r="V27" s="74" t="s">
        <v>771</v>
      </c>
      <c r="W27" s="74" t="s">
        <v>756</v>
      </c>
      <c r="X27" s="74">
        <v>1</v>
      </c>
      <c r="Y27" s="74">
        <v>0</v>
      </c>
      <c r="Z27" s="74">
        <v>7.95</v>
      </c>
      <c r="AA27" s="74" t="s">
        <v>772</v>
      </c>
      <c r="AB27" s="74">
        <v>9.27</v>
      </c>
      <c r="AC27" s="74" t="s">
        <v>14</v>
      </c>
      <c r="AD27" s="74" t="s">
        <v>15</v>
      </c>
      <c r="AE27" s="74" t="s">
        <v>16</v>
      </c>
      <c r="AG27" s="76">
        <v>43602</v>
      </c>
      <c r="AH27" s="77">
        <v>0.58508101851851857</v>
      </c>
    </row>
    <row r="28" spans="1:34" s="75" customFormat="1" ht="11.25" x14ac:dyDescent="0.3">
      <c r="A28" s="66">
        <v>22</v>
      </c>
      <c r="B28" s="66" t="s">
        <v>783</v>
      </c>
      <c r="C28" s="67" t="s">
        <v>519</v>
      </c>
      <c r="D28" s="68">
        <v>341.5</v>
      </c>
      <c r="E28" s="69">
        <v>9.6314310318675105</v>
      </c>
      <c r="F28" s="70">
        <v>8.6184310318675106</v>
      </c>
      <c r="G28" s="70">
        <v>247.1</v>
      </c>
      <c r="H28" s="69">
        <v>341.5</v>
      </c>
      <c r="I28" s="69">
        <v>10.665642755691612</v>
      </c>
      <c r="J28" s="70">
        <v>9.6999999999999993</v>
      </c>
      <c r="K28" s="70">
        <v>253</v>
      </c>
      <c r="L28" s="70" t="s">
        <v>635</v>
      </c>
      <c r="M28" s="67" t="s">
        <v>768</v>
      </c>
      <c r="N28" s="71">
        <v>1300</v>
      </c>
      <c r="O28" s="71" t="s">
        <v>770</v>
      </c>
      <c r="P28" s="72">
        <v>9.5299999999999994</v>
      </c>
      <c r="Q28" s="70">
        <v>60</v>
      </c>
      <c r="R28" s="73"/>
      <c r="S28" s="74">
        <v>1.1000000000000001</v>
      </c>
      <c r="T28" s="74">
        <v>600</v>
      </c>
      <c r="U28" s="74" t="str">
        <f t="shared" si="0"/>
        <v>FB1</v>
      </c>
      <c r="V28" s="74" t="s">
        <v>771</v>
      </c>
      <c r="W28" s="74" t="s">
        <v>756</v>
      </c>
      <c r="X28" s="74">
        <v>1</v>
      </c>
      <c r="Y28" s="74">
        <v>0</v>
      </c>
      <c r="Z28" s="74">
        <v>2.59</v>
      </c>
      <c r="AA28" s="74" t="s">
        <v>772</v>
      </c>
      <c r="AB28" s="74">
        <v>5.49</v>
      </c>
      <c r="AC28" s="74" t="s">
        <v>14</v>
      </c>
      <c r="AD28" s="74" t="s">
        <v>15</v>
      </c>
      <c r="AE28" s="74" t="s">
        <v>16</v>
      </c>
      <c r="AG28" s="76">
        <v>43602</v>
      </c>
      <c r="AH28" s="77">
        <v>0.58508101851851857</v>
      </c>
    </row>
    <row r="29" spans="1:34" s="75" customFormat="1" ht="11.25" x14ac:dyDescent="0.3">
      <c r="A29" s="66">
        <v>23</v>
      </c>
      <c r="B29" s="66" t="s">
        <v>784</v>
      </c>
      <c r="C29" s="67" t="s">
        <v>519</v>
      </c>
      <c r="D29" s="68">
        <v>341.5</v>
      </c>
      <c r="E29" s="69">
        <v>9.6314310318675105</v>
      </c>
      <c r="F29" s="70">
        <v>8.6184310318675106</v>
      </c>
      <c r="G29" s="70">
        <v>247.1</v>
      </c>
      <c r="H29" s="69">
        <v>341.5</v>
      </c>
      <c r="I29" s="69">
        <v>10.665642755691612</v>
      </c>
      <c r="J29" s="70">
        <v>9.6999999999999993</v>
      </c>
      <c r="K29" s="70">
        <v>253</v>
      </c>
      <c r="L29" s="70" t="s">
        <v>635</v>
      </c>
      <c r="M29" s="67" t="s">
        <v>768</v>
      </c>
      <c r="N29" s="71">
        <v>1500</v>
      </c>
      <c r="O29" s="71" t="s">
        <v>770</v>
      </c>
      <c r="P29" s="72">
        <v>8.9351105647863598</v>
      </c>
      <c r="Q29" s="70" t="s">
        <v>100</v>
      </c>
      <c r="R29" s="73"/>
      <c r="S29" s="74">
        <v>1.1000000000000001</v>
      </c>
      <c r="T29" s="74">
        <v>600</v>
      </c>
      <c r="U29" s="74" t="str">
        <f t="shared" si="0"/>
        <v>FB1</v>
      </c>
      <c r="V29" s="74" t="s">
        <v>771</v>
      </c>
      <c r="W29" s="74" t="s">
        <v>756</v>
      </c>
      <c r="X29" s="74">
        <v>1</v>
      </c>
      <c r="Y29" s="74">
        <v>0</v>
      </c>
      <c r="Z29" s="74">
        <v>2.59</v>
      </c>
      <c r="AA29" s="74" t="s">
        <v>772</v>
      </c>
      <c r="AB29" s="74">
        <v>5.49</v>
      </c>
      <c r="AC29" s="74" t="s">
        <v>14</v>
      </c>
      <c r="AD29" s="74" t="s">
        <v>15</v>
      </c>
      <c r="AE29" s="74" t="s">
        <v>16</v>
      </c>
      <c r="AG29" s="76">
        <v>43602</v>
      </c>
      <c r="AH29" s="77">
        <v>0.58508101851851857</v>
      </c>
    </row>
    <row r="30" spans="1:34" s="75" customFormat="1" ht="11.25" x14ac:dyDescent="0.3">
      <c r="A30" s="66">
        <v>24</v>
      </c>
      <c r="B30" s="66" t="s">
        <v>785</v>
      </c>
      <c r="C30" s="67" t="s">
        <v>519</v>
      </c>
      <c r="D30" s="68">
        <v>0</v>
      </c>
      <c r="E30" s="69">
        <v>9.6314310318675105</v>
      </c>
      <c r="F30" s="70">
        <v>8.6184310318675106</v>
      </c>
      <c r="G30" s="70">
        <v>247.1</v>
      </c>
      <c r="H30" s="69">
        <v>0</v>
      </c>
      <c r="I30" s="69">
        <v>10.665642755691612</v>
      </c>
      <c r="J30" s="70">
        <v>9.6999999999999993</v>
      </c>
      <c r="K30" s="70">
        <v>253</v>
      </c>
      <c r="L30" s="70" t="s">
        <v>635</v>
      </c>
      <c r="M30" s="67" t="s">
        <v>768</v>
      </c>
      <c r="N30" s="71">
        <v>50</v>
      </c>
      <c r="O30" s="71">
        <v>80</v>
      </c>
      <c r="P30" s="72"/>
      <c r="Q30" s="70" t="s">
        <v>100</v>
      </c>
      <c r="R30" s="73"/>
      <c r="S30" s="74">
        <v>1.1000000000000001</v>
      </c>
      <c r="T30" s="74">
        <v>150</v>
      </c>
      <c r="U30" s="74" t="str">
        <f t="shared" si="0"/>
        <v>HB1</v>
      </c>
      <c r="V30" s="74" t="s">
        <v>786</v>
      </c>
      <c r="W30" s="74" t="s">
        <v>756</v>
      </c>
      <c r="X30" s="74">
        <v>1</v>
      </c>
      <c r="Y30" s="74">
        <v>1.6</v>
      </c>
      <c r="Z30" s="74">
        <v>4.26</v>
      </c>
      <c r="AA30" s="74" t="s">
        <v>787</v>
      </c>
      <c r="AB30" s="74">
        <v>6.35</v>
      </c>
      <c r="AC30" s="74" t="s">
        <v>14</v>
      </c>
      <c r="AD30" s="74" t="s">
        <v>15</v>
      </c>
      <c r="AE30" s="74" t="s">
        <v>16</v>
      </c>
      <c r="AG30" s="76">
        <v>43602</v>
      </c>
      <c r="AH30" s="77">
        <v>0.58508101851851857</v>
      </c>
    </row>
    <row r="31" spans="1:34" s="75" customFormat="1" ht="11.25" x14ac:dyDescent="0.3">
      <c r="A31" s="66">
        <v>25</v>
      </c>
      <c r="B31" s="66" t="s">
        <v>788</v>
      </c>
      <c r="C31" s="67" t="s">
        <v>517</v>
      </c>
      <c r="D31" s="68">
        <v>169.3</v>
      </c>
      <c r="E31" s="69">
        <v>9.6314310318675105</v>
      </c>
      <c r="F31" s="70">
        <v>8.6184310318675106</v>
      </c>
      <c r="G31" s="70">
        <v>247.1</v>
      </c>
      <c r="H31" s="69">
        <v>169.3</v>
      </c>
      <c r="I31" s="69">
        <v>10.665642755691612</v>
      </c>
      <c r="J31" s="70">
        <v>9.6999999999999993</v>
      </c>
      <c r="K31" s="70">
        <v>253</v>
      </c>
      <c r="L31" s="70" t="s">
        <v>635</v>
      </c>
      <c r="M31" s="67" t="s">
        <v>768</v>
      </c>
      <c r="N31" s="71">
        <v>1000</v>
      </c>
      <c r="O31" s="71" t="s">
        <v>789</v>
      </c>
      <c r="P31" s="72"/>
      <c r="Q31" s="70">
        <v>60</v>
      </c>
      <c r="R31" s="73"/>
      <c r="S31" s="74">
        <v>1.1000000000000001</v>
      </c>
      <c r="T31" s="74">
        <v>150</v>
      </c>
      <c r="U31" s="74" t="str">
        <f t="shared" si="0"/>
        <v>HB1</v>
      </c>
      <c r="V31" s="74" t="s">
        <v>786</v>
      </c>
      <c r="W31" s="74" t="s">
        <v>756</v>
      </c>
      <c r="X31" s="74">
        <v>1</v>
      </c>
      <c r="Y31" s="74">
        <v>1.6</v>
      </c>
      <c r="Z31" s="74">
        <v>8.85</v>
      </c>
      <c r="AA31" s="74">
        <v>9.5299999999999994</v>
      </c>
      <c r="AB31" s="74">
        <v>9.5299999999999994</v>
      </c>
      <c r="AC31" s="74" t="s">
        <v>14</v>
      </c>
      <c r="AD31" s="74" t="s">
        <v>15</v>
      </c>
      <c r="AE31" s="74" t="s">
        <v>16</v>
      </c>
      <c r="AG31" s="76">
        <v>43602</v>
      </c>
      <c r="AH31" s="77">
        <v>0.58508101851851857</v>
      </c>
    </row>
    <row r="32" spans="1:34" s="75" customFormat="1" ht="11.25" x14ac:dyDescent="0.3">
      <c r="A32" s="66">
        <v>26</v>
      </c>
      <c r="B32" s="66" t="s">
        <v>790</v>
      </c>
      <c r="C32" s="67" t="s">
        <v>456</v>
      </c>
      <c r="D32" s="68">
        <v>171.04040285142653</v>
      </c>
      <c r="E32" s="69">
        <v>9.6314310318675105</v>
      </c>
      <c r="F32" s="70">
        <v>8.6184310318675106</v>
      </c>
      <c r="G32" s="70">
        <v>247.1</v>
      </c>
      <c r="H32" s="69">
        <v>171.04040285142653</v>
      </c>
      <c r="I32" s="69">
        <v>10.665642755691612</v>
      </c>
      <c r="J32" s="70">
        <v>9.6999999999999993</v>
      </c>
      <c r="K32" s="70">
        <v>253</v>
      </c>
      <c r="L32" s="70" t="s">
        <v>635</v>
      </c>
      <c r="M32" s="67" t="s">
        <v>768</v>
      </c>
      <c r="N32" s="71">
        <v>1000</v>
      </c>
      <c r="O32" s="71" t="s">
        <v>789</v>
      </c>
      <c r="P32" s="72"/>
      <c r="Q32" s="70">
        <v>60</v>
      </c>
      <c r="R32" s="73"/>
      <c r="S32" s="74">
        <v>1.1000000000000001</v>
      </c>
      <c r="T32" s="74">
        <v>150</v>
      </c>
      <c r="U32" s="74" t="str">
        <f t="shared" si="0"/>
        <v>HB1</v>
      </c>
      <c r="V32" s="74" t="s">
        <v>786</v>
      </c>
      <c r="W32" s="74" t="s">
        <v>756</v>
      </c>
      <c r="X32" s="74">
        <v>1</v>
      </c>
      <c r="Y32" s="74">
        <v>1.6</v>
      </c>
      <c r="Z32" s="74">
        <v>8.85</v>
      </c>
      <c r="AA32" s="74">
        <v>9.5299999999999994</v>
      </c>
      <c r="AB32" s="74">
        <v>9.5299999999999994</v>
      </c>
      <c r="AC32" s="74" t="s">
        <v>14</v>
      </c>
      <c r="AD32" s="74" t="s">
        <v>15</v>
      </c>
      <c r="AE32" s="74" t="s">
        <v>16</v>
      </c>
      <c r="AG32" s="76">
        <v>43602</v>
      </c>
      <c r="AH32" s="77">
        <v>0.58508101851851857</v>
      </c>
    </row>
    <row r="33" spans="1:34" s="75" customFormat="1" ht="11.25" x14ac:dyDescent="0.3">
      <c r="A33" s="66">
        <v>27</v>
      </c>
      <c r="B33" s="66" t="s">
        <v>791</v>
      </c>
      <c r="C33" s="67" t="s">
        <v>519</v>
      </c>
      <c r="D33" s="68">
        <v>94.255531730895129</v>
      </c>
      <c r="E33" s="69">
        <v>9.6314310318675105</v>
      </c>
      <c r="F33" s="70">
        <v>8.6184310318675106</v>
      </c>
      <c r="G33" s="70">
        <v>247.1</v>
      </c>
      <c r="H33" s="69">
        <v>94.255531730895129</v>
      </c>
      <c r="I33" s="69">
        <v>10.665642755691612</v>
      </c>
      <c r="J33" s="70">
        <v>9.6999999999999993</v>
      </c>
      <c r="K33" s="70">
        <v>253</v>
      </c>
      <c r="L33" s="70" t="s">
        <v>635</v>
      </c>
      <c r="M33" s="67" t="s">
        <v>768</v>
      </c>
      <c r="N33" s="71">
        <v>600</v>
      </c>
      <c r="O33" s="71" t="s">
        <v>789</v>
      </c>
      <c r="P33" s="72"/>
      <c r="Q33" s="70">
        <v>100</v>
      </c>
      <c r="R33" s="73"/>
      <c r="S33" s="74">
        <v>1.1000000000000001</v>
      </c>
      <c r="T33" s="74">
        <v>300</v>
      </c>
      <c r="U33" s="74" t="str">
        <f t="shared" si="0"/>
        <v>GB1</v>
      </c>
      <c r="V33" s="74" t="s">
        <v>792</v>
      </c>
      <c r="W33" s="74" t="s">
        <v>756</v>
      </c>
      <c r="X33" s="74">
        <v>1</v>
      </c>
      <c r="Y33" s="74">
        <v>1.6</v>
      </c>
      <c r="Z33" s="74">
        <v>6.81</v>
      </c>
      <c r="AA33" s="74" t="s">
        <v>787</v>
      </c>
      <c r="AB33" s="74">
        <v>7.92</v>
      </c>
      <c r="AC33" s="74" t="s">
        <v>14</v>
      </c>
      <c r="AD33" s="74" t="s">
        <v>15</v>
      </c>
      <c r="AE33" s="74" t="s">
        <v>16</v>
      </c>
      <c r="AG33" s="76">
        <v>43602</v>
      </c>
      <c r="AH33" s="77">
        <v>0.58508101851851857</v>
      </c>
    </row>
    <row r="34" spans="1:34" s="75" customFormat="1" ht="11.25" x14ac:dyDescent="0.3">
      <c r="A34" s="66">
        <v>28</v>
      </c>
      <c r="B34" s="66" t="s">
        <v>793</v>
      </c>
      <c r="C34" s="67" t="s">
        <v>519</v>
      </c>
      <c r="D34" s="68">
        <v>71.349999999999994</v>
      </c>
      <c r="E34" s="69">
        <v>9.6314310318675105</v>
      </c>
      <c r="F34" s="70">
        <v>8.6184310318675106</v>
      </c>
      <c r="G34" s="70">
        <v>247.1</v>
      </c>
      <c r="H34" s="69">
        <v>71.349999999999994</v>
      </c>
      <c r="I34" s="69">
        <v>10.665642755691612</v>
      </c>
      <c r="J34" s="70">
        <v>9.6999999999999993</v>
      </c>
      <c r="K34" s="70">
        <v>253</v>
      </c>
      <c r="L34" s="70" t="s">
        <v>635</v>
      </c>
      <c r="M34" s="67" t="s">
        <v>768</v>
      </c>
      <c r="N34" s="71">
        <v>600</v>
      </c>
      <c r="O34" s="71" t="s">
        <v>789</v>
      </c>
      <c r="P34" s="72"/>
      <c r="Q34" s="70">
        <v>100</v>
      </c>
      <c r="R34" s="73"/>
      <c r="S34" s="74">
        <v>1.1000000000000001</v>
      </c>
      <c r="T34" s="74">
        <v>150</v>
      </c>
      <c r="U34" s="74" t="str">
        <f t="shared" si="0"/>
        <v>HB1</v>
      </c>
      <c r="V34" s="74" t="s">
        <v>786</v>
      </c>
      <c r="W34" s="74" t="s">
        <v>756</v>
      </c>
      <c r="X34" s="74">
        <v>1</v>
      </c>
      <c r="Y34" s="74">
        <v>1.6</v>
      </c>
      <c r="Z34" s="74">
        <v>6.42</v>
      </c>
      <c r="AA34" s="74" t="s">
        <v>787</v>
      </c>
      <c r="AB34" s="74">
        <v>7.92</v>
      </c>
      <c r="AC34" s="74" t="s">
        <v>14</v>
      </c>
      <c r="AD34" s="74" t="s">
        <v>15</v>
      </c>
      <c r="AE34" s="74" t="s">
        <v>16</v>
      </c>
      <c r="AG34" s="76">
        <v>43602</v>
      </c>
      <c r="AH34" s="77">
        <v>0.58508101851851857</v>
      </c>
    </row>
    <row r="35" spans="1:34" s="75" customFormat="1" ht="11.25" x14ac:dyDescent="0.3">
      <c r="A35" s="66">
        <v>29</v>
      </c>
      <c r="B35" s="66" t="s">
        <v>794</v>
      </c>
      <c r="C35" s="67" t="s">
        <v>519</v>
      </c>
      <c r="D35" s="68">
        <v>341.5</v>
      </c>
      <c r="E35" s="69">
        <v>9.6314310318675105</v>
      </c>
      <c r="F35" s="70">
        <v>8.6184310318675106</v>
      </c>
      <c r="G35" s="70">
        <v>247.1</v>
      </c>
      <c r="H35" s="69">
        <v>341.5</v>
      </c>
      <c r="I35" s="69">
        <v>10.665642755691612</v>
      </c>
      <c r="J35" s="70">
        <v>9.6999999999999993</v>
      </c>
      <c r="K35" s="70">
        <v>253</v>
      </c>
      <c r="L35" s="70" t="s">
        <v>635</v>
      </c>
      <c r="M35" s="67" t="s">
        <v>768</v>
      </c>
      <c r="N35" s="71">
        <v>1100</v>
      </c>
      <c r="O35" s="71" t="s">
        <v>789</v>
      </c>
      <c r="P35" s="72"/>
      <c r="Q35" s="70">
        <v>100</v>
      </c>
      <c r="R35" s="73"/>
      <c r="S35" s="74">
        <v>1.1000000000000001</v>
      </c>
      <c r="T35" s="74">
        <v>300</v>
      </c>
      <c r="U35" s="74" t="str">
        <f t="shared" si="0"/>
        <v>GB1</v>
      </c>
      <c r="V35" s="74" t="s">
        <v>792</v>
      </c>
      <c r="W35" s="74" t="s">
        <v>756</v>
      </c>
      <c r="X35" s="74">
        <v>1</v>
      </c>
      <c r="Y35" s="74">
        <v>1.6</v>
      </c>
      <c r="Z35" s="74">
        <v>2.8</v>
      </c>
      <c r="AA35" s="74" t="s">
        <v>772</v>
      </c>
      <c r="AB35" s="74">
        <v>7.11</v>
      </c>
      <c r="AC35" s="74" t="s">
        <v>14</v>
      </c>
      <c r="AD35" s="74" t="s">
        <v>15</v>
      </c>
      <c r="AE35" s="74" t="s">
        <v>16</v>
      </c>
      <c r="AG35" s="76">
        <v>43602</v>
      </c>
      <c r="AH35" s="77">
        <v>0.58508101851851857</v>
      </c>
    </row>
    <row r="36" spans="1:34" s="75" customFormat="1" ht="11.25" x14ac:dyDescent="0.3">
      <c r="A36" s="66">
        <v>30</v>
      </c>
      <c r="B36" s="66" t="s">
        <v>795</v>
      </c>
      <c r="C36" s="67" t="s">
        <v>518</v>
      </c>
      <c r="D36" s="68" t="s">
        <v>100</v>
      </c>
      <c r="E36" s="69" t="s">
        <v>100</v>
      </c>
      <c r="F36" s="70" t="s">
        <v>100</v>
      </c>
      <c r="G36" s="70" t="s">
        <v>100</v>
      </c>
      <c r="H36" s="69" t="s">
        <v>100</v>
      </c>
      <c r="I36" s="69">
        <v>10.665642755691612</v>
      </c>
      <c r="J36" s="70">
        <v>9.6999999999999993</v>
      </c>
      <c r="K36" s="70">
        <v>253</v>
      </c>
      <c r="L36" s="70" t="s">
        <v>635</v>
      </c>
      <c r="M36" s="67" t="s">
        <v>768</v>
      </c>
      <c r="N36" s="71">
        <v>50</v>
      </c>
      <c r="O36" s="71">
        <v>80</v>
      </c>
      <c r="P36" s="72"/>
      <c r="Q36" s="70" t="s">
        <v>100</v>
      </c>
      <c r="R36" s="73"/>
      <c r="S36" s="74">
        <v>1.1000000000000001</v>
      </c>
      <c r="T36" s="74">
        <v>150</v>
      </c>
      <c r="U36" s="74" t="str">
        <f t="shared" si="0"/>
        <v>HB1</v>
      </c>
      <c r="V36" s="74" t="s">
        <v>786</v>
      </c>
      <c r="W36" s="74" t="s">
        <v>756</v>
      </c>
      <c r="X36" s="74">
        <v>1</v>
      </c>
      <c r="Y36" s="74">
        <v>1.6</v>
      </c>
      <c r="Z36" s="74">
        <v>6.1499999999999995</v>
      </c>
      <c r="AA36" s="74" t="s">
        <v>787</v>
      </c>
      <c r="AB36" s="74">
        <v>7.92</v>
      </c>
      <c r="AC36" s="74" t="s">
        <v>14</v>
      </c>
      <c r="AD36" s="74" t="s">
        <v>15</v>
      </c>
      <c r="AE36" s="74" t="s">
        <v>16</v>
      </c>
      <c r="AG36" s="76">
        <v>43602</v>
      </c>
      <c r="AH36" s="77">
        <v>0.58508101851851857</v>
      </c>
    </row>
    <row r="37" spans="1:34" s="75" customFormat="1" ht="11.25" x14ac:dyDescent="0.3">
      <c r="A37" s="66">
        <v>31</v>
      </c>
      <c r="B37" s="66" t="s">
        <v>796</v>
      </c>
      <c r="C37" s="67" t="s">
        <v>797</v>
      </c>
      <c r="D37" s="68">
        <v>48.093935925505718</v>
      </c>
      <c r="E37" s="69">
        <v>3.2</v>
      </c>
      <c r="F37" s="70">
        <v>2.1870000000000003</v>
      </c>
      <c r="G37" s="70">
        <v>135.73996041273483</v>
      </c>
      <c r="H37" s="69">
        <v>48.093935925505718</v>
      </c>
      <c r="I37" s="69">
        <v>8.0129999999999999</v>
      </c>
      <c r="J37" s="70">
        <v>7</v>
      </c>
      <c r="K37" s="70">
        <v>170</v>
      </c>
      <c r="L37" s="70" t="s">
        <v>646</v>
      </c>
      <c r="M37" s="67" t="s">
        <v>768</v>
      </c>
      <c r="N37" s="71">
        <v>800</v>
      </c>
      <c r="O37" s="71" t="s">
        <v>789</v>
      </c>
      <c r="P37" s="72"/>
      <c r="Q37" s="70">
        <v>100</v>
      </c>
      <c r="R37" s="73"/>
      <c r="S37" s="74">
        <v>1.1000000000000001</v>
      </c>
      <c r="T37" s="74">
        <v>150</v>
      </c>
      <c r="U37" s="74" t="str">
        <f t="shared" si="0"/>
        <v>HB1</v>
      </c>
      <c r="V37" s="74" t="s">
        <v>786</v>
      </c>
      <c r="W37" s="74" t="s">
        <v>756</v>
      </c>
      <c r="X37" s="74">
        <v>1</v>
      </c>
      <c r="Y37" s="74">
        <v>1.6</v>
      </c>
      <c r="Z37" s="74">
        <v>8.31</v>
      </c>
      <c r="AA37" s="74" t="s">
        <v>789</v>
      </c>
      <c r="AB37" s="74">
        <v>9.5299999999999994</v>
      </c>
      <c r="AC37" s="74" t="s">
        <v>14</v>
      </c>
      <c r="AD37" s="74" t="s">
        <v>15</v>
      </c>
      <c r="AE37" s="74" t="s">
        <v>16</v>
      </c>
      <c r="AG37" s="76">
        <v>43602</v>
      </c>
      <c r="AH37" s="77">
        <v>0.58508101851851857</v>
      </c>
    </row>
    <row r="38" spans="1:34" s="75" customFormat="1" ht="11.25" x14ac:dyDescent="0.3">
      <c r="A38" s="66">
        <v>32</v>
      </c>
      <c r="B38" s="66" t="s">
        <v>798</v>
      </c>
      <c r="C38" s="67" t="s">
        <v>797</v>
      </c>
      <c r="D38" s="68">
        <v>77.127951948672887</v>
      </c>
      <c r="E38" s="69">
        <v>3.2</v>
      </c>
      <c r="F38" s="70">
        <v>2.1870000000000003</v>
      </c>
      <c r="G38" s="70">
        <v>135.73996041273483</v>
      </c>
      <c r="H38" s="69">
        <v>77.127951948672887</v>
      </c>
      <c r="I38" s="69">
        <v>8.0129999999999999</v>
      </c>
      <c r="J38" s="70">
        <v>7</v>
      </c>
      <c r="K38" s="70">
        <v>170</v>
      </c>
      <c r="L38" s="70" t="s">
        <v>646</v>
      </c>
      <c r="M38" s="67" t="s">
        <v>768</v>
      </c>
      <c r="N38" s="71">
        <v>900</v>
      </c>
      <c r="O38" s="71" t="s">
        <v>789</v>
      </c>
      <c r="P38" s="72"/>
      <c r="Q38" s="70">
        <v>100</v>
      </c>
      <c r="R38" s="73"/>
      <c r="S38" s="74">
        <v>1.1000000000000001</v>
      </c>
      <c r="T38" s="74">
        <v>150</v>
      </c>
      <c r="U38" s="74" t="str">
        <f t="shared" si="0"/>
        <v>HB1</v>
      </c>
      <c r="V38" s="74" t="s">
        <v>786</v>
      </c>
      <c r="W38" s="74" t="s">
        <v>756</v>
      </c>
      <c r="X38" s="74">
        <v>1</v>
      </c>
      <c r="Y38" s="74">
        <v>1.6</v>
      </c>
      <c r="Z38" s="74">
        <v>7.77</v>
      </c>
      <c r="AA38" s="74" t="s">
        <v>789</v>
      </c>
      <c r="AB38" s="74">
        <v>9.5299999999999994</v>
      </c>
      <c r="AC38" s="74" t="s">
        <v>14</v>
      </c>
      <c r="AD38" s="74" t="s">
        <v>15</v>
      </c>
      <c r="AE38" s="74" t="s">
        <v>16</v>
      </c>
      <c r="AG38" s="76">
        <v>43602</v>
      </c>
      <c r="AH38" s="77">
        <v>0.58508101851851857</v>
      </c>
    </row>
    <row r="39" spans="1:34" s="75" customFormat="1" ht="11.25" x14ac:dyDescent="0.3">
      <c r="A39" s="66">
        <v>33</v>
      </c>
      <c r="B39" s="66" t="s">
        <v>799</v>
      </c>
      <c r="C39" s="67" t="s">
        <v>797</v>
      </c>
      <c r="D39" s="68">
        <v>63.904116568829181</v>
      </c>
      <c r="E39" s="69">
        <v>3.2</v>
      </c>
      <c r="F39" s="70">
        <v>2.1870000000000003</v>
      </c>
      <c r="G39" s="70">
        <v>135.73996041273483</v>
      </c>
      <c r="H39" s="69">
        <v>63.904116568829181</v>
      </c>
      <c r="I39" s="69">
        <v>8.0129999999999999</v>
      </c>
      <c r="J39" s="70">
        <v>7</v>
      </c>
      <c r="K39" s="70">
        <v>170</v>
      </c>
      <c r="L39" s="70" t="s">
        <v>646</v>
      </c>
      <c r="M39" s="67" t="s">
        <v>768</v>
      </c>
      <c r="N39" s="71">
        <v>800</v>
      </c>
      <c r="O39" s="71" t="s">
        <v>789</v>
      </c>
      <c r="P39" s="72"/>
      <c r="Q39" s="70">
        <v>100</v>
      </c>
      <c r="R39" s="73"/>
      <c r="S39" s="74">
        <v>1.1000000000000001</v>
      </c>
      <c r="T39" s="74">
        <v>150</v>
      </c>
      <c r="U39" s="74" t="str">
        <f t="shared" si="0"/>
        <v>HB1</v>
      </c>
      <c r="V39" s="74" t="s">
        <v>786</v>
      </c>
      <c r="W39" s="74" t="s">
        <v>756</v>
      </c>
      <c r="X39" s="74">
        <v>1</v>
      </c>
      <c r="Y39" s="74">
        <v>1.6</v>
      </c>
      <c r="Z39" s="74">
        <v>5.34</v>
      </c>
      <c r="AA39" s="74" t="s">
        <v>787</v>
      </c>
      <c r="AB39" s="74">
        <v>7.92</v>
      </c>
      <c r="AC39" s="74" t="s">
        <v>14</v>
      </c>
      <c r="AD39" s="74" t="s">
        <v>15</v>
      </c>
      <c r="AE39" s="74" t="s">
        <v>16</v>
      </c>
      <c r="AG39" s="76">
        <v>43602</v>
      </c>
      <c r="AH39" s="77">
        <v>0.58508101851851857</v>
      </c>
    </row>
    <row r="40" spans="1:34" s="63" customFormat="1" ht="11.25" x14ac:dyDescent="0.3">
      <c r="A40" s="66">
        <v>34</v>
      </c>
      <c r="B40" s="66" t="s">
        <v>800</v>
      </c>
      <c r="C40" s="67" t="s">
        <v>642</v>
      </c>
      <c r="D40" s="68">
        <v>3.7086111111111109</v>
      </c>
      <c r="E40" s="69">
        <v>11</v>
      </c>
      <c r="F40" s="70">
        <v>9.9870000000000001</v>
      </c>
      <c r="G40" s="70">
        <v>322.37955012408804</v>
      </c>
      <c r="H40" s="69">
        <v>3.7086111111111109</v>
      </c>
      <c r="I40" s="69">
        <v>12.013</v>
      </c>
      <c r="J40" s="78">
        <v>12</v>
      </c>
      <c r="K40" s="70">
        <v>330</v>
      </c>
      <c r="L40" s="79" t="s">
        <v>801</v>
      </c>
      <c r="M40" s="67" t="s">
        <v>768</v>
      </c>
      <c r="N40" s="71">
        <v>150</v>
      </c>
      <c r="O40" s="71">
        <v>40</v>
      </c>
      <c r="P40" s="72"/>
      <c r="Q40" s="70">
        <v>60</v>
      </c>
      <c r="R40" s="73"/>
      <c r="S40" s="74" t="e">
        <v>#N/A</v>
      </c>
      <c r="T40" s="74">
        <v>150</v>
      </c>
      <c r="U40" s="74" t="e">
        <f t="shared" si="0"/>
        <v>#N/A</v>
      </c>
      <c r="V40" s="74" t="s">
        <v>786</v>
      </c>
      <c r="W40" s="74" t="e">
        <v>#N/A</v>
      </c>
      <c r="X40" s="74">
        <v>1</v>
      </c>
      <c r="Y40" s="74">
        <v>1.6</v>
      </c>
      <c r="Z40" s="74">
        <v>5.0699999999999994</v>
      </c>
      <c r="AA40" s="74" t="s">
        <v>802</v>
      </c>
      <c r="AB40" s="74">
        <v>5.54</v>
      </c>
      <c r="AC40" s="74" t="e">
        <v>#N/A</v>
      </c>
      <c r="AD40" s="74" t="e">
        <v>#N/A</v>
      </c>
      <c r="AE40" s="74" t="s">
        <v>16</v>
      </c>
      <c r="AF40" s="80"/>
      <c r="AG40" s="81">
        <v>43602</v>
      </c>
      <c r="AH40" s="82">
        <v>0.58508101851851857</v>
      </c>
    </row>
    <row r="41" spans="1:34" s="63" customFormat="1" ht="11.25" x14ac:dyDescent="0.3">
      <c r="A41" s="66">
        <v>35</v>
      </c>
      <c r="B41" s="66" t="s">
        <v>641</v>
      </c>
      <c r="C41" s="67" t="s">
        <v>642</v>
      </c>
      <c r="D41" s="68">
        <v>1.3888888888888888</v>
      </c>
      <c r="E41" s="69">
        <v>11</v>
      </c>
      <c r="F41" s="70">
        <v>9.9870000000000001</v>
      </c>
      <c r="G41" s="70">
        <v>322.37955012408804</v>
      </c>
      <c r="H41" s="69">
        <v>1.3888888888888888</v>
      </c>
      <c r="I41" s="69">
        <v>12.013</v>
      </c>
      <c r="J41" s="78">
        <v>12</v>
      </c>
      <c r="K41" s="70">
        <v>330</v>
      </c>
      <c r="L41" s="79" t="s">
        <v>801</v>
      </c>
      <c r="M41" s="67" t="s">
        <v>768</v>
      </c>
      <c r="N41" s="71">
        <v>100</v>
      </c>
      <c r="O41" s="71">
        <v>40</v>
      </c>
      <c r="P41" s="72"/>
      <c r="Q41" s="70">
        <v>60</v>
      </c>
      <c r="R41" s="73"/>
      <c r="S41" s="74" t="e">
        <v>#N/A</v>
      </c>
      <c r="T41" s="74">
        <v>150</v>
      </c>
      <c r="U41" s="74" t="e">
        <f t="shared" si="0"/>
        <v>#N/A</v>
      </c>
      <c r="V41" s="74" t="s">
        <v>786</v>
      </c>
      <c r="W41" s="74" t="e">
        <v>#N/A</v>
      </c>
      <c r="X41" s="74">
        <v>1</v>
      </c>
      <c r="Y41" s="74">
        <v>1.6</v>
      </c>
      <c r="Z41" s="74">
        <v>2.73</v>
      </c>
      <c r="AA41" s="74" t="s">
        <v>772</v>
      </c>
      <c r="AB41" s="74">
        <v>7.11</v>
      </c>
      <c r="AC41" s="74" t="e">
        <v>#N/A</v>
      </c>
      <c r="AD41" s="74" t="e">
        <v>#N/A</v>
      </c>
      <c r="AE41" s="74" t="s">
        <v>16</v>
      </c>
      <c r="AF41" s="80"/>
      <c r="AG41" s="81">
        <v>43602</v>
      </c>
      <c r="AH41" s="82">
        <v>0.58508101851851857</v>
      </c>
    </row>
    <row r="42" spans="1:34" s="63" customFormat="1" ht="11.25" x14ac:dyDescent="0.3">
      <c r="A42" s="83">
        <v>36</v>
      </c>
      <c r="B42" s="84" t="s">
        <v>803</v>
      </c>
      <c r="C42" s="67" t="s">
        <v>642</v>
      </c>
      <c r="D42" s="70">
        <v>1.2222222222222223</v>
      </c>
      <c r="E42" s="70">
        <v>11</v>
      </c>
      <c r="F42" s="70">
        <v>9.9870000000000001</v>
      </c>
      <c r="G42" s="70">
        <v>322.37955012408804</v>
      </c>
      <c r="H42" s="70">
        <v>1.2222222222222223</v>
      </c>
      <c r="I42" s="70">
        <v>12.013</v>
      </c>
      <c r="J42" s="78">
        <v>12</v>
      </c>
      <c r="K42" s="70">
        <v>330</v>
      </c>
      <c r="L42" s="79" t="s">
        <v>801</v>
      </c>
      <c r="M42" s="67" t="s">
        <v>768</v>
      </c>
      <c r="N42" s="85">
        <v>100</v>
      </c>
      <c r="O42" s="85">
        <v>40</v>
      </c>
      <c r="P42" s="86"/>
      <c r="Q42" s="70">
        <v>60</v>
      </c>
      <c r="R42" s="73"/>
      <c r="T42" s="87"/>
      <c r="V42" s="74"/>
      <c r="W42" s="74"/>
      <c r="X42" s="64"/>
      <c r="Y42" s="74"/>
      <c r="Z42" s="74"/>
      <c r="AA42" s="74"/>
      <c r="AB42" s="74"/>
      <c r="AC42" s="74"/>
      <c r="AD42" s="74"/>
      <c r="AE42" s="74"/>
    </row>
    <row r="43" spans="1:34" s="63" customFormat="1" ht="11.25" x14ac:dyDescent="0.3">
      <c r="A43" s="83">
        <v>37</v>
      </c>
      <c r="B43" s="84" t="s">
        <v>804</v>
      </c>
      <c r="C43" s="67" t="s">
        <v>642</v>
      </c>
      <c r="D43" s="70">
        <v>2.7258333333333336</v>
      </c>
      <c r="E43" s="70">
        <v>11</v>
      </c>
      <c r="F43" s="70">
        <v>9.9870000000000001</v>
      </c>
      <c r="G43" s="70">
        <v>322.37955012408804</v>
      </c>
      <c r="H43" s="70">
        <v>2.7258333333333336</v>
      </c>
      <c r="I43" s="70">
        <v>12.013</v>
      </c>
      <c r="J43" s="78">
        <v>12</v>
      </c>
      <c r="K43" s="70">
        <v>330</v>
      </c>
      <c r="L43" s="79" t="s">
        <v>801</v>
      </c>
      <c r="M43" s="67" t="s">
        <v>768</v>
      </c>
      <c r="N43" s="85">
        <v>150</v>
      </c>
      <c r="O43" s="85">
        <v>40</v>
      </c>
      <c r="P43" s="86"/>
      <c r="Q43" s="70">
        <v>60</v>
      </c>
      <c r="R43" s="73"/>
      <c r="T43" s="87"/>
      <c r="V43" s="74"/>
      <c r="W43" s="74"/>
      <c r="X43" s="64"/>
      <c r="Y43" s="74"/>
      <c r="Z43" s="74"/>
      <c r="AA43" s="74"/>
      <c r="AB43" s="74"/>
      <c r="AC43" s="74"/>
      <c r="AD43" s="74"/>
      <c r="AE43" s="74"/>
    </row>
    <row r="44" spans="1:34" s="63" customFormat="1" ht="11.25" x14ac:dyDescent="0.3">
      <c r="A44" s="83">
        <v>38</v>
      </c>
      <c r="B44" s="84" t="s">
        <v>805</v>
      </c>
      <c r="C44" s="67" t="s">
        <v>642</v>
      </c>
      <c r="D44" s="70">
        <v>0.90861111111111115</v>
      </c>
      <c r="E44" s="70">
        <v>11</v>
      </c>
      <c r="F44" s="70">
        <v>9.9870000000000001</v>
      </c>
      <c r="G44" s="70">
        <v>322.37955012408804</v>
      </c>
      <c r="H44" s="70">
        <v>0.90861111111111115</v>
      </c>
      <c r="I44" s="70">
        <v>12.013</v>
      </c>
      <c r="J44" s="78">
        <v>12</v>
      </c>
      <c r="K44" s="70">
        <v>330</v>
      </c>
      <c r="L44" s="79" t="s">
        <v>801</v>
      </c>
      <c r="M44" s="67" t="s">
        <v>768</v>
      </c>
      <c r="N44" s="85">
        <v>80</v>
      </c>
      <c r="O44" s="85">
        <v>40</v>
      </c>
      <c r="P44" s="86"/>
      <c r="Q44" s="70">
        <v>60</v>
      </c>
      <c r="R44" s="73"/>
      <c r="T44" s="87"/>
      <c r="V44" s="74"/>
      <c r="W44" s="74"/>
      <c r="X44" s="64"/>
      <c r="Y44" s="74"/>
      <c r="Z44" s="74"/>
      <c r="AA44" s="74"/>
      <c r="AB44" s="74"/>
      <c r="AC44" s="74"/>
      <c r="AD44" s="74"/>
      <c r="AE44" s="74"/>
    </row>
    <row r="45" spans="1:34" s="44" customFormat="1" ht="11.25" x14ac:dyDescent="0.3">
      <c r="A45" s="55" t="s">
        <v>806</v>
      </c>
      <c r="B45" s="56" t="s">
        <v>807</v>
      </c>
      <c r="C45" s="55"/>
      <c r="D45" s="57"/>
      <c r="E45" s="57"/>
      <c r="F45" s="57"/>
      <c r="G45" s="57"/>
      <c r="H45" s="57"/>
      <c r="I45" s="57"/>
      <c r="J45" s="57"/>
      <c r="K45" s="57"/>
      <c r="L45" s="57"/>
      <c r="M45" s="58"/>
      <c r="N45" s="59"/>
      <c r="O45" s="59"/>
      <c r="P45" s="60"/>
      <c r="Q45" s="57"/>
      <c r="R45" s="61"/>
      <c r="T45" s="88"/>
      <c r="V45" s="74"/>
      <c r="W45" s="74"/>
      <c r="X45" s="89"/>
      <c r="Y45" s="74"/>
      <c r="Z45" s="74"/>
      <c r="AA45" s="74"/>
      <c r="AB45" s="74"/>
      <c r="AC45" s="74"/>
      <c r="AD45" s="74"/>
      <c r="AE45" s="74"/>
    </row>
    <row r="46" spans="1:34" s="63" customFormat="1" ht="11.25" x14ac:dyDescent="0.3">
      <c r="A46" s="67"/>
      <c r="B46" s="90" t="s">
        <v>808</v>
      </c>
      <c r="C46" s="67"/>
      <c r="D46" s="70"/>
      <c r="E46" s="68"/>
      <c r="F46" s="70"/>
      <c r="G46" s="70"/>
      <c r="H46" s="70"/>
      <c r="I46" s="70"/>
      <c r="J46" s="70"/>
      <c r="K46" s="70"/>
      <c r="L46" s="70"/>
      <c r="M46" s="67"/>
      <c r="N46" s="85"/>
      <c r="O46" s="85"/>
      <c r="P46" s="86"/>
      <c r="Q46" s="70"/>
      <c r="R46" s="73"/>
      <c r="S46" s="91" t="s">
        <v>809</v>
      </c>
    </row>
    <row r="47" spans="1:34" s="63" customFormat="1" ht="11.25" x14ac:dyDescent="0.3">
      <c r="A47" s="67"/>
      <c r="B47" s="90" t="s">
        <v>810</v>
      </c>
      <c r="C47" s="67"/>
      <c r="D47" s="70"/>
      <c r="E47" s="68"/>
      <c r="F47" s="70"/>
      <c r="G47" s="70"/>
      <c r="H47" s="70"/>
      <c r="I47" s="70"/>
      <c r="J47" s="70"/>
      <c r="K47" s="70"/>
      <c r="L47" s="70"/>
      <c r="M47" s="67"/>
      <c r="N47" s="85"/>
      <c r="O47" s="85"/>
      <c r="P47" s="86"/>
      <c r="Q47" s="70"/>
      <c r="R47" s="73"/>
      <c r="S47" s="91"/>
    </row>
    <row r="48" spans="1:34" s="63" customFormat="1" ht="11.25" x14ac:dyDescent="0.3">
      <c r="A48" s="67"/>
      <c r="B48" s="84" t="s">
        <v>811</v>
      </c>
      <c r="C48" s="67" t="s">
        <v>812</v>
      </c>
      <c r="D48" s="70">
        <f>D49/2</f>
        <v>85.25</v>
      </c>
      <c r="E48" s="68">
        <f>F48+1.013</f>
        <v>4.0129999999999999</v>
      </c>
      <c r="F48" s="70">
        <v>3</v>
      </c>
      <c r="G48" s="70">
        <v>107.8</v>
      </c>
      <c r="H48" s="70">
        <f t="shared" ref="H48:H64" si="1">ROUNDUP(D48,0)</f>
        <v>86</v>
      </c>
      <c r="I48" s="70">
        <f>J48-1.013</f>
        <v>11.987</v>
      </c>
      <c r="J48" s="70">
        <v>13</v>
      </c>
      <c r="K48" s="92">
        <v>185</v>
      </c>
      <c r="L48" s="79" t="s">
        <v>813</v>
      </c>
      <c r="M48" s="67" t="s">
        <v>768</v>
      </c>
      <c r="N48" s="93">
        <v>300</v>
      </c>
      <c r="O48" s="85" t="s">
        <v>814</v>
      </c>
      <c r="P48" s="86"/>
      <c r="Q48" s="70">
        <v>3</v>
      </c>
      <c r="R48" s="73"/>
      <c r="S48" s="91" t="s">
        <v>809</v>
      </c>
    </row>
    <row r="49" spans="1:19" s="63" customFormat="1" ht="11.25" x14ac:dyDescent="0.3">
      <c r="A49" s="67"/>
      <c r="B49" s="84" t="s">
        <v>655</v>
      </c>
      <c r="C49" s="67" t="s">
        <v>812</v>
      </c>
      <c r="D49" s="70">
        <v>170.5</v>
      </c>
      <c r="E49" s="68">
        <f>F49+1.013</f>
        <v>4.0129999999999999</v>
      </c>
      <c r="F49" s="70">
        <v>3</v>
      </c>
      <c r="G49" s="70">
        <v>107.8</v>
      </c>
      <c r="H49" s="70">
        <f t="shared" si="1"/>
        <v>171</v>
      </c>
      <c r="I49" s="70">
        <f>J49-1.013</f>
        <v>11.987</v>
      </c>
      <c r="J49" s="70">
        <v>13</v>
      </c>
      <c r="K49" s="92">
        <v>185</v>
      </c>
      <c r="L49" s="79" t="s">
        <v>813</v>
      </c>
      <c r="M49" s="67" t="s">
        <v>768</v>
      </c>
      <c r="N49" s="85">
        <v>300</v>
      </c>
      <c r="O49" s="85" t="s">
        <v>814</v>
      </c>
      <c r="P49" s="86"/>
      <c r="Q49" s="70">
        <v>3</v>
      </c>
      <c r="R49" s="73"/>
      <c r="S49" s="91" t="s">
        <v>809</v>
      </c>
    </row>
    <row r="50" spans="1:19" s="63" customFormat="1" ht="11.25" x14ac:dyDescent="0.3">
      <c r="A50" s="67"/>
      <c r="B50" s="84" t="s">
        <v>815</v>
      </c>
      <c r="C50" s="67" t="s">
        <v>812</v>
      </c>
      <c r="D50" s="70">
        <v>49.22</v>
      </c>
      <c r="E50" s="68">
        <f>F50+1.013</f>
        <v>4.0129999999999999</v>
      </c>
      <c r="F50" s="70">
        <v>3</v>
      </c>
      <c r="G50" s="70">
        <v>107.8</v>
      </c>
      <c r="H50" s="70">
        <f t="shared" si="1"/>
        <v>50</v>
      </c>
      <c r="I50" s="70">
        <f>J50-1.013</f>
        <v>11.987</v>
      </c>
      <c r="J50" s="70">
        <v>13</v>
      </c>
      <c r="K50" s="92">
        <v>185</v>
      </c>
      <c r="L50" s="79" t="s">
        <v>813</v>
      </c>
      <c r="M50" s="67" t="s">
        <v>768</v>
      </c>
      <c r="N50" s="85">
        <v>150</v>
      </c>
      <c r="O50" s="85">
        <v>40</v>
      </c>
      <c r="P50" s="86"/>
      <c r="Q50" s="70">
        <v>3</v>
      </c>
      <c r="R50" s="73"/>
      <c r="S50" s="91" t="s">
        <v>809</v>
      </c>
    </row>
    <row r="51" spans="1:19" s="63" customFormat="1" ht="11.25" x14ac:dyDescent="0.3">
      <c r="A51" s="67"/>
      <c r="B51" s="90" t="s">
        <v>816</v>
      </c>
      <c r="C51" s="67"/>
      <c r="D51" s="70"/>
      <c r="E51" s="68"/>
      <c r="F51" s="70"/>
      <c r="G51" s="70"/>
      <c r="H51" s="70"/>
      <c r="I51" s="70"/>
      <c r="J51" s="70"/>
      <c r="K51" s="70"/>
      <c r="L51" s="70"/>
      <c r="M51" s="67"/>
      <c r="N51" s="85"/>
      <c r="O51" s="85"/>
      <c r="P51" s="86"/>
      <c r="Q51" s="70"/>
      <c r="R51" s="73"/>
      <c r="S51" s="91"/>
    </row>
    <row r="52" spans="1:19" s="63" customFormat="1" ht="11.25" x14ac:dyDescent="0.3">
      <c r="A52" s="67"/>
      <c r="B52" s="84" t="s">
        <v>817</v>
      </c>
      <c r="C52" s="67" t="s">
        <v>818</v>
      </c>
      <c r="D52" s="70">
        <f>D50</f>
        <v>49.22</v>
      </c>
      <c r="E52" s="70">
        <v>75.400000000000006</v>
      </c>
      <c r="F52" s="70">
        <f t="shared" ref="F52:F58" si="2">E52-1.013</f>
        <v>74.387</v>
      </c>
      <c r="G52" s="70">
        <v>108.3</v>
      </c>
      <c r="H52" s="70">
        <f t="shared" si="1"/>
        <v>50</v>
      </c>
      <c r="I52" s="70">
        <v>94</v>
      </c>
      <c r="J52" s="70">
        <f t="shared" ref="J52:J58" si="3">I52-1.013</f>
        <v>92.986999999999995</v>
      </c>
      <c r="K52" s="92">
        <v>185</v>
      </c>
      <c r="L52" s="79" t="s">
        <v>819</v>
      </c>
      <c r="M52" s="67" t="s">
        <v>768</v>
      </c>
      <c r="N52" s="85">
        <v>150</v>
      </c>
      <c r="O52" s="93">
        <v>40</v>
      </c>
      <c r="P52" s="86"/>
      <c r="Q52" s="70">
        <v>5</v>
      </c>
      <c r="R52" s="73"/>
      <c r="S52" s="91" t="s">
        <v>809</v>
      </c>
    </row>
    <row r="53" spans="1:19" s="63" customFormat="1" ht="11.25" x14ac:dyDescent="0.3">
      <c r="A53" s="67"/>
      <c r="B53" s="84" t="s">
        <v>820</v>
      </c>
      <c r="C53" s="67" t="s">
        <v>818</v>
      </c>
      <c r="D53" s="70">
        <f>D49</f>
        <v>170.5</v>
      </c>
      <c r="E53" s="70">
        <v>75.400000000000006</v>
      </c>
      <c r="F53" s="70">
        <f t="shared" si="2"/>
        <v>74.387</v>
      </c>
      <c r="G53" s="70">
        <v>108.3</v>
      </c>
      <c r="H53" s="70">
        <f t="shared" si="1"/>
        <v>171</v>
      </c>
      <c r="I53" s="70">
        <v>94</v>
      </c>
      <c r="J53" s="70">
        <f t="shared" si="3"/>
        <v>92.986999999999995</v>
      </c>
      <c r="K53" s="92">
        <v>185</v>
      </c>
      <c r="L53" s="79" t="s">
        <v>819</v>
      </c>
      <c r="M53" s="67" t="s">
        <v>768</v>
      </c>
      <c r="N53" s="85">
        <v>250</v>
      </c>
      <c r="O53" s="93">
        <v>40</v>
      </c>
      <c r="P53" s="86"/>
      <c r="Q53" s="68">
        <v>5</v>
      </c>
      <c r="R53" s="73"/>
      <c r="S53" s="91" t="s">
        <v>809</v>
      </c>
    </row>
    <row r="54" spans="1:19" s="63" customFormat="1" ht="11.25" x14ac:dyDescent="0.3">
      <c r="A54" s="67"/>
      <c r="B54" s="84" t="s">
        <v>821</v>
      </c>
      <c r="C54" s="67" t="s">
        <v>818</v>
      </c>
      <c r="D54" s="70">
        <f>D53</f>
        <v>170.5</v>
      </c>
      <c r="E54" s="70">
        <v>75.400000000000006</v>
      </c>
      <c r="F54" s="70">
        <f t="shared" si="2"/>
        <v>74.387</v>
      </c>
      <c r="G54" s="70">
        <v>108.3</v>
      </c>
      <c r="H54" s="70">
        <f t="shared" si="1"/>
        <v>171</v>
      </c>
      <c r="I54" s="70">
        <v>94</v>
      </c>
      <c r="J54" s="70">
        <f t="shared" si="3"/>
        <v>92.986999999999995</v>
      </c>
      <c r="K54" s="92">
        <v>185</v>
      </c>
      <c r="L54" s="79" t="s">
        <v>819</v>
      </c>
      <c r="M54" s="67" t="s">
        <v>768</v>
      </c>
      <c r="N54" s="85">
        <v>400</v>
      </c>
      <c r="O54" s="93">
        <v>40</v>
      </c>
      <c r="P54" s="86"/>
      <c r="Q54" s="68">
        <v>2.25</v>
      </c>
      <c r="R54" s="73"/>
      <c r="S54" s="91" t="s">
        <v>809</v>
      </c>
    </row>
    <row r="55" spans="1:19" s="63" customFormat="1" ht="11.25" x14ac:dyDescent="0.3">
      <c r="A55" s="67"/>
      <c r="B55" s="84" t="s">
        <v>822</v>
      </c>
      <c r="C55" s="67" t="s">
        <v>818</v>
      </c>
      <c r="D55" s="70">
        <f>D50*0.3</f>
        <v>14.765999999999998</v>
      </c>
      <c r="E55" s="70">
        <v>75.400000000000006</v>
      </c>
      <c r="F55" s="70">
        <f t="shared" si="2"/>
        <v>74.387</v>
      </c>
      <c r="G55" s="70">
        <v>108.3</v>
      </c>
      <c r="H55" s="70">
        <f t="shared" si="1"/>
        <v>15</v>
      </c>
      <c r="I55" s="70">
        <v>94</v>
      </c>
      <c r="J55" s="70">
        <f t="shared" si="3"/>
        <v>92.986999999999995</v>
      </c>
      <c r="K55" s="92">
        <v>185</v>
      </c>
      <c r="L55" s="79" t="s">
        <v>819</v>
      </c>
      <c r="M55" s="67" t="s">
        <v>768</v>
      </c>
      <c r="N55" s="85">
        <v>80</v>
      </c>
      <c r="O55" s="93">
        <v>40</v>
      </c>
      <c r="P55" s="86"/>
      <c r="Q55" s="70">
        <v>5</v>
      </c>
      <c r="R55" s="73"/>
      <c r="S55" s="91" t="s">
        <v>809</v>
      </c>
    </row>
    <row r="56" spans="1:19" s="63" customFormat="1" ht="11.25" x14ac:dyDescent="0.3">
      <c r="A56" s="67"/>
      <c r="B56" s="84" t="s">
        <v>823</v>
      </c>
      <c r="C56" s="67" t="s">
        <v>824</v>
      </c>
      <c r="D56" s="70">
        <f>D55</f>
        <v>14.765999999999998</v>
      </c>
      <c r="E56" s="70">
        <v>8</v>
      </c>
      <c r="F56" s="70">
        <f t="shared" si="2"/>
        <v>6.9870000000000001</v>
      </c>
      <c r="G56" s="70">
        <v>108.3</v>
      </c>
      <c r="H56" s="70">
        <f t="shared" si="1"/>
        <v>15</v>
      </c>
      <c r="I56" s="70">
        <v>10</v>
      </c>
      <c r="J56" s="70">
        <f t="shared" si="3"/>
        <v>8.9870000000000001</v>
      </c>
      <c r="K56" s="92">
        <v>185</v>
      </c>
      <c r="L56" s="79" t="s">
        <v>813</v>
      </c>
      <c r="M56" s="67" t="s">
        <v>768</v>
      </c>
      <c r="N56" s="85">
        <v>80</v>
      </c>
      <c r="O56" s="85">
        <v>40</v>
      </c>
      <c r="P56" s="86"/>
      <c r="Q56" s="70">
        <v>5</v>
      </c>
      <c r="R56" s="73"/>
      <c r="S56" s="91" t="s">
        <v>809</v>
      </c>
    </row>
    <row r="57" spans="1:19" s="63" customFormat="1" ht="11.25" x14ac:dyDescent="0.3">
      <c r="A57" s="67"/>
      <c r="B57" s="84" t="s">
        <v>825</v>
      </c>
      <c r="C57" s="67" t="s">
        <v>824</v>
      </c>
      <c r="D57" s="70">
        <f>D56</f>
        <v>14.765999999999998</v>
      </c>
      <c r="E57" s="70">
        <v>8</v>
      </c>
      <c r="F57" s="70">
        <f t="shared" si="2"/>
        <v>6.9870000000000001</v>
      </c>
      <c r="G57" s="70">
        <v>108.3</v>
      </c>
      <c r="H57" s="70">
        <f t="shared" si="1"/>
        <v>15</v>
      </c>
      <c r="I57" s="70">
        <v>10</v>
      </c>
      <c r="J57" s="70">
        <f t="shared" si="3"/>
        <v>8.9870000000000001</v>
      </c>
      <c r="K57" s="92">
        <v>185</v>
      </c>
      <c r="L57" s="79" t="s">
        <v>813</v>
      </c>
      <c r="M57" s="67" t="s">
        <v>768</v>
      </c>
      <c r="N57" s="85">
        <v>100</v>
      </c>
      <c r="O57" s="85">
        <v>40</v>
      </c>
      <c r="P57" s="86"/>
      <c r="Q57" s="70">
        <v>5</v>
      </c>
      <c r="R57" s="73"/>
      <c r="S57" s="91" t="s">
        <v>809</v>
      </c>
    </row>
    <row r="58" spans="1:19" s="63" customFormat="1" ht="11.25" x14ac:dyDescent="0.3">
      <c r="A58" s="67"/>
      <c r="B58" s="84" t="s">
        <v>826</v>
      </c>
      <c r="C58" s="67" t="s">
        <v>824</v>
      </c>
      <c r="D58" s="70">
        <f>D57/2</f>
        <v>7.3829999999999991</v>
      </c>
      <c r="E58" s="70">
        <v>8</v>
      </c>
      <c r="F58" s="70">
        <f t="shared" si="2"/>
        <v>6.9870000000000001</v>
      </c>
      <c r="G58" s="70">
        <v>108.3</v>
      </c>
      <c r="H58" s="70">
        <f t="shared" si="1"/>
        <v>8</v>
      </c>
      <c r="I58" s="70">
        <v>10</v>
      </c>
      <c r="J58" s="70">
        <f t="shared" si="3"/>
        <v>8.9870000000000001</v>
      </c>
      <c r="K58" s="92">
        <v>185</v>
      </c>
      <c r="L58" s="79" t="s">
        <v>813</v>
      </c>
      <c r="M58" s="67" t="s">
        <v>768</v>
      </c>
      <c r="N58" s="85">
        <v>80</v>
      </c>
      <c r="O58" s="85">
        <v>40</v>
      </c>
      <c r="P58" s="86"/>
      <c r="Q58" s="70">
        <v>5</v>
      </c>
      <c r="R58" s="73"/>
      <c r="S58" s="91" t="s">
        <v>809</v>
      </c>
    </row>
    <row r="59" spans="1:19" s="63" customFormat="1" ht="11.25" x14ac:dyDescent="0.3">
      <c r="A59" s="67"/>
      <c r="B59" s="90" t="s">
        <v>827</v>
      </c>
      <c r="C59" s="67"/>
      <c r="D59" s="70"/>
      <c r="E59" s="70"/>
      <c r="F59" s="70"/>
      <c r="G59" s="70"/>
      <c r="H59" s="70"/>
      <c r="I59" s="70"/>
      <c r="J59" s="70"/>
      <c r="K59" s="70"/>
      <c r="L59" s="70"/>
      <c r="M59" s="67"/>
      <c r="N59" s="85"/>
      <c r="O59" s="85"/>
      <c r="P59" s="86"/>
      <c r="Q59" s="70"/>
      <c r="R59" s="73"/>
      <c r="S59" s="91"/>
    </row>
    <row r="60" spans="1:19" s="63" customFormat="1" ht="11.25" x14ac:dyDescent="0.3">
      <c r="A60" s="67"/>
      <c r="B60" s="90" t="s">
        <v>810</v>
      </c>
      <c r="C60" s="67"/>
      <c r="D60" s="70"/>
      <c r="E60" s="70"/>
      <c r="F60" s="70"/>
      <c r="G60" s="70"/>
      <c r="H60" s="70"/>
      <c r="I60" s="70"/>
      <c r="J60" s="70"/>
      <c r="K60" s="70"/>
      <c r="L60" s="70"/>
      <c r="M60" s="67"/>
      <c r="N60" s="85"/>
      <c r="O60" s="85"/>
      <c r="P60" s="86"/>
      <c r="Q60" s="70"/>
      <c r="R60" s="73"/>
      <c r="S60" s="91"/>
    </row>
    <row r="61" spans="1:19" s="63" customFormat="1" ht="11.25" x14ac:dyDescent="0.3">
      <c r="A61" s="67"/>
      <c r="B61" s="84" t="s">
        <v>828</v>
      </c>
      <c r="C61" s="67" t="s">
        <v>812</v>
      </c>
      <c r="D61" s="70">
        <f>503.96/2</f>
        <v>251.98</v>
      </c>
      <c r="E61" s="70">
        <f>F61+1.013</f>
        <v>3.5129999999999999</v>
      </c>
      <c r="F61" s="70">
        <v>2.5</v>
      </c>
      <c r="G61" s="70">
        <v>107.8</v>
      </c>
      <c r="H61" s="70">
        <f t="shared" si="1"/>
        <v>252</v>
      </c>
      <c r="I61" s="70">
        <f>J61+1.013</f>
        <v>14.013</v>
      </c>
      <c r="J61" s="70">
        <v>13</v>
      </c>
      <c r="K61" s="92">
        <v>185</v>
      </c>
      <c r="L61" s="79" t="s">
        <v>813</v>
      </c>
      <c r="M61" s="85" t="s">
        <v>829</v>
      </c>
      <c r="N61" s="93">
        <v>500</v>
      </c>
      <c r="O61" s="85" t="s">
        <v>814</v>
      </c>
      <c r="P61" s="86"/>
      <c r="Q61" s="70">
        <v>3</v>
      </c>
      <c r="R61" s="73"/>
      <c r="S61" s="91" t="s">
        <v>809</v>
      </c>
    </row>
    <row r="62" spans="1:19" s="63" customFormat="1" ht="11.25" x14ac:dyDescent="0.3">
      <c r="A62" s="67"/>
      <c r="B62" s="84" t="s">
        <v>830</v>
      </c>
      <c r="C62" s="67" t="s">
        <v>812</v>
      </c>
      <c r="D62" s="70">
        <f>D61*2</f>
        <v>503.96</v>
      </c>
      <c r="E62" s="70">
        <f>F62+1.013</f>
        <v>3.5129999999999999</v>
      </c>
      <c r="F62" s="70">
        <v>2.5</v>
      </c>
      <c r="G62" s="70">
        <v>107.8</v>
      </c>
      <c r="H62" s="70">
        <f t="shared" si="1"/>
        <v>504</v>
      </c>
      <c r="I62" s="70">
        <f t="shared" ref="I62:I93" si="4">J62+1.013</f>
        <v>14.013</v>
      </c>
      <c r="J62" s="70">
        <v>13</v>
      </c>
      <c r="K62" s="92">
        <v>185</v>
      </c>
      <c r="L62" s="79" t="s">
        <v>813</v>
      </c>
      <c r="M62" s="85" t="s">
        <v>829</v>
      </c>
      <c r="N62" s="85">
        <v>500</v>
      </c>
      <c r="O62" s="85" t="s">
        <v>814</v>
      </c>
      <c r="P62" s="86"/>
      <c r="Q62" s="70">
        <v>3</v>
      </c>
      <c r="R62" s="73"/>
      <c r="S62" s="91" t="s">
        <v>809</v>
      </c>
    </row>
    <row r="63" spans="1:19" s="63" customFormat="1" ht="11.25" x14ac:dyDescent="0.3">
      <c r="A63" s="67"/>
      <c r="B63" s="84" t="s">
        <v>831</v>
      </c>
      <c r="C63" s="67" t="s">
        <v>832</v>
      </c>
      <c r="D63" s="70">
        <f>D62</f>
        <v>503.96</v>
      </c>
      <c r="E63" s="70">
        <f>F63+1.013</f>
        <v>3.5129999999999999</v>
      </c>
      <c r="F63" s="70">
        <v>2.5</v>
      </c>
      <c r="G63" s="92">
        <v>94.1</v>
      </c>
      <c r="H63" s="70">
        <f t="shared" si="1"/>
        <v>504</v>
      </c>
      <c r="I63" s="70">
        <f t="shared" si="4"/>
        <v>14.013</v>
      </c>
      <c r="J63" s="70">
        <v>13</v>
      </c>
      <c r="K63" s="92">
        <v>185</v>
      </c>
      <c r="L63" s="79" t="s">
        <v>813</v>
      </c>
      <c r="M63" s="85" t="s">
        <v>829</v>
      </c>
      <c r="N63" s="85">
        <v>500</v>
      </c>
      <c r="O63" s="85">
        <v>40</v>
      </c>
      <c r="P63" s="86"/>
      <c r="Q63" s="70">
        <v>3</v>
      </c>
      <c r="R63" s="73"/>
      <c r="S63" s="91" t="s">
        <v>809</v>
      </c>
    </row>
    <row r="64" spans="1:19" s="63" customFormat="1" ht="11.25" x14ac:dyDescent="0.3">
      <c r="A64" s="67"/>
      <c r="B64" s="84" t="s">
        <v>833</v>
      </c>
      <c r="C64" s="67" t="s">
        <v>832</v>
      </c>
      <c r="D64" s="70">
        <f>D63/3</f>
        <v>167.98666666666665</v>
      </c>
      <c r="E64" s="70">
        <f>F64+1.013</f>
        <v>3.5129999999999999</v>
      </c>
      <c r="F64" s="70">
        <v>2.5</v>
      </c>
      <c r="G64" s="92">
        <v>94.1</v>
      </c>
      <c r="H64" s="70">
        <f t="shared" si="1"/>
        <v>168</v>
      </c>
      <c r="I64" s="70">
        <f t="shared" si="4"/>
        <v>14.013</v>
      </c>
      <c r="J64" s="70">
        <v>13</v>
      </c>
      <c r="K64" s="92">
        <v>185</v>
      </c>
      <c r="L64" s="79" t="s">
        <v>813</v>
      </c>
      <c r="M64" s="85" t="s">
        <v>829</v>
      </c>
      <c r="N64" s="85">
        <v>300</v>
      </c>
      <c r="O64" s="85">
        <v>40</v>
      </c>
      <c r="P64" s="86"/>
      <c r="Q64" s="70">
        <v>3</v>
      </c>
      <c r="R64" s="73"/>
      <c r="S64" s="91"/>
    </row>
    <row r="65" spans="1:19" s="63" customFormat="1" ht="11.25" x14ac:dyDescent="0.3">
      <c r="A65" s="67"/>
      <c r="B65" s="90" t="s">
        <v>834</v>
      </c>
      <c r="C65" s="67"/>
      <c r="D65" s="70"/>
      <c r="E65" s="70"/>
      <c r="F65" s="70"/>
      <c r="G65" s="70"/>
      <c r="H65" s="70"/>
      <c r="I65" s="70"/>
      <c r="J65" s="70"/>
      <c r="K65" s="70"/>
      <c r="L65" s="70"/>
      <c r="M65" s="85"/>
      <c r="N65" s="85"/>
      <c r="O65" s="85"/>
      <c r="P65" s="86"/>
      <c r="Q65" s="70"/>
      <c r="R65" s="73"/>
      <c r="S65" s="91"/>
    </row>
    <row r="66" spans="1:19" s="63" customFormat="1" ht="11.25" x14ac:dyDescent="0.3">
      <c r="A66" s="67"/>
      <c r="B66" s="84" t="s">
        <v>835</v>
      </c>
      <c r="C66" s="67" t="s">
        <v>836</v>
      </c>
      <c r="D66" s="70">
        <f>447.7/3.6</f>
        <v>124.3611111111111</v>
      </c>
      <c r="E66" s="92">
        <f>F66+1.013</f>
        <v>161.613</v>
      </c>
      <c r="F66" s="92">
        <v>160.6</v>
      </c>
      <c r="G66" s="92">
        <v>94.1</v>
      </c>
      <c r="H66" s="70">
        <f t="shared" ref="H66:H93" si="5">CEILING(D66,1)</f>
        <v>125</v>
      </c>
      <c r="I66" s="92">
        <f t="shared" si="4"/>
        <v>198.01300000000001</v>
      </c>
      <c r="J66" s="92">
        <v>197</v>
      </c>
      <c r="K66" s="92">
        <v>185</v>
      </c>
      <c r="L66" s="79" t="s">
        <v>837</v>
      </c>
      <c r="M66" s="93" t="s">
        <v>838</v>
      </c>
      <c r="N66" s="85">
        <v>300</v>
      </c>
      <c r="O66" s="85">
        <v>160</v>
      </c>
      <c r="P66" s="86"/>
      <c r="Q66" s="70">
        <v>3</v>
      </c>
      <c r="R66" s="73"/>
      <c r="S66" s="91" t="s">
        <v>809</v>
      </c>
    </row>
    <row r="67" spans="1:19" s="63" customFormat="1" ht="11.25" x14ac:dyDescent="0.3">
      <c r="A67" s="67"/>
      <c r="B67" s="84" t="s">
        <v>839</v>
      </c>
      <c r="C67" s="67" t="s">
        <v>836</v>
      </c>
      <c r="D67" s="70">
        <f>D66*3</f>
        <v>373.08333333333331</v>
      </c>
      <c r="E67" s="92">
        <f t="shared" ref="E67:E90" si="6">F67+1.013</f>
        <v>161.613</v>
      </c>
      <c r="F67" s="92">
        <v>160.6</v>
      </c>
      <c r="G67" s="92">
        <v>94.1</v>
      </c>
      <c r="H67" s="70">
        <f t="shared" si="5"/>
        <v>374</v>
      </c>
      <c r="I67" s="92">
        <f t="shared" si="4"/>
        <v>198.01300000000001</v>
      </c>
      <c r="J67" s="92">
        <v>197</v>
      </c>
      <c r="K67" s="92">
        <v>185</v>
      </c>
      <c r="L67" s="79" t="s">
        <v>837</v>
      </c>
      <c r="M67" s="93" t="s">
        <v>838</v>
      </c>
      <c r="N67" s="93">
        <v>500</v>
      </c>
      <c r="O67" s="85">
        <v>160</v>
      </c>
      <c r="P67" s="86"/>
      <c r="Q67" s="70">
        <v>5</v>
      </c>
      <c r="R67" s="73"/>
      <c r="S67" s="91" t="s">
        <v>809</v>
      </c>
    </row>
    <row r="68" spans="1:19" s="63" customFormat="1" ht="11.25" x14ac:dyDescent="0.3">
      <c r="A68" s="67"/>
      <c r="B68" s="84" t="s">
        <v>840</v>
      </c>
      <c r="C68" s="67" t="s">
        <v>836</v>
      </c>
      <c r="D68" s="70">
        <f>SUM(D69:D70)</f>
        <v>13.5</v>
      </c>
      <c r="E68" s="92">
        <f t="shared" si="6"/>
        <v>161.613</v>
      </c>
      <c r="F68" s="92">
        <v>160.6</v>
      </c>
      <c r="G68" s="92">
        <v>94.1</v>
      </c>
      <c r="H68" s="70">
        <f t="shared" si="5"/>
        <v>14</v>
      </c>
      <c r="I68" s="92">
        <f t="shared" si="4"/>
        <v>198.01300000000001</v>
      </c>
      <c r="J68" s="92">
        <v>197</v>
      </c>
      <c r="K68" s="92">
        <v>185</v>
      </c>
      <c r="L68" s="79" t="s">
        <v>837</v>
      </c>
      <c r="M68" s="93" t="s">
        <v>838</v>
      </c>
      <c r="N68" s="85">
        <v>100</v>
      </c>
      <c r="O68" s="85">
        <v>160</v>
      </c>
      <c r="P68" s="86"/>
      <c r="Q68" s="70">
        <v>5</v>
      </c>
      <c r="R68" s="73"/>
      <c r="S68" s="91" t="s">
        <v>809</v>
      </c>
    </row>
    <row r="69" spans="1:19" s="63" customFormat="1" ht="11.25" x14ac:dyDescent="0.3">
      <c r="A69" s="67"/>
      <c r="B69" s="84" t="s">
        <v>841</v>
      </c>
      <c r="C69" s="67" t="s">
        <v>836</v>
      </c>
      <c r="D69" s="70">
        <v>5.7</v>
      </c>
      <c r="E69" s="92">
        <f t="shared" si="6"/>
        <v>161.613</v>
      </c>
      <c r="F69" s="92">
        <v>160.6</v>
      </c>
      <c r="G69" s="92">
        <v>94.1</v>
      </c>
      <c r="H69" s="70">
        <f t="shared" si="5"/>
        <v>6</v>
      </c>
      <c r="I69" s="92">
        <f t="shared" si="4"/>
        <v>198.01300000000001</v>
      </c>
      <c r="J69" s="92">
        <v>197</v>
      </c>
      <c r="K69" s="92">
        <v>185</v>
      </c>
      <c r="L69" s="79" t="s">
        <v>837</v>
      </c>
      <c r="M69" s="93" t="s">
        <v>838</v>
      </c>
      <c r="N69" s="85">
        <v>80</v>
      </c>
      <c r="O69" s="85">
        <v>160</v>
      </c>
      <c r="P69" s="86"/>
      <c r="Q69" s="70">
        <v>5</v>
      </c>
      <c r="R69" s="73"/>
      <c r="S69" s="91" t="s">
        <v>809</v>
      </c>
    </row>
    <row r="70" spans="1:19" s="63" customFormat="1" ht="11.25" x14ac:dyDescent="0.3">
      <c r="A70" s="67"/>
      <c r="B70" s="84" t="s">
        <v>842</v>
      </c>
      <c r="C70" s="67" t="s">
        <v>836</v>
      </c>
      <c r="D70" s="70">
        <v>7.8</v>
      </c>
      <c r="E70" s="92">
        <f t="shared" si="6"/>
        <v>161.613</v>
      </c>
      <c r="F70" s="92">
        <v>160.6</v>
      </c>
      <c r="G70" s="92">
        <v>94.1</v>
      </c>
      <c r="H70" s="70">
        <f t="shared" si="5"/>
        <v>8</v>
      </c>
      <c r="I70" s="92">
        <f t="shared" si="4"/>
        <v>198.01300000000001</v>
      </c>
      <c r="J70" s="92">
        <v>197</v>
      </c>
      <c r="K70" s="92">
        <v>185</v>
      </c>
      <c r="L70" s="79" t="s">
        <v>837</v>
      </c>
      <c r="M70" s="93" t="s">
        <v>838</v>
      </c>
      <c r="N70" s="85">
        <v>80</v>
      </c>
      <c r="O70" s="85">
        <v>160</v>
      </c>
      <c r="P70" s="86"/>
      <c r="Q70" s="70">
        <v>5</v>
      </c>
      <c r="R70" s="73"/>
      <c r="S70" s="91" t="s">
        <v>809</v>
      </c>
    </row>
    <row r="71" spans="1:19" s="63" customFormat="1" ht="11.25" x14ac:dyDescent="0.3">
      <c r="A71" s="67"/>
      <c r="B71" s="84" t="s">
        <v>843</v>
      </c>
      <c r="C71" s="67" t="s">
        <v>836</v>
      </c>
      <c r="D71" s="70">
        <f>D67-D68</f>
        <v>359.58333333333331</v>
      </c>
      <c r="E71" s="92">
        <f t="shared" si="6"/>
        <v>161.613</v>
      </c>
      <c r="F71" s="92">
        <v>160.6</v>
      </c>
      <c r="G71" s="92">
        <v>94.1</v>
      </c>
      <c r="H71" s="70">
        <f t="shared" si="5"/>
        <v>360</v>
      </c>
      <c r="I71" s="92">
        <f t="shared" si="4"/>
        <v>198.01300000000001</v>
      </c>
      <c r="J71" s="92">
        <v>197</v>
      </c>
      <c r="K71" s="92">
        <v>185</v>
      </c>
      <c r="L71" s="79" t="s">
        <v>837</v>
      </c>
      <c r="M71" s="93" t="s">
        <v>838</v>
      </c>
      <c r="N71" s="93">
        <v>450</v>
      </c>
      <c r="O71" s="85">
        <v>160</v>
      </c>
      <c r="P71" s="86"/>
      <c r="Q71" s="70">
        <v>5</v>
      </c>
      <c r="R71" s="73"/>
      <c r="S71" s="91" t="s">
        <v>809</v>
      </c>
    </row>
    <row r="72" spans="1:19" s="63" customFormat="1" ht="11.25" x14ac:dyDescent="0.3">
      <c r="A72" s="67"/>
      <c r="B72" s="84" t="s">
        <v>844</v>
      </c>
      <c r="C72" s="67" t="s">
        <v>836</v>
      </c>
      <c r="D72" s="70">
        <f>D73*2</f>
        <v>251.97222222222223</v>
      </c>
      <c r="E72" s="92">
        <f t="shared" si="6"/>
        <v>161.613</v>
      </c>
      <c r="F72" s="92">
        <v>160.6</v>
      </c>
      <c r="G72" s="92">
        <v>94.1</v>
      </c>
      <c r="H72" s="70">
        <f t="shared" si="5"/>
        <v>252</v>
      </c>
      <c r="I72" s="92">
        <f t="shared" si="4"/>
        <v>198.01300000000001</v>
      </c>
      <c r="J72" s="92">
        <v>197</v>
      </c>
      <c r="K72" s="92">
        <v>185</v>
      </c>
      <c r="L72" s="79" t="s">
        <v>837</v>
      </c>
      <c r="M72" s="93" t="s">
        <v>838</v>
      </c>
      <c r="N72" s="93">
        <v>350</v>
      </c>
      <c r="O72" s="85">
        <v>160</v>
      </c>
      <c r="P72" s="86"/>
      <c r="Q72" s="70">
        <v>5</v>
      </c>
      <c r="R72" s="73"/>
      <c r="S72" s="91" t="s">
        <v>809</v>
      </c>
    </row>
    <row r="73" spans="1:19" s="63" customFormat="1" ht="11.25" x14ac:dyDescent="0.3">
      <c r="A73" s="67"/>
      <c r="B73" s="84" t="s">
        <v>845</v>
      </c>
      <c r="C73" s="67" t="s">
        <v>836</v>
      </c>
      <c r="D73" s="70">
        <f>470/3600*965</f>
        <v>125.98611111111111</v>
      </c>
      <c r="E73" s="92">
        <f t="shared" si="6"/>
        <v>161.613</v>
      </c>
      <c r="F73" s="92">
        <v>160.6</v>
      </c>
      <c r="G73" s="92">
        <v>94.1</v>
      </c>
      <c r="H73" s="70">
        <f t="shared" si="5"/>
        <v>126</v>
      </c>
      <c r="I73" s="92">
        <f t="shared" si="4"/>
        <v>198.01300000000001</v>
      </c>
      <c r="J73" s="92">
        <v>197</v>
      </c>
      <c r="K73" s="92">
        <v>185</v>
      </c>
      <c r="L73" s="79" t="s">
        <v>837</v>
      </c>
      <c r="M73" s="93" t="s">
        <v>838</v>
      </c>
      <c r="N73" s="85">
        <v>300</v>
      </c>
      <c r="O73" s="85">
        <v>160</v>
      </c>
      <c r="P73" s="86"/>
      <c r="Q73" s="70">
        <v>5</v>
      </c>
      <c r="R73" s="73"/>
      <c r="S73" s="91" t="s">
        <v>809</v>
      </c>
    </row>
    <row r="74" spans="1:19" s="63" customFormat="1" ht="11.25" x14ac:dyDescent="0.3">
      <c r="A74" s="67"/>
      <c r="B74" s="84" t="s">
        <v>846</v>
      </c>
      <c r="C74" s="67" t="s">
        <v>836</v>
      </c>
      <c r="D74" s="70">
        <f>D75+D77</f>
        <v>314.69722222222219</v>
      </c>
      <c r="E74" s="92">
        <f t="shared" si="6"/>
        <v>161.613</v>
      </c>
      <c r="F74" s="92">
        <v>160.6</v>
      </c>
      <c r="G74" s="92">
        <v>94.1</v>
      </c>
      <c r="H74" s="70">
        <f t="shared" si="5"/>
        <v>315</v>
      </c>
      <c r="I74" s="92">
        <f t="shared" si="4"/>
        <v>198.01300000000001</v>
      </c>
      <c r="J74" s="92">
        <v>197</v>
      </c>
      <c r="K74" s="92">
        <v>185</v>
      </c>
      <c r="L74" s="79" t="s">
        <v>837</v>
      </c>
      <c r="M74" s="93" t="s">
        <v>838</v>
      </c>
      <c r="N74" s="93">
        <v>400</v>
      </c>
      <c r="O74" s="85">
        <v>160</v>
      </c>
      <c r="P74" s="86"/>
      <c r="Q74" s="70">
        <v>5</v>
      </c>
      <c r="R74" s="73"/>
      <c r="S74" s="91" t="s">
        <v>809</v>
      </c>
    </row>
    <row r="75" spans="1:19" s="63" customFormat="1" ht="11.25" x14ac:dyDescent="0.3">
      <c r="A75" s="67"/>
      <c r="B75" s="84" t="s">
        <v>847</v>
      </c>
      <c r="C75" s="67" t="s">
        <v>836</v>
      </c>
      <c r="D75" s="70">
        <f>D76*2</f>
        <v>188.71111111111111</v>
      </c>
      <c r="E75" s="92">
        <f t="shared" si="6"/>
        <v>161.613</v>
      </c>
      <c r="F75" s="92">
        <v>160.6</v>
      </c>
      <c r="G75" s="92">
        <v>94.1</v>
      </c>
      <c r="H75" s="70">
        <f t="shared" si="5"/>
        <v>189</v>
      </c>
      <c r="I75" s="92">
        <f t="shared" si="4"/>
        <v>198.01300000000001</v>
      </c>
      <c r="J75" s="92">
        <v>197</v>
      </c>
      <c r="K75" s="92">
        <v>185</v>
      </c>
      <c r="L75" s="79" t="s">
        <v>837</v>
      </c>
      <c r="M75" s="93" t="s">
        <v>838</v>
      </c>
      <c r="N75" s="85">
        <v>300</v>
      </c>
      <c r="O75" s="85">
        <v>160</v>
      </c>
      <c r="P75" s="86"/>
      <c r="Q75" s="70">
        <v>5</v>
      </c>
      <c r="R75" s="73"/>
      <c r="S75" s="91" t="s">
        <v>809</v>
      </c>
    </row>
    <row r="76" spans="1:19" s="63" customFormat="1" ht="11.25" x14ac:dyDescent="0.3">
      <c r="A76" s="67"/>
      <c r="B76" s="84" t="s">
        <v>848</v>
      </c>
      <c r="C76" s="67" t="s">
        <v>836</v>
      </c>
      <c r="D76" s="70">
        <f>352/3600*965</f>
        <v>94.355555555555554</v>
      </c>
      <c r="E76" s="92">
        <f t="shared" si="6"/>
        <v>161.613</v>
      </c>
      <c r="F76" s="92">
        <v>160.6</v>
      </c>
      <c r="G76" s="92">
        <v>94.1</v>
      </c>
      <c r="H76" s="70">
        <f t="shared" si="5"/>
        <v>95</v>
      </c>
      <c r="I76" s="92">
        <f t="shared" si="4"/>
        <v>198.01300000000001</v>
      </c>
      <c r="J76" s="92">
        <v>197</v>
      </c>
      <c r="K76" s="92">
        <v>185</v>
      </c>
      <c r="L76" s="79" t="s">
        <v>837</v>
      </c>
      <c r="M76" s="93" t="s">
        <v>838</v>
      </c>
      <c r="N76" s="93">
        <v>200</v>
      </c>
      <c r="O76" s="85">
        <v>160</v>
      </c>
      <c r="P76" s="86"/>
      <c r="Q76" s="70">
        <v>5</v>
      </c>
      <c r="R76" s="73"/>
      <c r="S76" s="91" t="s">
        <v>809</v>
      </c>
    </row>
    <row r="77" spans="1:19" s="63" customFormat="1" ht="11.25" x14ac:dyDescent="0.3">
      <c r="A77" s="67"/>
      <c r="B77" s="84" t="s">
        <v>849</v>
      </c>
      <c r="C77" s="67" t="s">
        <v>836</v>
      </c>
      <c r="D77" s="70">
        <f>D73</f>
        <v>125.98611111111111</v>
      </c>
      <c r="E77" s="92">
        <f t="shared" si="6"/>
        <v>161.613</v>
      </c>
      <c r="F77" s="92">
        <v>160.6</v>
      </c>
      <c r="G77" s="92">
        <v>94.1</v>
      </c>
      <c r="H77" s="70">
        <f t="shared" si="5"/>
        <v>126</v>
      </c>
      <c r="I77" s="92">
        <f t="shared" si="4"/>
        <v>198.01300000000001</v>
      </c>
      <c r="J77" s="92">
        <v>197</v>
      </c>
      <c r="K77" s="92">
        <v>185</v>
      </c>
      <c r="L77" s="79" t="s">
        <v>837</v>
      </c>
      <c r="M77" s="93" t="s">
        <v>838</v>
      </c>
      <c r="N77" s="85">
        <v>300</v>
      </c>
      <c r="O77" s="85">
        <v>160</v>
      </c>
      <c r="P77" s="86"/>
      <c r="Q77" s="70">
        <v>5</v>
      </c>
      <c r="R77" s="73"/>
      <c r="S77" s="91" t="s">
        <v>809</v>
      </c>
    </row>
    <row r="78" spans="1:19" s="63" customFormat="1" ht="11.25" x14ac:dyDescent="0.3">
      <c r="A78" s="67"/>
      <c r="B78" s="90" t="s">
        <v>850</v>
      </c>
      <c r="C78" s="67"/>
      <c r="D78" s="70"/>
      <c r="E78" s="70"/>
      <c r="F78" s="70"/>
      <c r="G78" s="70"/>
      <c r="H78" s="70"/>
      <c r="I78" s="70"/>
      <c r="J78" s="70"/>
      <c r="K78" s="70"/>
      <c r="L78" s="70"/>
      <c r="M78" s="85"/>
      <c r="N78" s="85"/>
      <c r="O78" s="85"/>
      <c r="P78" s="86"/>
      <c r="Q78" s="70"/>
      <c r="R78" s="73"/>
      <c r="S78" s="91"/>
    </row>
    <row r="79" spans="1:19" s="63" customFormat="1" ht="11.25" x14ac:dyDescent="0.3">
      <c r="A79" s="67"/>
      <c r="B79" s="84" t="s">
        <v>851</v>
      </c>
      <c r="C79" s="67" t="s">
        <v>852</v>
      </c>
      <c r="D79" s="70">
        <v>41.23</v>
      </c>
      <c r="E79" s="92">
        <f t="shared" si="6"/>
        <v>35.512999999999998</v>
      </c>
      <c r="F79" s="92">
        <v>34.5</v>
      </c>
      <c r="G79" s="92">
        <v>94.1</v>
      </c>
      <c r="H79" s="70">
        <f t="shared" si="5"/>
        <v>42</v>
      </c>
      <c r="I79" s="92">
        <f t="shared" si="4"/>
        <v>41.012999999999998</v>
      </c>
      <c r="J79" s="92">
        <v>40</v>
      </c>
      <c r="K79" s="92">
        <v>185</v>
      </c>
      <c r="L79" s="79" t="s">
        <v>853</v>
      </c>
      <c r="M79" s="85" t="s">
        <v>829</v>
      </c>
      <c r="N79" s="85">
        <v>150</v>
      </c>
      <c r="O79" s="85">
        <v>40</v>
      </c>
      <c r="P79" s="86"/>
      <c r="Q79" s="70">
        <v>5</v>
      </c>
      <c r="R79" s="73"/>
      <c r="S79" s="91" t="s">
        <v>809</v>
      </c>
    </row>
    <row r="80" spans="1:19" s="63" customFormat="1" ht="11.25" x14ac:dyDescent="0.3">
      <c r="A80" s="67"/>
      <c r="B80" s="84" t="s">
        <v>854</v>
      </c>
      <c r="C80" s="67" t="s">
        <v>852</v>
      </c>
      <c r="D80" s="70">
        <f>D79*3</f>
        <v>123.69</v>
      </c>
      <c r="E80" s="92">
        <f t="shared" si="6"/>
        <v>35.512999999999998</v>
      </c>
      <c r="F80" s="92">
        <v>34.5</v>
      </c>
      <c r="G80" s="92">
        <v>94.1</v>
      </c>
      <c r="H80" s="70">
        <f t="shared" si="5"/>
        <v>124</v>
      </c>
      <c r="I80" s="92">
        <f t="shared" si="4"/>
        <v>41.012999999999998</v>
      </c>
      <c r="J80" s="92">
        <v>40</v>
      </c>
      <c r="K80" s="92">
        <v>185</v>
      </c>
      <c r="L80" s="79" t="s">
        <v>853</v>
      </c>
      <c r="M80" s="85" t="s">
        <v>829</v>
      </c>
      <c r="N80" s="85">
        <v>250</v>
      </c>
      <c r="O80" s="85">
        <v>40</v>
      </c>
      <c r="P80" s="86"/>
      <c r="Q80" s="70">
        <v>5</v>
      </c>
      <c r="R80" s="73"/>
      <c r="S80" s="91" t="s">
        <v>809</v>
      </c>
    </row>
    <row r="81" spans="1:31" s="63" customFormat="1" ht="11.25" x14ac:dyDescent="0.3">
      <c r="A81" s="67"/>
      <c r="B81" s="84" t="s">
        <v>855</v>
      </c>
      <c r="C81" s="67" t="s">
        <v>852</v>
      </c>
      <c r="D81" s="70">
        <f>SUM(D82:D85)</f>
        <v>83.440000000000012</v>
      </c>
      <c r="E81" s="92">
        <f t="shared" si="6"/>
        <v>35.512999999999998</v>
      </c>
      <c r="F81" s="92">
        <v>34.5</v>
      </c>
      <c r="G81" s="92">
        <v>94.1</v>
      </c>
      <c r="H81" s="70">
        <f t="shared" si="5"/>
        <v>84</v>
      </c>
      <c r="I81" s="92">
        <f t="shared" si="4"/>
        <v>41.012999999999998</v>
      </c>
      <c r="J81" s="92">
        <v>40</v>
      </c>
      <c r="K81" s="92">
        <v>185</v>
      </c>
      <c r="L81" s="79" t="s">
        <v>853</v>
      </c>
      <c r="M81" s="85" t="s">
        <v>829</v>
      </c>
      <c r="N81" s="85">
        <v>200</v>
      </c>
      <c r="O81" s="85">
        <v>40</v>
      </c>
      <c r="P81" s="86"/>
      <c r="Q81" s="70">
        <v>5</v>
      </c>
      <c r="R81" s="73"/>
      <c r="S81" s="91" t="s">
        <v>809</v>
      </c>
    </row>
    <row r="82" spans="1:31" s="63" customFormat="1" ht="11.25" x14ac:dyDescent="0.3">
      <c r="A82" s="67"/>
      <c r="B82" s="84" t="s">
        <v>856</v>
      </c>
      <c r="C82" s="67" t="s">
        <v>852</v>
      </c>
      <c r="D82" s="70">
        <v>73.2</v>
      </c>
      <c r="E82" s="92">
        <f t="shared" si="6"/>
        <v>35.512999999999998</v>
      </c>
      <c r="F82" s="92">
        <v>34.5</v>
      </c>
      <c r="G82" s="92">
        <v>94.1</v>
      </c>
      <c r="H82" s="70">
        <f t="shared" si="5"/>
        <v>74</v>
      </c>
      <c r="I82" s="92">
        <f t="shared" si="4"/>
        <v>41.012999999999998</v>
      </c>
      <c r="J82" s="92">
        <v>40</v>
      </c>
      <c r="K82" s="92">
        <v>185</v>
      </c>
      <c r="L82" s="79" t="s">
        <v>853</v>
      </c>
      <c r="M82" s="85" t="s">
        <v>829</v>
      </c>
      <c r="N82" s="85">
        <v>200</v>
      </c>
      <c r="O82" s="85">
        <v>40</v>
      </c>
      <c r="P82" s="86"/>
      <c r="Q82" s="70">
        <v>5</v>
      </c>
      <c r="R82" s="73"/>
      <c r="S82" s="91" t="s">
        <v>809</v>
      </c>
    </row>
    <row r="83" spans="1:31" s="63" customFormat="1" ht="11.25" x14ac:dyDescent="0.3">
      <c r="A83" s="67"/>
      <c r="B83" s="84" t="s">
        <v>857</v>
      </c>
      <c r="C83" s="67" t="s">
        <v>852</v>
      </c>
      <c r="D83" s="70">
        <v>7.7</v>
      </c>
      <c r="E83" s="92">
        <f t="shared" si="6"/>
        <v>35.512999999999998</v>
      </c>
      <c r="F83" s="92">
        <v>34.5</v>
      </c>
      <c r="G83" s="92">
        <v>94.1</v>
      </c>
      <c r="H83" s="70">
        <f t="shared" si="5"/>
        <v>8</v>
      </c>
      <c r="I83" s="92">
        <f t="shared" si="4"/>
        <v>41.012999999999998</v>
      </c>
      <c r="J83" s="92">
        <v>40</v>
      </c>
      <c r="K83" s="92">
        <v>185</v>
      </c>
      <c r="L83" s="79" t="s">
        <v>853</v>
      </c>
      <c r="M83" s="85" t="s">
        <v>829</v>
      </c>
      <c r="N83" s="85">
        <v>80</v>
      </c>
      <c r="O83" s="85">
        <v>80</v>
      </c>
      <c r="P83" s="86"/>
      <c r="Q83" s="70">
        <v>5</v>
      </c>
      <c r="R83" s="73"/>
      <c r="S83" s="91" t="s">
        <v>809</v>
      </c>
    </row>
    <row r="84" spans="1:31" s="97" customFormat="1" ht="11.25" x14ac:dyDescent="0.3">
      <c r="A84" s="67"/>
      <c r="B84" s="94" t="s">
        <v>858</v>
      </c>
      <c r="C84" s="67" t="s">
        <v>852</v>
      </c>
      <c r="D84" s="70">
        <v>2.5</v>
      </c>
      <c r="E84" s="92">
        <f t="shared" si="6"/>
        <v>35.512999999999998</v>
      </c>
      <c r="F84" s="92">
        <v>34.5</v>
      </c>
      <c r="G84" s="92">
        <v>94.1</v>
      </c>
      <c r="H84" s="70">
        <f>CEILING(D84,1)</f>
        <v>3</v>
      </c>
      <c r="I84" s="92">
        <f t="shared" si="4"/>
        <v>41.012999999999998</v>
      </c>
      <c r="J84" s="92">
        <v>40</v>
      </c>
      <c r="K84" s="92">
        <v>185</v>
      </c>
      <c r="L84" s="79" t="s">
        <v>853</v>
      </c>
      <c r="M84" s="85" t="s">
        <v>829</v>
      </c>
      <c r="N84" s="85">
        <v>50</v>
      </c>
      <c r="O84" s="85">
        <v>80</v>
      </c>
      <c r="P84" s="86"/>
      <c r="Q84" s="70">
        <v>5</v>
      </c>
      <c r="R84" s="95"/>
      <c r="S84" s="96" t="s">
        <v>809</v>
      </c>
    </row>
    <row r="85" spans="1:31" s="63" customFormat="1" ht="11.25" x14ac:dyDescent="0.3">
      <c r="A85" s="67"/>
      <c r="B85" s="94" t="s">
        <v>859</v>
      </c>
      <c r="C85" s="67" t="s">
        <v>852</v>
      </c>
      <c r="D85" s="68">
        <v>0.04</v>
      </c>
      <c r="E85" s="92">
        <f t="shared" si="6"/>
        <v>35.512999999999998</v>
      </c>
      <c r="F85" s="92">
        <v>34.5</v>
      </c>
      <c r="G85" s="92">
        <v>94.1</v>
      </c>
      <c r="H85" s="70">
        <f>CEILING(D85,1)</f>
        <v>1</v>
      </c>
      <c r="I85" s="92">
        <f t="shared" si="4"/>
        <v>41.012999999999998</v>
      </c>
      <c r="J85" s="92">
        <v>40</v>
      </c>
      <c r="K85" s="92">
        <v>185</v>
      </c>
      <c r="L85" s="79" t="s">
        <v>853</v>
      </c>
      <c r="M85" s="85" t="s">
        <v>829</v>
      </c>
      <c r="N85" s="85">
        <v>25</v>
      </c>
      <c r="O85" s="85">
        <v>160</v>
      </c>
      <c r="P85" s="86"/>
      <c r="Q85" s="70">
        <v>5</v>
      </c>
      <c r="R85" s="73"/>
      <c r="S85" s="91" t="s">
        <v>809</v>
      </c>
    </row>
    <row r="86" spans="1:31" s="99" customFormat="1" ht="11.25" x14ac:dyDescent="0.3">
      <c r="A86" s="67"/>
      <c r="B86" s="84" t="s">
        <v>860</v>
      </c>
      <c r="C86" s="67" t="s">
        <v>852</v>
      </c>
      <c r="D86" s="70">
        <f>D80-D81</f>
        <v>40.249999999999986</v>
      </c>
      <c r="E86" s="92">
        <f t="shared" si="6"/>
        <v>35.512999999999998</v>
      </c>
      <c r="F86" s="92">
        <v>34.5</v>
      </c>
      <c r="G86" s="92">
        <v>94.1</v>
      </c>
      <c r="H86" s="70">
        <f t="shared" si="5"/>
        <v>41</v>
      </c>
      <c r="I86" s="92">
        <f t="shared" si="4"/>
        <v>41.012999999999998</v>
      </c>
      <c r="J86" s="92">
        <v>40</v>
      </c>
      <c r="K86" s="92">
        <v>185</v>
      </c>
      <c r="L86" s="79" t="s">
        <v>853</v>
      </c>
      <c r="M86" s="85" t="s">
        <v>829</v>
      </c>
      <c r="N86" s="85">
        <v>150</v>
      </c>
      <c r="O86" s="85">
        <v>80</v>
      </c>
      <c r="P86" s="86"/>
      <c r="Q86" s="70">
        <v>5</v>
      </c>
      <c r="R86" s="95"/>
      <c r="S86" s="98" t="s">
        <v>809</v>
      </c>
    </row>
    <row r="87" spans="1:31" s="97" customFormat="1" ht="11.25" x14ac:dyDescent="0.3">
      <c r="A87" s="67"/>
      <c r="B87" s="84" t="s">
        <v>861</v>
      </c>
      <c r="C87" s="67" t="s">
        <v>852</v>
      </c>
      <c r="D87" s="70">
        <f>D86/3*2</f>
        <v>26.833333333333325</v>
      </c>
      <c r="E87" s="92">
        <f t="shared" si="6"/>
        <v>35.512999999999998</v>
      </c>
      <c r="F87" s="92">
        <v>34.5</v>
      </c>
      <c r="G87" s="92">
        <v>94.1</v>
      </c>
      <c r="H87" s="70">
        <f t="shared" si="5"/>
        <v>27</v>
      </c>
      <c r="I87" s="92">
        <f t="shared" si="4"/>
        <v>41.012999999999998</v>
      </c>
      <c r="J87" s="92">
        <v>40</v>
      </c>
      <c r="K87" s="92">
        <v>185</v>
      </c>
      <c r="L87" s="79" t="s">
        <v>853</v>
      </c>
      <c r="M87" s="85" t="s">
        <v>829</v>
      </c>
      <c r="N87" s="85">
        <v>150</v>
      </c>
      <c r="O87" s="85">
        <v>80</v>
      </c>
      <c r="P87" s="86"/>
      <c r="Q87" s="70">
        <v>5</v>
      </c>
      <c r="R87" s="95"/>
      <c r="S87" s="96"/>
    </row>
    <row r="88" spans="1:31" s="97" customFormat="1" ht="11.25" x14ac:dyDescent="0.3">
      <c r="A88" s="67"/>
      <c r="B88" s="84" t="s">
        <v>862</v>
      </c>
      <c r="C88" s="67" t="s">
        <v>852</v>
      </c>
      <c r="D88" s="70">
        <f>D86/3</f>
        <v>13.416666666666663</v>
      </c>
      <c r="E88" s="92">
        <f t="shared" si="6"/>
        <v>35.512999999999998</v>
      </c>
      <c r="F88" s="92">
        <v>34.5</v>
      </c>
      <c r="G88" s="92">
        <v>94.1</v>
      </c>
      <c r="H88" s="70">
        <f t="shared" si="5"/>
        <v>14</v>
      </c>
      <c r="I88" s="92">
        <f t="shared" si="4"/>
        <v>41.012999999999998</v>
      </c>
      <c r="J88" s="92">
        <v>40</v>
      </c>
      <c r="K88" s="92">
        <v>185</v>
      </c>
      <c r="L88" s="79" t="s">
        <v>853</v>
      </c>
      <c r="M88" s="85" t="s">
        <v>829</v>
      </c>
      <c r="N88" s="85">
        <v>100</v>
      </c>
      <c r="O88" s="85">
        <v>80</v>
      </c>
      <c r="P88" s="86"/>
      <c r="Q88" s="70">
        <v>5</v>
      </c>
      <c r="R88" s="95"/>
      <c r="S88" s="96"/>
    </row>
    <row r="89" spans="1:31" s="97" customFormat="1" ht="11.25" x14ac:dyDescent="0.3">
      <c r="A89" s="67"/>
      <c r="B89" s="84" t="s">
        <v>863</v>
      </c>
      <c r="C89" s="67" t="s">
        <v>852</v>
      </c>
      <c r="D89" s="70">
        <f>D86/3</f>
        <v>13.416666666666663</v>
      </c>
      <c r="E89" s="92">
        <f t="shared" si="6"/>
        <v>35.512999999999998</v>
      </c>
      <c r="F89" s="92">
        <v>34.5</v>
      </c>
      <c r="G89" s="92">
        <v>94.1</v>
      </c>
      <c r="H89" s="70">
        <f t="shared" si="5"/>
        <v>14</v>
      </c>
      <c r="I89" s="92">
        <f t="shared" si="4"/>
        <v>41.012999999999998</v>
      </c>
      <c r="J89" s="92">
        <v>40</v>
      </c>
      <c r="K89" s="92">
        <v>185</v>
      </c>
      <c r="L89" s="79" t="s">
        <v>853</v>
      </c>
      <c r="M89" s="85" t="s">
        <v>829</v>
      </c>
      <c r="N89" s="85">
        <v>100</v>
      </c>
      <c r="O89" s="85">
        <v>80</v>
      </c>
      <c r="P89" s="86"/>
      <c r="Q89" s="70">
        <v>5</v>
      </c>
      <c r="R89" s="95"/>
      <c r="S89" s="96" t="s">
        <v>809</v>
      </c>
    </row>
    <row r="90" spans="1:31" s="97" customFormat="1" ht="11.25" x14ac:dyDescent="0.3">
      <c r="A90" s="67"/>
      <c r="B90" s="84" t="s">
        <v>864</v>
      </c>
      <c r="C90" s="67" t="s">
        <v>836</v>
      </c>
      <c r="D90" s="70">
        <f>D66*30%</f>
        <v>37.30833333333333</v>
      </c>
      <c r="E90" s="92">
        <f t="shared" si="6"/>
        <v>161.613</v>
      </c>
      <c r="F90" s="92">
        <v>160.6</v>
      </c>
      <c r="G90" s="92">
        <v>94.1</v>
      </c>
      <c r="H90" s="70">
        <f>CEILING(D90,1)</f>
        <v>38</v>
      </c>
      <c r="I90" s="92">
        <f t="shared" si="4"/>
        <v>198.01300000000001</v>
      </c>
      <c r="J90" s="92">
        <v>197</v>
      </c>
      <c r="K90" s="92">
        <v>185</v>
      </c>
      <c r="L90" s="79" t="s">
        <v>837</v>
      </c>
      <c r="M90" s="93" t="s">
        <v>838</v>
      </c>
      <c r="N90" s="85">
        <v>150</v>
      </c>
      <c r="O90" s="85">
        <v>160</v>
      </c>
      <c r="P90" s="86"/>
      <c r="Q90" s="70">
        <v>5</v>
      </c>
      <c r="R90" s="95"/>
      <c r="S90" s="96" t="s">
        <v>809</v>
      </c>
    </row>
    <row r="91" spans="1:31" s="97" customFormat="1" ht="11.25" x14ac:dyDescent="0.3">
      <c r="A91" s="67"/>
      <c r="B91" s="84" t="s">
        <v>865</v>
      </c>
      <c r="C91" s="67" t="s">
        <v>866</v>
      </c>
      <c r="D91" s="70">
        <f>D90</f>
        <v>37.30833333333333</v>
      </c>
      <c r="E91" s="92">
        <v>1.3</v>
      </c>
      <c r="F91" s="92">
        <f>E91-1.013</f>
        <v>0.28700000000000014</v>
      </c>
      <c r="G91" s="92">
        <v>94.1</v>
      </c>
      <c r="H91" s="70">
        <f t="shared" si="5"/>
        <v>38</v>
      </c>
      <c r="I91" s="92">
        <f t="shared" si="4"/>
        <v>11.013</v>
      </c>
      <c r="J91" s="92">
        <v>10</v>
      </c>
      <c r="K91" s="92">
        <v>185</v>
      </c>
      <c r="L91" s="79" t="s">
        <v>813</v>
      </c>
      <c r="M91" s="85" t="s">
        <v>829</v>
      </c>
      <c r="N91" s="85">
        <v>150</v>
      </c>
      <c r="O91" s="85">
        <v>40</v>
      </c>
      <c r="P91" s="86"/>
      <c r="Q91" s="70">
        <v>5</v>
      </c>
      <c r="R91" s="95"/>
      <c r="S91" s="96" t="s">
        <v>809</v>
      </c>
    </row>
    <row r="92" spans="1:31" s="97" customFormat="1" ht="11.25" x14ac:dyDescent="0.3">
      <c r="A92" s="67"/>
      <c r="B92" s="84" t="s">
        <v>867</v>
      </c>
      <c r="C92" s="67" t="s">
        <v>866</v>
      </c>
      <c r="D92" s="70">
        <f>D90*2</f>
        <v>74.61666666666666</v>
      </c>
      <c r="E92" s="92">
        <v>1.3</v>
      </c>
      <c r="F92" s="92">
        <f>E92-1.013</f>
        <v>0.28700000000000014</v>
      </c>
      <c r="G92" s="92">
        <v>94.1</v>
      </c>
      <c r="H92" s="70">
        <f t="shared" si="5"/>
        <v>75</v>
      </c>
      <c r="I92" s="92">
        <f t="shared" si="4"/>
        <v>11.013</v>
      </c>
      <c r="J92" s="92">
        <v>10</v>
      </c>
      <c r="K92" s="92">
        <v>185</v>
      </c>
      <c r="L92" s="79" t="s">
        <v>813</v>
      </c>
      <c r="M92" s="85" t="s">
        <v>829</v>
      </c>
      <c r="N92" s="85">
        <v>200</v>
      </c>
      <c r="O92" s="85">
        <v>40</v>
      </c>
      <c r="P92" s="86"/>
      <c r="Q92" s="70">
        <v>5</v>
      </c>
      <c r="R92" s="95"/>
      <c r="S92" s="96" t="s">
        <v>809</v>
      </c>
    </row>
    <row r="93" spans="1:31" s="97" customFormat="1" ht="11.25" x14ac:dyDescent="0.3">
      <c r="A93" s="67"/>
      <c r="B93" s="84" t="s">
        <v>868</v>
      </c>
      <c r="C93" s="67" t="s">
        <v>866</v>
      </c>
      <c r="D93" s="70">
        <f>D92/2</f>
        <v>37.30833333333333</v>
      </c>
      <c r="E93" s="92">
        <v>1.3</v>
      </c>
      <c r="F93" s="92">
        <f>E93-1.013</f>
        <v>0.28700000000000014</v>
      </c>
      <c r="G93" s="92">
        <v>94.1</v>
      </c>
      <c r="H93" s="70">
        <f t="shared" si="5"/>
        <v>38</v>
      </c>
      <c r="I93" s="92">
        <f t="shared" si="4"/>
        <v>11.013</v>
      </c>
      <c r="J93" s="92">
        <v>10</v>
      </c>
      <c r="K93" s="92">
        <v>185</v>
      </c>
      <c r="L93" s="79" t="s">
        <v>813</v>
      </c>
      <c r="M93" s="85" t="s">
        <v>829</v>
      </c>
      <c r="N93" s="85">
        <v>150</v>
      </c>
      <c r="O93" s="85">
        <v>40</v>
      </c>
      <c r="P93" s="86"/>
      <c r="Q93" s="70">
        <v>5</v>
      </c>
      <c r="R93" s="95"/>
      <c r="S93" s="96" t="s">
        <v>809</v>
      </c>
    </row>
    <row r="94" spans="1:31" s="97" customFormat="1" ht="11.25" x14ac:dyDescent="0.3">
      <c r="A94" s="67"/>
      <c r="B94" s="84"/>
      <c r="C94" s="67"/>
      <c r="D94" s="70"/>
      <c r="E94" s="70"/>
      <c r="F94" s="70"/>
      <c r="G94" s="70"/>
      <c r="H94" s="70"/>
      <c r="I94" s="70"/>
      <c r="J94" s="70"/>
      <c r="K94" s="70"/>
      <c r="L94" s="70"/>
      <c r="M94" s="85"/>
      <c r="N94" s="85"/>
      <c r="O94" s="85"/>
      <c r="P94" s="86"/>
      <c r="Q94" s="70"/>
      <c r="R94" s="73"/>
      <c r="S94" s="96" t="s">
        <v>809</v>
      </c>
    </row>
    <row r="95" spans="1:31" s="63" customFormat="1" ht="11.25" x14ac:dyDescent="0.3">
      <c r="A95" s="55" t="s">
        <v>869</v>
      </c>
      <c r="B95" s="56" t="s">
        <v>870</v>
      </c>
      <c r="C95" s="55"/>
      <c r="D95" s="57"/>
      <c r="E95" s="57"/>
      <c r="F95" s="57"/>
      <c r="G95" s="57"/>
      <c r="H95" s="57"/>
      <c r="I95" s="57"/>
      <c r="J95" s="57"/>
      <c r="K95" s="58"/>
      <c r="L95" s="59"/>
      <c r="M95" s="59"/>
      <c r="N95" s="60"/>
      <c r="O95" s="57"/>
      <c r="P95" s="61"/>
      <c r="Q95" s="57"/>
      <c r="R95" s="61"/>
      <c r="S95" s="91"/>
    </row>
    <row r="96" spans="1:31" s="44" customFormat="1" ht="11.25" x14ac:dyDescent="0.3">
      <c r="A96" s="100"/>
      <c r="B96" s="101" t="s">
        <v>871</v>
      </c>
      <c r="C96" s="100"/>
      <c r="D96" s="102"/>
      <c r="E96" s="102"/>
      <c r="F96" s="102"/>
      <c r="G96" s="102"/>
      <c r="H96" s="102"/>
      <c r="I96" s="102"/>
      <c r="J96" s="102"/>
      <c r="K96" s="103"/>
      <c r="L96" s="104"/>
      <c r="M96" s="104"/>
      <c r="N96" s="105"/>
      <c r="O96" s="102"/>
      <c r="P96" s="106"/>
      <c r="Q96" s="102"/>
      <c r="R96" s="106"/>
      <c r="T96" s="88"/>
      <c r="V96" s="74"/>
      <c r="W96" s="74"/>
      <c r="X96" s="89"/>
      <c r="Y96" s="74"/>
      <c r="Z96" s="74"/>
      <c r="AA96" s="74"/>
      <c r="AB96" s="74"/>
      <c r="AC96" s="74"/>
      <c r="AD96" s="74"/>
      <c r="AE96" s="74"/>
    </row>
    <row r="97" spans="1:31" s="63" customFormat="1" ht="13.9" customHeight="1" x14ac:dyDescent="0.3">
      <c r="A97" s="67">
        <v>1</v>
      </c>
      <c r="B97" s="84" t="s">
        <v>872</v>
      </c>
      <c r="C97" s="67" t="s">
        <v>873</v>
      </c>
      <c r="D97" s="107">
        <v>43</v>
      </c>
      <c r="E97" s="107">
        <v>12.3</v>
      </c>
      <c r="F97" s="70">
        <f t="shared" ref="F97:F102" si="7">E97-1.013</f>
        <v>11.287000000000001</v>
      </c>
      <c r="G97" s="107">
        <v>93.5</v>
      </c>
      <c r="H97" s="107">
        <v>43</v>
      </c>
      <c r="I97" s="107">
        <v>19</v>
      </c>
      <c r="J97" s="70" t="s">
        <v>874</v>
      </c>
      <c r="K97" s="107">
        <v>100</v>
      </c>
      <c r="L97" s="108" t="s">
        <v>875</v>
      </c>
      <c r="M97" s="109" t="s">
        <v>768</v>
      </c>
      <c r="N97" s="110">
        <v>200</v>
      </c>
      <c r="O97" s="111">
        <v>40</v>
      </c>
      <c r="P97" s="70"/>
      <c r="Q97" s="107">
        <v>1.5</v>
      </c>
      <c r="R97" s="73"/>
      <c r="S97" s="74"/>
      <c r="T97" s="112"/>
      <c r="U97" s="113"/>
      <c r="V97" s="74"/>
      <c r="W97" s="74"/>
      <c r="X97" s="114"/>
      <c r="Y97" s="74"/>
      <c r="Z97" s="74"/>
      <c r="AA97" s="74"/>
      <c r="AB97" s="74"/>
      <c r="AC97" s="74"/>
      <c r="AD97" s="74"/>
      <c r="AE97" s="74"/>
    </row>
    <row r="98" spans="1:31" s="63" customFormat="1" ht="13.9" customHeight="1" x14ac:dyDescent="0.3">
      <c r="A98" s="67">
        <v>2</v>
      </c>
      <c r="B98" s="84" t="s">
        <v>876</v>
      </c>
      <c r="C98" s="67" t="s">
        <v>877</v>
      </c>
      <c r="D98" s="107">
        <v>43</v>
      </c>
      <c r="E98" s="107">
        <v>12.3</v>
      </c>
      <c r="F98" s="70">
        <f>E98-1.013</f>
        <v>11.287000000000001</v>
      </c>
      <c r="G98" s="107">
        <v>93.5</v>
      </c>
      <c r="H98" s="107">
        <v>43</v>
      </c>
      <c r="I98" s="107">
        <v>19</v>
      </c>
      <c r="J98" s="70">
        <f>I98-1.013</f>
        <v>17.987000000000002</v>
      </c>
      <c r="K98" s="107">
        <v>100</v>
      </c>
      <c r="L98" s="108" t="s">
        <v>875</v>
      </c>
      <c r="M98" s="109" t="s">
        <v>768</v>
      </c>
      <c r="N98" s="110">
        <v>150</v>
      </c>
      <c r="O98" s="111">
        <v>40</v>
      </c>
      <c r="P98" s="70"/>
      <c r="Q98" s="107">
        <v>3</v>
      </c>
      <c r="R98" s="73"/>
      <c r="S98" s="74"/>
      <c r="T98" s="112"/>
      <c r="U98" s="113"/>
      <c r="V98" s="74"/>
      <c r="W98" s="74"/>
      <c r="X98" s="114"/>
      <c r="Y98" s="74"/>
      <c r="Z98" s="74"/>
      <c r="AA98" s="74"/>
      <c r="AB98" s="74"/>
      <c r="AC98" s="74"/>
      <c r="AD98" s="74"/>
      <c r="AE98" s="74"/>
    </row>
    <row r="99" spans="1:31" s="63" customFormat="1" ht="13.9" customHeight="1" x14ac:dyDescent="0.3">
      <c r="A99" s="67">
        <v>3</v>
      </c>
      <c r="B99" s="84" t="s">
        <v>878</v>
      </c>
      <c r="C99" s="67" t="s">
        <v>877</v>
      </c>
      <c r="D99" s="107">
        <v>120</v>
      </c>
      <c r="E99" s="107">
        <v>12.3</v>
      </c>
      <c r="F99" s="70">
        <f t="shared" si="7"/>
        <v>11.287000000000001</v>
      </c>
      <c r="G99" s="107">
        <v>93.5</v>
      </c>
      <c r="H99" s="107">
        <v>120</v>
      </c>
      <c r="I99" s="107">
        <v>19</v>
      </c>
      <c r="J99" s="70">
        <f>I99-1.013</f>
        <v>17.987000000000002</v>
      </c>
      <c r="K99" s="107">
        <v>100</v>
      </c>
      <c r="L99" s="108" t="s">
        <v>875</v>
      </c>
      <c r="M99" s="109" t="s">
        <v>768</v>
      </c>
      <c r="N99" s="110">
        <v>250</v>
      </c>
      <c r="O99" s="111">
        <v>40</v>
      </c>
      <c r="P99" s="70"/>
      <c r="Q99" s="107">
        <v>3</v>
      </c>
      <c r="R99" s="73"/>
      <c r="S99" s="74"/>
      <c r="T99" s="112"/>
      <c r="U99" s="113"/>
      <c r="V99" s="74"/>
      <c r="W99" s="74"/>
      <c r="X99" s="114"/>
      <c r="Y99" s="74"/>
      <c r="Z99" s="74"/>
      <c r="AA99" s="74"/>
      <c r="AB99" s="74"/>
      <c r="AC99" s="74"/>
      <c r="AD99" s="74"/>
      <c r="AE99" s="74"/>
    </row>
    <row r="100" spans="1:31" s="63" customFormat="1" ht="13.9" customHeight="1" x14ac:dyDescent="0.3">
      <c r="A100" s="67">
        <v>4</v>
      </c>
      <c r="B100" s="84" t="s">
        <v>879</v>
      </c>
      <c r="C100" s="67" t="s">
        <v>877</v>
      </c>
      <c r="D100" s="107">
        <v>233.6</v>
      </c>
      <c r="E100" s="107">
        <v>12.3</v>
      </c>
      <c r="F100" s="70">
        <f t="shared" si="7"/>
        <v>11.287000000000001</v>
      </c>
      <c r="G100" s="107">
        <v>93.5</v>
      </c>
      <c r="H100" s="107">
        <v>233.6</v>
      </c>
      <c r="I100" s="107">
        <v>19</v>
      </c>
      <c r="J100" s="70">
        <f>I100-1.013</f>
        <v>17.987000000000002</v>
      </c>
      <c r="K100" s="107">
        <v>100</v>
      </c>
      <c r="L100" s="108" t="s">
        <v>875</v>
      </c>
      <c r="M100" s="109" t="s">
        <v>768</v>
      </c>
      <c r="N100" s="110">
        <v>350</v>
      </c>
      <c r="O100" s="111" t="s">
        <v>880</v>
      </c>
      <c r="P100" s="70"/>
      <c r="Q100" s="107">
        <v>3</v>
      </c>
      <c r="R100" s="73"/>
      <c r="S100" s="74"/>
      <c r="T100" s="112"/>
      <c r="U100" s="113"/>
      <c r="V100" s="74"/>
      <c r="W100" s="74"/>
      <c r="X100" s="114"/>
      <c r="Y100" s="74"/>
      <c r="Z100" s="74"/>
      <c r="AA100" s="74"/>
      <c r="AB100" s="74"/>
      <c r="AC100" s="74"/>
      <c r="AD100" s="74"/>
      <c r="AE100" s="74"/>
    </row>
    <row r="101" spans="1:31" s="63" customFormat="1" ht="22.5" x14ac:dyDescent="0.3">
      <c r="A101" s="67">
        <v>5</v>
      </c>
      <c r="B101" s="115" t="s">
        <v>881</v>
      </c>
      <c r="C101" s="67" t="s">
        <v>882</v>
      </c>
      <c r="D101" s="107">
        <v>515.6</v>
      </c>
      <c r="E101" s="107">
        <v>12.3</v>
      </c>
      <c r="F101" s="70">
        <f t="shared" si="7"/>
        <v>11.287000000000001</v>
      </c>
      <c r="G101" s="107">
        <v>101</v>
      </c>
      <c r="H101" s="107">
        <v>515.6</v>
      </c>
      <c r="I101" s="107">
        <v>27</v>
      </c>
      <c r="J101" s="70">
        <f>I101-1.013</f>
        <v>25.987000000000002</v>
      </c>
      <c r="K101" s="107">
        <v>110</v>
      </c>
      <c r="L101" s="108" t="s">
        <v>875</v>
      </c>
      <c r="M101" s="109" t="s">
        <v>768</v>
      </c>
      <c r="N101" s="110">
        <v>500</v>
      </c>
      <c r="O101" s="111" t="s">
        <v>880</v>
      </c>
      <c r="P101" s="70"/>
      <c r="Q101" s="107">
        <v>3</v>
      </c>
      <c r="R101" s="73"/>
      <c r="S101" s="74"/>
      <c r="T101" s="112"/>
      <c r="U101" s="113"/>
      <c r="V101" s="74"/>
      <c r="W101" s="74"/>
      <c r="X101" s="114"/>
      <c r="Y101" s="74"/>
      <c r="Z101" s="74"/>
      <c r="AA101" s="74"/>
      <c r="AB101" s="74"/>
      <c r="AC101" s="74"/>
      <c r="AD101" s="74"/>
      <c r="AE101" s="74"/>
    </row>
    <row r="102" spans="1:31" s="63" customFormat="1" ht="13.9" customHeight="1" x14ac:dyDescent="0.3">
      <c r="A102" s="67">
        <v>6</v>
      </c>
      <c r="B102" s="84" t="s">
        <v>883</v>
      </c>
      <c r="C102" s="67" t="s">
        <v>884</v>
      </c>
      <c r="D102" s="107">
        <v>515.6</v>
      </c>
      <c r="E102" s="107">
        <v>12.3</v>
      </c>
      <c r="F102" s="70">
        <f t="shared" si="7"/>
        <v>11.287000000000001</v>
      </c>
      <c r="G102" s="107">
        <v>105</v>
      </c>
      <c r="H102" s="107">
        <v>515.6</v>
      </c>
      <c r="I102" s="107">
        <v>27</v>
      </c>
      <c r="J102" s="70">
        <f>I102-1.013</f>
        <v>25.987000000000002</v>
      </c>
      <c r="K102" s="107">
        <v>110</v>
      </c>
      <c r="L102" s="108" t="s">
        <v>875</v>
      </c>
      <c r="M102" s="109" t="s">
        <v>768</v>
      </c>
      <c r="N102" s="110">
        <v>500</v>
      </c>
      <c r="O102" s="111" t="s">
        <v>880</v>
      </c>
      <c r="P102" s="70"/>
      <c r="Q102" s="107">
        <v>3</v>
      </c>
      <c r="R102" s="73"/>
      <c r="S102" s="74"/>
      <c r="T102" s="112"/>
      <c r="U102" s="113"/>
      <c r="V102" s="74"/>
      <c r="W102" s="74"/>
      <c r="X102" s="114"/>
      <c r="Y102" s="74"/>
      <c r="Z102" s="74"/>
      <c r="AA102" s="74"/>
      <c r="AB102" s="74"/>
      <c r="AC102" s="74"/>
      <c r="AD102" s="74"/>
      <c r="AE102" s="74"/>
    </row>
    <row r="103" spans="1:31" s="63" customFormat="1" ht="12" x14ac:dyDescent="0.3">
      <c r="A103" s="67"/>
      <c r="B103" s="84"/>
      <c r="C103" s="67"/>
      <c r="D103" s="70"/>
      <c r="E103" s="70"/>
      <c r="F103" s="70"/>
      <c r="G103" s="70"/>
      <c r="H103" s="70"/>
      <c r="I103" s="70"/>
      <c r="J103" s="70"/>
      <c r="K103" s="70"/>
      <c r="L103" s="67"/>
      <c r="M103" s="67"/>
      <c r="N103" s="85"/>
      <c r="O103" s="116"/>
      <c r="P103" s="70"/>
      <c r="Q103" s="70"/>
      <c r="R103" s="73"/>
      <c r="S103" s="74"/>
      <c r="T103" s="112"/>
      <c r="U103" s="113"/>
      <c r="V103" s="74"/>
      <c r="W103" s="74"/>
      <c r="X103" s="114"/>
      <c r="Y103" s="74"/>
      <c r="Z103" s="74"/>
      <c r="AA103" s="74"/>
      <c r="AB103" s="74"/>
      <c r="AC103" s="74"/>
      <c r="AD103" s="74"/>
      <c r="AE103" s="74"/>
    </row>
    <row r="104" spans="1:31" s="63" customFormat="1" ht="12" x14ac:dyDescent="0.3">
      <c r="A104" s="100"/>
      <c r="B104" s="101" t="s">
        <v>885</v>
      </c>
      <c r="C104" s="100"/>
      <c r="D104" s="102"/>
      <c r="E104" s="102"/>
      <c r="F104" s="102"/>
      <c r="G104" s="102"/>
      <c r="H104" s="102"/>
      <c r="I104" s="102"/>
      <c r="J104" s="102"/>
      <c r="K104" s="103"/>
      <c r="L104" s="104"/>
      <c r="M104" s="104"/>
      <c r="N104" s="105"/>
      <c r="O104" s="102"/>
      <c r="P104" s="106"/>
      <c r="Q104" s="102"/>
      <c r="R104" s="106"/>
      <c r="S104" s="74"/>
      <c r="T104" s="112"/>
      <c r="U104" s="113"/>
      <c r="V104" s="74"/>
      <c r="W104" s="74"/>
      <c r="X104" s="114"/>
      <c r="Y104" s="74"/>
      <c r="Z104" s="74"/>
      <c r="AA104" s="74"/>
      <c r="AB104" s="74"/>
      <c r="AC104" s="74"/>
      <c r="AD104" s="74"/>
      <c r="AE104" s="74"/>
    </row>
    <row r="105" spans="1:31" s="63" customFormat="1" ht="12" x14ac:dyDescent="0.3">
      <c r="A105" s="67">
        <v>1</v>
      </c>
      <c r="B105" s="117" t="s">
        <v>886</v>
      </c>
      <c r="C105" s="118" t="s">
        <v>877</v>
      </c>
      <c r="D105" s="107">
        <v>23</v>
      </c>
      <c r="E105" s="107">
        <v>12.3</v>
      </c>
      <c r="F105" s="70">
        <f t="shared" ref="F105:F116" si="8">E105-1.013</f>
        <v>11.287000000000001</v>
      </c>
      <c r="G105" s="107">
        <v>93.5</v>
      </c>
      <c r="H105" s="107">
        <v>23</v>
      </c>
      <c r="I105" s="107">
        <v>19</v>
      </c>
      <c r="J105" s="70">
        <f>I105-1.013</f>
        <v>17.987000000000002</v>
      </c>
      <c r="K105" s="107">
        <v>100</v>
      </c>
      <c r="L105" s="108" t="s">
        <v>875</v>
      </c>
      <c r="M105" s="109" t="s">
        <v>768</v>
      </c>
      <c r="N105" s="110">
        <v>100</v>
      </c>
      <c r="O105" s="111">
        <v>40</v>
      </c>
      <c r="P105" s="70"/>
      <c r="Q105" s="107">
        <v>3</v>
      </c>
      <c r="R105" s="73"/>
      <c r="S105" s="74"/>
      <c r="T105" s="112"/>
      <c r="U105" s="113"/>
      <c r="V105" s="74"/>
      <c r="W105" s="74"/>
      <c r="X105" s="114"/>
      <c r="Y105" s="74"/>
      <c r="Z105" s="74"/>
      <c r="AA105" s="74"/>
      <c r="AB105" s="74"/>
      <c r="AC105" s="74"/>
      <c r="AD105" s="74"/>
      <c r="AE105" s="74"/>
    </row>
    <row r="106" spans="1:31" s="63" customFormat="1" ht="17.45" customHeight="1" x14ac:dyDescent="0.3">
      <c r="A106" s="67">
        <v>2</v>
      </c>
      <c r="B106" s="84" t="s">
        <v>887</v>
      </c>
      <c r="C106" s="119" t="s">
        <v>888</v>
      </c>
      <c r="D106" s="107">
        <v>8.9</v>
      </c>
      <c r="E106" s="107">
        <v>12.3</v>
      </c>
      <c r="F106" s="70">
        <f t="shared" si="8"/>
        <v>11.287000000000001</v>
      </c>
      <c r="G106" s="107">
        <v>93.5</v>
      </c>
      <c r="H106" s="107">
        <v>8.9</v>
      </c>
      <c r="I106" s="107">
        <v>19</v>
      </c>
      <c r="J106" s="70">
        <f>I106-1.013</f>
        <v>17.987000000000002</v>
      </c>
      <c r="K106" s="107">
        <v>100</v>
      </c>
      <c r="L106" s="108" t="s">
        <v>875</v>
      </c>
      <c r="M106" s="109" t="s">
        <v>768</v>
      </c>
      <c r="N106" s="110">
        <v>80</v>
      </c>
      <c r="O106" s="111">
        <v>40</v>
      </c>
      <c r="P106" s="70"/>
      <c r="Q106" s="107">
        <v>3</v>
      </c>
      <c r="R106" s="73"/>
      <c r="S106" s="74"/>
      <c r="T106" s="112"/>
      <c r="U106" s="113"/>
      <c r="V106" s="74"/>
      <c r="W106" s="74"/>
      <c r="X106" s="114"/>
      <c r="Y106" s="74"/>
      <c r="Z106" s="74"/>
      <c r="AA106" s="74"/>
      <c r="AB106" s="74"/>
      <c r="AC106" s="74"/>
      <c r="AD106" s="74"/>
      <c r="AE106" s="74"/>
    </row>
    <row r="107" spans="1:31" s="63" customFormat="1" ht="12" x14ac:dyDescent="0.3">
      <c r="A107" s="67" t="s">
        <v>889</v>
      </c>
      <c r="B107" s="264" t="s">
        <v>890</v>
      </c>
      <c r="C107" s="119" t="s">
        <v>888</v>
      </c>
      <c r="D107" s="107">
        <v>1.1000000000000001</v>
      </c>
      <c r="E107" s="107">
        <v>12.3</v>
      </c>
      <c r="F107" s="70">
        <f t="shared" si="8"/>
        <v>11.287000000000001</v>
      </c>
      <c r="G107" s="107">
        <v>93.5</v>
      </c>
      <c r="H107" s="107">
        <v>1.1000000000000001</v>
      </c>
      <c r="I107" s="107">
        <v>19</v>
      </c>
      <c r="J107" s="70">
        <f>I107-1.013</f>
        <v>17.987000000000002</v>
      </c>
      <c r="K107" s="107">
        <v>100</v>
      </c>
      <c r="L107" s="108" t="s">
        <v>875</v>
      </c>
      <c r="M107" s="109" t="s">
        <v>768</v>
      </c>
      <c r="N107" s="110">
        <v>50</v>
      </c>
      <c r="O107" s="111">
        <v>40</v>
      </c>
      <c r="P107" s="70"/>
      <c r="Q107" s="107">
        <v>3</v>
      </c>
      <c r="R107" s="73"/>
      <c r="S107" s="74"/>
      <c r="T107" s="112"/>
      <c r="U107" s="113"/>
      <c r="V107" s="74"/>
      <c r="W107" s="74"/>
      <c r="X107" s="114"/>
      <c r="Y107" s="74"/>
      <c r="Z107" s="74"/>
      <c r="AA107" s="74"/>
      <c r="AB107" s="74"/>
      <c r="AC107" s="74"/>
      <c r="AD107" s="74"/>
      <c r="AE107" s="74"/>
    </row>
    <row r="108" spans="1:31" s="63" customFormat="1" ht="12" x14ac:dyDescent="0.3">
      <c r="A108" s="67" t="s">
        <v>891</v>
      </c>
      <c r="B108" s="264"/>
      <c r="C108" s="67" t="s">
        <v>892</v>
      </c>
      <c r="D108" s="107">
        <v>1.1000000000000001</v>
      </c>
      <c r="E108" s="107">
        <v>4</v>
      </c>
      <c r="F108" s="70">
        <f t="shared" si="8"/>
        <v>2.9870000000000001</v>
      </c>
      <c r="G108" s="107">
        <v>93.5</v>
      </c>
      <c r="H108" s="107">
        <v>1.1000000000000001</v>
      </c>
      <c r="I108" s="107">
        <v>4.2</v>
      </c>
      <c r="J108" s="70">
        <v>4</v>
      </c>
      <c r="K108" s="107">
        <v>100</v>
      </c>
      <c r="L108" s="108" t="s">
        <v>893</v>
      </c>
      <c r="M108" s="109" t="s">
        <v>768</v>
      </c>
      <c r="N108" s="110">
        <v>50</v>
      </c>
      <c r="O108" s="111">
        <v>40</v>
      </c>
      <c r="P108" s="70"/>
      <c r="Q108" s="107">
        <v>3</v>
      </c>
      <c r="R108" s="73"/>
      <c r="S108" s="74"/>
      <c r="T108" s="112"/>
      <c r="U108" s="113"/>
      <c r="V108" s="74"/>
      <c r="W108" s="74"/>
      <c r="X108" s="114"/>
      <c r="Y108" s="74"/>
      <c r="Z108" s="74"/>
      <c r="AA108" s="74"/>
      <c r="AB108" s="74"/>
      <c r="AC108" s="74"/>
      <c r="AD108" s="74"/>
      <c r="AE108" s="74"/>
    </row>
    <row r="109" spans="1:31" s="63" customFormat="1" ht="12" x14ac:dyDescent="0.3">
      <c r="A109" s="67" t="s">
        <v>894</v>
      </c>
      <c r="B109" s="120" t="s">
        <v>895</v>
      </c>
      <c r="C109" s="67" t="s">
        <v>892</v>
      </c>
      <c r="D109" s="107">
        <v>1</v>
      </c>
      <c r="E109" s="107">
        <v>4</v>
      </c>
      <c r="F109" s="70">
        <f t="shared" si="8"/>
        <v>2.9870000000000001</v>
      </c>
      <c r="G109" s="107">
        <v>93.5</v>
      </c>
      <c r="H109" s="107">
        <v>1</v>
      </c>
      <c r="I109" s="107">
        <v>4.2</v>
      </c>
      <c r="J109" s="70">
        <v>4</v>
      </c>
      <c r="K109" s="107">
        <v>100</v>
      </c>
      <c r="L109" s="108" t="s">
        <v>893</v>
      </c>
      <c r="M109" s="109" t="s">
        <v>768</v>
      </c>
      <c r="N109" s="110">
        <v>50</v>
      </c>
      <c r="O109" s="111">
        <v>40</v>
      </c>
      <c r="P109" s="70"/>
      <c r="Q109" s="107">
        <v>3</v>
      </c>
      <c r="R109" s="73"/>
      <c r="S109" s="74"/>
      <c r="T109" s="112"/>
      <c r="U109" s="113"/>
      <c r="V109" s="74"/>
      <c r="W109" s="74"/>
      <c r="X109" s="114"/>
      <c r="Y109" s="74"/>
      <c r="Z109" s="74"/>
      <c r="AA109" s="74"/>
      <c r="AB109" s="74"/>
      <c r="AC109" s="74"/>
      <c r="AD109" s="74"/>
      <c r="AE109" s="74"/>
    </row>
    <row r="110" spans="1:31" s="63" customFormat="1" ht="12" x14ac:dyDescent="0.3">
      <c r="A110" s="67" t="s">
        <v>896</v>
      </c>
      <c r="B110" s="120" t="s">
        <v>897</v>
      </c>
      <c r="C110" s="67" t="s">
        <v>892</v>
      </c>
      <c r="D110" s="121">
        <v>0.02</v>
      </c>
      <c r="E110" s="107">
        <v>4</v>
      </c>
      <c r="F110" s="70">
        <f t="shared" si="8"/>
        <v>2.9870000000000001</v>
      </c>
      <c r="G110" s="107">
        <v>93.5</v>
      </c>
      <c r="H110" s="121">
        <v>0.02</v>
      </c>
      <c r="I110" s="107">
        <v>4.2</v>
      </c>
      <c r="J110" s="70">
        <v>4</v>
      </c>
      <c r="K110" s="107">
        <v>100</v>
      </c>
      <c r="L110" s="108" t="s">
        <v>893</v>
      </c>
      <c r="M110" s="109" t="s">
        <v>768</v>
      </c>
      <c r="N110" s="110">
        <v>25</v>
      </c>
      <c r="O110" s="111">
        <v>40</v>
      </c>
      <c r="P110" s="70"/>
      <c r="Q110" s="107">
        <v>3</v>
      </c>
      <c r="R110" s="73"/>
      <c r="S110" s="74"/>
      <c r="T110" s="112"/>
      <c r="U110" s="113"/>
      <c r="V110" s="74"/>
      <c r="W110" s="74"/>
      <c r="X110" s="114"/>
      <c r="Y110" s="74"/>
      <c r="Z110" s="74"/>
      <c r="AA110" s="74"/>
      <c r="AB110" s="74"/>
      <c r="AC110" s="74"/>
      <c r="AD110" s="74"/>
      <c r="AE110" s="74"/>
    </row>
    <row r="111" spans="1:31" s="63" customFormat="1" ht="12" x14ac:dyDescent="0.3">
      <c r="A111" s="67" t="s">
        <v>898</v>
      </c>
      <c r="B111" s="265" t="s">
        <v>899</v>
      </c>
      <c r="C111" s="119" t="s">
        <v>888</v>
      </c>
      <c r="D111" s="107">
        <v>2.2000000000000002</v>
      </c>
      <c r="E111" s="107">
        <v>12.3</v>
      </c>
      <c r="F111" s="70">
        <f t="shared" si="8"/>
        <v>11.287000000000001</v>
      </c>
      <c r="G111" s="107">
        <v>93.5</v>
      </c>
      <c r="H111" s="107">
        <v>2.4</v>
      </c>
      <c r="I111" s="107">
        <v>19</v>
      </c>
      <c r="J111" s="70">
        <f>I111-1.013</f>
        <v>17.987000000000002</v>
      </c>
      <c r="K111" s="107">
        <v>100</v>
      </c>
      <c r="L111" s="108" t="s">
        <v>875</v>
      </c>
      <c r="M111" s="109" t="s">
        <v>768</v>
      </c>
      <c r="N111" s="110">
        <v>50</v>
      </c>
      <c r="O111" s="111">
        <v>40</v>
      </c>
      <c r="P111" s="70"/>
      <c r="Q111" s="107">
        <v>3</v>
      </c>
      <c r="R111" s="73"/>
      <c r="S111" s="74"/>
      <c r="T111" s="112"/>
      <c r="U111" s="113"/>
      <c r="V111" s="74"/>
      <c r="W111" s="74"/>
      <c r="X111" s="114"/>
      <c r="Y111" s="74"/>
      <c r="Z111" s="74"/>
      <c r="AA111" s="74"/>
      <c r="AB111" s="74"/>
      <c r="AC111" s="74"/>
      <c r="AD111" s="74"/>
      <c r="AE111" s="74"/>
    </row>
    <row r="112" spans="1:31" s="63" customFormat="1" ht="12" x14ac:dyDescent="0.3">
      <c r="A112" s="67" t="s">
        <v>900</v>
      </c>
      <c r="B112" s="265"/>
      <c r="C112" s="118" t="s">
        <v>901</v>
      </c>
      <c r="D112" s="107">
        <v>2.2000000000000002</v>
      </c>
      <c r="E112" s="107">
        <v>4</v>
      </c>
      <c r="F112" s="70">
        <f t="shared" si="8"/>
        <v>2.9870000000000001</v>
      </c>
      <c r="G112" s="107">
        <v>93.5</v>
      </c>
      <c r="H112" s="107">
        <v>2.4</v>
      </c>
      <c r="I112" s="107">
        <v>4.2</v>
      </c>
      <c r="J112" s="70">
        <v>5.5</v>
      </c>
      <c r="K112" s="107">
        <v>100</v>
      </c>
      <c r="L112" s="108" t="s">
        <v>893</v>
      </c>
      <c r="M112" s="109" t="s">
        <v>768</v>
      </c>
      <c r="N112" s="110">
        <v>50</v>
      </c>
      <c r="O112" s="111">
        <v>40</v>
      </c>
      <c r="P112" s="70"/>
      <c r="Q112" s="107">
        <v>3</v>
      </c>
      <c r="R112" s="73"/>
      <c r="S112" s="74"/>
      <c r="T112" s="112"/>
      <c r="U112" s="113"/>
      <c r="V112" s="74"/>
      <c r="W112" s="74"/>
      <c r="X112" s="114"/>
      <c r="Y112" s="74"/>
      <c r="Z112" s="74"/>
      <c r="AA112" s="74"/>
      <c r="AB112" s="74"/>
      <c r="AC112" s="74"/>
      <c r="AD112" s="74"/>
      <c r="AE112" s="74"/>
    </row>
    <row r="113" spans="1:31" s="63" customFormat="1" ht="12" x14ac:dyDescent="0.3">
      <c r="A113" s="67" t="s">
        <v>902</v>
      </c>
      <c r="B113" s="122" t="s">
        <v>903</v>
      </c>
      <c r="C113" s="118" t="s">
        <v>901</v>
      </c>
      <c r="D113" s="107">
        <v>2</v>
      </c>
      <c r="E113" s="107">
        <v>4</v>
      </c>
      <c r="F113" s="70">
        <f t="shared" si="8"/>
        <v>2.9870000000000001</v>
      </c>
      <c r="G113" s="107">
        <v>93.5</v>
      </c>
      <c r="H113" s="107">
        <v>2</v>
      </c>
      <c r="I113" s="107">
        <v>4.2</v>
      </c>
      <c r="J113" s="70">
        <v>5.5</v>
      </c>
      <c r="K113" s="107">
        <v>100</v>
      </c>
      <c r="L113" s="108" t="s">
        <v>893</v>
      </c>
      <c r="M113" s="109" t="s">
        <v>768</v>
      </c>
      <c r="N113" s="110">
        <v>50</v>
      </c>
      <c r="O113" s="111">
        <v>40</v>
      </c>
      <c r="P113" s="70"/>
      <c r="Q113" s="107">
        <v>3</v>
      </c>
      <c r="R113" s="73"/>
      <c r="S113" s="74"/>
      <c r="T113" s="112"/>
      <c r="U113" s="113"/>
      <c r="V113" s="74"/>
      <c r="W113" s="74"/>
      <c r="X113" s="114"/>
      <c r="Y113" s="74"/>
      <c r="Z113" s="74"/>
      <c r="AA113" s="74"/>
      <c r="AB113" s="74"/>
      <c r="AC113" s="74"/>
      <c r="AD113" s="74"/>
      <c r="AE113" s="74"/>
    </row>
    <row r="114" spans="1:31" s="63" customFormat="1" ht="12" x14ac:dyDescent="0.3">
      <c r="A114" s="67" t="s">
        <v>904</v>
      </c>
      <c r="B114" s="122" t="s">
        <v>905</v>
      </c>
      <c r="C114" s="118" t="s">
        <v>901</v>
      </c>
      <c r="D114" s="107">
        <v>0.2</v>
      </c>
      <c r="E114" s="107">
        <v>4</v>
      </c>
      <c r="F114" s="70">
        <f t="shared" si="8"/>
        <v>2.9870000000000001</v>
      </c>
      <c r="G114" s="107">
        <v>93.5</v>
      </c>
      <c r="H114" s="107">
        <v>0.2</v>
      </c>
      <c r="I114" s="107">
        <v>4.2</v>
      </c>
      <c r="J114" s="70">
        <v>5.5</v>
      </c>
      <c r="K114" s="107">
        <v>100</v>
      </c>
      <c r="L114" s="108" t="s">
        <v>893</v>
      </c>
      <c r="M114" s="109" t="s">
        <v>768</v>
      </c>
      <c r="N114" s="110">
        <v>15</v>
      </c>
      <c r="O114" s="111">
        <v>40</v>
      </c>
      <c r="P114" s="70"/>
      <c r="Q114" s="107">
        <v>3</v>
      </c>
      <c r="R114" s="73"/>
      <c r="S114" s="74"/>
      <c r="T114" s="112"/>
      <c r="U114" s="113"/>
      <c r="V114" s="74"/>
      <c r="W114" s="74"/>
      <c r="X114" s="114"/>
      <c r="Y114" s="74"/>
      <c r="Z114" s="74"/>
      <c r="AA114" s="74"/>
      <c r="AB114" s="74"/>
      <c r="AC114" s="74"/>
      <c r="AD114" s="74"/>
      <c r="AE114" s="74"/>
    </row>
    <row r="115" spans="1:31" s="63" customFormat="1" ht="12" x14ac:dyDescent="0.3">
      <c r="A115" s="67">
        <v>9</v>
      </c>
      <c r="B115" s="117" t="s">
        <v>906</v>
      </c>
      <c r="C115" s="119" t="s">
        <v>877</v>
      </c>
      <c r="D115" s="123" t="s">
        <v>907</v>
      </c>
      <c r="E115" s="107">
        <v>12.3</v>
      </c>
      <c r="F115" s="70">
        <f t="shared" si="8"/>
        <v>11.287000000000001</v>
      </c>
      <c r="G115" s="107">
        <v>93.5</v>
      </c>
      <c r="H115" s="123" t="s">
        <v>907</v>
      </c>
      <c r="I115" s="107">
        <v>19</v>
      </c>
      <c r="J115" s="70">
        <v>17</v>
      </c>
      <c r="K115" s="107">
        <v>100</v>
      </c>
      <c r="L115" s="108" t="s">
        <v>875</v>
      </c>
      <c r="M115" s="109" t="s">
        <v>768</v>
      </c>
      <c r="N115" s="110">
        <v>25</v>
      </c>
      <c r="O115" s="111">
        <v>40</v>
      </c>
      <c r="P115" s="70"/>
      <c r="Q115" s="107">
        <v>3</v>
      </c>
      <c r="R115" s="73"/>
      <c r="S115" s="74"/>
      <c r="T115" s="112"/>
      <c r="U115" s="113"/>
      <c r="V115" s="74"/>
      <c r="W115" s="74"/>
      <c r="X115" s="114"/>
      <c r="Y115" s="74"/>
      <c r="Z115" s="74"/>
      <c r="AA115" s="74"/>
      <c r="AB115" s="74"/>
      <c r="AC115" s="74"/>
      <c r="AD115" s="74"/>
      <c r="AE115" s="74"/>
    </row>
    <row r="116" spans="1:31" s="63" customFormat="1" ht="12" x14ac:dyDescent="0.3">
      <c r="A116" s="67">
        <v>10</v>
      </c>
      <c r="B116" s="117" t="s">
        <v>908</v>
      </c>
      <c r="C116" s="119" t="s">
        <v>888</v>
      </c>
      <c r="D116" s="123" t="s">
        <v>907</v>
      </c>
      <c r="E116" s="107">
        <v>12.3</v>
      </c>
      <c r="F116" s="70">
        <f t="shared" si="8"/>
        <v>11.287000000000001</v>
      </c>
      <c r="G116" s="107">
        <v>93.5</v>
      </c>
      <c r="H116" s="123" t="s">
        <v>907</v>
      </c>
      <c r="I116" s="107">
        <v>19</v>
      </c>
      <c r="J116" s="70">
        <v>17</v>
      </c>
      <c r="K116" s="107">
        <v>100</v>
      </c>
      <c r="L116" s="108" t="s">
        <v>875</v>
      </c>
      <c r="M116" s="109" t="s">
        <v>768</v>
      </c>
      <c r="N116" s="110">
        <v>25</v>
      </c>
      <c r="O116" s="111">
        <v>40</v>
      </c>
      <c r="P116" s="70"/>
      <c r="Q116" s="107">
        <v>3</v>
      </c>
      <c r="R116" s="73"/>
      <c r="S116" s="74"/>
      <c r="T116" s="112"/>
      <c r="U116" s="113"/>
      <c r="V116" s="74"/>
      <c r="W116" s="74"/>
      <c r="X116" s="114"/>
      <c r="Y116" s="74"/>
      <c r="Z116" s="74"/>
      <c r="AA116" s="74"/>
      <c r="AB116" s="74"/>
      <c r="AC116" s="74"/>
      <c r="AD116" s="74"/>
      <c r="AE116" s="74"/>
    </row>
    <row r="117" spans="1:31" s="63" customFormat="1" ht="12" x14ac:dyDescent="0.3">
      <c r="A117" s="67">
        <v>11</v>
      </c>
      <c r="B117" s="124" t="s">
        <v>909</v>
      </c>
      <c r="C117" s="67" t="s">
        <v>877</v>
      </c>
      <c r="D117" s="123" t="s">
        <v>907</v>
      </c>
      <c r="E117" s="107">
        <v>12.3</v>
      </c>
      <c r="F117" s="70">
        <f>E117-1.013</f>
        <v>11.287000000000001</v>
      </c>
      <c r="G117" s="107">
        <v>93.5</v>
      </c>
      <c r="H117" s="123" t="s">
        <v>907</v>
      </c>
      <c r="I117" s="107">
        <v>19</v>
      </c>
      <c r="J117" s="70">
        <f>I117-1.013</f>
        <v>17.987000000000002</v>
      </c>
      <c r="K117" s="107">
        <v>100</v>
      </c>
      <c r="L117" s="108" t="s">
        <v>875</v>
      </c>
      <c r="M117" s="109" t="s">
        <v>768</v>
      </c>
      <c r="N117" s="110">
        <v>80</v>
      </c>
      <c r="O117" s="111">
        <v>40</v>
      </c>
      <c r="P117" s="70"/>
      <c r="Q117" s="107">
        <v>3</v>
      </c>
      <c r="R117" s="73"/>
      <c r="S117" s="74"/>
      <c r="T117" s="112"/>
      <c r="U117" s="113"/>
      <c r="V117" s="74"/>
      <c r="W117" s="74"/>
      <c r="X117" s="114"/>
      <c r="Y117" s="74"/>
      <c r="Z117" s="74"/>
      <c r="AA117" s="74"/>
      <c r="AB117" s="74"/>
      <c r="AC117" s="74"/>
      <c r="AD117" s="74"/>
      <c r="AE117" s="74"/>
    </row>
    <row r="118" spans="1:31" s="63" customFormat="1" ht="12" x14ac:dyDescent="0.3">
      <c r="A118" s="67">
        <v>12</v>
      </c>
      <c r="B118" s="117" t="s">
        <v>910</v>
      </c>
      <c r="C118" s="119" t="s">
        <v>877</v>
      </c>
      <c r="D118" s="123" t="s">
        <v>907</v>
      </c>
      <c r="E118" s="107">
        <v>12.3</v>
      </c>
      <c r="F118" s="70">
        <f>E118-1.013</f>
        <v>11.287000000000001</v>
      </c>
      <c r="G118" s="107">
        <v>93.5</v>
      </c>
      <c r="H118" s="123" t="s">
        <v>907</v>
      </c>
      <c r="I118" s="107">
        <v>19</v>
      </c>
      <c r="J118" s="70">
        <v>17</v>
      </c>
      <c r="K118" s="107">
        <v>100</v>
      </c>
      <c r="L118" s="108" t="s">
        <v>875</v>
      </c>
      <c r="M118" s="109" t="s">
        <v>768</v>
      </c>
      <c r="N118" s="110">
        <v>25</v>
      </c>
      <c r="O118" s="111">
        <v>40</v>
      </c>
      <c r="P118" s="70"/>
      <c r="Q118" s="107">
        <v>3</v>
      </c>
      <c r="R118" s="73"/>
      <c r="S118" s="74"/>
      <c r="T118" s="112"/>
      <c r="U118" s="113"/>
      <c r="V118" s="74"/>
      <c r="W118" s="74"/>
      <c r="X118" s="114"/>
      <c r="Y118" s="74"/>
      <c r="Z118" s="74"/>
      <c r="AA118" s="74"/>
      <c r="AB118" s="74"/>
      <c r="AC118" s="74"/>
      <c r="AD118" s="74"/>
      <c r="AE118" s="74"/>
    </row>
    <row r="119" spans="1:31" s="63" customFormat="1" ht="11.25" x14ac:dyDescent="0.3">
      <c r="A119" s="67"/>
      <c r="B119" s="84"/>
      <c r="C119" s="67"/>
      <c r="D119" s="70"/>
      <c r="E119" s="70"/>
      <c r="F119" s="70"/>
      <c r="G119" s="70"/>
      <c r="H119" s="70"/>
      <c r="I119" s="70"/>
      <c r="J119" s="70"/>
      <c r="K119" s="70"/>
      <c r="L119" s="70"/>
      <c r="M119" s="67"/>
      <c r="N119" s="85"/>
      <c r="O119" s="85"/>
      <c r="P119" s="86"/>
      <c r="Q119" s="70"/>
      <c r="R119" s="73"/>
      <c r="T119" s="87"/>
      <c r="V119" s="74"/>
      <c r="W119" s="74"/>
      <c r="X119" s="64"/>
      <c r="Y119" s="74"/>
      <c r="Z119" s="74"/>
      <c r="AA119" s="74"/>
      <c r="AB119" s="74"/>
      <c r="AC119" s="74"/>
      <c r="AD119" s="74"/>
      <c r="AE119" s="74"/>
    </row>
    <row r="120" spans="1:31" s="63" customFormat="1" ht="11.25" x14ac:dyDescent="0.3">
      <c r="A120" s="55" t="s">
        <v>911</v>
      </c>
      <c r="B120" s="56" t="s">
        <v>912</v>
      </c>
      <c r="C120" s="55"/>
      <c r="D120" s="57"/>
      <c r="E120" s="57"/>
      <c r="F120" s="57"/>
      <c r="G120" s="57"/>
      <c r="H120" s="57"/>
      <c r="I120" s="57"/>
      <c r="J120" s="57"/>
      <c r="K120" s="57"/>
      <c r="L120" s="57"/>
      <c r="M120" s="58"/>
      <c r="N120" s="59"/>
      <c r="O120" s="59"/>
      <c r="P120" s="60"/>
      <c r="Q120" s="57"/>
      <c r="R120" s="61"/>
      <c r="T120" s="87"/>
      <c r="V120" s="74"/>
      <c r="W120" s="74"/>
      <c r="X120" s="64"/>
      <c r="Y120" s="74"/>
      <c r="Z120" s="74"/>
      <c r="AA120" s="74"/>
      <c r="AB120" s="74"/>
      <c r="AC120" s="74"/>
      <c r="AD120" s="74"/>
      <c r="AE120" s="74"/>
    </row>
    <row r="121" spans="1:31" s="44" customFormat="1" ht="11.25" x14ac:dyDescent="0.3">
      <c r="A121" s="100"/>
      <c r="B121" s="101" t="s">
        <v>871</v>
      </c>
      <c r="C121" s="100"/>
      <c r="D121" s="102"/>
      <c r="E121" s="102"/>
      <c r="F121" s="102"/>
      <c r="G121" s="102"/>
      <c r="H121" s="102"/>
      <c r="I121" s="102"/>
      <c r="J121" s="102"/>
      <c r="K121" s="102"/>
      <c r="L121" s="102"/>
      <c r="M121" s="103"/>
      <c r="N121" s="104"/>
      <c r="O121" s="104"/>
      <c r="P121" s="105"/>
      <c r="Q121" s="102"/>
      <c r="R121" s="106"/>
      <c r="S121" s="63"/>
      <c r="T121" s="88"/>
      <c r="V121" s="74"/>
      <c r="W121" s="74"/>
      <c r="X121" s="89"/>
      <c r="Y121" s="74"/>
      <c r="Z121" s="74"/>
      <c r="AA121" s="74"/>
      <c r="AB121" s="74"/>
      <c r="AC121" s="74"/>
      <c r="AD121" s="74"/>
      <c r="AE121" s="74"/>
    </row>
    <row r="122" spans="1:31" s="63" customFormat="1" ht="12" x14ac:dyDescent="0.3">
      <c r="A122" s="125" t="s">
        <v>913</v>
      </c>
      <c r="B122" s="84" t="s">
        <v>914</v>
      </c>
      <c r="C122" s="67" t="s">
        <v>915</v>
      </c>
      <c r="D122" s="107">
        <v>376.5</v>
      </c>
      <c r="E122" s="107">
        <v>6.1</v>
      </c>
      <c r="F122" s="70">
        <f>E122-1.013</f>
        <v>5.0869999999999997</v>
      </c>
      <c r="G122" s="107">
        <v>121.1</v>
      </c>
      <c r="H122" s="107">
        <v>419.4</v>
      </c>
      <c r="I122" s="107">
        <v>15.5</v>
      </c>
      <c r="J122" s="70" t="s">
        <v>916</v>
      </c>
      <c r="K122" s="107">
        <v>148.9</v>
      </c>
      <c r="L122" s="79" t="s">
        <v>813</v>
      </c>
      <c r="M122" s="109" t="s">
        <v>768</v>
      </c>
      <c r="N122" s="110">
        <v>600</v>
      </c>
      <c r="O122" s="111" t="s">
        <v>880</v>
      </c>
      <c r="P122" s="70"/>
      <c r="Q122" s="121">
        <v>2.25</v>
      </c>
      <c r="R122" s="73"/>
      <c r="S122" s="74"/>
      <c r="T122" s="112"/>
      <c r="U122" s="113"/>
      <c r="V122" s="74"/>
      <c r="W122" s="74"/>
      <c r="X122" s="114"/>
      <c r="Y122" s="74"/>
      <c r="Z122" s="74"/>
      <c r="AA122" s="74"/>
      <c r="AB122" s="74"/>
      <c r="AC122" s="74"/>
      <c r="AD122" s="74"/>
      <c r="AE122" s="74"/>
    </row>
    <row r="123" spans="1:31" s="63" customFormat="1" ht="12" x14ac:dyDescent="0.3">
      <c r="A123" s="125" t="s">
        <v>917</v>
      </c>
      <c r="B123" s="84" t="s">
        <v>918</v>
      </c>
      <c r="C123" s="67" t="s">
        <v>915</v>
      </c>
      <c r="D123" s="107">
        <v>376.5</v>
      </c>
      <c r="E123" s="107">
        <v>6.1</v>
      </c>
      <c r="F123" s="70">
        <f>E123-1.013</f>
        <v>5.0869999999999997</v>
      </c>
      <c r="G123" s="107">
        <v>121.1</v>
      </c>
      <c r="H123" s="107">
        <v>419.4</v>
      </c>
      <c r="I123" s="107">
        <v>15.5</v>
      </c>
      <c r="J123" s="70" t="s">
        <v>916</v>
      </c>
      <c r="K123" s="107">
        <v>148.9</v>
      </c>
      <c r="L123" s="79" t="s">
        <v>813</v>
      </c>
      <c r="M123" s="109" t="s">
        <v>768</v>
      </c>
      <c r="N123" s="110">
        <v>450</v>
      </c>
      <c r="O123" s="111" t="s">
        <v>880</v>
      </c>
      <c r="P123" s="70"/>
      <c r="Q123" s="107">
        <v>3</v>
      </c>
      <c r="R123" s="73"/>
      <c r="S123" s="74"/>
      <c r="T123" s="112"/>
      <c r="U123" s="113"/>
      <c r="V123" s="74"/>
      <c r="W123" s="74"/>
      <c r="X123" s="114"/>
      <c r="Y123" s="74"/>
      <c r="Z123" s="74"/>
      <c r="AA123" s="74"/>
      <c r="AB123" s="74"/>
      <c r="AC123" s="74"/>
      <c r="AD123" s="74"/>
      <c r="AE123" s="74"/>
    </row>
    <row r="124" spans="1:31" s="63" customFormat="1" ht="12" x14ac:dyDescent="0.3">
      <c r="A124" s="67">
        <v>2</v>
      </c>
      <c r="B124" s="84" t="s">
        <v>919</v>
      </c>
      <c r="C124" s="67" t="s">
        <v>920</v>
      </c>
      <c r="D124" s="107">
        <v>376.5</v>
      </c>
      <c r="E124" s="107">
        <v>6.1</v>
      </c>
      <c r="F124" s="70">
        <f t="shared" ref="F124:F129" si="9">E124-1.013</f>
        <v>5.0869999999999997</v>
      </c>
      <c r="G124" s="107">
        <v>57</v>
      </c>
      <c r="H124" s="107">
        <v>419.4</v>
      </c>
      <c r="I124" s="107">
        <v>15.5</v>
      </c>
      <c r="J124" s="70" t="s">
        <v>916</v>
      </c>
      <c r="K124" s="107">
        <v>65</v>
      </c>
      <c r="L124" s="79" t="s">
        <v>813</v>
      </c>
      <c r="M124" s="109" t="s">
        <v>768</v>
      </c>
      <c r="N124" s="110">
        <v>450</v>
      </c>
      <c r="O124" s="111" t="s">
        <v>880</v>
      </c>
      <c r="P124" s="70"/>
      <c r="Q124" s="107">
        <v>3</v>
      </c>
      <c r="R124" s="73"/>
      <c r="S124" s="74"/>
      <c r="T124" s="112"/>
      <c r="U124" s="113"/>
      <c r="V124" s="74"/>
      <c r="W124" s="74"/>
      <c r="X124" s="114"/>
      <c r="Y124" s="74"/>
      <c r="Z124" s="74"/>
      <c r="AA124" s="74"/>
      <c r="AB124" s="74"/>
      <c r="AC124" s="74"/>
      <c r="AD124" s="74"/>
      <c r="AE124" s="74"/>
    </row>
    <row r="125" spans="1:31" s="63" customFormat="1" ht="12" x14ac:dyDescent="0.3">
      <c r="A125" s="67">
        <v>3</v>
      </c>
      <c r="B125" s="84" t="s">
        <v>921</v>
      </c>
      <c r="C125" s="67" t="s">
        <v>922</v>
      </c>
      <c r="D125" s="107">
        <v>376.5</v>
      </c>
      <c r="E125" s="107">
        <v>3</v>
      </c>
      <c r="F125" s="70">
        <f t="shared" si="9"/>
        <v>1.9870000000000001</v>
      </c>
      <c r="G125" s="107">
        <v>57</v>
      </c>
      <c r="H125" s="107">
        <v>376.5</v>
      </c>
      <c r="I125" s="107">
        <v>4</v>
      </c>
      <c r="J125" s="70">
        <f>I125-1.013</f>
        <v>2.9870000000000001</v>
      </c>
      <c r="K125" s="107">
        <v>65</v>
      </c>
      <c r="L125" s="79" t="s">
        <v>813</v>
      </c>
      <c r="M125" s="109" t="s">
        <v>768</v>
      </c>
      <c r="N125" s="110">
        <v>650</v>
      </c>
      <c r="O125" s="111" t="s">
        <v>880</v>
      </c>
      <c r="P125" s="70"/>
      <c r="Q125" s="107">
        <v>1.5</v>
      </c>
      <c r="R125" s="73"/>
      <c r="S125" s="74"/>
      <c r="T125" s="112"/>
      <c r="U125" s="113"/>
      <c r="V125" s="74"/>
      <c r="W125" s="74"/>
      <c r="X125" s="114"/>
      <c r="Y125" s="74"/>
      <c r="Z125" s="74"/>
      <c r="AA125" s="74"/>
      <c r="AB125" s="74"/>
      <c r="AC125" s="74"/>
      <c r="AD125" s="74"/>
      <c r="AE125" s="74"/>
    </row>
    <row r="126" spans="1:31" s="63" customFormat="1" ht="12" x14ac:dyDescent="0.3">
      <c r="A126" s="67">
        <v>4</v>
      </c>
      <c r="B126" s="84" t="s">
        <v>923</v>
      </c>
      <c r="C126" s="67" t="s">
        <v>924</v>
      </c>
      <c r="D126" s="107">
        <v>376.5</v>
      </c>
      <c r="E126" s="107">
        <v>20.7</v>
      </c>
      <c r="F126" s="70">
        <f t="shared" si="9"/>
        <v>19.686999999999998</v>
      </c>
      <c r="G126" s="107">
        <v>57</v>
      </c>
      <c r="H126" s="107">
        <v>376.5</v>
      </c>
      <c r="I126" s="107">
        <v>27</v>
      </c>
      <c r="J126" s="70">
        <f>I126-1.013</f>
        <v>25.987000000000002</v>
      </c>
      <c r="K126" s="107">
        <v>65</v>
      </c>
      <c r="L126" s="108" t="s">
        <v>875</v>
      </c>
      <c r="M126" s="109" t="s">
        <v>768</v>
      </c>
      <c r="N126" s="110">
        <v>450</v>
      </c>
      <c r="O126" s="111" t="s">
        <v>880</v>
      </c>
      <c r="P126" s="70"/>
      <c r="Q126" s="107">
        <v>3</v>
      </c>
      <c r="R126" s="73"/>
      <c r="S126" s="74"/>
      <c r="T126" s="112"/>
      <c r="U126" s="113"/>
      <c r="V126" s="74"/>
      <c r="W126" s="74"/>
      <c r="X126" s="114"/>
      <c r="Y126" s="74"/>
      <c r="Z126" s="74"/>
      <c r="AA126" s="74"/>
      <c r="AB126" s="74"/>
      <c r="AC126" s="74"/>
      <c r="AD126" s="74"/>
      <c r="AE126" s="74"/>
    </row>
    <row r="127" spans="1:31" s="63" customFormat="1" ht="12" x14ac:dyDescent="0.3">
      <c r="A127" s="67">
        <v>5</v>
      </c>
      <c r="B127" s="84" t="s">
        <v>925</v>
      </c>
      <c r="C127" s="67" t="s">
        <v>926</v>
      </c>
      <c r="D127" s="107">
        <v>376.5</v>
      </c>
      <c r="E127" s="107">
        <v>20.7</v>
      </c>
      <c r="F127" s="70">
        <f t="shared" si="9"/>
        <v>19.686999999999998</v>
      </c>
      <c r="G127" s="107">
        <v>54</v>
      </c>
      <c r="H127" s="107">
        <v>376.5</v>
      </c>
      <c r="I127" s="107">
        <v>27</v>
      </c>
      <c r="J127" s="70">
        <f>I127-1.013</f>
        <v>25.987000000000002</v>
      </c>
      <c r="K127" s="107">
        <v>60</v>
      </c>
      <c r="L127" s="108" t="s">
        <v>875</v>
      </c>
      <c r="M127" s="109" t="s">
        <v>768</v>
      </c>
      <c r="N127" s="110">
        <v>450</v>
      </c>
      <c r="O127" s="111" t="s">
        <v>880</v>
      </c>
      <c r="P127" s="70"/>
      <c r="Q127" s="107">
        <v>3</v>
      </c>
      <c r="R127" s="73"/>
      <c r="S127" s="74"/>
      <c r="T127" s="112"/>
      <c r="U127" s="113"/>
      <c r="V127" s="74"/>
      <c r="W127" s="74"/>
      <c r="X127" s="114"/>
      <c r="Y127" s="74"/>
      <c r="Z127" s="74"/>
      <c r="AA127" s="74"/>
      <c r="AB127" s="74"/>
      <c r="AC127" s="74"/>
      <c r="AD127" s="74"/>
      <c r="AE127" s="74"/>
    </row>
    <row r="128" spans="1:31" s="63" customFormat="1" ht="12" x14ac:dyDescent="0.3">
      <c r="A128" s="67">
        <v>6</v>
      </c>
      <c r="B128" s="84" t="s">
        <v>927</v>
      </c>
      <c r="C128" s="67" t="s">
        <v>926</v>
      </c>
      <c r="D128" s="107">
        <v>400.9</v>
      </c>
      <c r="E128" s="107">
        <v>20.7</v>
      </c>
      <c r="F128" s="70">
        <f t="shared" si="9"/>
        <v>19.686999999999998</v>
      </c>
      <c r="G128" s="107">
        <v>54</v>
      </c>
      <c r="H128" s="107">
        <v>400.9</v>
      </c>
      <c r="I128" s="107">
        <v>27</v>
      </c>
      <c r="J128" s="70">
        <f>I128-1.013</f>
        <v>25.987000000000002</v>
      </c>
      <c r="K128" s="107">
        <v>60</v>
      </c>
      <c r="L128" s="108" t="s">
        <v>875</v>
      </c>
      <c r="M128" s="109" t="s">
        <v>768</v>
      </c>
      <c r="N128" s="110">
        <v>450</v>
      </c>
      <c r="O128" s="111" t="s">
        <v>880</v>
      </c>
      <c r="P128" s="70"/>
      <c r="Q128" s="107">
        <v>3</v>
      </c>
      <c r="R128" s="73"/>
      <c r="S128" s="75"/>
      <c r="T128" s="126"/>
      <c r="U128" s="127"/>
      <c r="V128" s="74"/>
      <c r="W128" s="74"/>
      <c r="X128" s="128"/>
      <c r="Y128" s="74"/>
      <c r="Z128" s="74"/>
      <c r="AA128" s="74"/>
      <c r="AB128" s="74"/>
      <c r="AC128" s="74"/>
      <c r="AD128" s="74"/>
      <c r="AE128" s="74"/>
    </row>
    <row r="129" spans="1:31" s="63" customFormat="1" ht="12" x14ac:dyDescent="0.3">
      <c r="A129" s="67">
        <v>7</v>
      </c>
      <c r="B129" s="84" t="s">
        <v>928</v>
      </c>
      <c r="C129" s="67" t="s">
        <v>882</v>
      </c>
      <c r="D129" s="107">
        <v>400.9</v>
      </c>
      <c r="E129" s="107">
        <v>20.7</v>
      </c>
      <c r="F129" s="70">
        <f t="shared" si="9"/>
        <v>19.686999999999998</v>
      </c>
      <c r="G129" s="107">
        <v>102.4</v>
      </c>
      <c r="H129" s="107">
        <v>400.9</v>
      </c>
      <c r="I129" s="107">
        <v>27</v>
      </c>
      <c r="J129" s="70">
        <f>I129-1.013</f>
        <v>25.987000000000002</v>
      </c>
      <c r="K129" s="107">
        <v>110</v>
      </c>
      <c r="L129" s="108" t="s">
        <v>875</v>
      </c>
      <c r="M129" s="109" t="s">
        <v>768</v>
      </c>
      <c r="N129" s="110">
        <v>450</v>
      </c>
      <c r="O129" s="111" t="s">
        <v>880</v>
      </c>
      <c r="P129" s="70"/>
      <c r="Q129" s="107">
        <v>3</v>
      </c>
      <c r="R129" s="73"/>
      <c r="S129" s="75"/>
      <c r="T129" s="126"/>
      <c r="U129" s="127"/>
      <c r="V129" s="74"/>
      <c r="W129" s="74"/>
      <c r="X129" s="128"/>
      <c r="Y129" s="74"/>
      <c r="Z129" s="74"/>
      <c r="AA129" s="74"/>
      <c r="AB129" s="74"/>
      <c r="AC129" s="74"/>
      <c r="AD129" s="74"/>
      <c r="AE129" s="74"/>
    </row>
    <row r="130" spans="1:31" s="63" customFormat="1" ht="12" x14ac:dyDescent="0.3">
      <c r="A130" s="67"/>
      <c r="B130" s="84"/>
      <c r="C130" s="67"/>
      <c r="D130" s="70"/>
      <c r="E130" s="70"/>
      <c r="F130" s="70"/>
      <c r="G130" s="70"/>
      <c r="H130" s="70"/>
      <c r="I130" s="70"/>
      <c r="J130" s="70"/>
      <c r="K130" s="70"/>
      <c r="L130" s="67"/>
      <c r="M130" s="67"/>
      <c r="N130" s="85"/>
      <c r="O130" s="116"/>
      <c r="P130" s="70"/>
      <c r="Q130" s="70"/>
      <c r="R130" s="73"/>
      <c r="S130" s="75"/>
      <c r="T130" s="126"/>
      <c r="U130" s="127"/>
      <c r="V130" s="74"/>
      <c r="W130" s="74"/>
      <c r="X130" s="128"/>
      <c r="Y130" s="74"/>
      <c r="Z130" s="74"/>
      <c r="AA130" s="74"/>
      <c r="AB130" s="74"/>
      <c r="AC130" s="74"/>
      <c r="AD130" s="74"/>
      <c r="AE130" s="74"/>
    </row>
    <row r="131" spans="1:31" s="63" customFormat="1" ht="12" x14ac:dyDescent="0.3">
      <c r="A131" s="100"/>
      <c r="B131" s="101" t="s">
        <v>885</v>
      </c>
      <c r="C131" s="100"/>
      <c r="D131" s="102"/>
      <c r="E131" s="102"/>
      <c r="F131" s="102"/>
      <c r="G131" s="102"/>
      <c r="H131" s="102"/>
      <c r="I131" s="102"/>
      <c r="J131" s="102"/>
      <c r="K131" s="102"/>
      <c r="L131" s="102"/>
      <c r="M131" s="103"/>
      <c r="N131" s="104"/>
      <c r="O131" s="104"/>
      <c r="P131" s="105"/>
      <c r="Q131" s="102"/>
      <c r="R131" s="106"/>
      <c r="S131" s="75"/>
      <c r="T131" s="126"/>
      <c r="U131" s="127"/>
      <c r="V131" s="74"/>
      <c r="W131" s="74"/>
      <c r="X131" s="128"/>
      <c r="Y131" s="74"/>
      <c r="Z131" s="74"/>
      <c r="AA131" s="74"/>
      <c r="AB131" s="74"/>
      <c r="AC131" s="74"/>
      <c r="AD131" s="74"/>
      <c r="AE131" s="74"/>
    </row>
    <row r="132" spans="1:31" s="63" customFormat="1" ht="13.15" customHeight="1" x14ac:dyDescent="0.3">
      <c r="A132" s="67">
        <v>1</v>
      </c>
      <c r="B132" s="117" t="s">
        <v>929</v>
      </c>
      <c r="C132" s="67" t="s">
        <v>924</v>
      </c>
      <c r="D132" s="123">
        <v>94.2</v>
      </c>
      <c r="E132" s="107">
        <v>19.8</v>
      </c>
      <c r="F132" s="70">
        <f>E132-1.013</f>
        <v>18.786999999999999</v>
      </c>
      <c r="G132" s="107">
        <v>57</v>
      </c>
      <c r="H132" s="123">
        <v>98.8</v>
      </c>
      <c r="I132" s="107">
        <v>27</v>
      </c>
      <c r="J132" s="70">
        <f>I132-1.013</f>
        <v>25.987000000000002</v>
      </c>
      <c r="K132" s="107">
        <v>65</v>
      </c>
      <c r="L132" s="108" t="s">
        <v>875</v>
      </c>
      <c r="M132" s="109" t="s">
        <v>768</v>
      </c>
      <c r="N132" s="110">
        <v>250</v>
      </c>
      <c r="O132" s="111">
        <v>40</v>
      </c>
      <c r="P132" s="70"/>
      <c r="Q132" s="107">
        <v>3</v>
      </c>
      <c r="R132" s="73"/>
      <c r="S132" s="75"/>
      <c r="T132" s="126"/>
      <c r="U132" s="127"/>
      <c r="V132" s="74"/>
      <c r="W132" s="74"/>
      <c r="X132" s="128"/>
      <c r="Y132" s="74"/>
      <c r="Z132" s="74"/>
      <c r="AA132" s="74"/>
      <c r="AB132" s="74"/>
      <c r="AC132" s="74"/>
      <c r="AD132" s="74"/>
      <c r="AE132" s="74"/>
    </row>
    <row r="133" spans="1:31" s="63" customFormat="1" ht="13.15" customHeight="1" x14ac:dyDescent="0.3">
      <c r="A133" s="67">
        <v>2</v>
      </c>
      <c r="B133" s="129" t="s">
        <v>930</v>
      </c>
      <c r="C133" s="119" t="s">
        <v>931</v>
      </c>
      <c r="D133" s="107">
        <v>39.9</v>
      </c>
      <c r="E133" s="123" t="s">
        <v>907</v>
      </c>
      <c r="F133" s="130" t="s">
        <v>907</v>
      </c>
      <c r="G133" s="123" t="s">
        <v>907</v>
      </c>
      <c r="H133" s="107">
        <v>39.9</v>
      </c>
      <c r="I133" s="123" t="s">
        <v>907</v>
      </c>
      <c r="J133" s="130" t="s">
        <v>907</v>
      </c>
      <c r="K133" s="123" t="s">
        <v>907</v>
      </c>
      <c r="L133" s="108" t="s">
        <v>932</v>
      </c>
      <c r="M133" s="109" t="s">
        <v>933</v>
      </c>
      <c r="N133" s="110">
        <v>150</v>
      </c>
      <c r="O133" s="111">
        <v>40</v>
      </c>
      <c r="P133" s="70"/>
      <c r="Q133" s="107">
        <v>3</v>
      </c>
      <c r="R133" s="73"/>
      <c r="T133" s="87"/>
      <c r="V133" s="74"/>
      <c r="W133" s="74"/>
      <c r="X133" s="64"/>
      <c r="Y133" s="74"/>
      <c r="Z133" s="74"/>
      <c r="AA133" s="74"/>
      <c r="AB133" s="74"/>
      <c r="AC133" s="74"/>
      <c r="AD133" s="74"/>
      <c r="AE133" s="74"/>
    </row>
    <row r="134" spans="1:31" s="63" customFormat="1" ht="13.15" customHeight="1" x14ac:dyDescent="0.3">
      <c r="A134" s="67">
        <v>3</v>
      </c>
      <c r="B134" s="124" t="s">
        <v>906</v>
      </c>
      <c r="C134" s="67" t="s">
        <v>926</v>
      </c>
      <c r="D134" s="123" t="s">
        <v>907</v>
      </c>
      <c r="E134" s="107">
        <v>19.8</v>
      </c>
      <c r="F134" s="70">
        <f>E134-1.013</f>
        <v>18.786999999999999</v>
      </c>
      <c r="G134" s="107">
        <v>54</v>
      </c>
      <c r="H134" s="123" t="s">
        <v>907</v>
      </c>
      <c r="I134" s="107">
        <v>27</v>
      </c>
      <c r="J134" s="70">
        <v>17</v>
      </c>
      <c r="K134" s="107">
        <v>60</v>
      </c>
      <c r="L134" s="108" t="s">
        <v>875</v>
      </c>
      <c r="M134" s="109" t="s">
        <v>768</v>
      </c>
      <c r="N134" s="110">
        <v>25</v>
      </c>
      <c r="O134" s="111">
        <v>40</v>
      </c>
      <c r="P134" s="70"/>
      <c r="Q134" s="107">
        <v>3</v>
      </c>
      <c r="R134" s="73"/>
      <c r="T134" s="87"/>
      <c r="V134" s="74"/>
      <c r="W134" s="74"/>
      <c r="X134" s="64"/>
      <c r="Y134" s="74"/>
      <c r="Z134" s="74"/>
      <c r="AA134" s="74"/>
      <c r="AB134" s="74"/>
      <c r="AC134" s="74"/>
      <c r="AD134" s="74"/>
      <c r="AE134" s="74"/>
    </row>
    <row r="135" spans="1:31" s="63" customFormat="1" ht="13.15" customHeight="1" x14ac:dyDescent="0.3">
      <c r="A135" s="67">
        <v>4</v>
      </c>
      <c r="B135" s="124" t="s">
        <v>908</v>
      </c>
      <c r="C135" s="67" t="s">
        <v>926</v>
      </c>
      <c r="D135" s="123" t="s">
        <v>907</v>
      </c>
      <c r="E135" s="107">
        <v>19.8</v>
      </c>
      <c r="F135" s="70">
        <f>E135-1.013</f>
        <v>18.786999999999999</v>
      </c>
      <c r="G135" s="107">
        <v>54</v>
      </c>
      <c r="H135" s="123" t="s">
        <v>907</v>
      </c>
      <c r="I135" s="107">
        <v>27</v>
      </c>
      <c r="J135" s="70">
        <v>17</v>
      </c>
      <c r="K135" s="107">
        <v>60</v>
      </c>
      <c r="L135" s="108" t="s">
        <v>875</v>
      </c>
      <c r="M135" s="109" t="s">
        <v>768</v>
      </c>
      <c r="N135" s="110">
        <v>25</v>
      </c>
      <c r="O135" s="111">
        <v>40</v>
      </c>
      <c r="P135" s="70"/>
      <c r="Q135" s="107">
        <v>3</v>
      </c>
      <c r="R135" s="73"/>
      <c r="T135" s="87"/>
      <c r="V135" s="74"/>
      <c r="W135" s="74"/>
      <c r="X135" s="64"/>
      <c r="Y135" s="74"/>
      <c r="Z135" s="74"/>
      <c r="AA135" s="74"/>
      <c r="AB135" s="74"/>
      <c r="AC135" s="74"/>
      <c r="AD135" s="74"/>
      <c r="AE135" s="74"/>
    </row>
    <row r="136" spans="1:31" s="63" customFormat="1" ht="13.15" customHeight="1" x14ac:dyDescent="0.3">
      <c r="A136" s="67">
        <v>5</v>
      </c>
      <c r="B136" s="124" t="s">
        <v>910</v>
      </c>
      <c r="C136" s="67" t="s">
        <v>926</v>
      </c>
      <c r="D136" s="123" t="s">
        <v>907</v>
      </c>
      <c r="E136" s="107">
        <v>19.8</v>
      </c>
      <c r="F136" s="70">
        <f>E136-1.013</f>
        <v>18.786999999999999</v>
      </c>
      <c r="G136" s="107">
        <v>54</v>
      </c>
      <c r="H136" s="123" t="s">
        <v>907</v>
      </c>
      <c r="I136" s="107">
        <v>27</v>
      </c>
      <c r="J136" s="70">
        <f>I136-1.013</f>
        <v>25.987000000000002</v>
      </c>
      <c r="K136" s="107">
        <v>60</v>
      </c>
      <c r="L136" s="108" t="s">
        <v>875</v>
      </c>
      <c r="M136" s="109" t="s">
        <v>768</v>
      </c>
      <c r="N136" s="110">
        <v>25</v>
      </c>
      <c r="O136" s="111">
        <v>40</v>
      </c>
      <c r="P136" s="70"/>
      <c r="Q136" s="107">
        <v>3</v>
      </c>
      <c r="R136" s="73"/>
      <c r="T136" s="87"/>
      <c r="V136" s="74"/>
      <c r="W136" s="74"/>
      <c r="X136" s="64"/>
      <c r="Y136" s="74"/>
      <c r="Z136" s="74"/>
      <c r="AA136" s="74"/>
      <c r="AB136" s="74"/>
      <c r="AC136" s="74"/>
      <c r="AD136" s="74"/>
      <c r="AE136" s="74"/>
    </row>
    <row r="137" spans="1:31" s="63" customFormat="1" ht="13.15" customHeight="1" x14ac:dyDescent="0.3">
      <c r="A137" s="131"/>
      <c r="B137" s="117"/>
      <c r="C137" s="119"/>
      <c r="D137" s="70"/>
      <c r="E137" s="70"/>
      <c r="F137" s="70"/>
      <c r="G137" s="70"/>
      <c r="H137" s="70"/>
      <c r="I137" s="70"/>
      <c r="J137" s="70"/>
      <c r="K137" s="70"/>
      <c r="L137" s="67"/>
      <c r="M137" s="67"/>
      <c r="N137" s="85"/>
      <c r="O137" s="116"/>
      <c r="P137" s="70"/>
      <c r="Q137" s="70"/>
      <c r="R137" s="73"/>
      <c r="T137" s="87"/>
      <c r="V137" s="74"/>
      <c r="W137" s="74"/>
      <c r="X137" s="64"/>
      <c r="Y137" s="74"/>
      <c r="Z137" s="74"/>
      <c r="AA137" s="74"/>
      <c r="AB137" s="74"/>
      <c r="AC137" s="74"/>
      <c r="AD137" s="74"/>
      <c r="AE137" s="74"/>
    </row>
    <row r="138" spans="1:31" s="63" customFormat="1" ht="13.15" customHeight="1" x14ac:dyDescent="0.3">
      <c r="A138" s="55" t="s">
        <v>934</v>
      </c>
      <c r="B138" s="56" t="s">
        <v>935</v>
      </c>
      <c r="C138" s="55"/>
      <c r="D138" s="57"/>
      <c r="E138" s="57"/>
      <c r="F138" s="57"/>
      <c r="G138" s="57"/>
      <c r="H138" s="57"/>
      <c r="I138" s="57"/>
      <c r="J138" s="57"/>
      <c r="K138" s="57"/>
      <c r="L138" s="57"/>
      <c r="M138" s="58"/>
      <c r="N138" s="59"/>
      <c r="O138" s="59"/>
      <c r="P138" s="60"/>
      <c r="Q138" s="57"/>
      <c r="R138" s="61"/>
      <c r="T138" s="87"/>
      <c r="V138" s="74"/>
      <c r="W138" s="74"/>
      <c r="X138" s="64"/>
      <c r="Y138" s="74"/>
      <c r="Z138" s="74"/>
      <c r="AA138" s="74"/>
      <c r="AB138" s="74"/>
      <c r="AC138" s="74"/>
      <c r="AD138" s="74"/>
      <c r="AE138" s="74"/>
    </row>
    <row r="139" spans="1:31" s="44" customFormat="1" ht="11.25" x14ac:dyDescent="0.3">
      <c r="A139" s="67">
        <v>1</v>
      </c>
      <c r="B139" s="84" t="s">
        <v>936</v>
      </c>
      <c r="C139" s="67" t="s">
        <v>937</v>
      </c>
      <c r="D139" s="132">
        <v>39.838000000000001</v>
      </c>
      <c r="E139" s="132">
        <v>56.171056</v>
      </c>
      <c r="F139" s="70">
        <v>55.158056000000002</v>
      </c>
      <c r="G139" s="132">
        <v>54.444444444444443</v>
      </c>
      <c r="H139" s="132">
        <v>39.838000000000001</v>
      </c>
      <c r="I139" s="132">
        <v>87.886938200000003</v>
      </c>
      <c r="J139" s="70">
        <v>86.873938199999998</v>
      </c>
      <c r="K139" s="132">
        <v>87.777777777777771</v>
      </c>
      <c r="L139" s="70" t="s">
        <v>938</v>
      </c>
      <c r="M139" s="67" t="s">
        <v>768</v>
      </c>
      <c r="N139" s="85">
        <v>300</v>
      </c>
      <c r="O139" s="85" t="s">
        <v>939</v>
      </c>
      <c r="P139" s="86">
        <v>15.076015191352612</v>
      </c>
      <c r="Q139" s="70">
        <v>25</v>
      </c>
      <c r="R139" s="133"/>
      <c r="T139" s="88"/>
      <c r="V139" s="74"/>
      <c r="W139" s="74"/>
      <c r="X139" s="89"/>
      <c r="Y139" s="74"/>
      <c r="Z139" s="74"/>
      <c r="AA139" s="74"/>
      <c r="AB139" s="74"/>
      <c r="AC139" s="74"/>
      <c r="AD139" s="74"/>
      <c r="AE139" s="74"/>
    </row>
    <row r="140" spans="1:31" s="63" customFormat="1" ht="12" x14ac:dyDescent="0.3">
      <c r="A140" s="67">
        <v>2</v>
      </c>
      <c r="B140" s="84" t="s">
        <v>940</v>
      </c>
      <c r="C140" s="67" t="s">
        <v>937</v>
      </c>
      <c r="D140" s="132"/>
      <c r="E140" s="132">
        <v>68.581618599999999</v>
      </c>
      <c r="F140" s="70">
        <v>67.568618599999994</v>
      </c>
      <c r="G140" s="132">
        <v>60</v>
      </c>
      <c r="H140" s="132"/>
      <c r="I140" s="132">
        <v>87.886938200000003</v>
      </c>
      <c r="J140" s="70">
        <v>86.873938199999998</v>
      </c>
      <c r="K140" s="132">
        <v>87.777777777777771</v>
      </c>
      <c r="L140" s="70" t="s">
        <v>938</v>
      </c>
      <c r="M140" s="67" t="s">
        <v>768</v>
      </c>
      <c r="N140" s="85">
        <v>350</v>
      </c>
      <c r="O140" s="85" t="s">
        <v>939</v>
      </c>
      <c r="P140" s="86">
        <v>16.372538708735025</v>
      </c>
      <c r="Q140" s="70">
        <v>25</v>
      </c>
      <c r="R140" s="73"/>
      <c r="S140" s="74">
        <v>25</v>
      </c>
      <c r="T140" s="112">
        <v>23.936212294080292</v>
      </c>
      <c r="U140" s="113" t="str">
        <f t="shared" ref="U140:U152" si="10">V140&amp;W140&amp;X140</f>
        <v>FB3</v>
      </c>
      <c r="V140" s="74" t="s">
        <v>771</v>
      </c>
      <c r="W140" s="74" t="s">
        <v>756</v>
      </c>
      <c r="X140" s="114">
        <v>3</v>
      </c>
      <c r="Y140" s="74">
        <v>1.6</v>
      </c>
      <c r="Z140" s="74">
        <v>17.270000000000003</v>
      </c>
      <c r="AA140" s="74" t="s">
        <v>941</v>
      </c>
      <c r="AB140" s="74">
        <v>21.44</v>
      </c>
      <c r="AC140" s="74" t="s">
        <v>14</v>
      </c>
      <c r="AD140" s="74" t="s">
        <v>15</v>
      </c>
      <c r="AE140" s="74" t="s">
        <v>16</v>
      </c>
    </row>
    <row r="141" spans="1:31" s="63" customFormat="1" ht="12" x14ac:dyDescent="0.3">
      <c r="A141" s="67">
        <v>3</v>
      </c>
      <c r="B141" s="84" t="s">
        <v>942</v>
      </c>
      <c r="C141" s="67" t="s">
        <v>937</v>
      </c>
      <c r="D141" s="132">
        <v>13.279333333333334</v>
      </c>
      <c r="E141" s="132">
        <v>56.171056</v>
      </c>
      <c r="F141" s="70">
        <v>55.158056000000002</v>
      </c>
      <c r="G141" s="132">
        <v>54.444444444444443</v>
      </c>
      <c r="H141" s="132">
        <v>13.279333333333334</v>
      </c>
      <c r="I141" s="132">
        <v>87.886938200000003</v>
      </c>
      <c r="J141" s="70">
        <v>86.873938199999998</v>
      </c>
      <c r="K141" s="132">
        <v>87.777777777777771</v>
      </c>
      <c r="L141" s="70" t="s">
        <v>938</v>
      </c>
      <c r="M141" s="67" t="s">
        <v>768</v>
      </c>
      <c r="N141" s="85">
        <v>200</v>
      </c>
      <c r="O141" s="85" t="s">
        <v>939</v>
      </c>
      <c r="P141" s="86">
        <v>10.789716622845457</v>
      </c>
      <c r="Q141" s="70">
        <v>25</v>
      </c>
      <c r="R141" s="73"/>
      <c r="S141" s="74">
        <v>25</v>
      </c>
      <c r="T141" s="112">
        <v>1.2449216886633929</v>
      </c>
      <c r="U141" s="113" t="str">
        <f t="shared" si="10"/>
        <v>FB3</v>
      </c>
      <c r="V141" s="74" t="s">
        <v>771</v>
      </c>
      <c r="W141" s="74" t="s">
        <v>756</v>
      </c>
      <c r="X141" s="114">
        <v>3</v>
      </c>
      <c r="Y141" s="74">
        <v>1.6</v>
      </c>
      <c r="Z141" s="74">
        <v>10.16</v>
      </c>
      <c r="AA141" s="74" t="s">
        <v>943</v>
      </c>
      <c r="AB141" s="74">
        <v>10.31</v>
      </c>
      <c r="AC141" s="74" t="s">
        <v>14</v>
      </c>
      <c r="AD141" s="74" t="s">
        <v>15</v>
      </c>
      <c r="AE141" s="74" t="s">
        <v>16</v>
      </c>
    </row>
    <row r="142" spans="1:31" s="63" customFormat="1" ht="12" x14ac:dyDescent="0.3">
      <c r="A142" s="67">
        <v>4</v>
      </c>
      <c r="B142" s="84" t="s">
        <v>944</v>
      </c>
      <c r="C142" s="67" t="s">
        <v>937</v>
      </c>
      <c r="D142" s="132">
        <v>0.23</v>
      </c>
      <c r="E142" s="132">
        <v>56.171056</v>
      </c>
      <c r="F142" s="70">
        <v>55.158056000000002</v>
      </c>
      <c r="G142" s="132">
        <v>54.444444444444443</v>
      </c>
      <c r="H142" s="132">
        <v>0.23</v>
      </c>
      <c r="I142" s="132">
        <v>87.886938200000003</v>
      </c>
      <c r="J142" s="70">
        <v>86.873938199999998</v>
      </c>
      <c r="K142" s="132">
        <v>87.777777777777771</v>
      </c>
      <c r="L142" s="70" t="s">
        <v>938</v>
      </c>
      <c r="M142" s="67" t="s">
        <v>768</v>
      </c>
      <c r="N142" s="85">
        <v>80</v>
      </c>
      <c r="O142" s="85" t="s">
        <v>945</v>
      </c>
      <c r="P142" s="86">
        <v>4.1615194985365518</v>
      </c>
      <c r="Q142" s="70">
        <v>25</v>
      </c>
      <c r="R142" s="73"/>
      <c r="S142" s="74">
        <v>25</v>
      </c>
      <c r="T142" s="112">
        <v>18.508782945402086</v>
      </c>
      <c r="U142" s="113" t="str">
        <f t="shared" si="10"/>
        <v>FB3</v>
      </c>
      <c r="V142" s="74" t="s">
        <v>771</v>
      </c>
      <c r="W142" s="74" t="s">
        <v>756</v>
      </c>
      <c r="X142" s="114">
        <v>3</v>
      </c>
      <c r="Y142" s="74">
        <v>1.6</v>
      </c>
      <c r="Z142" s="74">
        <v>17.270000000000003</v>
      </c>
      <c r="AA142" s="74" t="s">
        <v>941</v>
      </c>
      <c r="AB142" s="74">
        <v>21.44</v>
      </c>
      <c r="AC142" s="74" t="s">
        <v>14</v>
      </c>
      <c r="AD142" s="74" t="s">
        <v>15</v>
      </c>
      <c r="AE142" s="74" t="s">
        <v>16</v>
      </c>
    </row>
    <row r="143" spans="1:31" s="63" customFormat="1" ht="12" x14ac:dyDescent="0.3">
      <c r="A143" s="67">
        <v>5</v>
      </c>
      <c r="B143" s="84" t="s">
        <v>946</v>
      </c>
      <c r="C143" s="67" t="s">
        <v>947</v>
      </c>
      <c r="D143" s="132">
        <v>13.279333333333334</v>
      </c>
      <c r="E143" s="132">
        <v>35.412999999999997</v>
      </c>
      <c r="F143" s="70">
        <v>34.4</v>
      </c>
      <c r="G143" s="132">
        <v>54.444444444444443</v>
      </c>
      <c r="H143" s="132">
        <v>13.279333333333334</v>
      </c>
      <c r="I143" s="132">
        <v>39.512999999999998</v>
      </c>
      <c r="J143" s="70">
        <v>38.5</v>
      </c>
      <c r="K143" s="132">
        <v>60</v>
      </c>
      <c r="L143" s="70" t="s">
        <v>948</v>
      </c>
      <c r="M143" s="67" t="s">
        <v>768</v>
      </c>
      <c r="N143" s="85">
        <v>200</v>
      </c>
      <c r="O143" s="85" t="s">
        <v>945</v>
      </c>
      <c r="P143" s="86">
        <v>5.8642262252039767</v>
      </c>
      <c r="Q143" s="70">
        <v>25</v>
      </c>
      <c r="R143" s="73"/>
      <c r="S143" s="74">
        <v>25</v>
      </c>
      <c r="T143" s="112">
        <v>1.2449216886633929</v>
      </c>
      <c r="U143" s="113" t="str">
        <f t="shared" si="10"/>
        <v>FB3</v>
      </c>
      <c r="V143" s="74" t="s">
        <v>771</v>
      </c>
      <c r="W143" s="74" t="s">
        <v>756</v>
      </c>
      <c r="X143" s="114">
        <v>3</v>
      </c>
      <c r="Y143" s="74">
        <v>1.6</v>
      </c>
      <c r="Z143" s="74">
        <v>12.209999999999999</v>
      </c>
      <c r="AA143" s="74" t="s">
        <v>943</v>
      </c>
      <c r="AB143" s="74">
        <v>12.7</v>
      </c>
      <c r="AC143" s="74" t="s">
        <v>14</v>
      </c>
      <c r="AD143" s="74" t="s">
        <v>15</v>
      </c>
      <c r="AE143" s="74" t="s">
        <v>16</v>
      </c>
    </row>
    <row r="144" spans="1:31" s="63" customFormat="1" ht="12" x14ac:dyDescent="0.3">
      <c r="A144" s="67">
        <v>6</v>
      </c>
      <c r="B144" s="84" t="s">
        <v>949</v>
      </c>
      <c r="C144" s="67" t="s">
        <v>947</v>
      </c>
      <c r="D144" s="132">
        <v>0.23</v>
      </c>
      <c r="E144" s="132">
        <v>35.412999999999997</v>
      </c>
      <c r="F144" s="70">
        <v>34.4</v>
      </c>
      <c r="G144" s="132">
        <v>54.444444444444443</v>
      </c>
      <c r="H144" s="132">
        <v>0.23</v>
      </c>
      <c r="I144" s="132">
        <v>39.512999999999998</v>
      </c>
      <c r="J144" s="70">
        <v>38.5</v>
      </c>
      <c r="K144" s="132">
        <v>60</v>
      </c>
      <c r="L144" s="70" t="s">
        <v>948</v>
      </c>
      <c r="M144" s="67" t="s">
        <v>768</v>
      </c>
      <c r="N144" s="85">
        <v>80</v>
      </c>
      <c r="O144" s="85" t="s">
        <v>945</v>
      </c>
      <c r="P144" s="86">
        <v>3.2936733349010581</v>
      </c>
      <c r="Q144" s="70">
        <v>25</v>
      </c>
      <c r="R144" s="73"/>
      <c r="S144" s="74">
        <v>25</v>
      </c>
      <c r="T144" s="112">
        <v>18.382667598075326</v>
      </c>
      <c r="U144" s="113" t="str">
        <f t="shared" si="10"/>
        <v>GC2</v>
      </c>
      <c r="V144" s="74" t="s">
        <v>792</v>
      </c>
      <c r="W144" s="74" t="s">
        <v>950</v>
      </c>
      <c r="X144" s="114">
        <v>2</v>
      </c>
      <c r="Y144" s="74">
        <v>1.6</v>
      </c>
      <c r="Z144" s="74">
        <v>7.8</v>
      </c>
      <c r="AA144" s="74" t="s">
        <v>775</v>
      </c>
      <c r="AB144" s="74">
        <v>8.3800000000000008</v>
      </c>
      <c r="AC144" s="74" t="s">
        <v>951</v>
      </c>
      <c r="AD144" s="74" t="s">
        <v>952</v>
      </c>
      <c r="AE144" s="74" t="s">
        <v>16</v>
      </c>
    </row>
    <row r="145" spans="1:31" s="63" customFormat="1" ht="12" x14ac:dyDescent="0.3">
      <c r="A145" s="67">
        <v>7</v>
      </c>
      <c r="B145" s="84" t="s">
        <v>953</v>
      </c>
      <c r="C145" s="67" t="s">
        <v>947</v>
      </c>
      <c r="D145" s="132">
        <v>39.837999999999944</v>
      </c>
      <c r="E145" s="132">
        <v>35.412999999999997</v>
      </c>
      <c r="F145" s="70">
        <v>34.4</v>
      </c>
      <c r="G145" s="132">
        <v>54.444444444444443</v>
      </c>
      <c r="H145" s="132">
        <v>39.837999999999944</v>
      </c>
      <c r="I145" s="132">
        <v>39.512999999999998</v>
      </c>
      <c r="J145" s="70">
        <v>38.5</v>
      </c>
      <c r="K145" s="132">
        <v>60</v>
      </c>
      <c r="L145" s="70" t="s">
        <v>948</v>
      </c>
      <c r="M145" s="67" t="s">
        <v>768</v>
      </c>
      <c r="N145" s="85">
        <v>350</v>
      </c>
      <c r="O145" s="85" t="s">
        <v>945</v>
      </c>
      <c r="P145" s="86">
        <v>8.3784520569718577</v>
      </c>
      <c r="Q145" s="70">
        <v>25</v>
      </c>
      <c r="R145" s="73"/>
      <c r="S145" s="74">
        <v>25</v>
      </c>
      <c r="T145" s="112">
        <v>1.9462889841069857</v>
      </c>
      <c r="U145" s="113" t="str">
        <f t="shared" si="10"/>
        <v>FC1</v>
      </c>
      <c r="V145" s="74" t="s">
        <v>771</v>
      </c>
      <c r="W145" s="74" t="s">
        <v>950</v>
      </c>
      <c r="X145" s="114">
        <v>1</v>
      </c>
      <c r="Y145" s="74">
        <v>0</v>
      </c>
      <c r="Z145" s="74">
        <v>7.7</v>
      </c>
      <c r="AA145" s="74" t="s">
        <v>954</v>
      </c>
      <c r="AB145" s="74">
        <v>9.5299999999999994</v>
      </c>
      <c r="AC145" s="74" t="s">
        <v>951</v>
      </c>
      <c r="AD145" s="74" t="s">
        <v>952</v>
      </c>
      <c r="AE145" s="74" t="s">
        <v>16</v>
      </c>
    </row>
    <row r="146" spans="1:31" s="63" customFormat="1" ht="12" x14ac:dyDescent="0.3">
      <c r="A146" s="67">
        <v>8</v>
      </c>
      <c r="B146" s="84" t="s">
        <v>955</v>
      </c>
      <c r="C146" s="67" t="s">
        <v>947</v>
      </c>
      <c r="D146" s="132">
        <v>37.28</v>
      </c>
      <c r="E146" s="132">
        <v>35.412999999999997</v>
      </c>
      <c r="F146" s="70">
        <v>34.4</v>
      </c>
      <c r="G146" s="132">
        <v>54.444444444444443</v>
      </c>
      <c r="H146" s="132">
        <v>37.28</v>
      </c>
      <c r="I146" s="132">
        <v>39.512999999999998</v>
      </c>
      <c r="J146" s="70">
        <v>38.5</v>
      </c>
      <c r="K146" s="132">
        <v>60</v>
      </c>
      <c r="L146" s="70" t="s">
        <v>948</v>
      </c>
      <c r="M146" s="67" t="s">
        <v>768</v>
      </c>
      <c r="N146" s="85">
        <v>350</v>
      </c>
      <c r="O146" s="85" t="s">
        <v>945</v>
      </c>
      <c r="P146" s="86">
        <v>8.3784520569718577</v>
      </c>
      <c r="Q146" s="70">
        <v>25</v>
      </c>
      <c r="R146" s="73"/>
      <c r="S146" s="74">
        <v>25</v>
      </c>
      <c r="T146" s="112">
        <v>20.43277726738258</v>
      </c>
      <c r="U146" s="113" t="str">
        <f t="shared" si="10"/>
        <v>FB4</v>
      </c>
      <c r="V146" s="74" t="s">
        <v>771</v>
      </c>
      <c r="W146" s="74" t="s">
        <v>756</v>
      </c>
      <c r="X146" s="114">
        <v>4</v>
      </c>
      <c r="Y146" s="74">
        <v>1.6</v>
      </c>
      <c r="Z146" s="74">
        <v>3.8099999999999996</v>
      </c>
      <c r="AA146" s="74" t="s">
        <v>941</v>
      </c>
      <c r="AB146" s="74">
        <v>5.54</v>
      </c>
      <c r="AC146" s="74" t="e">
        <v>#N/A</v>
      </c>
      <c r="AD146" s="74" t="e">
        <v>#N/A</v>
      </c>
      <c r="AE146" s="74" t="s">
        <v>16</v>
      </c>
    </row>
    <row r="147" spans="1:31" s="63" customFormat="1" ht="12" x14ac:dyDescent="0.3">
      <c r="A147" s="67">
        <v>9</v>
      </c>
      <c r="B147" s="84" t="s">
        <v>956</v>
      </c>
      <c r="C147" s="67" t="s">
        <v>957</v>
      </c>
      <c r="D147" s="132">
        <v>12.44</v>
      </c>
      <c r="E147" s="132">
        <v>35.412999999999997</v>
      </c>
      <c r="F147" s="70">
        <v>34.4</v>
      </c>
      <c r="G147" s="132">
        <v>54.444444444444443</v>
      </c>
      <c r="H147" s="132">
        <v>12.44</v>
      </c>
      <c r="I147" s="132">
        <v>39.512999999999998</v>
      </c>
      <c r="J147" s="70">
        <v>38.5</v>
      </c>
      <c r="K147" s="132">
        <v>60</v>
      </c>
      <c r="L147" s="79" t="s">
        <v>958</v>
      </c>
      <c r="M147" s="67" t="s">
        <v>959</v>
      </c>
      <c r="N147" s="85">
        <v>200</v>
      </c>
      <c r="O147" s="85" t="s">
        <v>945</v>
      </c>
      <c r="P147" s="86">
        <v>5.5269139584462721</v>
      </c>
      <c r="Q147" s="70">
        <v>25</v>
      </c>
      <c r="R147" s="73"/>
      <c r="S147" s="74">
        <v>25</v>
      </c>
      <c r="T147" s="112" t="s">
        <v>945</v>
      </c>
      <c r="U147" s="113" t="str">
        <f t="shared" si="10"/>
        <v>FB4</v>
      </c>
      <c r="V147" s="74" t="s">
        <v>771</v>
      </c>
      <c r="W147" s="74" t="s">
        <v>756</v>
      </c>
      <c r="X147" s="114">
        <v>4</v>
      </c>
      <c r="Y147" s="74">
        <v>1.6</v>
      </c>
      <c r="Z147" s="74">
        <v>3.8099999999999996</v>
      </c>
      <c r="AA147" s="74" t="s">
        <v>941</v>
      </c>
      <c r="AB147" s="74">
        <v>5.54</v>
      </c>
      <c r="AC147" s="74" t="e">
        <v>#N/A</v>
      </c>
      <c r="AD147" s="74" t="e">
        <v>#N/A</v>
      </c>
      <c r="AE147" s="74" t="s">
        <v>16</v>
      </c>
    </row>
    <row r="148" spans="1:31" s="63" customFormat="1" ht="12" x14ac:dyDescent="0.3">
      <c r="A148" s="67">
        <v>10</v>
      </c>
      <c r="B148" s="84" t="s">
        <v>960</v>
      </c>
      <c r="C148" s="67" t="s">
        <v>957</v>
      </c>
      <c r="D148" s="132">
        <v>12.44</v>
      </c>
      <c r="E148" s="132">
        <v>35.412999999999997</v>
      </c>
      <c r="F148" s="70">
        <v>34.4</v>
      </c>
      <c r="G148" s="132">
        <v>54.444444444444443</v>
      </c>
      <c r="H148" s="132">
        <v>12.44</v>
      </c>
      <c r="I148" s="132">
        <v>39.512999999999998</v>
      </c>
      <c r="J148" s="70">
        <v>38.5</v>
      </c>
      <c r="K148" s="132">
        <v>60</v>
      </c>
      <c r="L148" s="79" t="s">
        <v>958</v>
      </c>
      <c r="M148" s="67" t="s">
        <v>959</v>
      </c>
      <c r="N148" s="85">
        <v>200</v>
      </c>
      <c r="O148" s="85" t="s">
        <v>945</v>
      </c>
      <c r="P148" s="86">
        <v>5.5269139584462721</v>
      </c>
      <c r="Q148" s="70">
        <v>25</v>
      </c>
      <c r="R148" s="73"/>
      <c r="S148" s="74">
        <v>25</v>
      </c>
      <c r="T148" s="112">
        <v>17.452649480115561</v>
      </c>
      <c r="U148" s="113" t="str">
        <f t="shared" si="10"/>
        <v>EB1</v>
      </c>
      <c r="V148" s="74" t="s">
        <v>961</v>
      </c>
      <c r="W148" s="74" t="s">
        <v>756</v>
      </c>
      <c r="X148" s="114">
        <v>1</v>
      </c>
      <c r="Y148" s="74">
        <v>1.6</v>
      </c>
      <c r="Z148" s="74">
        <v>4.59</v>
      </c>
      <c r="AA148" s="74" t="s">
        <v>941</v>
      </c>
      <c r="AB148" s="74">
        <v>5.54</v>
      </c>
      <c r="AC148" s="74" t="e">
        <v>#N/A</v>
      </c>
      <c r="AD148" s="74" t="e">
        <v>#N/A</v>
      </c>
      <c r="AE148" s="74" t="s">
        <v>6</v>
      </c>
    </row>
    <row r="149" spans="1:31" s="63" customFormat="1" ht="12" x14ac:dyDescent="0.3">
      <c r="A149" s="67">
        <v>11</v>
      </c>
      <c r="B149" s="84" t="s">
        <v>962</v>
      </c>
      <c r="C149" s="67" t="s">
        <v>963</v>
      </c>
      <c r="D149" s="132">
        <v>12.44</v>
      </c>
      <c r="E149" s="132">
        <v>35.412999999999997</v>
      </c>
      <c r="F149" s="70">
        <v>34.4</v>
      </c>
      <c r="G149" s="132">
        <v>227.4170136235783</v>
      </c>
      <c r="H149" s="132">
        <v>12.44</v>
      </c>
      <c r="I149" s="132">
        <v>39.512999999999998</v>
      </c>
      <c r="J149" s="70">
        <v>38.5</v>
      </c>
      <c r="K149" s="132">
        <v>235</v>
      </c>
      <c r="L149" s="70" t="s">
        <v>964</v>
      </c>
      <c r="M149" s="67" t="s">
        <v>959</v>
      </c>
      <c r="N149" s="85">
        <v>250</v>
      </c>
      <c r="O149" s="85" t="s">
        <v>945</v>
      </c>
      <c r="P149" s="86">
        <v>8.2699722607577133</v>
      </c>
      <c r="Q149" s="70">
        <v>25</v>
      </c>
      <c r="R149" s="73"/>
      <c r="S149" s="74">
        <v>25</v>
      </c>
      <c r="T149" s="112">
        <v>17.452649480115561</v>
      </c>
      <c r="U149" s="113" t="str">
        <f t="shared" si="10"/>
        <v>DC1</v>
      </c>
      <c r="V149" s="74" t="s">
        <v>965</v>
      </c>
      <c r="W149" s="74" t="s">
        <v>950</v>
      </c>
      <c r="X149" s="114">
        <v>1</v>
      </c>
      <c r="Y149" s="74">
        <v>0</v>
      </c>
      <c r="Z149" s="74">
        <v>5.41</v>
      </c>
      <c r="AA149" s="74" t="s">
        <v>966</v>
      </c>
      <c r="AB149" s="74">
        <v>5.54</v>
      </c>
      <c r="AC149" s="74" t="e">
        <v>#N/A</v>
      </c>
      <c r="AD149" s="74" t="e">
        <v>#N/A</v>
      </c>
      <c r="AE149" s="74" t="s">
        <v>6</v>
      </c>
    </row>
    <row r="150" spans="1:31" s="63" customFormat="1" ht="12" x14ac:dyDescent="0.3">
      <c r="A150" s="67">
        <v>12</v>
      </c>
      <c r="B150" s="84" t="s">
        <v>967</v>
      </c>
      <c r="C150" s="67" t="s">
        <v>947</v>
      </c>
      <c r="D150" s="132">
        <v>24.88</v>
      </c>
      <c r="E150" s="132">
        <v>35.412999999999997</v>
      </c>
      <c r="F150" s="70">
        <v>34.4</v>
      </c>
      <c r="G150" s="132">
        <v>54.444444444444443</v>
      </c>
      <c r="H150" s="132">
        <v>24.88</v>
      </c>
      <c r="I150" s="132">
        <v>39.512999999999998</v>
      </c>
      <c r="J150" s="70">
        <v>38.5</v>
      </c>
      <c r="K150" s="132">
        <v>60</v>
      </c>
      <c r="L150" s="70" t="s">
        <v>948</v>
      </c>
      <c r="M150" s="67" t="s">
        <v>768</v>
      </c>
      <c r="N150" s="85">
        <v>250</v>
      </c>
      <c r="O150" s="85" t="s">
        <v>945</v>
      </c>
      <c r="P150" s="86">
        <v>6.8588650157934694</v>
      </c>
      <c r="Q150" s="70">
        <v>25</v>
      </c>
      <c r="R150" s="73"/>
      <c r="S150" s="74">
        <v>25</v>
      </c>
      <c r="T150" s="112">
        <v>18.738948641545765</v>
      </c>
      <c r="U150" s="113" t="str">
        <f t="shared" si="10"/>
        <v>DC1</v>
      </c>
      <c r="V150" s="74" t="s">
        <v>965</v>
      </c>
      <c r="W150" s="74" t="s">
        <v>950</v>
      </c>
      <c r="X150" s="114">
        <v>1</v>
      </c>
      <c r="Y150" s="74">
        <v>0</v>
      </c>
      <c r="Z150" s="74">
        <v>5.41</v>
      </c>
      <c r="AA150" s="74" t="s">
        <v>966</v>
      </c>
      <c r="AB150" s="74">
        <v>5.54</v>
      </c>
      <c r="AC150" s="74" t="e">
        <v>#N/A</v>
      </c>
      <c r="AD150" s="74" t="e">
        <v>#N/A</v>
      </c>
      <c r="AE150" s="74" t="s">
        <v>6</v>
      </c>
    </row>
    <row r="151" spans="1:31" s="63" customFormat="1" ht="12" x14ac:dyDescent="0.3">
      <c r="A151" s="67">
        <v>13</v>
      </c>
      <c r="B151" s="84" t="s">
        <v>968</v>
      </c>
      <c r="C151" s="67" t="s">
        <v>947</v>
      </c>
      <c r="D151" s="132">
        <v>12.44</v>
      </c>
      <c r="E151" s="132">
        <v>35.412999999999997</v>
      </c>
      <c r="F151" s="70">
        <v>34.4</v>
      </c>
      <c r="G151" s="132">
        <v>54.444444444444443</v>
      </c>
      <c r="H151" s="132">
        <v>12.44</v>
      </c>
      <c r="I151" s="132">
        <v>39.512999999999998</v>
      </c>
      <c r="J151" s="70">
        <v>38.5</v>
      </c>
      <c r="K151" s="132">
        <v>60</v>
      </c>
      <c r="L151" s="70" t="s">
        <v>948</v>
      </c>
      <c r="M151" s="67" t="s">
        <v>768</v>
      </c>
      <c r="N151" s="85">
        <v>200</v>
      </c>
      <c r="O151" s="85" t="s">
        <v>945</v>
      </c>
      <c r="P151" s="86">
        <v>6.8588650157934694</v>
      </c>
      <c r="Q151" s="70">
        <v>25</v>
      </c>
      <c r="R151" s="73"/>
      <c r="S151" s="74">
        <v>25</v>
      </c>
      <c r="T151" s="112">
        <v>22.112106463064769</v>
      </c>
      <c r="U151" s="113" t="str">
        <f t="shared" si="10"/>
        <v>FB3</v>
      </c>
      <c r="V151" s="74" t="s">
        <v>771</v>
      </c>
      <c r="W151" s="74" t="s">
        <v>756</v>
      </c>
      <c r="X151" s="114">
        <v>3</v>
      </c>
      <c r="Y151" s="74">
        <v>1.6</v>
      </c>
      <c r="Z151" s="74">
        <v>12.209999999999999</v>
      </c>
      <c r="AA151" s="74" t="s">
        <v>943</v>
      </c>
      <c r="AB151" s="74">
        <v>12.7</v>
      </c>
      <c r="AC151" s="74" t="s">
        <v>14</v>
      </c>
      <c r="AD151" s="74" t="s">
        <v>15</v>
      </c>
      <c r="AE151" s="74" t="s">
        <v>16</v>
      </c>
    </row>
    <row r="152" spans="1:31" s="63" customFormat="1" ht="12" x14ac:dyDescent="0.3">
      <c r="A152" s="67">
        <v>14</v>
      </c>
      <c r="B152" s="84" t="s">
        <v>969</v>
      </c>
      <c r="C152" s="67" t="s">
        <v>947</v>
      </c>
      <c r="D152" s="132">
        <v>13.9</v>
      </c>
      <c r="E152" s="132">
        <v>35.412999999999997</v>
      </c>
      <c r="F152" s="70">
        <v>34.4</v>
      </c>
      <c r="G152" s="132">
        <v>54.444444444444443</v>
      </c>
      <c r="H152" s="132">
        <v>13.9</v>
      </c>
      <c r="I152" s="132">
        <v>39.512999999999998</v>
      </c>
      <c r="J152" s="70">
        <v>38.5</v>
      </c>
      <c r="K152" s="132">
        <v>60</v>
      </c>
      <c r="L152" s="70" t="s">
        <v>948</v>
      </c>
      <c r="M152" s="67" t="s">
        <v>768</v>
      </c>
      <c r="N152" s="85">
        <v>200</v>
      </c>
      <c r="O152" s="85" t="s">
        <v>945</v>
      </c>
      <c r="P152" s="86">
        <v>5.8642262252039767</v>
      </c>
      <c r="Q152" s="70">
        <v>25</v>
      </c>
      <c r="R152" s="73"/>
      <c r="S152" s="74">
        <v>25</v>
      </c>
      <c r="T152" s="112">
        <v>22.112106463064769</v>
      </c>
      <c r="U152" s="113" t="str">
        <f t="shared" si="10"/>
        <v>FB1</v>
      </c>
      <c r="V152" s="74" t="s">
        <v>771</v>
      </c>
      <c r="W152" s="74" t="s">
        <v>756</v>
      </c>
      <c r="X152" s="114">
        <v>1</v>
      </c>
      <c r="Y152" s="74">
        <v>0</v>
      </c>
      <c r="Z152" s="74">
        <v>4.8999999999999995</v>
      </c>
      <c r="AA152" s="74" t="s">
        <v>772</v>
      </c>
      <c r="AB152" s="74">
        <v>7.11</v>
      </c>
      <c r="AC152" s="74" t="s">
        <v>14</v>
      </c>
      <c r="AD152" s="74" t="s">
        <v>15</v>
      </c>
      <c r="AE152" s="74" t="s">
        <v>16</v>
      </c>
    </row>
    <row r="153" spans="1:31" s="63" customFormat="1" ht="12" x14ac:dyDescent="0.3">
      <c r="A153" s="67">
        <v>15</v>
      </c>
      <c r="B153" s="84" t="s">
        <v>970</v>
      </c>
      <c r="C153" s="67" t="s">
        <v>947</v>
      </c>
      <c r="D153" s="132">
        <v>6.95</v>
      </c>
      <c r="E153" s="132">
        <v>35.412999999999997</v>
      </c>
      <c r="F153" s="70">
        <v>34.4</v>
      </c>
      <c r="G153" s="132">
        <v>54.444444444444443</v>
      </c>
      <c r="H153" s="132">
        <v>6.95</v>
      </c>
      <c r="I153" s="132">
        <v>39.512999999999998</v>
      </c>
      <c r="J153" s="70">
        <v>38.5</v>
      </c>
      <c r="K153" s="132">
        <v>60</v>
      </c>
      <c r="L153" s="70" t="s">
        <v>948</v>
      </c>
      <c r="M153" s="67" t="s">
        <v>768</v>
      </c>
      <c r="N153" s="85">
        <v>200</v>
      </c>
      <c r="O153" s="85" t="s">
        <v>945</v>
      </c>
      <c r="P153" s="86">
        <v>4.9285289925753437</v>
      </c>
      <c r="Q153" s="70">
        <v>25</v>
      </c>
      <c r="R153" s="73"/>
      <c r="S153" s="75">
        <v>25</v>
      </c>
      <c r="T153" s="126">
        <v>19.274847038731274</v>
      </c>
      <c r="U153" s="127"/>
      <c r="V153" s="74"/>
      <c r="W153" s="74"/>
      <c r="X153" s="128"/>
      <c r="Y153" s="74"/>
      <c r="Z153" s="74"/>
      <c r="AA153" s="74"/>
      <c r="AB153" s="74"/>
      <c r="AC153" s="74"/>
      <c r="AD153" s="74"/>
      <c r="AE153" s="74"/>
    </row>
    <row r="154" spans="1:31" s="63" customFormat="1" ht="12" x14ac:dyDescent="0.3">
      <c r="A154" s="67">
        <v>16</v>
      </c>
      <c r="B154" s="84" t="s">
        <v>971</v>
      </c>
      <c r="C154" s="67" t="s">
        <v>972</v>
      </c>
      <c r="D154" s="132">
        <v>6.95</v>
      </c>
      <c r="E154" s="132">
        <v>16.012999999999998</v>
      </c>
      <c r="F154" s="132">
        <v>15</v>
      </c>
      <c r="G154" s="132">
        <v>54.444444444444443</v>
      </c>
      <c r="H154" s="132">
        <v>6.95</v>
      </c>
      <c r="I154" s="132">
        <v>18.012999999999998</v>
      </c>
      <c r="J154" s="70">
        <v>17</v>
      </c>
      <c r="K154" s="132">
        <v>60</v>
      </c>
      <c r="L154" s="70" t="s">
        <v>646</v>
      </c>
      <c r="M154" s="67" t="s">
        <v>768</v>
      </c>
      <c r="N154" s="85">
        <v>150</v>
      </c>
      <c r="O154" s="85" t="s">
        <v>945</v>
      </c>
      <c r="P154" s="86">
        <v>3.6234726032852511</v>
      </c>
      <c r="Q154" s="70">
        <v>25</v>
      </c>
      <c r="R154" s="73"/>
      <c r="S154" s="75">
        <v>25</v>
      </c>
      <c r="T154" s="126">
        <v>16.737434086706802</v>
      </c>
      <c r="U154" s="127"/>
      <c r="V154" s="74"/>
      <c r="W154" s="74"/>
      <c r="X154" s="128"/>
      <c r="Y154" s="74"/>
      <c r="Z154" s="74"/>
      <c r="AA154" s="74"/>
      <c r="AB154" s="74"/>
      <c r="AC154" s="74"/>
      <c r="AD154" s="74"/>
      <c r="AE154" s="74"/>
    </row>
    <row r="155" spans="1:31" s="63" customFormat="1" ht="12" x14ac:dyDescent="0.3">
      <c r="A155" s="67">
        <v>17</v>
      </c>
      <c r="B155" s="84" t="s">
        <v>973</v>
      </c>
      <c r="C155" s="67" t="s">
        <v>972</v>
      </c>
      <c r="D155" s="132">
        <v>13.9</v>
      </c>
      <c r="E155" s="132">
        <v>16.012999999999998</v>
      </c>
      <c r="F155" s="132">
        <v>15</v>
      </c>
      <c r="G155" s="132">
        <v>54.444444444444443</v>
      </c>
      <c r="H155" s="132">
        <v>13.9</v>
      </c>
      <c r="I155" s="132">
        <v>18.012999999999998</v>
      </c>
      <c r="J155" s="70">
        <v>17</v>
      </c>
      <c r="K155" s="132">
        <v>60</v>
      </c>
      <c r="L155" s="70" t="s">
        <v>646</v>
      </c>
      <c r="M155" s="67" t="s">
        <v>768</v>
      </c>
      <c r="N155" s="85">
        <v>300</v>
      </c>
      <c r="O155" s="85" t="s">
        <v>945</v>
      </c>
      <c r="P155" s="86">
        <v>4.4820104540840129</v>
      </c>
      <c r="Q155" s="70">
        <v>25</v>
      </c>
      <c r="R155" s="73"/>
      <c r="S155" s="75">
        <v>25</v>
      </c>
      <c r="T155" s="126">
        <v>21.095585758045349</v>
      </c>
      <c r="U155" s="127"/>
      <c r="V155" s="74"/>
      <c r="W155" s="74"/>
      <c r="X155" s="128"/>
      <c r="Y155" s="74"/>
      <c r="Z155" s="74"/>
      <c r="AA155" s="74"/>
      <c r="AB155" s="74"/>
      <c r="AC155" s="74"/>
      <c r="AD155" s="74"/>
      <c r="AE155" s="74"/>
    </row>
    <row r="156" spans="1:31" s="63" customFormat="1" ht="12" x14ac:dyDescent="0.3">
      <c r="A156" s="67">
        <v>18</v>
      </c>
      <c r="B156" s="84" t="s">
        <v>974</v>
      </c>
      <c r="C156" s="67" t="s">
        <v>972</v>
      </c>
      <c r="D156" s="132">
        <v>6.5</v>
      </c>
      <c r="E156" s="132">
        <v>16.012999999999998</v>
      </c>
      <c r="F156" s="70">
        <v>15</v>
      </c>
      <c r="G156" s="132">
        <v>54.444444444444443</v>
      </c>
      <c r="H156" s="132">
        <v>6.5</v>
      </c>
      <c r="I156" s="132">
        <v>18.012999999999998</v>
      </c>
      <c r="J156" s="70">
        <v>17</v>
      </c>
      <c r="K156" s="132">
        <v>60</v>
      </c>
      <c r="L156" s="70" t="s">
        <v>646</v>
      </c>
      <c r="M156" s="67" t="s">
        <v>768</v>
      </c>
      <c r="N156" s="85">
        <v>200</v>
      </c>
      <c r="O156" s="85" t="s">
        <v>945</v>
      </c>
      <c r="P156" s="86">
        <v>3.6234726032852511</v>
      </c>
      <c r="Q156" s="70">
        <v>25</v>
      </c>
      <c r="R156" s="73"/>
      <c r="S156" s="75">
        <v>25</v>
      </c>
      <c r="T156" s="126">
        <v>18.910993392840933</v>
      </c>
      <c r="U156" s="127"/>
      <c r="V156" s="74"/>
      <c r="W156" s="74"/>
      <c r="X156" s="128"/>
      <c r="Y156" s="74"/>
      <c r="Z156" s="74"/>
      <c r="AA156" s="74"/>
      <c r="AB156" s="74"/>
      <c r="AC156" s="74"/>
      <c r="AD156" s="74"/>
      <c r="AE156" s="74"/>
    </row>
    <row r="157" spans="1:31" s="63" customFormat="1" ht="12" x14ac:dyDescent="0.3">
      <c r="A157" s="67">
        <v>19</v>
      </c>
      <c r="B157" s="84" t="s">
        <v>975</v>
      </c>
      <c r="C157" s="67" t="s">
        <v>972</v>
      </c>
      <c r="D157" s="70">
        <v>7.4</v>
      </c>
      <c r="E157" s="70">
        <v>16.012999999999998</v>
      </c>
      <c r="F157" s="70">
        <v>15</v>
      </c>
      <c r="G157" s="70">
        <v>54.444444444444443</v>
      </c>
      <c r="H157" s="70">
        <v>7.4</v>
      </c>
      <c r="I157" s="70">
        <v>18.012999999999998</v>
      </c>
      <c r="J157" s="70">
        <v>17</v>
      </c>
      <c r="K157" s="70">
        <v>60</v>
      </c>
      <c r="L157" s="70" t="s">
        <v>646</v>
      </c>
      <c r="M157" s="67" t="s">
        <v>768</v>
      </c>
      <c r="N157" s="85">
        <v>200</v>
      </c>
      <c r="O157" s="85" t="s">
        <v>945</v>
      </c>
      <c r="P157" s="86">
        <v>4.4820104540840129</v>
      </c>
      <c r="Q157" s="70">
        <v>25</v>
      </c>
      <c r="R157" s="73"/>
      <c r="S157" s="75">
        <v>25</v>
      </c>
      <c r="T157" s="126">
        <v>19.967835859929881</v>
      </c>
      <c r="U157" s="127"/>
      <c r="V157" s="74"/>
      <c r="W157" s="74"/>
      <c r="X157" s="128"/>
      <c r="Y157" s="74"/>
      <c r="Z157" s="74"/>
      <c r="AA157" s="74"/>
      <c r="AB157" s="74"/>
      <c r="AC157" s="74"/>
      <c r="AD157" s="74"/>
      <c r="AE157" s="74"/>
    </row>
    <row r="158" spans="1:31" s="63" customFormat="1" ht="12" x14ac:dyDescent="0.3">
      <c r="A158" s="67">
        <v>20</v>
      </c>
      <c r="B158" s="84" t="s">
        <v>976</v>
      </c>
      <c r="C158" s="67" t="s">
        <v>972</v>
      </c>
      <c r="D158" s="70">
        <v>2.6379999999999999</v>
      </c>
      <c r="E158" s="70">
        <v>16.012999999999998</v>
      </c>
      <c r="F158" s="70">
        <v>15</v>
      </c>
      <c r="G158" s="70">
        <v>54.444444444444443</v>
      </c>
      <c r="H158" s="70">
        <v>2.6379999999999999</v>
      </c>
      <c r="I158" s="70">
        <v>18.012999999999998</v>
      </c>
      <c r="J158" s="70">
        <v>17</v>
      </c>
      <c r="K158" s="70">
        <v>60</v>
      </c>
      <c r="L158" s="70" t="s">
        <v>646</v>
      </c>
      <c r="M158" s="67" t="s">
        <v>768</v>
      </c>
      <c r="N158" s="85">
        <v>150</v>
      </c>
      <c r="O158" s="85" t="s">
        <v>945</v>
      </c>
      <c r="P158" s="86">
        <v>4.4820104540840129</v>
      </c>
      <c r="Q158" s="70">
        <v>25</v>
      </c>
      <c r="R158" s="73"/>
      <c r="S158" s="75">
        <v>25</v>
      </c>
      <c r="T158" s="126">
        <v>22.732613132843248</v>
      </c>
      <c r="U158" s="127"/>
      <c r="V158" s="74"/>
      <c r="W158" s="74"/>
      <c r="X158" s="128"/>
      <c r="Y158" s="74"/>
      <c r="Z158" s="74"/>
      <c r="AA158" s="74"/>
      <c r="AB158" s="74"/>
      <c r="AC158" s="74"/>
      <c r="AD158" s="74"/>
      <c r="AE158" s="74"/>
    </row>
    <row r="159" spans="1:31" s="63" customFormat="1" ht="12" x14ac:dyDescent="0.3">
      <c r="A159" s="67">
        <v>21</v>
      </c>
      <c r="B159" s="84" t="s">
        <v>977</v>
      </c>
      <c r="C159" s="67" t="s">
        <v>972</v>
      </c>
      <c r="D159" s="70">
        <v>0.9</v>
      </c>
      <c r="E159" s="70">
        <v>16.012999999999998</v>
      </c>
      <c r="F159" s="70">
        <v>15</v>
      </c>
      <c r="G159" s="70">
        <v>54.444444444444443</v>
      </c>
      <c r="H159" s="70">
        <v>0.9</v>
      </c>
      <c r="I159" s="70">
        <v>18.012999999999998</v>
      </c>
      <c r="J159" s="70">
        <v>17</v>
      </c>
      <c r="K159" s="70">
        <v>60</v>
      </c>
      <c r="L159" s="70" t="s">
        <v>646</v>
      </c>
      <c r="M159" s="67" t="s">
        <v>768</v>
      </c>
      <c r="N159" s="85">
        <v>80</v>
      </c>
      <c r="O159" s="85" t="s">
        <v>945</v>
      </c>
      <c r="P159" s="86">
        <v>2.5568540138386986</v>
      </c>
      <c r="Q159" s="70">
        <v>25</v>
      </c>
      <c r="R159" s="73"/>
      <c r="S159" s="75">
        <v>25</v>
      </c>
      <c r="T159" s="126">
        <v>13.87839817706387</v>
      </c>
      <c r="U159" s="127"/>
      <c r="V159" s="74"/>
      <c r="W159" s="74"/>
      <c r="X159" s="128"/>
      <c r="Y159" s="74"/>
      <c r="Z159" s="74"/>
      <c r="AA159" s="74"/>
      <c r="AB159" s="74"/>
      <c r="AC159" s="74"/>
      <c r="AD159" s="74"/>
      <c r="AE159" s="74"/>
    </row>
    <row r="160" spans="1:31" s="63" customFormat="1" ht="11.25" x14ac:dyDescent="0.3">
      <c r="A160" s="67">
        <v>22</v>
      </c>
      <c r="B160" s="84" t="s">
        <v>978</v>
      </c>
      <c r="C160" s="67" t="s">
        <v>972</v>
      </c>
      <c r="D160" s="70">
        <v>1.738</v>
      </c>
      <c r="E160" s="70">
        <v>16.012999999999998</v>
      </c>
      <c r="F160" s="70">
        <v>15</v>
      </c>
      <c r="G160" s="70">
        <v>54.444444444444443</v>
      </c>
      <c r="H160" s="70">
        <v>1.738</v>
      </c>
      <c r="I160" s="70">
        <v>18.012999999999998</v>
      </c>
      <c r="J160" s="70">
        <v>17</v>
      </c>
      <c r="K160" s="70">
        <v>60</v>
      </c>
      <c r="L160" s="70" t="s">
        <v>646</v>
      </c>
      <c r="M160" s="67" t="s">
        <v>768</v>
      </c>
      <c r="N160" s="85">
        <v>100</v>
      </c>
      <c r="O160" s="85" t="s">
        <v>945</v>
      </c>
      <c r="P160" s="86">
        <v>4.4820104540840129</v>
      </c>
      <c r="Q160" s="70">
        <v>25</v>
      </c>
      <c r="R160" s="73"/>
      <c r="S160" s="63">
        <v>25</v>
      </c>
      <c r="T160" s="87">
        <v>18.279530915158261</v>
      </c>
      <c r="V160" s="74"/>
      <c r="W160" s="74"/>
      <c r="X160" s="64"/>
      <c r="Y160" s="74"/>
      <c r="Z160" s="74"/>
      <c r="AA160" s="74"/>
      <c r="AB160" s="74"/>
      <c r="AC160" s="74"/>
      <c r="AD160" s="74"/>
      <c r="AE160" s="74"/>
    </row>
    <row r="161" spans="1:31" s="63" customFormat="1" ht="12" x14ac:dyDescent="0.3">
      <c r="A161" s="67">
        <v>23</v>
      </c>
      <c r="B161" s="84" t="s">
        <v>979</v>
      </c>
      <c r="C161" s="67" t="s">
        <v>980</v>
      </c>
      <c r="D161" s="70">
        <v>0</v>
      </c>
      <c r="E161" s="70">
        <v>1.0129999999999999</v>
      </c>
      <c r="F161" s="70">
        <v>0</v>
      </c>
      <c r="G161" s="70">
        <v>54.444444444444443</v>
      </c>
      <c r="H161" s="70">
        <v>0</v>
      </c>
      <c r="I161" s="70">
        <v>4.5129999999999999</v>
      </c>
      <c r="J161" s="70">
        <v>3.5</v>
      </c>
      <c r="K161" s="70">
        <v>60</v>
      </c>
      <c r="L161" s="70" t="s">
        <v>646</v>
      </c>
      <c r="M161" s="67" t="s">
        <v>768</v>
      </c>
      <c r="N161" s="85">
        <v>25</v>
      </c>
      <c r="O161" s="85" t="s">
        <v>939</v>
      </c>
      <c r="P161" s="86"/>
      <c r="Q161" s="70">
        <v>25</v>
      </c>
      <c r="R161" s="73"/>
      <c r="S161" s="75">
        <v>25</v>
      </c>
      <c r="T161" s="126">
        <v>20.987066454206722</v>
      </c>
      <c r="U161" s="127"/>
      <c r="V161" s="74"/>
      <c r="W161" s="74"/>
      <c r="X161" s="128"/>
      <c r="Y161" s="74"/>
      <c r="Z161" s="74"/>
      <c r="AA161" s="74"/>
      <c r="AB161" s="74"/>
      <c r="AC161" s="74"/>
      <c r="AD161" s="74"/>
      <c r="AE161" s="74"/>
    </row>
    <row r="162" spans="1:31" s="63" customFormat="1" ht="11.25" x14ac:dyDescent="0.3">
      <c r="A162" s="67">
        <v>24</v>
      </c>
      <c r="B162" s="84" t="s">
        <v>981</v>
      </c>
      <c r="C162" s="67" t="s">
        <v>982</v>
      </c>
      <c r="D162" s="70">
        <v>0</v>
      </c>
      <c r="E162" s="70">
        <v>1.0129999999999999</v>
      </c>
      <c r="F162" s="70">
        <v>0</v>
      </c>
      <c r="G162" s="70">
        <v>227.4170136235783</v>
      </c>
      <c r="H162" s="70">
        <v>0</v>
      </c>
      <c r="I162" s="70">
        <v>4.5129999999999999</v>
      </c>
      <c r="J162" s="70">
        <v>3.5</v>
      </c>
      <c r="K162" s="70">
        <v>235</v>
      </c>
      <c r="L162" s="70" t="s">
        <v>646</v>
      </c>
      <c r="M162" s="67" t="s">
        <v>768</v>
      </c>
      <c r="N162" s="85">
        <v>25</v>
      </c>
      <c r="O162" s="85" t="s">
        <v>939</v>
      </c>
      <c r="P162" s="86"/>
      <c r="Q162" s="70">
        <v>25</v>
      </c>
      <c r="R162" s="73"/>
      <c r="S162" s="63">
        <v>25</v>
      </c>
      <c r="T162" s="87"/>
      <c r="V162" s="74"/>
      <c r="W162" s="74"/>
      <c r="X162" s="64"/>
      <c r="Y162" s="74"/>
      <c r="Z162" s="74"/>
      <c r="AA162" s="74"/>
      <c r="AB162" s="74"/>
      <c r="AC162" s="74"/>
      <c r="AD162" s="74"/>
      <c r="AE162" s="74"/>
    </row>
    <row r="163" spans="1:31" s="63" customFormat="1" ht="12" x14ac:dyDescent="0.3">
      <c r="A163" s="67">
        <v>25</v>
      </c>
      <c r="B163" s="84" t="s">
        <v>983</v>
      </c>
      <c r="C163" s="67" t="s">
        <v>984</v>
      </c>
      <c r="D163" s="70">
        <v>7.17</v>
      </c>
      <c r="E163" s="70">
        <v>144.4</v>
      </c>
      <c r="F163" s="70">
        <f>E163-1.013</f>
        <v>143.387</v>
      </c>
      <c r="G163" s="70">
        <v>252.5</v>
      </c>
      <c r="H163" s="70">
        <f>D163</f>
        <v>7.17</v>
      </c>
      <c r="I163" s="70">
        <v>198</v>
      </c>
      <c r="J163" s="70">
        <f>I163-1.013</f>
        <v>196.98699999999999</v>
      </c>
      <c r="K163" s="70">
        <v>339</v>
      </c>
      <c r="L163" s="134" t="s">
        <v>985</v>
      </c>
      <c r="M163" s="67" t="s">
        <v>768</v>
      </c>
      <c r="N163" s="85">
        <v>80</v>
      </c>
      <c r="O163" s="85" t="s">
        <v>986</v>
      </c>
      <c r="P163" s="86"/>
      <c r="Q163" s="70">
        <v>5</v>
      </c>
      <c r="R163" s="73"/>
      <c r="S163" s="75">
        <v>25</v>
      </c>
      <c r="T163" s="126"/>
      <c r="U163" s="127"/>
      <c r="V163" s="74"/>
      <c r="W163" s="74"/>
      <c r="X163" s="128"/>
      <c r="Y163" s="74"/>
      <c r="Z163" s="74"/>
      <c r="AA163" s="74"/>
      <c r="AB163" s="74"/>
      <c r="AC163" s="74"/>
      <c r="AD163" s="74"/>
      <c r="AE163" s="74"/>
    </row>
    <row r="164" spans="1:31" s="63" customFormat="1" ht="11.25" x14ac:dyDescent="0.3">
      <c r="A164" s="67">
        <v>26</v>
      </c>
      <c r="B164" s="84" t="s">
        <v>987</v>
      </c>
      <c r="C164" s="67" t="s">
        <v>988</v>
      </c>
      <c r="D164" s="70">
        <v>7.17</v>
      </c>
      <c r="E164" s="70">
        <v>19</v>
      </c>
      <c r="F164" s="70">
        <f>E164-1.013</f>
        <v>17.987000000000002</v>
      </c>
      <c r="G164" s="70">
        <v>61</v>
      </c>
      <c r="H164" s="70">
        <f>D164</f>
        <v>7.17</v>
      </c>
      <c r="I164" s="70">
        <v>27</v>
      </c>
      <c r="J164" s="70">
        <f>I164-1.013</f>
        <v>25.987000000000002</v>
      </c>
      <c r="K164" s="70">
        <v>110</v>
      </c>
      <c r="L164" s="108" t="s">
        <v>875</v>
      </c>
      <c r="M164" s="67" t="s">
        <v>768</v>
      </c>
      <c r="N164" s="85">
        <v>80</v>
      </c>
      <c r="O164" s="85" t="s">
        <v>989</v>
      </c>
      <c r="P164" s="86"/>
      <c r="Q164" s="70">
        <v>3</v>
      </c>
      <c r="R164" s="73"/>
      <c r="S164" s="63">
        <v>25</v>
      </c>
      <c r="T164" s="87"/>
      <c r="V164" s="74"/>
      <c r="W164" s="74"/>
      <c r="X164" s="64"/>
      <c r="Y164" s="74"/>
      <c r="Z164" s="74"/>
      <c r="AA164" s="74"/>
      <c r="AB164" s="74"/>
      <c r="AC164" s="74"/>
      <c r="AD164" s="74"/>
      <c r="AE164" s="74"/>
    </row>
    <row r="165" spans="1:31" s="63" customFormat="1" ht="12" x14ac:dyDescent="0.3">
      <c r="A165" s="55" t="s">
        <v>990</v>
      </c>
      <c r="B165" s="56" t="s">
        <v>991</v>
      </c>
      <c r="C165" s="55"/>
      <c r="D165" s="57"/>
      <c r="E165" s="57"/>
      <c r="F165" s="57"/>
      <c r="G165" s="57"/>
      <c r="H165" s="57"/>
      <c r="I165" s="57"/>
      <c r="J165" s="57"/>
      <c r="K165" s="57"/>
      <c r="L165" s="57"/>
      <c r="M165" s="58"/>
      <c r="N165" s="59"/>
      <c r="O165" s="59"/>
      <c r="P165" s="60"/>
      <c r="Q165" s="57"/>
      <c r="R165" s="61"/>
      <c r="S165" s="75">
        <v>25</v>
      </c>
      <c r="T165" s="126"/>
      <c r="U165" s="127"/>
      <c r="V165" s="74"/>
      <c r="W165" s="74"/>
      <c r="X165" s="128"/>
      <c r="Y165" s="74"/>
      <c r="Z165" s="74"/>
      <c r="AA165" s="74"/>
      <c r="AB165" s="74"/>
      <c r="AC165" s="74"/>
      <c r="AD165" s="74"/>
      <c r="AE165" s="74"/>
    </row>
    <row r="166" spans="1:31" s="63" customFormat="1" ht="20.25" customHeight="1" x14ac:dyDescent="0.3">
      <c r="A166" s="67">
        <v>1</v>
      </c>
      <c r="B166" s="84" t="s">
        <v>992</v>
      </c>
      <c r="C166" s="67" t="s">
        <v>993</v>
      </c>
      <c r="D166" s="70" t="s">
        <v>994</v>
      </c>
      <c r="E166" s="70">
        <v>9.1</v>
      </c>
      <c r="F166" s="70">
        <v>9.1</v>
      </c>
      <c r="G166" s="92">
        <v>50</v>
      </c>
      <c r="H166" s="70" t="s">
        <v>995</v>
      </c>
      <c r="I166" s="92">
        <v>11</v>
      </c>
      <c r="J166" s="92">
        <v>11</v>
      </c>
      <c r="K166" s="92">
        <v>60</v>
      </c>
      <c r="L166" s="108" t="s">
        <v>996</v>
      </c>
      <c r="M166" s="108" t="s">
        <v>997</v>
      </c>
      <c r="N166" s="85">
        <v>80</v>
      </c>
      <c r="O166" s="85" t="s">
        <v>814</v>
      </c>
      <c r="P166" s="86"/>
      <c r="Q166" s="135">
        <v>30</v>
      </c>
      <c r="R166" s="74" t="s">
        <v>998</v>
      </c>
      <c r="T166" s="112">
        <v>150</v>
      </c>
      <c r="U166" s="113" t="str">
        <f>V166&amp;W166&amp;X166</f>
        <v>HC1</v>
      </c>
      <c r="V166" s="74" t="s">
        <v>786</v>
      </c>
      <c r="W166" s="74" t="s">
        <v>950</v>
      </c>
      <c r="X166" s="114">
        <v>1</v>
      </c>
      <c r="Y166" s="74">
        <v>0</v>
      </c>
      <c r="Z166" s="74">
        <v>0.73</v>
      </c>
      <c r="AA166" s="74" t="s">
        <v>999</v>
      </c>
      <c r="AB166" s="74">
        <v>2.11</v>
      </c>
      <c r="AC166" s="74" t="s">
        <v>951</v>
      </c>
      <c r="AD166" s="74" t="s">
        <v>952</v>
      </c>
      <c r="AE166" s="74" t="s">
        <v>16</v>
      </c>
    </row>
    <row r="167" spans="1:31" s="63" customFormat="1" ht="20.25" customHeight="1" x14ac:dyDescent="0.3">
      <c r="A167" s="67">
        <v>2</v>
      </c>
      <c r="B167" s="84" t="s">
        <v>1000</v>
      </c>
      <c r="C167" s="67" t="s">
        <v>1001</v>
      </c>
      <c r="D167" s="70" t="s">
        <v>1002</v>
      </c>
      <c r="E167" s="70">
        <v>9.1</v>
      </c>
      <c r="F167" s="70">
        <v>9.1</v>
      </c>
      <c r="G167" s="92">
        <v>50</v>
      </c>
      <c r="H167" s="70" t="s">
        <v>1003</v>
      </c>
      <c r="I167" s="92">
        <v>11</v>
      </c>
      <c r="J167" s="92">
        <v>11</v>
      </c>
      <c r="K167" s="92">
        <v>60</v>
      </c>
      <c r="L167" s="108" t="s">
        <v>996</v>
      </c>
      <c r="M167" s="108" t="s">
        <v>997</v>
      </c>
      <c r="N167" s="85">
        <v>80</v>
      </c>
      <c r="O167" s="85" t="s">
        <v>814</v>
      </c>
      <c r="P167" s="86"/>
      <c r="Q167" s="135">
        <v>30</v>
      </c>
      <c r="R167" s="74" t="s">
        <v>998</v>
      </c>
      <c r="T167" s="112">
        <v>150</v>
      </c>
      <c r="U167" s="113" t="e">
        <f>V167&amp;W167&amp;X167</f>
        <v>#N/A</v>
      </c>
      <c r="V167" s="74" t="s">
        <v>786</v>
      </c>
      <c r="W167" s="74" t="e">
        <v>#N/A</v>
      </c>
      <c r="X167" s="114">
        <v>1</v>
      </c>
      <c r="Y167" s="74">
        <v>0</v>
      </c>
      <c r="Z167" s="74">
        <v>0.73</v>
      </c>
      <c r="AA167" s="74" t="s">
        <v>999</v>
      </c>
      <c r="AB167" s="74">
        <v>2.11</v>
      </c>
      <c r="AC167" s="74" t="e">
        <v>#N/A</v>
      </c>
      <c r="AD167" s="74" t="e">
        <v>#N/A</v>
      </c>
      <c r="AE167" s="74" t="s">
        <v>16</v>
      </c>
    </row>
    <row r="168" spans="1:31" s="63" customFormat="1" ht="20.25" customHeight="1" x14ac:dyDescent="0.3">
      <c r="A168" s="67">
        <v>3</v>
      </c>
      <c r="B168" s="84" t="s">
        <v>1004</v>
      </c>
      <c r="C168" s="67" t="s">
        <v>993</v>
      </c>
      <c r="D168" s="70" t="s">
        <v>1005</v>
      </c>
      <c r="E168" s="70">
        <v>9.1</v>
      </c>
      <c r="F168" s="70">
        <v>9.1</v>
      </c>
      <c r="G168" s="92">
        <v>50</v>
      </c>
      <c r="H168" s="70" t="s">
        <v>1006</v>
      </c>
      <c r="I168" s="92">
        <v>11</v>
      </c>
      <c r="J168" s="92">
        <v>11</v>
      </c>
      <c r="K168" s="92">
        <v>60</v>
      </c>
      <c r="L168" s="108" t="s">
        <v>996</v>
      </c>
      <c r="M168" s="108" t="s">
        <v>997</v>
      </c>
      <c r="N168" s="85">
        <v>50</v>
      </c>
      <c r="O168" s="85" t="s">
        <v>814</v>
      </c>
      <c r="P168" s="86"/>
      <c r="Q168" s="135">
        <v>30</v>
      </c>
      <c r="R168" s="74" t="s">
        <v>1007</v>
      </c>
      <c r="T168" s="112"/>
      <c r="U168" s="113"/>
      <c r="V168" s="74"/>
      <c r="W168" s="74"/>
      <c r="X168" s="114"/>
      <c r="Y168" s="74"/>
      <c r="Z168" s="74"/>
      <c r="AA168" s="74"/>
      <c r="AB168" s="74"/>
      <c r="AC168" s="74"/>
      <c r="AD168" s="74"/>
      <c r="AE168" s="74"/>
    </row>
    <row r="169" spans="1:31" s="63" customFormat="1" ht="22.5" x14ac:dyDescent="0.3">
      <c r="A169" s="67">
        <v>4</v>
      </c>
      <c r="B169" s="84" t="s">
        <v>1008</v>
      </c>
      <c r="C169" s="67" t="s">
        <v>1001</v>
      </c>
      <c r="D169" s="70" t="s">
        <v>1009</v>
      </c>
      <c r="E169" s="70">
        <v>9.1</v>
      </c>
      <c r="F169" s="70">
        <v>9.1</v>
      </c>
      <c r="G169" s="92">
        <v>50</v>
      </c>
      <c r="H169" s="70" t="s">
        <v>1010</v>
      </c>
      <c r="I169" s="92">
        <v>11</v>
      </c>
      <c r="J169" s="92">
        <v>11</v>
      </c>
      <c r="K169" s="92">
        <v>60</v>
      </c>
      <c r="L169" s="108" t="s">
        <v>996</v>
      </c>
      <c r="M169" s="108" t="s">
        <v>997</v>
      </c>
      <c r="N169" s="85">
        <v>25</v>
      </c>
      <c r="O169" s="85" t="s">
        <v>814</v>
      </c>
      <c r="P169" s="86"/>
      <c r="Q169" s="135">
        <v>30</v>
      </c>
      <c r="R169" s="74" t="s">
        <v>1007</v>
      </c>
      <c r="T169" s="112"/>
      <c r="U169" s="113"/>
      <c r="V169" s="74"/>
      <c r="W169" s="74"/>
      <c r="X169" s="114"/>
      <c r="Y169" s="74"/>
      <c r="Z169" s="74"/>
      <c r="AA169" s="74"/>
      <c r="AB169" s="74"/>
      <c r="AC169" s="74"/>
      <c r="AD169" s="74"/>
      <c r="AE169" s="74"/>
    </row>
    <row r="170" spans="1:31" s="136" customFormat="1" ht="11.25" x14ac:dyDescent="0.3">
      <c r="A170" s="67"/>
      <c r="B170" s="84"/>
      <c r="C170" s="67"/>
      <c r="D170" s="70"/>
      <c r="E170" s="70"/>
      <c r="F170" s="70"/>
      <c r="G170" s="70"/>
      <c r="H170" s="70"/>
      <c r="I170" s="70"/>
      <c r="J170" s="70"/>
      <c r="K170" s="70"/>
      <c r="L170" s="70"/>
      <c r="M170" s="67"/>
      <c r="N170" s="85"/>
      <c r="O170" s="85"/>
      <c r="P170" s="86"/>
      <c r="Q170" s="70"/>
      <c r="R170" s="73"/>
      <c r="S170" s="92" t="s">
        <v>1011</v>
      </c>
    </row>
    <row r="171" spans="1:31" s="63" customFormat="1" ht="11.25" x14ac:dyDescent="0.3">
      <c r="A171" s="55" t="s">
        <v>1012</v>
      </c>
      <c r="B171" s="56" t="s">
        <v>1013</v>
      </c>
      <c r="C171" s="55"/>
      <c r="D171" s="137"/>
      <c r="E171" s="137"/>
      <c r="F171" s="137"/>
      <c r="G171" s="137"/>
      <c r="H171" s="137"/>
      <c r="I171" s="137"/>
      <c r="J171" s="137"/>
      <c r="K171" s="137"/>
      <c r="L171" s="137"/>
      <c r="M171" s="55"/>
      <c r="N171" s="138"/>
      <c r="O171" s="138"/>
      <c r="P171" s="139"/>
      <c r="Q171" s="137"/>
      <c r="R171" s="140"/>
      <c r="S171" s="92" t="s">
        <v>1011</v>
      </c>
      <c r="T171" s="87"/>
      <c r="V171" s="74"/>
      <c r="W171" s="74"/>
      <c r="X171" s="64"/>
      <c r="Y171" s="74"/>
      <c r="Z171" s="74"/>
      <c r="AA171" s="74"/>
      <c r="AB171" s="74"/>
      <c r="AC171" s="74"/>
      <c r="AD171" s="74"/>
      <c r="AE171" s="74"/>
    </row>
    <row r="172" spans="1:31" s="63" customFormat="1" ht="11.25" x14ac:dyDescent="0.3">
      <c r="A172" s="67">
        <v>1</v>
      </c>
      <c r="B172" s="84" t="s">
        <v>1014</v>
      </c>
      <c r="C172" s="67" t="s">
        <v>1015</v>
      </c>
      <c r="D172" s="70" t="s">
        <v>1016</v>
      </c>
      <c r="E172" s="68">
        <v>1.0129999999999999</v>
      </c>
      <c r="F172" s="70">
        <v>0</v>
      </c>
      <c r="G172" s="70">
        <v>100</v>
      </c>
      <c r="H172" s="70" t="s">
        <v>1016</v>
      </c>
      <c r="I172" s="68">
        <v>2.0129999999999999</v>
      </c>
      <c r="J172" s="70">
        <v>1</v>
      </c>
      <c r="K172" s="70">
        <v>120</v>
      </c>
      <c r="L172" s="67" t="s">
        <v>1017</v>
      </c>
      <c r="M172" s="67" t="s">
        <v>1017</v>
      </c>
      <c r="N172" s="70" t="s">
        <v>1016</v>
      </c>
      <c r="O172" s="70" t="s">
        <v>1016</v>
      </c>
      <c r="P172" s="70"/>
      <c r="Q172" s="70"/>
      <c r="R172" s="73"/>
      <c r="S172" s="92" t="s">
        <v>1011</v>
      </c>
      <c r="T172" s="141"/>
      <c r="U172" s="70"/>
      <c r="V172" s="74"/>
      <c r="W172" s="74"/>
      <c r="X172" s="85"/>
      <c r="Y172" s="74"/>
      <c r="Z172" s="74"/>
      <c r="AA172" s="74"/>
      <c r="AB172" s="74"/>
      <c r="AC172" s="74"/>
      <c r="AD172" s="74"/>
      <c r="AE172" s="74"/>
    </row>
    <row r="173" spans="1:31" s="63" customFormat="1" ht="11.25" x14ac:dyDescent="0.3">
      <c r="A173" s="67">
        <v>2</v>
      </c>
      <c r="B173" s="84" t="s">
        <v>1018</v>
      </c>
      <c r="C173" s="67" t="s">
        <v>1019</v>
      </c>
      <c r="D173" s="70" t="s">
        <v>1016</v>
      </c>
      <c r="E173" s="68">
        <v>1.0129999999999999</v>
      </c>
      <c r="F173" s="70">
        <v>0</v>
      </c>
      <c r="G173" s="70">
        <v>37</v>
      </c>
      <c r="H173" s="70" t="s">
        <v>1016</v>
      </c>
      <c r="I173" s="68">
        <v>2.0129999999999999</v>
      </c>
      <c r="J173" s="70">
        <v>1</v>
      </c>
      <c r="K173" s="70">
        <v>45</v>
      </c>
      <c r="L173" s="67" t="s">
        <v>1017</v>
      </c>
      <c r="M173" s="67" t="s">
        <v>1017</v>
      </c>
      <c r="N173" s="70" t="s">
        <v>1016</v>
      </c>
      <c r="O173" s="70" t="s">
        <v>1016</v>
      </c>
      <c r="P173" s="70"/>
      <c r="Q173" s="70"/>
      <c r="R173" s="73"/>
      <c r="S173" s="92" t="s">
        <v>1011</v>
      </c>
      <c r="T173" s="142"/>
      <c r="U173" s="143"/>
      <c r="V173" s="74"/>
      <c r="W173" s="74"/>
      <c r="X173" s="144"/>
      <c r="Y173" s="74"/>
      <c r="Z173" s="74"/>
      <c r="AA173" s="74"/>
      <c r="AB173" s="74"/>
      <c r="AC173" s="74"/>
      <c r="AD173" s="74"/>
      <c r="AE173" s="74"/>
    </row>
    <row r="174" spans="1:31" s="63" customFormat="1" ht="11.25" x14ac:dyDescent="0.3">
      <c r="A174" s="67">
        <v>3</v>
      </c>
      <c r="B174" s="84" t="s">
        <v>1020</v>
      </c>
      <c r="C174" s="67" t="s">
        <v>1021</v>
      </c>
      <c r="D174" s="70">
        <v>2.21</v>
      </c>
      <c r="E174" s="70">
        <v>5.0129999999999999</v>
      </c>
      <c r="F174" s="70">
        <v>4</v>
      </c>
      <c r="G174" s="70">
        <v>100</v>
      </c>
      <c r="H174" s="70">
        <v>2.8730000000000002</v>
      </c>
      <c r="I174" s="68">
        <v>6.0129999999999999</v>
      </c>
      <c r="J174" s="70">
        <v>5</v>
      </c>
      <c r="K174" s="70">
        <v>120</v>
      </c>
      <c r="L174" s="79" t="s">
        <v>813</v>
      </c>
      <c r="M174" s="67" t="s">
        <v>768</v>
      </c>
      <c r="N174" s="70">
        <v>50</v>
      </c>
      <c r="O174" s="70" t="s">
        <v>789</v>
      </c>
      <c r="P174" s="70"/>
      <c r="Q174" s="68">
        <v>3</v>
      </c>
      <c r="R174" s="73" t="s">
        <v>1022</v>
      </c>
      <c r="S174" s="92" t="s">
        <v>1011</v>
      </c>
      <c r="T174" s="142"/>
      <c r="U174" s="143"/>
      <c r="V174" s="74"/>
      <c r="W174" s="74"/>
      <c r="X174" s="144"/>
      <c r="Y174" s="74"/>
      <c r="Z174" s="74"/>
      <c r="AA174" s="74"/>
      <c r="AB174" s="74"/>
      <c r="AC174" s="74"/>
      <c r="AD174" s="74"/>
      <c r="AE174" s="74"/>
    </row>
    <row r="175" spans="1:31" s="63" customFormat="1" ht="12" x14ac:dyDescent="0.3">
      <c r="A175" s="67">
        <v>4</v>
      </c>
      <c r="B175" s="84" t="s">
        <v>1023</v>
      </c>
      <c r="C175" s="67" t="s">
        <v>1024</v>
      </c>
      <c r="D175" s="70">
        <v>6.9</v>
      </c>
      <c r="E175" s="70">
        <v>5.0129999999999999</v>
      </c>
      <c r="F175" s="70">
        <v>4</v>
      </c>
      <c r="G175" s="70">
        <v>37</v>
      </c>
      <c r="H175" s="70">
        <v>8.9700000000000006</v>
      </c>
      <c r="I175" s="68">
        <v>6.0129999999999999</v>
      </c>
      <c r="J175" s="70">
        <v>5</v>
      </c>
      <c r="K175" s="70">
        <v>45</v>
      </c>
      <c r="L175" s="79" t="s">
        <v>813</v>
      </c>
      <c r="M175" s="67" t="s">
        <v>768</v>
      </c>
      <c r="N175" s="70">
        <v>80</v>
      </c>
      <c r="O175" s="70" t="s">
        <v>789</v>
      </c>
      <c r="P175" s="70"/>
      <c r="Q175" s="68">
        <v>3</v>
      </c>
      <c r="R175" s="73" t="s">
        <v>1022</v>
      </c>
      <c r="T175" s="112">
        <v>150</v>
      </c>
      <c r="U175" s="113" t="str">
        <f t="shared" ref="U175:U198" si="11">V175&amp;W175&amp;X175</f>
        <v>HB5 (Galv)</v>
      </c>
      <c r="V175" s="74" t="s">
        <v>786</v>
      </c>
      <c r="W175" s="74" t="s">
        <v>756</v>
      </c>
      <c r="X175" s="114" t="s">
        <v>1025</v>
      </c>
      <c r="Y175" s="74">
        <v>0</v>
      </c>
      <c r="Z175" s="74">
        <v>0.11</v>
      </c>
      <c r="AA175" s="74" t="s">
        <v>941</v>
      </c>
      <c r="AB175" s="74">
        <v>5.08</v>
      </c>
      <c r="AC175" s="74" t="s">
        <v>98</v>
      </c>
      <c r="AD175" s="74" t="s">
        <v>15</v>
      </c>
      <c r="AE175" s="74" t="s">
        <v>16</v>
      </c>
    </row>
    <row r="176" spans="1:31" s="63" customFormat="1" ht="12" x14ac:dyDescent="0.3">
      <c r="A176" s="67">
        <v>5</v>
      </c>
      <c r="B176" s="84" t="s">
        <v>1026</v>
      </c>
      <c r="C176" s="67" t="s">
        <v>1021</v>
      </c>
      <c r="D176" s="70">
        <v>2.21</v>
      </c>
      <c r="E176" s="70">
        <v>5.0129999999999999</v>
      </c>
      <c r="F176" s="70">
        <v>4</v>
      </c>
      <c r="G176" s="70">
        <v>100</v>
      </c>
      <c r="H176" s="70">
        <v>2.8730000000000002</v>
      </c>
      <c r="I176" s="68">
        <v>6.0129999999999999</v>
      </c>
      <c r="J176" s="70">
        <v>5</v>
      </c>
      <c r="K176" s="70">
        <v>120</v>
      </c>
      <c r="L176" s="79" t="s">
        <v>813</v>
      </c>
      <c r="M176" s="67" t="s">
        <v>768</v>
      </c>
      <c r="N176" s="70">
        <v>50</v>
      </c>
      <c r="O176" s="70" t="s">
        <v>789</v>
      </c>
      <c r="P176" s="70"/>
      <c r="Q176" s="68">
        <v>3</v>
      </c>
      <c r="R176" s="73" t="s">
        <v>1022</v>
      </c>
      <c r="S176" s="91"/>
      <c r="T176" s="112">
        <v>150</v>
      </c>
      <c r="U176" s="113" t="str">
        <f t="shared" si="11"/>
        <v>HB5 (Galv)</v>
      </c>
      <c r="V176" s="74" t="s">
        <v>786</v>
      </c>
      <c r="W176" s="74" t="s">
        <v>756</v>
      </c>
      <c r="X176" s="114" t="s">
        <v>1025</v>
      </c>
      <c r="Y176" s="74">
        <v>0</v>
      </c>
      <c r="Z176" s="74">
        <v>0.21000000000000002</v>
      </c>
      <c r="AA176" s="74" t="s">
        <v>772</v>
      </c>
      <c r="AB176" s="74">
        <v>5.49</v>
      </c>
      <c r="AC176" s="74" t="s">
        <v>14</v>
      </c>
      <c r="AD176" s="74" t="s">
        <v>15</v>
      </c>
      <c r="AE176" s="74" t="s">
        <v>16</v>
      </c>
    </row>
    <row r="177" spans="1:31" s="63" customFormat="1" ht="12" x14ac:dyDescent="0.3">
      <c r="A177" s="67">
        <v>6</v>
      </c>
      <c r="B177" s="84" t="s">
        <v>1027</v>
      </c>
      <c r="C177" s="67" t="s">
        <v>1024</v>
      </c>
      <c r="D177" s="70">
        <v>6.9</v>
      </c>
      <c r="E177" s="70">
        <v>5.0129999999999999</v>
      </c>
      <c r="F177" s="70">
        <v>4</v>
      </c>
      <c r="G177" s="70">
        <v>37</v>
      </c>
      <c r="H177" s="70">
        <v>8.9700000000000006</v>
      </c>
      <c r="I177" s="68">
        <v>6.0129999999999999</v>
      </c>
      <c r="J177" s="70">
        <v>5</v>
      </c>
      <c r="K177" s="70">
        <v>45</v>
      </c>
      <c r="L177" s="79" t="s">
        <v>813</v>
      </c>
      <c r="M177" s="67" t="s">
        <v>768</v>
      </c>
      <c r="N177" s="70">
        <v>80</v>
      </c>
      <c r="O177" s="70" t="s">
        <v>789</v>
      </c>
      <c r="P177" s="70"/>
      <c r="Q177" s="68">
        <v>3</v>
      </c>
      <c r="R177" s="73" t="s">
        <v>1022</v>
      </c>
      <c r="S177" s="91"/>
      <c r="T177" s="112">
        <v>150</v>
      </c>
      <c r="U177" s="113" t="str">
        <f t="shared" si="11"/>
        <v>HB5 (Galv)</v>
      </c>
      <c r="V177" s="74" t="s">
        <v>786</v>
      </c>
      <c r="W177" s="74" t="s">
        <v>756</v>
      </c>
      <c r="X177" s="114" t="s">
        <v>1025</v>
      </c>
      <c r="Y177" s="74">
        <v>0</v>
      </c>
      <c r="Z177" s="74">
        <v>0.11</v>
      </c>
      <c r="AA177" s="74" t="s">
        <v>941</v>
      </c>
      <c r="AB177" s="74">
        <v>5.08</v>
      </c>
      <c r="AC177" s="74" t="s">
        <v>98</v>
      </c>
      <c r="AD177" s="74" t="s">
        <v>15</v>
      </c>
      <c r="AE177" s="74" t="s">
        <v>16</v>
      </c>
    </row>
    <row r="178" spans="1:31" s="63" customFormat="1" ht="12" x14ac:dyDescent="0.3">
      <c r="A178" s="67">
        <v>7</v>
      </c>
      <c r="B178" s="84" t="s">
        <v>1028</v>
      </c>
      <c r="C178" s="67" t="s">
        <v>1021</v>
      </c>
      <c r="D178" s="70">
        <v>2.21</v>
      </c>
      <c r="E178" s="70">
        <v>5.0129999999999999</v>
      </c>
      <c r="F178" s="70">
        <v>4</v>
      </c>
      <c r="G178" s="70">
        <v>100</v>
      </c>
      <c r="H178" s="70">
        <v>2.8730000000000002</v>
      </c>
      <c r="I178" s="68">
        <v>6.0129999999999999</v>
      </c>
      <c r="J178" s="70">
        <v>5</v>
      </c>
      <c r="K178" s="70">
        <v>120</v>
      </c>
      <c r="L178" s="79" t="s">
        <v>813</v>
      </c>
      <c r="M178" s="67" t="s">
        <v>768</v>
      </c>
      <c r="N178" s="70">
        <v>50</v>
      </c>
      <c r="O178" s="70" t="s">
        <v>789</v>
      </c>
      <c r="P178" s="70"/>
      <c r="Q178" s="68">
        <v>3</v>
      </c>
      <c r="R178" s="73" t="s">
        <v>1022</v>
      </c>
      <c r="S178" s="91"/>
      <c r="T178" s="112">
        <v>150</v>
      </c>
      <c r="U178" s="113" t="str">
        <f t="shared" si="11"/>
        <v>HB5 (Galv)</v>
      </c>
      <c r="V178" s="74" t="s">
        <v>786</v>
      </c>
      <c r="W178" s="74" t="s">
        <v>756</v>
      </c>
      <c r="X178" s="114" t="s">
        <v>1025</v>
      </c>
      <c r="Y178" s="74">
        <v>0</v>
      </c>
      <c r="Z178" s="74">
        <v>0.21000000000000002</v>
      </c>
      <c r="AA178" s="74" t="s">
        <v>772</v>
      </c>
      <c r="AB178" s="74">
        <v>5.49</v>
      </c>
      <c r="AC178" s="74" t="s">
        <v>14</v>
      </c>
      <c r="AD178" s="74" t="s">
        <v>15</v>
      </c>
      <c r="AE178" s="74" t="s">
        <v>16</v>
      </c>
    </row>
    <row r="179" spans="1:31" s="63" customFormat="1" ht="12" x14ac:dyDescent="0.3">
      <c r="A179" s="67">
        <v>8</v>
      </c>
      <c r="B179" s="84" t="s">
        <v>1029</v>
      </c>
      <c r="C179" s="67" t="s">
        <v>1024</v>
      </c>
      <c r="D179" s="70">
        <v>6.9</v>
      </c>
      <c r="E179" s="70">
        <v>5.0129999999999999</v>
      </c>
      <c r="F179" s="70">
        <v>4</v>
      </c>
      <c r="G179" s="70">
        <v>37</v>
      </c>
      <c r="H179" s="70">
        <v>8.9700000000000006</v>
      </c>
      <c r="I179" s="68">
        <v>6.0129999999999999</v>
      </c>
      <c r="J179" s="70">
        <v>5</v>
      </c>
      <c r="K179" s="70">
        <v>45</v>
      </c>
      <c r="L179" s="79" t="s">
        <v>813</v>
      </c>
      <c r="M179" s="67" t="s">
        <v>768</v>
      </c>
      <c r="N179" s="70">
        <v>80</v>
      </c>
      <c r="O179" s="70" t="s">
        <v>789</v>
      </c>
      <c r="P179" s="70"/>
      <c r="Q179" s="68">
        <v>3</v>
      </c>
      <c r="R179" s="73" t="s">
        <v>1022</v>
      </c>
      <c r="S179" s="74">
        <v>1.1000000000000001</v>
      </c>
      <c r="T179" s="112">
        <v>150</v>
      </c>
      <c r="U179" s="113" t="str">
        <f t="shared" si="11"/>
        <v>HB5 (Galv)</v>
      </c>
      <c r="V179" s="74" t="s">
        <v>786</v>
      </c>
      <c r="W179" s="74" t="s">
        <v>756</v>
      </c>
      <c r="X179" s="114" t="s">
        <v>1025</v>
      </c>
      <c r="Y179" s="74">
        <v>0</v>
      </c>
      <c r="Z179" s="74">
        <v>0.11</v>
      </c>
      <c r="AA179" s="74" t="s">
        <v>941</v>
      </c>
      <c r="AB179" s="74">
        <v>5.08</v>
      </c>
      <c r="AC179" s="74" t="e">
        <v>#N/A</v>
      </c>
      <c r="AD179" s="74" t="e">
        <v>#N/A</v>
      </c>
      <c r="AE179" s="74" t="s">
        <v>16</v>
      </c>
    </row>
    <row r="180" spans="1:31" s="63" customFormat="1" ht="12" x14ac:dyDescent="0.3">
      <c r="A180" s="67">
        <v>9</v>
      </c>
      <c r="B180" s="84" t="s">
        <v>1030</v>
      </c>
      <c r="C180" s="67" t="s">
        <v>1021</v>
      </c>
      <c r="D180" s="70">
        <v>1.38</v>
      </c>
      <c r="E180" s="70">
        <v>5.0129999999999999</v>
      </c>
      <c r="F180" s="70">
        <v>4</v>
      </c>
      <c r="G180" s="70">
        <v>100</v>
      </c>
      <c r="H180" s="70">
        <v>1.7939999999999998</v>
      </c>
      <c r="I180" s="68">
        <v>6.0129999999999999</v>
      </c>
      <c r="J180" s="70">
        <v>5</v>
      </c>
      <c r="K180" s="70">
        <v>120</v>
      </c>
      <c r="L180" s="79" t="s">
        <v>813</v>
      </c>
      <c r="M180" s="67" t="s">
        <v>768</v>
      </c>
      <c r="N180" s="70">
        <v>25</v>
      </c>
      <c r="O180" s="70" t="s">
        <v>789</v>
      </c>
      <c r="P180" s="70"/>
      <c r="Q180" s="68">
        <v>3</v>
      </c>
      <c r="R180" s="73" t="s">
        <v>1022</v>
      </c>
      <c r="S180" s="74">
        <v>1.1000000000000001</v>
      </c>
      <c r="T180" s="112">
        <v>150</v>
      </c>
      <c r="U180" s="113" t="str">
        <f t="shared" si="11"/>
        <v>HB5 (Galv)</v>
      </c>
      <c r="V180" s="74" t="s">
        <v>786</v>
      </c>
      <c r="W180" s="74" t="s">
        <v>756</v>
      </c>
      <c r="X180" s="114" t="s">
        <v>1025</v>
      </c>
      <c r="Y180" s="74">
        <v>0</v>
      </c>
      <c r="Z180" s="74">
        <v>0.21000000000000002</v>
      </c>
      <c r="AA180" s="74" t="s">
        <v>772</v>
      </c>
      <c r="AB180" s="74">
        <v>5.49</v>
      </c>
      <c r="AC180" s="74" t="s">
        <v>14</v>
      </c>
      <c r="AD180" s="74" t="s">
        <v>15</v>
      </c>
      <c r="AE180" s="74" t="s">
        <v>16</v>
      </c>
    </row>
    <row r="181" spans="1:31" s="63" customFormat="1" ht="12" x14ac:dyDescent="0.3">
      <c r="A181" s="67">
        <v>10</v>
      </c>
      <c r="B181" s="84" t="s">
        <v>1031</v>
      </c>
      <c r="C181" s="67" t="s">
        <v>1021</v>
      </c>
      <c r="D181" s="70">
        <v>1.38</v>
      </c>
      <c r="E181" s="70">
        <v>5.0129999999999999</v>
      </c>
      <c r="F181" s="70">
        <v>4</v>
      </c>
      <c r="G181" s="70">
        <v>100</v>
      </c>
      <c r="H181" s="70">
        <v>1.7939999999999998</v>
      </c>
      <c r="I181" s="68">
        <v>6.0129999999999999</v>
      </c>
      <c r="J181" s="70">
        <v>5</v>
      </c>
      <c r="K181" s="70">
        <v>120</v>
      </c>
      <c r="L181" s="79" t="s">
        <v>813</v>
      </c>
      <c r="M181" s="67" t="s">
        <v>768</v>
      </c>
      <c r="N181" s="70">
        <v>25</v>
      </c>
      <c r="O181" s="70" t="s">
        <v>789</v>
      </c>
      <c r="P181" s="70"/>
      <c r="Q181" s="68">
        <v>3</v>
      </c>
      <c r="R181" s="73" t="s">
        <v>1022</v>
      </c>
      <c r="S181" s="74">
        <v>1.1000000000000001</v>
      </c>
      <c r="T181" s="112">
        <v>150</v>
      </c>
      <c r="U181" s="113" t="str">
        <f t="shared" si="11"/>
        <v>HB5 (Galv)</v>
      </c>
      <c r="V181" s="74" t="s">
        <v>786</v>
      </c>
      <c r="W181" s="74" t="s">
        <v>756</v>
      </c>
      <c r="X181" s="114" t="s">
        <v>1025</v>
      </c>
      <c r="Y181" s="74">
        <v>0</v>
      </c>
      <c r="Z181" s="74">
        <v>0.14000000000000001</v>
      </c>
      <c r="AA181" s="74" t="s">
        <v>941</v>
      </c>
      <c r="AB181" s="74">
        <v>5.54</v>
      </c>
      <c r="AC181" s="74" t="s">
        <v>98</v>
      </c>
      <c r="AD181" s="74" t="s">
        <v>15</v>
      </c>
      <c r="AE181" s="74" t="s">
        <v>16</v>
      </c>
    </row>
    <row r="182" spans="1:31" s="63" customFormat="1" ht="12" x14ac:dyDescent="0.3">
      <c r="A182" s="67">
        <v>11</v>
      </c>
      <c r="B182" s="84" t="s">
        <v>1032</v>
      </c>
      <c r="C182" s="67" t="s">
        <v>1021</v>
      </c>
      <c r="D182" s="70">
        <v>3.31</v>
      </c>
      <c r="E182" s="70">
        <v>5.0129999999999999</v>
      </c>
      <c r="F182" s="70">
        <v>4</v>
      </c>
      <c r="G182" s="70">
        <v>100</v>
      </c>
      <c r="H182" s="70">
        <v>4.3029999999999999</v>
      </c>
      <c r="I182" s="68">
        <v>6.0129999999999999</v>
      </c>
      <c r="J182" s="70">
        <v>5</v>
      </c>
      <c r="K182" s="70">
        <v>120</v>
      </c>
      <c r="L182" s="79" t="s">
        <v>813</v>
      </c>
      <c r="M182" s="67" t="s">
        <v>768</v>
      </c>
      <c r="N182" s="70">
        <v>50</v>
      </c>
      <c r="O182" s="70" t="s">
        <v>789</v>
      </c>
      <c r="P182" s="70"/>
      <c r="Q182" s="68">
        <v>3</v>
      </c>
      <c r="R182" s="73" t="s">
        <v>1022</v>
      </c>
      <c r="S182" s="74">
        <v>1.1000000000000001</v>
      </c>
      <c r="T182" s="112">
        <v>150</v>
      </c>
      <c r="U182" s="113" t="str">
        <f t="shared" si="11"/>
        <v>HB5 (Galv)</v>
      </c>
      <c r="V182" s="74" t="s">
        <v>786</v>
      </c>
      <c r="W182" s="74" t="s">
        <v>756</v>
      </c>
      <c r="X182" s="114" t="s">
        <v>1025</v>
      </c>
      <c r="Y182" s="74">
        <v>0</v>
      </c>
      <c r="Z182" s="74">
        <v>0.14000000000000001</v>
      </c>
      <c r="AA182" s="74" t="s">
        <v>941</v>
      </c>
      <c r="AB182" s="74">
        <v>5.54</v>
      </c>
      <c r="AC182" s="74" t="s">
        <v>98</v>
      </c>
      <c r="AD182" s="74" t="s">
        <v>15</v>
      </c>
      <c r="AE182" s="74" t="s">
        <v>16</v>
      </c>
    </row>
    <row r="183" spans="1:31" s="63" customFormat="1" ht="12" x14ac:dyDescent="0.3">
      <c r="A183" s="67">
        <v>12</v>
      </c>
      <c r="B183" s="84" t="s">
        <v>1033</v>
      </c>
      <c r="C183" s="67" t="s">
        <v>1024</v>
      </c>
      <c r="D183" s="70">
        <v>1.93</v>
      </c>
      <c r="E183" s="68">
        <v>5.0129999999999999</v>
      </c>
      <c r="F183" s="70">
        <v>4</v>
      </c>
      <c r="G183" s="70">
        <v>37</v>
      </c>
      <c r="H183" s="70">
        <v>2.5089999999999999</v>
      </c>
      <c r="I183" s="68">
        <v>6.0129999999999999</v>
      </c>
      <c r="J183" s="70">
        <v>5</v>
      </c>
      <c r="K183" s="70">
        <v>45</v>
      </c>
      <c r="L183" s="79" t="s">
        <v>813</v>
      </c>
      <c r="M183" s="67" t="s">
        <v>768</v>
      </c>
      <c r="N183" s="70">
        <v>50</v>
      </c>
      <c r="O183" s="70" t="s">
        <v>789</v>
      </c>
      <c r="P183" s="70"/>
      <c r="Q183" s="68">
        <v>3</v>
      </c>
      <c r="R183" s="73" t="s">
        <v>1022</v>
      </c>
      <c r="S183" s="74">
        <v>1.1000000000000001</v>
      </c>
      <c r="T183" s="112">
        <v>150</v>
      </c>
      <c r="U183" s="113" t="str">
        <f t="shared" si="11"/>
        <v>HB5 (Galv)</v>
      </c>
      <c r="V183" s="74" t="s">
        <v>786</v>
      </c>
      <c r="W183" s="74" t="s">
        <v>756</v>
      </c>
      <c r="X183" s="114" t="s">
        <v>1025</v>
      </c>
      <c r="Y183" s="74">
        <v>0</v>
      </c>
      <c r="Z183" s="74">
        <v>0.11</v>
      </c>
      <c r="AA183" s="74" t="s">
        <v>941</v>
      </c>
      <c r="AB183" s="74">
        <v>5.08</v>
      </c>
      <c r="AC183" s="74" t="s">
        <v>98</v>
      </c>
      <c r="AD183" s="74" t="s">
        <v>15</v>
      </c>
      <c r="AE183" s="74" t="s">
        <v>16</v>
      </c>
    </row>
    <row r="184" spans="1:31" s="63" customFormat="1" ht="12" x14ac:dyDescent="0.3">
      <c r="A184" s="67">
        <v>13</v>
      </c>
      <c r="B184" s="84" t="s">
        <v>1034</v>
      </c>
      <c r="C184" s="67" t="s">
        <v>1035</v>
      </c>
      <c r="D184" s="70" t="s">
        <v>1016</v>
      </c>
      <c r="E184" s="68">
        <v>1.0129999999999999</v>
      </c>
      <c r="F184" s="70">
        <v>0</v>
      </c>
      <c r="G184" s="70">
        <v>37</v>
      </c>
      <c r="H184" s="70" t="s">
        <v>1016</v>
      </c>
      <c r="I184" s="68">
        <v>2.0129999999999999</v>
      </c>
      <c r="J184" s="70">
        <v>1</v>
      </c>
      <c r="K184" s="70">
        <v>45</v>
      </c>
      <c r="L184" s="67" t="s">
        <v>1016</v>
      </c>
      <c r="M184" s="67" t="s">
        <v>1016</v>
      </c>
      <c r="N184" s="70" t="s">
        <v>1016</v>
      </c>
      <c r="O184" s="70" t="s">
        <v>1016</v>
      </c>
      <c r="P184" s="70"/>
      <c r="Q184" s="68" t="s">
        <v>1016</v>
      </c>
      <c r="R184" s="73"/>
      <c r="S184" s="74">
        <v>1.1000000000000001</v>
      </c>
      <c r="T184" s="112"/>
      <c r="U184" s="113"/>
      <c r="V184" s="74"/>
      <c r="W184" s="74"/>
      <c r="X184" s="114"/>
      <c r="Y184" s="74"/>
      <c r="Z184" s="74"/>
      <c r="AA184" s="74"/>
      <c r="AB184" s="74"/>
      <c r="AC184" s="74"/>
      <c r="AD184" s="74"/>
      <c r="AE184" s="74"/>
    </row>
    <row r="185" spans="1:31" s="63" customFormat="1" ht="12" x14ac:dyDescent="0.3">
      <c r="A185" s="67">
        <v>14</v>
      </c>
      <c r="B185" s="84" t="s">
        <v>1036</v>
      </c>
      <c r="C185" s="67" t="s">
        <v>1037</v>
      </c>
      <c r="D185" s="70">
        <v>1.38</v>
      </c>
      <c r="E185" s="68">
        <v>7.0129999999999999</v>
      </c>
      <c r="F185" s="70">
        <v>6</v>
      </c>
      <c r="G185" s="70">
        <v>37</v>
      </c>
      <c r="H185" s="70">
        <v>1.7939999999999998</v>
      </c>
      <c r="I185" s="68">
        <v>8.0129999999999999</v>
      </c>
      <c r="J185" s="70">
        <v>7</v>
      </c>
      <c r="K185" s="70">
        <v>45</v>
      </c>
      <c r="L185" s="79" t="s">
        <v>813</v>
      </c>
      <c r="M185" s="67" t="s">
        <v>768</v>
      </c>
      <c r="N185" s="70">
        <v>25</v>
      </c>
      <c r="O185" s="70" t="s">
        <v>789</v>
      </c>
      <c r="P185" s="70"/>
      <c r="Q185" s="68">
        <v>3</v>
      </c>
      <c r="R185" s="73" t="s">
        <v>1038</v>
      </c>
      <c r="S185" s="74">
        <v>1.1000000000000001</v>
      </c>
      <c r="T185" s="112"/>
      <c r="U185" s="113"/>
      <c r="V185" s="74"/>
      <c r="W185" s="74"/>
      <c r="X185" s="114"/>
      <c r="Y185" s="74"/>
      <c r="Z185" s="74"/>
      <c r="AA185" s="74"/>
      <c r="AB185" s="74"/>
      <c r="AC185" s="74"/>
      <c r="AD185" s="74"/>
      <c r="AE185" s="74"/>
    </row>
    <row r="186" spans="1:31" s="63" customFormat="1" ht="12" x14ac:dyDescent="0.3">
      <c r="A186" s="67">
        <v>15</v>
      </c>
      <c r="B186" s="84" t="s">
        <v>1039</v>
      </c>
      <c r="C186" s="67" t="s">
        <v>1037</v>
      </c>
      <c r="D186" s="70">
        <v>1.38</v>
      </c>
      <c r="E186" s="68">
        <v>7.0129999999999999</v>
      </c>
      <c r="F186" s="70">
        <v>6</v>
      </c>
      <c r="G186" s="70">
        <v>37</v>
      </c>
      <c r="H186" s="70">
        <v>1.7939999999999998</v>
      </c>
      <c r="I186" s="68">
        <v>8.0129999999999999</v>
      </c>
      <c r="J186" s="70">
        <v>7</v>
      </c>
      <c r="K186" s="70">
        <v>45</v>
      </c>
      <c r="L186" s="79" t="s">
        <v>813</v>
      </c>
      <c r="M186" s="67" t="s">
        <v>768</v>
      </c>
      <c r="N186" s="70">
        <v>25</v>
      </c>
      <c r="O186" s="70" t="s">
        <v>789</v>
      </c>
      <c r="P186" s="70"/>
      <c r="Q186" s="68">
        <v>3</v>
      </c>
      <c r="R186" s="73" t="s">
        <v>1022</v>
      </c>
      <c r="S186" s="74">
        <v>1.1000000000000001</v>
      </c>
      <c r="T186" s="112"/>
      <c r="U186" s="113"/>
      <c r="V186" s="74"/>
      <c r="W186" s="74"/>
      <c r="X186" s="114"/>
      <c r="Y186" s="74"/>
      <c r="Z186" s="74"/>
      <c r="AA186" s="74"/>
      <c r="AB186" s="74"/>
      <c r="AC186" s="74"/>
      <c r="AD186" s="74"/>
      <c r="AE186" s="74"/>
    </row>
    <row r="187" spans="1:31" s="63" customFormat="1" ht="12" x14ac:dyDescent="0.3">
      <c r="A187" s="67">
        <v>16</v>
      </c>
      <c r="B187" s="84" t="s">
        <v>1040</v>
      </c>
      <c r="C187" s="67" t="s">
        <v>1037</v>
      </c>
      <c r="D187" s="70">
        <v>1.38</v>
      </c>
      <c r="E187" s="68">
        <v>7.0129999999999999</v>
      </c>
      <c r="F187" s="70">
        <v>6</v>
      </c>
      <c r="G187" s="70">
        <v>37</v>
      </c>
      <c r="H187" s="70">
        <v>1.7939999999999998</v>
      </c>
      <c r="I187" s="68">
        <v>8.0129999999999999</v>
      </c>
      <c r="J187" s="70">
        <v>7</v>
      </c>
      <c r="K187" s="70">
        <v>45</v>
      </c>
      <c r="L187" s="79" t="s">
        <v>813</v>
      </c>
      <c r="M187" s="67" t="s">
        <v>768</v>
      </c>
      <c r="N187" s="70">
        <v>25</v>
      </c>
      <c r="O187" s="70" t="s">
        <v>789</v>
      </c>
      <c r="P187" s="70"/>
      <c r="Q187" s="68">
        <v>3</v>
      </c>
      <c r="R187" s="73" t="s">
        <v>1022</v>
      </c>
      <c r="S187" s="74">
        <v>1.1000000000000001</v>
      </c>
      <c r="T187" s="112"/>
      <c r="U187" s="113"/>
      <c r="V187" s="74"/>
      <c r="W187" s="74"/>
      <c r="X187" s="114"/>
      <c r="Y187" s="74"/>
      <c r="Z187" s="74"/>
      <c r="AA187" s="74"/>
      <c r="AB187" s="74"/>
      <c r="AC187" s="74"/>
      <c r="AD187" s="74"/>
      <c r="AE187" s="74"/>
    </row>
    <row r="188" spans="1:31" s="63" customFormat="1" ht="12" x14ac:dyDescent="0.3">
      <c r="A188" s="67">
        <v>17</v>
      </c>
      <c r="B188" s="84" t="s">
        <v>1041</v>
      </c>
      <c r="C188" s="67" t="s">
        <v>1037</v>
      </c>
      <c r="D188" s="70">
        <v>10.210000000000001</v>
      </c>
      <c r="E188" s="68">
        <v>7.0129999999999999</v>
      </c>
      <c r="F188" s="70">
        <v>6</v>
      </c>
      <c r="G188" s="70">
        <v>37</v>
      </c>
      <c r="H188" s="70">
        <v>13.273000000000001</v>
      </c>
      <c r="I188" s="68">
        <v>8.0129999999999999</v>
      </c>
      <c r="J188" s="70">
        <v>7</v>
      </c>
      <c r="K188" s="70">
        <v>45</v>
      </c>
      <c r="L188" s="79" t="s">
        <v>813</v>
      </c>
      <c r="M188" s="67" t="s">
        <v>768</v>
      </c>
      <c r="N188" s="70">
        <v>80</v>
      </c>
      <c r="O188" s="70" t="s">
        <v>789</v>
      </c>
      <c r="P188" s="70"/>
      <c r="Q188" s="68">
        <v>3</v>
      </c>
      <c r="R188" s="73" t="s">
        <v>1038</v>
      </c>
      <c r="S188" s="74"/>
      <c r="T188" s="112"/>
      <c r="U188" s="113"/>
      <c r="V188" s="74"/>
      <c r="W188" s="74"/>
      <c r="X188" s="114"/>
      <c r="Y188" s="74"/>
      <c r="Z188" s="74"/>
      <c r="AA188" s="74"/>
      <c r="AB188" s="74"/>
      <c r="AC188" s="74"/>
      <c r="AD188" s="74"/>
      <c r="AE188" s="74"/>
    </row>
    <row r="189" spans="1:31" s="63" customFormat="1" ht="12" x14ac:dyDescent="0.3">
      <c r="A189" s="67">
        <v>18</v>
      </c>
      <c r="B189" s="84" t="s">
        <v>1042</v>
      </c>
      <c r="C189" s="67" t="s">
        <v>1037</v>
      </c>
      <c r="D189" s="70">
        <v>10.210000000000001</v>
      </c>
      <c r="E189" s="68">
        <v>7.0129999999999999</v>
      </c>
      <c r="F189" s="70">
        <v>6</v>
      </c>
      <c r="G189" s="70">
        <v>37</v>
      </c>
      <c r="H189" s="70">
        <v>13.273000000000001</v>
      </c>
      <c r="I189" s="68">
        <v>8.0129999999999999</v>
      </c>
      <c r="J189" s="70">
        <v>7</v>
      </c>
      <c r="K189" s="70">
        <v>45</v>
      </c>
      <c r="L189" s="79" t="s">
        <v>813</v>
      </c>
      <c r="M189" s="67" t="s">
        <v>768</v>
      </c>
      <c r="N189" s="70">
        <v>80</v>
      </c>
      <c r="O189" s="70" t="s">
        <v>789</v>
      </c>
      <c r="P189" s="70"/>
      <c r="Q189" s="68">
        <v>3</v>
      </c>
      <c r="R189" s="73" t="s">
        <v>1022</v>
      </c>
      <c r="S189" s="74"/>
      <c r="T189" s="112"/>
      <c r="U189" s="113"/>
      <c r="V189" s="74"/>
      <c r="W189" s="74"/>
      <c r="X189" s="114"/>
      <c r="Y189" s="74"/>
      <c r="Z189" s="74"/>
      <c r="AA189" s="74"/>
      <c r="AB189" s="74"/>
      <c r="AC189" s="74"/>
      <c r="AD189" s="74"/>
      <c r="AE189" s="74"/>
    </row>
    <row r="190" spans="1:31" s="63" customFormat="1" ht="12" x14ac:dyDescent="0.3">
      <c r="A190" s="67">
        <v>19</v>
      </c>
      <c r="B190" s="84" t="s">
        <v>1043</v>
      </c>
      <c r="C190" s="67" t="s">
        <v>1037</v>
      </c>
      <c r="D190" s="70">
        <v>10.210000000000001</v>
      </c>
      <c r="E190" s="68">
        <v>7.0129999999999999</v>
      </c>
      <c r="F190" s="70">
        <v>6</v>
      </c>
      <c r="G190" s="70">
        <v>37</v>
      </c>
      <c r="H190" s="70">
        <v>13.273000000000001</v>
      </c>
      <c r="I190" s="68">
        <v>8.0129999999999999</v>
      </c>
      <c r="J190" s="70">
        <v>7</v>
      </c>
      <c r="K190" s="70">
        <v>45</v>
      </c>
      <c r="L190" s="79" t="s">
        <v>813</v>
      </c>
      <c r="M190" s="67" t="s">
        <v>768</v>
      </c>
      <c r="N190" s="70">
        <v>80</v>
      </c>
      <c r="O190" s="70" t="s">
        <v>789</v>
      </c>
      <c r="P190" s="70"/>
      <c r="Q190" s="68">
        <v>3</v>
      </c>
      <c r="R190" s="73" t="s">
        <v>1022</v>
      </c>
      <c r="S190" s="74"/>
      <c r="T190" s="112"/>
      <c r="U190" s="113"/>
      <c r="V190" s="74"/>
      <c r="W190" s="74"/>
      <c r="X190" s="114"/>
      <c r="Y190" s="74"/>
      <c r="Z190" s="74"/>
      <c r="AA190" s="74"/>
      <c r="AB190" s="74"/>
      <c r="AC190" s="74"/>
      <c r="AD190" s="74"/>
      <c r="AE190" s="74"/>
    </row>
    <row r="191" spans="1:31" s="63" customFormat="1" ht="12" x14ac:dyDescent="0.3">
      <c r="A191" s="67">
        <v>20</v>
      </c>
      <c r="B191" s="84" t="s">
        <v>1044</v>
      </c>
      <c r="C191" s="67" t="s">
        <v>1037</v>
      </c>
      <c r="D191" s="70">
        <v>1.4</v>
      </c>
      <c r="E191" s="68">
        <v>7.0129999999999999</v>
      </c>
      <c r="F191" s="70">
        <v>6</v>
      </c>
      <c r="G191" s="70">
        <v>37</v>
      </c>
      <c r="H191" s="70">
        <v>1.8199999999999998</v>
      </c>
      <c r="I191" s="68">
        <v>8.0129999999999999</v>
      </c>
      <c r="J191" s="70">
        <v>7</v>
      </c>
      <c r="K191" s="70">
        <v>45</v>
      </c>
      <c r="L191" s="79" t="s">
        <v>813</v>
      </c>
      <c r="M191" s="67" t="s">
        <v>768</v>
      </c>
      <c r="N191" s="70">
        <v>25</v>
      </c>
      <c r="O191" s="70" t="s">
        <v>789</v>
      </c>
      <c r="P191" s="70"/>
      <c r="Q191" s="68">
        <v>3</v>
      </c>
      <c r="R191" s="73" t="s">
        <v>1022</v>
      </c>
      <c r="S191" s="74"/>
      <c r="T191" s="112"/>
      <c r="U191" s="113"/>
      <c r="V191" s="74"/>
      <c r="W191" s="74"/>
      <c r="X191" s="114"/>
      <c r="Y191" s="74"/>
      <c r="Z191" s="74"/>
      <c r="AA191" s="74"/>
      <c r="AB191" s="74"/>
      <c r="AC191" s="74"/>
      <c r="AD191" s="74"/>
      <c r="AE191" s="74"/>
    </row>
    <row r="192" spans="1:31" s="63" customFormat="1" ht="12" x14ac:dyDescent="0.3">
      <c r="A192" s="67">
        <v>21</v>
      </c>
      <c r="B192" s="84" t="s">
        <v>1045</v>
      </c>
      <c r="C192" s="67" t="s">
        <v>1037</v>
      </c>
      <c r="D192" s="70">
        <v>1.4</v>
      </c>
      <c r="E192" s="68">
        <v>7.0129999999999999</v>
      </c>
      <c r="F192" s="70">
        <v>6</v>
      </c>
      <c r="G192" s="70">
        <v>37</v>
      </c>
      <c r="H192" s="70">
        <v>1.8199999999999998</v>
      </c>
      <c r="I192" s="68">
        <v>8.0129999999999999</v>
      </c>
      <c r="J192" s="70">
        <v>7</v>
      </c>
      <c r="K192" s="70">
        <v>45</v>
      </c>
      <c r="L192" s="79" t="s">
        <v>813</v>
      </c>
      <c r="M192" s="67" t="s">
        <v>768</v>
      </c>
      <c r="N192" s="70">
        <v>25</v>
      </c>
      <c r="O192" s="70" t="s">
        <v>789</v>
      </c>
      <c r="P192" s="70"/>
      <c r="Q192" s="68">
        <v>3</v>
      </c>
      <c r="R192" s="73" t="s">
        <v>1046</v>
      </c>
      <c r="S192" s="74"/>
      <c r="T192" s="112"/>
      <c r="U192" s="113"/>
      <c r="V192" s="74"/>
      <c r="W192" s="74"/>
      <c r="X192" s="114"/>
      <c r="Y192" s="74"/>
      <c r="Z192" s="74"/>
      <c r="AA192" s="74"/>
      <c r="AB192" s="74"/>
      <c r="AC192" s="74"/>
      <c r="AD192" s="74"/>
      <c r="AE192" s="74"/>
    </row>
    <row r="193" spans="1:31" s="63" customFormat="1" ht="12" x14ac:dyDescent="0.3">
      <c r="A193" s="67">
        <v>22</v>
      </c>
      <c r="B193" s="84" t="s">
        <v>1047</v>
      </c>
      <c r="C193" s="67" t="s">
        <v>1037</v>
      </c>
      <c r="D193" s="70">
        <v>9.11</v>
      </c>
      <c r="E193" s="68">
        <v>7.0129999999999999</v>
      </c>
      <c r="F193" s="70">
        <v>6</v>
      </c>
      <c r="G193" s="70">
        <v>37</v>
      </c>
      <c r="H193" s="70">
        <v>11.843</v>
      </c>
      <c r="I193" s="68">
        <v>8.0129999999999999</v>
      </c>
      <c r="J193" s="70">
        <v>7</v>
      </c>
      <c r="K193" s="70">
        <v>45</v>
      </c>
      <c r="L193" s="79" t="s">
        <v>813</v>
      </c>
      <c r="M193" s="67" t="s">
        <v>768</v>
      </c>
      <c r="N193" s="70">
        <v>80</v>
      </c>
      <c r="O193" s="70" t="s">
        <v>789</v>
      </c>
      <c r="P193" s="70"/>
      <c r="Q193" s="70">
        <v>3</v>
      </c>
      <c r="R193" s="73" t="s">
        <v>1046</v>
      </c>
      <c r="S193" s="74"/>
      <c r="T193" s="112"/>
      <c r="U193" s="113"/>
      <c r="V193" s="74"/>
      <c r="W193" s="74"/>
      <c r="X193" s="114"/>
      <c r="Y193" s="74"/>
      <c r="Z193" s="74"/>
      <c r="AA193" s="74"/>
      <c r="AB193" s="74"/>
      <c r="AC193" s="74"/>
      <c r="AD193" s="74"/>
      <c r="AE193" s="74"/>
    </row>
    <row r="194" spans="1:31" s="63" customFormat="1" ht="12" x14ac:dyDescent="0.3">
      <c r="A194" s="67">
        <v>23</v>
      </c>
      <c r="B194" s="84" t="s">
        <v>1048</v>
      </c>
      <c r="C194" s="67" t="s">
        <v>1037</v>
      </c>
      <c r="D194" s="70">
        <v>8.83</v>
      </c>
      <c r="E194" s="70">
        <v>7.0129999999999999</v>
      </c>
      <c r="F194" s="70">
        <v>6</v>
      </c>
      <c r="G194" s="70">
        <v>37</v>
      </c>
      <c r="H194" s="70">
        <v>11.479000000000001</v>
      </c>
      <c r="I194" s="68">
        <v>8.0129999999999999</v>
      </c>
      <c r="J194" s="70">
        <v>7</v>
      </c>
      <c r="K194" s="70">
        <v>45</v>
      </c>
      <c r="L194" s="79" t="s">
        <v>813</v>
      </c>
      <c r="M194" s="70" t="s">
        <v>768</v>
      </c>
      <c r="N194" s="70">
        <v>80</v>
      </c>
      <c r="O194" s="70" t="s">
        <v>789</v>
      </c>
      <c r="P194" s="70"/>
      <c r="Q194" s="68">
        <v>3</v>
      </c>
      <c r="R194" s="73" t="s">
        <v>1038</v>
      </c>
      <c r="S194" s="74"/>
      <c r="T194" s="112"/>
      <c r="U194" s="113"/>
      <c r="V194" s="74"/>
      <c r="W194" s="74"/>
      <c r="X194" s="114"/>
      <c r="Y194" s="74"/>
      <c r="Z194" s="74"/>
      <c r="AA194" s="74"/>
      <c r="AB194" s="74"/>
      <c r="AC194" s="74"/>
      <c r="AD194" s="74"/>
      <c r="AE194" s="74"/>
    </row>
    <row r="195" spans="1:31" s="63" customFormat="1" ht="12" x14ac:dyDescent="0.3">
      <c r="A195" s="67">
        <v>24</v>
      </c>
      <c r="B195" s="84" t="s">
        <v>1049</v>
      </c>
      <c r="C195" s="67" t="s">
        <v>1037</v>
      </c>
      <c r="D195" s="70">
        <v>9.11</v>
      </c>
      <c r="E195" s="70">
        <v>7.0129999999999999</v>
      </c>
      <c r="F195" s="70">
        <v>6</v>
      </c>
      <c r="G195" s="70">
        <v>37</v>
      </c>
      <c r="H195" s="70">
        <v>11.843</v>
      </c>
      <c r="I195" s="68">
        <v>8.0129999999999999</v>
      </c>
      <c r="J195" s="70">
        <v>7</v>
      </c>
      <c r="K195" s="70">
        <v>45</v>
      </c>
      <c r="L195" s="79" t="s">
        <v>813</v>
      </c>
      <c r="M195" s="70" t="s">
        <v>768</v>
      </c>
      <c r="N195" s="70">
        <v>80</v>
      </c>
      <c r="O195" s="70" t="s">
        <v>789</v>
      </c>
      <c r="P195" s="70"/>
      <c r="Q195" s="68">
        <v>3</v>
      </c>
      <c r="R195" s="73" t="s">
        <v>1046</v>
      </c>
      <c r="S195" s="74"/>
      <c r="T195" s="112">
        <v>150</v>
      </c>
      <c r="U195" s="113" t="str">
        <f t="shared" si="11"/>
        <v>HL2</v>
      </c>
      <c r="V195" s="74" t="s">
        <v>786</v>
      </c>
      <c r="W195" s="74" t="s">
        <v>1050</v>
      </c>
      <c r="X195" s="114">
        <v>2</v>
      </c>
      <c r="Y195" s="74">
        <v>0</v>
      </c>
      <c r="Z195" s="74" t="s">
        <v>1051</v>
      </c>
      <c r="AA195" s="74" t="s">
        <v>1051</v>
      </c>
      <c r="AB195" s="74" t="s">
        <v>1052</v>
      </c>
      <c r="AC195" s="74"/>
      <c r="AD195" s="74"/>
      <c r="AE195" s="74"/>
    </row>
    <row r="196" spans="1:31" s="63" customFormat="1" ht="12" x14ac:dyDescent="0.3">
      <c r="A196" s="67">
        <v>25</v>
      </c>
      <c r="B196" s="84" t="s">
        <v>1053</v>
      </c>
      <c r="C196" s="67" t="s">
        <v>1037</v>
      </c>
      <c r="D196" s="70">
        <v>4.6900000000000004</v>
      </c>
      <c r="E196" s="70">
        <v>7.0129999999999999</v>
      </c>
      <c r="F196" s="70">
        <v>6</v>
      </c>
      <c r="G196" s="70">
        <v>37</v>
      </c>
      <c r="H196" s="70">
        <v>6.0970000000000004</v>
      </c>
      <c r="I196" s="68">
        <v>8.0129999999999999</v>
      </c>
      <c r="J196" s="70">
        <v>7</v>
      </c>
      <c r="K196" s="70">
        <v>45</v>
      </c>
      <c r="L196" s="79" t="s">
        <v>813</v>
      </c>
      <c r="M196" s="70" t="s">
        <v>768</v>
      </c>
      <c r="N196" s="70">
        <v>50</v>
      </c>
      <c r="O196" s="70" t="s">
        <v>789</v>
      </c>
      <c r="P196" s="70"/>
      <c r="Q196" s="68">
        <v>3</v>
      </c>
      <c r="R196" s="73" t="s">
        <v>1038</v>
      </c>
      <c r="S196" s="74"/>
      <c r="T196" s="112">
        <v>150</v>
      </c>
      <c r="U196" s="113" t="str">
        <f t="shared" si="11"/>
        <v>HL2</v>
      </c>
      <c r="V196" s="74" t="s">
        <v>786</v>
      </c>
      <c r="W196" s="74" t="s">
        <v>1050</v>
      </c>
      <c r="X196" s="114">
        <v>2</v>
      </c>
      <c r="Y196" s="74">
        <v>0</v>
      </c>
      <c r="Z196" s="74" t="s">
        <v>1051</v>
      </c>
      <c r="AA196" s="74" t="s">
        <v>1051</v>
      </c>
      <c r="AB196" s="74" t="s">
        <v>1052</v>
      </c>
      <c r="AC196" s="74"/>
      <c r="AD196" s="74"/>
      <c r="AE196" s="74"/>
    </row>
    <row r="197" spans="1:31" s="63" customFormat="1" ht="12" x14ac:dyDescent="0.3">
      <c r="A197" s="67">
        <v>26</v>
      </c>
      <c r="B197" s="84" t="s">
        <v>1054</v>
      </c>
      <c r="C197" s="67" t="s">
        <v>1037</v>
      </c>
      <c r="D197" s="70">
        <v>1.4</v>
      </c>
      <c r="E197" s="70">
        <v>7.0129999999999999</v>
      </c>
      <c r="F197" s="70">
        <v>6</v>
      </c>
      <c r="G197" s="70">
        <v>37</v>
      </c>
      <c r="H197" s="70">
        <v>1.8199999999999998</v>
      </c>
      <c r="I197" s="68">
        <v>8.0129999999999999</v>
      </c>
      <c r="J197" s="70">
        <v>7</v>
      </c>
      <c r="K197" s="70">
        <v>45</v>
      </c>
      <c r="L197" s="79" t="s">
        <v>813</v>
      </c>
      <c r="M197" s="70" t="s">
        <v>768</v>
      </c>
      <c r="N197" s="70">
        <v>50</v>
      </c>
      <c r="O197" s="70" t="s">
        <v>789</v>
      </c>
      <c r="P197" s="70"/>
      <c r="Q197" s="68">
        <v>3</v>
      </c>
      <c r="R197" s="73" t="s">
        <v>1038</v>
      </c>
      <c r="S197" s="74"/>
      <c r="T197" s="112">
        <v>150</v>
      </c>
      <c r="U197" s="113" t="str">
        <f t="shared" si="11"/>
        <v>HL2</v>
      </c>
      <c r="V197" s="74" t="s">
        <v>786</v>
      </c>
      <c r="W197" s="74" t="s">
        <v>1050</v>
      </c>
      <c r="X197" s="114">
        <v>2</v>
      </c>
      <c r="Y197" s="74">
        <v>0</v>
      </c>
      <c r="Z197" s="74" t="s">
        <v>1051</v>
      </c>
      <c r="AA197" s="74" t="s">
        <v>1051</v>
      </c>
      <c r="AB197" s="74" t="s">
        <v>1052</v>
      </c>
      <c r="AC197" s="74"/>
      <c r="AD197" s="74"/>
      <c r="AE197" s="74"/>
    </row>
    <row r="198" spans="1:31" s="63" customFormat="1" ht="12" x14ac:dyDescent="0.3">
      <c r="A198" s="67">
        <v>27</v>
      </c>
      <c r="B198" s="84" t="s">
        <v>1055</v>
      </c>
      <c r="C198" s="67" t="s">
        <v>1037</v>
      </c>
      <c r="D198" s="70">
        <v>1.93</v>
      </c>
      <c r="E198" s="70">
        <v>7.0129999999999999</v>
      </c>
      <c r="F198" s="70">
        <v>6</v>
      </c>
      <c r="G198" s="70">
        <v>37</v>
      </c>
      <c r="H198" s="70">
        <v>2.5089999999999999</v>
      </c>
      <c r="I198" s="68">
        <v>8.0129999999999999</v>
      </c>
      <c r="J198" s="70">
        <v>7</v>
      </c>
      <c r="K198" s="70">
        <v>45</v>
      </c>
      <c r="L198" s="79" t="s">
        <v>813</v>
      </c>
      <c r="M198" s="70" t="s">
        <v>768</v>
      </c>
      <c r="N198" s="70">
        <v>50</v>
      </c>
      <c r="O198" s="70" t="s">
        <v>789</v>
      </c>
      <c r="P198" s="70"/>
      <c r="Q198" s="70">
        <v>3</v>
      </c>
      <c r="R198" s="73" t="s">
        <v>1038</v>
      </c>
      <c r="S198" s="74"/>
      <c r="T198" s="112">
        <v>150</v>
      </c>
      <c r="U198" s="113" t="str">
        <f t="shared" si="11"/>
        <v>HL2</v>
      </c>
      <c r="V198" s="74" t="s">
        <v>786</v>
      </c>
      <c r="W198" s="74" t="s">
        <v>1050</v>
      </c>
      <c r="X198" s="114">
        <v>2</v>
      </c>
      <c r="Y198" s="74">
        <v>0</v>
      </c>
      <c r="Z198" s="74" t="s">
        <v>1051</v>
      </c>
      <c r="AA198" s="74" t="s">
        <v>1051</v>
      </c>
      <c r="AB198" s="74" t="s">
        <v>1052</v>
      </c>
      <c r="AC198" s="74"/>
      <c r="AD198" s="74"/>
      <c r="AE198" s="74"/>
    </row>
    <row r="199" spans="1:31" s="63" customFormat="1" ht="12" x14ac:dyDescent="0.3">
      <c r="A199" s="67">
        <v>28</v>
      </c>
      <c r="B199" s="84" t="s">
        <v>1056</v>
      </c>
      <c r="C199" s="67" t="s">
        <v>1037</v>
      </c>
      <c r="D199" s="70">
        <v>1.38</v>
      </c>
      <c r="E199" s="68">
        <v>7.0129999999999999</v>
      </c>
      <c r="F199" s="70">
        <v>6</v>
      </c>
      <c r="G199" s="70">
        <v>37</v>
      </c>
      <c r="H199" s="70">
        <v>1.7939999999999998</v>
      </c>
      <c r="I199" s="68">
        <v>8.0129999999999999</v>
      </c>
      <c r="J199" s="70">
        <v>7</v>
      </c>
      <c r="K199" s="70">
        <v>45</v>
      </c>
      <c r="L199" s="79" t="s">
        <v>813</v>
      </c>
      <c r="M199" s="67" t="s">
        <v>768</v>
      </c>
      <c r="N199" s="70">
        <v>50</v>
      </c>
      <c r="O199" s="70" t="s">
        <v>789</v>
      </c>
      <c r="P199" s="70"/>
      <c r="Q199" s="70">
        <v>3</v>
      </c>
      <c r="R199" s="73" t="s">
        <v>1038</v>
      </c>
      <c r="S199" s="74" t="s">
        <v>1057</v>
      </c>
      <c r="T199" s="112"/>
      <c r="U199" s="113"/>
      <c r="V199" s="74"/>
      <c r="W199" s="74"/>
      <c r="X199" s="114"/>
      <c r="Y199" s="74"/>
      <c r="Z199" s="74"/>
      <c r="AA199" s="74"/>
      <c r="AB199" s="74"/>
      <c r="AC199" s="74"/>
      <c r="AD199" s="74"/>
      <c r="AE199" s="74"/>
    </row>
    <row r="200" spans="1:31" s="63" customFormat="1" ht="11.25" x14ac:dyDescent="0.3">
      <c r="A200" s="67">
        <v>29</v>
      </c>
      <c r="B200" s="84" t="s">
        <v>1058</v>
      </c>
      <c r="C200" s="67" t="s">
        <v>1037</v>
      </c>
      <c r="D200" s="70">
        <v>1.38</v>
      </c>
      <c r="E200" s="68">
        <v>7.0129999999999999</v>
      </c>
      <c r="F200" s="70">
        <v>6</v>
      </c>
      <c r="G200" s="70">
        <v>37</v>
      </c>
      <c r="H200" s="70">
        <v>1.7939999999999998</v>
      </c>
      <c r="I200" s="68">
        <v>8.0129999999999999</v>
      </c>
      <c r="J200" s="70">
        <v>7</v>
      </c>
      <c r="K200" s="70">
        <v>45</v>
      </c>
      <c r="L200" s="79" t="s">
        <v>813</v>
      </c>
      <c r="M200" s="67" t="s">
        <v>768</v>
      </c>
      <c r="N200" s="70">
        <v>50</v>
      </c>
      <c r="O200" s="70" t="s">
        <v>789</v>
      </c>
      <c r="P200" s="70"/>
      <c r="Q200" s="70">
        <v>3</v>
      </c>
      <c r="R200" s="73" t="s">
        <v>1038</v>
      </c>
      <c r="S200" s="74" t="s">
        <v>1057</v>
      </c>
      <c r="T200" s="142"/>
      <c r="U200" s="143"/>
      <c r="V200" s="74"/>
      <c r="W200" s="74"/>
      <c r="X200" s="144"/>
      <c r="Y200" s="74"/>
      <c r="Z200" s="74"/>
      <c r="AA200" s="74"/>
      <c r="AB200" s="74"/>
      <c r="AC200" s="74"/>
      <c r="AD200" s="74"/>
      <c r="AE200" s="74"/>
    </row>
    <row r="201" spans="1:31" s="63" customFormat="1" ht="11.25" x14ac:dyDescent="0.3">
      <c r="A201" s="67">
        <v>30</v>
      </c>
      <c r="B201" s="84" t="s">
        <v>1059</v>
      </c>
      <c r="C201" s="67" t="s">
        <v>1037</v>
      </c>
      <c r="D201" s="70">
        <v>1.38</v>
      </c>
      <c r="E201" s="70">
        <v>7.0129999999999999</v>
      </c>
      <c r="F201" s="70">
        <v>6</v>
      </c>
      <c r="G201" s="70">
        <v>37</v>
      </c>
      <c r="H201" s="70">
        <v>1.7939999999999998</v>
      </c>
      <c r="I201" s="68">
        <v>8.0129999999999999</v>
      </c>
      <c r="J201" s="70">
        <v>7</v>
      </c>
      <c r="K201" s="70">
        <v>45</v>
      </c>
      <c r="L201" s="79" t="s">
        <v>813</v>
      </c>
      <c r="M201" s="67" t="s">
        <v>768</v>
      </c>
      <c r="N201" s="70">
        <v>50</v>
      </c>
      <c r="O201" s="70" t="s">
        <v>789</v>
      </c>
      <c r="P201" s="70"/>
      <c r="Q201" s="68">
        <v>3</v>
      </c>
      <c r="R201" s="73" t="s">
        <v>1038</v>
      </c>
      <c r="S201" s="74" t="s">
        <v>1057</v>
      </c>
      <c r="T201" s="142"/>
      <c r="U201" s="143"/>
      <c r="V201" s="74"/>
      <c r="W201" s="74"/>
      <c r="X201" s="144"/>
      <c r="Y201" s="74"/>
      <c r="Z201" s="74"/>
      <c r="AA201" s="74"/>
      <c r="AB201" s="74"/>
      <c r="AC201" s="74"/>
      <c r="AD201" s="74"/>
      <c r="AE201" s="74"/>
    </row>
    <row r="202" spans="1:31" s="63" customFormat="1" ht="12" x14ac:dyDescent="0.3">
      <c r="A202" s="67">
        <v>31</v>
      </c>
      <c r="B202" s="84" t="s">
        <v>1060</v>
      </c>
      <c r="C202" s="67" t="s">
        <v>1037</v>
      </c>
      <c r="D202" s="70">
        <v>1.38</v>
      </c>
      <c r="E202" s="70">
        <v>7.0129999999999999</v>
      </c>
      <c r="F202" s="70">
        <v>6</v>
      </c>
      <c r="G202" s="70">
        <v>37</v>
      </c>
      <c r="H202" s="70">
        <v>1.7939999999999998</v>
      </c>
      <c r="I202" s="68">
        <v>8.0129999999999999</v>
      </c>
      <c r="J202" s="70">
        <v>7</v>
      </c>
      <c r="K202" s="70">
        <v>45</v>
      </c>
      <c r="L202" s="79" t="s">
        <v>813</v>
      </c>
      <c r="M202" s="67" t="s">
        <v>768</v>
      </c>
      <c r="N202" s="70">
        <v>50</v>
      </c>
      <c r="O202" s="70" t="s">
        <v>789</v>
      </c>
      <c r="P202" s="70"/>
      <c r="Q202" s="68">
        <v>3</v>
      </c>
      <c r="R202" s="73" t="s">
        <v>1038</v>
      </c>
      <c r="S202" s="74" t="s">
        <v>1057</v>
      </c>
      <c r="T202" s="112">
        <v>150</v>
      </c>
      <c r="U202" s="113" t="str">
        <f t="shared" ref="U202:U210" si="12">V202&amp;W202&amp;X202</f>
        <v>HB5 (Galv)</v>
      </c>
      <c r="V202" s="74" t="s">
        <v>786</v>
      </c>
      <c r="W202" s="74" t="s">
        <v>756</v>
      </c>
      <c r="X202" s="114" t="s">
        <v>1025</v>
      </c>
      <c r="Y202" s="74">
        <v>0</v>
      </c>
      <c r="Z202" s="74">
        <v>0.11</v>
      </c>
      <c r="AA202" s="74" t="s">
        <v>941</v>
      </c>
      <c r="AB202" s="74">
        <v>5.08</v>
      </c>
      <c r="AC202" s="74" t="s">
        <v>98</v>
      </c>
      <c r="AD202" s="74" t="s">
        <v>15</v>
      </c>
      <c r="AE202" s="74" t="s">
        <v>16</v>
      </c>
    </row>
    <row r="203" spans="1:31" s="63" customFormat="1" ht="12" x14ac:dyDescent="0.3">
      <c r="A203" s="67">
        <v>32</v>
      </c>
      <c r="B203" s="84" t="s">
        <v>1061</v>
      </c>
      <c r="C203" s="67" t="s">
        <v>1062</v>
      </c>
      <c r="D203" s="70" t="s">
        <v>1016</v>
      </c>
      <c r="E203" s="70">
        <v>1.0129999999999999</v>
      </c>
      <c r="F203" s="70">
        <v>0</v>
      </c>
      <c r="G203" s="70">
        <v>37</v>
      </c>
      <c r="H203" s="70" t="s">
        <v>1016</v>
      </c>
      <c r="I203" s="68">
        <v>2.0129999999999999</v>
      </c>
      <c r="J203" s="70">
        <v>1</v>
      </c>
      <c r="K203" s="70">
        <v>45</v>
      </c>
      <c r="L203" s="67" t="s">
        <v>1063</v>
      </c>
      <c r="M203" s="67" t="s">
        <v>1063</v>
      </c>
      <c r="N203" s="70" t="s">
        <v>1016</v>
      </c>
      <c r="O203" s="70" t="s">
        <v>1016</v>
      </c>
      <c r="P203" s="70"/>
      <c r="Q203" s="68"/>
      <c r="R203" s="73"/>
      <c r="S203" s="74"/>
      <c r="T203" s="112">
        <v>150</v>
      </c>
      <c r="U203" s="113" t="str">
        <f t="shared" si="12"/>
        <v>HB5 (Galv)</v>
      </c>
      <c r="V203" s="74" t="s">
        <v>786</v>
      </c>
      <c r="W203" s="74" t="s">
        <v>756</v>
      </c>
      <c r="X203" s="114" t="s">
        <v>1025</v>
      </c>
      <c r="Y203" s="74">
        <v>0</v>
      </c>
      <c r="Z203" s="74">
        <v>0.21000000000000002</v>
      </c>
      <c r="AA203" s="74" t="s">
        <v>772</v>
      </c>
      <c r="AB203" s="74">
        <v>5.49</v>
      </c>
      <c r="AC203" s="74" t="s">
        <v>14</v>
      </c>
      <c r="AD203" s="74" t="s">
        <v>15</v>
      </c>
      <c r="AE203" s="74" t="s">
        <v>16</v>
      </c>
    </row>
    <row r="204" spans="1:31" s="63" customFormat="1" ht="12" x14ac:dyDescent="0.3">
      <c r="A204" s="67">
        <v>33</v>
      </c>
      <c r="B204" s="84" t="s">
        <v>1064</v>
      </c>
      <c r="C204" s="67" t="s">
        <v>1065</v>
      </c>
      <c r="D204" s="70">
        <v>1.38</v>
      </c>
      <c r="E204" s="70">
        <v>6.0129999999999999</v>
      </c>
      <c r="F204" s="70">
        <v>5</v>
      </c>
      <c r="G204" s="70">
        <v>37</v>
      </c>
      <c r="H204" s="70">
        <v>1.7939999999999998</v>
      </c>
      <c r="I204" s="68">
        <v>7.0129999999999999</v>
      </c>
      <c r="J204" s="70">
        <v>6</v>
      </c>
      <c r="K204" s="70">
        <v>45</v>
      </c>
      <c r="L204" s="67" t="s">
        <v>1057</v>
      </c>
      <c r="M204" s="67" t="s">
        <v>1057</v>
      </c>
      <c r="N204" s="70">
        <v>50</v>
      </c>
      <c r="O204" s="70" t="s">
        <v>1066</v>
      </c>
      <c r="P204" s="70"/>
      <c r="Q204" s="68">
        <v>3</v>
      </c>
      <c r="R204" s="73" t="s">
        <v>1067</v>
      </c>
      <c r="S204" s="91"/>
      <c r="T204" s="112">
        <v>150</v>
      </c>
      <c r="U204" s="113" t="str">
        <f t="shared" si="12"/>
        <v>HB5 (Galv)</v>
      </c>
      <c r="V204" s="74" t="s">
        <v>786</v>
      </c>
      <c r="W204" s="74" t="s">
        <v>756</v>
      </c>
      <c r="X204" s="114" t="s">
        <v>1025</v>
      </c>
      <c r="Y204" s="74">
        <v>0</v>
      </c>
      <c r="Z204" s="74">
        <v>0.11</v>
      </c>
      <c r="AA204" s="74" t="s">
        <v>941</v>
      </c>
      <c r="AB204" s="74">
        <v>5.08</v>
      </c>
      <c r="AC204" s="74" t="s">
        <v>98</v>
      </c>
      <c r="AD204" s="74" t="s">
        <v>15</v>
      </c>
      <c r="AE204" s="74" t="s">
        <v>16</v>
      </c>
    </row>
    <row r="205" spans="1:31" s="63" customFormat="1" ht="12" x14ac:dyDescent="0.3">
      <c r="A205" s="67">
        <v>34</v>
      </c>
      <c r="B205" s="84" t="s">
        <v>1068</v>
      </c>
      <c r="C205" s="67" t="s">
        <v>1065</v>
      </c>
      <c r="D205" s="70">
        <v>1.38</v>
      </c>
      <c r="E205" s="70">
        <v>6.0129999999999999</v>
      </c>
      <c r="F205" s="70">
        <v>5</v>
      </c>
      <c r="G205" s="70">
        <v>37</v>
      </c>
      <c r="H205" s="70">
        <v>1.7939999999999998</v>
      </c>
      <c r="I205" s="68">
        <v>7.0129999999999999</v>
      </c>
      <c r="J205" s="70">
        <v>6</v>
      </c>
      <c r="K205" s="70">
        <v>45</v>
      </c>
      <c r="L205" s="67" t="s">
        <v>1057</v>
      </c>
      <c r="M205" s="67" t="s">
        <v>1057</v>
      </c>
      <c r="N205" s="70">
        <v>50</v>
      </c>
      <c r="O205" s="70" t="s">
        <v>1066</v>
      </c>
      <c r="P205" s="70"/>
      <c r="Q205" s="68">
        <v>3</v>
      </c>
      <c r="R205" s="73" t="s">
        <v>1067</v>
      </c>
      <c r="S205" s="91"/>
      <c r="T205" s="112">
        <v>150</v>
      </c>
      <c r="U205" s="113" t="str">
        <f t="shared" si="12"/>
        <v>HB5 (Galv)</v>
      </c>
      <c r="V205" s="74" t="s">
        <v>786</v>
      </c>
      <c r="W205" s="74" t="s">
        <v>756</v>
      </c>
      <c r="X205" s="114" t="s">
        <v>1025</v>
      </c>
      <c r="Y205" s="74">
        <v>0</v>
      </c>
      <c r="Z205" s="74">
        <v>0.21000000000000002</v>
      </c>
      <c r="AA205" s="74" t="s">
        <v>772</v>
      </c>
      <c r="AB205" s="74">
        <v>5.49</v>
      </c>
      <c r="AC205" s="74" t="s">
        <v>14</v>
      </c>
      <c r="AD205" s="74" t="s">
        <v>15</v>
      </c>
      <c r="AE205" s="74" t="s">
        <v>16</v>
      </c>
    </row>
    <row r="206" spans="1:31" s="63" customFormat="1" ht="12" x14ac:dyDescent="0.3">
      <c r="A206" s="67">
        <v>35</v>
      </c>
      <c r="B206" s="84" t="s">
        <v>1069</v>
      </c>
      <c r="C206" s="67" t="s">
        <v>1065</v>
      </c>
      <c r="D206" s="70">
        <v>1.38</v>
      </c>
      <c r="E206" s="70">
        <v>6.0129999999999999</v>
      </c>
      <c r="F206" s="70">
        <v>5</v>
      </c>
      <c r="G206" s="70">
        <v>37</v>
      </c>
      <c r="H206" s="70">
        <v>1.7939999999999998</v>
      </c>
      <c r="I206" s="68">
        <v>7.0129999999999999</v>
      </c>
      <c r="J206" s="70">
        <v>6</v>
      </c>
      <c r="K206" s="70">
        <v>45</v>
      </c>
      <c r="L206" s="67" t="s">
        <v>1057</v>
      </c>
      <c r="M206" s="67" t="s">
        <v>1057</v>
      </c>
      <c r="N206" s="70">
        <v>50</v>
      </c>
      <c r="O206" s="70" t="s">
        <v>1066</v>
      </c>
      <c r="P206" s="70"/>
      <c r="Q206" s="68">
        <v>3</v>
      </c>
      <c r="R206" s="73" t="s">
        <v>1067</v>
      </c>
      <c r="S206" s="74">
        <v>1.1000000000000001</v>
      </c>
      <c r="T206" s="112">
        <v>150</v>
      </c>
      <c r="U206" s="113" t="str">
        <f t="shared" si="12"/>
        <v>HB5 (Galv)</v>
      </c>
      <c r="V206" s="74" t="s">
        <v>786</v>
      </c>
      <c r="W206" s="74" t="s">
        <v>756</v>
      </c>
      <c r="X206" s="114" t="s">
        <v>1025</v>
      </c>
      <c r="Y206" s="74">
        <v>0</v>
      </c>
      <c r="Z206" s="74">
        <v>0.11</v>
      </c>
      <c r="AA206" s="74" t="s">
        <v>941</v>
      </c>
      <c r="AB206" s="74">
        <v>5.08</v>
      </c>
      <c r="AC206" s="74" t="e">
        <v>#N/A</v>
      </c>
      <c r="AD206" s="74" t="e">
        <v>#N/A</v>
      </c>
      <c r="AE206" s="74" t="s">
        <v>16</v>
      </c>
    </row>
    <row r="207" spans="1:31" s="63" customFormat="1" ht="12" x14ac:dyDescent="0.3">
      <c r="A207" s="67">
        <v>36</v>
      </c>
      <c r="B207" s="84" t="s">
        <v>1070</v>
      </c>
      <c r="C207" s="67" t="s">
        <v>1065</v>
      </c>
      <c r="D207" s="70">
        <v>1.38</v>
      </c>
      <c r="E207" s="70">
        <v>6.0129999999999999</v>
      </c>
      <c r="F207" s="70">
        <v>5</v>
      </c>
      <c r="G207" s="70">
        <v>37</v>
      </c>
      <c r="H207" s="70">
        <v>1.7939999999999998</v>
      </c>
      <c r="I207" s="68">
        <v>7.0129999999999999</v>
      </c>
      <c r="J207" s="70">
        <v>6</v>
      </c>
      <c r="K207" s="70">
        <v>45</v>
      </c>
      <c r="L207" s="67" t="s">
        <v>1057</v>
      </c>
      <c r="M207" s="67" t="s">
        <v>1057</v>
      </c>
      <c r="N207" s="70">
        <v>50</v>
      </c>
      <c r="O207" s="70" t="s">
        <v>1066</v>
      </c>
      <c r="P207" s="70"/>
      <c r="Q207" s="68">
        <v>3</v>
      </c>
      <c r="R207" s="73" t="s">
        <v>1067</v>
      </c>
      <c r="S207" s="74">
        <v>1.1000000000000001</v>
      </c>
      <c r="T207" s="112">
        <v>150</v>
      </c>
      <c r="U207" s="113" t="str">
        <f t="shared" si="12"/>
        <v>HB5 (Galv)</v>
      </c>
      <c r="V207" s="74" t="s">
        <v>786</v>
      </c>
      <c r="W207" s="74" t="s">
        <v>756</v>
      </c>
      <c r="X207" s="114" t="s">
        <v>1025</v>
      </c>
      <c r="Y207" s="74">
        <v>0</v>
      </c>
      <c r="Z207" s="74">
        <v>0.21000000000000002</v>
      </c>
      <c r="AA207" s="74" t="s">
        <v>772</v>
      </c>
      <c r="AB207" s="74">
        <v>5.49</v>
      </c>
      <c r="AC207" s="74" t="s">
        <v>14</v>
      </c>
      <c r="AD207" s="74" t="s">
        <v>15</v>
      </c>
      <c r="AE207" s="74" t="s">
        <v>16</v>
      </c>
    </row>
    <row r="208" spans="1:31" s="63" customFormat="1" ht="12" x14ac:dyDescent="0.3">
      <c r="A208" s="67">
        <v>37</v>
      </c>
      <c r="B208" s="84" t="s">
        <v>1071</v>
      </c>
      <c r="C208" s="67" t="s">
        <v>1065</v>
      </c>
      <c r="D208" s="70">
        <v>1.38</v>
      </c>
      <c r="E208" s="70">
        <v>6.0129999999999999</v>
      </c>
      <c r="F208" s="70">
        <v>5</v>
      </c>
      <c r="G208" s="70">
        <v>37</v>
      </c>
      <c r="H208" s="70">
        <v>1.7939999999999998</v>
      </c>
      <c r="I208" s="68">
        <v>7.0129999999999999</v>
      </c>
      <c r="J208" s="70">
        <v>6</v>
      </c>
      <c r="K208" s="70">
        <v>45</v>
      </c>
      <c r="L208" s="67" t="s">
        <v>1057</v>
      </c>
      <c r="M208" s="67" t="s">
        <v>1057</v>
      </c>
      <c r="N208" s="70">
        <v>50</v>
      </c>
      <c r="O208" s="70" t="s">
        <v>1066</v>
      </c>
      <c r="P208" s="70"/>
      <c r="Q208" s="68">
        <v>3</v>
      </c>
      <c r="R208" s="73" t="s">
        <v>1067</v>
      </c>
      <c r="S208" s="74">
        <v>1.1000000000000001</v>
      </c>
      <c r="T208" s="112">
        <v>150</v>
      </c>
      <c r="U208" s="113" t="str">
        <f t="shared" si="12"/>
        <v>HB5 (Galv)</v>
      </c>
      <c r="V208" s="74" t="s">
        <v>786</v>
      </c>
      <c r="W208" s="74" t="s">
        <v>756</v>
      </c>
      <c r="X208" s="114" t="s">
        <v>1025</v>
      </c>
      <c r="Y208" s="74">
        <v>0</v>
      </c>
      <c r="Z208" s="74">
        <v>0.14000000000000001</v>
      </c>
      <c r="AA208" s="74" t="s">
        <v>941</v>
      </c>
      <c r="AB208" s="74">
        <v>5.54</v>
      </c>
      <c r="AC208" s="74" t="s">
        <v>98</v>
      </c>
      <c r="AD208" s="74" t="s">
        <v>15</v>
      </c>
      <c r="AE208" s="74" t="s">
        <v>16</v>
      </c>
    </row>
    <row r="209" spans="1:31" s="63" customFormat="1" ht="12" x14ac:dyDescent="0.3">
      <c r="A209" s="67">
        <v>38</v>
      </c>
      <c r="B209" s="84" t="s">
        <v>1072</v>
      </c>
      <c r="C209" s="67" t="s">
        <v>1065</v>
      </c>
      <c r="D209" s="70">
        <v>1.38</v>
      </c>
      <c r="E209" s="70">
        <v>6.0129999999999999</v>
      </c>
      <c r="F209" s="70">
        <v>5</v>
      </c>
      <c r="G209" s="70">
        <v>37</v>
      </c>
      <c r="H209" s="70">
        <v>1.7939999999999998</v>
      </c>
      <c r="I209" s="68">
        <v>7.0129999999999999</v>
      </c>
      <c r="J209" s="70">
        <v>6</v>
      </c>
      <c r="K209" s="70">
        <v>45</v>
      </c>
      <c r="L209" s="67" t="s">
        <v>1057</v>
      </c>
      <c r="M209" s="67" t="s">
        <v>1057</v>
      </c>
      <c r="N209" s="70">
        <v>50</v>
      </c>
      <c r="O209" s="70" t="s">
        <v>1066</v>
      </c>
      <c r="P209" s="70"/>
      <c r="Q209" s="68">
        <v>3</v>
      </c>
      <c r="R209" s="73" t="s">
        <v>1067</v>
      </c>
      <c r="S209" s="74">
        <v>1.1000000000000001</v>
      </c>
      <c r="T209" s="112">
        <v>150</v>
      </c>
      <c r="U209" s="113" t="str">
        <f t="shared" si="12"/>
        <v>HB5 (Galv)</v>
      </c>
      <c r="V209" s="74" t="s">
        <v>786</v>
      </c>
      <c r="W209" s="74" t="s">
        <v>756</v>
      </c>
      <c r="X209" s="114" t="s">
        <v>1025</v>
      </c>
      <c r="Y209" s="74">
        <v>0</v>
      </c>
      <c r="Z209" s="74">
        <v>0.14000000000000001</v>
      </c>
      <c r="AA209" s="74" t="s">
        <v>941</v>
      </c>
      <c r="AB209" s="74">
        <v>5.54</v>
      </c>
      <c r="AC209" s="74" t="s">
        <v>98</v>
      </c>
      <c r="AD209" s="74" t="s">
        <v>15</v>
      </c>
      <c r="AE209" s="74" t="s">
        <v>16</v>
      </c>
    </row>
    <row r="210" spans="1:31" s="63" customFormat="1" ht="12" x14ac:dyDescent="0.3">
      <c r="A210" s="67"/>
      <c r="B210" s="84"/>
      <c r="C210" s="67"/>
      <c r="D210" s="70"/>
      <c r="E210" s="70"/>
      <c r="F210" s="70"/>
      <c r="G210" s="70"/>
      <c r="H210" s="70"/>
      <c r="I210" s="70"/>
      <c r="J210" s="70"/>
      <c r="K210" s="70"/>
      <c r="L210" s="70"/>
      <c r="M210" s="67"/>
      <c r="N210" s="85"/>
      <c r="O210" s="85"/>
      <c r="P210" s="86"/>
      <c r="Q210" s="70"/>
      <c r="R210" s="73"/>
      <c r="S210" s="74">
        <v>1.1000000000000001</v>
      </c>
      <c r="T210" s="112">
        <v>150</v>
      </c>
      <c r="U210" s="113" t="str">
        <f t="shared" si="12"/>
        <v>HB5 (Galv)</v>
      </c>
      <c r="V210" s="74" t="s">
        <v>786</v>
      </c>
      <c r="W210" s="74" t="s">
        <v>756</v>
      </c>
      <c r="X210" s="114" t="s">
        <v>1025</v>
      </c>
      <c r="Y210" s="74">
        <v>0</v>
      </c>
      <c r="Z210" s="74">
        <v>0.11</v>
      </c>
      <c r="AA210" s="74" t="s">
        <v>941</v>
      </c>
      <c r="AB210" s="74">
        <v>5.08</v>
      </c>
      <c r="AC210" s="74" t="s">
        <v>98</v>
      </c>
      <c r="AD210" s="74" t="s">
        <v>15</v>
      </c>
      <c r="AE210" s="74" t="s">
        <v>16</v>
      </c>
    </row>
    <row r="211" spans="1:31" s="63" customFormat="1" ht="11.25" x14ac:dyDescent="0.3">
      <c r="A211" s="67">
        <v>35</v>
      </c>
      <c r="B211" s="84" t="s">
        <v>1069</v>
      </c>
      <c r="C211" s="67" t="s">
        <v>1065</v>
      </c>
      <c r="D211" s="70">
        <v>1.38</v>
      </c>
      <c r="E211" s="70">
        <v>6.0129999999999999</v>
      </c>
      <c r="F211" s="70">
        <v>5</v>
      </c>
      <c r="G211" s="70">
        <v>37</v>
      </c>
      <c r="H211" s="70">
        <v>1.7939999999999998</v>
      </c>
      <c r="I211" s="68">
        <v>7.0129999999999999</v>
      </c>
      <c r="J211" s="70">
        <v>6</v>
      </c>
      <c r="K211" s="70">
        <v>45</v>
      </c>
      <c r="L211" s="67" t="s">
        <v>1057</v>
      </c>
      <c r="M211" s="67" t="s">
        <v>1057</v>
      </c>
      <c r="N211" s="70">
        <v>50</v>
      </c>
      <c r="O211" s="70" t="s">
        <v>1066</v>
      </c>
      <c r="P211" s="70"/>
      <c r="Q211" s="68">
        <v>3</v>
      </c>
      <c r="R211" s="73" t="s">
        <v>1067</v>
      </c>
      <c r="S211" s="74">
        <v>1.1000000000000001</v>
      </c>
      <c r="T211" s="87"/>
      <c r="V211" s="74"/>
      <c r="W211" s="74"/>
      <c r="X211" s="64"/>
      <c r="Y211" s="74"/>
      <c r="Z211" s="74"/>
      <c r="AA211" s="74"/>
      <c r="AB211" s="74"/>
      <c r="AC211" s="74"/>
      <c r="AD211" s="74"/>
      <c r="AE211" s="74"/>
    </row>
    <row r="212" spans="1:31" s="63" customFormat="1" ht="11.25" x14ac:dyDescent="0.3">
      <c r="A212" s="67">
        <v>36</v>
      </c>
      <c r="B212" s="84" t="s">
        <v>1070</v>
      </c>
      <c r="C212" s="67" t="s">
        <v>1065</v>
      </c>
      <c r="D212" s="70">
        <v>1.38</v>
      </c>
      <c r="E212" s="70">
        <v>6.0129999999999999</v>
      </c>
      <c r="F212" s="70">
        <v>5</v>
      </c>
      <c r="G212" s="70">
        <v>37</v>
      </c>
      <c r="H212" s="70">
        <v>1.7939999999999998</v>
      </c>
      <c r="I212" s="68">
        <v>7.0129999999999999</v>
      </c>
      <c r="J212" s="70">
        <v>6</v>
      </c>
      <c r="K212" s="70">
        <v>45</v>
      </c>
      <c r="L212" s="67" t="s">
        <v>1057</v>
      </c>
      <c r="M212" s="67" t="s">
        <v>1057</v>
      </c>
      <c r="N212" s="70">
        <v>50</v>
      </c>
      <c r="O212" s="70" t="s">
        <v>1066</v>
      </c>
      <c r="P212" s="70"/>
      <c r="Q212" s="68">
        <v>3</v>
      </c>
      <c r="R212" s="73" t="s">
        <v>1067</v>
      </c>
      <c r="S212" s="74">
        <v>1.1000000000000001</v>
      </c>
      <c r="T212" s="87"/>
      <c r="V212" s="74"/>
      <c r="W212" s="74"/>
      <c r="X212" s="64"/>
      <c r="Y212" s="74"/>
      <c r="Z212" s="74"/>
      <c r="AA212" s="74"/>
      <c r="AB212" s="74"/>
      <c r="AC212" s="74"/>
      <c r="AD212" s="74"/>
      <c r="AE212" s="74"/>
    </row>
    <row r="213" spans="1:31" s="63" customFormat="1" ht="12" x14ac:dyDescent="0.3">
      <c r="A213" s="67">
        <v>37</v>
      </c>
      <c r="B213" s="84" t="s">
        <v>1071</v>
      </c>
      <c r="C213" s="67" t="s">
        <v>1065</v>
      </c>
      <c r="D213" s="70">
        <v>1.38</v>
      </c>
      <c r="E213" s="70">
        <v>6.0129999999999999</v>
      </c>
      <c r="F213" s="70">
        <v>5</v>
      </c>
      <c r="G213" s="70">
        <v>37</v>
      </c>
      <c r="H213" s="70">
        <v>1.7939999999999998</v>
      </c>
      <c r="I213" s="68">
        <v>7.0129999999999999</v>
      </c>
      <c r="J213" s="70">
        <v>6</v>
      </c>
      <c r="K213" s="70">
        <v>45</v>
      </c>
      <c r="L213" s="67" t="s">
        <v>1057</v>
      </c>
      <c r="M213" s="67" t="s">
        <v>1057</v>
      </c>
      <c r="N213" s="70">
        <v>50</v>
      </c>
      <c r="O213" s="70" t="s">
        <v>1066</v>
      </c>
      <c r="P213" s="70"/>
      <c r="Q213" s="68">
        <v>3</v>
      </c>
      <c r="R213" s="73" t="s">
        <v>1067</v>
      </c>
      <c r="S213" s="74">
        <v>1.1000000000000001</v>
      </c>
      <c r="T213" s="112">
        <v>150</v>
      </c>
      <c r="U213" s="113" t="s">
        <v>1073</v>
      </c>
      <c r="V213" s="74">
        <v>0</v>
      </c>
      <c r="W213" s="74">
        <v>2.2699999999999996</v>
      </c>
      <c r="X213" s="74" t="s">
        <v>999</v>
      </c>
      <c r="Y213" s="74">
        <v>3.96</v>
      </c>
      <c r="Z213" s="74" t="s">
        <v>951</v>
      </c>
      <c r="AA213" s="74" t="s">
        <v>952</v>
      </c>
      <c r="AB213" s="74" t="s">
        <v>16</v>
      </c>
    </row>
    <row r="214" spans="1:31" s="63" customFormat="1" ht="12" x14ac:dyDescent="0.3">
      <c r="A214" s="67">
        <v>38</v>
      </c>
      <c r="B214" s="84" t="s">
        <v>1072</v>
      </c>
      <c r="C214" s="67" t="s">
        <v>1065</v>
      </c>
      <c r="D214" s="70">
        <v>1.38</v>
      </c>
      <c r="E214" s="70">
        <v>6.0129999999999999</v>
      </c>
      <c r="F214" s="70">
        <v>5</v>
      </c>
      <c r="G214" s="70">
        <v>37</v>
      </c>
      <c r="H214" s="70">
        <v>1.7939999999999998</v>
      </c>
      <c r="I214" s="68">
        <v>7.0129999999999999</v>
      </c>
      <c r="J214" s="70">
        <v>6</v>
      </c>
      <c r="K214" s="70">
        <v>45</v>
      </c>
      <c r="L214" s="67" t="s">
        <v>1057</v>
      </c>
      <c r="M214" s="67" t="s">
        <v>1057</v>
      </c>
      <c r="N214" s="70">
        <v>50</v>
      </c>
      <c r="O214" s="70" t="s">
        <v>1066</v>
      </c>
      <c r="P214" s="70"/>
      <c r="Q214" s="68">
        <v>3</v>
      </c>
      <c r="R214" s="73" t="s">
        <v>1067</v>
      </c>
      <c r="S214" s="74">
        <v>1.1000000000000001</v>
      </c>
      <c r="T214" s="112">
        <v>150</v>
      </c>
      <c r="U214" s="113" t="s">
        <v>1073</v>
      </c>
      <c r="V214" s="74">
        <v>0</v>
      </c>
      <c r="W214" s="74">
        <v>2.2699999999999996</v>
      </c>
      <c r="X214" s="74" t="s">
        <v>999</v>
      </c>
      <c r="Y214" s="74">
        <v>3.96</v>
      </c>
      <c r="Z214" s="74" t="s">
        <v>951</v>
      </c>
      <c r="AA214" s="74" t="s">
        <v>952</v>
      </c>
      <c r="AB214" s="74" t="s">
        <v>16</v>
      </c>
    </row>
    <row r="215" spans="1:31" s="63" customFormat="1" ht="12" x14ac:dyDescent="0.3">
      <c r="A215" s="67"/>
      <c r="B215" s="84"/>
      <c r="C215" s="67"/>
      <c r="D215" s="70"/>
      <c r="E215" s="70"/>
      <c r="F215" s="70"/>
      <c r="G215" s="70"/>
      <c r="H215" s="70"/>
      <c r="I215" s="70"/>
      <c r="J215" s="70"/>
      <c r="K215" s="70"/>
      <c r="L215" s="70"/>
      <c r="M215" s="67"/>
      <c r="N215" s="85"/>
      <c r="O215" s="85"/>
      <c r="P215" s="86"/>
      <c r="Q215" s="70"/>
      <c r="R215" s="73"/>
      <c r="T215" s="112">
        <v>150</v>
      </c>
      <c r="U215" s="113" t="s">
        <v>1073</v>
      </c>
      <c r="V215" s="74">
        <v>0</v>
      </c>
      <c r="W215" s="74">
        <v>1.75</v>
      </c>
      <c r="X215" s="74" t="s">
        <v>999</v>
      </c>
      <c r="Y215" s="74">
        <v>3.4</v>
      </c>
      <c r="Z215" s="74" t="s">
        <v>951</v>
      </c>
      <c r="AA215" s="74" t="s">
        <v>952</v>
      </c>
      <c r="AB215" s="74" t="s">
        <v>16</v>
      </c>
    </row>
    <row r="216" spans="1:31" s="63" customFormat="1" ht="12" x14ac:dyDescent="0.3">
      <c r="A216" s="55" t="s">
        <v>1074</v>
      </c>
      <c r="B216" s="56" t="s">
        <v>1075</v>
      </c>
      <c r="C216" s="55"/>
      <c r="D216" s="57"/>
      <c r="E216" s="57"/>
      <c r="F216" s="57"/>
      <c r="G216" s="57"/>
      <c r="H216" s="57"/>
      <c r="I216" s="57"/>
      <c r="J216" s="57"/>
      <c r="K216" s="57"/>
      <c r="L216" s="57"/>
      <c r="M216" s="58"/>
      <c r="N216" s="59"/>
      <c r="O216" s="59"/>
      <c r="P216" s="60"/>
      <c r="Q216" s="57"/>
      <c r="R216" s="61"/>
      <c r="S216" s="145"/>
      <c r="T216" s="112">
        <v>150</v>
      </c>
      <c r="U216" s="113" t="s">
        <v>1073</v>
      </c>
      <c r="V216" s="74">
        <v>0</v>
      </c>
      <c r="W216" s="74">
        <v>1.4</v>
      </c>
      <c r="X216" s="74" t="s">
        <v>999</v>
      </c>
      <c r="Y216" s="74">
        <v>2.77</v>
      </c>
      <c r="Z216" s="74" t="s">
        <v>951</v>
      </c>
      <c r="AA216" s="74" t="s">
        <v>952</v>
      </c>
      <c r="AB216" s="74" t="s">
        <v>16</v>
      </c>
    </row>
    <row r="217" spans="1:31" s="63" customFormat="1" ht="12" x14ac:dyDescent="0.3">
      <c r="A217" s="67">
        <v>1</v>
      </c>
      <c r="B217" s="115" t="s">
        <v>1076</v>
      </c>
      <c r="C217" s="67"/>
      <c r="D217" s="70">
        <f>541.5/3.6</f>
        <v>150.41666666666666</v>
      </c>
      <c r="E217" s="70">
        <f>F217+1.013</f>
        <v>9.8130000000000006</v>
      </c>
      <c r="F217" s="70">
        <v>8.8000000000000007</v>
      </c>
      <c r="G217" s="70">
        <v>37</v>
      </c>
      <c r="H217" s="70">
        <f>D217</f>
        <v>150.41666666666666</v>
      </c>
      <c r="I217" s="70">
        <f>J217+1.013</f>
        <v>12.513</v>
      </c>
      <c r="J217" s="70">
        <v>11.5</v>
      </c>
      <c r="K217" s="92">
        <v>40</v>
      </c>
      <c r="L217" s="67" t="s">
        <v>959</v>
      </c>
      <c r="M217" s="67" t="s">
        <v>959</v>
      </c>
      <c r="N217" s="85">
        <v>450</v>
      </c>
      <c r="O217" s="85" t="s">
        <v>789</v>
      </c>
      <c r="P217" s="86"/>
      <c r="Q217" s="70">
        <v>2.25</v>
      </c>
      <c r="R217" s="73"/>
      <c r="S217" s="74">
        <v>2.1</v>
      </c>
      <c r="T217" s="112">
        <v>150</v>
      </c>
      <c r="U217" s="113" t="s">
        <v>1073</v>
      </c>
      <c r="V217" s="74">
        <v>0</v>
      </c>
      <c r="W217" s="74">
        <v>1.75</v>
      </c>
      <c r="X217" s="74" t="s">
        <v>999</v>
      </c>
      <c r="Y217" s="74">
        <v>3.4</v>
      </c>
      <c r="Z217" s="74" t="s">
        <v>951</v>
      </c>
      <c r="AA217" s="74" t="s">
        <v>952</v>
      </c>
      <c r="AB217" s="74" t="s">
        <v>16</v>
      </c>
    </row>
    <row r="218" spans="1:31" s="63" customFormat="1" ht="22.5" x14ac:dyDescent="0.3">
      <c r="A218" s="67">
        <v>2</v>
      </c>
      <c r="B218" s="115" t="s">
        <v>1077</v>
      </c>
      <c r="C218" s="67" t="s">
        <v>1078</v>
      </c>
      <c r="D218" s="70">
        <v>333</v>
      </c>
      <c r="E218" s="70">
        <f>F218+1.013</f>
        <v>2.7130000000000001</v>
      </c>
      <c r="F218" s="70">
        <v>1.7</v>
      </c>
      <c r="G218" s="70">
        <v>37</v>
      </c>
      <c r="H218" s="70">
        <f t="shared" ref="H218:H226" si="13">D218</f>
        <v>333</v>
      </c>
      <c r="I218" s="70">
        <f>J218+1.013</f>
        <v>3.0529999999999999</v>
      </c>
      <c r="J218" s="70">
        <f>F218*1.2</f>
        <v>2.04</v>
      </c>
      <c r="K218" s="92">
        <v>40</v>
      </c>
      <c r="L218" s="108" t="s">
        <v>932</v>
      </c>
      <c r="M218" s="67" t="s">
        <v>959</v>
      </c>
      <c r="N218" s="85">
        <v>300</v>
      </c>
      <c r="O218" s="85" t="s">
        <v>789</v>
      </c>
      <c r="P218" s="86"/>
      <c r="Q218" s="70">
        <v>1.5</v>
      </c>
      <c r="R218" s="73"/>
      <c r="S218" s="74">
        <v>2.1</v>
      </c>
      <c r="T218" s="112"/>
      <c r="U218" s="113"/>
      <c r="V218" s="74"/>
      <c r="W218" s="74"/>
      <c r="X218" s="74"/>
      <c r="Y218" s="74"/>
      <c r="Z218" s="74"/>
      <c r="AA218" s="74"/>
      <c r="AB218" s="74"/>
    </row>
    <row r="219" spans="1:31" s="63" customFormat="1" ht="12" x14ac:dyDescent="0.3">
      <c r="A219" s="67">
        <v>3</v>
      </c>
      <c r="B219" s="115" t="s">
        <v>1079</v>
      </c>
      <c r="C219" s="67" t="s">
        <v>1078</v>
      </c>
      <c r="D219" s="70">
        <v>167</v>
      </c>
      <c r="E219" s="70">
        <f>F219+1.013</f>
        <v>2.7130000000000001</v>
      </c>
      <c r="F219" s="70">
        <f>F218</f>
        <v>1.7</v>
      </c>
      <c r="G219" s="70">
        <v>37</v>
      </c>
      <c r="H219" s="70">
        <f t="shared" si="13"/>
        <v>167</v>
      </c>
      <c r="I219" s="70">
        <f t="shared" ref="I219:I229" si="14">J219+1.013</f>
        <v>3.0529999999999999</v>
      </c>
      <c r="J219" s="70">
        <f>J218</f>
        <v>2.04</v>
      </c>
      <c r="K219" s="92">
        <v>40</v>
      </c>
      <c r="L219" s="108" t="s">
        <v>932</v>
      </c>
      <c r="M219" s="67" t="s">
        <v>959</v>
      </c>
      <c r="N219" s="85">
        <v>200</v>
      </c>
      <c r="O219" s="85" t="s">
        <v>789</v>
      </c>
      <c r="P219" s="86"/>
      <c r="Q219" s="70">
        <v>1.5</v>
      </c>
      <c r="R219" s="146"/>
      <c r="S219" s="74">
        <v>2.1</v>
      </c>
      <c r="T219" s="112">
        <v>150</v>
      </c>
      <c r="U219" s="113" t="s">
        <v>1073</v>
      </c>
      <c r="V219" s="74">
        <v>0</v>
      </c>
      <c r="W219" s="74">
        <v>2.0699999999999998</v>
      </c>
      <c r="X219" s="74" t="s">
        <v>999</v>
      </c>
      <c r="Y219" s="74">
        <v>3.96</v>
      </c>
      <c r="Z219" s="74" t="s">
        <v>951</v>
      </c>
      <c r="AA219" s="74" t="s">
        <v>952</v>
      </c>
      <c r="AB219" s="74" t="s">
        <v>16</v>
      </c>
    </row>
    <row r="220" spans="1:31" s="63" customFormat="1" ht="12" x14ac:dyDescent="0.3">
      <c r="A220" s="67">
        <v>4</v>
      </c>
      <c r="B220" s="115" t="s">
        <v>1080</v>
      </c>
      <c r="C220" s="67" t="s">
        <v>1081</v>
      </c>
      <c r="D220" s="70">
        <f>D219</f>
        <v>167</v>
      </c>
      <c r="E220" s="70">
        <f t="shared" ref="E220:E229" si="15">F220+1.013</f>
        <v>9.6129999999999995</v>
      </c>
      <c r="F220" s="70">
        <v>8.6</v>
      </c>
      <c r="G220" s="70">
        <v>37</v>
      </c>
      <c r="H220" s="70">
        <f t="shared" si="13"/>
        <v>167</v>
      </c>
      <c r="I220" s="70">
        <f t="shared" si="14"/>
        <v>13.013</v>
      </c>
      <c r="J220" s="70">
        <v>12</v>
      </c>
      <c r="K220" s="92">
        <v>40</v>
      </c>
      <c r="L220" s="108" t="s">
        <v>932</v>
      </c>
      <c r="M220" s="67" t="s">
        <v>959</v>
      </c>
      <c r="N220" s="85">
        <v>200</v>
      </c>
      <c r="O220" s="85" t="s">
        <v>789</v>
      </c>
      <c r="P220" s="86"/>
      <c r="Q220" s="70">
        <v>2.25</v>
      </c>
      <c r="R220" s="73"/>
      <c r="S220" s="74">
        <v>2.1</v>
      </c>
      <c r="T220" s="112">
        <v>150</v>
      </c>
      <c r="U220" s="113" t="s">
        <v>1073</v>
      </c>
      <c r="V220" s="74">
        <v>0</v>
      </c>
      <c r="W220" s="74">
        <v>1.4</v>
      </c>
      <c r="X220" s="74" t="s">
        <v>999</v>
      </c>
      <c r="Y220" s="74">
        <v>2.77</v>
      </c>
      <c r="Z220" s="74" t="s">
        <v>951</v>
      </c>
      <c r="AA220" s="74" t="s">
        <v>952</v>
      </c>
      <c r="AB220" s="74" t="s">
        <v>16</v>
      </c>
    </row>
    <row r="221" spans="1:31" s="63" customFormat="1" ht="12" x14ac:dyDescent="0.3">
      <c r="A221" s="67">
        <v>5</v>
      </c>
      <c r="B221" s="115" t="s">
        <v>1082</v>
      </c>
      <c r="C221" s="67" t="s">
        <v>1081</v>
      </c>
      <c r="D221" s="70">
        <f>D218</f>
        <v>333</v>
      </c>
      <c r="E221" s="70">
        <f t="shared" si="15"/>
        <v>9.6129999999999995</v>
      </c>
      <c r="F221" s="70">
        <v>8.6</v>
      </c>
      <c r="G221" s="70">
        <v>37</v>
      </c>
      <c r="H221" s="70">
        <f t="shared" si="13"/>
        <v>333</v>
      </c>
      <c r="I221" s="70">
        <f t="shared" si="14"/>
        <v>13.013</v>
      </c>
      <c r="J221" s="70">
        <v>12</v>
      </c>
      <c r="K221" s="92">
        <v>40</v>
      </c>
      <c r="L221" s="108" t="s">
        <v>932</v>
      </c>
      <c r="M221" s="67" t="s">
        <v>959</v>
      </c>
      <c r="N221" s="93">
        <v>200</v>
      </c>
      <c r="O221" s="85" t="s">
        <v>789</v>
      </c>
      <c r="P221" s="86"/>
      <c r="Q221" s="70">
        <v>2.25</v>
      </c>
      <c r="R221" s="73"/>
      <c r="S221" s="74">
        <v>2.1</v>
      </c>
      <c r="T221" s="112">
        <v>150</v>
      </c>
      <c r="U221" s="113" t="s">
        <v>1073</v>
      </c>
      <c r="V221" s="74">
        <v>0</v>
      </c>
      <c r="W221" s="74">
        <v>1.08</v>
      </c>
      <c r="X221" s="74" t="s">
        <v>999</v>
      </c>
      <c r="Y221" s="74">
        <v>2.77</v>
      </c>
      <c r="Z221" s="74" t="s">
        <v>951</v>
      </c>
      <c r="AA221" s="74" t="s">
        <v>952</v>
      </c>
      <c r="AB221" s="74" t="s">
        <v>16</v>
      </c>
    </row>
    <row r="222" spans="1:31" s="63" customFormat="1" ht="12" x14ac:dyDescent="0.3">
      <c r="A222" s="67">
        <v>6</v>
      </c>
      <c r="B222" s="115" t="s">
        <v>1083</v>
      </c>
      <c r="C222" s="67" t="s">
        <v>1081</v>
      </c>
      <c r="D222" s="70">
        <f>D221</f>
        <v>333</v>
      </c>
      <c r="E222" s="70">
        <f t="shared" si="15"/>
        <v>9.6129999999999995</v>
      </c>
      <c r="F222" s="70">
        <v>8.6</v>
      </c>
      <c r="G222" s="70">
        <v>37</v>
      </c>
      <c r="H222" s="70">
        <f t="shared" si="13"/>
        <v>333</v>
      </c>
      <c r="I222" s="70">
        <f t="shared" si="14"/>
        <v>13.013</v>
      </c>
      <c r="J222" s="70">
        <v>12</v>
      </c>
      <c r="K222" s="92">
        <v>40</v>
      </c>
      <c r="L222" s="108" t="s">
        <v>932</v>
      </c>
      <c r="M222" s="67" t="s">
        <v>959</v>
      </c>
      <c r="N222" s="93">
        <v>300</v>
      </c>
      <c r="O222" s="85"/>
      <c r="P222" s="86"/>
      <c r="Q222" s="70">
        <v>2.25</v>
      </c>
      <c r="R222" s="73"/>
      <c r="S222" s="74"/>
      <c r="T222" s="112">
        <v>150</v>
      </c>
      <c r="U222" s="113" t="s">
        <v>1073</v>
      </c>
      <c r="V222" s="74">
        <v>0</v>
      </c>
      <c r="W222" s="74">
        <v>1.4</v>
      </c>
      <c r="X222" s="74" t="s">
        <v>999</v>
      </c>
      <c r="Y222" s="74">
        <v>2.77</v>
      </c>
      <c r="Z222" s="74" t="s">
        <v>951</v>
      </c>
      <c r="AA222" s="74" t="s">
        <v>952</v>
      </c>
      <c r="AB222" s="74" t="s">
        <v>16</v>
      </c>
    </row>
    <row r="223" spans="1:31" s="63" customFormat="1" ht="22.5" x14ac:dyDescent="0.3">
      <c r="A223" s="67">
        <v>7</v>
      </c>
      <c r="B223" s="115" t="s">
        <v>1084</v>
      </c>
      <c r="C223" s="67" t="s">
        <v>1078</v>
      </c>
      <c r="D223" s="70">
        <f>506/3.6</f>
        <v>140.55555555555554</v>
      </c>
      <c r="E223" s="70">
        <f>F223+1.013</f>
        <v>2.7130000000000001</v>
      </c>
      <c r="F223" s="70">
        <v>1.7</v>
      </c>
      <c r="G223" s="70">
        <v>37</v>
      </c>
      <c r="H223" s="70">
        <f t="shared" si="13"/>
        <v>140.55555555555554</v>
      </c>
      <c r="I223" s="70">
        <f t="shared" si="14"/>
        <v>3.0529999999999999</v>
      </c>
      <c r="J223" s="70">
        <f>F223*1.2</f>
        <v>2.04</v>
      </c>
      <c r="K223" s="92">
        <v>40</v>
      </c>
      <c r="L223" s="108" t="s">
        <v>932</v>
      </c>
      <c r="M223" s="67" t="s">
        <v>959</v>
      </c>
      <c r="N223" s="93">
        <v>300</v>
      </c>
      <c r="O223" s="85" t="s">
        <v>789</v>
      </c>
      <c r="P223" s="86"/>
      <c r="Q223" s="70">
        <v>1.5</v>
      </c>
      <c r="R223" s="73"/>
      <c r="S223" s="74">
        <v>2.1</v>
      </c>
      <c r="T223" s="112">
        <v>150</v>
      </c>
      <c r="U223" s="113" t="s">
        <v>1073</v>
      </c>
      <c r="V223" s="74">
        <v>0</v>
      </c>
      <c r="W223" s="74">
        <v>1.08</v>
      </c>
      <c r="X223" s="74" t="s">
        <v>999</v>
      </c>
      <c r="Y223" s="74">
        <v>2.77</v>
      </c>
      <c r="Z223" s="74" t="s">
        <v>951</v>
      </c>
      <c r="AA223" s="74" t="s">
        <v>952</v>
      </c>
      <c r="AB223" s="74" t="s">
        <v>16</v>
      </c>
    </row>
    <row r="224" spans="1:31" s="63" customFormat="1" ht="12" x14ac:dyDescent="0.3">
      <c r="A224" s="67">
        <v>8</v>
      </c>
      <c r="B224" s="115" t="s">
        <v>1085</v>
      </c>
      <c r="C224" s="67" t="s">
        <v>1086</v>
      </c>
      <c r="D224" s="70">
        <v>79</v>
      </c>
      <c r="E224" s="70">
        <f>F224+1.013</f>
        <v>2.7130000000000001</v>
      </c>
      <c r="F224" s="70">
        <v>1.7</v>
      </c>
      <c r="G224" s="70">
        <v>37</v>
      </c>
      <c r="H224" s="70">
        <f t="shared" si="13"/>
        <v>79</v>
      </c>
      <c r="I224" s="70">
        <f t="shared" si="14"/>
        <v>3.0529999999999999</v>
      </c>
      <c r="J224" s="70">
        <f>F224*1.2</f>
        <v>2.04</v>
      </c>
      <c r="K224" s="92">
        <v>40</v>
      </c>
      <c r="L224" s="67" t="s">
        <v>959</v>
      </c>
      <c r="M224" s="67" t="s">
        <v>959</v>
      </c>
      <c r="N224" s="85">
        <v>150</v>
      </c>
      <c r="O224" s="85" t="s">
        <v>789</v>
      </c>
      <c r="P224" s="86"/>
      <c r="Q224" s="70">
        <v>1.5</v>
      </c>
      <c r="R224" s="73"/>
      <c r="S224" s="74">
        <v>2.1</v>
      </c>
      <c r="T224" s="112">
        <v>150</v>
      </c>
      <c r="U224" s="113" t="s">
        <v>1073</v>
      </c>
      <c r="V224" s="74">
        <v>0</v>
      </c>
      <c r="W224" s="74">
        <v>1.08</v>
      </c>
      <c r="X224" s="74" t="s">
        <v>999</v>
      </c>
      <c r="Y224" s="74">
        <v>2.77</v>
      </c>
      <c r="Z224" s="74" t="s">
        <v>951</v>
      </c>
      <c r="AA224" s="74" t="s">
        <v>952</v>
      </c>
      <c r="AB224" s="74" t="s">
        <v>16</v>
      </c>
    </row>
    <row r="225" spans="1:31" s="63" customFormat="1" ht="12" x14ac:dyDescent="0.3">
      <c r="A225" s="67">
        <v>9</v>
      </c>
      <c r="B225" s="115" t="s">
        <v>1087</v>
      </c>
      <c r="C225" s="67" t="s">
        <v>1088</v>
      </c>
      <c r="D225" s="70">
        <v>79</v>
      </c>
      <c r="E225" s="70">
        <f t="shared" si="15"/>
        <v>7.5129999999999999</v>
      </c>
      <c r="F225" s="70">
        <v>6.5</v>
      </c>
      <c r="G225" s="92">
        <v>50</v>
      </c>
      <c r="H225" s="70">
        <f t="shared" si="13"/>
        <v>79</v>
      </c>
      <c r="I225" s="70">
        <f t="shared" si="14"/>
        <v>10.013</v>
      </c>
      <c r="J225" s="70">
        <v>9</v>
      </c>
      <c r="K225" s="92">
        <v>55</v>
      </c>
      <c r="L225" s="67" t="s">
        <v>959</v>
      </c>
      <c r="M225" s="67" t="s">
        <v>959</v>
      </c>
      <c r="N225" s="93">
        <v>150</v>
      </c>
      <c r="O225" s="85" t="s">
        <v>789</v>
      </c>
      <c r="P225" s="86"/>
      <c r="Q225" s="70">
        <v>3</v>
      </c>
      <c r="R225" s="73"/>
      <c r="S225" s="74">
        <v>2.1</v>
      </c>
      <c r="T225" s="112">
        <v>150</v>
      </c>
      <c r="U225" s="113" t="s">
        <v>1073</v>
      </c>
      <c r="V225" s="74">
        <v>0</v>
      </c>
      <c r="W225" s="74">
        <v>0.73</v>
      </c>
      <c r="X225" s="74" t="s">
        <v>999</v>
      </c>
      <c r="Y225" s="74">
        <v>2.11</v>
      </c>
      <c r="Z225" s="74" t="s">
        <v>951</v>
      </c>
      <c r="AA225" s="74" t="s">
        <v>952</v>
      </c>
      <c r="AB225" s="74" t="s">
        <v>16</v>
      </c>
    </row>
    <row r="226" spans="1:31" s="63" customFormat="1" ht="12" x14ac:dyDescent="0.3">
      <c r="A226" s="67">
        <v>10</v>
      </c>
      <c r="B226" s="115" t="s">
        <v>1089</v>
      </c>
      <c r="C226" s="67" t="s">
        <v>1088</v>
      </c>
      <c r="D226" s="70">
        <v>121</v>
      </c>
      <c r="E226" s="70">
        <f t="shared" si="15"/>
        <v>7.5129999999999999</v>
      </c>
      <c r="F226" s="70">
        <v>6.5</v>
      </c>
      <c r="G226" s="92">
        <v>50</v>
      </c>
      <c r="H226" s="70">
        <f t="shared" si="13"/>
        <v>121</v>
      </c>
      <c r="I226" s="70">
        <f t="shared" si="14"/>
        <v>10.013</v>
      </c>
      <c r="J226" s="70">
        <v>9</v>
      </c>
      <c r="K226" s="92">
        <v>55</v>
      </c>
      <c r="L226" s="67" t="s">
        <v>959</v>
      </c>
      <c r="M226" s="67" t="s">
        <v>959</v>
      </c>
      <c r="N226" s="93">
        <v>200</v>
      </c>
      <c r="O226" s="85" t="s">
        <v>789</v>
      </c>
      <c r="P226" s="86"/>
      <c r="Q226" s="70">
        <v>3</v>
      </c>
      <c r="R226" s="73"/>
      <c r="S226" s="74">
        <v>2.1</v>
      </c>
      <c r="T226" s="112">
        <v>150</v>
      </c>
      <c r="U226" s="113" t="s">
        <v>1073</v>
      </c>
      <c r="V226" s="74">
        <v>0</v>
      </c>
      <c r="W226" s="74">
        <v>1.08</v>
      </c>
      <c r="X226" s="74" t="s">
        <v>999</v>
      </c>
      <c r="Y226" s="74">
        <v>2.77</v>
      </c>
      <c r="Z226" s="74" t="s">
        <v>951</v>
      </c>
      <c r="AA226" s="74" t="s">
        <v>952</v>
      </c>
      <c r="AB226" s="74" t="s">
        <v>16</v>
      </c>
    </row>
    <row r="227" spans="1:31" s="63" customFormat="1" ht="12" x14ac:dyDescent="0.3">
      <c r="A227" s="67">
        <v>11</v>
      </c>
      <c r="B227" s="115" t="s">
        <v>1090</v>
      </c>
      <c r="C227" s="67" t="s">
        <v>1086</v>
      </c>
      <c r="D227" s="70">
        <v>35</v>
      </c>
      <c r="E227" s="70">
        <f t="shared" si="15"/>
        <v>2.7130000000000001</v>
      </c>
      <c r="F227" s="70">
        <f>F218</f>
        <v>1.7</v>
      </c>
      <c r="G227" s="70">
        <v>37</v>
      </c>
      <c r="H227" s="70">
        <f>D227</f>
        <v>35</v>
      </c>
      <c r="I227" s="70">
        <f t="shared" si="14"/>
        <v>3.0529999999999999</v>
      </c>
      <c r="J227" s="70">
        <f>F227*1.2</f>
        <v>2.04</v>
      </c>
      <c r="K227" s="92">
        <v>50</v>
      </c>
      <c r="L227" s="67" t="s">
        <v>959</v>
      </c>
      <c r="M227" s="67" t="s">
        <v>959</v>
      </c>
      <c r="N227" s="93">
        <v>200</v>
      </c>
      <c r="O227" s="85" t="s">
        <v>789</v>
      </c>
      <c r="P227" s="86"/>
      <c r="Q227" s="70">
        <v>1.5</v>
      </c>
      <c r="R227" s="73"/>
      <c r="S227" s="74">
        <v>2.1</v>
      </c>
      <c r="T227" s="126"/>
      <c r="U227" s="127"/>
      <c r="V227" s="74"/>
      <c r="W227" s="74"/>
      <c r="X227" s="75"/>
      <c r="Y227" s="74"/>
      <c r="Z227" s="74"/>
      <c r="AA227" s="74"/>
      <c r="AB227" s="74"/>
    </row>
    <row r="228" spans="1:31" s="63" customFormat="1" ht="11.25" x14ac:dyDescent="0.3">
      <c r="A228" s="67">
        <v>12</v>
      </c>
      <c r="B228" s="115" t="s">
        <v>1091</v>
      </c>
      <c r="C228" s="67" t="s">
        <v>1092</v>
      </c>
      <c r="D228" s="70">
        <v>35</v>
      </c>
      <c r="E228" s="70">
        <f t="shared" si="15"/>
        <v>10.513</v>
      </c>
      <c r="F228" s="70">
        <v>9.5</v>
      </c>
      <c r="G228" s="70">
        <v>37</v>
      </c>
      <c r="H228" s="70">
        <f>D228</f>
        <v>35</v>
      </c>
      <c r="I228" s="70">
        <f t="shared" si="14"/>
        <v>14.013</v>
      </c>
      <c r="J228" s="70">
        <v>13</v>
      </c>
      <c r="K228" s="92">
        <v>50</v>
      </c>
      <c r="L228" s="108" t="s">
        <v>932</v>
      </c>
      <c r="M228" s="67" t="s">
        <v>959</v>
      </c>
      <c r="N228" s="93">
        <v>150</v>
      </c>
      <c r="O228" s="85" t="s">
        <v>789</v>
      </c>
      <c r="P228" s="86"/>
      <c r="Q228" s="70">
        <v>3</v>
      </c>
      <c r="R228" s="73"/>
      <c r="S228" s="74">
        <v>2.1</v>
      </c>
      <c r="T228" s="87"/>
      <c r="V228" s="74"/>
      <c r="W228" s="74"/>
      <c r="X228" s="64"/>
      <c r="Y228" s="74"/>
      <c r="Z228" s="74"/>
      <c r="AA228" s="74"/>
      <c r="AB228" s="74"/>
      <c r="AC228" s="74"/>
      <c r="AD228" s="74"/>
      <c r="AE228" s="74"/>
    </row>
    <row r="229" spans="1:31" s="63" customFormat="1" ht="12" x14ac:dyDescent="0.3">
      <c r="A229" s="67">
        <v>13</v>
      </c>
      <c r="B229" s="115" t="s">
        <v>1093</v>
      </c>
      <c r="C229" s="67" t="s">
        <v>1092</v>
      </c>
      <c r="D229" s="70">
        <v>81</v>
      </c>
      <c r="E229" s="70">
        <f t="shared" si="15"/>
        <v>10.513</v>
      </c>
      <c r="F229" s="70">
        <v>9.5</v>
      </c>
      <c r="G229" s="70">
        <v>37</v>
      </c>
      <c r="H229" s="70">
        <f>D229</f>
        <v>81</v>
      </c>
      <c r="I229" s="70">
        <f t="shared" si="14"/>
        <v>14.013</v>
      </c>
      <c r="J229" s="70">
        <v>13</v>
      </c>
      <c r="K229" s="92">
        <v>50</v>
      </c>
      <c r="L229" s="108" t="s">
        <v>932</v>
      </c>
      <c r="M229" s="67" t="s">
        <v>959</v>
      </c>
      <c r="N229" s="93">
        <v>200</v>
      </c>
      <c r="O229" s="85" t="s">
        <v>789</v>
      </c>
      <c r="P229" s="86"/>
      <c r="Q229" s="70">
        <v>3</v>
      </c>
      <c r="R229" s="73"/>
      <c r="S229" s="74">
        <v>2.1</v>
      </c>
      <c r="T229" s="112">
        <v>150</v>
      </c>
      <c r="U229" s="113" t="s">
        <v>1073</v>
      </c>
      <c r="V229" s="74">
        <v>0</v>
      </c>
      <c r="W229" s="74">
        <v>2.2699999999999996</v>
      </c>
      <c r="X229" s="74" t="s">
        <v>999</v>
      </c>
      <c r="Y229" s="74">
        <v>3.96</v>
      </c>
      <c r="Z229" s="74" t="s">
        <v>951</v>
      </c>
      <c r="AA229" s="74" t="s">
        <v>952</v>
      </c>
      <c r="AB229" s="74" t="s">
        <v>16</v>
      </c>
    </row>
    <row r="230" spans="1:31" s="63" customFormat="1" ht="11.25" x14ac:dyDescent="0.3">
      <c r="A230" s="67"/>
      <c r="B230" s="84"/>
      <c r="C230" s="67"/>
      <c r="D230" s="70"/>
      <c r="E230" s="70"/>
      <c r="F230" s="70"/>
      <c r="G230" s="70"/>
      <c r="H230" s="70"/>
      <c r="I230" s="70"/>
      <c r="J230" s="70"/>
      <c r="K230" s="70"/>
      <c r="L230" s="70"/>
      <c r="M230" s="67"/>
      <c r="N230" s="85"/>
      <c r="O230" s="85"/>
      <c r="P230" s="86"/>
      <c r="Q230" s="70"/>
      <c r="R230" s="73"/>
      <c r="S230" s="75"/>
      <c r="T230" s="87"/>
      <c r="V230" s="74"/>
      <c r="W230" s="74"/>
      <c r="X230" s="64"/>
      <c r="Y230" s="74"/>
      <c r="Z230" s="74"/>
      <c r="AA230" s="74"/>
      <c r="AB230" s="74"/>
      <c r="AC230" s="74"/>
      <c r="AD230" s="74"/>
      <c r="AE230" s="74"/>
    </row>
    <row r="231" spans="1:31" s="63" customFormat="1" ht="12" x14ac:dyDescent="0.3">
      <c r="A231" s="55" t="s">
        <v>1094</v>
      </c>
      <c r="B231" s="56" t="s">
        <v>1095</v>
      </c>
      <c r="C231" s="55"/>
      <c r="D231" s="57"/>
      <c r="E231" s="57"/>
      <c r="F231" s="57"/>
      <c r="G231" s="57"/>
      <c r="H231" s="57"/>
      <c r="I231" s="57"/>
      <c r="J231" s="57"/>
      <c r="K231" s="57"/>
      <c r="L231" s="57"/>
      <c r="M231" s="58"/>
      <c r="N231" s="59"/>
      <c r="O231" s="59"/>
      <c r="P231" s="60"/>
      <c r="Q231" s="57"/>
      <c r="R231" s="61"/>
      <c r="S231" s="145"/>
      <c r="T231" s="112">
        <v>150</v>
      </c>
      <c r="U231" s="113" t="s">
        <v>1073</v>
      </c>
      <c r="V231" s="74">
        <v>0</v>
      </c>
      <c r="W231" s="74">
        <v>0.39</v>
      </c>
      <c r="X231" s="74" t="s">
        <v>954</v>
      </c>
      <c r="Y231" s="74">
        <v>3.91</v>
      </c>
      <c r="Z231" s="74" t="s">
        <v>1096</v>
      </c>
      <c r="AA231" s="74" t="s">
        <v>952</v>
      </c>
      <c r="AB231" s="74" t="s">
        <v>16</v>
      </c>
    </row>
    <row r="232" spans="1:31" s="63" customFormat="1" ht="12" x14ac:dyDescent="0.3">
      <c r="A232" s="67">
        <v>1</v>
      </c>
      <c r="B232" s="115" t="s">
        <v>1095</v>
      </c>
      <c r="C232" s="67" t="s">
        <v>1097</v>
      </c>
      <c r="D232" s="92">
        <f>240/3.6</f>
        <v>66.666666666666671</v>
      </c>
      <c r="E232" s="92">
        <f>F232+1.013</f>
        <v>10.513</v>
      </c>
      <c r="F232" s="92">
        <v>9.5</v>
      </c>
      <c r="G232" s="70">
        <v>37</v>
      </c>
      <c r="H232" s="92">
        <f>240/3.6</f>
        <v>66.666666666666671</v>
      </c>
      <c r="I232" s="92">
        <f>J232+1.013</f>
        <v>14.013</v>
      </c>
      <c r="J232" s="92">
        <v>13</v>
      </c>
      <c r="K232" s="92">
        <v>55</v>
      </c>
      <c r="L232" s="108" t="s">
        <v>932</v>
      </c>
      <c r="M232" s="67" t="s">
        <v>959</v>
      </c>
      <c r="N232" s="93">
        <v>200</v>
      </c>
      <c r="O232" s="85" t="s">
        <v>789</v>
      </c>
      <c r="P232" s="86"/>
      <c r="Q232" s="70">
        <v>3</v>
      </c>
      <c r="R232" s="73"/>
      <c r="S232" s="74">
        <v>2.1</v>
      </c>
      <c r="T232" s="112">
        <v>150</v>
      </c>
      <c r="U232" s="113" t="s">
        <v>1073</v>
      </c>
      <c r="V232" s="74">
        <v>0</v>
      </c>
      <c r="W232" s="74">
        <v>0.39</v>
      </c>
      <c r="X232" s="74" t="s">
        <v>954</v>
      </c>
      <c r="Y232" s="74">
        <v>3.91</v>
      </c>
      <c r="Z232" s="74" t="s">
        <v>1096</v>
      </c>
      <c r="AA232" s="74" t="s">
        <v>952</v>
      </c>
      <c r="AB232" s="74" t="s">
        <v>16</v>
      </c>
    </row>
    <row r="233" spans="1:31" s="63" customFormat="1" ht="12" x14ac:dyDescent="0.3">
      <c r="A233" s="67"/>
      <c r="B233" s="84"/>
      <c r="C233" s="67"/>
      <c r="D233" s="70"/>
      <c r="E233" s="70"/>
      <c r="F233" s="70"/>
      <c r="G233" s="70"/>
      <c r="H233" s="70"/>
      <c r="I233" s="70"/>
      <c r="J233" s="70"/>
      <c r="K233" s="70"/>
      <c r="L233" s="70"/>
      <c r="M233" s="67"/>
      <c r="N233" s="85"/>
      <c r="O233" s="85"/>
      <c r="P233" s="86"/>
      <c r="Q233" s="70"/>
      <c r="R233" s="73"/>
      <c r="S233" s="75"/>
      <c r="T233" s="112">
        <v>150</v>
      </c>
      <c r="U233" s="113" t="s">
        <v>1073</v>
      </c>
      <c r="V233" s="74">
        <v>0</v>
      </c>
      <c r="W233" s="74">
        <v>0.39</v>
      </c>
      <c r="X233" s="74" t="s">
        <v>954</v>
      </c>
      <c r="Y233" s="74">
        <v>3.91</v>
      </c>
      <c r="Z233" s="74" t="s">
        <v>1096</v>
      </c>
      <c r="AA233" s="74" t="s">
        <v>952</v>
      </c>
      <c r="AB233" s="74" t="s">
        <v>16</v>
      </c>
    </row>
    <row r="234" spans="1:31" s="63" customFormat="1" ht="12" x14ac:dyDescent="0.3">
      <c r="A234" s="55" t="s">
        <v>1098</v>
      </c>
      <c r="B234" s="56" t="s">
        <v>1099</v>
      </c>
      <c r="C234" s="55"/>
      <c r="D234" s="57"/>
      <c r="E234" s="57"/>
      <c r="F234" s="57"/>
      <c r="G234" s="57"/>
      <c r="H234" s="57"/>
      <c r="I234" s="57"/>
      <c r="J234" s="57"/>
      <c r="K234" s="57"/>
      <c r="L234" s="57"/>
      <c r="M234" s="58"/>
      <c r="N234" s="59"/>
      <c r="O234" s="59"/>
      <c r="P234" s="60"/>
      <c r="Q234" s="57"/>
      <c r="R234" s="61"/>
      <c r="T234" s="112">
        <v>150</v>
      </c>
      <c r="U234" s="113" t="s">
        <v>1073</v>
      </c>
      <c r="V234" s="74">
        <v>0</v>
      </c>
      <c r="W234" s="74">
        <v>0.39</v>
      </c>
      <c r="X234" s="74" t="s">
        <v>954</v>
      </c>
      <c r="Y234" s="74">
        <v>3.91</v>
      </c>
      <c r="Z234" s="74" t="s">
        <v>1096</v>
      </c>
      <c r="AA234" s="74" t="s">
        <v>952</v>
      </c>
      <c r="AB234" s="74" t="s">
        <v>16</v>
      </c>
    </row>
    <row r="235" spans="1:31" s="63" customFormat="1" ht="12" x14ac:dyDescent="0.3">
      <c r="A235" s="67">
        <v>1</v>
      </c>
      <c r="B235" s="115" t="s">
        <v>1100</v>
      </c>
      <c r="C235" s="67"/>
      <c r="D235" s="70" t="s">
        <v>1101</v>
      </c>
      <c r="E235" s="70"/>
      <c r="F235" s="70" t="s">
        <v>1101</v>
      </c>
      <c r="G235" s="70">
        <v>37</v>
      </c>
      <c r="H235" s="70" t="str">
        <f>D235</f>
        <v>LATER</v>
      </c>
      <c r="I235" s="70"/>
      <c r="J235" s="70" t="str">
        <f>F235</f>
        <v>LATER</v>
      </c>
      <c r="K235" s="92">
        <v>55</v>
      </c>
      <c r="L235" s="67" t="s">
        <v>959</v>
      </c>
      <c r="M235" s="67" t="s">
        <v>959</v>
      </c>
      <c r="N235" s="85"/>
      <c r="O235" s="85"/>
      <c r="P235" s="86"/>
      <c r="Q235" s="70"/>
      <c r="R235" s="73"/>
      <c r="S235" s="74">
        <v>2.1</v>
      </c>
      <c r="T235" s="112">
        <v>150</v>
      </c>
      <c r="U235" s="113" t="s">
        <v>1073</v>
      </c>
      <c r="V235" s="74">
        <v>0</v>
      </c>
      <c r="W235" s="74">
        <v>0.57000000000000006</v>
      </c>
      <c r="X235" s="74" t="s">
        <v>999</v>
      </c>
      <c r="Y235" s="74">
        <v>2.11</v>
      </c>
      <c r="Z235" s="74" t="s">
        <v>951</v>
      </c>
      <c r="AA235" s="74" t="s">
        <v>952</v>
      </c>
      <c r="AB235" s="74" t="s">
        <v>16</v>
      </c>
    </row>
    <row r="236" spans="1:31" s="63" customFormat="1" ht="22.5" x14ac:dyDescent="0.3">
      <c r="A236" s="67">
        <v>2</v>
      </c>
      <c r="B236" s="115" t="s">
        <v>1102</v>
      </c>
      <c r="C236" s="67" t="s">
        <v>1103</v>
      </c>
      <c r="D236" s="92">
        <f>210/3.6</f>
        <v>58.333333333333329</v>
      </c>
      <c r="E236" s="92">
        <f t="shared" ref="E236:E243" si="16">F236+1.013</f>
        <v>2.5129999999999999</v>
      </c>
      <c r="F236" s="92">
        <v>1.5</v>
      </c>
      <c r="G236" s="70">
        <v>37</v>
      </c>
      <c r="H236" s="92">
        <f>D236</f>
        <v>58.333333333333329</v>
      </c>
      <c r="I236" s="92">
        <f t="shared" ref="I236:I243" si="17">J236+1.013</f>
        <v>3.0129999999999999</v>
      </c>
      <c r="J236" s="92">
        <v>2</v>
      </c>
      <c r="K236" s="70">
        <v>55</v>
      </c>
      <c r="L236" s="108" t="s">
        <v>932</v>
      </c>
      <c r="M236" s="67" t="s">
        <v>959</v>
      </c>
      <c r="N236" s="93">
        <v>250</v>
      </c>
      <c r="O236" s="85" t="s">
        <v>789</v>
      </c>
      <c r="P236" s="86"/>
      <c r="Q236" s="70">
        <v>1.5</v>
      </c>
      <c r="R236" s="73"/>
      <c r="S236" s="74">
        <v>2.1</v>
      </c>
      <c r="T236" s="112">
        <v>150</v>
      </c>
      <c r="U236" s="113" t="s">
        <v>1104</v>
      </c>
      <c r="V236" s="74">
        <v>0</v>
      </c>
      <c r="W236" s="74">
        <v>0.39</v>
      </c>
      <c r="X236" s="74" t="s">
        <v>954</v>
      </c>
      <c r="Y236" s="74">
        <v>3.91</v>
      </c>
      <c r="Z236" s="74" t="e">
        <v>#N/A</v>
      </c>
      <c r="AA236" s="74" t="e">
        <v>#N/A</v>
      </c>
      <c r="AB236" s="74" t="s">
        <v>16</v>
      </c>
    </row>
    <row r="237" spans="1:31" s="63" customFormat="1" ht="12" x14ac:dyDescent="0.3">
      <c r="A237" s="67">
        <v>3</v>
      </c>
      <c r="B237" s="115" t="s">
        <v>1105</v>
      </c>
      <c r="C237" s="67" t="s">
        <v>1103</v>
      </c>
      <c r="D237" s="92">
        <f>7.6/3.6</f>
        <v>2.1111111111111112</v>
      </c>
      <c r="E237" s="92">
        <f t="shared" si="16"/>
        <v>2.5129999999999999</v>
      </c>
      <c r="F237" s="92">
        <f>F236</f>
        <v>1.5</v>
      </c>
      <c r="G237" s="70">
        <v>37</v>
      </c>
      <c r="H237" s="92">
        <f t="shared" ref="H237:H243" si="18">D237</f>
        <v>2.1111111111111112</v>
      </c>
      <c r="I237" s="92">
        <f t="shared" si="17"/>
        <v>3.0129999999999999</v>
      </c>
      <c r="J237" s="92">
        <v>2</v>
      </c>
      <c r="K237" s="70">
        <v>55</v>
      </c>
      <c r="L237" s="108" t="s">
        <v>932</v>
      </c>
      <c r="M237" s="67" t="s">
        <v>959</v>
      </c>
      <c r="N237" s="85">
        <v>50</v>
      </c>
      <c r="O237" s="85" t="s">
        <v>789</v>
      </c>
      <c r="P237" s="86"/>
      <c r="Q237" s="70">
        <v>1.5</v>
      </c>
      <c r="R237" s="73"/>
      <c r="S237" s="74">
        <v>2.1</v>
      </c>
      <c r="T237" s="112">
        <v>150</v>
      </c>
      <c r="U237" s="113" t="s">
        <v>1073</v>
      </c>
      <c r="V237" s="74">
        <v>0</v>
      </c>
      <c r="W237" s="74">
        <v>1.4</v>
      </c>
      <c r="X237" s="74" t="s">
        <v>999</v>
      </c>
      <c r="Y237" s="74">
        <v>2.77</v>
      </c>
      <c r="Z237" s="74" t="s">
        <v>951</v>
      </c>
      <c r="AA237" s="74" t="s">
        <v>952</v>
      </c>
      <c r="AB237" s="74" t="s">
        <v>16</v>
      </c>
    </row>
    <row r="238" spans="1:31" s="63" customFormat="1" ht="12" x14ac:dyDescent="0.3">
      <c r="A238" s="67">
        <v>4</v>
      </c>
      <c r="B238" s="115" t="s">
        <v>1106</v>
      </c>
      <c r="C238" s="67" t="s">
        <v>1107</v>
      </c>
      <c r="D238" s="92">
        <f>10/3.6</f>
        <v>2.7777777777777777</v>
      </c>
      <c r="E238" s="92">
        <f t="shared" si="16"/>
        <v>10.413</v>
      </c>
      <c r="F238" s="92">
        <v>9.4</v>
      </c>
      <c r="G238" s="70">
        <v>37</v>
      </c>
      <c r="H238" s="92">
        <f t="shared" si="18"/>
        <v>2.7777777777777777</v>
      </c>
      <c r="I238" s="92">
        <f t="shared" si="17"/>
        <v>14.013</v>
      </c>
      <c r="J238" s="92">
        <v>13</v>
      </c>
      <c r="K238" s="70">
        <v>55</v>
      </c>
      <c r="L238" s="108" t="s">
        <v>932</v>
      </c>
      <c r="M238" s="67" t="s">
        <v>959</v>
      </c>
      <c r="N238" s="85">
        <v>50</v>
      </c>
      <c r="O238" s="85" t="s">
        <v>789</v>
      </c>
      <c r="P238" s="86"/>
      <c r="Q238" s="70">
        <v>2.25</v>
      </c>
      <c r="R238" s="73"/>
      <c r="S238" s="74">
        <v>2.1</v>
      </c>
      <c r="T238" s="112">
        <v>150</v>
      </c>
      <c r="U238" s="113" t="s">
        <v>1073</v>
      </c>
      <c r="V238" s="74">
        <v>0</v>
      </c>
      <c r="W238" s="74">
        <v>1.08</v>
      </c>
      <c r="X238" s="74" t="s">
        <v>999</v>
      </c>
      <c r="Y238" s="74">
        <v>2.77</v>
      </c>
      <c r="Z238" s="74" t="s">
        <v>951</v>
      </c>
      <c r="AA238" s="74" t="s">
        <v>952</v>
      </c>
      <c r="AB238" s="74" t="s">
        <v>16</v>
      </c>
    </row>
    <row r="239" spans="1:31" s="63" customFormat="1" ht="12" x14ac:dyDescent="0.3">
      <c r="A239" s="67">
        <v>5</v>
      </c>
      <c r="B239" s="115" t="s">
        <v>1108</v>
      </c>
      <c r="C239" s="67" t="s">
        <v>1107</v>
      </c>
      <c r="D239" s="92">
        <f>10/3.6</f>
        <v>2.7777777777777777</v>
      </c>
      <c r="E239" s="92">
        <f t="shared" si="16"/>
        <v>10.413</v>
      </c>
      <c r="F239" s="92">
        <f>F238</f>
        <v>9.4</v>
      </c>
      <c r="G239" s="70">
        <v>37</v>
      </c>
      <c r="H239" s="92">
        <f t="shared" si="18"/>
        <v>2.7777777777777777</v>
      </c>
      <c r="I239" s="92">
        <f t="shared" si="17"/>
        <v>14.013</v>
      </c>
      <c r="J239" s="92">
        <v>13</v>
      </c>
      <c r="K239" s="70">
        <v>55</v>
      </c>
      <c r="L239" s="108" t="s">
        <v>932</v>
      </c>
      <c r="M239" s="67" t="s">
        <v>959</v>
      </c>
      <c r="N239" s="93">
        <v>80</v>
      </c>
      <c r="O239" s="85" t="s">
        <v>789</v>
      </c>
      <c r="P239" s="86"/>
      <c r="Q239" s="70">
        <v>2.25</v>
      </c>
      <c r="R239" s="73"/>
      <c r="S239" s="74">
        <v>2.1</v>
      </c>
      <c r="T239" s="112">
        <v>150</v>
      </c>
      <c r="U239" s="113" t="s">
        <v>1073</v>
      </c>
      <c r="V239" s="74">
        <v>0</v>
      </c>
      <c r="W239" s="74">
        <v>0.73</v>
      </c>
      <c r="X239" s="74" t="s">
        <v>999</v>
      </c>
      <c r="Y239" s="74">
        <v>2.11</v>
      </c>
      <c r="Z239" s="74" t="s">
        <v>951</v>
      </c>
      <c r="AA239" s="74" t="s">
        <v>952</v>
      </c>
      <c r="AB239" s="74" t="s">
        <v>16</v>
      </c>
    </row>
    <row r="240" spans="1:31" s="63" customFormat="1" ht="12" x14ac:dyDescent="0.3">
      <c r="A240" s="67">
        <v>6</v>
      </c>
      <c r="B240" s="147" t="s">
        <v>1109</v>
      </c>
      <c r="C240" s="67" t="s">
        <v>1107</v>
      </c>
      <c r="D240" s="92">
        <f>10/3.6</f>
        <v>2.7777777777777777</v>
      </c>
      <c r="E240" s="92">
        <f t="shared" si="16"/>
        <v>10.413</v>
      </c>
      <c r="F240" s="92">
        <f>F238</f>
        <v>9.4</v>
      </c>
      <c r="G240" s="70">
        <v>37</v>
      </c>
      <c r="H240" s="92">
        <f t="shared" si="18"/>
        <v>2.7777777777777777</v>
      </c>
      <c r="I240" s="92">
        <f t="shared" si="17"/>
        <v>14.013</v>
      </c>
      <c r="J240" s="92">
        <v>13</v>
      </c>
      <c r="K240" s="70">
        <v>55</v>
      </c>
      <c r="L240" s="108" t="s">
        <v>932</v>
      </c>
      <c r="M240" s="67" t="s">
        <v>959</v>
      </c>
      <c r="N240" s="93">
        <v>100</v>
      </c>
      <c r="O240" s="85" t="s">
        <v>789</v>
      </c>
      <c r="P240" s="86"/>
      <c r="Q240" s="70">
        <v>2.25</v>
      </c>
      <c r="R240" s="73"/>
      <c r="S240" s="74" t="s">
        <v>1057</v>
      </c>
      <c r="T240" s="112">
        <v>150</v>
      </c>
      <c r="U240" s="113" t="s">
        <v>1073</v>
      </c>
      <c r="V240" s="74">
        <v>0</v>
      </c>
      <c r="W240" s="74">
        <v>1.08</v>
      </c>
      <c r="X240" s="74" t="s">
        <v>999</v>
      </c>
      <c r="Y240" s="74">
        <v>2.77</v>
      </c>
      <c r="Z240" s="74" t="s">
        <v>951</v>
      </c>
      <c r="AA240" s="74" t="s">
        <v>952</v>
      </c>
      <c r="AB240" s="74" t="s">
        <v>16</v>
      </c>
    </row>
    <row r="241" spans="1:31" s="63" customFormat="1" ht="11.25" x14ac:dyDescent="0.3">
      <c r="A241" s="67">
        <v>7</v>
      </c>
      <c r="B241" s="115" t="s">
        <v>1110</v>
      </c>
      <c r="C241" s="67" t="s">
        <v>1103</v>
      </c>
      <c r="D241" s="92">
        <f>90/3.6</f>
        <v>25</v>
      </c>
      <c r="E241" s="92">
        <f t="shared" si="16"/>
        <v>2.5129999999999999</v>
      </c>
      <c r="F241" s="92">
        <f>F237</f>
        <v>1.5</v>
      </c>
      <c r="G241" s="70">
        <v>37</v>
      </c>
      <c r="H241" s="92">
        <f t="shared" si="18"/>
        <v>25</v>
      </c>
      <c r="I241" s="92">
        <f t="shared" si="17"/>
        <v>3.0129999999999999</v>
      </c>
      <c r="J241" s="92">
        <f>J237</f>
        <v>2</v>
      </c>
      <c r="K241" s="70">
        <v>55</v>
      </c>
      <c r="L241" s="108" t="s">
        <v>932</v>
      </c>
      <c r="M241" s="67" t="s">
        <v>959</v>
      </c>
      <c r="N241" s="85">
        <v>150</v>
      </c>
      <c r="O241" s="85" t="s">
        <v>789</v>
      </c>
      <c r="P241" s="86"/>
      <c r="Q241" s="70">
        <v>1.5</v>
      </c>
      <c r="R241" s="73"/>
      <c r="S241" s="74">
        <v>2.1</v>
      </c>
      <c r="T241" s="87"/>
      <c r="V241" s="74"/>
      <c r="W241" s="74"/>
      <c r="X241" s="64"/>
      <c r="Y241" s="74"/>
      <c r="Z241" s="74"/>
      <c r="AA241" s="74"/>
      <c r="AB241" s="74"/>
      <c r="AC241" s="74"/>
      <c r="AD241" s="74"/>
      <c r="AE241" s="74"/>
    </row>
    <row r="242" spans="1:31" s="63" customFormat="1" ht="11.25" x14ac:dyDescent="0.3">
      <c r="A242" s="67">
        <v>8</v>
      </c>
      <c r="B242" s="115" t="s">
        <v>1111</v>
      </c>
      <c r="C242" s="67" t="s">
        <v>1112</v>
      </c>
      <c r="D242" s="92">
        <f>90/3.6</f>
        <v>25</v>
      </c>
      <c r="E242" s="92">
        <f t="shared" si="16"/>
        <v>16.313000000000002</v>
      </c>
      <c r="F242" s="92">
        <v>15.3</v>
      </c>
      <c r="G242" s="70">
        <v>37</v>
      </c>
      <c r="H242" s="92">
        <f t="shared" si="18"/>
        <v>25</v>
      </c>
      <c r="I242" s="92">
        <f t="shared" si="17"/>
        <v>21.012999999999998</v>
      </c>
      <c r="J242" s="92">
        <v>20</v>
      </c>
      <c r="K242" s="70">
        <v>55</v>
      </c>
      <c r="L242" s="108" t="s">
        <v>1113</v>
      </c>
      <c r="M242" s="67" t="s">
        <v>959</v>
      </c>
      <c r="N242" s="93">
        <v>150</v>
      </c>
      <c r="O242" s="85" t="s">
        <v>789</v>
      </c>
      <c r="P242" s="86"/>
      <c r="Q242" s="70">
        <v>3</v>
      </c>
      <c r="R242" s="73"/>
      <c r="S242" s="74">
        <v>2.1</v>
      </c>
      <c r="T242" s="87"/>
      <c r="V242" s="74"/>
      <c r="W242" s="74"/>
      <c r="X242" s="64"/>
      <c r="Y242" s="74"/>
      <c r="Z242" s="74"/>
      <c r="AA242" s="74"/>
      <c r="AB242" s="74"/>
      <c r="AC242" s="74"/>
      <c r="AD242" s="74"/>
      <c r="AE242" s="74"/>
    </row>
    <row r="243" spans="1:31" s="63" customFormat="1" ht="12.6" customHeight="1" x14ac:dyDescent="0.3">
      <c r="A243" s="67">
        <v>9</v>
      </c>
      <c r="B243" s="115" t="s">
        <v>1114</v>
      </c>
      <c r="C243" s="67" t="s">
        <v>1112</v>
      </c>
      <c r="D243" s="92">
        <f>D242*2</f>
        <v>50</v>
      </c>
      <c r="E243" s="92">
        <f t="shared" si="16"/>
        <v>16.313000000000002</v>
      </c>
      <c r="F243" s="92">
        <f>F242</f>
        <v>15.3</v>
      </c>
      <c r="G243" s="70">
        <v>37</v>
      </c>
      <c r="H243" s="92">
        <f t="shared" si="18"/>
        <v>50</v>
      </c>
      <c r="I243" s="92">
        <f t="shared" si="17"/>
        <v>21.012999999999998</v>
      </c>
      <c r="J243" s="92">
        <v>20</v>
      </c>
      <c r="K243" s="70">
        <v>55</v>
      </c>
      <c r="L243" s="108" t="s">
        <v>1113</v>
      </c>
      <c r="M243" s="67" t="s">
        <v>959</v>
      </c>
      <c r="N243" s="85">
        <v>150</v>
      </c>
      <c r="O243" s="85" t="s">
        <v>789</v>
      </c>
      <c r="P243" s="86"/>
      <c r="Q243" s="70">
        <v>3</v>
      </c>
      <c r="R243" s="73"/>
      <c r="S243" s="74">
        <v>2.1</v>
      </c>
      <c r="T243" s="112">
        <v>150</v>
      </c>
      <c r="U243" s="113" t="str">
        <f>V243&amp;W243&amp;X243</f>
        <v>HB1</v>
      </c>
      <c r="V243" s="74" t="s">
        <v>786</v>
      </c>
      <c r="W243" s="74" t="s">
        <v>756</v>
      </c>
      <c r="X243" s="114">
        <v>1</v>
      </c>
      <c r="Y243" s="74">
        <v>1.6</v>
      </c>
      <c r="Z243" s="74">
        <v>3</v>
      </c>
      <c r="AA243" s="74" t="s">
        <v>1115</v>
      </c>
      <c r="AB243" s="74">
        <v>6.35</v>
      </c>
      <c r="AC243" s="74" t="s">
        <v>14</v>
      </c>
      <c r="AD243" s="74" t="s">
        <v>15</v>
      </c>
      <c r="AE243" s="74" t="s">
        <v>16</v>
      </c>
    </row>
    <row r="244" spans="1:31" s="97" customFormat="1" ht="12.6" customHeight="1" x14ac:dyDescent="0.3">
      <c r="A244" s="67"/>
      <c r="B244" s="84"/>
      <c r="C244" s="67"/>
      <c r="D244" s="70"/>
      <c r="E244" s="70"/>
      <c r="F244" s="70"/>
      <c r="G244" s="70"/>
      <c r="H244" s="70"/>
      <c r="I244" s="70"/>
      <c r="J244" s="70"/>
      <c r="K244" s="70"/>
      <c r="L244" s="70"/>
      <c r="M244" s="67"/>
      <c r="N244" s="85"/>
      <c r="O244" s="85"/>
      <c r="P244" s="86"/>
      <c r="Q244" s="70"/>
      <c r="R244" s="73"/>
      <c r="S244" s="63"/>
      <c r="T244" s="148">
        <v>150</v>
      </c>
      <c r="U244" s="149" t="str">
        <f>V244&amp;W244&amp;X244</f>
        <v>HB1</v>
      </c>
      <c r="V244" s="150" t="s">
        <v>786</v>
      </c>
      <c r="W244" s="150" t="s">
        <v>756</v>
      </c>
      <c r="X244" s="151">
        <v>1</v>
      </c>
      <c r="Y244" s="150">
        <v>1.6</v>
      </c>
      <c r="Z244" s="150">
        <v>2.09</v>
      </c>
      <c r="AA244" s="150" t="s">
        <v>941</v>
      </c>
      <c r="AB244" s="150">
        <v>5.08</v>
      </c>
      <c r="AC244" s="150" t="e">
        <v>#N/A</v>
      </c>
      <c r="AD244" s="150" t="e">
        <v>#N/A</v>
      </c>
      <c r="AE244" s="150" t="s">
        <v>16</v>
      </c>
    </row>
    <row r="245" spans="1:31" s="97" customFormat="1" ht="12.6" customHeight="1" x14ac:dyDescent="0.3">
      <c r="A245" s="58" t="s">
        <v>1116</v>
      </c>
      <c r="B245" s="152" t="s">
        <v>1117</v>
      </c>
      <c r="C245" s="58"/>
      <c r="D245" s="57"/>
      <c r="E245" s="57"/>
      <c r="F245" s="57"/>
      <c r="G245" s="57"/>
      <c r="H245" s="57"/>
      <c r="I245" s="57"/>
      <c r="J245" s="57"/>
      <c r="K245" s="57"/>
      <c r="L245" s="57"/>
      <c r="M245" s="58"/>
      <c r="N245" s="59"/>
      <c r="O245" s="59"/>
      <c r="P245" s="60"/>
      <c r="Q245" s="57"/>
      <c r="R245" s="61"/>
      <c r="S245" s="63"/>
      <c r="T245" s="148">
        <v>150</v>
      </c>
      <c r="U245" s="149" t="str">
        <f>V245&amp;W245&amp;X245</f>
        <v>HB1</v>
      </c>
      <c r="V245" s="150" t="s">
        <v>786</v>
      </c>
      <c r="W245" s="150" t="s">
        <v>756</v>
      </c>
      <c r="X245" s="151">
        <v>1</v>
      </c>
      <c r="Y245" s="150">
        <v>1.6</v>
      </c>
      <c r="Z245" s="150">
        <v>2.09</v>
      </c>
      <c r="AA245" s="150" t="s">
        <v>941</v>
      </c>
      <c r="AB245" s="150">
        <v>5.08</v>
      </c>
      <c r="AC245" s="150" t="e">
        <v>#N/A</v>
      </c>
      <c r="AD245" s="150" t="e">
        <v>#N/A</v>
      </c>
      <c r="AE245" s="150" t="s">
        <v>16</v>
      </c>
    </row>
    <row r="246" spans="1:31" s="97" customFormat="1" ht="20.25" customHeight="1" x14ac:dyDescent="0.3">
      <c r="A246" s="67">
        <v>1</v>
      </c>
      <c r="B246" s="84" t="s">
        <v>1118</v>
      </c>
      <c r="C246" s="67" t="s">
        <v>1119</v>
      </c>
      <c r="D246" s="70">
        <f>64.8/3.6</f>
        <v>18</v>
      </c>
      <c r="E246" s="70">
        <f>F246+1</f>
        <v>6.5</v>
      </c>
      <c r="F246" s="70">
        <v>5.5</v>
      </c>
      <c r="G246" s="70">
        <v>60.6</v>
      </c>
      <c r="H246" s="70">
        <v>18.001999999999999</v>
      </c>
      <c r="I246" s="70">
        <f>E246*1.05</f>
        <v>6.8250000000000002</v>
      </c>
      <c r="J246" s="92">
        <v>18</v>
      </c>
      <c r="K246" s="70">
        <v>70</v>
      </c>
      <c r="L246" s="67"/>
      <c r="M246" s="67" t="s">
        <v>768</v>
      </c>
      <c r="N246" s="85">
        <v>150</v>
      </c>
      <c r="O246" s="85" t="s">
        <v>814</v>
      </c>
      <c r="P246" s="86"/>
      <c r="Q246" s="70" t="s">
        <v>1120</v>
      </c>
      <c r="R246" s="135">
        <v>2.25</v>
      </c>
      <c r="S246" s="74" t="s">
        <v>1121</v>
      </c>
      <c r="T246" s="153"/>
      <c r="U246" s="154"/>
      <c r="V246" s="150"/>
      <c r="W246" s="150"/>
      <c r="X246" s="155"/>
      <c r="Y246" s="150"/>
      <c r="Z246" s="150"/>
      <c r="AA246" s="150"/>
      <c r="AB246" s="150"/>
      <c r="AC246" s="150"/>
      <c r="AD246" s="150"/>
      <c r="AE246" s="150"/>
    </row>
    <row r="247" spans="1:31" s="63" customFormat="1" ht="20.25" customHeight="1" x14ac:dyDescent="0.3">
      <c r="A247" s="67">
        <v>2</v>
      </c>
      <c r="B247" s="84" t="s">
        <v>1122</v>
      </c>
      <c r="C247" s="67" t="s">
        <v>1123</v>
      </c>
      <c r="D247" s="70">
        <v>18.001999999999999</v>
      </c>
      <c r="E247" s="70">
        <f>F247+1</f>
        <v>5.5</v>
      </c>
      <c r="F247" s="70">
        <v>4.5</v>
      </c>
      <c r="G247" s="70">
        <v>100</v>
      </c>
      <c r="H247" s="70">
        <v>18.001999999999999</v>
      </c>
      <c r="I247" s="70">
        <f>E247*1.05</f>
        <v>5.7750000000000004</v>
      </c>
      <c r="J247" s="92">
        <v>18</v>
      </c>
      <c r="K247" s="70">
        <v>150</v>
      </c>
      <c r="L247" s="108" t="s">
        <v>1124</v>
      </c>
      <c r="M247" s="67" t="s">
        <v>768</v>
      </c>
      <c r="N247" s="85">
        <v>350</v>
      </c>
      <c r="O247" s="85" t="s">
        <v>814</v>
      </c>
      <c r="P247" s="86"/>
      <c r="Q247" s="70" t="s">
        <v>1120</v>
      </c>
      <c r="R247" s="135">
        <v>2.25</v>
      </c>
      <c r="S247" s="74" t="s">
        <v>1121</v>
      </c>
      <c r="T247" s="87"/>
      <c r="V247" s="74"/>
      <c r="W247" s="74"/>
      <c r="X247" s="64"/>
      <c r="Y247" s="74"/>
      <c r="Z247" s="74"/>
      <c r="AA247" s="74"/>
      <c r="AB247" s="74"/>
      <c r="AC247" s="74"/>
      <c r="AD247" s="74"/>
      <c r="AE247" s="74"/>
    </row>
    <row r="248" spans="1:31" s="44" customFormat="1" ht="20.25" customHeight="1" x14ac:dyDescent="0.3">
      <c r="A248" s="67">
        <v>3</v>
      </c>
      <c r="B248" s="84" t="s">
        <v>1125</v>
      </c>
      <c r="C248" s="67" t="s">
        <v>1126</v>
      </c>
      <c r="D248" s="70">
        <v>18.001999999999999</v>
      </c>
      <c r="E248" s="70">
        <f>F248+1</f>
        <v>4.9000000000000004</v>
      </c>
      <c r="F248" s="70">
        <v>3.9</v>
      </c>
      <c r="G248" s="70">
        <v>99</v>
      </c>
      <c r="H248" s="70">
        <v>18.001999999999999</v>
      </c>
      <c r="I248" s="70">
        <f>E248*1.05</f>
        <v>5.1450000000000005</v>
      </c>
      <c r="J248" s="92">
        <v>18</v>
      </c>
      <c r="K248" s="70">
        <v>150</v>
      </c>
      <c r="L248" s="108" t="s">
        <v>1124</v>
      </c>
      <c r="M248" s="67" t="s">
        <v>768</v>
      </c>
      <c r="N248" s="85">
        <v>350</v>
      </c>
      <c r="O248" s="85" t="s">
        <v>814</v>
      </c>
      <c r="P248" s="86"/>
      <c r="Q248" s="70" t="s">
        <v>1120</v>
      </c>
      <c r="R248" s="135">
        <v>20</v>
      </c>
      <c r="S248" s="74" t="s">
        <v>1121</v>
      </c>
      <c r="T248" s="88"/>
      <c r="V248" s="74"/>
      <c r="W248" s="74"/>
      <c r="X248" s="89"/>
      <c r="Y248" s="74"/>
      <c r="Z248" s="74"/>
      <c r="AA248" s="74"/>
      <c r="AB248" s="74"/>
      <c r="AC248" s="74"/>
      <c r="AD248" s="74"/>
      <c r="AE248" s="74"/>
    </row>
    <row r="249" spans="1:31" s="63" customFormat="1" ht="20.25" customHeight="1" x14ac:dyDescent="0.3">
      <c r="A249" s="67">
        <v>4</v>
      </c>
      <c r="B249" s="84" t="s">
        <v>1127</v>
      </c>
      <c r="C249" s="156" t="s">
        <v>1128</v>
      </c>
      <c r="D249" s="70">
        <f>12.2/3.6</f>
        <v>3.3888888888888884</v>
      </c>
      <c r="E249" s="70">
        <f>F249+1</f>
        <v>47.2</v>
      </c>
      <c r="F249" s="70">
        <v>46.2</v>
      </c>
      <c r="G249" s="70">
        <v>371</v>
      </c>
      <c r="H249" s="70">
        <f>13/3.6</f>
        <v>3.6111111111111112</v>
      </c>
      <c r="I249" s="92">
        <v>52</v>
      </c>
      <c r="J249" s="70">
        <v>50.3</v>
      </c>
      <c r="K249" s="70">
        <v>399</v>
      </c>
      <c r="L249" s="79" t="s">
        <v>767</v>
      </c>
      <c r="M249" s="67" t="s">
        <v>768</v>
      </c>
      <c r="N249" s="85">
        <v>80</v>
      </c>
      <c r="O249" s="93">
        <v>60</v>
      </c>
      <c r="P249" s="86"/>
      <c r="Q249" s="70" t="s">
        <v>1120</v>
      </c>
      <c r="R249" s="135">
        <v>60</v>
      </c>
      <c r="S249" s="74" t="s">
        <v>1121</v>
      </c>
      <c r="T249" s="112">
        <v>150</v>
      </c>
      <c r="U249" s="113" t="str">
        <f t="shared" ref="U249:U262" si="19">V249&amp;W249&amp;X249</f>
        <v>HB4</v>
      </c>
      <c r="V249" s="74" t="s">
        <v>786</v>
      </c>
      <c r="W249" s="74" t="s">
        <v>756</v>
      </c>
      <c r="X249" s="114">
        <v>4</v>
      </c>
      <c r="Y249" s="74">
        <v>1.6</v>
      </c>
      <c r="Z249" s="74">
        <v>5.9399999999999995</v>
      </c>
      <c r="AA249" s="74" t="s">
        <v>787</v>
      </c>
      <c r="AB249" s="74">
        <v>6.35</v>
      </c>
      <c r="AC249" s="74" t="s">
        <v>14</v>
      </c>
      <c r="AD249" s="74" t="s">
        <v>15</v>
      </c>
      <c r="AE249" s="74" t="s">
        <v>16</v>
      </c>
    </row>
    <row r="250" spans="1:31" s="63" customFormat="1" ht="20.25" customHeight="1" x14ac:dyDescent="0.3">
      <c r="A250" s="67">
        <v>5</v>
      </c>
      <c r="B250" s="84" t="s">
        <v>1129</v>
      </c>
      <c r="C250" s="156" t="s">
        <v>1130</v>
      </c>
      <c r="D250" s="70">
        <f>D249</f>
        <v>3.3888888888888884</v>
      </c>
      <c r="E250" s="70">
        <f>F250+1</f>
        <v>43.7</v>
      </c>
      <c r="F250" s="70">
        <v>42.7</v>
      </c>
      <c r="G250" s="70">
        <v>243</v>
      </c>
      <c r="H250" s="70">
        <f>H249</f>
        <v>3.6111111111111112</v>
      </c>
      <c r="I250" s="92">
        <v>52</v>
      </c>
      <c r="J250" s="92">
        <v>50.3</v>
      </c>
      <c r="K250" s="70">
        <v>399</v>
      </c>
      <c r="L250" s="79" t="s">
        <v>767</v>
      </c>
      <c r="M250" s="67" t="s">
        <v>768</v>
      </c>
      <c r="N250" s="85">
        <v>50</v>
      </c>
      <c r="O250" s="93">
        <v>60</v>
      </c>
      <c r="P250" s="86"/>
      <c r="Q250" s="70" t="s">
        <v>1120</v>
      </c>
      <c r="R250" s="135">
        <v>3</v>
      </c>
      <c r="S250" s="74" t="s">
        <v>1121</v>
      </c>
      <c r="T250" s="112">
        <v>150</v>
      </c>
      <c r="U250" s="113" t="str">
        <f t="shared" si="19"/>
        <v>HB4</v>
      </c>
      <c r="V250" s="74" t="s">
        <v>786</v>
      </c>
      <c r="W250" s="74" t="s">
        <v>756</v>
      </c>
      <c r="X250" s="114">
        <v>4</v>
      </c>
      <c r="Y250" s="74">
        <v>1.6</v>
      </c>
      <c r="Z250" s="74">
        <v>5.9399999999999995</v>
      </c>
      <c r="AA250" s="74" t="s">
        <v>787</v>
      </c>
      <c r="AB250" s="74">
        <v>6.35</v>
      </c>
      <c r="AC250" s="74" t="s">
        <v>14</v>
      </c>
      <c r="AD250" s="74" t="s">
        <v>15</v>
      </c>
      <c r="AE250" s="74" t="s">
        <v>16</v>
      </c>
    </row>
    <row r="251" spans="1:31" s="63" customFormat="1" ht="12" x14ac:dyDescent="0.3">
      <c r="A251" s="67"/>
      <c r="B251" s="84"/>
      <c r="C251" s="67"/>
      <c r="D251" s="70"/>
      <c r="E251" s="70"/>
      <c r="F251" s="70"/>
      <c r="G251" s="70"/>
      <c r="H251" s="70"/>
      <c r="I251" s="70"/>
      <c r="J251" s="70"/>
      <c r="K251" s="70"/>
      <c r="L251" s="70"/>
      <c r="M251" s="67"/>
      <c r="N251" s="85"/>
      <c r="O251" s="85"/>
      <c r="P251" s="86"/>
      <c r="Q251" s="70"/>
      <c r="R251" s="73"/>
      <c r="T251" s="112">
        <v>150</v>
      </c>
      <c r="U251" s="113" t="str">
        <f t="shared" si="19"/>
        <v>HB4</v>
      </c>
      <c r="V251" s="74" t="s">
        <v>786</v>
      </c>
      <c r="W251" s="74" t="s">
        <v>756</v>
      </c>
      <c r="X251" s="114">
        <v>4</v>
      </c>
      <c r="Y251" s="74">
        <v>1.6</v>
      </c>
      <c r="Z251" s="74">
        <v>3.3099999999999996</v>
      </c>
      <c r="AA251" s="74" t="s">
        <v>1115</v>
      </c>
      <c r="AB251" s="74">
        <v>6.35</v>
      </c>
      <c r="AC251" s="74" t="s">
        <v>14</v>
      </c>
      <c r="AD251" s="74" t="s">
        <v>15</v>
      </c>
      <c r="AE251" s="74" t="s">
        <v>16</v>
      </c>
    </row>
    <row r="252" spans="1:31" s="63" customFormat="1" ht="12" x14ac:dyDescent="0.3">
      <c r="A252" s="55" t="s">
        <v>1131</v>
      </c>
      <c r="B252" s="56" t="s">
        <v>1132</v>
      </c>
      <c r="C252" s="55"/>
      <c r="D252" s="57"/>
      <c r="E252" s="57"/>
      <c r="F252" s="57"/>
      <c r="G252" s="57"/>
      <c r="H252" s="57"/>
      <c r="I252" s="57"/>
      <c r="J252" s="57"/>
      <c r="K252" s="57"/>
      <c r="L252" s="57"/>
      <c r="M252" s="58"/>
      <c r="N252" s="59"/>
      <c r="O252" s="59"/>
      <c r="P252" s="60"/>
      <c r="Q252" s="57"/>
      <c r="R252" s="61"/>
      <c r="T252" s="112">
        <v>150</v>
      </c>
      <c r="U252" s="113" t="str">
        <f t="shared" si="19"/>
        <v>HB4</v>
      </c>
      <c r="V252" s="74" t="s">
        <v>786</v>
      </c>
      <c r="W252" s="74" t="s">
        <v>756</v>
      </c>
      <c r="X252" s="114">
        <v>4</v>
      </c>
      <c r="Y252" s="74">
        <v>1.6</v>
      </c>
      <c r="Z252" s="74">
        <v>2.9699999999999998</v>
      </c>
      <c r="AA252" s="74" t="s">
        <v>772</v>
      </c>
      <c r="AB252" s="74">
        <v>7.11</v>
      </c>
      <c r="AC252" s="74" t="s">
        <v>14</v>
      </c>
      <c r="AD252" s="74" t="s">
        <v>15</v>
      </c>
      <c r="AE252" s="74" t="s">
        <v>16</v>
      </c>
    </row>
    <row r="253" spans="1:31" s="63" customFormat="1" ht="12" x14ac:dyDescent="0.3">
      <c r="A253" s="67">
        <v>1</v>
      </c>
      <c r="B253" s="84" t="s">
        <v>1133</v>
      </c>
      <c r="C253" s="67" t="s">
        <v>1134</v>
      </c>
      <c r="D253" s="70">
        <v>3083.3722103738319</v>
      </c>
      <c r="E253" s="70">
        <v>11.046553281987292</v>
      </c>
      <c r="F253" s="70">
        <v>10.033553281987292</v>
      </c>
      <c r="G253" s="70">
        <v>60.296695188399902</v>
      </c>
      <c r="H253" s="70">
        <v>3237.5408208925237</v>
      </c>
      <c r="I253" s="70">
        <v>12.013</v>
      </c>
      <c r="J253" s="70">
        <v>11</v>
      </c>
      <c r="K253" s="70">
        <v>70</v>
      </c>
      <c r="L253" s="70" t="s">
        <v>1135</v>
      </c>
      <c r="M253" s="108" t="s">
        <v>1136</v>
      </c>
      <c r="N253" s="85">
        <v>650</v>
      </c>
      <c r="O253" s="85" t="s">
        <v>789</v>
      </c>
      <c r="P253" s="86"/>
      <c r="Q253" s="70">
        <v>3</v>
      </c>
      <c r="R253" s="73"/>
      <c r="S253" s="74">
        <v>1.1000000000000001</v>
      </c>
      <c r="T253" s="112">
        <v>150</v>
      </c>
      <c r="U253" s="113" t="str">
        <f t="shared" si="19"/>
        <v>HB4</v>
      </c>
      <c r="V253" s="74" t="s">
        <v>786</v>
      </c>
      <c r="W253" s="74" t="s">
        <v>756</v>
      </c>
      <c r="X253" s="114">
        <v>4</v>
      </c>
      <c r="Y253" s="74">
        <v>1.6</v>
      </c>
      <c r="Z253" s="74">
        <v>2.78</v>
      </c>
      <c r="AA253" s="74" t="s">
        <v>772</v>
      </c>
      <c r="AB253" s="74">
        <v>6.55</v>
      </c>
      <c r="AC253" s="74" t="s">
        <v>14</v>
      </c>
      <c r="AD253" s="74" t="s">
        <v>15</v>
      </c>
      <c r="AE253" s="74" t="s">
        <v>16</v>
      </c>
    </row>
    <row r="254" spans="1:31" s="63" customFormat="1" ht="12" x14ac:dyDescent="0.3">
      <c r="A254" s="67">
        <v>2</v>
      </c>
      <c r="B254" s="84" t="s">
        <v>1137</v>
      </c>
      <c r="C254" s="67" t="s">
        <v>1134</v>
      </c>
      <c r="D254" s="70">
        <v>1541.6861051869159</v>
      </c>
      <c r="E254" s="70">
        <v>11.046553281987292</v>
      </c>
      <c r="F254" s="70">
        <v>10.033553281987292</v>
      </c>
      <c r="G254" s="70">
        <v>60.296695188399902</v>
      </c>
      <c r="H254" s="70">
        <v>1618.7704104462618</v>
      </c>
      <c r="I254" s="70">
        <v>12.013</v>
      </c>
      <c r="J254" s="70">
        <v>11</v>
      </c>
      <c r="K254" s="70">
        <v>70</v>
      </c>
      <c r="L254" s="70" t="s">
        <v>1135</v>
      </c>
      <c r="M254" s="108" t="s">
        <v>1136</v>
      </c>
      <c r="N254" s="85">
        <v>500</v>
      </c>
      <c r="O254" s="85" t="s">
        <v>789</v>
      </c>
      <c r="P254" s="86"/>
      <c r="Q254" s="70">
        <v>3</v>
      </c>
      <c r="R254" s="73"/>
      <c r="S254" s="74">
        <v>1.1000000000000001</v>
      </c>
      <c r="T254" s="112">
        <v>150</v>
      </c>
      <c r="U254" s="113" t="str">
        <f t="shared" si="19"/>
        <v>HB4</v>
      </c>
      <c r="V254" s="74" t="s">
        <v>786</v>
      </c>
      <c r="W254" s="74" t="s">
        <v>756</v>
      </c>
      <c r="X254" s="114">
        <v>4</v>
      </c>
      <c r="Y254" s="74">
        <v>1.6</v>
      </c>
      <c r="Z254" s="74">
        <v>2.78</v>
      </c>
      <c r="AA254" s="74" t="s">
        <v>772</v>
      </c>
      <c r="AB254" s="74">
        <v>6.55</v>
      </c>
      <c r="AC254" s="74" t="s">
        <v>98</v>
      </c>
      <c r="AD254" s="74" t="s">
        <v>15</v>
      </c>
      <c r="AE254" s="74" t="s">
        <v>16</v>
      </c>
    </row>
    <row r="255" spans="1:31" s="63" customFormat="1" ht="12" x14ac:dyDescent="0.3">
      <c r="A255" s="67">
        <v>3</v>
      </c>
      <c r="B255" s="84" t="s">
        <v>1138</v>
      </c>
      <c r="C255" s="67" t="s">
        <v>1134</v>
      </c>
      <c r="D255" s="70">
        <v>1541.6861051869159</v>
      </c>
      <c r="E255" s="70">
        <v>11.046553281987292</v>
      </c>
      <c r="F255" s="70">
        <v>10.033553281987292</v>
      </c>
      <c r="G255" s="70">
        <v>60.296695188399902</v>
      </c>
      <c r="H255" s="70">
        <v>1618.7704104462618</v>
      </c>
      <c r="I255" s="70">
        <v>12.013</v>
      </c>
      <c r="J255" s="70">
        <v>11</v>
      </c>
      <c r="K255" s="70">
        <v>70</v>
      </c>
      <c r="L255" s="70" t="s">
        <v>1135</v>
      </c>
      <c r="M255" s="108" t="s">
        <v>1136</v>
      </c>
      <c r="N255" s="85">
        <v>500</v>
      </c>
      <c r="O255" s="85" t="s">
        <v>789</v>
      </c>
      <c r="P255" s="86"/>
      <c r="Q255" s="70">
        <v>3</v>
      </c>
      <c r="R255" s="73"/>
      <c r="S255" s="74">
        <v>1.1000000000000001</v>
      </c>
      <c r="T255" s="112">
        <v>150</v>
      </c>
      <c r="U255" s="113" t="str">
        <f t="shared" si="19"/>
        <v>HB4</v>
      </c>
      <c r="V255" s="74" t="s">
        <v>786</v>
      </c>
      <c r="W255" s="74" t="s">
        <v>756</v>
      </c>
      <c r="X255" s="114">
        <v>4</v>
      </c>
      <c r="Y255" s="74">
        <v>1.6</v>
      </c>
      <c r="Z255" s="74">
        <v>2.0099999999999998</v>
      </c>
      <c r="AA255" s="74" t="s">
        <v>941</v>
      </c>
      <c r="AB255" s="74">
        <v>3.91</v>
      </c>
      <c r="AC255" s="74" t="s">
        <v>14</v>
      </c>
      <c r="AD255" s="74" t="s">
        <v>15</v>
      </c>
      <c r="AE255" s="74" t="s">
        <v>16</v>
      </c>
    </row>
    <row r="256" spans="1:31" s="63" customFormat="1" ht="12" x14ac:dyDescent="0.3">
      <c r="A256" s="67">
        <v>4</v>
      </c>
      <c r="B256" s="84" t="s">
        <v>1139</v>
      </c>
      <c r="C256" s="67" t="s">
        <v>1134</v>
      </c>
      <c r="D256" s="70">
        <v>3083.3722103738319</v>
      </c>
      <c r="E256" s="70">
        <v>11.046553281987292</v>
      </c>
      <c r="F256" s="70">
        <v>10.033553281987292</v>
      </c>
      <c r="G256" s="70">
        <v>60.296695188399902</v>
      </c>
      <c r="H256" s="70">
        <v>3237.5408208925237</v>
      </c>
      <c r="I256" s="70">
        <v>12.013</v>
      </c>
      <c r="J256" s="70">
        <v>11</v>
      </c>
      <c r="K256" s="70">
        <v>70</v>
      </c>
      <c r="L256" s="70" t="s">
        <v>1135</v>
      </c>
      <c r="M256" s="108" t="s">
        <v>1136</v>
      </c>
      <c r="N256" s="85">
        <v>650</v>
      </c>
      <c r="O256" s="85" t="s">
        <v>789</v>
      </c>
      <c r="P256" s="86"/>
      <c r="Q256" s="70">
        <v>3</v>
      </c>
      <c r="R256" s="73"/>
      <c r="S256" s="74">
        <v>1.1000000000000001</v>
      </c>
      <c r="T256" s="112">
        <v>150</v>
      </c>
      <c r="U256" s="113" t="str">
        <f t="shared" si="19"/>
        <v>HB4</v>
      </c>
      <c r="V256" s="74" t="s">
        <v>786</v>
      </c>
      <c r="W256" s="74" t="s">
        <v>756</v>
      </c>
      <c r="X256" s="114">
        <v>4</v>
      </c>
      <c r="Y256" s="74">
        <v>1.6</v>
      </c>
      <c r="Z256" s="74">
        <v>2.2399999999999998</v>
      </c>
      <c r="AA256" s="74" t="s">
        <v>941</v>
      </c>
      <c r="AB256" s="74">
        <v>5.54</v>
      </c>
      <c r="AC256" s="74" t="s">
        <v>14</v>
      </c>
      <c r="AD256" s="74" t="s">
        <v>15</v>
      </c>
      <c r="AE256" s="74" t="s">
        <v>16</v>
      </c>
    </row>
    <row r="257" spans="1:31" s="63" customFormat="1" ht="12" x14ac:dyDescent="0.3">
      <c r="A257" s="67">
        <v>5</v>
      </c>
      <c r="B257" s="84" t="s">
        <v>1140</v>
      </c>
      <c r="C257" s="67" t="s">
        <v>1141</v>
      </c>
      <c r="D257" s="70">
        <v>3075.0905977340567</v>
      </c>
      <c r="E257" s="70">
        <v>11.046553281987292</v>
      </c>
      <c r="F257" s="70">
        <v>10.033553281987292</v>
      </c>
      <c r="G257" s="70">
        <v>55</v>
      </c>
      <c r="H257" s="70">
        <v>3228.8451276207597</v>
      </c>
      <c r="I257" s="70">
        <v>12.013</v>
      </c>
      <c r="J257" s="70">
        <v>11</v>
      </c>
      <c r="K257" s="70">
        <v>70</v>
      </c>
      <c r="L257" s="70" t="s">
        <v>1135</v>
      </c>
      <c r="M257" s="108" t="s">
        <v>1136</v>
      </c>
      <c r="N257" s="85">
        <v>650</v>
      </c>
      <c r="O257" s="85" t="s">
        <v>789</v>
      </c>
      <c r="P257" s="86"/>
      <c r="Q257" s="70">
        <v>3</v>
      </c>
      <c r="R257" s="73"/>
      <c r="S257" s="74">
        <v>1.1000000000000001</v>
      </c>
      <c r="T257" s="112">
        <v>150</v>
      </c>
      <c r="U257" s="113" t="str">
        <f t="shared" si="19"/>
        <v>HB4</v>
      </c>
      <c r="V257" s="74" t="s">
        <v>786</v>
      </c>
      <c r="W257" s="74" t="s">
        <v>756</v>
      </c>
      <c r="X257" s="114">
        <v>4</v>
      </c>
      <c r="Y257" s="74">
        <v>1.6</v>
      </c>
      <c r="Z257" s="74">
        <v>2.2399999999999998</v>
      </c>
      <c r="AA257" s="74" t="s">
        <v>941</v>
      </c>
      <c r="AB257" s="74">
        <v>5.54</v>
      </c>
      <c r="AC257" s="74" t="s">
        <v>14</v>
      </c>
      <c r="AD257" s="74" t="s">
        <v>15</v>
      </c>
      <c r="AE257" s="74" t="s">
        <v>16</v>
      </c>
    </row>
    <row r="258" spans="1:31" s="63" customFormat="1" ht="12" x14ac:dyDescent="0.3">
      <c r="A258" s="67">
        <v>6</v>
      </c>
      <c r="B258" s="84" t="s">
        <v>1142</v>
      </c>
      <c r="C258" s="67" t="s">
        <v>1141</v>
      </c>
      <c r="D258" s="70">
        <v>25.558581785399102</v>
      </c>
      <c r="E258" s="70">
        <v>11.046553281987292</v>
      </c>
      <c r="F258" s="70">
        <v>10.033553281987292</v>
      </c>
      <c r="G258" s="70">
        <v>55</v>
      </c>
      <c r="H258" s="70">
        <v>26.836510874669059</v>
      </c>
      <c r="I258" s="70">
        <v>12.013</v>
      </c>
      <c r="J258" s="70">
        <v>11</v>
      </c>
      <c r="K258" s="70">
        <v>70</v>
      </c>
      <c r="L258" s="70" t="s">
        <v>1135</v>
      </c>
      <c r="M258" s="108" t="s">
        <v>1136</v>
      </c>
      <c r="N258" s="85">
        <v>80</v>
      </c>
      <c r="O258" s="85">
        <v>40</v>
      </c>
      <c r="P258" s="86"/>
      <c r="Q258" s="70">
        <v>3</v>
      </c>
      <c r="R258" s="73"/>
      <c r="S258" s="74">
        <v>1.1000000000000001</v>
      </c>
      <c r="T258" s="112">
        <v>150</v>
      </c>
      <c r="U258" s="113" t="str">
        <f t="shared" si="19"/>
        <v>HB4</v>
      </c>
      <c r="V258" s="74" t="s">
        <v>786</v>
      </c>
      <c r="W258" s="74" t="s">
        <v>756</v>
      </c>
      <c r="X258" s="114">
        <v>4</v>
      </c>
      <c r="Y258" s="74">
        <v>1.6</v>
      </c>
      <c r="Z258" s="74">
        <v>2.0099999999999998</v>
      </c>
      <c r="AA258" s="74" t="s">
        <v>941</v>
      </c>
      <c r="AB258" s="74">
        <v>3.91</v>
      </c>
      <c r="AC258" s="74" t="s">
        <v>98</v>
      </c>
      <c r="AD258" s="74" t="s">
        <v>15</v>
      </c>
      <c r="AE258" s="74" t="s">
        <v>16</v>
      </c>
    </row>
    <row r="259" spans="1:31" s="63" customFormat="1" ht="12" x14ac:dyDescent="0.3">
      <c r="A259" s="67">
        <v>7</v>
      </c>
      <c r="B259" s="84" t="s">
        <v>1143</v>
      </c>
      <c r="C259" s="67" t="s">
        <v>1141</v>
      </c>
      <c r="D259" s="70">
        <v>15.531753546511762</v>
      </c>
      <c r="E259" s="70">
        <v>11.046553281987292</v>
      </c>
      <c r="F259" s="70">
        <v>10.033553281987292</v>
      </c>
      <c r="G259" s="70">
        <v>55</v>
      </c>
      <c r="H259" s="70">
        <v>16.308341223837353</v>
      </c>
      <c r="I259" s="70">
        <v>12.013</v>
      </c>
      <c r="J259" s="70">
        <v>11</v>
      </c>
      <c r="K259" s="70">
        <v>70</v>
      </c>
      <c r="L259" s="70" t="s">
        <v>1135</v>
      </c>
      <c r="M259" s="67" t="s">
        <v>768</v>
      </c>
      <c r="N259" s="85">
        <v>50</v>
      </c>
      <c r="O259" s="85">
        <v>80</v>
      </c>
      <c r="P259" s="86"/>
      <c r="Q259" s="70">
        <v>3</v>
      </c>
      <c r="R259" s="73"/>
      <c r="S259" s="74">
        <v>1.1000000000000001</v>
      </c>
      <c r="T259" s="112">
        <v>150</v>
      </c>
      <c r="U259" s="113" t="str">
        <f t="shared" si="19"/>
        <v>HB4</v>
      </c>
      <c r="V259" s="74" t="s">
        <v>786</v>
      </c>
      <c r="W259" s="74" t="s">
        <v>756</v>
      </c>
      <c r="X259" s="114">
        <v>4</v>
      </c>
      <c r="Y259" s="74">
        <v>1.6</v>
      </c>
      <c r="Z259" s="74">
        <v>1.98</v>
      </c>
      <c r="AA259" s="74" t="s">
        <v>941</v>
      </c>
      <c r="AB259" s="74">
        <v>3.73</v>
      </c>
      <c r="AC259" s="74" t="s">
        <v>14</v>
      </c>
      <c r="AD259" s="74" t="s">
        <v>15</v>
      </c>
      <c r="AE259" s="74" t="s">
        <v>16</v>
      </c>
    </row>
    <row r="260" spans="1:31" s="63" customFormat="1" ht="12" x14ac:dyDescent="0.3">
      <c r="A260" s="67">
        <v>8</v>
      </c>
      <c r="B260" s="84" t="s">
        <v>1144</v>
      </c>
      <c r="C260" s="67" t="s">
        <v>1141</v>
      </c>
      <c r="D260" s="70">
        <v>10.02682823888734</v>
      </c>
      <c r="E260" s="70">
        <v>11.046553281987292</v>
      </c>
      <c r="F260" s="70">
        <v>10.033553281987292</v>
      </c>
      <c r="G260" s="70">
        <v>55</v>
      </c>
      <c r="H260" s="70">
        <v>10.528169650831707</v>
      </c>
      <c r="I260" s="70">
        <v>12.013</v>
      </c>
      <c r="J260" s="70">
        <v>11</v>
      </c>
      <c r="K260" s="70">
        <v>70</v>
      </c>
      <c r="L260" s="70" t="s">
        <v>1135</v>
      </c>
      <c r="M260" s="67" t="s">
        <v>768</v>
      </c>
      <c r="N260" s="85">
        <v>40</v>
      </c>
      <c r="O260" s="85">
        <v>80</v>
      </c>
      <c r="P260" s="86"/>
      <c r="Q260" s="70">
        <v>3</v>
      </c>
      <c r="R260" s="73"/>
      <c r="S260" s="74">
        <v>1.1000000000000001</v>
      </c>
      <c r="T260" s="112">
        <v>150</v>
      </c>
      <c r="U260" s="113" t="str">
        <f t="shared" si="19"/>
        <v>HB4</v>
      </c>
      <c r="V260" s="74" t="s">
        <v>786</v>
      </c>
      <c r="W260" s="74" t="s">
        <v>756</v>
      </c>
      <c r="X260" s="114">
        <v>4</v>
      </c>
      <c r="Y260" s="74">
        <v>1.6</v>
      </c>
      <c r="Z260" s="74">
        <v>2.4299999999999997</v>
      </c>
      <c r="AA260" s="74" t="s">
        <v>772</v>
      </c>
      <c r="AB260" s="74">
        <v>5.49</v>
      </c>
      <c r="AC260" s="74" t="s">
        <v>14</v>
      </c>
      <c r="AD260" s="74" t="s">
        <v>15</v>
      </c>
      <c r="AE260" s="74" t="s">
        <v>16</v>
      </c>
    </row>
    <row r="261" spans="1:31" s="63" customFormat="1" ht="12" x14ac:dyDescent="0.3">
      <c r="A261" s="67">
        <v>9</v>
      </c>
      <c r="B261" s="84" t="s">
        <v>1145</v>
      </c>
      <c r="C261" s="67" t="s">
        <v>1141</v>
      </c>
      <c r="D261" s="70">
        <v>20.840074378863886</v>
      </c>
      <c r="E261" s="70">
        <v>11.046553281987292</v>
      </c>
      <c r="F261" s="70">
        <v>10.033553281987292</v>
      </c>
      <c r="G261" s="70">
        <v>55</v>
      </c>
      <c r="H261" s="70">
        <v>21.882078097807081</v>
      </c>
      <c r="I261" s="70">
        <v>12.013</v>
      </c>
      <c r="J261" s="70">
        <v>11</v>
      </c>
      <c r="K261" s="70">
        <v>70</v>
      </c>
      <c r="L261" s="70" t="s">
        <v>1135</v>
      </c>
      <c r="M261" s="67" t="s">
        <v>768</v>
      </c>
      <c r="N261" s="85">
        <v>50</v>
      </c>
      <c r="O261" s="85">
        <v>80</v>
      </c>
      <c r="P261" s="86"/>
      <c r="Q261" s="70">
        <v>3</v>
      </c>
      <c r="R261" s="73"/>
      <c r="S261" s="74">
        <v>1.1000000000000001</v>
      </c>
      <c r="T261" s="112">
        <v>150</v>
      </c>
      <c r="U261" s="113" t="str">
        <f t="shared" si="19"/>
        <v>HB4</v>
      </c>
      <c r="V261" s="74" t="s">
        <v>786</v>
      </c>
      <c r="W261" s="74" t="s">
        <v>756</v>
      </c>
      <c r="X261" s="114">
        <v>4</v>
      </c>
      <c r="Y261" s="74">
        <v>1.6</v>
      </c>
      <c r="Z261" s="74">
        <v>5.9399999999999995</v>
      </c>
      <c r="AA261" s="74" t="s">
        <v>787</v>
      </c>
      <c r="AB261" s="74">
        <v>6.35</v>
      </c>
      <c r="AC261" s="74" t="s">
        <v>14</v>
      </c>
      <c r="AD261" s="74" t="s">
        <v>15</v>
      </c>
      <c r="AE261" s="74" t="s">
        <v>16</v>
      </c>
    </row>
    <row r="262" spans="1:31" s="63" customFormat="1" ht="12.75" thickBot="1" x14ac:dyDescent="0.35">
      <c r="A262" s="67">
        <v>10</v>
      </c>
      <c r="B262" s="84" t="s">
        <v>1146</v>
      </c>
      <c r="C262" s="67" t="s">
        <v>1141</v>
      </c>
      <c r="D262" s="70">
        <v>103.41395399323019</v>
      </c>
      <c r="E262" s="70">
        <v>11.046553281987292</v>
      </c>
      <c r="F262" s="70">
        <v>10.033553281987292</v>
      </c>
      <c r="G262" s="70">
        <v>55</v>
      </c>
      <c r="H262" s="70">
        <v>108.58465169289171</v>
      </c>
      <c r="I262" s="70">
        <v>12.013</v>
      </c>
      <c r="J262" s="70">
        <v>11</v>
      </c>
      <c r="K262" s="70">
        <v>70</v>
      </c>
      <c r="L262" s="70" t="s">
        <v>1135</v>
      </c>
      <c r="M262" s="108" t="s">
        <v>1136</v>
      </c>
      <c r="N262" s="85">
        <v>150</v>
      </c>
      <c r="O262" s="85">
        <v>40</v>
      </c>
      <c r="P262" s="86"/>
      <c r="Q262" s="70">
        <v>3</v>
      </c>
      <c r="R262" s="73"/>
      <c r="S262" s="74">
        <v>1.1000000000000001</v>
      </c>
      <c r="T262" s="157">
        <v>150</v>
      </c>
      <c r="U262" s="158" t="str">
        <f t="shared" si="19"/>
        <v>HB4</v>
      </c>
      <c r="V262" s="74" t="s">
        <v>786</v>
      </c>
      <c r="W262" s="74" t="s">
        <v>756</v>
      </c>
      <c r="X262" s="114">
        <v>4</v>
      </c>
      <c r="Y262" s="74">
        <v>1.6</v>
      </c>
      <c r="Z262" s="74">
        <v>5.9399999999999995</v>
      </c>
      <c r="AA262" s="74" t="s">
        <v>787</v>
      </c>
      <c r="AB262" s="74">
        <v>6.35</v>
      </c>
      <c r="AC262" s="74" t="s">
        <v>98</v>
      </c>
      <c r="AD262" s="74" t="s">
        <v>15</v>
      </c>
      <c r="AE262" s="74" t="s">
        <v>16</v>
      </c>
    </row>
    <row r="263" spans="1:31" x14ac:dyDescent="0.3">
      <c r="A263" s="67">
        <v>11</v>
      </c>
      <c r="B263" s="84" t="s">
        <v>1147</v>
      </c>
      <c r="C263" s="67" t="s">
        <v>1141</v>
      </c>
      <c r="D263" s="70">
        <v>504.29047907345148</v>
      </c>
      <c r="E263" s="70">
        <v>11.046553281987292</v>
      </c>
      <c r="F263" s="70">
        <v>10.033553281987292</v>
      </c>
      <c r="G263" s="70">
        <v>55</v>
      </c>
      <c r="H263" s="70">
        <v>529.50500302712408</v>
      </c>
      <c r="I263" s="70">
        <v>12.013</v>
      </c>
      <c r="J263" s="70">
        <v>11</v>
      </c>
      <c r="K263" s="70">
        <v>70</v>
      </c>
      <c r="L263" s="70" t="s">
        <v>1135</v>
      </c>
      <c r="M263" s="108" t="s">
        <v>1136</v>
      </c>
      <c r="N263" s="85">
        <v>250</v>
      </c>
      <c r="O263" s="85">
        <v>40</v>
      </c>
      <c r="P263" s="86"/>
      <c r="Q263" s="70">
        <v>3</v>
      </c>
      <c r="R263" s="73"/>
      <c r="S263" s="74">
        <v>1.1000000000000001</v>
      </c>
    </row>
    <row r="264" spans="1:31" x14ac:dyDescent="0.3">
      <c r="A264" s="67">
        <v>12</v>
      </c>
      <c r="B264" s="84" t="s">
        <v>1148</v>
      </c>
      <c r="C264" s="67" t="s">
        <v>1141</v>
      </c>
      <c r="D264" s="70">
        <v>23.494234795039944</v>
      </c>
      <c r="E264" s="70">
        <v>11.046553281987292</v>
      </c>
      <c r="F264" s="70">
        <v>10.033553281987292</v>
      </c>
      <c r="G264" s="70">
        <v>55</v>
      </c>
      <c r="H264" s="70">
        <v>24.668946534791942</v>
      </c>
      <c r="I264" s="70">
        <v>12.013</v>
      </c>
      <c r="J264" s="70">
        <v>11</v>
      </c>
      <c r="K264" s="70">
        <v>70</v>
      </c>
      <c r="L264" s="70" t="s">
        <v>1135</v>
      </c>
      <c r="M264" s="108" t="s">
        <v>1136</v>
      </c>
      <c r="N264" s="85">
        <v>80</v>
      </c>
      <c r="O264" s="85">
        <v>40</v>
      </c>
      <c r="P264" s="86"/>
      <c r="Q264" s="70">
        <v>3</v>
      </c>
      <c r="R264" s="73"/>
      <c r="S264" s="74">
        <v>1.1000000000000001</v>
      </c>
    </row>
    <row r="265" spans="1:31" x14ac:dyDescent="0.3">
      <c r="A265" s="67">
        <v>13</v>
      </c>
      <c r="B265" s="84" t="s">
        <v>1149</v>
      </c>
      <c r="C265" s="67" t="s">
        <v>1141</v>
      </c>
      <c r="D265" s="70">
        <v>468.90167352443734</v>
      </c>
      <c r="E265" s="70">
        <v>11.046553281987292</v>
      </c>
      <c r="F265" s="70">
        <v>10.033553281987292</v>
      </c>
      <c r="G265" s="70">
        <v>55</v>
      </c>
      <c r="H265" s="70">
        <v>492.34675720065923</v>
      </c>
      <c r="I265" s="70">
        <v>12.013</v>
      </c>
      <c r="J265" s="70">
        <v>11</v>
      </c>
      <c r="K265" s="70">
        <v>70</v>
      </c>
      <c r="L265" s="70" t="s">
        <v>1135</v>
      </c>
      <c r="M265" s="108" t="s">
        <v>1136</v>
      </c>
      <c r="N265" s="85">
        <v>250</v>
      </c>
      <c r="O265" s="85">
        <v>40</v>
      </c>
      <c r="P265" s="86"/>
      <c r="Q265" s="70">
        <v>3</v>
      </c>
      <c r="R265" s="73"/>
      <c r="S265" s="74">
        <v>1.1000000000000001</v>
      </c>
    </row>
    <row r="266" spans="1:31" x14ac:dyDescent="0.3">
      <c r="A266" s="67">
        <v>14</v>
      </c>
      <c r="B266" s="84" t="s">
        <v>1150</v>
      </c>
      <c r="C266" s="67" t="s">
        <v>1141</v>
      </c>
      <c r="D266" s="70">
        <v>11.89457075397422</v>
      </c>
      <c r="E266" s="70">
        <v>11.046553281987292</v>
      </c>
      <c r="F266" s="70">
        <v>10.033553281987292</v>
      </c>
      <c r="G266" s="70">
        <v>55</v>
      </c>
      <c r="H266" s="70">
        <v>12.489299291672932</v>
      </c>
      <c r="I266" s="70">
        <v>12.013</v>
      </c>
      <c r="J266" s="70">
        <v>11</v>
      </c>
      <c r="K266" s="70">
        <v>70</v>
      </c>
      <c r="L266" s="70" t="s">
        <v>1135</v>
      </c>
      <c r="M266" s="67" t="s">
        <v>768</v>
      </c>
      <c r="N266" s="85">
        <v>50</v>
      </c>
      <c r="O266" s="85">
        <v>80</v>
      </c>
      <c r="P266" s="86"/>
      <c r="Q266" s="70">
        <v>3</v>
      </c>
      <c r="R266" s="73"/>
      <c r="S266" s="74">
        <v>1.1000000000000001</v>
      </c>
    </row>
    <row r="267" spans="1:31" x14ac:dyDescent="0.3">
      <c r="A267" s="67">
        <v>15</v>
      </c>
      <c r="B267" s="84" t="s">
        <v>1151</v>
      </c>
      <c r="C267" s="67" t="s">
        <v>1141</v>
      </c>
      <c r="D267" s="70">
        <v>0.68811566345305264</v>
      </c>
      <c r="E267" s="70">
        <v>11.046553281987292</v>
      </c>
      <c r="F267" s="70">
        <v>10.033553281987292</v>
      </c>
      <c r="G267" s="70">
        <v>55</v>
      </c>
      <c r="H267" s="70">
        <v>0.72252144662570528</v>
      </c>
      <c r="I267" s="70">
        <v>12.013</v>
      </c>
      <c r="J267" s="70">
        <v>11</v>
      </c>
      <c r="K267" s="70">
        <v>70</v>
      </c>
      <c r="L267" s="70" t="s">
        <v>1135</v>
      </c>
      <c r="M267" s="67" t="s">
        <v>768</v>
      </c>
      <c r="N267" s="85">
        <v>25</v>
      </c>
      <c r="O267" s="85">
        <v>80</v>
      </c>
      <c r="P267" s="86"/>
      <c r="Q267" s="70">
        <v>3</v>
      </c>
      <c r="R267" s="73"/>
    </row>
    <row r="268" spans="1:31" x14ac:dyDescent="0.3">
      <c r="A268" s="67">
        <v>16</v>
      </c>
      <c r="B268" s="84" t="s">
        <v>1152</v>
      </c>
      <c r="C268" s="67" t="s">
        <v>1141</v>
      </c>
      <c r="D268" s="70">
        <v>11.206455090521146</v>
      </c>
      <c r="E268" s="70">
        <v>11.046553281987292</v>
      </c>
      <c r="F268" s="70">
        <v>10.033553281987292</v>
      </c>
      <c r="G268" s="70">
        <v>55</v>
      </c>
      <c r="H268" s="70">
        <v>11.766777845047203</v>
      </c>
      <c r="I268" s="70">
        <v>12.013</v>
      </c>
      <c r="J268" s="70">
        <v>11</v>
      </c>
      <c r="K268" s="70">
        <v>70</v>
      </c>
      <c r="L268" s="70" t="s">
        <v>1135</v>
      </c>
      <c r="M268" s="67" t="s">
        <v>768</v>
      </c>
      <c r="N268" s="85">
        <v>40</v>
      </c>
      <c r="O268" s="85">
        <v>80</v>
      </c>
      <c r="P268" s="86"/>
      <c r="Q268" s="70">
        <v>3</v>
      </c>
      <c r="R268" s="73"/>
    </row>
    <row r="269" spans="1:31" x14ac:dyDescent="0.3">
      <c r="A269" s="67">
        <v>17</v>
      </c>
      <c r="B269" s="84" t="s">
        <v>1153</v>
      </c>
      <c r="C269" s="67" t="s">
        <v>1141</v>
      </c>
      <c r="D269" s="70">
        <v>223.14607943406139</v>
      </c>
      <c r="E269" s="70">
        <v>11.046553281987292</v>
      </c>
      <c r="F269" s="70">
        <v>10.033553281987292</v>
      </c>
      <c r="G269" s="70">
        <v>55</v>
      </c>
      <c r="H269" s="70">
        <v>234.30338340576446</v>
      </c>
      <c r="I269" s="70">
        <v>12.013</v>
      </c>
      <c r="J269" s="70">
        <v>11</v>
      </c>
      <c r="K269" s="70">
        <v>70</v>
      </c>
      <c r="L269" s="70" t="s">
        <v>1135</v>
      </c>
      <c r="M269" s="108" t="s">
        <v>1136</v>
      </c>
      <c r="N269" s="85">
        <v>200</v>
      </c>
      <c r="O269" s="85">
        <v>40</v>
      </c>
      <c r="P269" s="86"/>
      <c r="Q269" s="70">
        <v>3</v>
      </c>
      <c r="R269" s="73"/>
    </row>
    <row r="270" spans="1:31" x14ac:dyDescent="0.3">
      <c r="A270" s="67">
        <v>18</v>
      </c>
      <c r="B270" s="84" t="s">
        <v>1154</v>
      </c>
      <c r="C270" s="67" t="s">
        <v>1141</v>
      </c>
      <c r="D270" s="70">
        <v>281.14439963939014</v>
      </c>
      <c r="E270" s="70">
        <v>11.046553281987292</v>
      </c>
      <c r="F270" s="70">
        <v>10.033553281987292</v>
      </c>
      <c r="G270" s="70">
        <v>55</v>
      </c>
      <c r="H270" s="70">
        <v>295.20161962135967</v>
      </c>
      <c r="I270" s="70">
        <v>12.013</v>
      </c>
      <c r="J270" s="70">
        <v>11</v>
      </c>
      <c r="K270" s="70">
        <v>70</v>
      </c>
      <c r="L270" s="70" t="s">
        <v>1135</v>
      </c>
      <c r="M270" s="108" t="s">
        <v>1136</v>
      </c>
      <c r="N270" s="85">
        <v>200</v>
      </c>
      <c r="O270" s="85">
        <v>40</v>
      </c>
      <c r="P270" s="86"/>
      <c r="Q270" s="70">
        <v>3</v>
      </c>
      <c r="R270" s="73"/>
    </row>
    <row r="271" spans="1:31" s="63" customFormat="1" x14ac:dyDescent="0.3">
      <c r="A271" s="67">
        <v>19</v>
      </c>
      <c r="B271" s="84" t="s">
        <v>1155</v>
      </c>
      <c r="C271" s="67" t="s">
        <v>1141</v>
      </c>
      <c r="D271" s="70">
        <v>2420.9875085031126</v>
      </c>
      <c r="E271" s="70">
        <v>11.046553281987292</v>
      </c>
      <c r="F271" s="70">
        <v>10.033553281987292</v>
      </c>
      <c r="G271" s="70">
        <v>55</v>
      </c>
      <c r="H271" s="70">
        <v>2542.0368839282683</v>
      </c>
      <c r="I271" s="70">
        <v>12.013</v>
      </c>
      <c r="J271" s="70">
        <v>11</v>
      </c>
      <c r="K271" s="70">
        <v>70</v>
      </c>
      <c r="L271" s="70" t="s">
        <v>1135</v>
      </c>
      <c r="M271" s="108" t="s">
        <v>1136</v>
      </c>
      <c r="N271" s="85">
        <v>600</v>
      </c>
      <c r="O271" s="85" t="s">
        <v>789</v>
      </c>
      <c r="P271" s="86"/>
      <c r="Q271" s="70">
        <v>3</v>
      </c>
      <c r="R271" s="73"/>
      <c r="S271"/>
      <c r="T271" s="112">
        <v>150</v>
      </c>
      <c r="U271" s="113" t="str">
        <f t="shared" ref="U271:U284" si="20">V271&amp;W271&amp;X271</f>
        <v>HB4</v>
      </c>
      <c r="V271" s="74" t="s">
        <v>786</v>
      </c>
      <c r="W271" s="74" t="s">
        <v>756</v>
      </c>
      <c r="X271" s="114">
        <v>4</v>
      </c>
      <c r="Y271" s="74">
        <v>1.6</v>
      </c>
      <c r="Z271" s="74">
        <v>5.9399999999999995</v>
      </c>
      <c r="AA271" s="74" t="s">
        <v>787</v>
      </c>
      <c r="AB271" s="74">
        <v>6.35</v>
      </c>
      <c r="AC271" s="74" t="s">
        <v>14</v>
      </c>
      <c r="AD271" s="74" t="s">
        <v>15</v>
      </c>
      <c r="AE271" s="74" t="s">
        <v>16</v>
      </c>
    </row>
    <row r="272" spans="1:31" s="63" customFormat="1" x14ac:dyDescent="0.3">
      <c r="A272" s="67">
        <v>20</v>
      </c>
      <c r="B272" s="84" t="s">
        <v>1156</v>
      </c>
      <c r="C272" s="67" t="s">
        <v>1141</v>
      </c>
      <c r="D272" s="70">
        <v>109.11548377612694</v>
      </c>
      <c r="E272" s="70">
        <v>11.046553281987292</v>
      </c>
      <c r="F272" s="70">
        <v>10.033553281987292</v>
      </c>
      <c r="G272" s="70">
        <v>55</v>
      </c>
      <c r="H272" s="70">
        <v>114.57125796493328</v>
      </c>
      <c r="I272" s="70">
        <v>12.013</v>
      </c>
      <c r="J272" s="70">
        <v>11</v>
      </c>
      <c r="K272" s="70">
        <v>70</v>
      </c>
      <c r="L272" s="70" t="s">
        <v>1135</v>
      </c>
      <c r="M272" s="108" t="s">
        <v>1136</v>
      </c>
      <c r="N272" s="85">
        <v>150</v>
      </c>
      <c r="O272" s="85">
        <v>40</v>
      </c>
      <c r="P272" s="86"/>
      <c r="Q272" s="70">
        <v>3</v>
      </c>
      <c r="R272" s="73"/>
      <c r="S272"/>
      <c r="T272" s="112">
        <v>150</v>
      </c>
      <c r="U272" s="113" t="str">
        <f t="shared" si="20"/>
        <v>HB4</v>
      </c>
      <c r="V272" s="74" t="s">
        <v>786</v>
      </c>
      <c r="W272" s="74" t="s">
        <v>756</v>
      </c>
      <c r="X272" s="114">
        <v>4</v>
      </c>
      <c r="Y272" s="74">
        <v>1.6</v>
      </c>
      <c r="Z272" s="74">
        <v>5.9399999999999995</v>
      </c>
      <c r="AA272" s="74" t="s">
        <v>787</v>
      </c>
      <c r="AB272" s="74">
        <v>6.35</v>
      </c>
      <c r="AC272" s="74" t="s">
        <v>14</v>
      </c>
      <c r="AD272" s="74" t="s">
        <v>15</v>
      </c>
      <c r="AE272" s="74" t="s">
        <v>16</v>
      </c>
    </row>
    <row r="273" spans="1:31" s="63" customFormat="1" x14ac:dyDescent="0.3">
      <c r="A273" s="67">
        <v>21</v>
      </c>
      <c r="B273" s="84" t="s">
        <v>1157</v>
      </c>
      <c r="C273" s="67" t="s">
        <v>1141</v>
      </c>
      <c r="D273" s="70">
        <v>84.539924367089327</v>
      </c>
      <c r="E273" s="70">
        <v>11.046553281987292</v>
      </c>
      <c r="F273" s="70">
        <v>10.033553281987292</v>
      </c>
      <c r="G273" s="70">
        <v>55</v>
      </c>
      <c r="H273" s="70">
        <v>88.766920585443799</v>
      </c>
      <c r="I273" s="70">
        <v>12.013</v>
      </c>
      <c r="J273" s="70">
        <v>11</v>
      </c>
      <c r="K273" s="70">
        <v>70</v>
      </c>
      <c r="L273" s="70" t="s">
        <v>1135</v>
      </c>
      <c r="M273" s="108" t="s">
        <v>1136</v>
      </c>
      <c r="N273" s="85">
        <v>100</v>
      </c>
      <c r="O273" s="85">
        <v>40</v>
      </c>
      <c r="P273" s="86"/>
      <c r="Q273" s="70">
        <v>3</v>
      </c>
      <c r="R273" s="73"/>
      <c r="S273"/>
      <c r="T273" s="112">
        <v>150</v>
      </c>
      <c r="U273" s="113" t="str">
        <f t="shared" si="20"/>
        <v>HB4</v>
      </c>
      <c r="V273" s="74" t="s">
        <v>786</v>
      </c>
      <c r="W273" s="74" t="s">
        <v>756</v>
      </c>
      <c r="X273" s="114">
        <v>4</v>
      </c>
      <c r="Y273" s="74">
        <v>1.6</v>
      </c>
      <c r="Z273" s="74">
        <v>3.3099999999999996</v>
      </c>
      <c r="AA273" s="74" t="s">
        <v>1115</v>
      </c>
      <c r="AB273" s="74">
        <v>6.35</v>
      </c>
      <c r="AC273" s="74" t="s">
        <v>14</v>
      </c>
      <c r="AD273" s="74" t="s">
        <v>15</v>
      </c>
      <c r="AE273" s="74" t="s">
        <v>16</v>
      </c>
    </row>
    <row r="274" spans="1:31" s="63" customFormat="1" x14ac:dyDescent="0.3">
      <c r="A274" s="67">
        <v>22</v>
      </c>
      <c r="B274" s="84" t="s">
        <v>1158</v>
      </c>
      <c r="C274" s="67" t="s">
        <v>1141</v>
      </c>
      <c r="D274" s="70">
        <v>16.907984873417867</v>
      </c>
      <c r="E274" s="70">
        <v>11.046553281987292</v>
      </c>
      <c r="F274" s="70">
        <v>10.033553281987292</v>
      </c>
      <c r="G274" s="70">
        <v>55</v>
      </c>
      <c r="H274" s="70">
        <v>17.753384117088761</v>
      </c>
      <c r="I274" s="70">
        <v>12.013</v>
      </c>
      <c r="J274" s="70">
        <v>11</v>
      </c>
      <c r="K274" s="70">
        <v>70</v>
      </c>
      <c r="L274" s="70" t="s">
        <v>1135</v>
      </c>
      <c r="M274" s="67" t="s">
        <v>768</v>
      </c>
      <c r="N274" s="85">
        <v>50</v>
      </c>
      <c r="O274" s="85">
        <v>80</v>
      </c>
      <c r="P274" s="86"/>
      <c r="Q274" s="70">
        <v>3</v>
      </c>
      <c r="R274" s="73"/>
      <c r="S274"/>
      <c r="T274" s="112">
        <v>150</v>
      </c>
      <c r="U274" s="113" t="str">
        <f t="shared" si="20"/>
        <v>HB4</v>
      </c>
      <c r="V274" s="74" t="s">
        <v>786</v>
      </c>
      <c r="W274" s="74" t="s">
        <v>756</v>
      </c>
      <c r="X274" s="114">
        <v>4</v>
      </c>
      <c r="Y274" s="74">
        <v>1.6</v>
      </c>
      <c r="Z274" s="74">
        <v>2.9699999999999998</v>
      </c>
      <c r="AA274" s="74" t="s">
        <v>772</v>
      </c>
      <c r="AB274" s="74">
        <v>7.11</v>
      </c>
      <c r="AC274" s="74" t="s">
        <v>14</v>
      </c>
      <c r="AD274" s="74" t="s">
        <v>15</v>
      </c>
      <c r="AE274" s="74" t="s">
        <v>16</v>
      </c>
    </row>
    <row r="275" spans="1:31" s="63" customFormat="1" ht="12" x14ac:dyDescent="0.3">
      <c r="A275" s="67">
        <v>23</v>
      </c>
      <c r="B275" s="84" t="s">
        <v>1159</v>
      </c>
      <c r="C275" s="67" t="s">
        <v>1141</v>
      </c>
      <c r="D275" s="70">
        <v>24.575559409037595</v>
      </c>
      <c r="E275" s="70">
        <v>11.046553281987292</v>
      </c>
      <c r="F275" s="70">
        <v>10.033553281987292</v>
      </c>
      <c r="G275" s="70">
        <v>55</v>
      </c>
      <c r="H275" s="70">
        <v>25.804337379489475</v>
      </c>
      <c r="I275" s="70">
        <v>12.013</v>
      </c>
      <c r="J275" s="70">
        <v>11</v>
      </c>
      <c r="K275" s="70">
        <v>70</v>
      </c>
      <c r="L275" s="70" t="s">
        <v>1135</v>
      </c>
      <c r="M275" s="108" t="s">
        <v>1136</v>
      </c>
      <c r="N275" s="85">
        <v>80</v>
      </c>
      <c r="O275" s="85">
        <v>40</v>
      </c>
      <c r="P275" s="86"/>
      <c r="Q275" s="70">
        <v>3</v>
      </c>
      <c r="R275" s="73"/>
      <c r="S275" s="74">
        <v>1.1000000000000001</v>
      </c>
      <c r="T275" s="112">
        <v>150</v>
      </c>
      <c r="U275" s="113" t="str">
        <f t="shared" si="20"/>
        <v>HB4</v>
      </c>
      <c r="V275" s="74" t="s">
        <v>786</v>
      </c>
      <c r="W275" s="74" t="s">
        <v>756</v>
      </c>
      <c r="X275" s="114">
        <v>4</v>
      </c>
      <c r="Y275" s="74">
        <v>1.6</v>
      </c>
      <c r="Z275" s="74">
        <v>2.78</v>
      </c>
      <c r="AA275" s="74" t="s">
        <v>772</v>
      </c>
      <c r="AB275" s="74">
        <v>6.55</v>
      </c>
      <c r="AC275" s="74" t="s">
        <v>14</v>
      </c>
      <c r="AD275" s="74" t="s">
        <v>15</v>
      </c>
      <c r="AE275" s="74" t="s">
        <v>16</v>
      </c>
    </row>
    <row r="276" spans="1:31" s="63" customFormat="1" ht="12" x14ac:dyDescent="0.3">
      <c r="A276" s="67">
        <v>24</v>
      </c>
      <c r="B276" s="84" t="s">
        <v>1160</v>
      </c>
      <c r="C276" s="67" t="s">
        <v>1141</v>
      </c>
      <c r="D276" s="70">
        <v>4.915111881807519</v>
      </c>
      <c r="E276" s="70">
        <v>11.046553281987292</v>
      </c>
      <c r="F276" s="70">
        <v>10.033553281987292</v>
      </c>
      <c r="G276" s="70">
        <v>55</v>
      </c>
      <c r="H276" s="70">
        <v>5.160867475897895</v>
      </c>
      <c r="I276" s="70">
        <v>12.013</v>
      </c>
      <c r="J276" s="70">
        <v>11</v>
      </c>
      <c r="K276" s="70">
        <v>70</v>
      </c>
      <c r="L276" s="70" t="s">
        <v>1135</v>
      </c>
      <c r="M276" s="67" t="s">
        <v>768</v>
      </c>
      <c r="N276" s="85">
        <v>40</v>
      </c>
      <c r="O276" s="85">
        <v>80</v>
      </c>
      <c r="P276" s="86"/>
      <c r="Q276" s="70">
        <v>3</v>
      </c>
      <c r="R276" s="73"/>
      <c r="S276" s="74">
        <v>1.1000000000000001</v>
      </c>
      <c r="T276" s="112">
        <v>150</v>
      </c>
      <c r="U276" s="113" t="str">
        <f t="shared" si="20"/>
        <v>HB4</v>
      </c>
      <c r="V276" s="74" t="s">
        <v>786</v>
      </c>
      <c r="W276" s="74" t="s">
        <v>756</v>
      </c>
      <c r="X276" s="114">
        <v>4</v>
      </c>
      <c r="Y276" s="74">
        <v>1.6</v>
      </c>
      <c r="Z276" s="74">
        <v>2.78</v>
      </c>
      <c r="AA276" s="74" t="s">
        <v>772</v>
      </c>
      <c r="AB276" s="74">
        <v>6.55</v>
      </c>
      <c r="AC276" s="74" t="s">
        <v>98</v>
      </c>
      <c r="AD276" s="74" t="s">
        <v>15</v>
      </c>
      <c r="AE276" s="74" t="s">
        <v>16</v>
      </c>
    </row>
    <row r="277" spans="1:31" s="63" customFormat="1" ht="12" x14ac:dyDescent="0.3">
      <c r="A277" s="67">
        <v>25</v>
      </c>
      <c r="B277" s="84" t="s">
        <v>1161</v>
      </c>
      <c r="C277" s="67" t="s">
        <v>1141</v>
      </c>
      <c r="D277" s="70">
        <v>56.355669755170332</v>
      </c>
      <c r="E277" s="70">
        <v>11.046553281987292</v>
      </c>
      <c r="F277" s="70">
        <v>10.033553281987292</v>
      </c>
      <c r="G277" s="70">
        <v>55</v>
      </c>
      <c r="H277" s="70">
        <v>59.173453242928851</v>
      </c>
      <c r="I277" s="70">
        <v>12.013</v>
      </c>
      <c r="J277" s="70">
        <v>11</v>
      </c>
      <c r="K277" s="70">
        <v>70</v>
      </c>
      <c r="L277" s="70" t="s">
        <v>1135</v>
      </c>
      <c r="M277" s="108" t="s">
        <v>1136</v>
      </c>
      <c r="N277" s="85">
        <v>200</v>
      </c>
      <c r="O277" s="85">
        <v>40</v>
      </c>
      <c r="P277" s="86"/>
      <c r="Q277" s="70">
        <v>3</v>
      </c>
      <c r="R277" s="73"/>
      <c r="S277" s="74">
        <v>1.1000000000000001</v>
      </c>
      <c r="T277" s="112">
        <v>150</v>
      </c>
      <c r="U277" s="113" t="str">
        <f t="shared" si="20"/>
        <v>HB4</v>
      </c>
      <c r="V277" s="74" t="s">
        <v>786</v>
      </c>
      <c r="W277" s="74" t="s">
        <v>756</v>
      </c>
      <c r="X277" s="114">
        <v>4</v>
      </c>
      <c r="Y277" s="74">
        <v>1.6</v>
      </c>
      <c r="Z277" s="74">
        <v>2.0099999999999998</v>
      </c>
      <c r="AA277" s="74" t="s">
        <v>941</v>
      </c>
      <c r="AB277" s="74">
        <v>3.91</v>
      </c>
      <c r="AC277" s="74" t="s">
        <v>14</v>
      </c>
      <c r="AD277" s="74" t="s">
        <v>15</v>
      </c>
      <c r="AE277" s="74" t="s">
        <v>16</v>
      </c>
    </row>
    <row r="278" spans="1:31" s="63" customFormat="1" ht="12" x14ac:dyDescent="0.3">
      <c r="A278" s="67">
        <v>26</v>
      </c>
      <c r="B278" s="84" t="s">
        <v>1162</v>
      </c>
      <c r="C278" s="67" t="s">
        <v>1141</v>
      </c>
      <c r="D278" s="70">
        <v>659.60801453856914</v>
      </c>
      <c r="E278" s="70">
        <v>11.046553281987292</v>
      </c>
      <c r="F278" s="70">
        <v>10.033553281987292</v>
      </c>
      <c r="G278" s="70">
        <v>55</v>
      </c>
      <c r="H278" s="70">
        <v>692.58841526549759</v>
      </c>
      <c r="I278" s="70">
        <v>12.013</v>
      </c>
      <c r="J278" s="70">
        <v>11</v>
      </c>
      <c r="K278" s="70">
        <v>70</v>
      </c>
      <c r="L278" s="70" t="s">
        <v>1135</v>
      </c>
      <c r="M278" s="108" t="s">
        <v>1136</v>
      </c>
      <c r="N278" s="85">
        <v>300</v>
      </c>
      <c r="O278" s="85" t="s">
        <v>789</v>
      </c>
      <c r="P278" s="86"/>
      <c r="Q278" s="70">
        <v>3</v>
      </c>
      <c r="R278" s="73"/>
      <c r="S278" s="74">
        <v>1.1000000000000001</v>
      </c>
      <c r="T278" s="112">
        <v>150</v>
      </c>
      <c r="U278" s="113" t="str">
        <f t="shared" si="20"/>
        <v>HB4</v>
      </c>
      <c r="V278" s="74" t="s">
        <v>786</v>
      </c>
      <c r="W278" s="74" t="s">
        <v>756</v>
      </c>
      <c r="X278" s="114">
        <v>4</v>
      </c>
      <c r="Y278" s="74">
        <v>1.6</v>
      </c>
      <c r="Z278" s="74">
        <v>2.2399999999999998</v>
      </c>
      <c r="AA278" s="74" t="s">
        <v>941</v>
      </c>
      <c r="AB278" s="74">
        <v>5.54</v>
      </c>
      <c r="AC278" s="74" t="s">
        <v>14</v>
      </c>
      <c r="AD278" s="74" t="s">
        <v>15</v>
      </c>
      <c r="AE278" s="74" t="s">
        <v>16</v>
      </c>
    </row>
    <row r="279" spans="1:31" s="63" customFormat="1" ht="12" x14ac:dyDescent="0.3">
      <c r="A279" s="67">
        <v>27</v>
      </c>
      <c r="B279" s="84" t="s">
        <v>1163</v>
      </c>
      <c r="C279" s="67" t="s">
        <v>1141</v>
      </c>
      <c r="D279" s="70">
        <v>511.17163570798203</v>
      </c>
      <c r="E279" s="70">
        <v>11.046553281987292</v>
      </c>
      <c r="F279" s="70">
        <v>10.033553281987292</v>
      </c>
      <c r="G279" s="70">
        <v>55</v>
      </c>
      <c r="H279" s="70">
        <v>536.73021749338113</v>
      </c>
      <c r="I279" s="70">
        <v>12.013</v>
      </c>
      <c r="J279" s="70">
        <v>11</v>
      </c>
      <c r="K279" s="70">
        <v>70</v>
      </c>
      <c r="L279" s="70" t="s">
        <v>1135</v>
      </c>
      <c r="M279" s="108" t="s">
        <v>1136</v>
      </c>
      <c r="N279" s="85">
        <v>250</v>
      </c>
      <c r="O279" s="85">
        <v>40</v>
      </c>
      <c r="P279" s="86"/>
      <c r="Q279" s="70">
        <v>3</v>
      </c>
      <c r="R279" s="73"/>
      <c r="S279" s="74">
        <v>1.1000000000000001</v>
      </c>
      <c r="T279" s="112">
        <v>150</v>
      </c>
      <c r="U279" s="113" t="str">
        <f t="shared" si="20"/>
        <v>HB4</v>
      </c>
      <c r="V279" s="74" t="s">
        <v>786</v>
      </c>
      <c r="W279" s="74" t="s">
        <v>756</v>
      </c>
      <c r="X279" s="114">
        <v>4</v>
      </c>
      <c r="Y279" s="74">
        <v>1.6</v>
      </c>
      <c r="Z279" s="74">
        <v>2.2399999999999998</v>
      </c>
      <c r="AA279" s="74" t="s">
        <v>941</v>
      </c>
      <c r="AB279" s="74">
        <v>5.54</v>
      </c>
      <c r="AC279" s="74" t="s">
        <v>14</v>
      </c>
      <c r="AD279" s="74" t="s">
        <v>15</v>
      </c>
      <c r="AE279" s="74" t="s">
        <v>16</v>
      </c>
    </row>
    <row r="280" spans="1:31" s="63" customFormat="1" ht="12" x14ac:dyDescent="0.3">
      <c r="A280" s="67">
        <v>28</v>
      </c>
      <c r="B280" s="84" t="s">
        <v>1164</v>
      </c>
      <c r="C280" s="67" t="s">
        <v>1141</v>
      </c>
      <c r="D280" s="70">
        <v>127.79290892699551</v>
      </c>
      <c r="E280" s="70">
        <v>11.046553281987292</v>
      </c>
      <c r="F280" s="70">
        <v>10.033553281987292</v>
      </c>
      <c r="G280" s="70">
        <v>55</v>
      </c>
      <c r="H280" s="70">
        <v>134.18255437334528</v>
      </c>
      <c r="I280" s="70">
        <v>12.013</v>
      </c>
      <c r="J280" s="70">
        <v>11</v>
      </c>
      <c r="K280" s="70">
        <v>70</v>
      </c>
      <c r="L280" s="70" t="s">
        <v>1135</v>
      </c>
      <c r="M280" s="108" t="s">
        <v>1136</v>
      </c>
      <c r="N280" s="85">
        <v>150</v>
      </c>
      <c r="O280" s="85">
        <v>40</v>
      </c>
      <c r="P280" s="86"/>
      <c r="Q280" s="70">
        <v>3</v>
      </c>
      <c r="R280" s="73"/>
      <c r="S280" s="74">
        <v>1.1000000000000001</v>
      </c>
      <c r="T280" s="112">
        <v>150</v>
      </c>
      <c r="U280" s="113" t="str">
        <f t="shared" si="20"/>
        <v>HB4</v>
      </c>
      <c r="V280" s="74" t="s">
        <v>786</v>
      </c>
      <c r="W280" s="74" t="s">
        <v>756</v>
      </c>
      <c r="X280" s="114">
        <v>4</v>
      </c>
      <c r="Y280" s="74">
        <v>1.6</v>
      </c>
      <c r="Z280" s="74">
        <v>2.0099999999999998</v>
      </c>
      <c r="AA280" s="74" t="s">
        <v>941</v>
      </c>
      <c r="AB280" s="74">
        <v>3.91</v>
      </c>
      <c r="AC280" s="74" t="s">
        <v>98</v>
      </c>
      <c r="AD280" s="74" t="s">
        <v>15</v>
      </c>
      <c r="AE280" s="74" t="s">
        <v>16</v>
      </c>
    </row>
    <row r="281" spans="1:31" s="63" customFormat="1" ht="12" x14ac:dyDescent="0.3">
      <c r="A281" s="67">
        <v>29</v>
      </c>
      <c r="B281" s="84" t="s">
        <v>1165</v>
      </c>
      <c r="C281" s="67" t="s">
        <v>1141</v>
      </c>
      <c r="D281" s="70">
        <v>148.43637883058707</v>
      </c>
      <c r="E281" s="70">
        <v>11.046553281987292</v>
      </c>
      <c r="F281" s="70">
        <v>10.033553281987292</v>
      </c>
      <c r="G281" s="70">
        <v>55</v>
      </c>
      <c r="H281" s="70">
        <v>155.85819777211643</v>
      </c>
      <c r="I281" s="70">
        <v>12.013</v>
      </c>
      <c r="J281" s="70">
        <v>11</v>
      </c>
      <c r="K281" s="70">
        <v>70</v>
      </c>
      <c r="L281" s="70" t="s">
        <v>1135</v>
      </c>
      <c r="M281" s="108" t="s">
        <v>1136</v>
      </c>
      <c r="N281" s="85">
        <v>150</v>
      </c>
      <c r="O281" s="85">
        <v>40</v>
      </c>
      <c r="P281" s="86"/>
      <c r="Q281" s="70">
        <v>3</v>
      </c>
      <c r="R281" s="73"/>
      <c r="S281" s="74">
        <v>1.1000000000000001</v>
      </c>
      <c r="T281" s="112">
        <v>150</v>
      </c>
      <c r="U281" s="113" t="str">
        <f t="shared" si="20"/>
        <v>HB4</v>
      </c>
      <c r="V281" s="74" t="s">
        <v>786</v>
      </c>
      <c r="W281" s="74" t="s">
        <v>756</v>
      </c>
      <c r="X281" s="114">
        <v>4</v>
      </c>
      <c r="Y281" s="74">
        <v>1.6</v>
      </c>
      <c r="Z281" s="74">
        <v>1.98</v>
      </c>
      <c r="AA281" s="74" t="s">
        <v>941</v>
      </c>
      <c r="AB281" s="74">
        <v>3.73</v>
      </c>
      <c r="AC281" s="74" t="s">
        <v>14</v>
      </c>
      <c r="AD281" s="74" t="s">
        <v>15</v>
      </c>
      <c r="AE281" s="74" t="s">
        <v>16</v>
      </c>
    </row>
    <row r="282" spans="1:31" s="63" customFormat="1" ht="12" x14ac:dyDescent="0.3">
      <c r="A282" s="67">
        <v>30</v>
      </c>
      <c r="B282" s="84" t="s">
        <v>1166</v>
      </c>
      <c r="C282" s="67" t="s">
        <v>1141</v>
      </c>
      <c r="D282" s="70">
        <v>142.53824457241808</v>
      </c>
      <c r="E282" s="70">
        <v>11.046553281987292</v>
      </c>
      <c r="F282" s="70">
        <v>10.033553281987292</v>
      </c>
      <c r="G282" s="70">
        <v>55</v>
      </c>
      <c r="H282" s="70">
        <v>149.66515680103899</v>
      </c>
      <c r="I282" s="70">
        <v>12.013</v>
      </c>
      <c r="J282" s="70">
        <v>11</v>
      </c>
      <c r="K282" s="70">
        <v>70</v>
      </c>
      <c r="L282" s="70" t="s">
        <v>1135</v>
      </c>
      <c r="M282" s="108" t="s">
        <v>1136</v>
      </c>
      <c r="N282" s="85">
        <v>150</v>
      </c>
      <c r="O282" s="85">
        <v>40</v>
      </c>
      <c r="P282" s="86"/>
      <c r="Q282" s="70">
        <v>3</v>
      </c>
      <c r="R282" s="73"/>
      <c r="S282" s="74">
        <v>1.1000000000000001</v>
      </c>
      <c r="T282" s="112">
        <v>150</v>
      </c>
      <c r="U282" s="113" t="str">
        <f t="shared" si="20"/>
        <v>HB4</v>
      </c>
      <c r="V282" s="74" t="s">
        <v>786</v>
      </c>
      <c r="W282" s="74" t="s">
        <v>756</v>
      </c>
      <c r="X282" s="114">
        <v>4</v>
      </c>
      <c r="Y282" s="74">
        <v>1.6</v>
      </c>
      <c r="Z282" s="74">
        <v>2.4299999999999997</v>
      </c>
      <c r="AA282" s="74" t="s">
        <v>772</v>
      </c>
      <c r="AB282" s="74">
        <v>5.49</v>
      </c>
      <c r="AC282" s="74" t="s">
        <v>14</v>
      </c>
      <c r="AD282" s="74" t="s">
        <v>15</v>
      </c>
      <c r="AE282" s="74" t="s">
        <v>16</v>
      </c>
    </row>
    <row r="283" spans="1:31" s="63" customFormat="1" ht="12" x14ac:dyDescent="0.3">
      <c r="A283" s="67">
        <v>31</v>
      </c>
      <c r="B283" s="84" t="s">
        <v>1167</v>
      </c>
      <c r="C283" s="67" t="s">
        <v>1141</v>
      </c>
      <c r="D283" s="70">
        <v>142.53824457241808</v>
      </c>
      <c r="E283" s="70">
        <v>11.046553281987292</v>
      </c>
      <c r="F283" s="70">
        <v>10.033553281987292</v>
      </c>
      <c r="G283" s="70">
        <v>55</v>
      </c>
      <c r="H283" s="70">
        <v>149.66515680103899</v>
      </c>
      <c r="I283" s="70">
        <v>12.013</v>
      </c>
      <c r="J283" s="70">
        <v>11</v>
      </c>
      <c r="K283" s="70">
        <v>70</v>
      </c>
      <c r="L283" s="70" t="s">
        <v>1135</v>
      </c>
      <c r="M283" s="108" t="s">
        <v>1136</v>
      </c>
      <c r="N283" s="85">
        <v>150</v>
      </c>
      <c r="O283" s="85">
        <v>40</v>
      </c>
      <c r="P283" s="86"/>
      <c r="Q283" s="70">
        <v>3</v>
      </c>
      <c r="R283" s="73"/>
      <c r="S283" s="74">
        <v>1.1000000000000001</v>
      </c>
      <c r="T283" s="112">
        <v>150</v>
      </c>
      <c r="U283" s="113" t="str">
        <f t="shared" si="20"/>
        <v>HB4</v>
      </c>
      <c r="V283" s="74" t="s">
        <v>786</v>
      </c>
      <c r="W283" s="74" t="s">
        <v>756</v>
      </c>
      <c r="X283" s="114">
        <v>4</v>
      </c>
      <c r="Y283" s="74">
        <v>1.6</v>
      </c>
      <c r="Z283" s="74">
        <v>5.9399999999999995</v>
      </c>
      <c r="AA283" s="74" t="s">
        <v>787</v>
      </c>
      <c r="AB283" s="74">
        <v>6.35</v>
      </c>
      <c r="AC283" s="74" t="s">
        <v>14</v>
      </c>
      <c r="AD283" s="74" t="s">
        <v>15</v>
      </c>
      <c r="AE283" s="74" t="s">
        <v>16</v>
      </c>
    </row>
    <row r="284" spans="1:31" s="63" customFormat="1" ht="12.75" thickBot="1" x14ac:dyDescent="0.35">
      <c r="A284" s="67">
        <v>32</v>
      </c>
      <c r="B284" s="84" t="s">
        <v>1168</v>
      </c>
      <c r="C284" s="67" t="s">
        <v>1141</v>
      </c>
      <c r="D284" s="70">
        <v>5.8981342581690237</v>
      </c>
      <c r="E284" s="70">
        <v>11.046553281987292</v>
      </c>
      <c r="F284" s="70">
        <v>10.033553281987292</v>
      </c>
      <c r="G284" s="70">
        <v>55</v>
      </c>
      <c r="H284" s="70">
        <v>6.1930409710774752</v>
      </c>
      <c r="I284" s="70">
        <v>12.013</v>
      </c>
      <c r="J284" s="70">
        <v>11</v>
      </c>
      <c r="K284" s="70">
        <v>70</v>
      </c>
      <c r="L284" s="70" t="s">
        <v>1135</v>
      </c>
      <c r="M284" s="67" t="s">
        <v>768</v>
      </c>
      <c r="N284" s="85">
        <v>40</v>
      </c>
      <c r="O284" s="85">
        <v>80</v>
      </c>
      <c r="P284" s="86"/>
      <c r="Q284" s="70">
        <v>3</v>
      </c>
      <c r="R284" s="73"/>
      <c r="S284" s="74">
        <v>1.1000000000000001</v>
      </c>
      <c r="T284" s="157">
        <v>150</v>
      </c>
      <c r="U284" s="158" t="str">
        <f t="shared" si="20"/>
        <v>HB4</v>
      </c>
      <c r="V284" s="74" t="s">
        <v>786</v>
      </c>
      <c r="W284" s="74" t="s">
        <v>756</v>
      </c>
      <c r="X284" s="114">
        <v>4</v>
      </c>
      <c r="Y284" s="74">
        <v>1.6</v>
      </c>
      <c r="Z284" s="74">
        <v>5.9399999999999995</v>
      </c>
      <c r="AA284" s="74" t="s">
        <v>787</v>
      </c>
      <c r="AB284" s="74">
        <v>6.35</v>
      </c>
      <c r="AC284" s="74" t="s">
        <v>98</v>
      </c>
      <c r="AD284" s="74" t="s">
        <v>15</v>
      </c>
      <c r="AE284" s="74" t="s">
        <v>16</v>
      </c>
    </row>
    <row r="285" spans="1:31" x14ac:dyDescent="0.3">
      <c r="A285" s="67">
        <v>33</v>
      </c>
      <c r="B285" s="84" t="s">
        <v>1169</v>
      </c>
      <c r="C285" s="67" t="s">
        <v>1141</v>
      </c>
      <c r="D285" s="70">
        <v>1652.2640101884163</v>
      </c>
      <c r="E285" s="70">
        <v>11.046553281987292</v>
      </c>
      <c r="F285" s="70">
        <v>10.033553281987292</v>
      </c>
      <c r="G285" s="70">
        <v>55</v>
      </c>
      <c r="H285" s="70">
        <v>1734.8772106978372</v>
      </c>
      <c r="I285" s="70">
        <v>12.013</v>
      </c>
      <c r="J285" s="70">
        <v>11</v>
      </c>
      <c r="K285" s="70">
        <v>70</v>
      </c>
      <c r="L285" s="70" t="s">
        <v>1135</v>
      </c>
      <c r="M285" s="108" t="s">
        <v>1136</v>
      </c>
      <c r="N285" s="85">
        <v>500</v>
      </c>
      <c r="O285" s="85" t="s">
        <v>789</v>
      </c>
      <c r="P285" s="86"/>
      <c r="Q285" s="70">
        <v>3</v>
      </c>
      <c r="R285" s="73"/>
      <c r="S285" s="74">
        <v>1.1000000000000001</v>
      </c>
    </row>
    <row r="286" spans="1:31" x14ac:dyDescent="0.3">
      <c r="A286" s="67">
        <v>34</v>
      </c>
      <c r="B286" s="84" t="s">
        <v>1170</v>
      </c>
      <c r="C286" s="67" t="s">
        <v>1141</v>
      </c>
      <c r="D286" s="70">
        <v>659.60801453856914</v>
      </c>
      <c r="E286" s="70">
        <v>11.046553281987292</v>
      </c>
      <c r="F286" s="70">
        <v>10.033553281987292</v>
      </c>
      <c r="G286" s="70">
        <v>55</v>
      </c>
      <c r="H286" s="70">
        <v>692.58841526549759</v>
      </c>
      <c r="I286" s="70">
        <v>12.013</v>
      </c>
      <c r="J286" s="70">
        <v>11</v>
      </c>
      <c r="K286" s="70">
        <v>70</v>
      </c>
      <c r="L286" s="70" t="s">
        <v>1135</v>
      </c>
      <c r="M286" s="108" t="s">
        <v>1136</v>
      </c>
      <c r="N286" s="85">
        <v>300</v>
      </c>
      <c r="O286" s="85" t="s">
        <v>789</v>
      </c>
      <c r="P286" s="86"/>
      <c r="Q286" s="70">
        <v>3</v>
      </c>
      <c r="R286" s="73"/>
      <c r="S286" s="74">
        <v>1.1000000000000001</v>
      </c>
    </row>
    <row r="287" spans="1:31" x14ac:dyDescent="0.3">
      <c r="A287" s="67">
        <v>35</v>
      </c>
      <c r="B287" s="84" t="s">
        <v>1163</v>
      </c>
      <c r="C287" s="67" t="s">
        <v>1141</v>
      </c>
      <c r="D287" s="70">
        <v>511.17163570798203</v>
      </c>
      <c r="E287" s="70">
        <v>11.046553281987292</v>
      </c>
      <c r="F287" s="70">
        <v>10.033553281987292</v>
      </c>
      <c r="G287" s="70">
        <v>55</v>
      </c>
      <c r="H287" s="70">
        <v>536.73021749338113</v>
      </c>
      <c r="I287" s="70">
        <v>12.013</v>
      </c>
      <c r="J287" s="70">
        <v>11</v>
      </c>
      <c r="K287" s="70">
        <v>70</v>
      </c>
      <c r="L287" s="70" t="s">
        <v>1135</v>
      </c>
      <c r="M287" s="108" t="s">
        <v>1136</v>
      </c>
      <c r="N287" s="85">
        <v>250</v>
      </c>
      <c r="O287" s="85">
        <v>40</v>
      </c>
      <c r="P287" s="86"/>
      <c r="Q287" s="70">
        <v>3</v>
      </c>
      <c r="R287" s="73"/>
      <c r="S287" s="74">
        <v>1.1000000000000001</v>
      </c>
    </row>
    <row r="288" spans="1:31" x14ac:dyDescent="0.3">
      <c r="A288" s="67">
        <v>36</v>
      </c>
      <c r="B288" s="84" t="s">
        <v>1164</v>
      </c>
      <c r="C288" s="67" t="s">
        <v>1141</v>
      </c>
      <c r="D288" s="70">
        <v>127.79290892699551</v>
      </c>
      <c r="E288" s="70">
        <v>11.046553281987292</v>
      </c>
      <c r="F288" s="70">
        <v>10.033553281987292</v>
      </c>
      <c r="G288" s="70">
        <v>55</v>
      </c>
      <c r="H288" s="70">
        <v>134.18255437334528</v>
      </c>
      <c r="I288" s="70">
        <v>12.013</v>
      </c>
      <c r="J288" s="70">
        <v>11</v>
      </c>
      <c r="K288" s="70">
        <v>70</v>
      </c>
      <c r="L288" s="70" t="s">
        <v>1135</v>
      </c>
      <c r="M288" s="108" t="s">
        <v>1136</v>
      </c>
      <c r="N288" s="85">
        <v>150</v>
      </c>
      <c r="O288" s="85">
        <v>40</v>
      </c>
      <c r="P288" s="86"/>
      <c r="Q288" s="70">
        <v>3</v>
      </c>
      <c r="R288" s="73"/>
      <c r="S288" s="74">
        <v>1.1000000000000001</v>
      </c>
    </row>
    <row r="289" spans="1:31" x14ac:dyDescent="0.3">
      <c r="A289" s="67">
        <v>37</v>
      </c>
      <c r="B289" s="84" t="s">
        <v>1171</v>
      </c>
      <c r="C289" s="67" t="s">
        <v>1141</v>
      </c>
      <c r="D289" s="70">
        <v>148.43637883058707</v>
      </c>
      <c r="E289" s="70">
        <v>11.046553281987292</v>
      </c>
      <c r="F289" s="70">
        <v>10.033553281987292</v>
      </c>
      <c r="G289" s="70">
        <v>55</v>
      </c>
      <c r="H289" s="70">
        <v>155.85819777211643</v>
      </c>
      <c r="I289" s="70">
        <v>12.013</v>
      </c>
      <c r="J289" s="70">
        <v>11</v>
      </c>
      <c r="K289" s="70">
        <v>70</v>
      </c>
      <c r="L289" s="70" t="s">
        <v>1135</v>
      </c>
      <c r="M289" s="108" t="s">
        <v>1136</v>
      </c>
      <c r="N289" s="85">
        <v>150</v>
      </c>
      <c r="O289" s="85">
        <v>40</v>
      </c>
      <c r="P289" s="86"/>
      <c r="Q289" s="70">
        <v>3</v>
      </c>
      <c r="R289" s="73"/>
    </row>
    <row r="290" spans="1:31" x14ac:dyDescent="0.3">
      <c r="A290" s="67">
        <v>38</v>
      </c>
      <c r="B290" s="84" t="s">
        <v>1166</v>
      </c>
      <c r="C290" s="67" t="s">
        <v>1141</v>
      </c>
      <c r="D290" s="70">
        <v>142.53824457241808</v>
      </c>
      <c r="E290" s="70">
        <v>11.046553281987292</v>
      </c>
      <c r="F290" s="70">
        <v>10.033553281987292</v>
      </c>
      <c r="G290" s="70">
        <v>55</v>
      </c>
      <c r="H290" s="70">
        <v>149.66515680103899</v>
      </c>
      <c r="I290" s="70">
        <v>12.013</v>
      </c>
      <c r="J290" s="70">
        <v>11</v>
      </c>
      <c r="K290" s="70">
        <v>70</v>
      </c>
      <c r="L290" s="70" t="s">
        <v>1135</v>
      </c>
      <c r="M290" s="108" t="s">
        <v>1136</v>
      </c>
      <c r="N290" s="85">
        <v>150</v>
      </c>
      <c r="O290" s="85">
        <v>40</v>
      </c>
      <c r="P290" s="86"/>
      <c r="Q290" s="70">
        <v>3</v>
      </c>
      <c r="R290" s="73"/>
    </row>
    <row r="291" spans="1:31" x14ac:dyDescent="0.3">
      <c r="A291" s="67">
        <v>39</v>
      </c>
      <c r="B291" s="84" t="s">
        <v>1167</v>
      </c>
      <c r="C291" s="67" t="s">
        <v>1141</v>
      </c>
      <c r="D291" s="70">
        <v>142.53824457241808</v>
      </c>
      <c r="E291" s="70">
        <v>11.046553281987292</v>
      </c>
      <c r="F291" s="70">
        <v>10.033553281987292</v>
      </c>
      <c r="G291" s="70">
        <v>55</v>
      </c>
      <c r="H291" s="70">
        <v>149.66515680103899</v>
      </c>
      <c r="I291" s="70">
        <v>12.013</v>
      </c>
      <c r="J291" s="70">
        <v>11</v>
      </c>
      <c r="K291" s="70">
        <v>70</v>
      </c>
      <c r="L291" s="70" t="s">
        <v>1135</v>
      </c>
      <c r="M291" s="108" t="s">
        <v>1136</v>
      </c>
      <c r="N291" s="85">
        <v>150</v>
      </c>
      <c r="O291" s="85">
        <v>40</v>
      </c>
      <c r="P291" s="86"/>
      <c r="Q291" s="70">
        <v>3</v>
      </c>
      <c r="R291" s="73"/>
    </row>
    <row r="292" spans="1:31" x14ac:dyDescent="0.3">
      <c r="A292" s="67">
        <v>40</v>
      </c>
      <c r="B292" s="84" t="s">
        <v>1168</v>
      </c>
      <c r="C292" s="67" t="s">
        <v>1141</v>
      </c>
      <c r="D292" s="70">
        <v>5.8981342581690237</v>
      </c>
      <c r="E292" s="70">
        <v>11.046553281987292</v>
      </c>
      <c r="F292" s="70">
        <v>10.033553281987292</v>
      </c>
      <c r="G292" s="70">
        <v>55</v>
      </c>
      <c r="H292" s="70">
        <v>6.1930409710774752</v>
      </c>
      <c r="I292" s="70">
        <v>12.013</v>
      </c>
      <c r="J292" s="70">
        <v>11</v>
      </c>
      <c r="K292" s="70">
        <v>70</v>
      </c>
      <c r="L292" s="70" t="s">
        <v>1135</v>
      </c>
      <c r="M292" s="67" t="s">
        <v>768</v>
      </c>
      <c r="N292" s="85">
        <v>40</v>
      </c>
      <c r="O292" s="85">
        <v>80</v>
      </c>
      <c r="P292" s="86"/>
      <c r="Q292" s="70">
        <v>3</v>
      </c>
      <c r="R292" s="73"/>
    </row>
    <row r="293" spans="1:31" s="63" customFormat="1" x14ac:dyDescent="0.3">
      <c r="A293" s="67">
        <v>41</v>
      </c>
      <c r="B293" s="84" t="s">
        <v>1172</v>
      </c>
      <c r="C293" s="67" t="s">
        <v>1141</v>
      </c>
      <c r="D293" s="70">
        <v>992.65599564984734</v>
      </c>
      <c r="E293" s="70">
        <v>11.046553281987292</v>
      </c>
      <c r="F293" s="70">
        <v>10.033553281987292</v>
      </c>
      <c r="G293" s="70">
        <v>55</v>
      </c>
      <c r="H293" s="70">
        <v>1042.2887954323398</v>
      </c>
      <c r="I293" s="70">
        <v>12.013</v>
      </c>
      <c r="J293" s="70">
        <v>11</v>
      </c>
      <c r="K293" s="70">
        <v>70</v>
      </c>
      <c r="L293" s="70" t="s">
        <v>1135</v>
      </c>
      <c r="M293" s="108" t="s">
        <v>1136</v>
      </c>
      <c r="N293" s="85">
        <v>400</v>
      </c>
      <c r="O293" s="85" t="s">
        <v>789</v>
      </c>
      <c r="P293" s="86"/>
      <c r="Q293" s="70">
        <v>3</v>
      </c>
      <c r="R293" s="73"/>
      <c r="S293"/>
      <c r="T293" s="112">
        <v>150</v>
      </c>
      <c r="U293" s="113" t="str">
        <f t="shared" ref="U293:U306" si="21">V293&amp;W293&amp;X293</f>
        <v>HB4</v>
      </c>
      <c r="V293" s="74" t="s">
        <v>786</v>
      </c>
      <c r="W293" s="74" t="s">
        <v>756</v>
      </c>
      <c r="X293" s="114">
        <v>4</v>
      </c>
      <c r="Y293" s="74">
        <v>1.6</v>
      </c>
      <c r="Z293" s="74">
        <v>5.9399999999999995</v>
      </c>
      <c r="AA293" s="74" t="s">
        <v>787</v>
      </c>
      <c r="AB293" s="74">
        <v>6.35</v>
      </c>
      <c r="AC293" s="74" t="s">
        <v>14</v>
      </c>
      <c r="AD293" s="74" t="s">
        <v>15</v>
      </c>
      <c r="AE293" s="74" t="s">
        <v>16</v>
      </c>
    </row>
    <row r="294" spans="1:31" s="63" customFormat="1" x14ac:dyDescent="0.3">
      <c r="A294" s="67">
        <v>42</v>
      </c>
      <c r="B294" s="84" t="s">
        <v>1173</v>
      </c>
      <c r="C294" s="67" t="s">
        <v>1141</v>
      </c>
      <c r="D294" s="70">
        <v>496.32799782492333</v>
      </c>
      <c r="E294" s="70">
        <v>11.046553281987292</v>
      </c>
      <c r="F294" s="70">
        <v>10.033553281987292</v>
      </c>
      <c r="G294" s="70">
        <v>55</v>
      </c>
      <c r="H294" s="70">
        <v>521.14439771616946</v>
      </c>
      <c r="I294" s="70">
        <v>12.013</v>
      </c>
      <c r="J294" s="70">
        <v>11</v>
      </c>
      <c r="K294" s="70">
        <v>70</v>
      </c>
      <c r="L294" s="70" t="s">
        <v>1135</v>
      </c>
      <c r="M294" s="108" t="s">
        <v>1136</v>
      </c>
      <c r="N294" s="85">
        <v>250</v>
      </c>
      <c r="O294" s="85">
        <v>40</v>
      </c>
      <c r="P294" s="86"/>
      <c r="Q294" s="70">
        <v>3</v>
      </c>
      <c r="R294" s="73"/>
      <c r="S294"/>
      <c r="T294" s="112">
        <v>150</v>
      </c>
      <c r="U294" s="113" t="str">
        <f t="shared" si="21"/>
        <v>HB4</v>
      </c>
      <c r="V294" s="74" t="s">
        <v>786</v>
      </c>
      <c r="W294" s="74" t="s">
        <v>756</v>
      </c>
      <c r="X294" s="114">
        <v>4</v>
      </c>
      <c r="Y294" s="74">
        <v>1.6</v>
      </c>
      <c r="Z294" s="74">
        <v>5.9399999999999995</v>
      </c>
      <c r="AA294" s="74" t="s">
        <v>787</v>
      </c>
      <c r="AB294" s="74">
        <v>6.35</v>
      </c>
      <c r="AC294" s="74" t="s">
        <v>14</v>
      </c>
      <c r="AD294" s="74" t="s">
        <v>15</v>
      </c>
      <c r="AE294" s="74" t="s">
        <v>16</v>
      </c>
    </row>
    <row r="295" spans="1:31" s="63" customFormat="1" x14ac:dyDescent="0.3">
      <c r="A295" s="67">
        <v>43</v>
      </c>
      <c r="B295" s="84" t="s">
        <v>1174</v>
      </c>
      <c r="C295" s="67" t="s">
        <v>1141</v>
      </c>
      <c r="D295" s="70">
        <v>15.531753546511762</v>
      </c>
      <c r="E295" s="70">
        <v>11.046553281987292</v>
      </c>
      <c r="F295" s="70">
        <v>10.033553281987292</v>
      </c>
      <c r="G295" s="70">
        <v>55</v>
      </c>
      <c r="H295" s="70">
        <v>16.308341223837353</v>
      </c>
      <c r="I295" s="70">
        <v>12.013</v>
      </c>
      <c r="J295" s="70">
        <v>11</v>
      </c>
      <c r="K295" s="70">
        <v>70</v>
      </c>
      <c r="L295" s="70" t="s">
        <v>1135</v>
      </c>
      <c r="M295" s="67" t="s">
        <v>768</v>
      </c>
      <c r="N295" s="85">
        <v>50</v>
      </c>
      <c r="O295" s="85">
        <v>80</v>
      </c>
      <c r="P295" s="86"/>
      <c r="Q295" s="70">
        <v>3</v>
      </c>
      <c r="R295" s="73"/>
      <c r="S295"/>
      <c r="T295" s="112">
        <v>150</v>
      </c>
      <c r="U295" s="113" t="str">
        <f t="shared" si="21"/>
        <v>HB4</v>
      </c>
      <c r="V295" s="74" t="s">
        <v>786</v>
      </c>
      <c r="W295" s="74" t="s">
        <v>756</v>
      </c>
      <c r="X295" s="114">
        <v>4</v>
      </c>
      <c r="Y295" s="74">
        <v>1.6</v>
      </c>
      <c r="Z295" s="74">
        <v>3.3099999999999996</v>
      </c>
      <c r="AA295" s="74" t="s">
        <v>1115</v>
      </c>
      <c r="AB295" s="74">
        <v>6.35</v>
      </c>
      <c r="AC295" s="74" t="s">
        <v>14</v>
      </c>
      <c r="AD295" s="74" t="s">
        <v>15</v>
      </c>
      <c r="AE295" s="74" t="s">
        <v>16</v>
      </c>
    </row>
    <row r="296" spans="1:31" s="63" customFormat="1" x14ac:dyDescent="0.3">
      <c r="A296" s="67">
        <v>44</v>
      </c>
      <c r="B296" s="84" t="s">
        <v>1149</v>
      </c>
      <c r="C296" s="67" t="s">
        <v>1141</v>
      </c>
      <c r="D296" s="70">
        <v>468.90167352443734</v>
      </c>
      <c r="E296" s="70">
        <v>11.046553281987292</v>
      </c>
      <c r="F296" s="70">
        <v>10.033553281987292</v>
      </c>
      <c r="G296" s="70">
        <v>55</v>
      </c>
      <c r="H296" s="70">
        <v>492.34675720065923</v>
      </c>
      <c r="I296" s="70">
        <v>12.013</v>
      </c>
      <c r="J296" s="70">
        <v>11</v>
      </c>
      <c r="K296" s="70">
        <v>70</v>
      </c>
      <c r="L296" s="70" t="s">
        <v>1135</v>
      </c>
      <c r="M296" s="108" t="s">
        <v>1136</v>
      </c>
      <c r="N296" s="85">
        <v>250</v>
      </c>
      <c r="O296" s="85">
        <v>40</v>
      </c>
      <c r="P296" s="86"/>
      <c r="Q296" s="70">
        <v>3</v>
      </c>
      <c r="R296" s="73"/>
      <c r="S296"/>
      <c r="T296" s="112">
        <v>150</v>
      </c>
      <c r="U296" s="113" t="str">
        <f t="shared" si="21"/>
        <v>HB4</v>
      </c>
      <c r="V296" s="74" t="s">
        <v>786</v>
      </c>
      <c r="W296" s="74" t="s">
        <v>756</v>
      </c>
      <c r="X296" s="114">
        <v>4</v>
      </c>
      <c r="Y296" s="74">
        <v>1.6</v>
      </c>
      <c r="Z296" s="74">
        <v>2.9699999999999998</v>
      </c>
      <c r="AA296" s="74" t="s">
        <v>772</v>
      </c>
      <c r="AB296" s="74">
        <v>7.11</v>
      </c>
      <c r="AC296" s="74" t="s">
        <v>14</v>
      </c>
      <c r="AD296" s="74" t="s">
        <v>15</v>
      </c>
      <c r="AE296" s="74" t="s">
        <v>16</v>
      </c>
    </row>
    <row r="297" spans="1:31" s="63" customFormat="1" ht="12" x14ac:dyDescent="0.3">
      <c r="A297" s="67">
        <v>45</v>
      </c>
      <c r="B297" s="84" t="s">
        <v>1175</v>
      </c>
      <c r="C297" s="67" t="s">
        <v>1141</v>
      </c>
      <c r="D297" s="70">
        <v>11.894570753974163</v>
      </c>
      <c r="E297" s="70">
        <v>11.046553281987292</v>
      </c>
      <c r="F297" s="70">
        <v>10.033553281987292</v>
      </c>
      <c r="G297" s="70">
        <v>55</v>
      </c>
      <c r="H297" s="70">
        <v>12.489299291672872</v>
      </c>
      <c r="I297" s="70">
        <v>12.013</v>
      </c>
      <c r="J297" s="70">
        <v>11</v>
      </c>
      <c r="K297" s="70">
        <v>70</v>
      </c>
      <c r="L297" s="70" t="s">
        <v>1135</v>
      </c>
      <c r="M297" s="67" t="s">
        <v>768</v>
      </c>
      <c r="N297" s="85">
        <v>50</v>
      </c>
      <c r="O297" s="85">
        <v>80</v>
      </c>
      <c r="P297" s="86"/>
      <c r="Q297" s="70">
        <v>3</v>
      </c>
      <c r="R297" s="73"/>
      <c r="S297" s="74">
        <v>1.1000000000000001</v>
      </c>
      <c r="T297" s="112">
        <v>150</v>
      </c>
      <c r="U297" s="113" t="str">
        <f t="shared" si="21"/>
        <v>HB4</v>
      </c>
      <c r="V297" s="74" t="s">
        <v>786</v>
      </c>
      <c r="W297" s="74" t="s">
        <v>756</v>
      </c>
      <c r="X297" s="114">
        <v>4</v>
      </c>
      <c r="Y297" s="74">
        <v>1.6</v>
      </c>
      <c r="Z297" s="74">
        <v>2.78</v>
      </c>
      <c r="AA297" s="74" t="s">
        <v>772</v>
      </c>
      <c r="AB297" s="74">
        <v>6.55</v>
      </c>
      <c r="AC297" s="74" t="s">
        <v>14</v>
      </c>
      <c r="AD297" s="74" t="s">
        <v>15</v>
      </c>
      <c r="AE297" s="74" t="s">
        <v>16</v>
      </c>
    </row>
    <row r="298" spans="1:31" s="63" customFormat="1" ht="12" x14ac:dyDescent="0.3">
      <c r="A298" s="67">
        <v>46</v>
      </c>
      <c r="B298" s="84" t="s">
        <v>1151</v>
      </c>
      <c r="C298" s="67" t="s">
        <v>1141</v>
      </c>
      <c r="D298" s="70">
        <v>0.68811566345305264</v>
      </c>
      <c r="E298" s="70">
        <v>11.046553281987292</v>
      </c>
      <c r="F298" s="70">
        <v>10.033553281987292</v>
      </c>
      <c r="G298" s="70">
        <v>55</v>
      </c>
      <c r="H298" s="70">
        <v>0.72252144662570528</v>
      </c>
      <c r="I298" s="70">
        <v>12.013</v>
      </c>
      <c r="J298" s="70">
        <v>11</v>
      </c>
      <c r="K298" s="70">
        <v>70</v>
      </c>
      <c r="L298" s="70" t="s">
        <v>1135</v>
      </c>
      <c r="M298" s="67" t="s">
        <v>768</v>
      </c>
      <c r="N298" s="85">
        <v>25</v>
      </c>
      <c r="O298" s="85">
        <v>80</v>
      </c>
      <c r="P298" s="86"/>
      <c r="Q298" s="70">
        <v>3</v>
      </c>
      <c r="R298" s="73"/>
      <c r="S298" s="74">
        <v>1.1000000000000001</v>
      </c>
      <c r="T298" s="112">
        <v>150</v>
      </c>
      <c r="U298" s="113" t="str">
        <f t="shared" si="21"/>
        <v>HB4</v>
      </c>
      <c r="V298" s="74" t="s">
        <v>786</v>
      </c>
      <c r="W298" s="74" t="s">
        <v>756</v>
      </c>
      <c r="X298" s="114">
        <v>4</v>
      </c>
      <c r="Y298" s="74">
        <v>1.6</v>
      </c>
      <c r="Z298" s="74">
        <v>2.78</v>
      </c>
      <c r="AA298" s="74" t="s">
        <v>772</v>
      </c>
      <c r="AB298" s="74">
        <v>6.55</v>
      </c>
      <c r="AC298" s="74" t="s">
        <v>98</v>
      </c>
      <c r="AD298" s="74" t="s">
        <v>15</v>
      </c>
      <c r="AE298" s="74" t="s">
        <v>16</v>
      </c>
    </row>
    <row r="299" spans="1:31" s="63" customFormat="1" ht="12" x14ac:dyDescent="0.3">
      <c r="A299" s="67">
        <v>47</v>
      </c>
      <c r="B299" s="84" t="s">
        <v>1152</v>
      </c>
      <c r="C299" s="67" t="s">
        <v>1141</v>
      </c>
      <c r="D299" s="70">
        <v>11.206455090521146</v>
      </c>
      <c r="E299" s="70">
        <v>11.046553281987292</v>
      </c>
      <c r="F299" s="70">
        <v>10.033553281987292</v>
      </c>
      <c r="G299" s="70">
        <v>55</v>
      </c>
      <c r="H299" s="70">
        <v>11.766777845047203</v>
      </c>
      <c r="I299" s="70">
        <v>12.013</v>
      </c>
      <c r="J299" s="70">
        <v>11</v>
      </c>
      <c r="K299" s="70">
        <v>70</v>
      </c>
      <c r="L299" s="70" t="s">
        <v>1135</v>
      </c>
      <c r="M299" s="67" t="s">
        <v>768</v>
      </c>
      <c r="N299" s="85">
        <v>40</v>
      </c>
      <c r="O299" s="85">
        <v>80</v>
      </c>
      <c r="P299" s="86"/>
      <c r="Q299" s="70">
        <v>3</v>
      </c>
      <c r="R299" s="73"/>
      <c r="S299" s="74">
        <v>1.1000000000000001</v>
      </c>
      <c r="T299" s="112">
        <v>150</v>
      </c>
      <c r="U299" s="113" t="str">
        <f t="shared" si="21"/>
        <v>HB4</v>
      </c>
      <c r="V299" s="74" t="s">
        <v>786</v>
      </c>
      <c r="W299" s="74" t="s">
        <v>756</v>
      </c>
      <c r="X299" s="114">
        <v>4</v>
      </c>
      <c r="Y299" s="74">
        <v>1.6</v>
      </c>
      <c r="Z299" s="74">
        <v>2.0099999999999998</v>
      </c>
      <c r="AA299" s="74" t="s">
        <v>941</v>
      </c>
      <c r="AB299" s="74">
        <v>3.91</v>
      </c>
      <c r="AC299" s="74" t="s">
        <v>14</v>
      </c>
      <c r="AD299" s="74" t="s">
        <v>15</v>
      </c>
      <c r="AE299" s="74" t="s">
        <v>16</v>
      </c>
    </row>
    <row r="300" spans="1:31" s="63" customFormat="1" ht="12" x14ac:dyDescent="0.3">
      <c r="A300" s="67">
        <v>48</v>
      </c>
      <c r="B300" s="84" t="s">
        <v>1153</v>
      </c>
      <c r="C300" s="67" t="s">
        <v>1141</v>
      </c>
      <c r="D300" s="70">
        <v>223.14607943406139</v>
      </c>
      <c r="E300" s="70">
        <v>11.046553281987292</v>
      </c>
      <c r="F300" s="70">
        <v>10.033553281987292</v>
      </c>
      <c r="G300" s="70">
        <v>55</v>
      </c>
      <c r="H300" s="70">
        <v>234.30338340576446</v>
      </c>
      <c r="I300" s="70">
        <v>12.013</v>
      </c>
      <c r="J300" s="70">
        <v>11</v>
      </c>
      <c r="K300" s="70">
        <v>70</v>
      </c>
      <c r="L300" s="70" t="s">
        <v>1135</v>
      </c>
      <c r="M300" s="108" t="s">
        <v>1136</v>
      </c>
      <c r="N300" s="85">
        <v>200</v>
      </c>
      <c r="O300" s="85">
        <v>40</v>
      </c>
      <c r="P300" s="86"/>
      <c r="Q300" s="70">
        <v>3</v>
      </c>
      <c r="R300" s="73"/>
      <c r="S300" s="74">
        <v>1.1000000000000001</v>
      </c>
      <c r="T300" s="112">
        <v>150</v>
      </c>
      <c r="U300" s="113" t="str">
        <f t="shared" si="21"/>
        <v>HB4</v>
      </c>
      <c r="V300" s="74" t="s">
        <v>786</v>
      </c>
      <c r="W300" s="74" t="s">
        <v>756</v>
      </c>
      <c r="X300" s="114">
        <v>4</v>
      </c>
      <c r="Y300" s="74">
        <v>1.6</v>
      </c>
      <c r="Z300" s="74">
        <v>2.2399999999999998</v>
      </c>
      <c r="AA300" s="74" t="s">
        <v>941</v>
      </c>
      <c r="AB300" s="74">
        <v>5.54</v>
      </c>
      <c r="AC300" s="74" t="s">
        <v>14</v>
      </c>
      <c r="AD300" s="74" t="s">
        <v>15</v>
      </c>
      <c r="AE300" s="74" t="s">
        <v>16</v>
      </c>
    </row>
    <row r="301" spans="1:31" s="63" customFormat="1" ht="12" x14ac:dyDescent="0.3">
      <c r="A301" s="67">
        <v>49</v>
      </c>
      <c r="B301" s="84" t="s">
        <v>1154</v>
      </c>
      <c r="C301" s="67" t="s">
        <v>1141</v>
      </c>
      <c r="D301" s="70">
        <v>281.14439963939014</v>
      </c>
      <c r="E301" s="70">
        <v>11.046553281987292</v>
      </c>
      <c r="F301" s="70">
        <v>10.033553281987292</v>
      </c>
      <c r="G301" s="70">
        <v>55</v>
      </c>
      <c r="H301" s="70">
        <v>295.20161962135967</v>
      </c>
      <c r="I301" s="70">
        <v>12.013</v>
      </c>
      <c r="J301" s="70">
        <v>11</v>
      </c>
      <c r="K301" s="70">
        <v>70</v>
      </c>
      <c r="L301" s="70" t="s">
        <v>1135</v>
      </c>
      <c r="M301" s="108" t="s">
        <v>1136</v>
      </c>
      <c r="N301" s="85">
        <v>200</v>
      </c>
      <c r="O301" s="85">
        <v>40</v>
      </c>
      <c r="P301" s="86"/>
      <c r="Q301" s="70">
        <v>3</v>
      </c>
      <c r="R301" s="73"/>
      <c r="S301" s="74">
        <v>1.1000000000000001</v>
      </c>
      <c r="T301" s="112">
        <v>150</v>
      </c>
      <c r="U301" s="113" t="str">
        <f t="shared" si="21"/>
        <v>HB4</v>
      </c>
      <c r="V301" s="74" t="s">
        <v>786</v>
      </c>
      <c r="W301" s="74" t="s">
        <v>756</v>
      </c>
      <c r="X301" s="114">
        <v>4</v>
      </c>
      <c r="Y301" s="74">
        <v>1.6</v>
      </c>
      <c r="Z301" s="74">
        <v>2.2399999999999998</v>
      </c>
      <c r="AA301" s="74" t="s">
        <v>941</v>
      </c>
      <c r="AB301" s="74">
        <v>5.54</v>
      </c>
      <c r="AC301" s="74" t="s">
        <v>14</v>
      </c>
      <c r="AD301" s="74" t="s">
        <v>15</v>
      </c>
      <c r="AE301" s="74" t="s">
        <v>16</v>
      </c>
    </row>
    <row r="302" spans="1:31" s="63" customFormat="1" ht="12" x14ac:dyDescent="0.3">
      <c r="A302" s="67">
        <v>50</v>
      </c>
      <c r="B302" s="84" t="s">
        <v>1176</v>
      </c>
      <c r="C302" s="67" t="s">
        <v>1141</v>
      </c>
      <c r="D302" s="70">
        <v>496.32799782492333</v>
      </c>
      <c r="E302" s="70">
        <v>11.046553281987292</v>
      </c>
      <c r="F302" s="70">
        <v>10.033553281987292</v>
      </c>
      <c r="G302" s="70">
        <v>55</v>
      </c>
      <c r="H302" s="70">
        <v>521.14439771616946</v>
      </c>
      <c r="I302" s="70">
        <v>12.013</v>
      </c>
      <c r="J302" s="70">
        <v>11</v>
      </c>
      <c r="K302" s="70">
        <v>70</v>
      </c>
      <c r="L302" s="70" t="s">
        <v>1135</v>
      </c>
      <c r="M302" s="108" t="s">
        <v>1136</v>
      </c>
      <c r="N302" s="85">
        <v>250</v>
      </c>
      <c r="O302" s="85">
        <v>40</v>
      </c>
      <c r="P302" s="86"/>
      <c r="Q302" s="70">
        <v>3</v>
      </c>
      <c r="R302" s="73"/>
      <c r="S302" s="74">
        <v>1.1000000000000001</v>
      </c>
      <c r="T302" s="112">
        <v>150</v>
      </c>
      <c r="U302" s="113" t="str">
        <f t="shared" si="21"/>
        <v>HB4</v>
      </c>
      <c r="V302" s="74" t="s">
        <v>786</v>
      </c>
      <c r="W302" s="74" t="s">
        <v>756</v>
      </c>
      <c r="X302" s="114">
        <v>4</v>
      </c>
      <c r="Y302" s="74">
        <v>1.6</v>
      </c>
      <c r="Z302" s="74">
        <v>2.0099999999999998</v>
      </c>
      <c r="AA302" s="74" t="s">
        <v>941</v>
      </c>
      <c r="AB302" s="74">
        <v>3.91</v>
      </c>
      <c r="AC302" s="74" t="s">
        <v>98</v>
      </c>
      <c r="AD302" s="74" t="s">
        <v>15</v>
      </c>
      <c r="AE302" s="74" t="s">
        <v>16</v>
      </c>
    </row>
    <row r="303" spans="1:31" s="63" customFormat="1" ht="12" x14ac:dyDescent="0.3">
      <c r="A303" s="67">
        <v>51</v>
      </c>
      <c r="B303" s="84" t="s">
        <v>1149</v>
      </c>
      <c r="C303" s="67" t="s">
        <v>1141</v>
      </c>
      <c r="D303" s="70">
        <v>468.90167352443734</v>
      </c>
      <c r="E303" s="70">
        <v>11.046553281987292</v>
      </c>
      <c r="F303" s="70">
        <v>10.033553281987292</v>
      </c>
      <c r="G303" s="70">
        <v>55</v>
      </c>
      <c r="H303" s="70">
        <v>492.34675720065923</v>
      </c>
      <c r="I303" s="70">
        <v>12.013</v>
      </c>
      <c r="J303" s="70">
        <v>11</v>
      </c>
      <c r="K303" s="70">
        <v>70</v>
      </c>
      <c r="L303" s="70" t="s">
        <v>1135</v>
      </c>
      <c r="M303" s="108" t="s">
        <v>1136</v>
      </c>
      <c r="N303" s="85">
        <v>250</v>
      </c>
      <c r="O303" s="85">
        <v>40</v>
      </c>
      <c r="P303" s="86"/>
      <c r="Q303" s="70">
        <v>3</v>
      </c>
      <c r="R303" s="73"/>
      <c r="S303" s="74">
        <v>1.1000000000000001</v>
      </c>
      <c r="T303" s="112">
        <v>150</v>
      </c>
      <c r="U303" s="113" t="str">
        <f t="shared" si="21"/>
        <v>HB4</v>
      </c>
      <c r="V303" s="74" t="s">
        <v>786</v>
      </c>
      <c r="W303" s="74" t="s">
        <v>756</v>
      </c>
      <c r="X303" s="114">
        <v>4</v>
      </c>
      <c r="Y303" s="74">
        <v>1.6</v>
      </c>
      <c r="Z303" s="74">
        <v>1.98</v>
      </c>
      <c r="AA303" s="74" t="s">
        <v>941</v>
      </c>
      <c r="AB303" s="74">
        <v>3.73</v>
      </c>
      <c r="AC303" s="74" t="s">
        <v>14</v>
      </c>
      <c r="AD303" s="74" t="s">
        <v>15</v>
      </c>
      <c r="AE303" s="74" t="s">
        <v>16</v>
      </c>
    </row>
    <row r="304" spans="1:31" s="63" customFormat="1" ht="12" x14ac:dyDescent="0.3">
      <c r="A304" s="67">
        <v>52</v>
      </c>
      <c r="B304" s="84" t="s">
        <v>1177</v>
      </c>
      <c r="C304" s="67" t="s">
        <v>1141</v>
      </c>
      <c r="D304" s="70">
        <v>11.894570753974163</v>
      </c>
      <c r="E304" s="70">
        <v>11.046553281987292</v>
      </c>
      <c r="F304" s="70">
        <v>10.033553281987292</v>
      </c>
      <c r="G304" s="70">
        <v>55</v>
      </c>
      <c r="H304" s="70">
        <v>12.489299291672872</v>
      </c>
      <c r="I304" s="70">
        <v>12.013</v>
      </c>
      <c r="J304" s="70">
        <v>11</v>
      </c>
      <c r="K304" s="70">
        <v>70</v>
      </c>
      <c r="L304" s="70" t="s">
        <v>1135</v>
      </c>
      <c r="M304" s="67" t="s">
        <v>768</v>
      </c>
      <c r="N304" s="85">
        <v>50</v>
      </c>
      <c r="O304" s="85">
        <v>80</v>
      </c>
      <c r="P304" s="86"/>
      <c r="Q304" s="70">
        <v>3</v>
      </c>
      <c r="R304" s="73"/>
      <c r="S304" s="74">
        <v>1.1000000000000001</v>
      </c>
      <c r="T304" s="112">
        <v>150</v>
      </c>
      <c r="U304" s="113" t="str">
        <f t="shared" si="21"/>
        <v>HB4</v>
      </c>
      <c r="V304" s="74" t="s">
        <v>786</v>
      </c>
      <c r="W304" s="74" t="s">
        <v>756</v>
      </c>
      <c r="X304" s="114">
        <v>4</v>
      </c>
      <c r="Y304" s="74">
        <v>1.6</v>
      </c>
      <c r="Z304" s="74">
        <v>2.4299999999999997</v>
      </c>
      <c r="AA304" s="74" t="s">
        <v>772</v>
      </c>
      <c r="AB304" s="74">
        <v>5.49</v>
      </c>
      <c r="AC304" s="74" t="s">
        <v>14</v>
      </c>
      <c r="AD304" s="74" t="s">
        <v>15</v>
      </c>
      <c r="AE304" s="74" t="s">
        <v>16</v>
      </c>
    </row>
    <row r="305" spans="1:31" s="63" customFormat="1" ht="12" x14ac:dyDescent="0.3">
      <c r="A305" s="67">
        <v>53</v>
      </c>
      <c r="B305" s="84" t="s">
        <v>1151</v>
      </c>
      <c r="C305" s="67" t="s">
        <v>1141</v>
      </c>
      <c r="D305" s="70">
        <v>0.68811566345305264</v>
      </c>
      <c r="E305" s="70">
        <v>11.046553281987292</v>
      </c>
      <c r="F305" s="70">
        <v>10.033553281987292</v>
      </c>
      <c r="G305" s="70">
        <v>55</v>
      </c>
      <c r="H305" s="70">
        <v>0.72252144662570528</v>
      </c>
      <c r="I305" s="70">
        <v>12.013</v>
      </c>
      <c r="J305" s="70">
        <v>11</v>
      </c>
      <c r="K305" s="70">
        <v>70</v>
      </c>
      <c r="L305" s="70" t="s">
        <v>1135</v>
      </c>
      <c r="M305" s="67" t="s">
        <v>768</v>
      </c>
      <c r="N305" s="85">
        <v>25</v>
      </c>
      <c r="O305" s="85">
        <v>80</v>
      </c>
      <c r="P305" s="86"/>
      <c r="Q305" s="70">
        <v>3</v>
      </c>
      <c r="R305" s="73"/>
      <c r="S305" s="74">
        <v>1.1000000000000001</v>
      </c>
      <c r="T305" s="112">
        <v>150</v>
      </c>
      <c r="U305" s="113" t="str">
        <f t="shared" si="21"/>
        <v>HB4</v>
      </c>
      <c r="V305" s="74" t="s">
        <v>786</v>
      </c>
      <c r="W305" s="74" t="s">
        <v>756</v>
      </c>
      <c r="X305" s="114">
        <v>4</v>
      </c>
      <c r="Y305" s="74">
        <v>1.6</v>
      </c>
      <c r="Z305" s="74">
        <v>5.9399999999999995</v>
      </c>
      <c r="AA305" s="74" t="s">
        <v>787</v>
      </c>
      <c r="AB305" s="74">
        <v>6.35</v>
      </c>
      <c r="AC305" s="74" t="s">
        <v>14</v>
      </c>
      <c r="AD305" s="74" t="s">
        <v>15</v>
      </c>
      <c r="AE305" s="74" t="s">
        <v>16</v>
      </c>
    </row>
    <row r="306" spans="1:31" s="63" customFormat="1" ht="12.75" thickBot="1" x14ac:dyDescent="0.35">
      <c r="A306" s="67">
        <v>54</v>
      </c>
      <c r="B306" s="84" t="s">
        <v>1152</v>
      </c>
      <c r="C306" s="67" t="s">
        <v>1141</v>
      </c>
      <c r="D306" s="70">
        <v>11.206455090521146</v>
      </c>
      <c r="E306" s="70">
        <v>11.046553281987292</v>
      </c>
      <c r="F306" s="70">
        <v>10.033553281987292</v>
      </c>
      <c r="G306" s="70">
        <v>55</v>
      </c>
      <c r="H306" s="70">
        <v>11.766777845047203</v>
      </c>
      <c r="I306" s="70">
        <v>12.013</v>
      </c>
      <c r="J306" s="70">
        <v>11</v>
      </c>
      <c r="K306" s="70">
        <v>70</v>
      </c>
      <c r="L306" s="70" t="s">
        <v>1135</v>
      </c>
      <c r="M306" s="67" t="s">
        <v>768</v>
      </c>
      <c r="N306" s="85">
        <v>40</v>
      </c>
      <c r="O306" s="85">
        <v>80</v>
      </c>
      <c r="P306" s="86"/>
      <c r="Q306" s="70">
        <v>3</v>
      </c>
      <c r="R306" s="73"/>
      <c r="S306" s="74">
        <v>1.1000000000000001</v>
      </c>
      <c r="T306" s="157">
        <v>150</v>
      </c>
      <c r="U306" s="158" t="str">
        <f t="shared" si="21"/>
        <v>HB4</v>
      </c>
      <c r="V306" s="74" t="s">
        <v>786</v>
      </c>
      <c r="W306" s="74" t="s">
        <v>756</v>
      </c>
      <c r="X306" s="114">
        <v>4</v>
      </c>
      <c r="Y306" s="74">
        <v>1.6</v>
      </c>
      <c r="Z306" s="74">
        <v>5.9399999999999995</v>
      </c>
      <c r="AA306" s="74" t="s">
        <v>787</v>
      </c>
      <c r="AB306" s="74">
        <v>6.35</v>
      </c>
      <c r="AC306" s="74" t="s">
        <v>98</v>
      </c>
      <c r="AD306" s="74" t="s">
        <v>15</v>
      </c>
      <c r="AE306" s="74" t="s">
        <v>16</v>
      </c>
    </row>
    <row r="307" spans="1:31" x14ac:dyDescent="0.3">
      <c r="A307" s="67">
        <v>55</v>
      </c>
      <c r="B307" s="84" t="s">
        <v>1153</v>
      </c>
      <c r="C307" s="67" t="s">
        <v>1141</v>
      </c>
      <c r="D307" s="70">
        <v>223.14607943406139</v>
      </c>
      <c r="E307" s="70">
        <v>11.046553281987292</v>
      </c>
      <c r="F307" s="70">
        <v>10.033553281987292</v>
      </c>
      <c r="G307" s="70">
        <v>55</v>
      </c>
      <c r="H307" s="70">
        <v>234.30338340576446</v>
      </c>
      <c r="I307" s="70">
        <v>12.013</v>
      </c>
      <c r="J307" s="70">
        <v>11</v>
      </c>
      <c r="K307" s="70">
        <v>70</v>
      </c>
      <c r="L307" s="70" t="s">
        <v>1135</v>
      </c>
      <c r="M307" s="108" t="s">
        <v>1136</v>
      </c>
      <c r="N307" s="85">
        <v>200</v>
      </c>
      <c r="O307" s="85">
        <v>40</v>
      </c>
      <c r="P307" s="86"/>
      <c r="Q307" s="70">
        <v>3</v>
      </c>
      <c r="R307" s="73"/>
      <c r="S307" s="74">
        <v>1.1000000000000001</v>
      </c>
    </row>
    <row r="308" spans="1:31" x14ac:dyDescent="0.3">
      <c r="A308" s="67">
        <v>56</v>
      </c>
      <c r="B308" s="84" t="s">
        <v>1154</v>
      </c>
      <c r="C308" s="67" t="s">
        <v>1141</v>
      </c>
      <c r="D308" s="70">
        <v>281.14439963939014</v>
      </c>
      <c r="E308" s="70">
        <v>11.046553281987292</v>
      </c>
      <c r="F308" s="70">
        <v>10.033553281987292</v>
      </c>
      <c r="G308" s="70">
        <v>55</v>
      </c>
      <c r="H308" s="70">
        <v>295.20161962135967</v>
      </c>
      <c r="I308" s="70">
        <v>12.013</v>
      </c>
      <c r="J308" s="70">
        <v>11</v>
      </c>
      <c r="K308" s="70">
        <v>70</v>
      </c>
      <c r="L308" s="70" t="s">
        <v>1135</v>
      </c>
      <c r="M308" s="108" t="s">
        <v>1136</v>
      </c>
      <c r="N308" s="85">
        <v>200</v>
      </c>
      <c r="O308" s="85">
        <v>40</v>
      </c>
      <c r="P308" s="86"/>
      <c r="Q308" s="70">
        <v>3</v>
      </c>
      <c r="R308" s="73"/>
      <c r="S308" s="74">
        <v>1.1000000000000001</v>
      </c>
    </row>
    <row r="309" spans="1:31" x14ac:dyDescent="0.3">
      <c r="A309" s="67">
        <v>57</v>
      </c>
      <c r="B309" s="84" t="s">
        <v>1178</v>
      </c>
      <c r="C309" s="67" t="s">
        <v>1134</v>
      </c>
      <c r="D309" s="70">
        <v>25.558581785399102</v>
      </c>
      <c r="E309" s="70">
        <v>11.046553281987292</v>
      </c>
      <c r="F309" s="70">
        <v>10.033553281987292</v>
      </c>
      <c r="G309" s="70">
        <v>60.296695188399902</v>
      </c>
      <c r="H309" s="70">
        <v>26.836510874669059</v>
      </c>
      <c r="I309" s="70">
        <v>12.013</v>
      </c>
      <c r="J309" s="70">
        <v>11</v>
      </c>
      <c r="K309" s="70">
        <v>70</v>
      </c>
      <c r="L309" s="70" t="s">
        <v>1135</v>
      </c>
      <c r="M309" s="108" t="s">
        <v>1136</v>
      </c>
      <c r="N309" s="85">
        <v>80</v>
      </c>
      <c r="O309" s="85">
        <v>40</v>
      </c>
      <c r="P309" s="86"/>
      <c r="Q309" s="70">
        <v>3</v>
      </c>
      <c r="R309" s="73"/>
      <c r="S309" s="74">
        <v>1.1000000000000001</v>
      </c>
    </row>
    <row r="310" spans="1:31" x14ac:dyDescent="0.3">
      <c r="A310" s="67">
        <v>58</v>
      </c>
      <c r="B310" s="84" t="s">
        <v>1179</v>
      </c>
      <c r="C310" s="67" t="s">
        <v>1134</v>
      </c>
      <c r="D310" s="70">
        <v>15.531753546511762</v>
      </c>
      <c r="E310" s="70">
        <v>11.046553281987292</v>
      </c>
      <c r="F310" s="70">
        <v>10.033553281987292</v>
      </c>
      <c r="G310" s="70">
        <v>60.296695188399902</v>
      </c>
      <c r="H310" s="70">
        <v>16.308341223837353</v>
      </c>
      <c r="I310" s="70">
        <v>12.013</v>
      </c>
      <c r="J310" s="70">
        <v>11</v>
      </c>
      <c r="K310" s="70">
        <v>70</v>
      </c>
      <c r="L310" s="70" t="s">
        <v>1135</v>
      </c>
      <c r="M310" s="67" t="s">
        <v>768</v>
      </c>
      <c r="N310" s="85">
        <v>50</v>
      </c>
      <c r="O310" s="85">
        <v>80</v>
      </c>
      <c r="P310" s="86"/>
      <c r="Q310" s="70">
        <v>3</v>
      </c>
      <c r="R310" s="73"/>
      <c r="S310" s="74">
        <v>1.1000000000000001</v>
      </c>
    </row>
    <row r="311" spans="1:31" x14ac:dyDescent="0.3">
      <c r="A311" s="67">
        <v>59</v>
      </c>
      <c r="B311" s="84" t="s">
        <v>1180</v>
      </c>
      <c r="C311" s="67" t="s">
        <v>1134</v>
      </c>
      <c r="D311" s="70">
        <v>10.02682823888734</v>
      </c>
      <c r="E311" s="70">
        <v>11.046553281987292</v>
      </c>
      <c r="F311" s="70">
        <v>10.033553281987292</v>
      </c>
      <c r="G311" s="70">
        <v>60.296695188399902</v>
      </c>
      <c r="H311" s="70">
        <v>10.528169650831707</v>
      </c>
      <c r="I311" s="70">
        <v>12.013</v>
      </c>
      <c r="J311" s="70">
        <v>11</v>
      </c>
      <c r="K311" s="70">
        <v>70</v>
      </c>
      <c r="L311" s="70" t="s">
        <v>1135</v>
      </c>
      <c r="M311" s="67" t="s">
        <v>768</v>
      </c>
      <c r="N311" s="85">
        <v>40</v>
      </c>
      <c r="O311" s="85">
        <v>80</v>
      </c>
      <c r="P311" s="86"/>
      <c r="Q311" s="70">
        <v>3</v>
      </c>
      <c r="R311" s="73"/>
    </row>
    <row r="312" spans="1:31" x14ac:dyDescent="0.3">
      <c r="A312" s="67">
        <v>60</v>
      </c>
      <c r="B312" s="84" t="s">
        <v>1181</v>
      </c>
      <c r="C312" s="67" t="s">
        <v>1134</v>
      </c>
      <c r="D312" s="70">
        <v>20.840074378863886</v>
      </c>
      <c r="E312" s="70">
        <v>11.046553281987292</v>
      </c>
      <c r="F312" s="70">
        <v>10.033553281987292</v>
      </c>
      <c r="G312" s="70">
        <v>60.296695188399902</v>
      </c>
      <c r="H312" s="70">
        <v>21.882078097807081</v>
      </c>
      <c r="I312" s="70">
        <v>12.013</v>
      </c>
      <c r="J312" s="70">
        <v>11</v>
      </c>
      <c r="K312" s="70">
        <v>70</v>
      </c>
      <c r="L312" s="70" t="s">
        <v>1135</v>
      </c>
      <c r="M312" s="67" t="s">
        <v>768</v>
      </c>
      <c r="N312" s="85">
        <v>50</v>
      </c>
      <c r="O312" s="85">
        <v>80</v>
      </c>
      <c r="P312" s="86"/>
      <c r="Q312" s="70">
        <v>3</v>
      </c>
      <c r="R312" s="73"/>
    </row>
    <row r="313" spans="1:31" x14ac:dyDescent="0.3">
      <c r="A313" s="67">
        <v>61</v>
      </c>
      <c r="B313" s="84" t="s">
        <v>1182</v>
      </c>
      <c r="C313" s="67" t="s">
        <v>1134</v>
      </c>
      <c r="D313" s="70">
        <v>103.41395399323019</v>
      </c>
      <c r="E313" s="70">
        <v>11.046553281987292</v>
      </c>
      <c r="F313" s="70">
        <v>10.033553281987292</v>
      </c>
      <c r="G313" s="70">
        <v>60.296695188399902</v>
      </c>
      <c r="H313" s="70">
        <v>108.58465169289171</v>
      </c>
      <c r="I313" s="70">
        <v>12.013</v>
      </c>
      <c r="J313" s="70">
        <v>11</v>
      </c>
      <c r="K313" s="70">
        <v>70</v>
      </c>
      <c r="L313" s="70" t="s">
        <v>1135</v>
      </c>
      <c r="M313" s="108" t="s">
        <v>1136</v>
      </c>
      <c r="N313" s="85">
        <v>150</v>
      </c>
      <c r="O313" s="85">
        <v>40</v>
      </c>
      <c r="P313" s="86"/>
      <c r="Q313" s="70">
        <v>3</v>
      </c>
      <c r="R313" s="73"/>
    </row>
    <row r="314" spans="1:31" x14ac:dyDescent="0.3">
      <c r="A314" s="67">
        <v>62</v>
      </c>
      <c r="B314" s="84" t="s">
        <v>1183</v>
      </c>
      <c r="C314" s="67" t="s">
        <v>1134</v>
      </c>
      <c r="D314" s="70">
        <v>504.29047907345148</v>
      </c>
      <c r="E314" s="70">
        <v>11.046553281987292</v>
      </c>
      <c r="F314" s="70">
        <v>10.033553281987292</v>
      </c>
      <c r="G314" s="70">
        <v>60.296695188399902</v>
      </c>
      <c r="H314" s="70">
        <v>529.50500302712408</v>
      </c>
      <c r="I314" s="70">
        <v>12.013</v>
      </c>
      <c r="J314" s="70">
        <v>11</v>
      </c>
      <c r="K314" s="70">
        <v>70</v>
      </c>
      <c r="L314" s="70" t="s">
        <v>1135</v>
      </c>
      <c r="M314" s="108" t="s">
        <v>1136</v>
      </c>
      <c r="N314" s="85">
        <v>250</v>
      </c>
      <c r="O314" s="85">
        <v>40</v>
      </c>
      <c r="P314" s="86"/>
      <c r="Q314" s="70">
        <v>3</v>
      </c>
      <c r="R314" s="73"/>
    </row>
    <row r="315" spans="1:31" s="63" customFormat="1" x14ac:dyDescent="0.3">
      <c r="A315" s="67">
        <v>63</v>
      </c>
      <c r="B315" s="84" t="s">
        <v>1184</v>
      </c>
      <c r="C315" s="67" t="s">
        <v>1134</v>
      </c>
      <c r="D315" s="70">
        <v>23.494234795039944</v>
      </c>
      <c r="E315" s="70">
        <v>11.046553281987292</v>
      </c>
      <c r="F315" s="70">
        <v>10.033553281987292</v>
      </c>
      <c r="G315" s="70">
        <v>60.296695188399902</v>
      </c>
      <c r="H315" s="70">
        <v>24.668946534791942</v>
      </c>
      <c r="I315" s="70">
        <v>12.013</v>
      </c>
      <c r="J315" s="70">
        <v>11</v>
      </c>
      <c r="K315" s="70">
        <v>70</v>
      </c>
      <c r="L315" s="70" t="s">
        <v>1135</v>
      </c>
      <c r="M315" s="108" t="s">
        <v>1136</v>
      </c>
      <c r="N315" s="85">
        <v>80</v>
      </c>
      <c r="O315" s="85">
        <v>40</v>
      </c>
      <c r="P315" s="86"/>
      <c r="Q315" s="70">
        <v>3</v>
      </c>
      <c r="R315" s="73"/>
      <c r="S315"/>
      <c r="T315" s="112">
        <v>150</v>
      </c>
      <c r="U315" s="113" t="str">
        <f t="shared" ref="U315:U326" si="22">V315&amp;W315&amp;X315</f>
        <v>HB4</v>
      </c>
      <c r="V315" s="74" t="s">
        <v>786</v>
      </c>
      <c r="W315" s="74" t="s">
        <v>756</v>
      </c>
      <c r="X315" s="114">
        <v>4</v>
      </c>
      <c r="Y315" s="74">
        <v>1.6</v>
      </c>
      <c r="Z315" s="74">
        <v>5.9399999999999995</v>
      </c>
      <c r="AA315" s="74" t="s">
        <v>787</v>
      </c>
      <c r="AB315" s="74">
        <v>6.35</v>
      </c>
      <c r="AC315" s="74" t="s">
        <v>14</v>
      </c>
      <c r="AD315" s="74" t="s">
        <v>15</v>
      </c>
      <c r="AE315" s="74" t="s">
        <v>16</v>
      </c>
    </row>
    <row r="316" spans="1:31" s="63" customFormat="1" x14ac:dyDescent="0.3">
      <c r="A316" s="67">
        <v>64</v>
      </c>
      <c r="B316" s="84" t="s">
        <v>1185</v>
      </c>
      <c r="C316" s="67" t="s">
        <v>1134</v>
      </c>
      <c r="D316" s="70">
        <v>468.90167352443734</v>
      </c>
      <c r="E316" s="70">
        <v>11.046553281987292</v>
      </c>
      <c r="F316" s="70">
        <v>10.033553281987292</v>
      </c>
      <c r="G316" s="70">
        <v>60.296695188399902</v>
      </c>
      <c r="H316" s="70">
        <v>492.34675720065923</v>
      </c>
      <c r="I316" s="70">
        <v>12.013</v>
      </c>
      <c r="J316" s="70">
        <v>11</v>
      </c>
      <c r="K316" s="70">
        <v>70</v>
      </c>
      <c r="L316" s="70" t="s">
        <v>1135</v>
      </c>
      <c r="M316" s="108" t="s">
        <v>1136</v>
      </c>
      <c r="N316" s="85">
        <v>250</v>
      </c>
      <c r="O316" s="85">
        <v>40</v>
      </c>
      <c r="P316" s="86"/>
      <c r="Q316" s="70">
        <v>3</v>
      </c>
      <c r="R316" s="73"/>
      <c r="S316"/>
      <c r="T316" s="112">
        <v>150</v>
      </c>
      <c r="U316" s="113" t="str">
        <f t="shared" si="22"/>
        <v>HB4</v>
      </c>
      <c r="V316" s="74" t="s">
        <v>786</v>
      </c>
      <c r="W316" s="74" t="s">
        <v>756</v>
      </c>
      <c r="X316" s="114">
        <v>4</v>
      </c>
      <c r="Y316" s="74">
        <v>1.6</v>
      </c>
      <c r="Z316" s="74">
        <v>5.9399999999999995</v>
      </c>
      <c r="AA316" s="74" t="s">
        <v>787</v>
      </c>
      <c r="AB316" s="74">
        <v>6.35</v>
      </c>
      <c r="AC316" s="74" t="s">
        <v>14</v>
      </c>
      <c r="AD316" s="74" t="s">
        <v>15</v>
      </c>
      <c r="AE316" s="74" t="s">
        <v>16</v>
      </c>
    </row>
    <row r="317" spans="1:31" s="63" customFormat="1" x14ac:dyDescent="0.3">
      <c r="A317" s="67">
        <v>65</v>
      </c>
      <c r="B317" s="84" t="s">
        <v>1186</v>
      </c>
      <c r="C317" s="67" t="s">
        <v>1134</v>
      </c>
      <c r="D317" s="70">
        <v>11.89457075397422</v>
      </c>
      <c r="E317" s="70">
        <v>11.046553281987292</v>
      </c>
      <c r="F317" s="70">
        <v>10.033553281987292</v>
      </c>
      <c r="G317" s="70">
        <v>60.296695188399902</v>
      </c>
      <c r="H317" s="70">
        <v>12.489299291672932</v>
      </c>
      <c r="I317" s="70">
        <v>12.013</v>
      </c>
      <c r="J317" s="70">
        <v>11</v>
      </c>
      <c r="K317" s="70">
        <v>70</v>
      </c>
      <c r="L317" s="70" t="s">
        <v>1135</v>
      </c>
      <c r="M317" s="67" t="s">
        <v>768</v>
      </c>
      <c r="N317" s="85">
        <v>50</v>
      </c>
      <c r="O317" s="85">
        <v>80</v>
      </c>
      <c r="P317" s="86"/>
      <c r="Q317" s="70">
        <v>3</v>
      </c>
      <c r="R317" s="73"/>
      <c r="S317"/>
      <c r="T317" s="112">
        <v>150</v>
      </c>
      <c r="U317" s="113" t="str">
        <f t="shared" si="22"/>
        <v>HB4</v>
      </c>
      <c r="V317" s="74" t="s">
        <v>786</v>
      </c>
      <c r="W317" s="74" t="s">
        <v>756</v>
      </c>
      <c r="X317" s="114">
        <v>4</v>
      </c>
      <c r="Y317" s="74">
        <v>1.6</v>
      </c>
      <c r="Z317" s="74">
        <v>2.9699999999999998</v>
      </c>
      <c r="AA317" s="74" t="s">
        <v>772</v>
      </c>
      <c r="AB317" s="74">
        <v>7.11</v>
      </c>
      <c r="AC317" s="74" t="s">
        <v>14</v>
      </c>
      <c r="AD317" s="74" t="s">
        <v>15</v>
      </c>
      <c r="AE317" s="74" t="s">
        <v>16</v>
      </c>
    </row>
    <row r="318" spans="1:31" s="63" customFormat="1" x14ac:dyDescent="0.3">
      <c r="A318" s="67">
        <v>66</v>
      </c>
      <c r="B318" s="84" t="s">
        <v>1187</v>
      </c>
      <c r="C318" s="67" t="s">
        <v>1134</v>
      </c>
      <c r="D318" s="70">
        <v>0.68811566345305264</v>
      </c>
      <c r="E318" s="70">
        <v>11.046553281987292</v>
      </c>
      <c r="F318" s="70">
        <v>10.033553281987292</v>
      </c>
      <c r="G318" s="70">
        <v>60.296695188399902</v>
      </c>
      <c r="H318" s="70">
        <v>0.72252144662570528</v>
      </c>
      <c r="I318" s="70">
        <v>12.013</v>
      </c>
      <c r="J318" s="70">
        <v>11</v>
      </c>
      <c r="K318" s="70">
        <v>70</v>
      </c>
      <c r="L318" s="70" t="s">
        <v>1135</v>
      </c>
      <c r="M318" s="67" t="s">
        <v>768</v>
      </c>
      <c r="N318" s="85">
        <v>25</v>
      </c>
      <c r="O318" s="85">
        <v>80</v>
      </c>
      <c r="P318" s="86"/>
      <c r="Q318" s="70">
        <v>3</v>
      </c>
      <c r="R318" s="73"/>
      <c r="S318"/>
      <c r="T318" s="112">
        <v>150</v>
      </c>
      <c r="U318" s="113" t="str">
        <f t="shared" si="22"/>
        <v>HB4</v>
      </c>
      <c r="V318" s="74" t="s">
        <v>786</v>
      </c>
      <c r="W318" s="74" t="s">
        <v>756</v>
      </c>
      <c r="X318" s="114">
        <v>4</v>
      </c>
      <c r="Y318" s="74">
        <v>1.6</v>
      </c>
      <c r="Z318" s="74">
        <v>2.78</v>
      </c>
      <c r="AA318" s="74" t="s">
        <v>772</v>
      </c>
      <c r="AB318" s="74">
        <v>6.55</v>
      </c>
      <c r="AC318" s="74" t="s">
        <v>14</v>
      </c>
      <c r="AD318" s="74" t="s">
        <v>15</v>
      </c>
      <c r="AE318" s="74" t="s">
        <v>16</v>
      </c>
    </row>
    <row r="319" spans="1:31" s="63" customFormat="1" ht="12" x14ac:dyDescent="0.3">
      <c r="A319" s="67">
        <v>67</v>
      </c>
      <c r="B319" s="84" t="s">
        <v>1188</v>
      </c>
      <c r="C319" s="67" t="s">
        <v>1134</v>
      </c>
      <c r="D319" s="70">
        <v>11.206455090521146</v>
      </c>
      <c r="E319" s="70">
        <v>11.046553281987292</v>
      </c>
      <c r="F319" s="70">
        <v>10.033553281987292</v>
      </c>
      <c r="G319" s="70">
        <v>60.296695188399902</v>
      </c>
      <c r="H319" s="70">
        <v>11.766777845047203</v>
      </c>
      <c r="I319" s="70">
        <v>12.013</v>
      </c>
      <c r="J319" s="70">
        <v>11</v>
      </c>
      <c r="K319" s="70">
        <v>70</v>
      </c>
      <c r="L319" s="70" t="s">
        <v>1135</v>
      </c>
      <c r="M319" s="67" t="s">
        <v>768</v>
      </c>
      <c r="N319" s="85">
        <v>40</v>
      </c>
      <c r="O319" s="85">
        <v>80</v>
      </c>
      <c r="P319" s="86"/>
      <c r="Q319" s="70">
        <v>3</v>
      </c>
      <c r="R319" s="73"/>
      <c r="S319" s="74">
        <v>1.1000000000000001</v>
      </c>
      <c r="T319" s="112">
        <v>150</v>
      </c>
      <c r="U319" s="113" t="str">
        <f t="shared" si="22"/>
        <v>HB4</v>
      </c>
      <c r="V319" s="74" t="s">
        <v>786</v>
      </c>
      <c r="W319" s="74" t="s">
        <v>756</v>
      </c>
      <c r="X319" s="114">
        <v>4</v>
      </c>
      <c r="Y319" s="74">
        <v>1.6</v>
      </c>
      <c r="Z319" s="74">
        <v>2.78</v>
      </c>
      <c r="AA319" s="74" t="s">
        <v>772</v>
      </c>
      <c r="AB319" s="74">
        <v>6.55</v>
      </c>
      <c r="AC319" s="74" t="s">
        <v>98</v>
      </c>
      <c r="AD319" s="74" t="s">
        <v>15</v>
      </c>
      <c r="AE319" s="74" t="s">
        <v>16</v>
      </c>
    </row>
    <row r="320" spans="1:31" s="63" customFormat="1" ht="12" x14ac:dyDescent="0.3">
      <c r="A320" s="67">
        <v>68</v>
      </c>
      <c r="B320" s="84" t="s">
        <v>1189</v>
      </c>
      <c r="C320" s="67" t="s">
        <v>1134</v>
      </c>
      <c r="D320" s="70">
        <v>223.14607943406139</v>
      </c>
      <c r="E320" s="70">
        <v>11.046553281987292</v>
      </c>
      <c r="F320" s="70">
        <v>10.033553281987292</v>
      </c>
      <c r="G320" s="70">
        <v>60.296695188399902</v>
      </c>
      <c r="H320" s="70">
        <v>234.30338340576446</v>
      </c>
      <c r="I320" s="70">
        <v>12.013</v>
      </c>
      <c r="J320" s="70">
        <v>11</v>
      </c>
      <c r="K320" s="70">
        <v>70</v>
      </c>
      <c r="L320" s="70" t="s">
        <v>1135</v>
      </c>
      <c r="M320" s="108" t="s">
        <v>1136</v>
      </c>
      <c r="N320" s="85">
        <v>200</v>
      </c>
      <c r="O320" s="85">
        <v>40</v>
      </c>
      <c r="P320" s="86"/>
      <c r="Q320" s="70">
        <v>3</v>
      </c>
      <c r="R320" s="73"/>
      <c r="S320" s="74">
        <v>1.1000000000000001</v>
      </c>
      <c r="T320" s="112">
        <v>150</v>
      </c>
      <c r="U320" s="113" t="str">
        <f t="shared" si="22"/>
        <v>HB4</v>
      </c>
      <c r="V320" s="74" t="s">
        <v>786</v>
      </c>
      <c r="W320" s="74" t="s">
        <v>756</v>
      </c>
      <c r="X320" s="114">
        <v>4</v>
      </c>
      <c r="Y320" s="74">
        <v>1.6</v>
      </c>
      <c r="Z320" s="74">
        <v>2.0099999999999998</v>
      </c>
      <c r="AA320" s="74" t="s">
        <v>941</v>
      </c>
      <c r="AB320" s="74">
        <v>3.91</v>
      </c>
      <c r="AC320" s="74" t="s">
        <v>14</v>
      </c>
      <c r="AD320" s="74" t="s">
        <v>15</v>
      </c>
      <c r="AE320" s="74" t="s">
        <v>16</v>
      </c>
    </row>
    <row r="321" spans="1:31" s="63" customFormat="1" ht="12" x14ac:dyDescent="0.3">
      <c r="A321" s="67">
        <v>69</v>
      </c>
      <c r="B321" s="84" t="s">
        <v>1190</v>
      </c>
      <c r="C321" s="67" t="s">
        <v>1134</v>
      </c>
      <c r="D321" s="70">
        <v>2420.9875085031126</v>
      </c>
      <c r="E321" s="70">
        <v>11.046553281987292</v>
      </c>
      <c r="F321" s="70">
        <v>10.033553281987292</v>
      </c>
      <c r="G321" s="70">
        <v>60.296695188399902</v>
      </c>
      <c r="H321" s="70">
        <v>2542.0368839282683</v>
      </c>
      <c r="I321" s="70">
        <v>12.013</v>
      </c>
      <c r="J321" s="70">
        <v>11</v>
      </c>
      <c r="K321" s="70">
        <v>70</v>
      </c>
      <c r="L321" s="70" t="s">
        <v>1135</v>
      </c>
      <c r="M321" s="108" t="s">
        <v>1136</v>
      </c>
      <c r="N321" s="85">
        <v>600</v>
      </c>
      <c r="O321" s="85" t="s">
        <v>789</v>
      </c>
      <c r="P321" s="86"/>
      <c r="Q321" s="70">
        <v>3</v>
      </c>
      <c r="R321" s="73"/>
      <c r="S321" s="74">
        <v>1.1000000000000001</v>
      </c>
      <c r="T321" s="112">
        <v>150</v>
      </c>
      <c r="U321" s="113" t="str">
        <f t="shared" si="22"/>
        <v>HB4</v>
      </c>
      <c r="V321" s="74" t="s">
        <v>786</v>
      </c>
      <c r="W321" s="74" t="s">
        <v>756</v>
      </c>
      <c r="X321" s="114">
        <v>4</v>
      </c>
      <c r="Y321" s="74">
        <v>1.6</v>
      </c>
      <c r="Z321" s="74">
        <v>2.2399999999999998</v>
      </c>
      <c r="AA321" s="74" t="s">
        <v>941</v>
      </c>
      <c r="AB321" s="74">
        <v>5.54</v>
      </c>
      <c r="AC321" s="74" t="s">
        <v>14</v>
      </c>
      <c r="AD321" s="74" t="s">
        <v>15</v>
      </c>
      <c r="AE321" s="74" t="s">
        <v>16</v>
      </c>
    </row>
    <row r="322" spans="1:31" s="63" customFormat="1" ht="12" x14ac:dyDescent="0.3">
      <c r="A322" s="67">
        <v>70</v>
      </c>
      <c r="B322" s="84" t="s">
        <v>1191</v>
      </c>
      <c r="C322" s="67" t="s">
        <v>1134</v>
      </c>
      <c r="D322" s="70">
        <v>109.11548377612694</v>
      </c>
      <c r="E322" s="70">
        <v>11.046553281987292</v>
      </c>
      <c r="F322" s="70">
        <v>10.033553281987292</v>
      </c>
      <c r="G322" s="70">
        <v>60.296695188399902</v>
      </c>
      <c r="H322" s="70">
        <v>114.57125796493328</v>
      </c>
      <c r="I322" s="70">
        <v>12.013</v>
      </c>
      <c r="J322" s="70">
        <v>11</v>
      </c>
      <c r="K322" s="70">
        <v>70</v>
      </c>
      <c r="L322" s="70" t="s">
        <v>1135</v>
      </c>
      <c r="M322" s="108" t="s">
        <v>1136</v>
      </c>
      <c r="N322" s="85">
        <v>150</v>
      </c>
      <c r="O322" s="85">
        <v>40</v>
      </c>
      <c r="P322" s="86"/>
      <c r="Q322" s="70">
        <v>3</v>
      </c>
      <c r="R322" s="73"/>
      <c r="S322" s="74">
        <v>1.1000000000000001</v>
      </c>
      <c r="T322" s="112">
        <v>150</v>
      </c>
      <c r="U322" s="113" t="str">
        <f t="shared" si="22"/>
        <v>HB4</v>
      </c>
      <c r="V322" s="74" t="s">
        <v>786</v>
      </c>
      <c r="W322" s="74" t="s">
        <v>756</v>
      </c>
      <c r="X322" s="114">
        <v>4</v>
      </c>
      <c r="Y322" s="74">
        <v>1.6</v>
      </c>
      <c r="Z322" s="74">
        <v>2.2399999999999998</v>
      </c>
      <c r="AA322" s="74" t="s">
        <v>941</v>
      </c>
      <c r="AB322" s="74">
        <v>5.54</v>
      </c>
      <c r="AC322" s="74" t="s">
        <v>14</v>
      </c>
      <c r="AD322" s="74" t="s">
        <v>15</v>
      </c>
      <c r="AE322" s="74" t="s">
        <v>16</v>
      </c>
    </row>
    <row r="323" spans="1:31" s="63" customFormat="1" ht="12" x14ac:dyDescent="0.3">
      <c r="A323" s="67">
        <v>71</v>
      </c>
      <c r="B323" s="84" t="s">
        <v>1192</v>
      </c>
      <c r="C323" s="67" t="s">
        <v>1134</v>
      </c>
      <c r="D323" s="70">
        <v>84.539924367089327</v>
      </c>
      <c r="E323" s="70">
        <v>11.046553281987292</v>
      </c>
      <c r="F323" s="70">
        <v>10.033553281987292</v>
      </c>
      <c r="G323" s="70">
        <v>60.296695188399902</v>
      </c>
      <c r="H323" s="70">
        <v>88.766920585443799</v>
      </c>
      <c r="I323" s="70">
        <v>12.013</v>
      </c>
      <c r="J323" s="70">
        <v>11</v>
      </c>
      <c r="K323" s="70">
        <v>70</v>
      </c>
      <c r="L323" s="70" t="s">
        <v>1135</v>
      </c>
      <c r="M323" s="108" t="s">
        <v>1136</v>
      </c>
      <c r="N323" s="85">
        <v>100</v>
      </c>
      <c r="O323" s="85">
        <v>40</v>
      </c>
      <c r="P323" s="86"/>
      <c r="Q323" s="70">
        <v>3</v>
      </c>
      <c r="R323" s="73"/>
      <c r="S323" s="74">
        <v>1.1000000000000001</v>
      </c>
      <c r="T323" s="112">
        <v>150</v>
      </c>
      <c r="U323" s="113" t="str">
        <f t="shared" si="22"/>
        <v>HB4</v>
      </c>
      <c r="V323" s="74" t="s">
        <v>786</v>
      </c>
      <c r="W323" s="74" t="s">
        <v>756</v>
      </c>
      <c r="X323" s="114">
        <v>4</v>
      </c>
      <c r="Y323" s="74">
        <v>1.6</v>
      </c>
      <c r="Z323" s="74">
        <v>1.98</v>
      </c>
      <c r="AA323" s="74" t="s">
        <v>941</v>
      </c>
      <c r="AB323" s="74">
        <v>3.73</v>
      </c>
      <c r="AC323" s="74" t="s">
        <v>14</v>
      </c>
      <c r="AD323" s="74" t="s">
        <v>15</v>
      </c>
      <c r="AE323" s="74" t="s">
        <v>16</v>
      </c>
    </row>
    <row r="324" spans="1:31" s="63" customFormat="1" ht="12" x14ac:dyDescent="0.3">
      <c r="A324" s="67">
        <v>72</v>
      </c>
      <c r="B324" s="84" t="s">
        <v>1193</v>
      </c>
      <c r="C324" s="67" t="s">
        <v>1134</v>
      </c>
      <c r="D324" s="70">
        <v>16.907984873417867</v>
      </c>
      <c r="E324" s="70">
        <v>11.046553281987292</v>
      </c>
      <c r="F324" s="70">
        <v>10.033553281987292</v>
      </c>
      <c r="G324" s="70">
        <v>60.296695188399902</v>
      </c>
      <c r="H324" s="70">
        <v>17.753384117088761</v>
      </c>
      <c r="I324" s="70">
        <v>12.013</v>
      </c>
      <c r="J324" s="70">
        <v>11</v>
      </c>
      <c r="K324" s="70">
        <v>70</v>
      </c>
      <c r="L324" s="70" t="s">
        <v>1135</v>
      </c>
      <c r="M324" s="67" t="s">
        <v>768</v>
      </c>
      <c r="N324" s="85">
        <v>50</v>
      </c>
      <c r="O324" s="85">
        <v>80</v>
      </c>
      <c r="P324" s="86"/>
      <c r="Q324" s="70">
        <v>3</v>
      </c>
      <c r="R324" s="73"/>
      <c r="S324" s="74">
        <v>1.1000000000000001</v>
      </c>
      <c r="T324" s="112">
        <v>150</v>
      </c>
      <c r="U324" s="113" t="str">
        <f t="shared" si="22"/>
        <v>HB4</v>
      </c>
      <c r="V324" s="74" t="s">
        <v>786</v>
      </c>
      <c r="W324" s="74" t="s">
        <v>756</v>
      </c>
      <c r="X324" s="114">
        <v>4</v>
      </c>
      <c r="Y324" s="74">
        <v>1.6</v>
      </c>
      <c r="Z324" s="74">
        <v>2.4299999999999997</v>
      </c>
      <c r="AA324" s="74" t="s">
        <v>772</v>
      </c>
      <c r="AB324" s="74">
        <v>5.49</v>
      </c>
      <c r="AC324" s="74" t="s">
        <v>14</v>
      </c>
      <c r="AD324" s="74" t="s">
        <v>15</v>
      </c>
      <c r="AE324" s="74" t="s">
        <v>16</v>
      </c>
    </row>
    <row r="325" spans="1:31" s="63" customFormat="1" ht="12" x14ac:dyDescent="0.3">
      <c r="A325" s="67">
        <v>73</v>
      </c>
      <c r="B325" s="84" t="s">
        <v>1194</v>
      </c>
      <c r="C325" s="67" t="s">
        <v>1134</v>
      </c>
      <c r="D325" s="70">
        <v>24.575559409037595</v>
      </c>
      <c r="E325" s="70">
        <v>11.046553281987292</v>
      </c>
      <c r="F325" s="70">
        <v>10.033553281987292</v>
      </c>
      <c r="G325" s="70">
        <v>60.296695188399902</v>
      </c>
      <c r="H325" s="70">
        <v>25.804337379489475</v>
      </c>
      <c r="I325" s="70">
        <v>12.013</v>
      </c>
      <c r="J325" s="70">
        <v>11</v>
      </c>
      <c r="K325" s="70">
        <v>70</v>
      </c>
      <c r="L325" s="70" t="s">
        <v>1135</v>
      </c>
      <c r="M325" s="108" t="s">
        <v>1136</v>
      </c>
      <c r="N325" s="85">
        <v>80</v>
      </c>
      <c r="O325" s="85">
        <v>40</v>
      </c>
      <c r="P325" s="86"/>
      <c r="Q325" s="70">
        <v>3</v>
      </c>
      <c r="R325" s="73"/>
      <c r="S325" s="74">
        <v>1.1000000000000001</v>
      </c>
      <c r="T325" s="112">
        <v>150</v>
      </c>
      <c r="U325" s="113" t="str">
        <f t="shared" si="22"/>
        <v>HB4</v>
      </c>
      <c r="V325" s="74" t="s">
        <v>786</v>
      </c>
      <c r="W325" s="74" t="s">
        <v>756</v>
      </c>
      <c r="X325" s="114">
        <v>4</v>
      </c>
      <c r="Y325" s="74">
        <v>1.6</v>
      </c>
      <c r="Z325" s="74">
        <v>5.9399999999999995</v>
      </c>
      <c r="AA325" s="74" t="s">
        <v>787</v>
      </c>
      <c r="AB325" s="74">
        <v>6.35</v>
      </c>
      <c r="AC325" s="74" t="s">
        <v>14</v>
      </c>
      <c r="AD325" s="74" t="s">
        <v>15</v>
      </c>
      <c r="AE325" s="74" t="s">
        <v>16</v>
      </c>
    </row>
    <row r="326" spans="1:31" s="63" customFormat="1" ht="12.75" thickBot="1" x14ac:dyDescent="0.35">
      <c r="A326" s="67">
        <v>74</v>
      </c>
      <c r="B326" s="84" t="s">
        <v>1195</v>
      </c>
      <c r="C326" s="67" t="s">
        <v>1134</v>
      </c>
      <c r="D326" s="70">
        <v>4.915111881807519</v>
      </c>
      <c r="E326" s="70">
        <v>11.046553281987292</v>
      </c>
      <c r="F326" s="70">
        <v>10.033553281987292</v>
      </c>
      <c r="G326" s="70">
        <v>60.296695188399902</v>
      </c>
      <c r="H326" s="70">
        <v>5.160867475897895</v>
      </c>
      <c r="I326" s="70">
        <v>12.013</v>
      </c>
      <c r="J326" s="70">
        <v>11</v>
      </c>
      <c r="K326" s="70">
        <v>70</v>
      </c>
      <c r="L326" s="70" t="s">
        <v>1135</v>
      </c>
      <c r="M326" s="67" t="s">
        <v>768</v>
      </c>
      <c r="N326" s="85">
        <v>40</v>
      </c>
      <c r="O326" s="85">
        <v>80</v>
      </c>
      <c r="P326" s="86"/>
      <c r="Q326" s="70">
        <v>3</v>
      </c>
      <c r="R326" s="73"/>
      <c r="S326" s="74">
        <v>1.1000000000000001</v>
      </c>
      <c r="T326" s="157">
        <v>150</v>
      </c>
      <c r="U326" s="158" t="str">
        <f t="shared" si="22"/>
        <v>HB4</v>
      </c>
      <c r="V326" s="74" t="s">
        <v>786</v>
      </c>
      <c r="W326" s="74" t="s">
        <v>756</v>
      </c>
      <c r="X326" s="114">
        <v>4</v>
      </c>
      <c r="Y326" s="74">
        <v>1.6</v>
      </c>
      <c r="Z326" s="74">
        <v>5.9399999999999995</v>
      </c>
      <c r="AA326" s="74" t="s">
        <v>787</v>
      </c>
      <c r="AB326" s="74">
        <v>6.35</v>
      </c>
      <c r="AC326" s="74" t="s">
        <v>98</v>
      </c>
      <c r="AD326" s="74" t="s">
        <v>15</v>
      </c>
      <c r="AE326" s="74" t="s">
        <v>16</v>
      </c>
    </row>
    <row r="327" spans="1:31" x14ac:dyDescent="0.3">
      <c r="A327" s="67">
        <v>75</v>
      </c>
      <c r="B327" s="84" t="s">
        <v>1196</v>
      </c>
      <c r="C327" s="67" t="s">
        <v>1134</v>
      </c>
      <c r="D327" s="70">
        <v>659.60801453856914</v>
      </c>
      <c r="E327" s="70">
        <v>11.046553281987292</v>
      </c>
      <c r="F327" s="70">
        <v>10.033553281987292</v>
      </c>
      <c r="G327" s="70">
        <v>60.296695188399902</v>
      </c>
      <c r="H327" s="70">
        <v>692.58841526549759</v>
      </c>
      <c r="I327" s="70">
        <v>12.013</v>
      </c>
      <c r="J327" s="70">
        <v>11</v>
      </c>
      <c r="K327" s="70">
        <v>70</v>
      </c>
      <c r="L327" s="70" t="s">
        <v>1135</v>
      </c>
      <c r="M327" s="108" t="s">
        <v>1136</v>
      </c>
      <c r="N327" s="85">
        <v>300</v>
      </c>
      <c r="O327" s="85" t="s">
        <v>789</v>
      </c>
      <c r="P327" s="86"/>
      <c r="Q327" s="70">
        <v>3</v>
      </c>
      <c r="R327" s="73"/>
      <c r="S327" s="74">
        <v>1.1000000000000001</v>
      </c>
    </row>
    <row r="328" spans="1:31" x14ac:dyDescent="0.3">
      <c r="A328" s="67">
        <v>76</v>
      </c>
      <c r="B328" s="84" t="s">
        <v>1197</v>
      </c>
      <c r="C328" s="67" t="s">
        <v>1134</v>
      </c>
      <c r="D328" s="70">
        <v>511.17163570798203</v>
      </c>
      <c r="E328" s="70">
        <v>11.046553281987292</v>
      </c>
      <c r="F328" s="70">
        <v>10.033553281987292</v>
      </c>
      <c r="G328" s="70">
        <v>60.296695188399902</v>
      </c>
      <c r="H328" s="70">
        <v>536.73021749338113</v>
      </c>
      <c r="I328" s="70">
        <v>12.013</v>
      </c>
      <c r="J328" s="70">
        <v>11</v>
      </c>
      <c r="K328" s="70">
        <v>70</v>
      </c>
      <c r="L328" s="70" t="s">
        <v>1135</v>
      </c>
      <c r="M328" s="108" t="s">
        <v>1136</v>
      </c>
      <c r="N328" s="85">
        <v>250</v>
      </c>
      <c r="O328" s="85">
        <v>40</v>
      </c>
      <c r="P328" s="86"/>
      <c r="Q328" s="70">
        <v>3</v>
      </c>
      <c r="R328" s="73"/>
      <c r="S328" s="74">
        <v>1.1000000000000001</v>
      </c>
    </row>
    <row r="329" spans="1:31" x14ac:dyDescent="0.3">
      <c r="A329" s="67">
        <v>77</v>
      </c>
      <c r="B329" s="84" t="s">
        <v>1198</v>
      </c>
      <c r="C329" s="67" t="s">
        <v>1134</v>
      </c>
      <c r="D329" s="70">
        <v>127.79290892699551</v>
      </c>
      <c r="E329" s="70">
        <v>11.046553281987292</v>
      </c>
      <c r="F329" s="70">
        <v>10.033553281987292</v>
      </c>
      <c r="G329" s="70">
        <v>60.296695188399902</v>
      </c>
      <c r="H329" s="70">
        <v>134.18255437334528</v>
      </c>
      <c r="I329" s="70">
        <v>12.013</v>
      </c>
      <c r="J329" s="70">
        <v>11</v>
      </c>
      <c r="K329" s="70">
        <v>70</v>
      </c>
      <c r="L329" s="70" t="s">
        <v>1135</v>
      </c>
      <c r="M329" s="108" t="s">
        <v>1136</v>
      </c>
      <c r="N329" s="85">
        <v>150</v>
      </c>
      <c r="O329" s="85">
        <v>40</v>
      </c>
      <c r="P329" s="86"/>
      <c r="Q329" s="70">
        <v>3</v>
      </c>
      <c r="R329" s="73"/>
      <c r="S329" s="74">
        <v>1.1000000000000001</v>
      </c>
    </row>
    <row r="330" spans="1:31" x14ac:dyDescent="0.3">
      <c r="A330" s="67">
        <v>78</v>
      </c>
      <c r="B330" s="84" t="s">
        <v>1199</v>
      </c>
      <c r="C330" s="67" t="s">
        <v>1134</v>
      </c>
      <c r="D330" s="70">
        <v>148.43637883058707</v>
      </c>
      <c r="E330" s="70">
        <v>11.046553281987292</v>
      </c>
      <c r="F330" s="70">
        <v>10.033553281987292</v>
      </c>
      <c r="G330" s="70">
        <v>60.296695188399902</v>
      </c>
      <c r="H330" s="70">
        <v>155.85819777211643</v>
      </c>
      <c r="I330" s="70">
        <v>12.013</v>
      </c>
      <c r="J330" s="70">
        <v>11</v>
      </c>
      <c r="K330" s="70">
        <v>70</v>
      </c>
      <c r="L330" s="70" t="s">
        <v>1135</v>
      </c>
      <c r="M330" s="108" t="s">
        <v>1136</v>
      </c>
      <c r="N330" s="85">
        <v>150</v>
      </c>
      <c r="O330" s="85">
        <v>40</v>
      </c>
      <c r="P330" s="86"/>
      <c r="Q330" s="70">
        <v>3</v>
      </c>
      <c r="R330" s="73"/>
      <c r="S330" s="74">
        <v>1.1000000000000001</v>
      </c>
    </row>
    <row r="331" spans="1:31" x14ac:dyDescent="0.3">
      <c r="A331" s="67">
        <v>79</v>
      </c>
      <c r="B331" s="84" t="s">
        <v>1200</v>
      </c>
      <c r="C331" s="67" t="s">
        <v>1134</v>
      </c>
      <c r="D331" s="70">
        <v>142.53824457241808</v>
      </c>
      <c r="E331" s="70">
        <v>11.046553281987292</v>
      </c>
      <c r="F331" s="70">
        <v>10.033553281987292</v>
      </c>
      <c r="G331" s="70">
        <v>60.296695188399902</v>
      </c>
      <c r="H331" s="70">
        <v>149.66515680103899</v>
      </c>
      <c r="I331" s="70">
        <v>12.013</v>
      </c>
      <c r="J331" s="70">
        <v>11</v>
      </c>
      <c r="K331" s="70">
        <v>70</v>
      </c>
      <c r="L331" s="70" t="s">
        <v>1135</v>
      </c>
      <c r="M331" s="108" t="s">
        <v>1136</v>
      </c>
      <c r="N331" s="85">
        <v>150</v>
      </c>
      <c r="O331" s="85">
        <v>40</v>
      </c>
      <c r="P331" s="86"/>
      <c r="Q331" s="70">
        <v>3</v>
      </c>
      <c r="R331" s="73"/>
    </row>
    <row r="332" spans="1:31" x14ac:dyDescent="0.3">
      <c r="A332" s="67">
        <v>80</v>
      </c>
      <c r="B332" s="84" t="s">
        <v>1201</v>
      </c>
      <c r="C332" s="67" t="s">
        <v>1134</v>
      </c>
      <c r="D332" s="70">
        <v>142.53824457241808</v>
      </c>
      <c r="E332" s="70">
        <v>11.046553281987292</v>
      </c>
      <c r="F332" s="70">
        <v>10.033553281987292</v>
      </c>
      <c r="G332" s="70">
        <v>60.296695188399902</v>
      </c>
      <c r="H332" s="70">
        <v>149.66515680103899</v>
      </c>
      <c r="I332" s="70">
        <v>12.013</v>
      </c>
      <c r="J332" s="70">
        <v>11</v>
      </c>
      <c r="K332" s="70">
        <v>70</v>
      </c>
      <c r="L332" s="70" t="s">
        <v>1135</v>
      </c>
      <c r="M332" s="108" t="s">
        <v>1136</v>
      </c>
      <c r="N332" s="85">
        <v>150</v>
      </c>
      <c r="O332" s="85">
        <v>40</v>
      </c>
      <c r="P332" s="86"/>
      <c r="Q332" s="70">
        <v>3</v>
      </c>
      <c r="R332" s="73"/>
    </row>
    <row r="333" spans="1:31" x14ac:dyDescent="0.3">
      <c r="A333" s="67">
        <v>81</v>
      </c>
      <c r="B333" s="84" t="s">
        <v>1202</v>
      </c>
      <c r="C333" s="67" t="s">
        <v>1134</v>
      </c>
      <c r="D333" s="70">
        <v>5.8981342581690237</v>
      </c>
      <c r="E333" s="70">
        <v>11.046553281987292</v>
      </c>
      <c r="F333" s="70">
        <v>10.033553281987292</v>
      </c>
      <c r="G333" s="70">
        <v>60.296695188399902</v>
      </c>
      <c r="H333" s="70">
        <v>6.1930409710774752</v>
      </c>
      <c r="I333" s="70">
        <v>12.013</v>
      </c>
      <c r="J333" s="70">
        <v>11</v>
      </c>
      <c r="K333" s="70">
        <v>70</v>
      </c>
      <c r="L333" s="70" t="s">
        <v>1135</v>
      </c>
      <c r="M333" s="67" t="s">
        <v>768</v>
      </c>
      <c r="N333" s="85">
        <v>40</v>
      </c>
      <c r="O333" s="85">
        <v>80</v>
      </c>
      <c r="P333" s="86"/>
      <c r="Q333" s="70">
        <v>3</v>
      </c>
      <c r="R333" s="73"/>
    </row>
    <row r="334" spans="1:31" x14ac:dyDescent="0.3">
      <c r="A334" s="67">
        <v>82</v>
      </c>
      <c r="B334" s="84" t="s">
        <v>1203</v>
      </c>
      <c r="C334" s="67" t="s">
        <v>1134</v>
      </c>
      <c r="D334" s="70">
        <v>1652.2640101884163</v>
      </c>
      <c r="E334" s="70">
        <v>11.046553281987292</v>
      </c>
      <c r="F334" s="70">
        <v>10.033553281987292</v>
      </c>
      <c r="G334" s="70">
        <v>60.296695188399902</v>
      </c>
      <c r="H334" s="70">
        <v>1734.8772106978372</v>
      </c>
      <c r="I334" s="70">
        <v>12.013</v>
      </c>
      <c r="J334" s="70">
        <v>11</v>
      </c>
      <c r="K334" s="70">
        <v>70</v>
      </c>
      <c r="L334" s="70" t="s">
        <v>1135</v>
      </c>
      <c r="M334" s="108" t="s">
        <v>1136</v>
      </c>
      <c r="N334" s="85">
        <v>500</v>
      </c>
      <c r="O334" s="85" t="s">
        <v>789</v>
      </c>
      <c r="P334" s="86"/>
      <c r="Q334" s="70">
        <v>3</v>
      </c>
      <c r="R334" s="73"/>
    </row>
    <row r="335" spans="1:31" s="63" customFormat="1" x14ac:dyDescent="0.3">
      <c r="A335" s="67">
        <v>83</v>
      </c>
      <c r="B335" s="84" t="s">
        <v>1204</v>
      </c>
      <c r="C335" s="67" t="s">
        <v>1134</v>
      </c>
      <c r="D335" s="70">
        <v>659.60801453856914</v>
      </c>
      <c r="E335" s="70">
        <v>11.046553281987292</v>
      </c>
      <c r="F335" s="70">
        <v>10.033553281987292</v>
      </c>
      <c r="G335" s="70">
        <v>60.296695188399902</v>
      </c>
      <c r="H335" s="70">
        <v>692.58841526549759</v>
      </c>
      <c r="I335" s="70">
        <v>12.013</v>
      </c>
      <c r="J335" s="70">
        <v>11</v>
      </c>
      <c r="K335" s="70">
        <v>70</v>
      </c>
      <c r="L335" s="70" t="s">
        <v>1135</v>
      </c>
      <c r="M335" s="108" t="s">
        <v>1136</v>
      </c>
      <c r="N335" s="85">
        <v>300</v>
      </c>
      <c r="O335" s="85" t="s">
        <v>789</v>
      </c>
      <c r="P335" s="86"/>
      <c r="Q335" s="70">
        <v>3</v>
      </c>
      <c r="R335" s="73"/>
      <c r="S335"/>
      <c r="T335" s="112">
        <v>150</v>
      </c>
      <c r="U335" s="113" t="str">
        <f t="shared" ref="U335:U347" si="23">V335&amp;W335&amp;X335</f>
        <v>HB4</v>
      </c>
      <c r="V335" s="74" t="s">
        <v>786</v>
      </c>
      <c r="W335" s="74" t="s">
        <v>756</v>
      </c>
      <c r="X335" s="114">
        <v>4</v>
      </c>
      <c r="Y335" s="74">
        <v>1.6</v>
      </c>
      <c r="Z335" s="74">
        <v>5.9399999999999995</v>
      </c>
      <c r="AA335" s="74" t="s">
        <v>787</v>
      </c>
      <c r="AB335" s="74">
        <v>6.35</v>
      </c>
      <c r="AC335" s="74" t="s">
        <v>14</v>
      </c>
      <c r="AD335" s="74" t="s">
        <v>15</v>
      </c>
      <c r="AE335" s="74" t="s">
        <v>16</v>
      </c>
    </row>
    <row r="336" spans="1:31" s="63" customFormat="1" x14ac:dyDescent="0.3">
      <c r="A336" s="67">
        <v>84</v>
      </c>
      <c r="B336" s="84" t="s">
        <v>1197</v>
      </c>
      <c r="C336" s="67" t="s">
        <v>1134</v>
      </c>
      <c r="D336" s="70">
        <v>511.17163570798203</v>
      </c>
      <c r="E336" s="70">
        <v>11.046553281987292</v>
      </c>
      <c r="F336" s="70">
        <v>10.033553281987292</v>
      </c>
      <c r="G336" s="70">
        <v>60.296695188399902</v>
      </c>
      <c r="H336" s="70">
        <v>536.73021749338113</v>
      </c>
      <c r="I336" s="70">
        <v>12.013</v>
      </c>
      <c r="J336" s="70">
        <v>11</v>
      </c>
      <c r="K336" s="70">
        <v>70</v>
      </c>
      <c r="L336" s="70" t="s">
        <v>1135</v>
      </c>
      <c r="M336" s="108" t="s">
        <v>1136</v>
      </c>
      <c r="N336" s="85">
        <v>250</v>
      </c>
      <c r="O336" s="85">
        <v>40</v>
      </c>
      <c r="P336" s="86"/>
      <c r="Q336" s="70">
        <v>3</v>
      </c>
      <c r="R336" s="73"/>
      <c r="S336"/>
      <c r="T336" s="112">
        <v>150</v>
      </c>
      <c r="U336" s="113" t="str">
        <f t="shared" si="23"/>
        <v>HB4</v>
      </c>
      <c r="V336" s="74" t="s">
        <v>786</v>
      </c>
      <c r="W336" s="74" t="s">
        <v>756</v>
      </c>
      <c r="X336" s="114">
        <v>4</v>
      </c>
      <c r="Y336" s="74">
        <v>1.6</v>
      </c>
      <c r="Z336" s="74">
        <v>5.9399999999999995</v>
      </c>
      <c r="AA336" s="74" t="s">
        <v>787</v>
      </c>
      <c r="AB336" s="74">
        <v>6.35</v>
      </c>
      <c r="AC336" s="74" t="s">
        <v>14</v>
      </c>
      <c r="AD336" s="74" t="s">
        <v>15</v>
      </c>
      <c r="AE336" s="74" t="s">
        <v>16</v>
      </c>
    </row>
    <row r="337" spans="1:31" s="63" customFormat="1" x14ac:dyDescent="0.3">
      <c r="A337" s="67">
        <v>85</v>
      </c>
      <c r="B337" s="84" t="s">
        <v>1198</v>
      </c>
      <c r="C337" s="67" t="s">
        <v>1134</v>
      </c>
      <c r="D337" s="70">
        <v>127.79290892699551</v>
      </c>
      <c r="E337" s="70">
        <v>11.046553281987292</v>
      </c>
      <c r="F337" s="70">
        <v>10.033553281987292</v>
      </c>
      <c r="G337" s="70">
        <v>60.296695188399902</v>
      </c>
      <c r="H337" s="70">
        <v>134.18255437334528</v>
      </c>
      <c r="I337" s="70">
        <v>12.013</v>
      </c>
      <c r="J337" s="70">
        <v>11</v>
      </c>
      <c r="K337" s="70">
        <v>70</v>
      </c>
      <c r="L337" s="70" t="s">
        <v>1135</v>
      </c>
      <c r="M337" s="108" t="s">
        <v>1136</v>
      </c>
      <c r="N337" s="85">
        <v>150</v>
      </c>
      <c r="O337" s="85">
        <v>40</v>
      </c>
      <c r="P337" s="86"/>
      <c r="Q337" s="70">
        <v>3</v>
      </c>
      <c r="R337" s="73"/>
      <c r="S337"/>
      <c r="T337" s="112">
        <v>150</v>
      </c>
      <c r="U337" s="113" t="str">
        <f t="shared" si="23"/>
        <v>HB4</v>
      </c>
      <c r="V337" s="74" t="s">
        <v>786</v>
      </c>
      <c r="W337" s="74" t="s">
        <v>756</v>
      </c>
      <c r="X337" s="114">
        <v>4</v>
      </c>
      <c r="Y337" s="74">
        <v>1.6</v>
      </c>
      <c r="Z337" s="74">
        <v>3.3099999999999996</v>
      </c>
      <c r="AA337" s="74" t="s">
        <v>1115</v>
      </c>
      <c r="AB337" s="74">
        <v>6.35</v>
      </c>
      <c r="AC337" s="74" t="s">
        <v>14</v>
      </c>
      <c r="AD337" s="74" t="s">
        <v>15</v>
      </c>
      <c r="AE337" s="74" t="s">
        <v>16</v>
      </c>
    </row>
    <row r="338" spans="1:31" s="63" customFormat="1" x14ac:dyDescent="0.3">
      <c r="A338" s="67">
        <v>86</v>
      </c>
      <c r="B338" s="84" t="s">
        <v>1205</v>
      </c>
      <c r="C338" s="67" t="s">
        <v>1134</v>
      </c>
      <c r="D338" s="70">
        <v>148.43637883058707</v>
      </c>
      <c r="E338" s="70">
        <v>11.046553281987292</v>
      </c>
      <c r="F338" s="70">
        <v>10.033553281987292</v>
      </c>
      <c r="G338" s="70">
        <v>60.296695188399902</v>
      </c>
      <c r="H338" s="70">
        <v>155.85819777211643</v>
      </c>
      <c r="I338" s="70">
        <v>12.013</v>
      </c>
      <c r="J338" s="70">
        <v>11</v>
      </c>
      <c r="K338" s="70">
        <v>70</v>
      </c>
      <c r="L338" s="70" t="s">
        <v>1135</v>
      </c>
      <c r="M338" s="108" t="s">
        <v>1136</v>
      </c>
      <c r="N338" s="85">
        <v>150</v>
      </c>
      <c r="O338" s="85">
        <v>40</v>
      </c>
      <c r="P338" s="86"/>
      <c r="Q338" s="70">
        <v>3</v>
      </c>
      <c r="R338" s="73"/>
      <c r="S338"/>
      <c r="T338" s="112">
        <v>150</v>
      </c>
      <c r="U338" s="113" t="str">
        <f t="shared" si="23"/>
        <v>HB4</v>
      </c>
      <c r="V338" s="74" t="s">
        <v>786</v>
      </c>
      <c r="W338" s="74" t="s">
        <v>756</v>
      </c>
      <c r="X338" s="114">
        <v>4</v>
      </c>
      <c r="Y338" s="74">
        <v>1.6</v>
      </c>
      <c r="Z338" s="74">
        <v>2.9699999999999998</v>
      </c>
      <c r="AA338" s="74" t="s">
        <v>772</v>
      </c>
      <c r="AB338" s="74">
        <v>7.11</v>
      </c>
      <c r="AC338" s="74" t="s">
        <v>14</v>
      </c>
      <c r="AD338" s="74" t="s">
        <v>15</v>
      </c>
      <c r="AE338" s="74" t="s">
        <v>16</v>
      </c>
    </row>
    <row r="339" spans="1:31" s="63" customFormat="1" ht="12" x14ac:dyDescent="0.3">
      <c r="A339" s="67">
        <v>87</v>
      </c>
      <c r="B339" s="84" t="s">
        <v>1200</v>
      </c>
      <c r="C339" s="67" t="s">
        <v>1134</v>
      </c>
      <c r="D339" s="70">
        <v>142.53824457241808</v>
      </c>
      <c r="E339" s="70">
        <v>11.046553281987292</v>
      </c>
      <c r="F339" s="70">
        <v>10.033553281987292</v>
      </c>
      <c r="G339" s="70">
        <v>60.296695188399902</v>
      </c>
      <c r="H339" s="70">
        <v>149.66515680103899</v>
      </c>
      <c r="I339" s="70">
        <v>12.013</v>
      </c>
      <c r="J339" s="70">
        <v>11</v>
      </c>
      <c r="K339" s="70">
        <v>70</v>
      </c>
      <c r="L339" s="70" t="s">
        <v>1135</v>
      </c>
      <c r="M339" s="108" t="s">
        <v>1136</v>
      </c>
      <c r="N339" s="85">
        <v>150</v>
      </c>
      <c r="O339" s="85">
        <v>40</v>
      </c>
      <c r="P339" s="86"/>
      <c r="Q339" s="70">
        <v>3</v>
      </c>
      <c r="R339" s="73"/>
      <c r="S339" s="74">
        <v>1.1000000000000001</v>
      </c>
      <c r="T339" s="112">
        <v>150</v>
      </c>
      <c r="U339" s="113" t="str">
        <f t="shared" si="23"/>
        <v>HB4</v>
      </c>
      <c r="V339" s="74" t="s">
        <v>786</v>
      </c>
      <c r="W339" s="74" t="s">
        <v>756</v>
      </c>
      <c r="X339" s="114">
        <v>4</v>
      </c>
      <c r="Y339" s="74">
        <v>1.6</v>
      </c>
      <c r="Z339" s="74">
        <v>2.78</v>
      </c>
      <c r="AA339" s="74" t="s">
        <v>772</v>
      </c>
      <c r="AB339" s="74">
        <v>6.55</v>
      </c>
      <c r="AC339" s="74" t="s">
        <v>14</v>
      </c>
      <c r="AD339" s="74" t="s">
        <v>15</v>
      </c>
      <c r="AE339" s="74" t="s">
        <v>16</v>
      </c>
    </row>
    <row r="340" spans="1:31" s="63" customFormat="1" ht="12" x14ac:dyDescent="0.3">
      <c r="A340" s="67">
        <v>88</v>
      </c>
      <c r="B340" s="84" t="s">
        <v>1201</v>
      </c>
      <c r="C340" s="67" t="s">
        <v>1134</v>
      </c>
      <c r="D340" s="70">
        <v>142.53824457241808</v>
      </c>
      <c r="E340" s="70">
        <v>11.046553281987292</v>
      </c>
      <c r="F340" s="70">
        <v>10.033553281987292</v>
      </c>
      <c r="G340" s="70">
        <v>60.296695188399902</v>
      </c>
      <c r="H340" s="70">
        <v>149.66515680103899</v>
      </c>
      <c r="I340" s="70">
        <v>12.013</v>
      </c>
      <c r="J340" s="70">
        <v>11</v>
      </c>
      <c r="K340" s="70">
        <v>70</v>
      </c>
      <c r="L340" s="70" t="s">
        <v>1135</v>
      </c>
      <c r="M340" s="108" t="s">
        <v>1136</v>
      </c>
      <c r="N340" s="85">
        <v>150</v>
      </c>
      <c r="O340" s="85">
        <v>40</v>
      </c>
      <c r="P340" s="86"/>
      <c r="Q340" s="70">
        <v>3</v>
      </c>
      <c r="R340" s="73"/>
      <c r="S340" s="74">
        <v>1.1000000000000001</v>
      </c>
      <c r="T340" s="112">
        <v>150</v>
      </c>
      <c r="U340" s="113" t="str">
        <f t="shared" si="23"/>
        <v>HB4</v>
      </c>
      <c r="V340" s="74" t="s">
        <v>786</v>
      </c>
      <c r="W340" s="74" t="s">
        <v>756</v>
      </c>
      <c r="X340" s="114">
        <v>4</v>
      </c>
      <c r="Y340" s="74">
        <v>1.6</v>
      </c>
      <c r="Z340" s="74">
        <v>2.78</v>
      </c>
      <c r="AA340" s="74" t="s">
        <v>772</v>
      </c>
      <c r="AB340" s="74">
        <v>6.55</v>
      </c>
      <c r="AC340" s="74" t="s">
        <v>98</v>
      </c>
      <c r="AD340" s="74" t="s">
        <v>15</v>
      </c>
      <c r="AE340" s="74" t="s">
        <v>16</v>
      </c>
    </row>
    <row r="341" spans="1:31" s="63" customFormat="1" ht="12" x14ac:dyDescent="0.3">
      <c r="A341" s="67">
        <v>89</v>
      </c>
      <c r="B341" s="84" t="s">
        <v>1202</v>
      </c>
      <c r="C341" s="67" t="s">
        <v>1134</v>
      </c>
      <c r="D341" s="70">
        <v>5.8981342581690237</v>
      </c>
      <c r="E341" s="70">
        <v>11.046553281987292</v>
      </c>
      <c r="F341" s="70">
        <v>10.033553281987292</v>
      </c>
      <c r="G341" s="70">
        <v>60.296695188399902</v>
      </c>
      <c r="H341" s="70">
        <v>6.1930409710774752</v>
      </c>
      <c r="I341" s="70">
        <v>12.013</v>
      </c>
      <c r="J341" s="70">
        <v>11</v>
      </c>
      <c r="K341" s="70">
        <v>70</v>
      </c>
      <c r="L341" s="70" t="s">
        <v>1135</v>
      </c>
      <c r="M341" s="67" t="s">
        <v>768</v>
      </c>
      <c r="N341" s="85">
        <v>40</v>
      </c>
      <c r="O341" s="85">
        <v>80</v>
      </c>
      <c r="P341" s="86"/>
      <c r="Q341" s="70">
        <v>3</v>
      </c>
      <c r="R341" s="73"/>
      <c r="S341" s="74">
        <v>1.1000000000000001</v>
      </c>
      <c r="T341" s="112">
        <v>150</v>
      </c>
      <c r="U341" s="113" t="str">
        <f t="shared" si="23"/>
        <v>HB4</v>
      </c>
      <c r="V341" s="74" t="s">
        <v>786</v>
      </c>
      <c r="W341" s="74" t="s">
        <v>756</v>
      </c>
      <c r="X341" s="114">
        <v>4</v>
      </c>
      <c r="Y341" s="74">
        <v>1.6</v>
      </c>
      <c r="Z341" s="74">
        <v>2.0099999999999998</v>
      </c>
      <c r="AA341" s="74" t="s">
        <v>941</v>
      </c>
      <c r="AB341" s="74">
        <v>3.91</v>
      </c>
      <c r="AC341" s="74" t="s">
        <v>14</v>
      </c>
      <c r="AD341" s="74" t="s">
        <v>15</v>
      </c>
      <c r="AE341" s="74" t="s">
        <v>16</v>
      </c>
    </row>
    <row r="342" spans="1:31" s="63" customFormat="1" ht="12" x14ac:dyDescent="0.3">
      <c r="A342" s="67">
        <v>90</v>
      </c>
      <c r="B342" s="84" t="s">
        <v>1206</v>
      </c>
      <c r="C342" s="67" t="s">
        <v>1134</v>
      </c>
      <c r="D342" s="70">
        <v>992.65599564984734</v>
      </c>
      <c r="E342" s="70">
        <v>11.046553281987292</v>
      </c>
      <c r="F342" s="70">
        <v>10.033553281987292</v>
      </c>
      <c r="G342" s="70">
        <v>60.296695188399902</v>
      </c>
      <c r="H342" s="70">
        <v>1042.2887954323398</v>
      </c>
      <c r="I342" s="70">
        <v>12.013</v>
      </c>
      <c r="J342" s="70">
        <v>11</v>
      </c>
      <c r="K342" s="70">
        <v>70</v>
      </c>
      <c r="L342" s="70" t="s">
        <v>1135</v>
      </c>
      <c r="M342" s="108" t="s">
        <v>1136</v>
      </c>
      <c r="N342" s="85">
        <v>400</v>
      </c>
      <c r="O342" s="85" t="s">
        <v>789</v>
      </c>
      <c r="P342" s="86"/>
      <c r="Q342" s="70">
        <v>3</v>
      </c>
      <c r="R342" s="73"/>
      <c r="S342" s="74">
        <v>1.1000000000000001</v>
      </c>
      <c r="T342" s="112">
        <v>150</v>
      </c>
      <c r="U342" s="113" t="str">
        <f t="shared" si="23"/>
        <v>HB4</v>
      </c>
      <c r="V342" s="74" t="s">
        <v>786</v>
      </c>
      <c r="W342" s="74" t="s">
        <v>756</v>
      </c>
      <c r="X342" s="114">
        <v>4</v>
      </c>
      <c r="Y342" s="74">
        <v>1.6</v>
      </c>
      <c r="Z342" s="74">
        <v>2.2399999999999998</v>
      </c>
      <c r="AA342" s="74" t="s">
        <v>941</v>
      </c>
      <c r="AB342" s="74">
        <v>5.54</v>
      </c>
      <c r="AC342" s="74" t="s">
        <v>14</v>
      </c>
      <c r="AD342" s="74" t="s">
        <v>15</v>
      </c>
      <c r="AE342" s="74" t="s">
        <v>16</v>
      </c>
    </row>
    <row r="343" spans="1:31" s="63" customFormat="1" ht="12" x14ac:dyDescent="0.3">
      <c r="A343" s="67">
        <v>91</v>
      </c>
      <c r="B343" s="84" t="s">
        <v>1207</v>
      </c>
      <c r="C343" s="67" t="s">
        <v>1134</v>
      </c>
      <c r="D343" s="70">
        <v>496.32799782492333</v>
      </c>
      <c r="E343" s="70">
        <v>11.046553281987292</v>
      </c>
      <c r="F343" s="70">
        <v>10.033553281987292</v>
      </c>
      <c r="G343" s="70">
        <v>60.296695188399902</v>
      </c>
      <c r="H343" s="70">
        <v>521.14439771616946</v>
      </c>
      <c r="I343" s="70">
        <v>12.013</v>
      </c>
      <c r="J343" s="70">
        <v>11</v>
      </c>
      <c r="K343" s="70">
        <v>70</v>
      </c>
      <c r="L343" s="70" t="s">
        <v>1135</v>
      </c>
      <c r="M343" s="108" t="s">
        <v>1136</v>
      </c>
      <c r="N343" s="85">
        <v>250</v>
      </c>
      <c r="O343" s="85">
        <v>40</v>
      </c>
      <c r="P343" s="86"/>
      <c r="Q343" s="70">
        <v>3</v>
      </c>
      <c r="R343" s="73"/>
      <c r="S343" s="74">
        <v>1.1000000000000001</v>
      </c>
      <c r="T343" s="112">
        <v>150</v>
      </c>
      <c r="U343" s="113" t="str">
        <f t="shared" si="23"/>
        <v>HB4</v>
      </c>
      <c r="V343" s="74" t="s">
        <v>786</v>
      </c>
      <c r="W343" s="74" t="s">
        <v>756</v>
      </c>
      <c r="X343" s="114">
        <v>4</v>
      </c>
      <c r="Y343" s="74">
        <v>1.6</v>
      </c>
      <c r="Z343" s="74">
        <v>2.2399999999999998</v>
      </c>
      <c r="AA343" s="74" t="s">
        <v>941</v>
      </c>
      <c r="AB343" s="74">
        <v>5.54</v>
      </c>
      <c r="AC343" s="74" t="s">
        <v>14</v>
      </c>
      <c r="AD343" s="74" t="s">
        <v>15</v>
      </c>
      <c r="AE343" s="74" t="s">
        <v>16</v>
      </c>
    </row>
    <row r="344" spans="1:31" s="63" customFormat="1" ht="12" x14ac:dyDescent="0.3">
      <c r="A344" s="67">
        <v>92</v>
      </c>
      <c r="B344" s="84" t="s">
        <v>1208</v>
      </c>
      <c r="C344" s="67" t="s">
        <v>1134</v>
      </c>
      <c r="D344" s="70">
        <v>15.531753546511762</v>
      </c>
      <c r="E344" s="70">
        <v>11.046553281987292</v>
      </c>
      <c r="F344" s="70">
        <v>10.033553281987292</v>
      </c>
      <c r="G344" s="70">
        <v>60.296695188399902</v>
      </c>
      <c r="H344" s="70">
        <v>16.308341223837353</v>
      </c>
      <c r="I344" s="70">
        <v>12.013</v>
      </c>
      <c r="J344" s="70">
        <v>11</v>
      </c>
      <c r="K344" s="70">
        <v>70</v>
      </c>
      <c r="L344" s="70" t="s">
        <v>1135</v>
      </c>
      <c r="M344" s="67" t="s">
        <v>768</v>
      </c>
      <c r="N344" s="85">
        <v>50</v>
      </c>
      <c r="O344" s="85">
        <v>80</v>
      </c>
      <c r="P344" s="86"/>
      <c r="Q344" s="70">
        <v>3</v>
      </c>
      <c r="R344" s="73"/>
      <c r="S344" s="74">
        <v>1.1000000000000001</v>
      </c>
      <c r="T344" s="112">
        <v>150</v>
      </c>
      <c r="U344" s="113" t="str">
        <f t="shared" si="23"/>
        <v>HB4</v>
      </c>
      <c r="V344" s="74" t="s">
        <v>786</v>
      </c>
      <c r="W344" s="74" t="s">
        <v>756</v>
      </c>
      <c r="X344" s="114">
        <v>4</v>
      </c>
      <c r="Y344" s="74">
        <v>1.6</v>
      </c>
      <c r="Z344" s="74">
        <v>2.0099999999999998</v>
      </c>
      <c r="AA344" s="74" t="s">
        <v>941</v>
      </c>
      <c r="AB344" s="74">
        <v>3.91</v>
      </c>
      <c r="AC344" s="74" t="s">
        <v>98</v>
      </c>
      <c r="AD344" s="74" t="s">
        <v>15</v>
      </c>
      <c r="AE344" s="74" t="s">
        <v>16</v>
      </c>
    </row>
    <row r="345" spans="1:31" s="63" customFormat="1" ht="12" x14ac:dyDescent="0.3">
      <c r="A345" s="67">
        <v>93</v>
      </c>
      <c r="B345" s="84" t="s">
        <v>1185</v>
      </c>
      <c r="C345" s="67" t="s">
        <v>1134</v>
      </c>
      <c r="D345" s="70">
        <v>468.90167352443734</v>
      </c>
      <c r="E345" s="70">
        <v>11.046553281987292</v>
      </c>
      <c r="F345" s="70">
        <v>10.033553281987292</v>
      </c>
      <c r="G345" s="70">
        <v>60.296695188399902</v>
      </c>
      <c r="H345" s="70">
        <v>492.34675720065923</v>
      </c>
      <c r="I345" s="70">
        <v>12.013</v>
      </c>
      <c r="J345" s="70">
        <v>11</v>
      </c>
      <c r="K345" s="70">
        <v>70</v>
      </c>
      <c r="L345" s="70" t="s">
        <v>1135</v>
      </c>
      <c r="M345" s="108" t="s">
        <v>1136</v>
      </c>
      <c r="N345" s="85">
        <v>250</v>
      </c>
      <c r="O345" s="85">
        <v>40</v>
      </c>
      <c r="P345" s="86"/>
      <c r="Q345" s="70">
        <v>3</v>
      </c>
      <c r="R345" s="73"/>
      <c r="S345" s="74">
        <v>1.1000000000000001</v>
      </c>
      <c r="T345" s="112">
        <v>150</v>
      </c>
      <c r="U345" s="113" t="str">
        <f t="shared" si="23"/>
        <v>HB4</v>
      </c>
      <c r="V345" s="74" t="s">
        <v>786</v>
      </c>
      <c r="W345" s="74" t="s">
        <v>756</v>
      </c>
      <c r="X345" s="114">
        <v>4</v>
      </c>
      <c r="Y345" s="74">
        <v>1.6</v>
      </c>
      <c r="Z345" s="74">
        <v>1.98</v>
      </c>
      <c r="AA345" s="74" t="s">
        <v>941</v>
      </c>
      <c r="AB345" s="74">
        <v>3.73</v>
      </c>
      <c r="AC345" s="74" t="s">
        <v>14</v>
      </c>
      <c r="AD345" s="74" t="s">
        <v>15</v>
      </c>
      <c r="AE345" s="74" t="s">
        <v>16</v>
      </c>
    </row>
    <row r="346" spans="1:31" s="63" customFormat="1" ht="12" x14ac:dyDescent="0.3">
      <c r="A346" s="67">
        <v>94</v>
      </c>
      <c r="B346" s="84" t="s">
        <v>1209</v>
      </c>
      <c r="C346" s="67" t="s">
        <v>1134</v>
      </c>
      <c r="D346" s="70">
        <v>11.894570753974163</v>
      </c>
      <c r="E346" s="70">
        <v>11.046553281987292</v>
      </c>
      <c r="F346" s="70">
        <v>10.033553281987292</v>
      </c>
      <c r="G346" s="70">
        <v>60.296695188399902</v>
      </c>
      <c r="H346" s="70">
        <v>12.489299291672872</v>
      </c>
      <c r="I346" s="70">
        <v>12.013</v>
      </c>
      <c r="J346" s="70">
        <v>11</v>
      </c>
      <c r="K346" s="70">
        <v>70</v>
      </c>
      <c r="L346" s="70" t="s">
        <v>1135</v>
      </c>
      <c r="M346" s="67" t="s">
        <v>768</v>
      </c>
      <c r="N346" s="85">
        <v>50</v>
      </c>
      <c r="O346" s="85">
        <v>80</v>
      </c>
      <c r="P346" s="86"/>
      <c r="Q346" s="70">
        <v>3</v>
      </c>
      <c r="R346" s="73"/>
      <c r="S346" s="74">
        <v>1.1000000000000001</v>
      </c>
      <c r="T346" s="112">
        <v>150</v>
      </c>
      <c r="U346" s="113" t="str">
        <f t="shared" si="23"/>
        <v>HB4</v>
      </c>
      <c r="V346" s="74" t="s">
        <v>786</v>
      </c>
      <c r="W346" s="74" t="s">
        <v>756</v>
      </c>
      <c r="X346" s="114">
        <v>4</v>
      </c>
      <c r="Y346" s="74">
        <v>1.6</v>
      </c>
      <c r="Z346" s="74">
        <v>5.9399999999999995</v>
      </c>
      <c r="AA346" s="74" t="s">
        <v>787</v>
      </c>
      <c r="AB346" s="74">
        <v>6.35</v>
      </c>
      <c r="AC346" s="74" t="s">
        <v>14</v>
      </c>
      <c r="AD346" s="74" t="s">
        <v>15</v>
      </c>
      <c r="AE346" s="74" t="s">
        <v>16</v>
      </c>
    </row>
    <row r="347" spans="1:31" s="63" customFormat="1" ht="12.75" thickBot="1" x14ac:dyDescent="0.35">
      <c r="A347" s="67">
        <v>95</v>
      </c>
      <c r="B347" s="84" t="s">
        <v>1187</v>
      </c>
      <c r="C347" s="67" t="s">
        <v>1134</v>
      </c>
      <c r="D347" s="70">
        <v>0.68811566345305264</v>
      </c>
      <c r="E347" s="70">
        <v>11.046553281987292</v>
      </c>
      <c r="F347" s="70">
        <v>10.033553281987292</v>
      </c>
      <c r="G347" s="70">
        <v>60.296695188399902</v>
      </c>
      <c r="H347" s="70">
        <v>0.72252144662570528</v>
      </c>
      <c r="I347" s="70">
        <v>12.013</v>
      </c>
      <c r="J347" s="70">
        <v>11</v>
      </c>
      <c r="K347" s="70">
        <v>70</v>
      </c>
      <c r="L347" s="70" t="s">
        <v>1135</v>
      </c>
      <c r="M347" s="67" t="s">
        <v>768</v>
      </c>
      <c r="N347" s="85">
        <v>25</v>
      </c>
      <c r="O347" s="85">
        <v>80</v>
      </c>
      <c r="P347" s="86"/>
      <c r="Q347" s="70">
        <v>3</v>
      </c>
      <c r="R347" s="73"/>
      <c r="S347" s="74">
        <v>1.1000000000000001</v>
      </c>
      <c r="T347" s="157">
        <v>150</v>
      </c>
      <c r="U347" s="158" t="str">
        <f t="shared" si="23"/>
        <v>HB4</v>
      </c>
      <c r="V347" s="74" t="s">
        <v>786</v>
      </c>
      <c r="W347" s="74" t="s">
        <v>756</v>
      </c>
      <c r="X347" s="114">
        <v>4</v>
      </c>
      <c r="Y347" s="74">
        <v>1.6</v>
      </c>
      <c r="Z347" s="74">
        <v>5.9399999999999995</v>
      </c>
      <c r="AA347" s="74" t="s">
        <v>787</v>
      </c>
      <c r="AB347" s="74">
        <v>6.35</v>
      </c>
      <c r="AC347" s="74" t="s">
        <v>98</v>
      </c>
      <c r="AD347" s="74" t="s">
        <v>15</v>
      </c>
      <c r="AE347" s="74" t="s">
        <v>16</v>
      </c>
    </row>
    <row r="348" spans="1:31" x14ac:dyDescent="0.3">
      <c r="A348" s="67">
        <v>96</v>
      </c>
      <c r="B348" s="84" t="s">
        <v>1188</v>
      </c>
      <c r="C348" s="67" t="s">
        <v>1134</v>
      </c>
      <c r="D348" s="70">
        <v>11.206455090521146</v>
      </c>
      <c r="E348" s="70">
        <v>11.046553281987292</v>
      </c>
      <c r="F348" s="70">
        <v>10.033553281987292</v>
      </c>
      <c r="G348" s="70">
        <v>60.296695188399902</v>
      </c>
      <c r="H348" s="70">
        <v>11.766777845047203</v>
      </c>
      <c r="I348" s="70">
        <v>12.013</v>
      </c>
      <c r="J348" s="70">
        <v>11</v>
      </c>
      <c r="K348" s="70">
        <v>70</v>
      </c>
      <c r="L348" s="70" t="s">
        <v>1135</v>
      </c>
      <c r="M348" s="67" t="s">
        <v>768</v>
      </c>
      <c r="N348" s="85">
        <v>40</v>
      </c>
      <c r="O348" s="85">
        <v>80</v>
      </c>
      <c r="P348" s="86"/>
      <c r="Q348" s="70">
        <v>3</v>
      </c>
      <c r="R348" s="73"/>
      <c r="S348" s="74">
        <v>1.1000000000000001</v>
      </c>
    </row>
    <row r="349" spans="1:31" x14ac:dyDescent="0.3">
      <c r="A349" s="67">
        <v>97</v>
      </c>
      <c r="B349" s="84" t="s">
        <v>1189</v>
      </c>
      <c r="C349" s="67" t="s">
        <v>1134</v>
      </c>
      <c r="D349" s="70">
        <v>223.14607943406139</v>
      </c>
      <c r="E349" s="70">
        <v>11.046553281987292</v>
      </c>
      <c r="F349" s="70">
        <v>10.033553281987292</v>
      </c>
      <c r="G349" s="70">
        <v>60.296695188399902</v>
      </c>
      <c r="H349" s="70">
        <v>234.30338340576446</v>
      </c>
      <c r="I349" s="70">
        <v>12.013</v>
      </c>
      <c r="J349" s="70">
        <v>11</v>
      </c>
      <c r="K349" s="70">
        <v>70</v>
      </c>
      <c r="L349" s="70" t="s">
        <v>1135</v>
      </c>
      <c r="M349" s="108" t="s">
        <v>1136</v>
      </c>
      <c r="N349" s="85">
        <v>200</v>
      </c>
      <c r="O349" s="85">
        <v>40</v>
      </c>
      <c r="P349" s="86"/>
      <c r="Q349" s="70">
        <v>3</v>
      </c>
      <c r="R349" s="73"/>
      <c r="S349" s="74">
        <v>1.1000000000000001</v>
      </c>
    </row>
    <row r="350" spans="1:31" x14ac:dyDescent="0.3">
      <c r="A350" s="67">
        <v>98</v>
      </c>
      <c r="B350" s="84" t="s">
        <v>1210</v>
      </c>
      <c r="C350" s="67" t="s">
        <v>1134</v>
      </c>
      <c r="D350" s="70">
        <v>496.32799782492333</v>
      </c>
      <c r="E350" s="70">
        <v>11.046553281987292</v>
      </c>
      <c r="F350" s="70">
        <v>10.033553281987292</v>
      </c>
      <c r="G350" s="70">
        <v>60.296695188399902</v>
      </c>
      <c r="H350" s="70">
        <v>521.14439771616946</v>
      </c>
      <c r="I350" s="70">
        <v>12.013</v>
      </c>
      <c r="J350" s="70">
        <v>11</v>
      </c>
      <c r="K350" s="70">
        <v>70</v>
      </c>
      <c r="L350" s="70" t="s">
        <v>1135</v>
      </c>
      <c r="M350" s="108" t="s">
        <v>1136</v>
      </c>
      <c r="N350" s="85">
        <v>250</v>
      </c>
      <c r="O350" s="85">
        <v>40</v>
      </c>
      <c r="P350" s="86"/>
      <c r="Q350" s="70">
        <v>3</v>
      </c>
      <c r="R350" s="73"/>
      <c r="S350" s="74">
        <v>1.1000000000000001</v>
      </c>
    </row>
    <row r="351" spans="1:31" x14ac:dyDescent="0.3">
      <c r="A351" s="67">
        <v>99</v>
      </c>
      <c r="B351" s="84" t="s">
        <v>1185</v>
      </c>
      <c r="C351" s="67" t="s">
        <v>1134</v>
      </c>
      <c r="D351" s="70">
        <v>468.90167352443734</v>
      </c>
      <c r="E351" s="70">
        <v>11.046553281987292</v>
      </c>
      <c r="F351" s="70">
        <v>10.033553281987292</v>
      </c>
      <c r="G351" s="70">
        <v>60.296695188399902</v>
      </c>
      <c r="H351" s="70">
        <v>492.34675720065923</v>
      </c>
      <c r="I351" s="70">
        <v>12.013</v>
      </c>
      <c r="J351" s="70">
        <v>11</v>
      </c>
      <c r="K351" s="70">
        <v>70</v>
      </c>
      <c r="L351" s="70" t="s">
        <v>1135</v>
      </c>
      <c r="M351" s="108" t="s">
        <v>1136</v>
      </c>
      <c r="N351" s="85">
        <v>250</v>
      </c>
      <c r="O351" s="85">
        <v>40</v>
      </c>
      <c r="P351" s="86"/>
      <c r="Q351" s="70">
        <v>3</v>
      </c>
      <c r="R351" s="73"/>
      <c r="S351" s="74">
        <v>1.1000000000000001</v>
      </c>
    </row>
    <row r="352" spans="1:31" x14ac:dyDescent="0.3">
      <c r="A352" s="67">
        <v>100</v>
      </c>
      <c r="B352" s="84" t="s">
        <v>1211</v>
      </c>
      <c r="C352" s="67" t="s">
        <v>1134</v>
      </c>
      <c r="D352" s="70">
        <v>11.894570753974163</v>
      </c>
      <c r="E352" s="70">
        <v>11.046553281987292</v>
      </c>
      <c r="F352" s="70">
        <v>10.033553281987292</v>
      </c>
      <c r="G352" s="70">
        <v>60.296695188399902</v>
      </c>
      <c r="H352" s="70">
        <v>12.489299291672872</v>
      </c>
      <c r="I352" s="70">
        <v>12.013</v>
      </c>
      <c r="J352" s="70">
        <v>11</v>
      </c>
      <c r="K352" s="70">
        <v>70</v>
      </c>
      <c r="L352" s="70" t="s">
        <v>1135</v>
      </c>
      <c r="M352" s="67" t="s">
        <v>768</v>
      </c>
      <c r="N352" s="85">
        <v>50</v>
      </c>
      <c r="O352" s="85">
        <v>80</v>
      </c>
      <c r="P352" s="86"/>
      <c r="Q352" s="70">
        <v>3</v>
      </c>
      <c r="R352" s="73"/>
    </row>
    <row r="353" spans="1:31" s="63" customFormat="1" x14ac:dyDescent="0.3">
      <c r="A353" s="67">
        <v>101</v>
      </c>
      <c r="B353" s="84" t="s">
        <v>1187</v>
      </c>
      <c r="C353" s="67" t="s">
        <v>1134</v>
      </c>
      <c r="D353" s="70">
        <v>0.68811566345305264</v>
      </c>
      <c r="E353" s="70">
        <v>11.046553281987292</v>
      </c>
      <c r="F353" s="70">
        <v>10.033553281987292</v>
      </c>
      <c r="G353" s="70">
        <v>60.296695188399902</v>
      </c>
      <c r="H353" s="70">
        <v>0.72252144662570528</v>
      </c>
      <c r="I353" s="70">
        <v>12.013</v>
      </c>
      <c r="J353" s="70">
        <v>11</v>
      </c>
      <c r="K353" s="70">
        <v>70</v>
      </c>
      <c r="L353" s="70" t="s">
        <v>1135</v>
      </c>
      <c r="M353" s="67" t="s">
        <v>768</v>
      </c>
      <c r="N353" s="85">
        <v>25</v>
      </c>
      <c r="O353" s="85">
        <v>80</v>
      </c>
      <c r="P353" s="86"/>
      <c r="Q353" s="70">
        <v>3</v>
      </c>
      <c r="R353" s="73"/>
      <c r="S353"/>
      <c r="T353" s="87"/>
      <c r="V353" s="74"/>
      <c r="W353" s="74"/>
      <c r="X353" s="64"/>
      <c r="Y353" s="74"/>
      <c r="Z353" s="74"/>
      <c r="AA353" s="74"/>
      <c r="AB353" s="74"/>
      <c r="AC353" s="74"/>
      <c r="AD353" s="74"/>
      <c r="AE353" s="74"/>
    </row>
    <row r="354" spans="1:31" s="136" customFormat="1" x14ac:dyDescent="0.3">
      <c r="A354" s="67">
        <v>102</v>
      </c>
      <c r="B354" s="84" t="s">
        <v>1188</v>
      </c>
      <c r="C354" s="67" t="s">
        <v>1134</v>
      </c>
      <c r="D354" s="70">
        <v>11.206455090521146</v>
      </c>
      <c r="E354" s="70">
        <v>11.046553281987292</v>
      </c>
      <c r="F354" s="70">
        <v>10.033553281987292</v>
      </c>
      <c r="G354" s="70">
        <v>60.296695188399902</v>
      </c>
      <c r="H354" s="70">
        <v>11.766777845047203</v>
      </c>
      <c r="I354" s="70">
        <v>12.013</v>
      </c>
      <c r="J354" s="70">
        <v>11</v>
      </c>
      <c r="K354" s="70">
        <v>70</v>
      </c>
      <c r="L354" s="70" t="s">
        <v>1135</v>
      </c>
      <c r="M354" s="67" t="s">
        <v>768</v>
      </c>
      <c r="N354" s="85">
        <v>40</v>
      </c>
      <c r="O354" s="85">
        <v>80</v>
      </c>
      <c r="P354" s="86"/>
      <c r="Q354" s="70">
        <v>3</v>
      </c>
      <c r="R354" s="73"/>
      <c r="S354"/>
    </row>
    <row r="355" spans="1:31" s="136" customFormat="1" x14ac:dyDescent="0.3">
      <c r="A355" s="67">
        <v>103</v>
      </c>
      <c r="B355" s="84" t="s">
        <v>1189</v>
      </c>
      <c r="C355" s="67" t="s">
        <v>1134</v>
      </c>
      <c r="D355" s="70">
        <v>223.14607943406139</v>
      </c>
      <c r="E355" s="70">
        <v>11.046553281987292</v>
      </c>
      <c r="F355" s="70">
        <v>10.033553281987292</v>
      </c>
      <c r="G355" s="70">
        <v>60.296695188399902</v>
      </c>
      <c r="H355" s="70">
        <v>234.30338340576446</v>
      </c>
      <c r="I355" s="70">
        <v>12.013</v>
      </c>
      <c r="J355" s="70">
        <v>11</v>
      </c>
      <c r="K355" s="70">
        <v>70</v>
      </c>
      <c r="L355" s="70" t="s">
        <v>1135</v>
      </c>
      <c r="M355" s="108" t="s">
        <v>1136</v>
      </c>
      <c r="N355" s="85">
        <v>200</v>
      </c>
      <c r="O355" s="85">
        <v>40</v>
      </c>
      <c r="P355" s="86"/>
      <c r="Q355" s="70">
        <v>3</v>
      </c>
      <c r="R355" s="73"/>
      <c r="S355"/>
    </row>
    <row r="356" spans="1:31" s="136" customFormat="1" x14ac:dyDescent="0.3">
      <c r="A356" s="67"/>
      <c r="B356" s="84"/>
      <c r="C356" s="67"/>
      <c r="D356" s="70"/>
      <c r="E356" s="70"/>
      <c r="F356" s="70"/>
      <c r="G356" s="70"/>
      <c r="H356" s="70"/>
      <c r="I356" s="70"/>
      <c r="J356" s="70"/>
      <c r="K356" s="70"/>
      <c r="L356" s="70"/>
      <c r="M356" s="67"/>
      <c r="N356" s="85"/>
      <c r="O356" s="85"/>
      <c r="P356" s="86"/>
      <c r="Q356" s="70"/>
      <c r="R356" s="73"/>
      <c r="S356"/>
    </row>
    <row r="357" spans="1:31" s="136" customFormat="1" ht="11.25" x14ac:dyDescent="0.3">
      <c r="A357" s="55" t="s">
        <v>1212</v>
      </c>
      <c r="B357" s="56" t="s">
        <v>1213</v>
      </c>
      <c r="C357" s="55"/>
      <c r="D357" s="57"/>
      <c r="E357" s="57"/>
      <c r="F357" s="57"/>
      <c r="G357" s="57"/>
      <c r="H357" s="57"/>
      <c r="I357" s="57"/>
      <c r="J357" s="57"/>
      <c r="K357" s="57"/>
      <c r="L357" s="57"/>
      <c r="M357" s="58"/>
      <c r="N357" s="59"/>
      <c r="O357" s="59"/>
      <c r="P357" s="60"/>
      <c r="Q357" s="57"/>
      <c r="R357" s="61"/>
      <c r="S357" s="145"/>
    </row>
    <row r="358" spans="1:31" s="63" customFormat="1" ht="11.25" x14ac:dyDescent="0.3">
      <c r="A358" s="67">
        <v>1</v>
      </c>
      <c r="B358" s="115" t="s">
        <v>578</v>
      </c>
      <c r="C358" s="67" t="s">
        <v>1214</v>
      </c>
      <c r="D358" s="159">
        <f>3698/3.6</f>
        <v>1027.2222222222222</v>
      </c>
      <c r="E358" s="159">
        <v>3.5</v>
      </c>
      <c r="F358" s="70">
        <v>2.5</v>
      </c>
      <c r="G358" s="70">
        <v>37</v>
      </c>
      <c r="H358" s="159">
        <f>D358</f>
        <v>1027.2222222222222</v>
      </c>
      <c r="I358" s="159">
        <f>J358+1</f>
        <v>4</v>
      </c>
      <c r="J358" s="159">
        <f>F358*1.2</f>
        <v>3</v>
      </c>
      <c r="K358" s="70">
        <v>40</v>
      </c>
      <c r="L358" s="108" t="s">
        <v>1215</v>
      </c>
      <c r="M358" s="67" t="s">
        <v>1216</v>
      </c>
      <c r="N358" s="85">
        <v>700</v>
      </c>
      <c r="O358" s="160" t="s">
        <v>1217</v>
      </c>
      <c r="P358" s="86"/>
      <c r="Q358" s="70">
        <v>2.7</v>
      </c>
      <c r="R358" s="161" t="s">
        <v>1218</v>
      </c>
      <c r="S358" s="161" t="s">
        <v>1218</v>
      </c>
    </row>
    <row r="359" spans="1:31" s="63" customFormat="1" ht="12" x14ac:dyDescent="0.3">
      <c r="A359" s="67">
        <v>2</v>
      </c>
      <c r="B359" s="115" t="s">
        <v>1219</v>
      </c>
      <c r="C359" s="67" t="s">
        <v>1214</v>
      </c>
      <c r="D359" s="159">
        <f>2455/3.6</f>
        <v>681.94444444444446</v>
      </c>
      <c r="E359" s="159">
        <v>3.5</v>
      </c>
      <c r="F359" s="70">
        <v>2.5</v>
      </c>
      <c r="G359" s="70">
        <v>37</v>
      </c>
      <c r="H359" s="159">
        <f>D359</f>
        <v>681.94444444444446</v>
      </c>
      <c r="I359" s="159">
        <f>J359+1</f>
        <v>4</v>
      </c>
      <c r="J359" s="159">
        <f>F359*1.2</f>
        <v>3</v>
      </c>
      <c r="K359" s="70">
        <v>40</v>
      </c>
      <c r="L359" s="108" t="s">
        <v>1215</v>
      </c>
      <c r="M359" s="67" t="s">
        <v>1216</v>
      </c>
      <c r="N359" s="85">
        <v>700</v>
      </c>
      <c r="O359" s="160" t="s">
        <v>1217</v>
      </c>
      <c r="P359" s="86"/>
      <c r="Q359" s="70">
        <v>2.7</v>
      </c>
      <c r="R359" s="161" t="s">
        <v>1218</v>
      </c>
      <c r="S359" s="161" t="s">
        <v>1218</v>
      </c>
      <c r="T359" s="112"/>
      <c r="U359" s="113"/>
      <c r="V359" s="74"/>
      <c r="W359" s="74"/>
      <c r="X359" s="74"/>
      <c r="Y359" s="74"/>
      <c r="Z359" s="74"/>
      <c r="AA359" s="74"/>
      <c r="AB359" s="74"/>
    </row>
    <row r="360" spans="1:31" s="63" customFormat="1" ht="11.25" x14ac:dyDescent="0.3">
      <c r="A360" s="67">
        <v>3</v>
      </c>
      <c r="B360" s="115" t="s">
        <v>1220</v>
      </c>
      <c r="C360" s="67" t="s">
        <v>1214</v>
      </c>
      <c r="D360" s="159">
        <f>1066/3.6</f>
        <v>296.11111111111109</v>
      </c>
      <c r="E360" s="159">
        <v>3.5</v>
      </c>
      <c r="F360" s="70">
        <v>2.5</v>
      </c>
      <c r="G360" s="70">
        <v>37</v>
      </c>
      <c r="H360" s="159">
        <f>D360</f>
        <v>296.11111111111109</v>
      </c>
      <c r="I360" s="159">
        <f>J360+1</f>
        <v>4</v>
      </c>
      <c r="J360" s="159">
        <f>F360*1.2</f>
        <v>3</v>
      </c>
      <c r="K360" s="70">
        <v>40</v>
      </c>
      <c r="L360" s="108" t="s">
        <v>1215</v>
      </c>
      <c r="M360" s="67" t="s">
        <v>1216</v>
      </c>
      <c r="N360" s="85">
        <v>600</v>
      </c>
      <c r="O360" s="160" t="s">
        <v>1217</v>
      </c>
      <c r="P360" s="86"/>
      <c r="Q360" s="70">
        <v>2.7</v>
      </c>
      <c r="R360" s="161" t="s">
        <v>1218</v>
      </c>
      <c r="S360" s="161" t="s">
        <v>1218</v>
      </c>
      <c r="T360" s="87"/>
      <c r="V360" s="74"/>
      <c r="W360" s="74"/>
      <c r="X360" s="64"/>
      <c r="Y360" s="74"/>
      <c r="Z360" s="74"/>
      <c r="AA360" s="74"/>
      <c r="AB360" s="74"/>
      <c r="AC360" s="74"/>
      <c r="AD360" s="74"/>
      <c r="AE360" s="74"/>
    </row>
    <row r="361" spans="1:31" s="63" customFormat="1" ht="12" x14ac:dyDescent="0.3">
      <c r="A361" s="67">
        <v>4</v>
      </c>
      <c r="B361" s="115" t="s">
        <v>1221</v>
      </c>
      <c r="C361" s="67" t="s">
        <v>1214</v>
      </c>
      <c r="D361" s="159">
        <f>72/3.6</f>
        <v>20</v>
      </c>
      <c r="E361" s="159">
        <v>3.5</v>
      </c>
      <c r="F361" s="70">
        <v>2.5</v>
      </c>
      <c r="G361" s="70">
        <v>37</v>
      </c>
      <c r="H361" s="159">
        <f>D361</f>
        <v>20</v>
      </c>
      <c r="I361" s="159">
        <f>J361+1</f>
        <v>4</v>
      </c>
      <c r="J361" s="159">
        <f>F361*1.2</f>
        <v>3</v>
      </c>
      <c r="K361" s="70">
        <v>40</v>
      </c>
      <c r="L361" s="108" t="s">
        <v>1215</v>
      </c>
      <c r="M361" s="67" t="s">
        <v>1216</v>
      </c>
      <c r="N361" s="85">
        <v>100</v>
      </c>
      <c r="O361" s="160" t="s">
        <v>1217</v>
      </c>
      <c r="P361" s="86"/>
      <c r="Q361" s="70">
        <v>2.7</v>
      </c>
      <c r="R361" s="161" t="s">
        <v>1218</v>
      </c>
      <c r="S361" s="161" t="s">
        <v>1218</v>
      </c>
      <c r="T361" s="112">
        <v>150</v>
      </c>
      <c r="U361" s="113" t="s">
        <v>1073</v>
      </c>
      <c r="V361" s="74">
        <v>0</v>
      </c>
      <c r="W361" s="74">
        <v>2.2699999999999996</v>
      </c>
      <c r="X361" s="74" t="s">
        <v>999</v>
      </c>
      <c r="Y361" s="74">
        <v>3.96</v>
      </c>
      <c r="Z361" s="74" t="s">
        <v>951</v>
      </c>
      <c r="AA361" s="74" t="s">
        <v>952</v>
      </c>
      <c r="AB361" s="74" t="s">
        <v>16</v>
      </c>
    </row>
    <row r="362" spans="1:31" s="63" customFormat="1" ht="12" x14ac:dyDescent="0.3">
      <c r="A362" s="67">
        <v>5</v>
      </c>
      <c r="B362" s="115" t="s">
        <v>1222</v>
      </c>
      <c r="C362" s="67" t="s">
        <v>1214</v>
      </c>
      <c r="D362" s="159">
        <f>1243/3.6</f>
        <v>345.27777777777777</v>
      </c>
      <c r="E362" s="159">
        <v>3.5</v>
      </c>
      <c r="F362" s="70">
        <v>2.5</v>
      </c>
      <c r="G362" s="70">
        <v>37</v>
      </c>
      <c r="H362" s="159">
        <f>D362</f>
        <v>345.27777777777777</v>
      </c>
      <c r="I362" s="159">
        <f>J362+1</f>
        <v>4</v>
      </c>
      <c r="J362" s="159">
        <f>F362*1.2</f>
        <v>3</v>
      </c>
      <c r="K362" s="70">
        <v>40</v>
      </c>
      <c r="L362" s="108" t="s">
        <v>1215</v>
      </c>
      <c r="M362" s="67" t="s">
        <v>1216</v>
      </c>
      <c r="N362" s="85">
        <v>500</v>
      </c>
      <c r="O362" s="160" t="s">
        <v>1217</v>
      </c>
      <c r="P362" s="86"/>
      <c r="Q362" s="70">
        <v>2.7</v>
      </c>
      <c r="R362" s="161" t="s">
        <v>1218</v>
      </c>
      <c r="S362" s="161" t="s">
        <v>1218</v>
      </c>
      <c r="T362" s="112"/>
      <c r="U362" s="113"/>
      <c r="V362" s="74"/>
      <c r="W362" s="74"/>
      <c r="X362" s="74"/>
      <c r="Y362" s="74"/>
      <c r="Z362" s="74"/>
      <c r="AA362" s="74"/>
      <c r="AB362" s="74"/>
    </row>
    <row r="363" spans="1:31" s="63" customFormat="1" ht="12" x14ac:dyDescent="0.3">
      <c r="A363" s="67"/>
      <c r="B363" s="115"/>
      <c r="C363" s="67"/>
      <c r="D363" s="70"/>
      <c r="E363" s="70"/>
      <c r="F363" s="70"/>
      <c r="G363" s="70"/>
      <c r="H363" s="70"/>
      <c r="I363" s="70"/>
      <c r="J363" s="70"/>
      <c r="K363" s="70"/>
      <c r="L363" s="70"/>
      <c r="M363" s="67"/>
      <c r="N363" s="85"/>
      <c r="O363" s="85"/>
      <c r="P363" s="86"/>
      <c r="Q363" s="70"/>
      <c r="R363" s="73"/>
      <c r="S363" s="74"/>
      <c r="T363" s="112">
        <v>150</v>
      </c>
      <c r="U363" s="113" t="s">
        <v>1073</v>
      </c>
      <c r="V363" s="74">
        <v>0</v>
      </c>
      <c r="W363" s="74">
        <v>2.2699999999999996</v>
      </c>
      <c r="X363" s="74" t="s">
        <v>999</v>
      </c>
      <c r="Y363" s="74">
        <v>3.96</v>
      </c>
      <c r="Z363" s="74" t="s">
        <v>951</v>
      </c>
      <c r="AA363" s="74" t="s">
        <v>952</v>
      </c>
      <c r="AB363" s="74" t="s">
        <v>16</v>
      </c>
    </row>
    <row r="364" spans="1:31" s="63" customFormat="1" ht="12" x14ac:dyDescent="0.3">
      <c r="A364" s="55" t="s">
        <v>1223</v>
      </c>
      <c r="B364" s="56" t="s">
        <v>1224</v>
      </c>
      <c r="C364" s="55"/>
      <c r="D364" s="57"/>
      <c r="E364" s="57"/>
      <c r="F364" s="57"/>
      <c r="G364" s="57"/>
      <c r="H364" s="57"/>
      <c r="I364" s="57"/>
      <c r="J364" s="57"/>
      <c r="K364" s="57"/>
      <c r="L364" s="57"/>
      <c r="M364" s="58"/>
      <c r="N364" s="59"/>
      <c r="O364" s="59"/>
      <c r="P364" s="60"/>
      <c r="Q364" s="57"/>
      <c r="R364" s="61"/>
      <c r="S364" s="145"/>
      <c r="T364" s="112">
        <v>150</v>
      </c>
      <c r="U364" s="113" t="s">
        <v>1073</v>
      </c>
      <c r="V364" s="74">
        <v>0</v>
      </c>
      <c r="W364" s="74">
        <v>1.75</v>
      </c>
      <c r="X364" s="74" t="s">
        <v>999</v>
      </c>
      <c r="Y364" s="74">
        <v>3.4</v>
      </c>
      <c r="Z364" s="74" t="s">
        <v>951</v>
      </c>
      <c r="AA364" s="74" t="s">
        <v>952</v>
      </c>
      <c r="AB364" s="74" t="s">
        <v>16</v>
      </c>
    </row>
    <row r="365" spans="1:31" s="63" customFormat="1" ht="12" x14ac:dyDescent="0.3">
      <c r="A365" s="67">
        <v>1</v>
      </c>
      <c r="B365" s="115" t="s">
        <v>1225</v>
      </c>
      <c r="C365" s="67"/>
      <c r="D365" s="70">
        <v>981</v>
      </c>
      <c r="E365" s="70"/>
      <c r="F365" s="70" t="s">
        <v>1226</v>
      </c>
      <c r="G365" s="70">
        <v>37</v>
      </c>
      <c r="H365" s="70">
        <v>981</v>
      </c>
      <c r="I365" s="70"/>
      <c r="J365" s="70" t="s">
        <v>1226</v>
      </c>
      <c r="K365" s="92">
        <v>40</v>
      </c>
      <c r="L365" s="67"/>
      <c r="M365" s="156" t="s">
        <v>1227</v>
      </c>
      <c r="N365" s="85">
        <v>450</v>
      </c>
      <c r="O365" s="85"/>
      <c r="P365" s="86"/>
      <c r="Q365" s="70"/>
      <c r="R365" s="73"/>
      <c r="S365" s="74">
        <v>2.1</v>
      </c>
      <c r="T365" s="112"/>
      <c r="U365" s="113"/>
      <c r="V365" s="74"/>
      <c r="W365" s="74"/>
      <c r="X365" s="74"/>
      <c r="Y365" s="74"/>
      <c r="Z365" s="74"/>
      <c r="AA365" s="74"/>
      <c r="AB365" s="74"/>
    </row>
    <row r="366" spans="1:31" s="63" customFormat="1" ht="12" x14ac:dyDescent="0.3">
      <c r="A366" s="67">
        <v>2</v>
      </c>
      <c r="B366" s="115" t="s">
        <v>1228</v>
      </c>
      <c r="C366" s="67"/>
      <c r="D366" s="70">
        <v>981</v>
      </c>
      <c r="E366" s="70"/>
      <c r="F366" s="70" t="s">
        <v>1226</v>
      </c>
      <c r="G366" s="70">
        <v>37</v>
      </c>
      <c r="H366" s="70">
        <v>981</v>
      </c>
      <c r="I366" s="70"/>
      <c r="J366" s="70" t="s">
        <v>1226</v>
      </c>
      <c r="K366" s="92">
        <v>40</v>
      </c>
      <c r="L366" s="67"/>
      <c r="M366" s="156" t="s">
        <v>1229</v>
      </c>
      <c r="N366" s="85">
        <v>450</v>
      </c>
      <c r="O366" s="85"/>
      <c r="P366" s="86"/>
      <c r="Q366" s="70"/>
      <c r="R366" s="73"/>
      <c r="S366" s="74"/>
      <c r="T366" s="112">
        <v>150</v>
      </c>
      <c r="U366" s="113" t="s">
        <v>1073</v>
      </c>
      <c r="V366" s="74">
        <v>0</v>
      </c>
      <c r="W366" s="74">
        <v>1.4</v>
      </c>
      <c r="X366" s="74" t="s">
        <v>999</v>
      </c>
      <c r="Y366" s="74">
        <v>2.77</v>
      </c>
      <c r="Z366" s="74" t="s">
        <v>951</v>
      </c>
      <c r="AA366" s="74" t="s">
        <v>952</v>
      </c>
      <c r="AB366" s="74" t="s">
        <v>16</v>
      </c>
    </row>
    <row r="367" spans="1:31" s="63" customFormat="1" ht="22.5" x14ac:dyDescent="0.3">
      <c r="A367" s="67">
        <v>3</v>
      </c>
      <c r="B367" s="115" t="s">
        <v>1230</v>
      </c>
      <c r="C367" s="67" t="s">
        <v>1078</v>
      </c>
      <c r="D367" s="92">
        <f>220/3.6</f>
        <v>61.111111111111107</v>
      </c>
      <c r="E367" s="92">
        <f>F367+1.013</f>
        <v>3.0129999999999999</v>
      </c>
      <c r="F367" s="92">
        <v>2</v>
      </c>
      <c r="G367" s="70">
        <v>37</v>
      </c>
      <c r="H367" s="92">
        <f>220/3.6</f>
        <v>61.111111111111107</v>
      </c>
      <c r="I367" s="70">
        <f>J367+1.013</f>
        <v>4.0129999999999999</v>
      </c>
      <c r="J367" s="70">
        <v>3</v>
      </c>
      <c r="K367" s="92">
        <v>40</v>
      </c>
      <c r="L367" s="108" t="s">
        <v>932</v>
      </c>
      <c r="M367" s="108" t="s">
        <v>959</v>
      </c>
      <c r="N367" s="93">
        <v>300</v>
      </c>
      <c r="O367" s="85"/>
      <c r="P367" s="86"/>
      <c r="Q367" s="70">
        <v>1.8</v>
      </c>
      <c r="R367" s="73"/>
      <c r="S367" s="74">
        <v>2.1</v>
      </c>
      <c r="T367" s="112">
        <v>150</v>
      </c>
      <c r="U367" s="113" t="s">
        <v>1073</v>
      </c>
      <c r="V367" s="74">
        <v>0</v>
      </c>
      <c r="W367" s="74">
        <v>1.75</v>
      </c>
      <c r="X367" s="74" t="s">
        <v>999</v>
      </c>
      <c r="Y367" s="74">
        <v>3.4</v>
      </c>
      <c r="Z367" s="74" t="s">
        <v>951</v>
      </c>
      <c r="AA367" s="74" t="s">
        <v>952</v>
      </c>
      <c r="AB367" s="74" t="s">
        <v>16</v>
      </c>
    </row>
    <row r="368" spans="1:31" s="63" customFormat="1" ht="12" x14ac:dyDescent="0.3">
      <c r="A368" s="67">
        <v>4</v>
      </c>
      <c r="B368" s="115" t="s">
        <v>1231</v>
      </c>
      <c r="C368" s="67" t="s">
        <v>1078</v>
      </c>
      <c r="D368" s="92">
        <f>65/3.6</f>
        <v>18.055555555555554</v>
      </c>
      <c r="E368" s="92">
        <f t="shared" ref="E368:E383" si="24">F368+1.013</f>
        <v>3.0129999999999999</v>
      </c>
      <c r="F368" s="92">
        <v>2</v>
      </c>
      <c r="G368" s="70">
        <v>37</v>
      </c>
      <c r="H368" s="92">
        <f>65/3.6</f>
        <v>18.055555555555554</v>
      </c>
      <c r="I368" s="70">
        <f t="shared" ref="I368:I383" si="25">J368+1.013</f>
        <v>4.0129999999999999</v>
      </c>
      <c r="J368" s="70">
        <v>3</v>
      </c>
      <c r="K368" s="92">
        <v>40</v>
      </c>
      <c r="L368" s="108" t="s">
        <v>932</v>
      </c>
      <c r="M368" s="108" t="s">
        <v>959</v>
      </c>
      <c r="N368" s="85">
        <v>150</v>
      </c>
      <c r="O368" s="85"/>
      <c r="P368" s="86"/>
      <c r="Q368" s="70">
        <v>1.8</v>
      </c>
      <c r="R368" s="146"/>
      <c r="S368" s="74">
        <v>2.1</v>
      </c>
      <c r="T368" s="112"/>
      <c r="U368" s="113"/>
      <c r="V368" s="74"/>
      <c r="W368" s="74"/>
      <c r="X368" s="74"/>
      <c r="Y368" s="74"/>
      <c r="Z368" s="74"/>
      <c r="AA368" s="74"/>
      <c r="AB368" s="74"/>
    </row>
    <row r="369" spans="1:28" s="63" customFormat="1" ht="12" x14ac:dyDescent="0.3">
      <c r="A369" s="67">
        <v>5</v>
      </c>
      <c r="B369" s="115" t="s">
        <v>1232</v>
      </c>
      <c r="C369" s="67" t="s">
        <v>1233</v>
      </c>
      <c r="D369" s="92">
        <f>65/3.6</f>
        <v>18.055555555555554</v>
      </c>
      <c r="E369" s="92">
        <f t="shared" si="24"/>
        <v>10.513</v>
      </c>
      <c r="F369" s="92">
        <v>9.5</v>
      </c>
      <c r="G369" s="70">
        <v>37</v>
      </c>
      <c r="H369" s="92">
        <f>65/3.6</f>
        <v>18.055555555555554</v>
      </c>
      <c r="I369" s="70">
        <f t="shared" si="25"/>
        <v>12.013</v>
      </c>
      <c r="J369" s="70">
        <v>11</v>
      </c>
      <c r="K369" s="92">
        <v>40</v>
      </c>
      <c r="L369" s="67"/>
      <c r="M369" s="156" t="s">
        <v>1234</v>
      </c>
      <c r="N369" s="85">
        <v>100</v>
      </c>
      <c r="O369" s="85"/>
      <c r="P369" s="86"/>
      <c r="Q369" s="70">
        <v>2.25</v>
      </c>
      <c r="R369" s="146"/>
      <c r="S369" s="74"/>
      <c r="T369" s="112">
        <v>150</v>
      </c>
      <c r="U369" s="113" t="s">
        <v>1073</v>
      </c>
      <c r="V369" s="74">
        <v>0</v>
      </c>
      <c r="W369" s="74">
        <v>2.0699999999999998</v>
      </c>
      <c r="X369" s="74" t="s">
        <v>999</v>
      </c>
      <c r="Y369" s="74">
        <v>3.96</v>
      </c>
      <c r="Z369" s="74" t="s">
        <v>951</v>
      </c>
      <c r="AA369" s="74" t="s">
        <v>952</v>
      </c>
      <c r="AB369" s="74" t="s">
        <v>16</v>
      </c>
    </row>
    <row r="370" spans="1:28" s="63" customFormat="1" ht="12" x14ac:dyDescent="0.3">
      <c r="A370" s="67">
        <v>6</v>
      </c>
      <c r="B370" s="115" t="s">
        <v>1235</v>
      </c>
      <c r="C370" s="67" t="s">
        <v>1236</v>
      </c>
      <c r="D370" s="92">
        <f>130/3.6</f>
        <v>36.111111111111107</v>
      </c>
      <c r="E370" s="92">
        <f t="shared" si="24"/>
        <v>10.513</v>
      </c>
      <c r="F370" s="92">
        <v>9.5</v>
      </c>
      <c r="G370" s="70">
        <v>37</v>
      </c>
      <c r="H370" s="92">
        <f>130/3.6</f>
        <v>36.111111111111107</v>
      </c>
      <c r="I370" s="70">
        <f t="shared" si="25"/>
        <v>12.013</v>
      </c>
      <c r="J370" s="70">
        <v>11</v>
      </c>
      <c r="K370" s="92">
        <v>40</v>
      </c>
      <c r="L370" s="108" t="s">
        <v>932</v>
      </c>
      <c r="M370" s="108" t="s">
        <v>959</v>
      </c>
      <c r="N370" s="93">
        <v>200</v>
      </c>
      <c r="O370" s="85"/>
      <c r="P370" s="86"/>
      <c r="Q370" s="70">
        <v>2.25</v>
      </c>
      <c r="R370" s="73"/>
      <c r="S370" s="74">
        <v>2.1</v>
      </c>
      <c r="T370" s="112">
        <v>150</v>
      </c>
      <c r="U370" s="113" t="s">
        <v>1073</v>
      </c>
      <c r="V370" s="74">
        <v>0</v>
      </c>
      <c r="W370" s="74">
        <v>1.4</v>
      </c>
      <c r="X370" s="74" t="s">
        <v>999</v>
      </c>
      <c r="Y370" s="74">
        <v>2.77</v>
      </c>
      <c r="Z370" s="74" t="s">
        <v>951</v>
      </c>
      <c r="AA370" s="74" t="s">
        <v>952</v>
      </c>
      <c r="AB370" s="74" t="s">
        <v>16</v>
      </c>
    </row>
    <row r="371" spans="1:28" s="63" customFormat="1" ht="12" x14ac:dyDescent="0.3">
      <c r="A371" s="67">
        <v>7</v>
      </c>
      <c r="B371" s="115" t="s">
        <v>1237</v>
      </c>
      <c r="C371" s="67" t="s">
        <v>1236</v>
      </c>
      <c r="D371" s="92">
        <f>D370*0.3</f>
        <v>10.833333333333332</v>
      </c>
      <c r="E371" s="92">
        <f t="shared" si="24"/>
        <v>10.513</v>
      </c>
      <c r="F371" s="92">
        <v>9.5</v>
      </c>
      <c r="G371" s="70">
        <v>37</v>
      </c>
      <c r="H371" s="92">
        <f>H370*0.3</f>
        <v>10.833333333333332</v>
      </c>
      <c r="I371" s="70">
        <f t="shared" si="25"/>
        <v>12.013</v>
      </c>
      <c r="J371" s="70">
        <v>11</v>
      </c>
      <c r="K371" s="92">
        <v>40</v>
      </c>
      <c r="L371" s="108" t="s">
        <v>932</v>
      </c>
      <c r="M371" s="108" t="s">
        <v>959</v>
      </c>
      <c r="N371" s="93">
        <v>80</v>
      </c>
      <c r="O371" s="85"/>
      <c r="P371" s="86"/>
      <c r="Q371" s="70">
        <v>2.25</v>
      </c>
      <c r="R371" s="73"/>
      <c r="S371" s="74">
        <v>2.1</v>
      </c>
      <c r="T371" s="112">
        <v>150</v>
      </c>
      <c r="U371" s="113" t="s">
        <v>1073</v>
      </c>
      <c r="V371" s="74">
        <v>0</v>
      </c>
      <c r="W371" s="74">
        <v>1.08</v>
      </c>
      <c r="X371" s="74" t="s">
        <v>999</v>
      </c>
      <c r="Y371" s="74">
        <v>2.77</v>
      </c>
      <c r="Z371" s="74" t="s">
        <v>951</v>
      </c>
      <c r="AA371" s="74" t="s">
        <v>952</v>
      </c>
      <c r="AB371" s="74" t="s">
        <v>16</v>
      </c>
    </row>
    <row r="372" spans="1:28" s="63" customFormat="1" ht="12" x14ac:dyDescent="0.3">
      <c r="A372" s="67">
        <v>8</v>
      </c>
      <c r="B372" s="147" t="s">
        <v>1238</v>
      </c>
      <c r="C372" s="67" t="s">
        <v>1239</v>
      </c>
      <c r="D372" s="92">
        <f>5/3.6</f>
        <v>1.3888888888888888</v>
      </c>
      <c r="E372" s="92">
        <f t="shared" si="24"/>
        <v>10.513</v>
      </c>
      <c r="F372" s="92">
        <v>9.5</v>
      </c>
      <c r="G372" s="70">
        <v>37</v>
      </c>
      <c r="H372" s="92">
        <f>5/3.6</f>
        <v>1.3888888888888888</v>
      </c>
      <c r="I372" s="70">
        <f t="shared" si="25"/>
        <v>12.013</v>
      </c>
      <c r="J372" s="70">
        <v>11</v>
      </c>
      <c r="K372" s="92">
        <v>40</v>
      </c>
      <c r="L372" s="67"/>
      <c r="M372" s="156" t="s">
        <v>1234</v>
      </c>
      <c r="N372" s="93">
        <v>50</v>
      </c>
      <c r="O372" s="85"/>
      <c r="P372" s="86"/>
      <c r="Q372" s="70">
        <v>2.25</v>
      </c>
      <c r="R372" s="73"/>
      <c r="S372" s="74"/>
      <c r="T372" s="112">
        <v>150</v>
      </c>
      <c r="U372" s="113" t="s">
        <v>1073</v>
      </c>
      <c r="V372" s="74">
        <v>0</v>
      </c>
      <c r="W372" s="74">
        <v>1.4</v>
      </c>
      <c r="X372" s="74" t="s">
        <v>999</v>
      </c>
      <c r="Y372" s="74">
        <v>2.77</v>
      </c>
      <c r="Z372" s="74" t="s">
        <v>951</v>
      </c>
      <c r="AA372" s="74" t="s">
        <v>952</v>
      </c>
      <c r="AB372" s="74" t="s">
        <v>16</v>
      </c>
    </row>
    <row r="373" spans="1:28" s="63" customFormat="1" ht="21" customHeight="1" x14ac:dyDescent="0.3">
      <c r="A373" s="67">
        <v>9</v>
      </c>
      <c r="B373" s="115" t="s">
        <v>1240</v>
      </c>
      <c r="C373" s="67" t="s">
        <v>1081</v>
      </c>
      <c r="D373" s="92">
        <f>110/3.6</f>
        <v>30.555555555555554</v>
      </c>
      <c r="E373" s="92">
        <f t="shared" si="24"/>
        <v>3.0129999999999999</v>
      </c>
      <c r="F373" s="92">
        <v>2</v>
      </c>
      <c r="G373" s="70">
        <v>37</v>
      </c>
      <c r="H373" s="92">
        <f>110/3.6</f>
        <v>30.555555555555554</v>
      </c>
      <c r="I373" s="70">
        <f t="shared" si="25"/>
        <v>4.0129999999999999</v>
      </c>
      <c r="J373" s="92">
        <v>3</v>
      </c>
      <c r="K373" s="92">
        <v>40</v>
      </c>
      <c r="L373" s="108" t="s">
        <v>932</v>
      </c>
      <c r="M373" s="108" t="s">
        <v>959</v>
      </c>
      <c r="N373" s="93">
        <v>200</v>
      </c>
      <c r="O373" s="85"/>
      <c r="P373" s="86"/>
      <c r="Q373" s="70">
        <v>1.8</v>
      </c>
      <c r="R373" s="73"/>
      <c r="S373" s="74">
        <v>2.1</v>
      </c>
      <c r="T373" s="112"/>
      <c r="U373" s="113"/>
      <c r="V373" s="74"/>
      <c r="W373" s="74"/>
      <c r="X373" s="74"/>
      <c r="Y373" s="74"/>
      <c r="Z373" s="74"/>
      <c r="AA373" s="74"/>
      <c r="AB373" s="74"/>
    </row>
    <row r="374" spans="1:28" s="63" customFormat="1" ht="22.5" x14ac:dyDescent="0.3">
      <c r="A374" s="67">
        <v>10</v>
      </c>
      <c r="B374" s="115" t="s">
        <v>1241</v>
      </c>
      <c r="C374" s="67" t="s">
        <v>1081</v>
      </c>
      <c r="D374" s="92">
        <f>110/3.6</f>
        <v>30.555555555555554</v>
      </c>
      <c r="E374" s="92">
        <f t="shared" si="24"/>
        <v>8.713000000000001</v>
      </c>
      <c r="F374" s="92">
        <v>7.7</v>
      </c>
      <c r="G374" s="70">
        <v>37</v>
      </c>
      <c r="H374" s="92">
        <f>110/3.6</f>
        <v>30.555555555555554</v>
      </c>
      <c r="I374" s="70">
        <f t="shared" si="25"/>
        <v>10.013</v>
      </c>
      <c r="J374" s="92">
        <v>9</v>
      </c>
      <c r="K374" s="92">
        <v>40</v>
      </c>
      <c r="L374" s="108" t="s">
        <v>932</v>
      </c>
      <c r="M374" s="108" t="s">
        <v>959</v>
      </c>
      <c r="N374" s="85">
        <v>150</v>
      </c>
      <c r="O374" s="85"/>
      <c r="P374" s="86"/>
      <c r="Q374" s="70">
        <v>2.2999999999999998</v>
      </c>
      <c r="R374" s="73"/>
      <c r="S374" s="74">
        <v>2.1</v>
      </c>
      <c r="T374" s="112">
        <v>150</v>
      </c>
      <c r="U374" s="113" t="s">
        <v>1073</v>
      </c>
      <c r="V374" s="74">
        <v>0</v>
      </c>
      <c r="W374" s="74">
        <v>1.08</v>
      </c>
      <c r="X374" s="74" t="s">
        <v>999</v>
      </c>
      <c r="Y374" s="74">
        <v>2.77</v>
      </c>
      <c r="Z374" s="74" t="s">
        <v>951</v>
      </c>
      <c r="AA374" s="74" t="s">
        <v>952</v>
      </c>
      <c r="AB374" s="74" t="s">
        <v>16</v>
      </c>
    </row>
    <row r="375" spans="1:28" s="63" customFormat="1" ht="27.75" customHeight="1" x14ac:dyDescent="0.3">
      <c r="A375" s="67">
        <v>11</v>
      </c>
      <c r="B375" s="115" t="s">
        <v>1242</v>
      </c>
      <c r="C375" s="67" t="s">
        <v>1092</v>
      </c>
      <c r="D375" s="92">
        <f>D373*2</f>
        <v>61.111111111111107</v>
      </c>
      <c r="E375" s="92">
        <f t="shared" si="24"/>
        <v>8.713000000000001</v>
      </c>
      <c r="F375" s="92">
        <v>7.7</v>
      </c>
      <c r="G375" s="70">
        <v>37</v>
      </c>
      <c r="H375" s="92">
        <f>H373*2</f>
        <v>61.111111111111107</v>
      </c>
      <c r="I375" s="70">
        <f t="shared" si="25"/>
        <v>10.013</v>
      </c>
      <c r="J375" s="92">
        <v>9</v>
      </c>
      <c r="K375" s="92">
        <v>40</v>
      </c>
      <c r="L375" s="108" t="s">
        <v>932</v>
      </c>
      <c r="M375" s="108" t="s">
        <v>959</v>
      </c>
      <c r="N375" s="85">
        <v>200</v>
      </c>
      <c r="O375" s="85"/>
      <c r="P375" s="86"/>
      <c r="Q375" s="70">
        <v>2.2999999999999998</v>
      </c>
      <c r="R375" s="73"/>
      <c r="S375" s="74">
        <v>2.1</v>
      </c>
      <c r="T375" s="112">
        <v>150</v>
      </c>
      <c r="U375" s="113" t="s">
        <v>1073</v>
      </c>
      <c r="V375" s="74">
        <v>0</v>
      </c>
      <c r="W375" s="74">
        <v>1.08</v>
      </c>
      <c r="X375" s="74" t="s">
        <v>999</v>
      </c>
      <c r="Y375" s="74">
        <v>2.77</v>
      </c>
      <c r="Z375" s="74" t="s">
        <v>951</v>
      </c>
      <c r="AA375" s="74" t="s">
        <v>952</v>
      </c>
      <c r="AB375" s="74" t="s">
        <v>16</v>
      </c>
    </row>
    <row r="376" spans="1:28" s="63" customFormat="1" ht="12" x14ac:dyDescent="0.3">
      <c r="A376" s="67">
        <v>12</v>
      </c>
      <c r="B376" s="115" t="s">
        <v>1243</v>
      </c>
      <c r="C376" s="67" t="s">
        <v>1092</v>
      </c>
      <c r="D376" s="92">
        <f>D375*0.3</f>
        <v>18.333333333333332</v>
      </c>
      <c r="E376" s="92">
        <f t="shared" si="24"/>
        <v>8.713000000000001</v>
      </c>
      <c r="F376" s="92">
        <v>7.7</v>
      </c>
      <c r="G376" s="70">
        <v>37</v>
      </c>
      <c r="H376" s="92">
        <f>H375*0.3</f>
        <v>18.333333333333332</v>
      </c>
      <c r="I376" s="70">
        <f t="shared" si="25"/>
        <v>10.013</v>
      </c>
      <c r="J376" s="92">
        <v>9</v>
      </c>
      <c r="K376" s="92">
        <v>40</v>
      </c>
      <c r="L376" s="108" t="s">
        <v>932</v>
      </c>
      <c r="M376" s="108" t="s">
        <v>959</v>
      </c>
      <c r="N376" s="85">
        <v>100</v>
      </c>
      <c r="O376" s="85"/>
      <c r="P376" s="86"/>
      <c r="Q376" s="70">
        <v>2.2999999999999998</v>
      </c>
      <c r="R376" s="73"/>
      <c r="S376" s="74">
        <v>2.1</v>
      </c>
      <c r="T376" s="112">
        <v>150</v>
      </c>
      <c r="U376" s="113" t="s">
        <v>1073</v>
      </c>
      <c r="V376" s="74">
        <v>0</v>
      </c>
      <c r="W376" s="74">
        <v>0.73</v>
      </c>
      <c r="X376" s="74" t="s">
        <v>999</v>
      </c>
      <c r="Y376" s="74">
        <v>2.11</v>
      </c>
      <c r="Z376" s="74" t="s">
        <v>951</v>
      </c>
      <c r="AA376" s="74" t="s">
        <v>952</v>
      </c>
      <c r="AB376" s="74" t="s">
        <v>16</v>
      </c>
    </row>
    <row r="377" spans="1:28" s="63" customFormat="1" ht="22.5" x14ac:dyDescent="0.3">
      <c r="A377" s="67">
        <v>13</v>
      </c>
      <c r="B377" s="115" t="s">
        <v>1244</v>
      </c>
      <c r="C377" s="67" t="s">
        <v>1245</v>
      </c>
      <c r="D377" s="92">
        <f>D378*2</f>
        <v>960</v>
      </c>
      <c r="E377" s="92">
        <f t="shared" si="24"/>
        <v>3.0129999999999999</v>
      </c>
      <c r="F377" s="92">
        <v>2</v>
      </c>
      <c r="G377" s="70">
        <v>37</v>
      </c>
      <c r="H377" s="92">
        <f>H378*2</f>
        <v>960</v>
      </c>
      <c r="I377" s="70">
        <f t="shared" si="25"/>
        <v>4.0129999999999999</v>
      </c>
      <c r="J377" s="70">
        <v>3</v>
      </c>
      <c r="K377" s="92">
        <v>40</v>
      </c>
      <c r="L377" s="67"/>
      <c r="M377" s="156" t="s">
        <v>1234</v>
      </c>
      <c r="N377" s="93">
        <v>500</v>
      </c>
      <c r="O377" s="85"/>
      <c r="P377" s="86"/>
      <c r="Q377" s="70">
        <v>2.2999999999999998</v>
      </c>
      <c r="R377" s="73"/>
      <c r="S377" s="74"/>
      <c r="T377" s="112">
        <v>150</v>
      </c>
      <c r="U377" s="113" t="s">
        <v>1073</v>
      </c>
      <c r="V377" s="74">
        <v>0</v>
      </c>
      <c r="W377" s="74">
        <v>1.08</v>
      </c>
      <c r="X377" s="74" t="s">
        <v>999</v>
      </c>
      <c r="Y377" s="74">
        <v>2.77</v>
      </c>
      <c r="Z377" s="74" t="s">
        <v>951</v>
      </c>
      <c r="AA377" s="74" t="s">
        <v>952</v>
      </c>
      <c r="AB377" s="74" t="s">
        <v>16</v>
      </c>
    </row>
    <row r="378" spans="1:28" s="63" customFormat="1" ht="12" x14ac:dyDescent="0.3">
      <c r="A378" s="67">
        <v>14</v>
      </c>
      <c r="B378" s="115" t="s">
        <v>1246</v>
      </c>
      <c r="C378" s="67" t="s">
        <v>1081</v>
      </c>
      <c r="D378" s="92">
        <v>480</v>
      </c>
      <c r="E378" s="92">
        <f t="shared" si="24"/>
        <v>3.0129999999999999</v>
      </c>
      <c r="F378" s="92">
        <v>2</v>
      </c>
      <c r="G378" s="70">
        <v>37</v>
      </c>
      <c r="H378" s="92">
        <v>480</v>
      </c>
      <c r="I378" s="70">
        <f t="shared" si="25"/>
        <v>4.0129999999999999</v>
      </c>
      <c r="J378" s="70">
        <v>3</v>
      </c>
      <c r="K378" s="92">
        <v>40</v>
      </c>
      <c r="L378" s="108" t="s">
        <v>932</v>
      </c>
      <c r="M378" s="108" t="s">
        <v>959</v>
      </c>
      <c r="N378" s="85">
        <v>350</v>
      </c>
      <c r="O378" s="85"/>
      <c r="P378" s="86"/>
      <c r="Q378" s="70">
        <v>1.8</v>
      </c>
      <c r="R378" s="73"/>
      <c r="S378" s="74">
        <v>2.1</v>
      </c>
      <c r="T378" s="112">
        <v>150</v>
      </c>
      <c r="U378" s="113" t="s">
        <v>1073</v>
      </c>
      <c r="V378" s="74">
        <v>0</v>
      </c>
      <c r="W378" s="74">
        <v>1.08</v>
      </c>
      <c r="X378" s="74" t="s">
        <v>999</v>
      </c>
      <c r="Y378" s="74">
        <v>2.77</v>
      </c>
      <c r="Z378" s="74" t="s">
        <v>951</v>
      </c>
      <c r="AA378" s="74" t="s">
        <v>952</v>
      </c>
      <c r="AB378" s="74" t="s">
        <v>16</v>
      </c>
    </row>
    <row r="379" spans="1:28" s="63" customFormat="1" ht="12" x14ac:dyDescent="0.3">
      <c r="A379" s="67">
        <v>15</v>
      </c>
      <c r="B379" s="115" t="s">
        <v>1247</v>
      </c>
      <c r="C379" s="67" t="s">
        <v>1081</v>
      </c>
      <c r="D379" s="92">
        <v>480</v>
      </c>
      <c r="E379" s="92">
        <f t="shared" si="24"/>
        <v>11.413</v>
      </c>
      <c r="F379" s="70">
        <v>10.4</v>
      </c>
      <c r="G379" s="70">
        <v>37</v>
      </c>
      <c r="H379" s="92">
        <v>480</v>
      </c>
      <c r="I379" s="70">
        <f t="shared" si="25"/>
        <v>12.513</v>
      </c>
      <c r="J379" s="70">
        <v>11.5</v>
      </c>
      <c r="K379" s="92">
        <v>40</v>
      </c>
      <c r="L379" s="108" t="s">
        <v>932</v>
      </c>
      <c r="M379" s="108" t="s">
        <v>959</v>
      </c>
      <c r="N379" s="85">
        <v>300</v>
      </c>
      <c r="O379" s="85"/>
      <c r="P379" s="86"/>
      <c r="Q379" s="70">
        <v>2.2999999999999998</v>
      </c>
      <c r="R379" s="73"/>
      <c r="S379" s="74">
        <v>2.1</v>
      </c>
      <c r="T379" s="112">
        <v>150</v>
      </c>
      <c r="U379" s="113" t="s">
        <v>1073</v>
      </c>
      <c r="V379" s="74">
        <v>0</v>
      </c>
      <c r="W379" s="74">
        <v>1.08</v>
      </c>
      <c r="X379" s="74" t="s">
        <v>999</v>
      </c>
      <c r="Y379" s="74">
        <v>2.77</v>
      </c>
      <c r="Z379" s="74" t="s">
        <v>951</v>
      </c>
      <c r="AA379" s="74" t="s">
        <v>952</v>
      </c>
      <c r="AB379" s="74" t="s">
        <v>16</v>
      </c>
    </row>
    <row r="380" spans="1:28" s="63" customFormat="1" ht="12" x14ac:dyDescent="0.3">
      <c r="A380" s="67">
        <v>16</v>
      </c>
      <c r="B380" s="115" t="s">
        <v>1248</v>
      </c>
      <c r="C380" s="67" t="s">
        <v>1249</v>
      </c>
      <c r="D380" s="92">
        <f>D379*2</f>
        <v>960</v>
      </c>
      <c r="E380" s="92">
        <f t="shared" si="24"/>
        <v>11.413</v>
      </c>
      <c r="F380" s="70">
        <v>10.4</v>
      </c>
      <c r="G380" s="70">
        <v>37</v>
      </c>
      <c r="H380" s="92">
        <f>H379*2</f>
        <v>960</v>
      </c>
      <c r="I380" s="70">
        <f t="shared" si="25"/>
        <v>12.513</v>
      </c>
      <c r="J380" s="70">
        <v>11.5</v>
      </c>
      <c r="K380" s="92">
        <v>40</v>
      </c>
      <c r="L380" s="67"/>
      <c r="M380" s="156" t="s">
        <v>1234</v>
      </c>
      <c r="N380" s="85">
        <v>450</v>
      </c>
      <c r="O380" s="85"/>
      <c r="P380" s="86"/>
      <c r="Q380" s="70">
        <v>2.2999999999999998</v>
      </c>
      <c r="R380" s="73"/>
      <c r="S380" s="74">
        <v>2.1</v>
      </c>
      <c r="T380" s="112">
        <v>150</v>
      </c>
      <c r="U380" s="113" t="s">
        <v>1073</v>
      </c>
      <c r="V380" s="74">
        <v>0</v>
      </c>
      <c r="W380" s="74">
        <v>1.08</v>
      </c>
      <c r="X380" s="74" t="s">
        <v>999</v>
      </c>
      <c r="Y380" s="74">
        <v>2.77</v>
      </c>
      <c r="Z380" s="74" t="s">
        <v>951</v>
      </c>
      <c r="AA380" s="74" t="s">
        <v>952</v>
      </c>
      <c r="AB380" s="74" t="s">
        <v>16</v>
      </c>
    </row>
    <row r="381" spans="1:28" s="63" customFormat="1" ht="22.5" x14ac:dyDescent="0.3">
      <c r="A381" s="67">
        <v>17</v>
      </c>
      <c r="B381" s="115" t="s">
        <v>1250</v>
      </c>
      <c r="C381" s="67" t="s">
        <v>1249</v>
      </c>
      <c r="D381" s="92">
        <f>541.48/3.6</f>
        <v>150.41111111111113</v>
      </c>
      <c r="E381" s="92">
        <f t="shared" si="24"/>
        <v>11.413</v>
      </c>
      <c r="F381" s="70">
        <v>10.4</v>
      </c>
      <c r="G381" s="70">
        <v>37</v>
      </c>
      <c r="H381" s="92">
        <f>541.48/3.6</f>
        <v>150.41111111111113</v>
      </c>
      <c r="I381" s="70">
        <f t="shared" si="25"/>
        <v>12.513</v>
      </c>
      <c r="J381" s="70">
        <v>11.5</v>
      </c>
      <c r="K381" s="92">
        <v>40</v>
      </c>
      <c r="L381" s="67"/>
      <c r="M381" s="156" t="s">
        <v>1234</v>
      </c>
      <c r="N381" s="85">
        <v>630</v>
      </c>
      <c r="O381" s="85"/>
      <c r="P381" s="86"/>
      <c r="Q381" s="70">
        <v>2.2999999999999998</v>
      </c>
      <c r="R381" s="73"/>
      <c r="S381" s="74">
        <v>2.1</v>
      </c>
      <c r="T381" s="112">
        <v>150</v>
      </c>
      <c r="U381" s="113" t="s">
        <v>1073</v>
      </c>
      <c r="V381" s="74">
        <v>0</v>
      </c>
      <c r="W381" s="74">
        <v>0.73</v>
      </c>
      <c r="X381" s="74" t="s">
        <v>999</v>
      </c>
      <c r="Y381" s="74">
        <v>2.11</v>
      </c>
      <c r="Z381" s="74" t="s">
        <v>951</v>
      </c>
      <c r="AA381" s="74" t="s">
        <v>952</v>
      </c>
      <c r="AB381" s="74" t="s">
        <v>16</v>
      </c>
    </row>
    <row r="382" spans="1:28" s="63" customFormat="1" ht="22.5" x14ac:dyDescent="0.3">
      <c r="A382" s="67">
        <v>18</v>
      </c>
      <c r="B382" s="115" t="s">
        <v>1251</v>
      </c>
      <c r="C382" s="67" t="s">
        <v>1252</v>
      </c>
      <c r="D382" s="92">
        <f>416.67/3.6</f>
        <v>115.74166666666667</v>
      </c>
      <c r="E382" s="92">
        <f t="shared" si="24"/>
        <v>11.413</v>
      </c>
      <c r="F382" s="70">
        <v>10.4</v>
      </c>
      <c r="G382" s="70">
        <v>37</v>
      </c>
      <c r="H382" s="92">
        <f>416.67/3.6</f>
        <v>115.74166666666667</v>
      </c>
      <c r="I382" s="70">
        <f t="shared" si="25"/>
        <v>12.513</v>
      </c>
      <c r="J382" s="70">
        <v>11.5</v>
      </c>
      <c r="K382" s="92">
        <v>40</v>
      </c>
      <c r="L382" s="67"/>
      <c r="M382" s="156" t="s">
        <v>1234</v>
      </c>
      <c r="N382" s="93">
        <v>400</v>
      </c>
      <c r="O382" s="85"/>
      <c r="P382" s="86"/>
      <c r="Q382" s="70">
        <v>2.2999999999999998</v>
      </c>
      <c r="R382" s="73"/>
      <c r="S382" s="74">
        <v>2.1</v>
      </c>
      <c r="T382" s="112">
        <v>150</v>
      </c>
      <c r="U382" s="113" t="s">
        <v>1073</v>
      </c>
      <c r="V382" s="74">
        <v>0</v>
      </c>
      <c r="W382" s="74">
        <v>1.08</v>
      </c>
      <c r="X382" s="74" t="s">
        <v>999</v>
      </c>
      <c r="Y382" s="74">
        <v>2.77</v>
      </c>
      <c r="Z382" s="74" t="s">
        <v>951</v>
      </c>
      <c r="AA382" s="74" t="s">
        <v>952</v>
      </c>
      <c r="AB382" s="74" t="s">
        <v>16</v>
      </c>
    </row>
    <row r="383" spans="1:28" s="63" customFormat="1" ht="12" x14ac:dyDescent="0.3">
      <c r="A383" s="67">
        <v>19</v>
      </c>
      <c r="B383" s="115" t="s">
        <v>1253</v>
      </c>
      <c r="C383" s="67" t="s">
        <v>1081</v>
      </c>
      <c r="D383" s="92">
        <f>D380*0.3</f>
        <v>288</v>
      </c>
      <c r="E383" s="92">
        <f t="shared" si="24"/>
        <v>11.413</v>
      </c>
      <c r="F383" s="70">
        <v>10.4</v>
      </c>
      <c r="G383" s="70">
        <v>37</v>
      </c>
      <c r="H383" s="92">
        <f>H380*0.3</f>
        <v>288</v>
      </c>
      <c r="I383" s="70">
        <f t="shared" si="25"/>
        <v>12.513</v>
      </c>
      <c r="J383" s="70">
        <v>11.5</v>
      </c>
      <c r="K383" s="92">
        <v>40</v>
      </c>
      <c r="L383" s="108" t="s">
        <v>932</v>
      </c>
      <c r="M383" s="108" t="s">
        <v>959</v>
      </c>
      <c r="N383" s="93">
        <v>250</v>
      </c>
      <c r="O383" s="85"/>
      <c r="P383" s="86"/>
      <c r="Q383" s="70">
        <v>2.2999999999999998</v>
      </c>
      <c r="R383" s="73"/>
      <c r="S383" s="74">
        <v>2.1</v>
      </c>
      <c r="T383" s="112">
        <v>150</v>
      </c>
      <c r="U383" s="113" t="s">
        <v>1073</v>
      </c>
      <c r="V383" s="74">
        <v>0</v>
      </c>
      <c r="W383" s="74">
        <v>1.08</v>
      </c>
      <c r="X383" s="74" t="s">
        <v>999</v>
      </c>
      <c r="Y383" s="74">
        <v>2.77</v>
      </c>
      <c r="Z383" s="74" t="s">
        <v>951</v>
      </c>
      <c r="AA383" s="74" t="s">
        <v>952</v>
      </c>
      <c r="AB383" s="74" t="s">
        <v>16</v>
      </c>
    </row>
    <row r="384" spans="1:28" s="63" customFormat="1" ht="12" x14ac:dyDescent="0.3">
      <c r="A384" s="67"/>
      <c r="B384" s="115"/>
      <c r="C384" s="67"/>
      <c r="D384" s="70"/>
      <c r="E384" s="70"/>
      <c r="F384" s="70"/>
      <c r="G384" s="70"/>
      <c r="H384" s="70"/>
      <c r="I384" s="70"/>
      <c r="J384" s="70"/>
      <c r="K384" s="70"/>
      <c r="L384" s="67"/>
      <c r="M384" s="67"/>
      <c r="N384" s="85"/>
      <c r="O384" s="85"/>
      <c r="P384" s="86"/>
      <c r="Q384" s="70"/>
      <c r="R384" s="73"/>
      <c r="S384" s="74"/>
      <c r="T384" s="112">
        <v>150</v>
      </c>
      <c r="U384" s="113" t="s">
        <v>1073</v>
      </c>
      <c r="V384" s="74">
        <v>0</v>
      </c>
      <c r="W384" s="74">
        <v>2.2699999999999996</v>
      </c>
      <c r="X384" s="74" t="s">
        <v>999</v>
      </c>
      <c r="Y384" s="74">
        <v>3.96</v>
      </c>
      <c r="Z384" s="74" t="s">
        <v>951</v>
      </c>
      <c r="AA384" s="74" t="s">
        <v>952</v>
      </c>
      <c r="AB384" s="74" t="s">
        <v>16</v>
      </c>
    </row>
    <row r="385" spans="1:28" s="63" customFormat="1" ht="12" x14ac:dyDescent="0.3">
      <c r="A385" s="55" t="s">
        <v>1254</v>
      </c>
      <c r="B385" s="56" t="s">
        <v>1255</v>
      </c>
      <c r="C385" s="55"/>
      <c r="D385" s="57"/>
      <c r="E385" s="57"/>
      <c r="F385" s="57"/>
      <c r="G385" s="57"/>
      <c r="H385" s="57"/>
      <c r="I385" s="57"/>
      <c r="J385" s="57"/>
      <c r="K385" s="57"/>
      <c r="L385" s="57"/>
      <c r="M385" s="58"/>
      <c r="N385" s="59"/>
      <c r="O385" s="59"/>
      <c r="P385" s="60"/>
      <c r="Q385" s="57"/>
      <c r="R385" s="61"/>
      <c r="S385" s="145"/>
      <c r="T385" s="112">
        <v>150</v>
      </c>
      <c r="U385" s="113" t="s">
        <v>1073</v>
      </c>
      <c r="V385" s="74">
        <v>0</v>
      </c>
      <c r="W385" s="74">
        <v>2.2699999999999996</v>
      </c>
      <c r="X385" s="74" t="s">
        <v>999</v>
      </c>
      <c r="Y385" s="74">
        <v>3.96</v>
      </c>
      <c r="Z385" s="74" t="s">
        <v>951</v>
      </c>
      <c r="AA385" s="74" t="s">
        <v>952</v>
      </c>
      <c r="AB385" s="74" t="s">
        <v>16</v>
      </c>
    </row>
    <row r="386" spans="1:28" s="63" customFormat="1" ht="12" x14ac:dyDescent="0.3">
      <c r="A386" s="67">
        <v>1</v>
      </c>
      <c r="B386" s="115" t="s">
        <v>1256</v>
      </c>
      <c r="C386" s="67" t="s">
        <v>1257</v>
      </c>
      <c r="D386" s="70"/>
      <c r="E386" s="70">
        <v>140</v>
      </c>
      <c r="F386" s="70">
        <f t="shared" ref="F386:F391" si="26">E386-1.013</f>
        <v>138.98699999999999</v>
      </c>
      <c r="G386" s="70" t="s">
        <v>1258</v>
      </c>
      <c r="H386" s="70">
        <f t="shared" ref="H386:H391" si="27">D386</f>
        <v>0</v>
      </c>
      <c r="I386" s="70">
        <f t="shared" ref="I386:I391" si="28">ROUNDUP(E386*115%,0)</f>
        <v>161</v>
      </c>
      <c r="J386" s="70">
        <f t="shared" ref="J386:J391" si="29">I386-1.013</f>
        <v>159.98699999999999</v>
      </c>
      <c r="K386" s="70" t="s">
        <v>1258</v>
      </c>
      <c r="L386" s="108" t="s">
        <v>1259</v>
      </c>
      <c r="M386" s="108" t="s">
        <v>1260</v>
      </c>
      <c r="N386" s="93">
        <v>25</v>
      </c>
      <c r="O386" s="85" t="s">
        <v>1261</v>
      </c>
      <c r="P386" s="86"/>
      <c r="Q386" s="70">
        <v>2.7</v>
      </c>
      <c r="R386" s="73"/>
      <c r="S386" s="74">
        <v>2.1</v>
      </c>
      <c r="T386" s="112">
        <v>150</v>
      </c>
      <c r="U386" s="113" t="s">
        <v>1073</v>
      </c>
      <c r="V386" s="74">
        <v>0</v>
      </c>
      <c r="W386" s="74">
        <v>2.2699999999999996</v>
      </c>
      <c r="X386" s="74" t="s">
        <v>999</v>
      </c>
      <c r="Y386" s="74">
        <v>3.96</v>
      </c>
      <c r="Z386" s="74" t="s">
        <v>951</v>
      </c>
      <c r="AA386" s="74" t="s">
        <v>952</v>
      </c>
      <c r="AB386" s="74" t="s">
        <v>16</v>
      </c>
    </row>
    <row r="387" spans="1:28" s="63" customFormat="1" ht="12" x14ac:dyDescent="0.3">
      <c r="A387" s="67">
        <v>2</v>
      </c>
      <c r="B387" s="115" t="s">
        <v>1262</v>
      </c>
      <c r="C387" s="67" t="s">
        <v>1263</v>
      </c>
      <c r="D387" s="70"/>
      <c r="E387" s="70">
        <v>8.6</v>
      </c>
      <c r="F387" s="70">
        <f t="shared" si="26"/>
        <v>7.5869999999999997</v>
      </c>
      <c r="G387" s="70" t="s">
        <v>1258</v>
      </c>
      <c r="H387" s="70">
        <f t="shared" si="27"/>
        <v>0</v>
      </c>
      <c r="I387" s="70">
        <f t="shared" si="28"/>
        <v>10</v>
      </c>
      <c r="J387" s="70">
        <f t="shared" si="29"/>
        <v>8.9870000000000001</v>
      </c>
      <c r="K387" s="70" t="s">
        <v>1258</v>
      </c>
      <c r="L387" s="108" t="s">
        <v>1264</v>
      </c>
      <c r="M387" s="108" t="s">
        <v>1260</v>
      </c>
      <c r="N387" s="93">
        <v>25</v>
      </c>
      <c r="O387" s="85" t="s">
        <v>1261</v>
      </c>
      <c r="P387" s="86"/>
      <c r="Q387" s="70">
        <v>2.7</v>
      </c>
      <c r="R387" s="73"/>
      <c r="S387" s="74">
        <v>2.1</v>
      </c>
      <c r="T387" s="112">
        <v>150</v>
      </c>
      <c r="U387" s="113" t="s">
        <v>1073</v>
      </c>
      <c r="V387" s="74">
        <v>0</v>
      </c>
      <c r="W387" s="74">
        <v>2.2699999999999996</v>
      </c>
      <c r="X387" s="74" t="s">
        <v>999</v>
      </c>
      <c r="Y387" s="74">
        <v>3.96</v>
      </c>
      <c r="Z387" s="74" t="s">
        <v>951</v>
      </c>
      <c r="AA387" s="74" t="s">
        <v>952</v>
      </c>
      <c r="AB387" s="74" t="s">
        <v>16</v>
      </c>
    </row>
    <row r="388" spans="1:28" s="63" customFormat="1" ht="12" x14ac:dyDescent="0.3">
      <c r="A388" s="67">
        <v>3</v>
      </c>
      <c r="B388" s="115" t="s">
        <v>1265</v>
      </c>
      <c r="C388" s="67" t="s">
        <v>1266</v>
      </c>
      <c r="D388" s="70"/>
      <c r="E388" s="70">
        <v>142</v>
      </c>
      <c r="F388" s="70">
        <f t="shared" si="26"/>
        <v>140.98699999999999</v>
      </c>
      <c r="G388" s="70" t="s">
        <v>1258</v>
      </c>
      <c r="H388" s="70">
        <f t="shared" si="27"/>
        <v>0</v>
      </c>
      <c r="I388" s="70">
        <f t="shared" si="28"/>
        <v>164</v>
      </c>
      <c r="J388" s="70">
        <f t="shared" si="29"/>
        <v>162.98699999999999</v>
      </c>
      <c r="K388" s="70" t="s">
        <v>1258</v>
      </c>
      <c r="L388" s="108" t="s">
        <v>1259</v>
      </c>
      <c r="M388" s="108" t="s">
        <v>1260</v>
      </c>
      <c r="N388" s="93">
        <v>25</v>
      </c>
      <c r="O388" s="85" t="s">
        <v>1261</v>
      </c>
      <c r="P388" s="86"/>
      <c r="Q388" s="70">
        <v>2.7</v>
      </c>
      <c r="R388" s="73"/>
      <c r="S388" s="74">
        <v>2.1</v>
      </c>
      <c r="T388" s="112"/>
      <c r="U388" s="113"/>
      <c r="V388" s="74"/>
      <c r="W388" s="74"/>
      <c r="X388" s="74"/>
      <c r="Y388" s="74"/>
      <c r="Z388" s="74"/>
      <c r="AA388" s="74"/>
      <c r="AB388" s="74"/>
    </row>
    <row r="389" spans="1:28" s="63" customFormat="1" ht="12" x14ac:dyDescent="0.3">
      <c r="A389" s="67">
        <v>4</v>
      </c>
      <c r="B389" s="115" t="s">
        <v>1267</v>
      </c>
      <c r="C389" s="67" t="s">
        <v>1268</v>
      </c>
      <c r="D389" s="70"/>
      <c r="E389" s="70">
        <v>4</v>
      </c>
      <c r="F389" s="70">
        <f t="shared" si="26"/>
        <v>2.9870000000000001</v>
      </c>
      <c r="G389" s="70" t="s">
        <v>1258</v>
      </c>
      <c r="H389" s="70">
        <f t="shared" si="27"/>
        <v>0</v>
      </c>
      <c r="I389" s="70">
        <f t="shared" si="28"/>
        <v>5</v>
      </c>
      <c r="J389" s="70">
        <f t="shared" si="29"/>
        <v>3.9870000000000001</v>
      </c>
      <c r="K389" s="70" t="s">
        <v>1258</v>
      </c>
      <c r="L389" s="108" t="s">
        <v>1264</v>
      </c>
      <c r="M389" s="108" t="s">
        <v>1260</v>
      </c>
      <c r="N389" s="93">
        <v>25</v>
      </c>
      <c r="O389" s="85" t="s">
        <v>1261</v>
      </c>
      <c r="P389" s="86"/>
      <c r="Q389" s="70">
        <v>2.7</v>
      </c>
      <c r="R389" s="73"/>
      <c r="S389" s="74">
        <v>2.1</v>
      </c>
      <c r="T389" s="112"/>
      <c r="U389" s="113"/>
      <c r="V389" s="74"/>
      <c r="W389" s="74"/>
      <c r="X389" s="74"/>
      <c r="Y389" s="74"/>
      <c r="Z389" s="74"/>
      <c r="AA389" s="74"/>
      <c r="AB389" s="74"/>
    </row>
    <row r="390" spans="1:28" s="63" customFormat="1" ht="12" x14ac:dyDescent="0.3">
      <c r="A390" s="67">
        <v>5</v>
      </c>
      <c r="B390" s="115" t="s">
        <v>1269</v>
      </c>
      <c r="C390" s="67" t="s">
        <v>1270</v>
      </c>
      <c r="D390" s="70"/>
      <c r="E390" s="70">
        <v>15</v>
      </c>
      <c r="F390" s="70">
        <f t="shared" si="26"/>
        <v>13.987</v>
      </c>
      <c r="G390" s="70" t="s">
        <v>1258</v>
      </c>
      <c r="H390" s="70">
        <f t="shared" si="27"/>
        <v>0</v>
      </c>
      <c r="I390" s="70">
        <f t="shared" si="28"/>
        <v>18</v>
      </c>
      <c r="J390" s="70">
        <f t="shared" si="29"/>
        <v>16.987000000000002</v>
      </c>
      <c r="K390" s="70" t="s">
        <v>1258</v>
      </c>
      <c r="L390" s="108" t="s">
        <v>1264</v>
      </c>
      <c r="M390" s="108" t="s">
        <v>1260</v>
      </c>
      <c r="N390" s="93">
        <v>25</v>
      </c>
      <c r="O390" s="85" t="s">
        <v>1261</v>
      </c>
      <c r="P390" s="86"/>
      <c r="Q390" s="70">
        <v>2.7</v>
      </c>
      <c r="R390" s="73"/>
      <c r="S390" s="74">
        <v>2.1</v>
      </c>
      <c r="T390" s="112"/>
      <c r="U390" s="113"/>
      <c r="V390" s="74"/>
      <c r="W390" s="74"/>
      <c r="X390" s="74"/>
      <c r="Y390" s="74"/>
      <c r="Z390" s="74"/>
      <c r="AA390" s="74"/>
      <c r="AB390" s="74"/>
    </row>
    <row r="391" spans="1:28" s="63" customFormat="1" ht="12" x14ac:dyDescent="0.3">
      <c r="A391" s="67">
        <v>6</v>
      </c>
      <c r="B391" s="115" t="s">
        <v>1271</v>
      </c>
      <c r="C391" s="67" t="s">
        <v>1272</v>
      </c>
      <c r="D391" s="70"/>
      <c r="E391" s="70">
        <v>4</v>
      </c>
      <c r="F391" s="70">
        <f t="shared" si="26"/>
        <v>2.9870000000000001</v>
      </c>
      <c r="G391" s="70" t="s">
        <v>1258</v>
      </c>
      <c r="H391" s="70">
        <f t="shared" si="27"/>
        <v>0</v>
      </c>
      <c r="I391" s="70">
        <f t="shared" si="28"/>
        <v>5</v>
      </c>
      <c r="J391" s="70">
        <f t="shared" si="29"/>
        <v>3.9870000000000001</v>
      </c>
      <c r="K391" s="70" t="s">
        <v>1258</v>
      </c>
      <c r="L391" s="108" t="s">
        <v>1264</v>
      </c>
      <c r="M391" s="108" t="s">
        <v>1260</v>
      </c>
      <c r="N391" s="93">
        <v>25</v>
      </c>
      <c r="O391" s="85" t="s">
        <v>1261</v>
      </c>
      <c r="P391" s="86"/>
      <c r="Q391" s="70">
        <v>2.7</v>
      </c>
      <c r="R391" s="73"/>
      <c r="S391" s="74">
        <v>2.1</v>
      </c>
      <c r="T391" s="112"/>
      <c r="U391" s="113"/>
      <c r="V391" s="74"/>
      <c r="W391" s="74"/>
      <c r="X391" s="74"/>
      <c r="Y391" s="74"/>
      <c r="Z391" s="74"/>
      <c r="AA391" s="74"/>
      <c r="AB391" s="74"/>
    </row>
    <row r="392" spans="1:28" s="63" customFormat="1" ht="12" x14ac:dyDescent="0.3">
      <c r="A392" s="67"/>
      <c r="B392" s="115"/>
      <c r="C392" s="67"/>
      <c r="D392" s="70"/>
      <c r="E392" s="70"/>
      <c r="F392" s="70"/>
      <c r="G392" s="70"/>
      <c r="H392" s="70"/>
      <c r="I392" s="70"/>
      <c r="J392" s="70"/>
      <c r="K392" s="70"/>
      <c r="L392" s="67"/>
      <c r="M392" s="67"/>
      <c r="N392" s="85"/>
      <c r="O392" s="85"/>
      <c r="P392" s="86"/>
      <c r="Q392" s="70"/>
      <c r="R392" s="73"/>
      <c r="S392" s="74"/>
      <c r="T392" s="112"/>
      <c r="U392" s="113"/>
      <c r="V392" s="74"/>
      <c r="W392" s="74"/>
      <c r="X392" s="74"/>
      <c r="Y392" s="74"/>
      <c r="Z392" s="74"/>
      <c r="AA392" s="74"/>
      <c r="AB392" s="74"/>
    </row>
    <row r="393" spans="1:28" x14ac:dyDescent="0.3">
      <c r="A393" s="55" t="s">
        <v>1273</v>
      </c>
      <c r="B393" s="56" t="s">
        <v>1274</v>
      </c>
      <c r="C393" s="55"/>
      <c r="D393" s="57"/>
      <c r="E393" s="57"/>
      <c r="F393" s="57"/>
      <c r="G393" s="57"/>
      <c r="H393" s="57"/>
      <c r="I393" s="57"/>
      <c r="J393" s="57"/>
      <c r="K393" s="57"/>
      <c r="L393" s="57"/>
      <c r="M393" s="58"/>
      <c r="N393" s="59"/>
      <c r="O393" s="59"/>
      <c r="P393" s="60"/>
      <c r="Q393" s="60"/>
      <c r="R393" s="57"/>
      <c r="S393" s="74"/>
    </row>
    <row r="394" spans="1:28" x14ac:dyDescent="0.3">
      <c r="A394" s="67">
        <v>1</v>
      </c>
      <c r="B394" s="115" t="s">
        <v>1275</v>
      </c>
      <c r="C394" s="67"/>
      <c r="D394" s="70"/>
      <c r="E394" s="70">
        <v>148</v>
      </c>
      <c r="F394" s="70">
        <f t="shared" ref="F394:F399" si="30">E394-1.013</f>
        <v>146.98699999999999</v>
      </c>
      <c r="G394" s="70">
        <v>342</v>
      </c>
      <c r="H394" s="70"/>
      <c r="I394" s="70"/>
      <c r="J394" s="70">
        <f>F394*1.1</f>
        <v>161.6857</v>
      </c>
      <c r="K394" s="70">
        <f t="shared" ref="K394:K399" si="31">G394+10</f>
        <v>352</v>
      </c>
      <c r="L394" s="67"/>
      <c r="M394" s="67" t="s">
        <v>959</v>
      </c>
      <c r="N394" s="85">
        <v>20</v>
      </c>
      <c r="O394" s="85"/>
      <c r="P394" s="86"/>
      <c r="Q394" s="86" t="s">
        <v>1276</v>
      </c>
      <c r="R394" s="70">
        <v>3</v>
      </c>
      <c r="S394" s="74"/>
    </row>
    <row r="395" spans="1:28" x14ac:dyDescent="0.3">
      <c r="A395" s="67">
        <v>2</v>
      </c>
      <c r="B395" s="115" t="s">
        <v>1277</v>
      </c>
      <c r="C395" s="67"/>
      <c r="D395" s="70"/>
      <c r="E395" s="70">
        <v>145</v>
      </c>
      <c r="F395" s="70">
        <f t="shared" si="30"/>
        <v>143.98699999999999</v>
      </c>
      <c r="G395" s="70">
        <v>342</v>
      </c>
      <c r="H395" s="70"/>
      <c r="I395" s="70"/>
      <c r="J395" s="70">
        <f>J394</f>
        <v>161.6857</v>
      </c>
      <c r="K395" s="70">
        <f t="shared" si="31"/>
        <v>352</v>
      </c>
      <c r="L395" s="67"/>
      <c r="M395" s="67" t="s">
        <v>959</v>
      </c>
      <c r="N395" s="85">
        <v>20</v>
      </c>
      <c r="O395" s="85"/>
      <c r="P395" s="86"/>
      <c r="Q395" s="86" t="s">
        <v>1276</v>
      </c>
      <c r="R395" s="70">
        <v>3</v>
      </c>
      <c r="S395" s="74"/>
    </row>
    <row r="396" spans="1:28" x14ac:dyDescent="0.3">
      <c r="A396" s="67">
        <v>3</v>
      </c>
      <c r="B396" s="115" t="s">
        <v>1278</v>
      </c>
      <c r="C396" s="67"/>
      <c r="D396" s="70"/>
      <c r="E396" s="70">
        <v>143.30000000000001</v>
      </c>
      <c r="F396" s="70">
        <f t="shared" si="30"/>
        <v>142.28700000000001</v>
      </c>
      <c r="G396" s="70">
        <v>567.1</v>
      </c>
      <c r="H396" s="70"/>
      <c r="I396" s="70"/>
      <c r="J396" s="70">
        <f>F396*1.1</f>
        <v>156.51570000000001</v>
      </c>
      <c r="K396" s="70">
        <f t="shared" si="31"/>
        <v>577.1</v>
      </c>
      <c r="L396" s="67"/>
      <c r="M396" s="67" t="s">
        <v>959</v>
      </c>
      <c r="N396" s="85">
        <v>20</v>
      </c>
      <c r="O396" s="85"/>
      <c r="P396" s="86"/>
      <c r="Q396" s="86" t="s">
        <v>1276</v>
      </c>
      <c r="R396" s="70">
        <v>3</v>
      </c>
      <c r="S396" s="74"/>
    </row>
    <row r="397" spans="1:28" x14ac:dyDescent="0.3">
      <c r="A397" s="67">
        <v>4</v>
      </c>
      <c r="B397" s="115" t="s">
        <v>1279</v>
      </c>
      <c r="C397" s="67"/>
      <c r="D397" s="70"/>
      <c r="E397" s="70">
        <v>9.0500000000000007</v>
      </c>
      <c r="F397" s="70">
        <f t="shared" si="30"/>
        <v>8.0370000000000008</v>
      </c>
      <c r="G397" s="70">
        <v>176</v>
      </c>
      <c r="H397" s="70"/>
      <c r="I397" s="70"/>
      <c r="J397" s="70">
        <f>F397*1.1</f>
        <v>8.8407000000000018</v>
      </c>
      <c r="K397" s="70">
        <f t="shared" si="31"/>
        <v>186</v>
      </c>
      <c r="L397" s="67"/>
      <c r="M397" s="67" t="s">
        <v>959</v>
      </c>
      <c r="N397" s="85">
        <v>20</v>
      </c>
      <c r="O397" s="85"/>
      <c r="P397" s="86"/>
      <c r="Q397" s="86" t="s">
        <v>1276</v>
      </c>
      <c r="R397" s="70">
        <v>3</v>
      </c>
    </row>
    <row r="398" spans="1:28" x14ac:dyDescent="0.3">
      <c r="A398" s="67">
        <v>5</v>
      </c>
      <c r="B398" s="115" t="s">
        <v>1280</v>
      </c>
      <c r="C398" s="67"/>
      <c r="D398" s="70"/>
      <c r="E398" s="70">
        <v>8.8000000000000007</v>
      </c>
      <c r="F398" s="70">
        <f t="shared" si="30"/>
        <v>7.7870000000000008</v>
      </c>
      <c r="G398" s="70">
        <v>210</v>
      </c>
      <c r="H398" s="70"/>
      <c r="I398" s="70"/>
      <c r="J398" s="70">
        <f>F398*1.1</f>
        <v>8.5657000000000014</v>
      </c>
      <c r="K398" s="70">
        <f t="shared" si="31"/>
        <v>220</v>
      </c>
      <c r="L398" s="67"/>
      <c r="M398" s="67" t="s">
        <v>959</v>
      </c>
      <c r="N398" s="85">
        <v>20</v>
      </c>
      <c r="O398" s="85"/>
      <c r="P398" s="86"/>
      <c r="Q398" s="86" t="s">
        <v>1276</v>
      </c>
      <c r="R398" s="70">
        <v>3</v>
      </c>
    </row>
    <row r="399" spans="1:28" x14ac:dyDescent="0.3">
      <c r="A399" s="67">
        <v>6</v>
      </c>
      <c r="B399" s="115" t="s">
        <v>1281</v>
      </c>
      <c r="C399" s="67"/>
      <c r="D399" s="70"/>
      <c r="E399" s="70">
        <v>8.6</v>
      </c>
      <c r="F399" s="70">
        <f t="shared" si="30"/>
        <v>7.5869999999999997</v>
      </c>
      <c r="G399" s="70">
        <v>212</v>
      </c>
      <c r="H399" s="70"/>
      <c r="I399" s="70"/>
      <c r="J399" s="70">
        <f>F399*1.1</f>
        <v>8.3457000000000008</v>
      </c>
      <c r="K399" s="70">
        <f t="shared" si="31"/>
        <v>222</v>
      </c>
      <c r="L399" s="67"/>
      <c r="M399" s="67" t="s">
        <v>959</v>
      </c>
      <c r="N399" s="85">
        <v>20</v>
      </c>
      <c r="O399" s="85"/>
      <c r="P399" s="86"/>
      <c r="Q399" s="86" t="s">
        <v>1276</v>
      </c>
      <c r="R399" s="70">
        <v>3</v>
      </c>
    </row>
    <row r="400" spans="1:28" x14ac:dyDescent="0.3">
      <c r="A400" s="67">
        <v>7</v>
      </c>
      <c r="B400" s="115" t="s">
        <v>1282</v>
      </c>
      <c r="C400" s="67"/>
      <c r="D400" s="70"/>
      <c r="E400" s="70"/>
      <c r="F400" s="70">
        <v>144</v>
      </c>
      <c r="G400" s="70">
        <v>340</v>
      </c>
      <c r="H400" s="70"/>
      <c r="I400" s="70"/>
      <c r="J400" s="70">
        <v>159.30000000000001</v>
      </c>
      <c r="K400" s="70">
        <v>350</v>
      </c>
      <c r="L400" s="67"/>
      <c r="M400" s="67" t="s">
        <v>959</v>
      </c>
      <c r="N400" s="85">
        <v>20</v>
      </c>
      <c r="O400" s="85"/>
      <c r="P400" s="86"/>
      <c r="Q400" s="86" t="s">
        <v>1276</v>
      </c>
      <c r="R400" s="70">
        <v>3</v>
      </c>
    </row>
    <row r="401" spans="1:18" x14ac:dyDescent="0.3">
      <c r="A401" s="67">
        <v>8</v>
      </c>
      <c r="B401" s="115" t="s">
        <v>1283</v>
      </c>
      <c r="C401" s="67"/>
      <c r="D401" s="70"/>
      <c r="E401" s="70"/>
      <c r="F401" s="70">
        <v>144</v>
      </c>
      <c r="G401" s="70">
        <v>340</v>
      </c>
      <c r="H401" s="70"/>
      <c r="I401" s="70"/>
      <c r="J401" s="70">
        <v>159.30000000000001</v>
      </c>
      <c r="K401" s="70">
        <v>350</v>
      </c>
      <c r="L401" s="67"/>
      <c r="M401" s="67" t="s">
        <v>959</v>
      </c>
      <c r="N401" s="85">
        <v>20</v>
      </c>
      <c r="O401" s="85"/>
      <c r="P401" s="86"/>
      <c r="Q401" s="86" t="s">
        <v>1276</v>
      </c>
      <c r="R401" s="70">
        <v>3</v>
      </c>
    </row>
    <row r="402" spans="1:18" x14ac:dyDescent="0.3">
      <c r="A402" s="67">
        <v>9</v>
      </c>
      <c r="B402" s="115" t="s">
        <v>1284</v>
      </c>
      <c r="C402" s="67"/>
      <c r="D402" s="70"/>
      <c r="E402" s="70"/>
      <c r="F402" s="70">
        <v>144</v>
      </c>
      <c r="G402" s="70">
        <v>567</v>
      </c>
      <c r="H402" s="70"/>
      <c r="I402" s="70"/>
      <c r="J402" s="70">
        <v>159.30000000000001</v>
      </c>
      <c r="K402" s="70">
        <f>G402+6</f>
        <v>573</v>
      </c>
      <c r="L402" s="67"/>
      <c r="M402" s="67" t="s">
        <v>959</v>
      </c>
      <c r="N402" s="85">
        <v>20</v>
      </c>
      <c r="O402" s="85"/>
      <c r="P402" s="86"/>
      <c r="Q402" s="86" t="s">
        <v>1285</v>
      </c>
      <c r="R402" s="70">
        <v>3</v>
      </c>
    </row>
    <row r="403" spans="1:18" x14ac:dyDescent="0.3">
      <c r="A403" s="67">
        <v>10</v>
      </c>
      <c r="B403" s="115" t="s">
        <v>1286</v>
      </c>
      <c r="C403" s="67"/>
      <c r="D403" s="70"/>
      <c r="E403" s="70"/>
      <c r="F403" s="70">
        <v>144</v>
      </c>
      <c r="G403" s="70">
        <v>340</v>
      </c>
      <c r="H403" s="70"/>
      <c r="I403" s="70"/>
      <c r="J403" s="70">
        <v>159.30000000000001</v>
      </c>
      <c r="K403" s="70">
        <v>350</v>
      </c>
      <c r="L403" s="67"/>
      <c r="M403" s="67" t="s">
        <v>959</v>
      </c>
      <c r="N403" s="85">
        <v>20</v>
      </c>
      <c r="O403" s="85"/>
      <c r="P403" s="86"/>
      <c r="Q403" s="86" t="s">
        <v>1285</v>
      </c>
      <c r="R403" s="70">
        <v>3</v>
      </c>
    </row>
    <row r="404" spans="1:18" x14ac:dyDescent="0.3">
      <c r="A404" s="67">
        <v>11</v>
      </c>
      <c r="B404" s="115" t="s">
        <v>1287</v>
      </c>
      <c r="C404" s="67"/>
      <c r="D404" s="70"/>
      <c r="E404" s="70"/>
      <c r="F404" s="70">
        <v>144</v>
      </c>
      <c r="G404" s="70">
        <v>340</v>
      </c>
      <c r="H404" s="70"/>
      <c r="I404" s="70"/>
      <c r="J404" s="70">
        <v>159.30000000000001</v>
      </c>
      <c r="K404" s="70">
        <v>350</v>
      </c>
      <c r="L404" s="67"/>
      <c r="M404" s="67" t="s">
        <v>959</v>
      </c>
      <c r="N404" s="85">
        <v>20</v>
      </c>
      <c r="O404" s="85"/>
      <c r="P404" s="86"/>
      <c r="Q404" s="86" t="s">
        <v>1285</v>
      </c>
      <c r="R404" s="70">
        <v>3</v>
      </c>
    </row>
    <row r="405" spans="1:18" x14ac:dyDescent="0.3">
      <c r="A405" s="67">
        <v>12</v>
      </c>
      <c r="B405" s="115" t="s">
        <v>1288</v>
      </c>
      <c r="C405" s="67"/>
      <c r="D405" s="70"/>
      <c r="E405" s="70"/>
      <c r="F405" s="70">
        <v>144</v>
      </c>
      <c r="G405" s="70">
        <v>567</v>
      </c>
      <c r="H405" s="70"/>
      <c r="I405" s="70"/>
      <c r="J405" s="70">
        <v>159.30000000000001</v>
      </c>
      <c r="K405" s="70">
        <f>G405+6</f>
        <v>573</v>
      </c>
      <c r="L405" s="67"/>
      <c r="M405" s="67" t="s">
        <v>959</v>
      </c>
      <c r="N405" s="85">
        <v>20</v>
      </c>
      <c r="O405" s="85"/>
      <c r="P405" s="86"/>
      <c r="Q405" s="86" t="s">
        <v>1289</v>
      </c>
      <c r="R405" s="70">
        <v>3</v>
      </c>
    </row>
    <row r="406" spans="1:18" x14ac:dyDescent="0.3">
      <c r="A406" s="67">
        <v>13</v>
      </c>
      <c r="B406" s="115" t="s">
        <v>1290</v>
      </c>
      <c r="C406" s="67"/>
      <c r="D406" s="70"/>
      <c r="E406" s="70">
        <v>14.2</v>
      </c>
      <c r="F406" s="70">
        <v>13.186999999999999</v>
      </c>
      <c r="G406" s="70">
        <v>93.5</v>
      </c>
      <c r="H406" s="70"/>
      <c r="I406" s="70">
        <f>J406+1.013</f>
        <v>20</v>
      </c>
      <c r="J406" s="70">
        <v>18.987000000000002</v>
      </c>
      <c r="K406" s="70">
        <v>100</v>
      </c>
      <c r="L406" s="67"/>
      <c r="M406" s="67" t="s">
        <v>959</v>
      </c>
      <c r="N406" s="85">
        <v>20</v>
      </c>
      <c r="O406" s="85"/>
      <c r="P406" s="86"/>
      <c r="Q406" s="86" t="s">
        <v>1289</v>
      </c>
      <c r="R406" s="70">
        <v>3</v>
      </c>
    </row>
    <row r="407" spans="1:18" x14ac:dyDescent="0.3">
      <c r="A407" s="67">
        <v>14</v>
      </c>
      <c r="B407" s="115" t="s">
        <v>1291</v>
      </c>
      <c r="C407" s="67"/>
      <c r="D407" s="70"/>
      <c r="E407" s="70">
        <v>19.8</v>
      </c>
      <c r="F407" s="70">
        <v>18.786999999999999</v>
      </c>
      <c r="G407" s="70">
        <v>54</v>
      </c>
      <c r="H407" s="70"/>
      <c r="I407" s="70">
        <f>J407+1.013</f>
        <v>18.012999999999998</v>
      </c>
      <c r="J407" s="70">
        <v>17</v>
      </c>
      <c r="K407" s="70">
        <v>60</v>
      </c>
      <c r="L407" s="67"/>
      <c r="M407" s="67" t="s">
        <v>959</v>
      </c>
      <c r="N407" s="85">
        <v>20</v>
      </c>
      <c r="O407" s="85"/>
      <c r="P407" s="86"/>
      <c r="Q407" s="86" t="s">
        <v>1292</v>
      </c>
      <c r="R407" s="70">
        <v>3</v>
      </c>
    </row>
    <row r="408" spans="1:18" x14ac:dyDescent="0.3">
      <c r="A408" s="67">
        <v>15</v>
      </c>
      <c r="B408" s="115" t="s">
        <v>1293</v>
      </c>
      <c r="C408" s="67"/>
      <c r="D408" s="70"/>
      <c r="E408" s="92">
        <f>F408+1.013</f>
        <v>83.913000000000011</v>
      </c>
      <c r="F408" s="92">
        <v>82.9</v>
      </c>
      <c r="G408" s="92">
        <v>108.3</v>
      </c>
      <c r="H408" s="70"/>
      <c r="I408" s="92">
        <v>94</v>
      </c>
      <c r="J408" s="92">
        <f>I408-1.013</f>
        <v>92.986999999999995</v>
      </c>
      <c r="K408" s="92">
        <v>185</v>
      </c>
      <c r="L408" s="70"/>
      <c r="M408" s="67" t="s">
        <v>959</v>
      </c>
      <c r="N408" s="85">
        <v>20</v>
      </c>
      <c r="O408" s="85"/>
      <c r="P408" s="86"/>
      <c r="Q408" s="86" t="s">
        <v>1289</v>
      </c>
      <c r="R408" s="70">
        <v>3</v>
      </c>
    </row>
    <row r="409" spans="1:18" x14ac:dyDescent="0.3">
      <c r="A409" s="67">
        <v>16</v>
      </c>
      <c r="B409" s="115" t="s">
        <v>1294</v>
      </c>
      <c r="C409" s="67"/>
      <c r="D409" s="70"/>
      <c r="E409" s="92">
        <f>F409+1.013</f>
        <v>12.613</v>
      </c>
      <c r="F409" s="92">
        <v>11.6</v>
      </c>
      <c r="G409" s="70">
        <v>37</v>
      </c>
      <c r="H409" s="70"/>
      <c r="I409" s="92">
        <f>J409+1.013</f>
        <v>18.012999999999998</v>
      </c>
      <c r="J409" s="92">
        <v>17</v>
      </c>
      <c r="K409" s="92">
        <v>40</v>
      </c>
      <c r="L409" s="67"/>
      <c r="M409" s="67" t="s">
        <v>959</v>
      </c>
      <c r="N409" s="85">
        <v>20</v>
      </c>
      <c r="O409" s="85"/>
      <c r="P409" s="86"/>
      <c r="Q409" s="86" t="s">
        <v>1295</v>
      </c>
      <c r="R409" s="70">
        <v>3</v>
      </c>
    </row>
    <row r="410" spans="1:18" x14ac:dyDescent="0.3">
      <c r="A410" s="67">
        <v>17</v>
      </c>
      <c r="B410" s="115" t="s">
        <v>1296</v>
      </c>
      <c r="C410" s="67"/>
      <c r="D410" s="70"/>
      <c r="E410" s="92">
        <f>F410+1.013</f>
        <v>11.613</v>
      </c>
      <c r="F410" s="92">
        <v>10.6</v>
      </c>
      <c r="G410" s="70">
        <v>37</v>
      </c>
      <c r="H410" s="70"/>
      <c r="I410" s="92">
        <f>J410+1.013</f>
        <v>14.013</v>
      </c>
      <c r="J410" s="92">
        <v>13</v>
      </c>
      <c r="K410" s="92">
        <v>55</v>
      </c>
      <c r="L410" s="67"/>
      <c r="M410" s="67" t="s">
        <v>959</v>
      </c>
      <c r="N410" s="85">
        <v>20</v>
      </c>
      <c r="O410" s="85"/>
      <c r="P410" s="86"/>
      <c r="Q410" s="86" t="s">
        <v>1295</v>
      </c>
      <c r="R410" s="70">
        <v>3</v>
      </c>
    </row>
    <row r="411" spans="1:18" x14ac:dyDescent="0.3">
      <c r="A411" s="162">
        <v>18</v>
      </c>
      <c r="B411" s="163" t="s">
        <v>1297</v>
      </c>
      <c r="C411" s="162"/>
      <c r="D411" s="164"/>
      <c r="E411" s="164">
        <v>5.8</v>
      </c>
      <c r="F411" s="164">
        <f>E411-1.013</f>
        <v>4.7869999999999999</v>
      </c>
      <c r="G411" s="164">
        <v>37</v>
      </c>
      <c r="H411" s="164"/>
      <c r="I411" s="164"/>
      <c r="J411" s="164">
        <v>10</v>
      </c>
      <c r="K411" s="164">
        <v>50</v>
      </c>
      <c r="L411" s="162"/>
      <c r="M411" s="162" t="s">
        <v>959</v>
      </c>
      <c r="N411" s="165">
        <v>20</v>
      </c>
      <c r="O411" s="165"/>
      <c r="P411" s="166"/>
      <c r="Q411" s="166" t="s">
        <v>1295</v>
      </c>
      <c r="R411" s="164">
        <v>3</v>
      </c>
    </row>
    <row r="412" spans="1:18" x14ac:dyDescent="0.3">
      <c r="A412" s="162">
        <v>19</v>
      </c>
      <c r="B412" s="163" t="s">
        <v>1298</v>
      </c>
      <c r="C412" s="162"/>
      <c r="D412" s="164"/>
      <c r="E412" s="164">
        <v>7.4</v>
      </c>
      <c r="F412" s="164">
        <f>E412-1.013</f>
        <v>6.3870000000000005</v>
      </c>
      <c r="G412" s="164">
        <v>37</v>
      </c>
      <c r="H412" s="164"/>
      <c r="I412" s="164"/>
      <c r="J412" s="164">
        <v>12</v>
      </c>
      <c r="K412" s="164">
        <v>50</v>
      </c>
      <c r="L412" s="162"/>
      <c r="M412" s="162" t="s">
        <v>959</v>
      </c>
      <c r="N412" s="165">
        <v>20</v>
      </c>
      <c r="O412" s="165"/>
      <c r="P412" s="166"/>
      <c r="Q412" s="166" t="s">
        <v>1295</v>
      </c>
      <c r="R412" s="164">
        <v>3</v>
      </c>
    </row>
    <row r="413" spans="1:18" x14ac:dyDescent="0.3">
      <c r="A413" s="167">
        <v>18</v>
      </c>
      <c r="B413" s="168" t="s">
        <v>1299</v>
      </c>
      <c r="C413" s="167"/>
      <c r="D413" s="169"/>
      <c r="E413" s="169">
        <v>7.4</v>
      </c>
      <c r="F413" s="169">
        <v>6.3870000000000005</v>
      </c>
      <c r="G413" s="169">
        <v>37</v>
      </c>
      <c r="H413" s="169"/>
      <c r="I413" s="169"/>
      <c r="J413" s="169">
        <v>3</v>
      </c>
      <c r="K413" s="169">
        <v>50</v>
      </c>
      <c r="L413" s="167"/>
      <c r="M413" s="167" t="s">
        <v>959</v>
      </c>
      <c r="N413" s="170">
        <v>20</v>
      </c>
      <c r="O413" s="170"/>
      <c r="P413" s="171"/>
      <c r="Q413" s="171" t="s">
        <v>1292</v>
      </c>
      <c r="R413" s="169">
        <v>3</v>
      </c>
    </row>
  </sheetData>
  <autoFilter ref="A3:AI413" xr:uid="{00000000-0009-0000-0000-000002000000}"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</autoFilter>
  <mergeCells count="19">
    <mergeCell ref="A3:A5"/>
    <mergeCell ref="B3:B5"/>
    <mergeCell ref="C3:C5"/>
    <mergeCell ref="D3:G3"/>
    <mergeCell ref="H3:K3"/>
    <mergeCell ref="AC4:AE4"/>
    <mergeCell ref="B107:B108"/>
    <mergeCell ref="B111:B112"/>
    <mergeCell ref="P3:P5"/>
    <mergeCell ref="Q3:Q4"/>
    <mergeCell ref="R3:R5"/>
    <mergeCell ref="S3:AE3"/>
    <mergeCell ref="O4:O5"/>
    <mergeCell ref="S4:S5"/>
    <mergeCell ref="T4:T5"/>
    <mergeCell ref="U4:U5"/>
    <mergeCell ref="Y4:Y5"/>
    <mergeCell ref="AA4:AB4"/>
    <mergeCell ref="L3:L5"/>
  </mergeCells>
  <phoneticPr fontId="1" type="noConversion"/>
  <pageMargins left="0.7" right="0.7" top="0.75" bottom="0.75" header="0.3" footer="0.3"/>
  <pageSetup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AE64"/>
  <sheetViews>
    <sheetView view="pageBreakPreview" zoomScale="85" zoomScaleNormal="70" zoomScaleSheetLayoutView="85" workbookViewId="0">
      <pane xSplit="5" ySplit="6" topLeftCell="F25" activePane="bottomRight" state="frozen"/>
      <selection activeCell="AM16" sqref="AM16"/>
      <selection pane="topRight" activeCell="AM16" sqref="AM16"/>
      <selection pane="bottomLeft" activeCell="AM16" sqref="AM16"/>
      <selection pane="bottomRight" activeCell="D25" sqref="D25"/>
    </sheetView>
  </sheetViews>
  <sheetFormatPr defaultColWidth="8.75" defaultRowHeight="12" x14ac:dyDescent="0.3"/>
  <cols>
    <col min="1" max="1" width="5.25" style="4" customWidth="1"/>
    <col min="2" max="2" width="20.25" style="4" customWidth="1"/>
    <col min="3" max="3" width="26.25" style="4" customWidth="1"/>
    <col min="4" max="4" width="7.125" style="4" customWidth="1"/>
    <col min="5" max="5" width="14.25" style="4" customWidth="1"/>
    <col min="6" max="6" width="51.25" style="210" customWidth="1"/>
    <col min="7" max="7" width="13.375" style="5" customWidth="1"/>
    <col min="8" max="8" width="13.25" style="4" customWidth="1"/>
    <col min="9" max="9" width="10.75" style="4" customWidth="1"/>
    <col min="10" max="10" width="21.875" style="5" customWidth="1"/>
    <col min="11" max="11" width="17.5" style="4" customWidth="1"/>
    <col min="12" max="12" width="19" style="4" customWidth="1"/>
    <col min="13" max="14" width="8.75" style="4" customWidth="1"/>
    <col min="15" max="15" width="9.375" style="4" customWidth="1"/>
    <col min="16" max="16" width="16.375" style="4" customWidth="1"/>
    <col min="17" max="17" width="9.625" style="4" customWidth="1"/>
    <col min="18" max="18" width="10.875" style="4" customWidth="1"/>
    <col min="19" max="20" width="8.75" style="4" customWidth="1"/>
    <col min="21" max="21" width="18.125" style="4" customWidth="1"/>
    <col min="22" max="22" width="8.75" style="4" customWidth="1"/>
    <col min="23" max="26" width="10.625" style="4" customWidth="1"/>
    <col min="27" max="27" width="11.25" style="4" customWidth="1"/>
    <col min="28" max="28" width="15.25" style="4" customWidth="1"/>
    <col min="29" max="29" width="15.25" style="216" customWidth="1"/>
    <col min="30" max="30" width="26.25" style="216" customWidth="1"/>
    <col min="31" max="31" width="22" style="4" customWidth="1"/>
    <col min="32" max="37" width="8.75" style="6"/>
    <col min="38" max="38" width="8.875" style="6" customWidth="1"/>
    <col min="39" max="16384" width="8.75" style="6"/>
  </cols>
  <sheetData>
    <row r="1" spans="1:31" s="23" customFormat="1" ht="30" x14ac:dyDescent="0.3">
      <c r="A1" s="26" t="s">
        <v>1317</v>
      </c>
      <c r="B1" s="21"/>
      <c r="C1" s="21"/>
      <c r="D1" s="21"/>
      <c r="E1" s="21"/>
      <c r="F1" s="172"/>
      <c r="G1" s="22"/>
      <c r="H1" s="21"/>
      <c r="I1" s="21"/>
      <c r="J1" s="22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1"/>
      <c r="AD1" s="211"/>
      <c r="AE1" s="21"/>
    </row>
    <row r="2" spans="1:31" s="25" customFormat="1" ht="20.100000000000001" customHeight="1" x14ac:dyDescent="0.3">
      <c r="A2" s="3" t="s">
        <v>1318</v>
      </c>
      <c r="B2" s="8"/>
      <c r="C2" s="8"/>
      <c r="D2" s="21"/>
      <c r="E2" s="21"/>
      <c r="F2" s="7"/>
      <c r="G2" s="9"/>
      <c r="H2" s="7"/>
      <c r="I2" s="8"/>
      <c r="J2" s="9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24"/>
      <c r="Z2" s="24"/>
      <c r="AA2" s="24"/>
      <c r="AB2" s="24"/>
      <c r="AC2" s="8"/>
      <c r="AD2" s="8"/>
      <c r="AE2" s="24"/>
    </row>
    <row r="3" spans="1:31" s="25" customFormat="1" ht="20.100000000000001" customHeight="1" x14ac:dyDescent="0.3">
      <c r="A3" s="1" t="s">
        <v>1319</v>
      </c>
      <c r="B3" s="8"/>
      <c r="C3" s="8"/>
      <c r="D3" s="21"/>
      <c r="E3" s="21"/>
      <c r="F3" s="7"/>
      <c r="G3" s="9"/>
      <c r="H3" s="7"/>
      <c r="I3" s="8"/>
      <c r="J3" s="9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24"/>
      <c r="Z3" s="24"/>
      <c r="AA3" s="24"/>
      <c r="AB3" s="24"/>
      <c r="AC3" s="8"/>
      <c r="AD3" s="8"/>
      <c r="AE3" s="24"/>
    </row>
    <row r="4" spans="1:31" s="25" customFormat="1" ht="20.100000000000001" customHeight="1" x14ac:dyDescent="0.3">
      <c r="A4" s="1" t="s">
        <v>1320</v>
      </c>
      <c r="B4" s="8"/>
      <c r="C4" s="8"/>
      <c r="D4" s="21"/>
      <c r="E4" s="21"/>
      <c r="F4" s="7"/>
      <c r="G4" s="9"/>
      <c r="H4" s="7"/>
      <c r="I4" s="8"/>
      <c r="J4" s="9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24"/>
      <c r="Z4" s="24"/>
      <c r="AA4" s="24"/>
      <c r="AB4" s="24"/>
      <c r="AC4" s="173"/>
      <c r="AD4" s="174"/>
      <c r="AE4" s="24"/>
    </row>
    <row r="5" spans="1:31" s="10" customFormat="1" ht="24.75" customHeight="1" x14ac:dyDescent="0.3">
      <c r="A5" s="277" t="s">
        <v>110</v>
      </c>
      <c r="B5" s="277" t="s">
        <v>111</v>
      </c>
      <c r="C5" s="277" t="s">
        <v>105</v>
      </c>
      <c r="D5" s="277" t="s">
        <v>106</v>
      </c>
      <c r="E5" s="276" t="s">
        <v>112</v>
      </c>
      <c r="F5" s="276" t="s">
        <v>1321</v>
      </c>
      <c r="G5" s="277" t="s">
        <v>107</v>
      </c>
      <c r="H5" s="278" t="s">
        <v>114</v>
      </c>
      <c r="I5" s="278" t="s">
        <v>116</v>
      </c>
      <c r="J5" s="277" t="s">
        <v>117</v>
      </c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9" t="s">
        <v>118</v>
      </c>
      <c r="X5" s="280"/>
      <c r="Y5" s="281" t="s">
        <v>119</v>
      </c>
      <c r="Z5" s="282"/>
      <c r="AA5" s="285" t="s">
        <v>120</v>
      </c>
      <c r="AB5" s="285" t="s">
        <v>121</v>
      </c>
      <c r="AC5" s="286" t="s">
        <v>1489</v>
      </c>
      <c r="AD5" s="286" t="s">
        <v>1322</v>
      </c>
      <c r="AE5" s="278" t="s">
        <v>122</v>
      </c>
    </row>
    <row r="6" spans="1:31" s="10" customFormat="1" ht="24.75" customHeight="1" x14ac:dyDescent="0.3">
      <c r="A6" s="277"/>
      <c r="B6" s="277"/>
      <c r="C6" s="277"/>
      <c r="D6" s="277"/>
      <c r="E6" s="242"/>
      <c r="F6" s="242"/>
      <c r="G6" s="277"/>
      <c r="H6" s="278"/>
      <c r="I6" s="278"/>
      <c r="J6" s="175" t="s">
        <v>109</v>
      </c>
      <c r="K6" s="175" t="s">
        <v>1323</v>
      </c>
      <c r="L6" s="175" t="s">
        <v>123</v>
      </c>
      <c r="M6" s="176" t="s">
        <v>124</v>
      </c>
      <c r="N6" s="175" t="s">
        <v>125</v>
      </c>
      <c r="O6" s="175" t="s">
        <v>126</v>
      </c>
      <c r="P6" s="175" t="s">
        <v>127</v>
      </c>
      <c r="Q6" s="175" t="s">
        <v>128</v>
      </c>
      <c r="R6" s="176" t="s">
        <v>129</v>
      </c>
      <c r="S6" s="175" t="s">
        <v>130</v>
      </c>
      <c r="T6" s="175" t="s">
        <v>1324</v>
      </c>
      <c r="U6" s="176" t="s">
        <v>1325</v>
      </c>
      <c r="V6" s="176" t="s">
        <v>1326</v>
      </c>
      <c r="W6" s="177" t="s">
        <v>131</v>
      </c>
      <c r="X6" s="177" t="s">
        <v>132</v>
      </c>
      <c r="Y6" s="178" t="s">
        <v>131</v>
      </c>
      <c r="Z6" s="178" t="s">
        <v>132</v>
      </c>
      <c r="AA6" s="285"/>
      <c r="AB6" s="285"/>
      <c r="AC6" s="287"/>
      <c r="AD6" s="287"/>
      <c r="AE6" s="278"/>
    </row>
    <row r="7" spans="1:31" s="18" customFormat="1" ht="24.75" customHeight="1" x14ac:dyDescent="0.3">
      <c r="A7" s="179">
        <v>67</v>
      </c>
      <c r="B7" s="179" t="s">
        <v>1327</v>
      </c>
      <c r="C7" s="179" t="s">
        <v>97</v>
      </c>
      <c r="D7" s="179" t="s">
        <v>45</v>
      </c>
      <c r="E7" s="179" t="s">
        <v>1328</v>
      </c>
      <c r="F7" s="180" t="s">
        <v>598</v>
      </c>
      <c r="G7" s="181" t="s">
        <v>1329</v>
      </c>
      <c r="H7" s="182">
        <v>300</v>
      </c>
      <c r="I7" s="182" t="s">
        <v>1330</v>
      </c>
      <c r="J7" s="183" t="s">
        <v>22</v>
      </c>
      <c r="K7" s="183" t="s">
        <v>0</v>
      </c>
      <c r="L7" s="181" t="s">
        <v>1331</v>
      </c>
      <c r="M7" s="183" t="s">
        <v>1332</v>
      </c>
      <c r="N7" s="183" t="s">
        <v>1333</v>
      </c>
      <c r="O7" s="181">
        <f>H7</f>
        <v>300</v>
      </c>
      <c r="P7" s="182" t="s">
        <v>1334</v>
      </c>
      <c r="Q7" s="182" t="s">
        <v>1335</v>
      </c>
      <c r="R7" s="181" t="s">
        <v>1</v>
      </c>
      <c r="S7" s="182">
        <v>150</v>
      </c>
      <c r="T7" s="182" t="s">
        <v>1336</v>
      </c>
      <c r="U7" s="181" t="s">
        <v>5</v>
      </c>
      <c r="V7" s="181" t="s">
        <v>16</v>
      </c>
      <c r="W7" s="179" t="s">
        <v>93</v>
      </c>
      <c r="X7" s="179" t="s">
        <v>93</v>
      </c>
      <c r="Y7" s="179" t="s">
        <v>93</v>
      </c>
      <c r="Z7" s="179" t="s">
        <v>93</v>
      </c>
      <c r="AA7" s="179" t="s">
        <v>91</v>
      </c>
      <c r="AB7" s="183" t="s">
        <v>101</v>
      </c>
      <c r="AC7" s="212" t="s">
        <v>1337</v>
      </c>
      <c r="AD7" s="213" t="s">
        <v>1488</v>
      </c>
      <c r="AE7" s="184"/>
    </row>
    <row r="8" spans="1:31" s="18" customFormat="1" ht="24.75" customHeight="1" x14ac:dyDescent="0.3">
      <c r="A8" s="179">
        <v>68</v>
      </c>
      <c r="B8" s="179" t="s">
        <v>1327</v>
      </c>
      <c r="C8" s="179" t="s">
        <v>97</v>
      </c>
      <c r="D8" s="179" t="s">
        <v>45</v>
      </c>
      <c r="E8" s="179" t="s">
        <v>1339</v>
      </c>
      <c r="F8" s="180" t="s">
        <v>599</v>
      </c>
      <c r="G8" s="181" t="s">
        <v>1329</v>
      </c>
      <c r="H8" s="182">
        <v>300</v>
      </c>
      <c r="I8" s="182" t="s">
        <v>1330</v>
      </c>
      <c r="J8" s="183" t="s">
        <v>22</v>
      </c>
      <c r="K8" s="183" t="s">
        <v>0</v>
      </c>
      <c r="L8" s="181" t="s">
        <v>1331</v>
      </c>
      <c r="M8" s="183" t="s">
        <v>1332</v>
      </c>
      <c r="N8" s="183" t="s">
        <v>1333</v>
      </c>
      <c r="O8" s="181">
        <f>H8</f>
        <v>300</v>
      </c>
      <c r="P8" s="182" t="s">
        <v>1334</v>
      </c>
      <c r="Q8" s="182" t="s">
        <v>1335</v>
      </c>
      <c r="R8" s="181" t="s">
        <v>1</v>
      </c>
      <c r="S8" s="182">
        <v>150</v>
      </c>
      <c r="T8" s="182" t="s">
        <v>1336</v>
      </c>
      <c r="U8" s="181" t="s">
        <v>5</v>
      </c>
      <c r="V8" s="181" t="s">
        <v>16</v>
      </c>
      <c r="W8" s="179" t="s">
        <v>93</v>
      </c>
      <c r="X8" s="179" t="s">
        <v>93</v>
      </c>
      <c r="Y8" s="179" t="s">
        <v>93</v>
      </c>
      <c r="Z8" s="179" t="s">
        <v>93</v>
      </c>
      <c r="AA8" s="179" t="s">
        <v>91</v>
      </c>
      <c r="AB8" s="183" t="s">
        <v>101</v>
      </c>
      <c r="AC8" s="212" t="s">
        <v>1337</v>
      </c>
      <c r="AD8" s="213" t="s">
        <v>1488</v>
      </c>
      <c r="AE8" s="184"/>
    </row>
    <row r="9" spans="1:31" s="24" customFormat="1" ht="24.75" customHeight="1" x14ac:dyDescent="0.3">
      <c r="A9" s="179">
        <v>73</v>
      </c>
      <c r="B9" s="185" t="s">
        <v>1340</v>
      </c>
      <c r="C9" s="179" t="s">
        <v>99</v>
      </c>
      <c r="D9" s="185" t="s">
        <v>45</v>
      </c>
      <c r="E9" s="179" t="s">
        <v>1341</v>
      </c>
      <c r="F9" s="180" t="s">
        <v>1342</v>
      </c>
      <c r="G9" s="181" t="s">
        <v>1329</v>
      </c>
      <c r="H9" s="182" t="s">
        <v>1343</v>
      </c>
      <c r="I9" s="181" t="s">
        <v>1344</v>
      </c>
      <c r="J9" s="181" t="s">
        <v>22</v>
      </c>
      <c r="K9" s="181" t="s">
        <v>0</v>
      </c>
      <c r="L9" s="181" t="s">
        <v>1331</v>
      </c>
      <c r="M9" s="181" t="s">
        <v>1332</v>
      </c>
      <c r="N9" s="179" t="s">
        <v>1345</v>
      </c>
      <c r="O9" s="182">
        <v>100</v>
      </c>
      <c r="P9" s="183" t="s">
        <v>1334</v>
      </c>
      <c r="Q9" s="183" t="s">
        <v>15</v>
      </c>
      <c r="R9" s="183" t="s">
        <v>1</v>
      </c>
      <c r="S9" s="186" t="s">
        <v>1346</v>
      </c>
      <c r="T9" s="183" t="s">
        <v>1336</v>
      </c>
      <c r="U9" s="183" t="s">
        <v>5</v>
      </c>
      <c r="V9" s="183" t="s">
        <v>16</v>
      </c>
      <c r="W9" s="183" t="s">
        <v>1332</v>
      </c>
      <c r="X9" s="183" t="s">
        <v>1332</v>
      </c>
      <c r="Y9" s="183" t="s">
        <v>1332</v>
      </c>
      <c r="Z9" s="183" t="s">
        <v>1332</v>
      </c>
      <c r="AA9" s="179" t="s">
        <v>91</v>
      </c>
      <c r="AB9" s="179" t="s">
        <v>1347</v>
      </c>
      <c r="AC9" s="214" t="s">
        <v>1348</v>
      </c>
      <c r="AD9" s="283"/>
      <c r="AE9" s="184"/>
    </row>
    <row r="10" spans="1:31" s="24" customFormat="1" ht="24.75" customHeight="1" x14ac:dyDescent="0.3">
      <c r="A10" s="179">
        <v>77</v>
      </c>
      <c r="B10" s="185" t="s">
        <v>1340</v>
      </c>
      <c r="C10" s="179" t="s">
        <v>99</v>
      </c>
      <c r="D10" s="185" t="s">
        <v>45</v>
      </c>
      <c r="E10" s="179" t="s">
        <v>1349</v>
      </c>
      <c r="F10" s="180" t="s">
        <v>1350</v>
      </c>
      <c r="G10" s="181" t="s">
        <v>1329</v>
      </c>
      <c r="H10" s="182" t="s">
        <v>1343</v>
      </c>
      <c r="I10" s="181" t="s">
        <v>1344</v>
      </c>
      <c r="J10" s="181" t="s">
        <v>22</v>
      </c>
      <c r="K10" s="181" t="s">
        <v>0</v>
      </c>
      <c r="L10" s="181" t="s">
        <v>1331</v>
      </c>
      <c r="M10" s="181" t="s">
        <v>1332</v>
      </c>
      <c r="N10" s="179" t="s">
        <v>1345</v>
      </c>
      <c r="O10" s="182">
        <v>100</v>
      </c>
      <c r="P10" s="183" t="s">
        <v>1334</v>
      </c>
      <c r="Q10" s="183" t="s">
        <v>15</v>
      </c>
      <c r="R10" s="183" t="s">
        <v>1</v>
      </c>
      <c r="S10" s="186" t="s">
        <v>1346</v>
      </c>
      <c r="T10" s="183" t="s">
        <v>1336</v>
      </c>
      <c r="U10" s="183" t="s">
        <v>5</v>
      </c>
      <c r="V10" s="183" t="s">
        <v>16</v>
      </c>
      <c r="W10" s="183" t="s">
        <v>1332</v>
      </c>
      <c r="X10" s="183" t="s">
        <v>1332</v>
      </c>
      <c r="Y10" s="183" t="s">
        <v>1332</v>
      </c>
      <c r="Z10" s="183" t="s">
        <v>1332</v>
      </c>
      <c r="AA10" s="179" t="s">
        <v>91</v>
      </c>
      <c r="AB10" s="179" t="s">
        <v>1347</v>
      </c>
      <c r="AC10" s="214" t="s">
        <v>1348</v>
      </c>
      <c r="AD10" s="284"/>
      <c r="AE10" s="184"/>
    </row>
    <row r="11" spans="1:31" s="16" customFormat="1" ht="24.75" customHeight="1" x14ac:dyDescent="0.3">
      <c r="A11" s="179">
        <v>88</v>
      </c>
      <c r="B11" s="179" t="s">
        <v>50</v>
      </c>
      <c r="C11" s="179" t="s">
        <v>1351</v>
      </c>
      <c r="D11" s="179" t="s">
        <v>45</v>
      </c>
      <c r="E11" s="179" t="s">
        <v>1352</v>
      </c>
      <c r="F11" s="180" t="s">
        <v>302</v>
      </c>
      <c r="G11" s="181" t="s">
        <v>165</v>
      </c>
      <c r="H11" s="181">
        <v>150</v>
      </c>
      <c r="I11" s="181" t="s">
        <v>1353</v>
      </c>
      <c r="J11" s="181" t="s">
        <v>22</v>
      </c>
      <c r="K11" s="181" t="s">
        <v>0</v>
      </c>
      <c r="L11" s="181" t="s">
        <v>1354</v>
      </c>
      <c r="M11" s="181" t="s">
        <v>1332</v>
      </c>
      <c r="N11" s="179" t="s">
        <v>1345</v>
      </c>
      <c r="O11" s="182">
        <v>100</v>
      </c>
      <c r="P11" s="181" t="s">
        <v>1355</v>
      </c>
      <c r="Q11" s="181" t="s">
        <v>1356</v>
      </c>
      <c r="R11" s="181" t="s">
        <v>1</v>
      </c>
      <c r="S11" s="181">
        <v>150</v>
      </c>
      <c r="T11" s="181" t="s">
        <v>1336</v>
      </c>
      <c r="U11" s="181" t="s">
        <v>5</v>
      </c>
      <c r="V11" s="181" t="s">
        <v>1357</v>
      </c>
      <c r="W11" s="179" t="s">
        <v>1332</v>
      </c>
      <c r="X11" s="179" t="s">
        <v>1332</v>
      </c>
      <c r="Y11" s="179" t="s">
        <v>1332</v>
      </c>
      <c r="Z11" s="179" t="s">
        <v>1332</v>
      </c>
      <c r="AA11" s="181" t="s">
        <v>91</v>
      </c>
      <c r="AB11" s="179" t="s">
        <v>1347</v>
      </c>
      <c r="AC11" s="214" t="s">
        <v>1348</v>
      </c>
      <c r="AD11" s="283"/>
      <c r="AE11" s="181"/>
    </row>
    <row r="12" spans="1:31" s="16" customFormat="1" ht="24.75" customHeight="1" x14ac:dyDescent="0.3">
      <c r="A12" s="179">
        <v>91</v>
      </c>
      <c r="B12" s="179" t="s">
        <v>51</v>
      </c>
      <c r="C12" s="179" t="s">
        <v>1358</v>
      </c>
      <c r="D12" s="179" t="s">
        <v>45</v>
      </c>
      <c r="E12" s="179" t="s">
        <v>1359</v>
      </c>
      <c r="F12" s="180" t="s">
        <v>305</v>
      </c>
      <c r="G12" s="181" t="s">
        <v>165</v>
      </c>
      <c r="H12" s="181">
        <v>150</v>
      </c>
      <c r="I12" s="181" t="s">
        <v>1353</v>
      </c>
      <c r="J12" s="181" t="s">
        <v>22</v>
      </c>
      <c r="K12" s="181" t="s">
        <v>0</v>
      </c>
      <c r="L12" s="181" t="s">
        <v>1354</v>
      </c>
      <c r="M12" s="181" t="s">
        <v>1332</v>
      </c>
      <c r="N12" s="179" t="s">
        <v>1345</v>
      </c>
      <c r="O12" s="182">
        <v>100</v>
      </c>
      <c r="P12" s="181" t="s">
        <v>1355</v>
      </c>
      <c r="Q12" s="181" t="s">
        <v>1356</v>
      </c>
      <c r="R12" s="181" t="s">
        <v>1</v>
      </c>
      <c r="S12" s="181">
        <v>150</v>
      </c>
      <c r="T12" s="181" t="s">
        <v>1336</v>
      </c>
      <c r="U12" s="181" t="s">
        <v>5</v>
      </c>
      <c r="V12" s="181" t="s">
        <v>1357</v>
      </c>
      <c r="W12" s="179" t="s">
        <v>1332</v>
      </c>
      <c r="X12" s="179" t="s">
        <v>1332</v>
      </c>
      <c r="Y12" s="179" t="s">
        <v>1332</v>
      </c>
      <c r="Z12" s="179" t="s">
        <v>1332</v>
      </c>
      <c r="AA12" s="181" t="s">
        <v>91</v>
      </c>
      <c r="AB12" s="179" t="s">
        <v>1347</v>
      </c>
      <c r="AC12" s="214" t="s">
        <v>1348</v>
      </c>
      <c r="AD12" s="284"/>
      <c r="AE12" s="181"/>
    </row>
    <row r="13" spans="1:31" s="24" customFormat="1" ht="24.75" customHeight="1" x14ac:dyDescent="0.3">
      <c r="A13" s="179">
        <v>104</v>
      </c>
      <c r="B13" s="179" t="s">
        <v>57</v>
      </c>
      <c r="C13" s="185" t="s">
        <v>1360</v>
      </c>
      <c r="D13" s="185" t="s">
        <v>45</v>
      </c>
      <c r="E13" s="185" t="s">
        <v>1361</v>
      </c>
      <c r="F13" s="180" t="s">
        <v>318</v>
      </c>
      <c r="G13" s="181" t="s">
        <v>165</v>
      </c>
      <c r="H13" s="187">
        <v>100</v>
      </c>
      <c r="I13" s="181" t="s">
        <v>1353</v>
      </c>
      <c r="J13" s="181" t="s">
        <v>22</v>
      </c>
      <c r="K13" s="181" t="s">
        <v>0</v>
      </c>
      <c r="L13" s="181" t="s">
        <v>1354</v>
      </c>
      <c r="M13" s="181" t="s">
        <v>1332</v>
      </c>
      <c r="N13" s="179" t="s">
        <v>1345</v>
      </c>
      <c r="O13" s="181">
        <f t="shared" ref="O13:O18" si="0">H13</f>
        <v>100</v>
      </c>
      <c r="P13" s="181" t="s">
        <v>1355</v>
      </c>
      <c r="Q13" s="181" t="s">
        <v>1356</v>
      </c>
      <c r="R13" s="181" t="s">
        <v>1</v>
      </c>
      <c r="S13" s="188">
        <v>150</v>
      </c>
      <c r="T13" s="181" t="s">
        <v>1336</v>
      </c>
      <c r="U13" s="181" t="s">
        <v>5</v>
      </c>
      <c r="V13" s="181" t="s">
        <v>1357</v>
      </c>
      <c r="W13" s="179" t="s">
        <v>1332</v>
      </c>
      <c r="X13" s="179" t="s">
        <v>1332</v>
      </c>
      <c r="Y13" s="179" t="s">
        <v>1332</v>
      </c>
      <c r="Z13" s="179" t="s">
        <v>1332</v>
      </c>
      <c r="AA13" s="179" t="s">
        <v>91</v>
      </c>
      <c r="AB13" s="179" t="s">
        <v>1347</v>
      </c>
      <c r="AC13" s="189" t="s">
        <v>1362</v>
      </c>
      <c r="AD13" s="190"/>
      <c r="AE13" s="184"/>
    </row>
    <row r="14" spans="1:31" s="24" customFormat="1" ht="24.75" customHeight="1" x14ac:dyDescent="0.3">
      <c r="A14" s="179">
        <v>111</v>
      </c>
      <c r="B14" s="179" t="s">
        <v>59</v>
      </c>
      <c r="C14" s="185" t="s">
        <v>1363</v>
      </c>
      <c r="D14" s="185" t="s">
        <v>45</v>
      </c>
      <c r="E14" s="185" t="s">
        <v>1364</v>
      </c>
      <c r="F14" s="180" t="s">
        <v>323</v>
      </c>
      <c r="G14" s="181" t="s">
        <v>165</v>
      </c>
      <c r="H14" s="182">
        <v>100</v>
      </c>
      <c r="I14" s="181" t="s">
        <v>1353</v>
      </c>
      <c r="J14" s="181" t="s">
        <v>22</v>
      </c>
      <c r="K14" s="181" t="s">
        <v>0</v>
      </c>
      <c r="L14" s="181" t="s">
        <v>1354</v>
      </c>
      <c r="M14" s="181" t="s">
        <v>1332</v>
      </c>
      <c r="N14" s="179" t="s">
        <v>1345</v>
      </c>
      <c r="O14" s="181">
        <f t="shared" si="0"/>
        <v>100</v>
      </c>
      <c r="P14" s="181" t="s">
        <v>1355</v>
      </c>
      <c r="Q14" s="181" t="s">
        <v>1356</v>
      </c>
      <c r="R14" s="181" t="s">
        <v>1</v>
      </c>
      <c r="S14" s="188">
        <v>150</v>
      </c>
      <c r="T14" s="181" t="s">
        <v>1336</v>
      </c>
      <c r="U14" s="181" t="s">
        <v>5</v>
      </c>
      <c r="V14" s="181" t="s">
        <v>1357</v>
      </c>
      <c r="W14" s="179" t="s">
        <v>1332</v>
      </c>
      <c r="X14" s="179" t="s">
        <v>1332</v>
      </c>
      <c r="Y14" s="179" t="s">
        <v>1332</v>
      </c>
      <c r="Z14" s="179" t="s">
        <v>1332</v>
      </c>
      <c r="AA14" s="179" t="s">
        <v>91</v>
      </c>
      <c r="AB14" s="179" t="s">
        <v>1347</v>
      </c>
      <c r="AC14" s="189"/>
      <c r="AD14" s="190"/>
      <c r="AE14" s="184"/>
    </row>
    <row r="15" spans="1:31" s="24" customFormat="1" ht="24.75" customHeight="1" x14ac:dyDescent="0.3">
      <c r="A15" s="179"/>
      <c r="B15" s="191" t="s">
        <v>57</v>
      </c>
      <c r="C15" s="192" t="s">
        <v>1360</v>
      </c>
      <c r="D15" s="192" t="s">
        <v>45</v>
      </c>
      <c r="E15" s="192" t="s">
        <v>1365</v>
      </c>
      <c r="F15" s="193" t="s">
        <v>1366</v>
      </c>
      <c r="G15" s="194" t="s">
        <v>165</v>
      </c>
      <c r="H15" s="195">
        <v>25</v>
      </c>
      <c r="I15" s="194" t="s">
        <v>1353</v>
      </c>
      <c r="J15" s="194" t="s">
        <v>22</v>
      </c>
      <c r="K15" s="194" t="s">
        <v>0</v>
      </c>
      <c r="L15" s="194" t="s">
        <v>1354</v>
      </c>
      <c r="M15" s="194" t="s">
        <v>1332</v>
      </c>
      <c r="N15" s="191" t="s">
        <v>1345</v>
      </c>
      <c r="O15" s="194">
        <f t="shared" si="0"/>
        <v>25</v>
      </c>
      <c r="P15" s="194" t="s">
        <v>1367</v>
      </c>
      <c r="Q15" s="194" t="s">
        <v>1356</v>
      </c>
      <c r="R15" s="194" t="s">
        <v>1</v>
      </c>
      <c r="S15" s="196">
        <v>600</v>
      </c>
      <c r="T15" s="194" t="s">
        <v>1368</v>
      </c>
      <c r="U15" s="194" t="s">
        <v>5</v>
      </c>
      <c r="V15" s="194" t="s">
        <v>1357</v>
      </c>
      <c r="W15" s="191" t="s">
        <v>1332</v>
      </c>
      <c r="X15" s="191" t="s">
        <v>1332</v>
      </c>
      <c r="Y15" s="191" t="s">
        <v>1332</v>
      </c>
      <c r="Z15" s="191" t="s">
        <v>1332</v>
      </c>
      <c r="AA15" s="191" t="s">
        <v>91</v>
      </c>
      <c r="AB15" s="179" t="s">
        <v>1347</v>
      </c>
      <c r="AC15" s="189"/>
      <c r="AD15" s="190"/>
      <c r="AE15" s="184"/>
    </row>
    <row r="16" spans="1:31" s="24" customFormat="1" ht="24.75" customHeight="1" x14ac:dyDescent="0.3">
      <c r="A16" s="179"/>
      <c r="B16" s="191" t="s">
        <v>59</v>
      </c>
      <c r="C16" s="192" t="s">
        <v>1363</v>
      </c>
      <c r="D16" s="192" t="s">
        <v>45</v>
      </c>
      <c r="E16" s="192" t="s">
        <v>1369</v>
      </c>
      <c r="F16" s="193" t="s">
        <v>1370</v>
      </c>
      <c r="G16" s="194" t="s">
        <v>165</v>
      </c>
      <c r="H16" s="195">
        <v>25</v>
      </c>
      <c r="I16" s="194" t="s">
        <v>1353</v>
      </c>
      <c r="J16" s="194" t="s">
        <v>22</v>
      </c>
      <c r="K16" s="194" t="s">
        <v>0</v>
      </c>
      <c r="L16" s="194" t="s">
        <v>1354</v>
      </c>
      <c r="M16" s="194" t="s">
        <v>1332</v>
      </c>
      <c r="N16" s="191" t="s">
        <v>1345</v>
      </c>
      <c r="O16" s="194">
        <f t="shared" si="0"/>
        <v>25</v>
      </c>
      <c r="P16" s="194" t="s">
        <v>1367</v>
      </c>
      <c r="Q16" s="194" t="s">
        <v>1356</v>
      </c>
      <c r="R16" s="194" t="s">
        <v>1</v>
      </c>
      <c r="S16" s="196">
        <v>600</v>
      </c>
      <c r="T16" s="194" t="s">
        <v>1368</v>
      </c>
      <c r="U16" s="194" t="s">
        <v>5</v>
      </c>
      <c r="V16" s="194" t="s">
        <v>1357</v>
      </c>
      <c r="W16" s="191" t="s">
        <v>1332</v>
      </c>
      <c r="X16" s="191" t="s">
        <v>1332</v>
      </c>
      <c r="Y16" s="191" t="s">
        <v>1332</v>
      </c>
      <c r="Z16" s="191" t="s">
        <v>1332</v>
      </c>
      <c r="AA16" s="191" t="s">
        <v>91</v>
      </c>
      <c r="AB16" s="179" t="s">
        <v>1347</v>
      </c>
      <c r="AC16" s="189"/>
      <c r="AD16" s="190"/>
      <c r="AE16" s="184"/>
    </row>
    <row r="17" spans="1:31" s="16" customFormat="1" ht="24.75" customHeight="1" x14ac:dyDescent="0.3">
      <c r="A17" s="179">
        <v>107</v>
      </c>
      <c r="B17" s="179" t="s">
        <v>58</v>
      </c>
      <c r="C17" s="185" t="s">
        <v>33</v>
      </c>
      <c r="D17" s="179" t="s">
        <v>45</v>
      </c>
      <c r="E17" s="179" t="s">
        <v>1371</v>
      </c>
      <c r="F17" s="180" t="s">
        <v>319</v>
      </c>
      <c r="G17" s="181" t="s">
        <v>165</v>
      </c>
      <c r="H17" s="181">
        <v>80</v>
      </c>
      <c r="I17" s="181" t="s">
        <v>1372</v>
      </c>
      <c r="J17" s="181" t="s">
        <v>22</v>
      </c>
      <c r="K17" s="181" t="s">
        <v>0</v>
      </c>
      <c r="L17" s="181" t="s">
        <v>1354</v>
      </c>
      <c r="M17" s="181" t="s">
        <v>1332</v>
      </c>
      <c r="N17" s="179" t="s">
        <v>1345</v>
      </c>
      <c r="O17" s="181">
        <f t="shared" si="0"/>
        <v>80</v>
      </c>
      <c r="P17" s="181" t="s">
        <v>14</v>
      </c>
      <c r="Q17" s="188" t="s">
        <v>15</v>
      </c>
      <c r="R17" s="181" t="s">
        <v>1</v>
      </c>
      <c r="S17" s="181">
        <v>300</v>
      </c>
      <c r="T17" s="181" t="s">
        <v>1336</v>
      </c>
      <c r="U17" s="181" t="s">
        <v>1373</v>
      </c>
      <c r="V17" s="181" t="s">
        <v>16</v>
      </c>
      <c r="W17" s="179" t="s">
        <v>1332</v>
      </c>
      <c r="X17" s="179" t="s">
        <v>1332</v>
      </c>
      <c r="Y17" s="179" t="s">
        <v>1332</v>
      </c>
      <c r="Z17" s="179" t="s">
        <v>1332</v>
      </c>
      <c r="AA17" s="181" t="s">
        <v>91</v>
      </c>
      <c r="AB17" s="179" t="s">
        <v>1347</v>
      </c>
      <c r="AC17" s="189" t="s">
        <v>1362</v>
      </c>
      <c r="AD17" s="190"/>
      <c r="AE17" s="181"/>
    </row>
    <row r="18" spans="1:31" s="16" customFormat="1" ht="24.75" customHeight="1" x14ac:dyDescent="0.3">
      <c r="A18" s="179">
        <v>114</v>
      </c>
      <c r="B18" s="179" t="s">
        <v>60</v>
      </c>
      <c r="C18" s="185" t="s">
        <v>35</v>
      </c>
      <c r="D18" s="179" t="s">
        <v>45</v>
      </c>
      <c r="E18" s="179" t="s">
        <v>1374</v>
      </c>
      <c r="F18" s="180" t="s">
        <v>324</v>
      </c>
      <c r="G18" s="181" t="s">
        <v>165</v>
      </c>
      <c r="H18" s="181">
        <v>80</v>
      </c>
      <c r="I18" s="181" t="s">
        <v>1372</v>
      </c>
      <c r="J18" s="181" t="s">
        <v>22</v>
      </c>
      <c r="K18" s="181" t="s">
        <v>0</v>
      </c>
      <c r="L18" s="181" t="s">
        <v>1354</v>
      </c>
      <c r="M18" s="181" t="s">
        <v>1332</v>
      </c>
      <c r="N18" s="179" t="s">
        <v>1345</v>
      </c>
      <c r="O18" s="181">
        <f t="shared" si="0"/>
        <v>80</v>
      </c>
      <c r="P18" s="181" t="s">
        <v>14</v>
      </c>
      <c r="Q18" s="188" t="s">
        <v>15</v>
      </c>
      <c r="R18" s="181" t="s">
        <v>1</v>
      </c>
      <c r="S18" s="181">
        <v>300</v>
      </c>
      <c r="T18" s="181" t="s">
        <v>1336</v>
      </c>
      <c r="U18" s="181" t="s">
        <v>1373</v>
      </c>
      <c r="V18" s="181" t="s">
        <v>16</v>
      </c>
      <c r="W18" s="179" t="s">
        <v>1332</v>
      </c>
      <c r="X18" s="179" t="s">
        <v>1332</v>
      </c>
      <c r="Y18" s="179" t="s">
        <v>1332</v>
      </c>
      <c r="Z18" s="179" t="s">
        <v>1332</v>
      </c>
      <c r="AA18" s="181" t="s">
        <v>91</v>
      </c>
      <c r="AB18" s="179" t="s">
        <v>1347</v>
      </c>
      <c r="AC18" s="189"/>
      <c r="AD18" s="190"/>
      <c r="AE18" s="181"/>
    </row>
    <row r="19" spans="1:31" s="16" customFormat="1" ht="24.75" customHeight="1" x14ac:dyDescent="0.3">
      <c r="A19" s="179">
        <v>108</v>
      </c>
      <c r="B19" s="179" t="s">
        <v>58</v>
      </c>
      <c r="C19" s="185" t="s">
        <v>33</v>
      </c>
      <c r="D19" s="179" t="s">
        <v>45</v>
      </c>
      <c r="E19" s="179" t="s">
        <v>1375</v>
      </c>
      <c r="F19" s="180" t="s">
        <v>320</v>
      </c>
      <c r="G19" s="181" t="s">
        <v>165</v>
      </c>
      <c r="H19" s="197">
        <v>100</v>
      </c>
      <c r="I19" s="181" t="s">
        <v>1372</v>
      </c>
      <c r="J19" s="181" t="s">
        <v>22</v>
      </c>
      <c r="K19" s="181" t="s">
        <v>0</v>
      </c>
      <c r="L19" s="181" t="s">
        <v>1354</v>
      </c>
      <c r="M19" s="181" t="s">
        <v>1332</v>
      </c>
      <c r="N19" s="179" t="s">
        <v>1345</v>
      </c>
      <c r="O19" s="181">
        <v>80</v>
      </c>
      <c r="P19" s="181" t="s">
        <v>14</v>
      </c>
      <c r="Q19" s="188" t="s">
        <v>15</v>
      </c>
      <c r="R19" s="181" t="s">
        <v>1</v>
      </c>
      <c r="S19" s="181">
        <v>300</v>
      </c>
      <c r="T19" s="181" t="s">
        <v>1336</v>
      </c>
      <c r="U19" s="181" t="s">
        <v>1373</v>
      </c>
      <c r="V19" s="181" t="s">
        <v>16</v>
      </c>
      <c r="W19" s="179" t="s">
        <v>1332</v>
      </c>
      <c r="X19" s="179" t="s">
        <v>1332</v>
      </c>
      <c r="Y19" s="179" t="s">
        <v>1332</v>
      </c>
      <c r="Z19" s="179" t="s">
        <v>1332</v>
      </c>
      <c r="AA19" s="181" t="s">
        <v>91</v>
      </c>
      <c r="AB19" s="179" t="s">
        <v>1347</v>
      </c>
      <c r="AC19" s="189" t="s">
        <v>1362</v>
      </c>
      <c r="AD19" s="190"/>
      <c r="AE19" s="181"/>
    </row>
    <row r="20" spans="1:31" s="16" customFormat="1" ht="24.75" customHeight="1" x14ac:dyDescent="0.3">
      <c r="A20" s="179">
        <v>115</v>
      </c>
      <c r="B20" s="179" t="s">
        <v>60</v>
      </c>
      <c r="C20" s="185" t="s">
        <v>35</v>
      </c>
      <c r="D20" s="179" t="s">
        <v>45</v>
      </c>
      <c r="E20" s="179" t="s">
        <v>1376</v>
      </c>
      <c r="F20" s="180" t="s">
        <v>325</v>
      </c>
      <c r="G20" s="181" t="s">
        <v>165</v>
      </c>
      <c r="H20" s="197">
        <v>100</v>
      </c>
      <c r="I20" s="181" t="s">
        <v>1372</v>
      </c>
      <c r="J20" s="181" t="s">
        <v>22</v>
      </c>
      <c r="K20" s="181" t="s">
        <v>0</v>
      </c>
      <c r="L20" s="181" t="s">
        <v>1354</v>
      </c>
      <c r="M20" s="181" t="s">
        <v>1332</v>
      </c>
      <c r="N20" s="179" t="s">
        <v>1345</v>
      </c>
      <c r="O20" s="181">
        <v>80</v>
      </c>
      <c r="P20" s="181" t="s">
        <v>14</v>
      </c>
      <c r="Q20" s="188" t="s">
        <v>15</v>
      </c>
      <c r="R20" s="181" t="s">
        <v>1</v>
      </c>
      <c r="S20" s="181">
        <v>300</v>
      </c>
      <c r="T20" s="181" t="s">
        <v>1336</v>
      </c>
      <c r="U20" s="181" t="s">
        <v>1373</v>
      </c>
      <c r="V20" s="181" t="s">
        <v>16</v>
      </c>
      <c r="W20" s="179" t="s">
        <v>1332</v>
      </c>
      <c r="X20" s="179" t="s">
        <v>1332</v>
      </c>
      <c r="Y20" s="179" t="s">
        <v>1332</v>
      </c>
      <c r="Z20" s="179" t="s">
        <v>1332</v>
      </c>
      <c r="AA20" s="181" t="s">
        <v>91</v>
      </c>
      <c r="AB20" s="179" t="s">
        <v>1347</v>
      </c>
      <c r="AC20" s="189"/>
      <c r="AD20" s="190"/>
      <c r="AE20" s="181"/>
    </row>
    <row r="21" spans="1:31" s="16" customFormat="1" ht="23.45" customHeight="1" x14ac:dyDescent="0.3">
      <c r="A21" s="179">
        <v>109</v>
      </c>
      <c r="B21" s="179" t="s">
        <v>58</v>
      </c>
      <c r="C21" s="185" t="s">
        <v>33</v>
      </c>
      <c r="D21" s="179" t="s">
        <v>45</v>
      </c>
      <c r="E21" s="179" t="s">
        <v>1377</v>
      </c>
      <c r="F21" s="180" t="s">
        <v>321</v>
      </c>
      <c r="G21" s="181" t="s">
        <v>165</v>
      </c>
      <c r="H21" s="181">
        <v>250</v>
      </c>
      <c r="I21" s="181" t="s">
        <v>1372</v>
      </c>
      <c r="J21" s="181" t="s">
        <v>22</v>
      </c>
      <c r="K21" s="181" t="s">
        <v>0</v>
      </c>
      <c r="L21" s="181" t="s">
        <v>1354</v>
      </c>
      <c r="M21" s="181" t="s">
        <v>1332</v>
      </c>
      <c r="N21" s="179" t="s">
        <v>1345</v>
      </c>
      <c r="O21" s="181">
        <v>200</v>
      </c>
      <c r="P21" s="181" t="s">
        <v>14</v>
      </c>
      <c r="Q21" s="188" t="s">
        <v>15</v>
      </c>
      <c r="R21" s="181" t="s">
        <v>1</v>
      </c>
      <c r="S21" s="181">
        <v>300</v>
      </c>
      <c r="T21" s="181" t="s">
        <v>1336</v>
      </c>
      <c r="U21" s="181" t="s">
        <v>1373</v>
      </c>
      <c r="V21" s="181" t="s">
        <v>16</v>
      </c>
      <c r="W21" s="179" t="s">
        <v>1332</v>
      </c>
      <c r="X21" s="179" t="s">
        <v>1332</v>
      </c>
      <c r="Y21" s="179" t="s">
        <v>1332</v>
      </c>
      <c r="Z21" s="179" t="s">
        <v>1332</v>
      </c>
      <c r="AA21" s="181" t="s">
        <v>91</v>
      </c>
      <c r="AB21" s="179" t="s">
        <v>1347</v>
      </c>
      <c r="AC21" s="189" t="s">
        <v>1378</v>
      </c>
      <c r="AD21" s="190"/>
      <c r="AE21" s="181"/>
    </row>
    <row r="22" spans="1:31" s="16" customFormat="1" ht="24.75" customHeight="1" x14ac:dyDescent="0.3">
      <c r="A22" s="179">
        <v>116</v>
      </c>
      <c r="B22" s="179" t="s">
        <v>60</v>
      </c>
      <c r="C22" s="185" t="s">
        <v>35</v>
      </c>
      <c r="D22" s="179" t="s">
        <v>45</v>
      </c>
      <c r="E22" s="179" t="s">
        <v>1379</v>
      </c>
      <c r="F22" s="180" t="s">
        <v>326</v>
      </c>
      <c r="G22" s="181" t="s">
        <v>165</v>
      </c>
      <c r="H22" s="181">
        <v>250</v>
      </c>
      <c r="I22" s="181" t="s">
        <v>1372</v>
      </c>
      <c r="J22" s="181" t="s">
        <v>22</v>
      </c>
      <c r="K22" s="181" t="s">
        <v>0</v>
      </c>
      <c r="L22" s="181" t="s">
        <v>1354</v>
      </c>
      <c r="M22" s="181" t="s">
        <v>1332</v>
      </c>
      <c r="N22" s="179" t="s">
        <v>1345</v>
      </c>
      <c r="O22" s="181">
        <v>200</v>
      </c>
      <c r="P22" s="181" t="s">
        <v>14</v>
      </c>
      <c r="Q22" s="188" t="s">
        <v>15</v>
      </c>
      <c r="R22" s="181" t="s">
        <v>1</v>
      </c>
      <c r="S22" s="181">
        <v>300</v>
      </c>
      <c r="T22" s="181" t="s">
        <v>1336</v>
      </c>
      <c r="U22" s="181" t="s">
        <v>1373</v>
      </c>
      <c r="V22" s="181" t="s">
        <v>16</v>
      </c>
      <c r="W22" s="179" t="s">
        <v>1332</v>
      </c>
      <c r="X22" s="179" t="s">
        <v>1332</v>
      </c>
      <c r="Y22" s="179" t="s">
        <v>1332</v>
      </c>
      <c r="Z22" s="179" t="s">
        <v>1332</v>
      </c>
      <c r="AA22" s="181" t="s">
        <v>91</v>
      </c>
      <c r="AB22" s="179" t="s">
        <v>1347</v>
      </c>
      <c r="AC22" s="189"/>
      <c r="AD22" s="190"/>
      <c r="AE22" s="181"/>
    </row>
    <row r="23" spans="1:31" s="16" customFormat="1" ht="24.75" customHeight="1" x14ac:dyDescent="0.3">
      <c r="A23" s="179">
        <v>123</v>
      </c>
      <c r="B23" s="179" t="s">
        <v>1380</v>
      </c>
      <c r="C23" s="179" t="s">
        <v>1381</v>
      </c>
      <c r="D23" s="179" t="s">
        <v>45</v>
      </c>
      <c r="E23" s="179" t="s">
        <v>1382</v>
      </c>
      <c r="F23" s="180" t="s">
        <v>330</v>
      </c>
      <c r="G23" s="181" t="s">
        <v>165</v>
      </c>
      <c r="H23" s="181">
        <v>250</v>
      </c>
      <c r="I23" s="181" t="s">
        <v>1372</v>
      </c>
      <c r="J23" s="181" t="s">
        <v>22</v>
      </c>
      <c r="K23" s="181" t="s">
        <v>0</v>
      </c>
      <c r="L23" s="181" t="s">
        <v>1354</v>
      </c>
      <c r="M23" s="181" t="s">
        <v>1332</v>
      </c>
      <c r="N23" s="179" t="s">
        <v>1345</v>
      </c>
      <c r="O23" s="181">
        <v>200</v>
      </c>
      <c r="P23" s="181" t="s">
        <v>14</v>
      </c>
      <c r="Q23" s="188" t="s">
        <v>15</v>
      </c>
      <c r="R23" s="181" t="s">
        <v>1</v>
      </c>
      <c r="S23" s="188">
        <v>300</v>
      </c>
      <c r="T23" s="181" t="s">
        <v>1336</v>
      </c>
      <c r="U23" s="181" t="s">
        <v>1373</v>
      </c>
      <c r="V23" s="181" t="s">
        <v>16</v>
      </c>
      <c r="W23" s="179" t="s">
        <v>1332</v>
      </c>
      <c r="X23" s="179" t="s">
        <v>1332</v>
      </c>
      <c r="Y23" s="179" t="s">
        <v>1332</v>
      </c>
      <c r="Z23" s="179" t="s">
        <v>1332</v>
      </c>
      <c r="AA23" s="181" t="s">
        <v>91</v>
      </c>
      <c r="AB23" s="179" t="s">
        <v>1347</v>
      </c>
      <c r="AC23" s="189" t="s">
        <v>1378</v>
      </c>
      <c r="AD23" s="190"/>
      <c r="AE23" s="181"/>
    </row>
    <row r="24" spans="1:31" s="16" customFormat="1" ht="24.75" customHeight="1" x14ac:dyDescent="0.3">
      <c r="A24" s="179">
        <v>124</v>
      </c>
      <c r="B24" s="179" t="s">
        <v>1380</v>
      </c>
      <c r="C24" s="179" t="s">
        <v>1381</v>
      </c>
      <c r="D24" s="179" t="s">
        <v>45</v>
      </c>
      <c r="E24" s="179" t="s">
        <v>1383</v>
      </c>
      <c r="F24" s="180" t="s">
        <v>331</v>
      </c>
      <c r="G24" s="181" t="s">
        <v>165</v>
      </c>
      <c r="H24" s="181">
        <v>450</v>
      </c>
      <c r="I24" s="181" t="s">
        <v>1372</v>
      </c>
      <c r="J24" s="181" t="s">
        <v>22</v>
      </c>
      <c r="K24" s="181" t="s">
        <v>0</v>
      </c>
      <c r="L24" s="181" t="s">
        <v>1354</v>
      </c>
      <c r="M24" s="181" t="s">
        <v>1332</v>
      </c>
      <c r="N24" s="179" t="s">
        <v>1345</v>
      </c>
      <c r="O24" s="181">
        <v>350</v>
      </c>
      <c r="P24" s="181" t="s">
        <v>14</v>
      </c>
      <c r="Q24" s="188" t="s">
        <v>15</v>
      </c>
      <c r="R24" s="181" t="s">
        <v>1</v>
      </c>
      <c r="S24" s="188">
        <v>300</v>
      </c>
      <c r="T24" s="181" t="s">
        <v>1336</v>
      </c>
      <c r="U24" s="181" t="s">
        <v>1373</v>
      </c>
      <c r="V24" s="181" t="s">
        <v>16</v>
      </c>
      <c r="W24" s="179" t="s">
        <v>1332</v>
      </c>
      <c r="X24" s="179" t="s">
        <v>1332</v>
      </c>
      <c r="Y24" s="179" t="s">
        <v>1332</v>
      </c>
      <c r="Z24" s="179" t="s">
        <v>1332</v>
      </c>
      <c r="AA24" s="181" t="s">
        <v>91</v>
      </c>
      <c r="AB24" s="179" t="s">
        <v>1347</v>
      </c>
      <c r="AC24" s="215" t="s">
        <v>1384</v>
      </c>
      <c r="AD24" s="198" t="s">
        <v>1338</v>
      </c>
      <c r="AE24" s="181"/>
    </row>
    <row r="25" spans="1:31" s="16" customFormat="1" ht="24.75" customHeight="1" x14ac:dyDescent="0.3">
      <c r="A25" s="179">
        <v>125</v>
      </c>
      <c r="B25" s="179" t="s">
        <v>1380</v>
      </c>
      <c r="C25" s="179" t="s">
        <v>1381</v>
      </c>
      <c r="D25" s="179" t="s">
        <v>45</v>
      </c>
      <c r="E25" s="179" t="s">
        <v>1385</v>
      </c>
      <c r="F25" s="180" t="s">
        <v>332</v>
      </c>
      <c r="G25" s="181" t="s">
        <v>165</v>
      </c>
      <c r="H25" s="181">
        <v>450</v>
      </c>
      <c r="I25" s="181" t="s">
        <v>1372</v>
      </c>
      <c r="J25" s="181" t="s">
        <v>22</v>
      </c>
      <c r="K25" s="181" t="s">
        <v>0</v>
      </c>
      <c r="L25" s="181" t="s">
        <v>1354</v>
      </c>
      <c r="M25" s="181" t="s">
        <v>1332</v>
      </c>
      <c r="N25" s="179" t="s">
        <v>1345</v>
      </c>
      <c r="O25" s="181">
        <v>350</v>
      </c>
      <c r="P25" s="181" t="s">
        <v>14</v>
      </c>
      <c r="Q25" s="188" t="s">
        <v>15</v>
      </c>
      <c r="R25" s="181" t="s">
        <v>1</v>
      </c>
      <c r="S25" s="188">
        <v>300</v>
      </c>
      <c r="T25" s="181" t="s">
        <v>1336</v>
      </c>
      <c r="U25" s="181" t="s">
        <v>1373</v>
      </c>
      <c r="V25" s="181" t="s">
        <v>16</v>
      </c>
      <c r="W25" s="179" t="s">
        <v>1332</v>
      </c>
      <c r="X25" s="179" t="s">
        <v>1332</v>
      </c>
      <c r="Y25" s="179" t="s">
        <v>1332</v>
      </c>
      <c r="Z25" s="179" t="s">
        <v>1332</v>
      </c>
      <c r="AA25" s="181" t="s">
        <v>91</v>
      </c>
      <c r="AB25" s="179" t="s">
        <v>1347</v>
      </c>
      <c r="AC25" s="215" t="s">
        <v>1384</v>
      </c>
      <c r="AD25" s="198" t="s">
        <v>1338</v>
      </c>
      <c r="AE25" s="181"/>
    </row>
    <row r="26" spans="1:31" s="24" customFormat="1" ht="24.75" customHeight="1" x14ac:dyDescent="0.3">
      <c r="A26" s="179">
        <v>129</v>
      </c>
      <c r="B26" s="179" t="s">
        <v>1386</v>
      </c>
      <c r="C26" s="179" t="s">
        <v>1381</v>
      </c>
      <c r="D26" s="185" t="s">
        <v>45</v>
      </c>
      <c r="E26" s="185" t="s">
        <v>1387</v>
      </c>
      <c r="F26" s="180" t="s">
        <v>600</v>
      </c>
      <c r="G26" s="181" t="s">
        <v>165</v>
      </c>
      <c r="H26" s="181">
        <v>150</v>
      </c>
      <c r="I26" s="181" t="s">
        <v>1388</v>
      </c>
      <c r="J26" s="181" t="s">
        <v>22</v>
      </c>
      <c r="K26" s="181" t="s">
        <v>0</v>
      </c>
      <c r="L26" s="181" t="s">
        <v>1354</v>
      </c>
      <c r="M26" s="181" t="s">
        <v>1332</v>
      </c>
      <c r="N26" s="179" t="s">
        <v>1345</v>
      </c>
      <c r="O26" s="181">
        <v>100</v>
      </c>
      <c r="P26" s="181" t="s">
        <v>1355</v>
      </c>
      <c r="Q26" s="181" t="s">
        <v>1356</v>
      </c>
      <c r="R26" s="181" t="s">
        <v>1</v>
      </c>
      <c r="S26" s="188">
        <v>300</v>
      </c>
      <c r="T26" s="181" t="s">
        <v>1336</v>
      </c>
      <c r="U26" s="181" t="s">
        <v>1373</v>
      </c>
      <c r="V26" s="181" t="s">
        <v>16</v>
      </c>
      <c r="W26" s="179" t="s">
        <v>1332</v>
      </c>
      <c r="X26" s="179" t="s">
        <v>1332</v>
      </c>
      <c r="Y26" s="179" t="s">
        <v>1332</v>
      </c>
      <c r="Z26" s="179" t="s">
        <v>1332</v>
      </c>
      <c r="AA26" s="181" t="s">
        <v>91</v>
      </c>
      <c r="AB26" s="179" t="s">
        <v>1347</v>
      </c>
      <c r="AC26" s="215" t="s">
        <v>1348</v>
      </c>
      <c r="AD26" s="198"/>
      <c r="AE26" s="181"/>
    </row>
    <row r="27" spans="1:31" s="24" customFormat="1" ht="24.75" customHeight="1" x14ac:dyDescent="0.3">
      <c r="A27" s="179">
        <v>130</v>
      </c>
      <c r="B27" s="179" t="s">
        <v>1386</v>
      </c>
      <c r="C27" s="179" t="s">
        <v>1381</v>
      </c>
      <c r="D27" s="185" t="s">
        <v>45</v>
      </c>
      <c r="E27" s="185" t="s">
        <v>1389</v>
      </c>
      <c r="F27" s="180" t="s">
        <v>601</v>
      </c>
      <c r="G27" s="181" t="s">
        <v>165</v>
      </c>
      <c r="H27" s="181">
        <v>150</v>
      </c>
      <c r="I27" s="181" t="s">
        <v>1388</v>
      </c>
      <c r="J27" s="181" t="s">
        <v>22</v>
      </c>
      <c r="K27" s="181" t="s">
        <v>0</v>
      </c>
      <c r="L27" s="181" t="s">
        <v>1354</v>
      </c>
      <c r="M27" s="181" t="s">
        <v>1332</v>
      </c>
      <c r="N27" s="179" t="s">
        <v>1345</v>
      </c>
      <c r="O27" s="181">
        <v>100</v>
      </c>
      <c r="P27" s="181" t="s">
        <v>1355</v>
      </c>
      <c r="Q27" s="181" t="s">
        <v>1356</v>
      </c>
      <c r="R27" s="181" t="s">
        <v>1</v>
      </c>
      <c r="S27" s="188">
        <v>300</v>
      </c>
      <c r="T27" s="181" t="s">
        <v>1336</v>
      </c>
      <c r="U27" s="181" t="s">
        <v>1373</v>
      </c>
      <c r="V27" s="181" t="s">
        <v>16</v>
      </c>
      <c r="W27" s="179" t="s">
        <v>1332</v>
      </c>
      <c r="X27" s="179" t="s">
        <v>1332</v>
      </c>
      <c r="Y27" s="179" t="s">
        <v>1332</v>
      </c>
      <c r="Z27" s="179" t="s">
        <v>1332</v>
      </c>
      <c r="AA27" s="181" t="s">
        <v>91</v>
      </c>
      <c r="AB27" s="179" t="s">
        <v>1347</v>
      </c>
      <c r="AC27" s="215" t="s">
        <v>1348</v>
      </c>
      <c r="AD27" s="199"/>
      <c r="AE27" s="181"/>
    </row>
    <row r="28" spans="1:31" s="204" customFormat="1" ht="28.35" customHeight="1" x14ac:dyDescent="0.3">
      <c r="A28" s="179">
        <v>224</v>
      </c>
      <c r="B28" s="200" t="s">
        <v>1303</v>
      </c>
      <c r="C28" s="200" t="s">
        <v>259</v>
      </c>
      <c r="D28" s="200" t="s">
        <v>45</v>
      </c>
      <c r="E28" s="200" t="s">
        <v>1390</v>
      </c>
      <c r="F28" s="180" t="s">
        <v>1391</v>
      </c>
      <c r="G28" s="201" t="s">
        <v>165</v>
      </c>
      <c r="H28" s="201">
        <v>100</v>
      </c>
      <c r="I28" s="201" t="s">
        <v>1388</v>
      </c>
      <c r="J28" s="201" t="s">
        <v>22</v>
      </c>
      <c r="K28" s="201" t="s">
        <v>0</v>
      </c>
      <c r="L28" s="201" t="s">
        <v>1331</v>
      </c>
      <c r="M28" s="201" t="s">
        <v>1332</v>
      </c>
      <c r="N28" s="200" t="s">
        <v>1345</v>
      </c>
      <c r="O28" s="201">
        <v>80</v>
      </c>
      <c r="P28" s="201" t="s">
        <v>1355</v>
      </c>
      <c r="Q28" s="201" t="s">
        <v>1356</v>
      </c>
      <c r="R28" s="201" t="s">
        <v>1</v>
      </c>
      <c r="S28" s="201">
        <v>300</v>
      </c>
      <c r="T28" s="201" t="s">
        <v>1336</v>
      </c>
      <c r="U28" s="201" t="s">
        <v>1373</v>
      </c>
      <c r="V28" s="201" t="s">
        <v>16</v>
      </c>
      <c r="W28" s="200" t="s">
        <v>1332</v>
      </c>
      <c r="X28" s="200" t="s">
        <v>1332</v>
      </c>
      <c r="Y28" s="200" t="s">
        <v>1332</v>
      </c>
      <c r="Z28" s="200" t="s">
        <v>1332</v>
      </c>
      <c r="AA28" s="201" t="s">
        <v>91</v>
      </c>
      <c r="AB28" s="200" t="s">
        <v>1347</v>
      </c>
      <c r="AC28" s="202" t="s">
        <v>1362</v>
      </c>
      <c r="AD28" s="203"/>
      <c r="AE28" s="201"/>
    </row>
    <row r="29" spans="1:31" s="204" customFormat="1" ht="28.35" customHeight="1" x14ac:dyDescent="0.3">
      <c r="A29" s="179">
        <v>225</v>
      </c>
      <c r="B29" s="200" t="s">
        <v>1392</v>
      </c>
      <c r="C29" s="200" t="s">
        <v>259</v>
      </c>
      <c r="D29" s="200" t="s">
        <v>45</v>
      </c>
      <c r="E29" s="200" t="s">
        <v>1393</v>
      </c>
      <c r="F29" s="180" t="s">
        <v>1394</v>
      </c>
      <c r="G29" s="201" t="s">
        <v>165</v>
      </c>
      <c r="H29" s="201">
        <v>100</v>
      </c>
      <c r="I29" s="201" t="s">
        <v>1388</v>
      </c>
      <c r="J29" s="201" t="s">
        <v>22</v>
      </c>
      <c r="K29" s="201" t="s">
        <v>0</v>
      </c>
      <c r="L29" s="201" t="s">
        <v>1331</v>
      </c>
      <c r="M29" s="201" t="s">
        <v>1332</v>
      </c>
      <c r="N29" s="200" t="s">
        <v>1345</v>
      </c>
      <c r="O29" s="201">
        <v>80</v>
      </c>
      <c r="P29" s="201" t="s">
        <v>1355</v>
      </c>
      <c r="Q29" s="201" t="s">
        <v>1356</v>
      </c>
      <c r="R29" s="201" t="s">
        <v>1</v>
      </c>
      <c r="S29" s="201">
        <v>300</v>
      </c>
      <c r="T29" s="201" t="s">
        <v>1336</v>
      </c>
      <c r="U29" s="201" t="s">
        <v>1373</v>
      </c>
      <c r="V29" s="201" t="s">
        <v>16</v>
      </c>
      <c r="W29" s="200" t="s">
        <v>1332</v>
      </c>
      <c r="X29" s="200" t="s">
        <v>1332</v>
      </c>
      <c r="Y29" s="200" t="s">
        <v>1332</v>
      </c>
      <c r="Z29" s="200" t="s">
        <v>1332</v>
      </c>
      <c r="AA29" s="201" t="s">
        <v>91</v>
      </c>
      <c r="AB29" s="200" t="s">
        <v>1347</v>
      </c>
      <c r="AC29" s="202"/>
      <c r="AD29" s="203"/>
      <c r="AE29" s="201"/>
    </row>
    <row r="30" spans="1:31" s="204" customFormat="1" ht="28.35" customHeight="1" x14ac:dyDescent="0.3">
      <c r="A30" s="179">
        <v>226</v>
      </c>
      <c r="B30" s="200" t="s">
        <v>1395</v>
      </c>
      <c r="C30" s="200" t="s">
        <v>259</v>
      </c>
      <c r="D30" s="200" t="s">
        <v>45</v>
      </c>
      <c r="E30" s="200" t="s">
        <v>1396</v>
      </c>
      <c r="F30" s="180" t="s">
        <v>1397</v>
      </c>
      <c r="G30" s="201" t="s">
        <v>165</v>
      </c>
      <c r="H30" s="201">
        <v>100</v>
      </c>
      <c r="I30" s="201" t="s">
        <v>1388</v>
      </c>
      <c r="J30" s="201" t="s">
        <v>22</v>
      </c>
      <c r="K30" s="201" t="s">
        <v>0</v>
      </c>
      <c r="L30" s="201" t="s">
        <v>1331</v>
      </c>
      <c r="M30" s="201" t="s">
        <v>1332</v>
      </c>
      <c r="N30" s="200" t="s">
        <v>1345</v>
      </c>
      <c r="O30" s="201">
        <v>80</v>
      </c>
      <c r="P30" s="201" t="s">
        <v>1355</v>
      </c>
      <c r="Q30" s="201" t="s">
        <v>1356</v>
      </c>
      <c r="R30" s="201" t="s">
        <v>1</v>
      </c>
      <c r="S30" s="201">
        <v>300</v>
      </c>
      <c r="T30" s="201" t="s">
        <v>1336</v>
      </c>
      <c r="U30" s="201" t="s">
        <v>1373</v>
      </c>
      <c r="V30" s="201" t="s">
        <v>16</v>
      </c>
      <c r="W30" s="200" t="s">
        <v>1332</v>
      </c>
      <c r="X30" s="200" t="s">
        <v>1332</v>
      </c>
      <c r="Y30" s="200" t="s">
        <v>1332</v>
      </c>
      <c r="Z30" s="200" t="s">
        <v>1332</v>
      </c>
      <c r="AA30" s="201" t="s">
        <v>91</v>
      </c>
      <c r="AB30" s="200" t="s">
        <v>1347</v>
      </c>
      <c r="AC30" s="202"/>
      <c r="AD30" s="203"/>
      <c r="AE30" s="201"/>
    </row>
    <row r="31" spans="1:31" s="16" customFormat="1" ht="28.35" customHeight="1" x14ac:dyDescent="0.3">
      <c r="A31" s="179">
        <v>133</v>
      </c>
      <c r="B31" s="179" t="s">
        <v>1398</v>
      </c>
      <c r="C31" s="179" t="s">
        <v>1399</v>
      </c>
      <c r="D31" s="179" t="s">
        <v>45</v>
      </c>
      <c r="E31" s="179" t="s">
        <v>1400</v>
      </c>
      <c r="F31" s="180" t="s">
        <v>1401</v>
      </c>
      <c r="G31" s="181" t="s">
        <v>165</v>
      </c>
      <c r="H31" s="181">
        <v>500</v>
      </c>
      <c r="I31" s="182" t="s">
        <v>1402</v>
      </c>
      <c r="J31" s="181" t="s">
        <v>22</v>
      </c>
      <c r="K31" s="181" t="s">
        <v>0</v>
      </c>
      <c r="L31" s="181" t="s">
        <v>1354</v>
      </c>
      <c r="M31" s="181" t="s">
        <v>1332</v>
      </c>
      <c r="N31" s="179" t="s">
        <v>1345</v>
      </c>
      <c r="O31" s="181">
        <v>400</v>
      </c>
      <c r="P31" s="201" t="s">
        <v>1355</v>
      </c>
      <c r="Q31" s="201" t="s">
        <v>1356</v>
      </c>
      <c r="R31" s="181" t="s">
        <v>1</v>
      </c>
      <c r="S31" s="182">
        <v>300</v>
      </c>
      <c r="T31" s="182" t="s">
        <v>1336</v>
      </c>
      <c r="U31" s="181" t="s">
        <v>1373</v>
      </c>
      <c r="V31" s="181" t="s">
        <v>1357</v>
      </c>
      <c r="W31" s="179" t="s">
        <v>1332</v>
      </c>
      <c r="X31" s="179" t="s">
        <v>1332</v>
      </c>
      <c r="Y31" s="179" t="s">
        <v>1332</v>
      </c>
      <c r="Z31" s="179" t="s">
        <v>1332</v>
      </c>
      <c r="AA31" s="181" t="s">
        <v>91</v>
      </c>
      <c r="AB31" s="179" t="s">
        <v>1347</v>
      </c>
      <c r="AC31" s="189" t="s">
        <v>1403</v>
      </c>
      <c r="AD31" s="190" t="s">
        <v>1338</v>
      </c>
      <c r="AE31" s="181"/>
    </row>
    <row r="32" spans="1:31" s="16" customFormat="1" ht="28.35" customHeight="1" x14ac:dyDescent="0.3">
      <c r="A32" s="179">
        <v>142</v>
      </c>
      <c r="B32" s="179" t="s">
        <v>1392</v>
      </c>
      <c r="C32" s="179" t="s">
        <v>40</v>
      </c>
      <c r="D32" s="179" t="s">
        <v>45</v>
      </c>
      <c r="E32" s="179" t="s">
        <v>1404</v>
      </c>
      <c r="F32" s="180" t="s">
        <v>1405</v>
      </c>
      <c r="G32" s="181" t="s">
        <v>165</v>
      </c>
      <c r="H32" s="181">
        <v>500</v>
      </c>
      <c r="I32" s="182" t="s">
        <v>1402</v>
      </c>
      <c r="J32" s="181" t="s">
        <v>22</v>
      </c>
      <c r="K32" s="181" t="s">
        <v>0</v>
      </c>
      <c r="L32" s="181" t="s">
        <v>1354</v>
      </c>
      <c r="M32" s="181" t="s">
        <v>1332</v>
      </c>
      <c r="N32" s="179" t="s">
        <v>1345</v>
      </c>
      <c r="O32" s="181">
        <v>400</v>
      </c>
      <c r="P32" s="201" t="s">
        <v>1355</v>
      </c>
      <c r="Q32" s="201" t="s">
        <v>1356</v>
      </c>
      <c r="R32" s="181" t="s">
        <v>1</v>
      </c>
      <c r="S32" s="182">
        <v>300</v>
      </c>
      <c r="T32" s="182" t="s">
        <v>1336</v>
      </c>
      <c r="U32" s="181" t="s">
        <v>1373</v>
      </c>
      <c r="V32" s="181" t="s">
        <v>1357</v>
      </c>
      <c r="W32" s="179" t="s">
        <v>1332</v>
      </c>
      <c r="X32" s="179" t="s">
        <v>1332</v>
      </c>
      <c r="Y32" s="179" t="s">
        <v>1332</v>
      </c>
      <c r="Z32" s="179" t="s">
        <v>1332</v>
      </c>
      <c r="AA32" s="181" t="s">
        <v>91</v>
      </c>
      <c r="AB32" s="179" t="s">
        <v>1347</v>
      </c>
      <c r="AC32" s="189"/>
      <c r="AD32" s="190"/>
      <c r="AE32" s="181"/>
    </row>
    <row r="33" spans="1:31" s="16" customFormat="1" ht="28.35" customHeight="1" x14ac:dyDescent="0.3">
      <c r="A33" s="179">
        <v>151</v>
      </c>
      <c r="B33" s="179" t="s">
        <v>1395</v>
      </c>
      <c r="C33" s="179" t="s">
        <v>40</v>
      </c>
      <c r="D33" s="179" t="s">
        <v>45</v>
      </c>
      <c r="E33" s="179" t="s">
        <v>1406</v>
      </c>
      <c r="F33" s="180" t="s">
        <v>1407</v>
      </c>
      <c r="G33" s="181" t="s">
        <v>165</v>
      </c>
      <c r="H33" s="181">
        <v>500</v>
      </c>
      <c r="I33" s="182" t="s">
        <v>1402</v>
      </c>
      <c r="J33" s="181" t="s">
        <v>22</v>
      </c>
      <c r="K33" s="181" t="s">
        <v>0</v>
      </c>
      <c r="L33" s="181" t="s">
        <v>1354</v>
      </c>
      <c r="M33" s="181" t="s">
        <v>1332</v>
      </c>
      <c r="N33" s="179" t="s">
        <v>1345</v>
      </c>
      <c r="O33" s="181">
        <v>400</v>
      </c>
      <c r="P33" s="201" t="s">
        <v>1355</v>
      </c>
      <c r="Q33" s="201" t="s">
        <v>1356</v>
      </c>
      <c r="R33" s="181" t="s">
        <v>1</v>
      </c>
      <c r="S33" s="182">
        <v>300</v>
      </c>
      <c r="T33" s="182" t="s">
        <v>1336</v>
      </c>
      <c r="U33" s="181" t="s">
        <v>1373</v>
      </c>
      <c r="V33" s="181" t="s">
        <v>1357</v>
      </c>
      <c r="W33" s="179" t="s">
        <v>1332</v>
      </c>
      <c r="X33" s="179" t="s">
        <v>1332</v>
      </c>
      <c r="Y33" s="179" t="s">
        <v>1332</v>
      </c>
      <c r="Z33" s="179" t="s">
        <v>1332</v>
      </c>
      <c r="AA33" s="181" t="s">
        <v>91</v>
      </c>
      <c r="AB33" s="179" t="s">
        <v>1347</v>
      </c>
      <c r="AC33" s="189"/>
      <c r="AD33" s="190"/>
      <c r="AE33" s="181"/>
    </row>
    <row r="34" spans="1:31" s="16" customFormat="1" ht="28.35" customHeight="1" x14ac:dyDescent="0.3">
      <c r="A34" s="179">
        <v>134</v>
      </c>
      <c r="B34" s="179" t="s">
        <v>1398</v>
      </c>
      <c r="C34" s="179" t="s">
        <v>1399</v>
      </c>
      <c r="D34" s="179" t="s">
        <v>45</v>
      </c>
      <c r="E34" s="179" t="s">
        <v>1408</v>
      </c>
      <c r="F34" s="180" t="s">
        <v>1409</v>
      </c>
      <c r="G34" s="181" t="s">
        <v>165</v>
      </c>
      <c r="H34" s="181" t="s">
        <v>1410</v>
      </c>
      <c r="I34" s="205" t="s">
        <v>644</v>
      </c>
      <c r="J34" s="181" t="s">
        <v>22</v>
      </c>
      <c r="K34" s="181" t="s">
        <v>0</v>
      </c>
      <c r="L34" s="181" t="s">
        <v>1331</v>
      </c>
      <c r="M34" s="181" t="s">
        <v>1332</v>
      </c>
      <c r="N34" s="179" t="s">
        <v>1345</v>
      </c>
      <c r="O34" s="181">
        <v>100</v>
      </c>
      <c r="P34" s="181" t="s">
        <v>1334</v>
      </c>
      <c r="Q34" s="182" t="s">
        <v>1335</v>
      </c>
      <c r="R34" s="181" t="s">
        <v>1</v>
      </c>
      <c r="S34" s="181">
        <v>300</v>
      </c>
      <c r="T34" s="182" t="s">
        <v>1336</v>
      </c>
      <c r="U34" s="181" t="s">
        <v>1373</v>
      </c>
      <c r="V34" s="181" t="s">
        <v>1357</v>
      </c>
      <c r="W34" s="179" t="s">
        <v>1332</v>
      </c>
      <c r="X34" s="179" t="s">
        <v>1332</v>
      </c>
      <c r="Y34" s="179" t="s">
        <v>1332</v>
      </c>
      <c r="Z34" s="179" t="s">
        <v>1332</v>
      </c>
      <c r="AA34" s="181" t="s">
        <v>91</v>
      </c>
      <c r="AB34" s="179" t="s">
        <v>1347</v>
      </c>
      <c r="AC34" s="189" t="s">
        <v>1348</v>
      </c>
      <c r="AD34" s="190"/>
      <c r="AE34" s="181"/>
    </row>
    <row r="35" spans="1:31" s="16" customFormat="1" ht="28.35" customHeight="1" x14ac:dyDescent="0.3">
      <c r="A35" s="179">
        <v>143</v>
      </c>
      <c r="B35" s="179" t="s">
        <v>1392</v>
      </c>
      <c r="C35" s="179" t="s">
        <v>40</v>
      </c>
      <c r="D35" s="179" t="s">
        <v>45</v>
      </c>
      <c r="E35" s="179" t="s">
        <v>1411</v>
      </c>
      <c r="F35" s="180" t="s">
        <v>203</v>
      </c>
      <c r="G35" s="181" t="s">
        <v>165</v>
      </c>
      <c r="H35" s="181" t="s">
        <v>1410</v>
      </c>
      <c r="I35" s="205" t="s">
        <v>644</v>
      </c>
      <c r="J35" s="181" t="s">
        <v>22</v>
      </c>
      <c r="K35" s="181" t="s">
        <v>0</v>
      </c>
      <c r="L35" s="181" t="s">
        <v>1331</v>
      </c>
      <c r="M35" s="181" t="s">
        <v>1332</v>
      </c>
      <c r="N35" s="179" t="s">
        <v>1345</v>
      </c>
      <c r="O35" s="181">
        <v>100</v>
      </c>
      <c r="P35" s="181" t="s">
        <v>1334</v>
      </c>
      <c r="Q35" s="182" t="s">
        <v>1335</v>
      </c>
      <c r="R35" s="181" t="s">
        <v>1</v>
      </c>
      <c r="S35" s="181">
        <v>300</v>
      </c>
      <c r="T35" s="182" t="s">
        <v>1336</v>
      </c>
      <c r="U35" s="181" t="s">
        <v>1373</v>
      </c>
      <c r="V35" s="181" t="s">
        <v>1357</v>
      </c>
      <c r="W35" s="179" t="s">
        <v>1332</v>
      </c>
      <c r="X35" s="179" t="s">
        <v>1332</v>
      </c>
      <c r="Y35" s="179" t="s">
        <v>1332</v>
      </c>
      <c r="Z35" s="179" t="s">
        <v>1332</v>
      </c>
      <c r="AA35" s="181" t="s">
        <v>91</v>
      </c>
      <c r="AB35" s="179" t="s">
        <v>1347</v>
      </c>
      <c r="AC35" s="189"/>
      <c r="AD35" s="190"/>
      <c r="AE35" s="181"/>
    </row>
    <row r="36" spans="1:31" s="16" customFormat="1" ht="28.35" customHeight="1" x14ac:dyDescent="0.3">
      <c r="A36" s="179">
        <v>152</v>
      </c>
      <c r="B36" s="179" t="s">
        <v>1395</v>
      </c>
      <c r="C36" s="179" t="s">
        <v>40</v>
      </c>
      <c r="D36" s="179" t="s">
        <v>45</v>
      </c>
      <c r="E36" s="179" t="s">
        <v>1412</v>
      </c>
      <c r="F36" s="180" t="s">
        <v>210</v>
      </c>
      <c r="G36" s="181" t="s">
        <v>165</v>
      </c>
      <c r="H36" s="181" t="s">
        <v>1410</v>
      </c>
      <c r="I36" s="205" t="s">
        <v>644</v>
      </c>
      <c r="J36" s="181" t="s">
        <v>22</v>
      </c>
      <c r="K36" s="181" t="s">
        <v>0</v>
      </c>
      <c r="L36" s="181" t="s">
        <v>1331</v>
      </c>
      <c r="M36" s="181" t="s">
        <v>1332</v>
      </c>
      <c r="N36" s="179" t="s">
        <v>1345</v>
      </c>
      <c r="O36" s="181">
        <v>100</v>
      </c>
      <c r="P36" s="181" t="s">
        <v>1334</v>
      </c>
      <c r="Q36" s="182" t="s">
        <v>1335</v>
      </c>
      <c r="R36" s="181" t="s">
        <v>1</v>
      </c>
      <c r="S36" s="181">
        <v>300</v>
      </c>
      <c r="T36" s="182" t="s">
        <v>1336</v>
      </c>
      <c r="U36" s="181" t="s">
        <v>1373</v>
      </c>
      <c r="V36" s="181" t="s">
        <v>1357</v>
      </c>
      <c r="W36" s="179" t="s">
        <v>1332</v>
      </c>
      <c r="X36" s="179" t="s">
        <v>1332</v>
      </c>
      <c r="Y36" s="179" t="s">
        <v>1332</v>
      </c>
      <c r="Z36" s="179" t="s">
        <v>1332</v>
      </c>
      <c r="AA36" s="181" t="s">
        <v>91</v>
      </c>
      <c r="AB36" s="179" t="s">
        <v>1347</v>
      </c>
      <c r="AC36" s="189"/>
      <c r="AD36" s="190"/>
      <c r="AE36" s="181"/>
    </row>
    <row r="37" spans="1:31" s="16" customFormat="1" ht="28.35" customHeight="1" x14ac:dyDescent="0.3">
      <c r="A37" s="179">
        <v>136</v>
      </c>
      <c r="B37" s="179" t="s">
        <v>1398</v>
      </c>
      <c r="C37" s="179" t="s">
        <v>1399</v>
      </c>
      <c r="D37" s="179" t="s">
        <v>45</v>
      </c>
      <c r="E37" s="179" t="s">
        <v>1413</v>
      </c>
      <c r="F37" s="180" t="s">
        <v>337</v>
      </c>
      <c r="G37" s="181" t="s">
        <v>165</v>
      </c>
      <c r="H37" s="181" t="s">
        <v>1414</v>
      </c>
      <c r="I37" s="181" t="s">
        <v>1415</v>
      </c>
      <c r="J37" s="181" t="s">
        <v>22</v>
      </c>
      <c r="K37" s="181" t="s">
        <v>0</v>
      </c>
      <c r="L37" s="181" t="s">
        <v>1331</v>
      </c>
      <c r="M37" s="181" t="s">
        <v>1332</v>
      </c>
      <c r="N37" s="179" t="s">
        <v>1345</v>
      </c>
      <c r="O37" s="181">
        <v>100</v>
      </c>
      <c r="P37" s="181" t="s">
        <v>1334</v>
      </c>
      <c r="Q37" s="182" t="s">
        <v>1335</v>
      </c>
      <c r="R37" s="181" t="s">
        <v>1</v>
      </c>
      <c r="S37" s="181">
        <v>300</v>
      </c>
      <c r="T37" s="182" t="s">
        <v>1336</v>
      </c>
      <c r="U37" s="181" t="s">
        <v>1373</v>
      </c>
      <c r="V37" s="181" t="s">
        <v>1357</v>
      </c>
      <c r="W37" s="179" t="s">
        <v>1332</v>
      </c>
      <c r="X37" s="179" t="s">
        <v>1332</v>
      </c>
      <c r="Y37" s="179" t="s">
        <v>1332</v>
      </c>
      <c r="Z37" s="179" t="s">
        <v>1332</v>
      </c>
      <c r="AA37" s="181" t="s">
        <v>91</v>
      </c>
      <c r="AB37" s="179" t="s">
        <v>1347</v>
      </c>
      <c r="AC37" s="189" t="s">
        <v>1348</v>
      </c>
      <c r="AD37" s="190"/>
      <c r="AE37" s="181"/>
    </row>
    <row r="38" spans="1:31" s="16" customFormat="1" ht="28.35" customHeight="1" x14ac:dyDescent="0.3">
      <c r="A38" s="179">
        <v>145</v>
      </c>
      <c r="B38" s="179" t="s">
        <v>1392</v>
      </c>
      <c r="C38" s="179" t="s">
        <v>40</v>
      </c>
      <c r="D38" s="179" t="s">
        <v>45</v>
      </c>
      <c r="E38" s="179" t="s">
        <v>1416</v>
      </c>
      <c r="F38" s="180" t="s">
        <v>205</v>
      </c>
      <c r="G38" s="181" t="s">
        <v>165</v>
      </c>
      <c r="H38" s="181" t="s">
        <v>1414</v>
      </c>
      <c r="I38" s="181" t="s">
        <v>1415</v>
      </c>
      <c r="J38" s="181" t="s">
        <v>22</v>
      </c>
      <c r="K38" s="181" t="s">
        <v>0</v>
      </c>
      <c r="L38" s="181" t="s">
        <v>1331</v>
      </c>
      <c r="M38" s="181" t="s">
        <v>1332</v>
      </c>
      <c r="N38" s="179" t="s">
        <v>1345</v>
      </c>
      <c r="O38" s="181">
        <v>100</v>
      </c>
      <c r="P38" s="181" t="s">
        <v>1334</v>
      </c>
      <c r="Q38" s="182" t="s">
        <v>1335</v>
      </c>
      <c r="R38" s="181" t="s">
        <v>1</v>
      </c>
      <c r="S38" s="181">
        <v>300</v>
      </c>
      <c r="T38" s="182" t="s">
        <v>1336</v>
      </c>
      <c r="U38" s="181" t="s">
        <v>1373</v>
      </c>
      <c r="V38" s="181" t="s">
        <v>1417</v>
      </c>
      <c r="W38" s="179" t="s">
        <v>1332</v>
      </c>
      <c r="X38" s="179" t="s">
        <v>1332</v>
      </c>
      <c r="Y38" s="179" t="s">
        <v>1332</v>
      </c>
      <c r="Z38" s="179" t="s">
        <v>1332</v>
      </c>
      <c r="AA38" s="181" t="s">
        <v>91</v>
      </c>
      <c r="AB38" s="179" t="s">
        <v>1347</v>
      </c>
      <c r="AC38" s="189"/>
      <c r="AD38" s="190"/>
      <c r="AE38" s="181"/>
    </row>
    <row r="39" spans="1:31" s="16" customFormat="1" ht="28.35" customHeight="1" x14ac:dyDescent="0.3">
      <c r="A39" s="179">
        <v>154</v>
      </c>
      <c r="B39" s="179" t="s">
        <v>1395</v>
      </c>
      <c r="C39" s="179" t="s">
        <v>40</v>
      </c>
      <c r="D39" s="179" t="s">
        <v>45</v>
      </c>
      <c r="E39" s="179" t="s">
        <v>1418</v>
      </c>
      <c r="F39" s="180" t="s">
        <v>212</v>
      </c>
      <c r="G39" s="181" t="s">
        <v>165</v>
      </c>
      <c r="H39" s="181" t="s">
        <v>1414</v>
      </c>
      <c r="I39" s="181" t="s">
        <v>1415</v>
      </c>
      <c r="J39" s="181" t="s">
        <v>22</v>
      </c>
      <c r="K39" s="181" t="s">
        <v>0</v>
      </c>
      <c r="L39" s="181" t="s">
        <v>1331</v>
      </c>
      <c r="M39" s="181" t="s">
        <v>1332</v>
      </c>
      <c r="N39" s="179" t="s">
        <v>1345</v>
      </c>
      <c r="O39" s="181">
        <v>100</v>
      </c>
      <c r="P39" s="206" t="s">
        <v>1334</v>
      </c>
      <c r="Q39" s="182" t="s">
        <v>1335</v>
      </c>
      <c r="R39" s="181" t="s">
        <v>1</v>
      </c>
      <c r="S39" s="182">
        <v>300</v>
      </c>
      <c r="T39" s="182" t="s">
        <v>1336</v>
      </c>
      <c r="U39" s="181" t="s">
        <v>1373</v>
      </c>
      <c r="V39" s="181" t="s">
        <v>1417</v>
      </c>
      <c r="W39" s="179" t="s">
        <v>1332</v>
      </c>
      <c r="X39" s="179" t="s">
        <v>1332</v>
      </c>
      <c r="Y39" s="179" t="s">
        <v>1332</v>
      </c>
      <c r="Z39" s="179" t="s">
        <v>1332</v>
      </c>
      <c r="AA39" s="181" t="s">
        <v>91</v>
      </c>
      <c r="AB39" s="179" t="s">
        <v>1347</v>
      </c>
      <c r="AC39" s="189"/>
      <c r="AD39" s="190"/>
      <c r="AE39" s="181"/>
    </row>
    <row r="40" spans="1:31" s="16" customFormat="1" ht="28.35" customHeight="1" x14ac:dyDescent="0.3">
      <c r="A40" s="179">
        <v>167</v>
      </c>
      <c r="B40" s="179" t="s">
        <v>1419</v>
      </c>
      <c r="C40" s="179" t="s">
        <v>1420</v>
      </c>
      <c r="D40" s="179" t="s">
        <v>45</v>
      </c>
      <c r="E40" s="179" t="s">
        <v>1421</v>
      </c>
      <c r="F40" s="180" t="s">
        <v>343</v>
      </c>
      <c r="G40" s="181" t="s">
        <v>165</v>
      </c>
      <c r="H40" s="181">
        <v>150</v>
      </c>
      <c r="I40" s="181" t="s">
        <v>1422</v>
      </c>
      <c r="J40" s="181" t="s">
        <v>22</v>
      </c>
      <c r="K40" s="181" t="s">
        <v>1423</v>
      </c>
      <c r="L40" s="181" t="s">
        <v>1354</v>
      </c>
      <c r="M40" s="181" t="s">
        <v>1332</v>
      </c>
      <c r="N40" s="179" t="s">
        <v>1345</v>
      </c>
      <c r="O40" s="181">
        <v>100</v>
      </c>
      <c r="P40" s="181" t="s">
        <v>1424</v>
      </c>
      <c r="Q40" s="188" t="s">
        <v>15</v>
      </c>
      <c r="R40" s="181" t="s">
        <v>1</v>
      </c>
      <c r="S40" s="181">
        <v>1500</v>
      </c>
      <c r="T40" s="181" t="s">
        <v>4</v>
      </c>
      <c r="U40" s="181" t="s">
        <v>5</v>
      </c>
      <c r="V40" s="181" t="s">
        <v>6</v>
      </c>
      <c r="W40" s="179" t="s">
        <v>1332</v>
      </c>
      <c r="X40" s="179" t="s">
        <v>1332</v>
      </c>
      <c r="Y40" s="179" t="s">
        <v>1332</v>
      </c>
      <c r="Z40" s="179" t="s">
        <v>1332</v>
      </c>
      <c r="AA40" s="181" t="s">
        <v>91</v>
      </c>
      <c r="AB40" s="179" t="s">
        <v>1347</v>
      </c>
      <c r="AC40" s="215" t="s">
        <v>1348</v>
      </c>
      <c r="AD40" s="198" t="s">
        <v>1338</v>
      </c>
      <c r="AE40" s="181"/>
    </row>
    <row r="41" spans="1:31" s="16" customFormat="1" ht="28.35" customHeight="1" x14ac:dyDescent="0.3">
      <c r="A41" s="179">
        <v>170</v>
      </c>
      <c r="B41" s="179" t="s">
        <v>1419</v>
      </c>
      <c r="C41" s="179" t="s">
        <v>1420</v>
      </c>
      <c r="D41" s="179" t="s">
        <v>45</v>
      </c>
      <c r="E41" s="179" t="s">
        <v>1425</v>
      </c>
      <c r="F41" s="180" t="s">
        <v>345</v>
      </c>
      <c r="G41" s="181" t="s">
        <v>165</v>
      </c>
      <c r="H41" s="181">
        <v>150</v>
      </c>
      <c r="I41" s="181" t="s">
        <v>1422</v>
      </c>
      <c r="J41" s="181" t="s">
        <v>22</v>
      </c>
      <c r="K41" s="181" t="s">
        <v>1423</v>
      </c>
      <c r="L41" s="181" t="s">
        <v>1354</v>
      </c>
      <c r="M41" s="181" t="s">
        <v>1332</v>
      </c>
      <c r="N41" s="179" t="s">
        <v>1345</v>
      </c>
      <c r="O41" s="181">
        <v>100</v>
      </c>
      <c r="P41" s="181" t="s">
        <v>1424</v>
      </c>
      <c r="Q41" s="188" t="s">
        <v>15</v>
      </c>
      <c r="R41" s="181" t="s">
        <v>1</v>
      </c>
      <c r="S41" s="181">
        <v>1500</v>
      </c>
      <c r="T41" s="181" t="s">
        <v>4</v>
      </c>
      <c r="U41" s="181" t="s">
        <v>5</v>
      </c>
      <c r="V41" s="181" t="s">
        <v>6</v>
      </c>
      <c r="W41" s="179" t="s">
        <v>1332</v>
      </c>
      <c r="X41" s="179" t="s">
        <v>1332</v>
      </c>
      <c r="Y41" s="179" t="s">
        <v>1332</v>
      </c>
      <c r="Z41" s="179" t="s">
        <v>1332</v>
      </c>
      <c r="AA41" s="181" t="s">
        <v>91</v>
      </c>
      <c r="AB41" s="179" t="s">
        <v>1347</v>
      </c>
      <c r="AC41" s="215" t="s">
        <v>1348</v>
      </c>
      <c r="AD41" s="198" t="s">
        <v>1338</v>
      </c>
      <c r="AE41" s="181"/>
    </row>
    <row r="42" spans="1:31" s="16" customFormat="1" ht="28.35" customHeight="1" x14ac:dyDescent="0.3">
      <c r="A42" s="179">
        <v>173</v>
      </c>
      <c r="B42" s="179" t="s">
        <v>1426</v>
      </c>
      <c r="C42" s="179" t="s">
        <v>1420</v>
      </c>
      <c r="D42" s="179" t="s">
        <v>45</v>
      </c>
      <c r="E42" s="179" t="s">
        <v>1427</v>
      </c>
      <c r="F42" s="180" t="s">
        <v>347</v>
      </c>
      <c r="G42" s="181" t="s">
        <v>165</v>
      </c>
      <c r="H42" s="181">
        <v>150</v>
      </c>
      <c r="I42" s="181" t="s">
        <v>1422</v>
      </c>
      <c r="J42" s="181" t="s">
        <v>22</v>
      </c>
      <c r="K42" s="181" t="s">
        <v>1423</v>
      </c>
      <c r="L42" s="181" t="s">
        <v>1354</v>
      </c>
      <c r="M42" s="181" t="s">
        <v>1332</v>
      </c>
      <c r="N42" s="179" t="s">
        <v>1345</v>
      </c>
      <c r="O42" s="181">
        <v>100</v>
      </c>
      <c r="P42" s="181" t="s">
        <v>1424</v>
      </c>
      <c r="Q42" s="188" t="s">
        <v>15</v>
      </c>
      <c r="R42" s="181" t="s">
        <v>1</v>
      </c>
      <c r="S42" s="181">
        <v>1500</v>
      </c>
      <c r="T42" s="181" t="s">
        <v>4</v>
      </c>
      <c r="U42" s="181" t="s">
        <v>5</v>
      </c>
      <c r="V42" s="181" t="s">
        <v>6</v>
      </c>
      <c r="W42" s="179" t="s">
        <v>1332</v>
      </c>
      <c r="X42" s="179" t="s">
        <v>1332</v>
      </c>
      <c r="Y42" s="179" t="s">
        <v>1332</v>
      </c>
      <c r="Z42" s="179" t="s">
        <v>1332</v>
      </c>
      <c r="AA42" s="181" t="s">
        <v>91</v>
      </c>
      <c r="AB42" s="179" t="s">
        <v>1347</v>
      </c>
      <c r="AC42" s="215" t="s">
        <v>1348</v>
      </c>
      <c r="AD42" s="198" t="s">
        <v>1338</v>
      </c>
      <c r="AE42" s="181"/>
    </row>
    <row r="43" spans="1:31" s="16" customFormat="1" ht="28.35" customHeight="1" x14ac:dyDescent="0.3">
      <c r="A43" s="179">
        <v>176</v>
      </c>
      <c r="B43" s="179" t="s">
        <v>1426</v>
      </c>
      <c r="C43" s="179" t="s">
        <v>1420</v>
      </c>
      <c r="D43" s="179" t="s">
        <v>45</v>
      </c>
      <c r="E43" s="179" t="s">
        <v>1428</v>
      </c>
      <c r="F43" s="180" t="s">
        <v>349</v>
      </c>
      <c r="G43" s="181" t="s">
        <v>165</v>
      </c>
      <c r="H43" s="181">
        <v>150</v>
      </c>
      <c r="I43" s="181" t="s">
        <v>1422</v>
      </c>
      <c r="J43" s="181" t="s">
        <v>22</v>
      </c>
      <c r="K43" s="181" t="s">
        <v>1423</v>
      </c>
      <c r="L43" s="181" t="s">
        <v>1354</v>
      </c>
      <c r="M43" s="181" t="s">
        <v>1332</v>
      </c>
      <c r="N43" s="179" t="s">
        <v>1345</v>
      </c>
      <c r="O43" s="181">
        <v>100</v>
      </c>
      <c r="P43" s="181" t="s">
        <v>1424</v>
      </c>
      <c r="Q43" s="188" t="s">
        <v>15</v>
      </c>
      <c r="R43" s="181" t="s">
        <v>1</v>
      </c>
      <c r="S43" s="181">
        <v>1500</v>
      </c>
      <c r="T43" s="181" t="s">
        <v>4</v>
      </c>
      <c r="U43" s="181" t="s">
        <v>5</v>
      </c>
      <c r="V43" s="181" t="s">
        <v>6</v>
      </c>
      <c r="W43" s="179" t="s">
        <v>1332</v>
      </c>
      <c r="X43" s="179" t="s">
        <v>1332</v>
      </c>
      <c r="Y43" s="179" t="s">
        <v>1332</v>
      </c>
      <c r="Z43" s="179" t="s">
        <v>1332</v>
      </c>
      <c r="AA43" s="181" t="s">
        <v>91</v>
      </c>
      <c r="AB43" s="179" t="s">
        <v>1347</v>
      </c>
      <c r="AC43" s="215" t="s">
        <v>1348</v>
      </c>
      <c r="AD43" s="198" t="s">
        <v>1338</v>
      </c>
      <c r="AE43" s="181"/>
    </row>
    <row r="44" spans="1:31" s="16" customFormat="1" ht="28.35" customHeight="1" x14ac:dyDescent="0.3">
      <c r="A44" s="179">
        <v>179</v>
      </c>
      <c r="B44" s="179" t="s">
        <v>1426</v>
      </c>
      <c r="C44" s="179" t="s">
        <v>1420</v>
      </c>
      <c r="D44" s="179" t="s">
        <v>45</v>
      </c>
      <c r="E44" s="179" t="s">
        <v>1429</v>
      </c>
      <c r="F44" s="180" t="s">
        <v>351</v>
      </c>
      <c r="G44" s="181" t="s">
        <v>165</v>
      </c>
      <c r="H44" s="181">
        <v>150</v>
      </c>
      <c r="I44" s="181" t="s">
        <v>1422</v>
      </c>
      <c r="J44" s="181" t="s">
        <v>22</v>
      </c>
      <c r="K44" s="181" t="s">
        <v>1423</v>
      </c>
      <c r="L44" s="181" t="s">
        <v>1354</v>
      </c>
      <c r="M44" s="181" t="s">
        <v>1332</v>
      </c>
      <c r="N44" s="179" t="s">
        <v>1345</v>
      </c>
      <c r="O44" s="181">
        <v>100</v>
      </c>
      <c r="P44" s="181" t="s">
        <v>1424</v>
      </c>
      <c r="Q44" s="188" t="s">
        <v>15</v>
      </c>
      <c r="R44" s="181" t="s">
        <v>1</v>
      </c>
      <c r="S44" s="181">
        <v>1500</v>
      </c>
      <c r="T44" s="181" t="s">
        <v>4</v>
      </c>
      <c r="U44" s="181" t="s">
        <v>5</v>
      </c>
      <c r="V44" s="181" t="s">
        <v>6</v>
      </c>
      <c r="W44" s="179" t="s">
        <v>1332</v>
      </c>
      <c r="X44" s="179" t="s">
        <v>1332</v>
      </c>
      <c r="Y44" s="179" t="s">
        <v>1332</v>
      </c>
      <c r="Z44" s="179" t="s">
        <v>1332</v>
      </c>
      <c r="AA44" s="181" t="s">
        <v>91</v>
      </c>
      <c r="AB44" s="179" t="s">
        <v>1347</v>
      </c>
      <c r="AC44" s="215" t="s">
        <v>1348</v>
      </c>
      <c r="AD44" s="198" t="s">
        <v>1338</v>
      </c>
      <c r="AE44" s="181"/>
    </row>
    <row r="45" spans="1:31" s="16" customFormat="1" ht="28.35" customHeight="1" x14ac:dyDescent="0.3">
      <c r="A45" s="179">
        <v>182</v>
      </c>
      <c r="B45" s="179" t="s">
        <v>1430</v>
      </c>
      <c r="C45" s="179" t="s">
        <v>1431</v>
      </c>
      <c r="D45" s="179" t="s">
        <v>45</v>
      </c>
      <c r="E45" s="179" t="s">
        <v>1432</v>
      </c>
      <c r="F45" s="180" t="s">
        <v>353</v>
      </c>
      <c r="G45" s="181" t="s">
        <v>165</v>
      </c>
      <c r="H45" s="181">
        <v>80</v>
      </c>
      <c r="I45" s="181" t="s">
        <v>1433</v>
      </c>
      <c r="J45" s="181" t="s">
        <v>22</v>
      </c>
      <c r="K45" s="181" t="s">
        <v>1423</v>
      </c>
      <c r="L45" s="181" t="s">
        <v>1354</v>
      </c>
      <c r="M45" s="181" t="s">
        <v>1332</v>
      </c>
      <c r="N45" s="179" t="s">
        <v>1345</v>
      </c>
      <c r="O45" s="181">
        <f t="shared" ref="O45:O58" si="1">H45</f>
        <v>80</v>
      </c>
      <c r="P45" s="181" t="s">
        <v>14</v>
      </c>
      <c r="Q45" s="188" t="s">
        <v>15</v>
      </c>
      <c r="R45" s="181" t="s">
        <v>1</v>
      </c>
      <c r="S45" s="188">
        <v>900</v>
      </c>
      <c r="T45" s="181" t="s">
        <v>4</v>
      </c>
      <c r="U45" s="181" t="s">
        <v>5</v>
      </c>
      <c r="V45" s="181" t="s">
        <v>6</v>
      </c>
      <c r="W45" s="179" t="s">
        <v>1332</v>
      </c>
      <c r="X45" s="179" t="s">
        <v>1332</v>
      </c>
      <c r="Y45" s="179" t="s">
        <v>1332</v>
      </c>
      <c r="Z45" s="179" t="s">
        <v>1332</v>
      </c>
      <c r="AA45" s="181" t="s">
        <v>91</v>
      </c>
      <c r="AB45" s="179" t="s">
        <v>1347</v>
      </c>
      <c r="AC45" s="215" t="s">
        <v>1362</v>
      </c>
      <c r="AD45" s="283"/>
      <c r="AE45" s="181"/>
    </row>
    <row r="46" spans="1:31" s="16" customFormat="1" ht="28.35" customHeight="1" x14ac:dyDescent="0.3">
      <c r="A46" s="179">
        <v>185</v>
      </c>
      <c r="B46" s="179" t="s">
        <v>1430</v>
      </c>
      <c r="C46" s="179" t="s">
        <v>1431</v>
      </c>
      <c r="D46" s="179" t="s">
        <v>45</v>
      </c>
      <c r="E46" s="179" t="s">
        <v>1434</v>
      </c>
      <c r="F46" s="180" t="s">
        <v>355</v>
      </c>
      <c r="G46" s="181" t="s">
        <v>165</v>
      </c>
      <c r="H46" s="181">
        <v>80</v>
      </c>
      <c r="I46" s="181" t="s">
        <v>1433</v>
      </c>
      <c r="J46" s="181" t="s">
        <v>22</v>
      </c>
      <c r="K46" s="181" t="s">
        <v>1423</v>
      </c>
      <c r="L46" s="181" t="s">
        <v>1354</v>
      </c>
      <c r="M46" s="181" t="s">
        <v>1332</v>
      </c>
      <c r="N46" s="179" t="s">
        <v>1345</v>
      </c>
      <c r="O46" s="181">
        <f t="shared" si="1"/>
        <v>80</v>
      </c>
      <c r="P46" s="181" t="s">
        <v>14</v>
      </c>
      <c r="Q46" s="188" t="s">
        <v>15</v>
      </c>
      <c r="R46" s="181" t="s">
        <v>1</v>
      </c>
      <c r="S46" s="188">
        <v>900</v>
      </c>
      <c r="T46" s="181" t="s">
        <v>4</v>
      </c>
      <c r="U46" s="181" t="s">
        <v>5</v>
      </c>
      <c r="V46" s="181" t="s">
        <v>6</v>
      </c>
      <c r="W46" s="179" t="s">
        <v>1332</v>
      </c>
      <c r="X46" s="179" t="s">
        <v>1332</v>
      </c>
      <c r="Y46" s="179" t="s">
        <v>1332</v>
      </c>
      <c r="Z46" s="179" t="s">
        <v>1332</v>
      </c>
      <c r="AA46" s="181" t="s">
        <v>91</v>
      </c>
      <c r="AB46" s="179" t="s">
        <v>1347</v>
      </c>
      <c r="AC46" s="215" t="s">
        <v>1362</v>
      </c>
      <c r="AD46" s="284"/>
      <c r="AE46" s="181"/>
    </row>
    <row r="47" spans="1:31" s="16" customFormat="1" ht="28.35" customHeight="1" x14ac:dyDescent="0.3">
      <c r="A47" s="179">
        <v>192</v>
      </c>
      <c r="B47" s="179" t="s">
        <v>1435</v>
      </c>
      <c r="C47" s="179" t="s">
        <v>1431</v>
      </c>
      <c r="D47" s="179" t="s">
        <v>45</v>
      </c>
      <c r="E47" s="179" t="s">
        <v>1436</v>
      </c>
      <c r="F47" s="180" t="s">
        <v>361</v>
      </c>
      <c r="G47" s="181" t="s">
        <v>165</v>
      </c>
      <c r="H47" s="181">
        <v>80</v>
      </c>
      <c r="I47" s="181" t="s">
        <v>1433</v>
      </c>
      <c r="J47" s="181" t="s">
        <v>22</v>
      </c>
      <c r="K47" s="181" t="s">
        <v>1423</v>
      </c>
      <c r="L47" s="181" t="s">
        <v>1354</v>
      </c>
      <c r="M47" s="181" t="s">
        <v>1332</v>
      </c>
      <c r="N47" s="179" t="s">
        <v>1345</v>
      </c>
      <c r="O47" s="181">
        <f t="shared" si="1"/>
        <v>80</v>
      </c>
      <c r="P47" s="181" t="s">
        <v>14</v>
      </c>
      <c r="Q47" s="188" t="s">
        <v>15</v>
      </c>
      <c r="R47" s="181" t="s">
        <v>1</v>
      </c>
      <c r="S47" s="188">
        <v>900</v>
      </c>
      <c r="T47" s="181" t="s">
        <v>4</v>
      </c>
      <c r="U47" s="181" t="s">
        <v>5</v>
      </c>
      <c r="V47" s="181" t="s">
        <v>6</v>
      </c>
      <c r="W47" s="179" t="s">
        <v>1332</v>
      </c>
      <c r="X47" s="179" t="s">
        <v>1332</v>
      </c>
      <c r="Y47" s="179" t="s">
        <v>1332</v>
      </c>
      <c r="Z47" s="179" t="s">
        <v>1332</v>
      </c>
      <c r="AA47" s="181" t="s">
        <v>91</v>
      </c>
      <c r="AB47" s="179" t="s">
        <v>1347</v>
      </c>
      <c r="AC47" s="189"/>
      <c r="AD47" s="190"/>
      <c r="AE47" s="181"/>
    </row>
    <row r="48" spans="1:31" s="16" customFormat="1" ht="28.35" customHeight="1" x14ac:dyDescent="0.3">
      <c r="A48" s="179">
        <v>195</v>
      </c>
      <c r="B48" s="179" t="s">
        <v>1435</v>
      </c>
      <c r="C48" s="179" t="s">
        <v>1431</v>
      </c>
      <c r="D48" s="179" t="s">
        <v>45</v>
      </c>
      <c r="E48" s="179" t="s">
        <v>1437</v>
      </c>
      <c r="F48" s="180" t="s">
        <v>363</v>
      </c>
      <c r="G48" s="181" t="s">
        <v>165</v>
      </c>
      <c r="H48" s="181">
        <v>80</v>
      </c>
      <c r="I48" s="181" t="s">
        <v>1433</v>
      </c>
      <c r="J48" s="181" t="s">
        <v>22</v>
      </c>
      <c r="K48" s="181" t="s">
        <v>1423</v>
      </c>
      <c r="L48" s="181" t="s">
        <v>1354</v>
      </c>
      <c r="M48" s="181" t="s">
        <v>1332</v>
      </c>
      <c r="N48" s="179" t="s">
        <v>1345</v>
      </c>
      <c r="O48" s="181">
        <f t="shared" si="1"/>
        <v>80</v>
      </c>
      <c r="P48" s="181" t="s">
        <v>14</v>
      </c>
      <c r="Q48" s="188" t="s">
        <v>15</v>
      </c>
      <c r="R48" s="181" t="s">
        <v>1</v>
      </c>
      <c r="S48" s="188">
        <v>900</v>
      </c>
      <c r="T48" s="181" t="s">
        <v>4</v>
      </c>
      <c r="U48" s="181" t="s">
        <v>5</v>
      </c>
      <c r="V48" s="181" t="s">
        <v>6</v>
      </c>
      <c r="W48" s="179" t="s">
        <v>1332</v>
      </c>
      <c r="X48" s="179" t="s">
        <v>1332</v>
      </c>
      <c r="Y48" s="179" t="s">
        <v>1332</v>
      </c>
      <c r="Z48" s="179" t="s">
        <v>1332</v>
      </c>
      <c r="AA48" s="181" t="s">
        <v>91</v>
      </c>
      <c r="AB48" s="179" t="s">
        <v>1347</v>
      </c>
      <c r="AC48" s="189"/>
      <c r="AD48" s="190"/>
      <c r="AE48" s="181"/>
    </row>
    <row r="49" spans="1:31" s="16" customFormat="1" ht="28.35" customHeight="1" x14ac:dyDescent="0.3">
      <c r="A49" s="179">
        <v>198</v>
      </c>
      <c r="B49" s="179" t="s">
        <v>1435</v>
      </c>
      <c r="C49" s="179" t="s">
        <v>1431</v>
      </c>
      <c r="D49" s="179" t="s">
        <v>45</v>
      </c>
      <c r="E49" s="179" t="s">
        <v>1438</v>
      </c>
      <c r="F49" s="180" t="s">
        <v>365</v>
      </c>
      <c r="G49" s="181" t="s">
        <v>165</v>
      </c>
      <c r="H49" s="181">
        <v>80</v>
      </c>
      <c r="I49" s="181" t="s">
        <v>1433</v>
      </c>
      <c r="J49" s="181" t="s">
        <v>22</v>
      </c>
      <c r="K49" s="181" t="s">
        <v>1423</v>
      </c>
      <c r="L49" s="181" t="s">
        <v>1354</v>
      </c>
      <c r="M49" s="181" t="s">
        <v>1332</v>
      </c>
      <c r="N49" s="179" t="s">
        <v>1345</v>
      </c>
      <c r="O49" s="181">
        <f t="shared" si="1"/>
        <v>80</v>
      </c>
      <c r="P49" s="181" t="s">
        <v>14</v>
      </c>
      <c r="Q49" s="188" t="s">
        <v>15</v>
      </c>
      <c r="R49" s="181" t="s">
        <v>1</v>
      </c>
      <c r="S49" s="188">
        <v>900</v>
      </c>
      <c r="T49" s="181" t="s">
        <v>4</v>
      </c>
      <c r="U49" s="181" t="s">
        <v>5</v>
      </c>
      <c r="V49" s="181" t="s">
        <v>6</v>
      </c>
      <c r="W49" s="179" t="s">
        <v>1332</v>
      </c>
      <c r="X49" s="179" t="s">
        <v>1332</v>
      </c>
      <c r="Y49" s="179" t="s">
        <v>1332</v>
      </c>
      <c r="Z49" s="179" t="s">
        <v>1332</v>
      </c>
      <c r="AA49" s="181" t="s">
        <v>91</v>
      </c>
      <c r="AB49" s="179" t="s">
        <v>1347</v>
      </c>
      <c r="AC49" s="189"/>
      <c r="AD49" s="190"/>
      <c r="AE49" s="181"/>
    </row>
    <row r="50" spans="1:31" s="16" customFormat="1" ht="28.35" customHeight="1" x14ac:dyDescent="0.3">
      <c r="A50" s="179">
        <v>187</v>
      </c>
      <c r="B50" s="179" t="s">
        <v>1430</v>
      </c>
      <c r="C50" s="179" t="s">
        <v>1431</v>
      </c>
      <c r="D50" s="179" t="s">
        <v>45</v>
      </c>
      <c r="E50" s="179" t="s">
        <v>1439</v>
      </c>
      <c r="F50" s="180" t="s">
        <v>357</v>
      </c>
      <c r="G50" s="181" t="s">
        <v>165</v>
      </c>
      <c r="H50" s="181">
        <v>250</v>
      </c>
      <c r="I50" s="181" t="s">
        <v>1433</v>
      </c>
      <c r="J50" s="181" t="s">
        <v>22</v>
      </c>
      <c r="K50" s="181" t="s">
        <v>1423</v>
      </c>
      <c r="L50" s="181" t="s">
        <v>1354</v>
      </c>
      <c r="M50" s="181" t="s">
        <v>1332</v>
      </c>
      <c r="N50" s="179" t="s">
        <v>1345</v>
      </c>
      <c r="O50" s="181">
        <v>200</v>
      </c>
      <c r="P50" s="181" t="s">
        <v>14</v>
      </c>
      <c r="Q50" s="188" t="s">
        <v>15</v>
      </c>
      <c r="R50" s="181" t="s">
        <v>1</v>
      </c>
      <c r="S50" s="188">
        <v>900</v>
      </c>
      <c r="T50" s="181" t="s">
        <v>4</v>
      </c>
      <c r="U50" s="181" t="s">
        <v>5</v>
      </c>
      <c r="V50" s="181" t="s">
        <v>6</v>
      </c>
      <c r="W50" s="179" t="s">
        <v>1332</v>
      </c>
      <c r="X50" s="179" t="s">
        <v>1332</v>
      </c>
      <c r="Y50" s="179" t="s">
        <v>1332</v>
      </c>
      <c r="Z50" s="179" t="s">
        <v>1332</v>
      </c>
      <c r="AA50" s="181" t="s">
        <v>91</v>
      </c>
      <c r="AB50" s="179" t="s">
        <v>1347</v>
      </c>
      <c r="AC50" s="215" t="s">
        <v>1378</v>
      </c>
      <c r="AD50" s="198"/>
      <c r="AE50" s="181"/>
    </row>
    <row r="51" spans="1:31" s="16" customFormat="1" ht="28.35" customHeight="1" x14ac:dyDescent="0.3">
      <c r="A51" s="179">
        <v>189</v>
      </c>
      <c r="B51" s="179" t="s">
        <v>1430</v>
      </c>
      <c r="C51" s="179" t="s">
        <v>1431</v>
      </c>
      <c r="D51" s="179" t="s">
        <v>45</v>
      </c>
      <c r="E51" s="179" t="s">
        <v>1440</v>
      </c>
      <c r="F51" s="180" t="s">
        <v>359</v>
      </c>
      <c r="G51" s="181" t="s">
        <v>165</v>
      </c>
      <c r="H51" s="181">
        <v>250</v>
      </c>
      <c r="I51" s="181" t="s">
        <v>1433</v>
      </c>
      <c r="J51" s="181" t="s">
        <v>22</v>
      </c>
      <c r="K51" s="181" t="s">
        <v>1423</v>
      </c>
      <c r="L51" s="181" t="s">
        <v>1354</v>
      </c>
      <c r="M51" s="181" t="s">
        <v>1332</v>
      </c>
      <c r="N51" s="179" t="s">
        <v>1345</v>
      </c>
      <c r="O51" s="181">
        <v>200</v>
      </c>
      <c r="P51" s="181" t="s">
        <v>14</v>
      </c>
      <c r="Q51" s="188" t="s">
        <v>15</v>
      </c>
      <c r="R51" s="181" t="s">
        <v>1</v>
      </c>
      <c r="S51" s="188">
        <v>900</v>
      </c>
      <c r="T51" s="181" t="s">
        <v>4</v>
      </c>
      <c r="U51" s="181" t="s">
        <v>5</v>
      </c>
      <c r="V51" s="181" t="s">
        <v>6</v>
      </c>
      <c r="W51" s="179" t="s">
        <v>1332</v>
      </c>
      <c r="X51" s="179" t="s">
        <v>1332</v>
      </c>
      <c r="Y51" s="179" t="s">
        <v>1332</v>
      </c>
      <c r="Z51" s="179" t="s">
        <v>1332</v>
      </c>
      <c r="AA51" s="181" t="s">
        <v>91</v>
      </c>
      <c r="AB51" s="179" t="s">
        <v>1347</v>
      </c>
      <c r="AC51" s="215" t="s">
        <v>1378</v>
      </c>
      <c r="AD51" s="199"/>
      <c r="AE51" s="181"/>
    </row>
    <row r="52" spans="1:31" s="16" customFormat="1" ht="28.35" customHeight="1" x14ac:dyDescent="0.3">
      <c r="A52" s="179">
        <v>215</v>
      </c>
      <c r="B52" s="179" t="s">
        <v>1441</v>
      </c>
      <c r="C52" s="179" t="s">
        <v>1442</v>
      </c>
      <c r="D52" s="179" t="s">
        <v>45</v>
      </c>
      <c r="E52" s="179" t="s">
        <v>1443</v>
      </c>
      <c r="F52" s="180" t="s">
        <v>1444</v>
      </c>
      <c r="G52" s="181" t="s">
        <v>1445</v>
      </c>
      <c r="H52" s="181">
        <v>80</v>
      </c>
      <c r="I52" s="181" t="s">
        <v>1344</v>
      </c>
      <c r="J52" s="181" t="s">
        <v>22</v>
      </c>
      <c r="K52" s="181" t="s">
        <v>1423</v>
      </c>
      <c r="L52" s="181" t="s">
        <v>1331</v>
      </c>
      <c r="M52" s="181" t="s">
        <v>1332</v>
      </c>
      <c r="N52" s="179" t="s">
        <v>1345</v>
      </c>
      <c r="O52" s="181">
        <v>50</v>
      </c>
      <c r="P52" s="181" t="s">
        <v>1446</v>
      </c>
      <c r="Q52" s="181" t="s">
        <v>15</v>
      </c>
      <c r="R52" s="181" t="s">
        <v>1</v>
      </c>
      <c r="S52" s="188">
        <v>600</v>
      </c>
      <c r="T52" s="181" t="s">
        <v>1368</v>
      </c>
      <c r="U52" s="181" t="s">
        <v>1373</v>
      </c>
      <c r="V52" s="181" t="s">
        <v>16</v>
      </c>
      <c r="W52" s="179" t="s">
        <v>1332</v>
      </c>
      <c r="X52" s="179" t="s">
        <v>1332</v>
      </c>
      <c r="Y52" s="179" t="s">
        <v>1332</v>
      </c>
      <c r="Z52" s="179" t="s">
        <v>1332</v>
      </c>
      <c r="AA52" s="181" t="s">
        <v>1447</v>
      </c>
      <c r="AB52" s="179" t="s">
        <v>1347</v>
      </c>
      <c r="AC52" s="189" t="s">
        <v>1448</v>
      </c>
      <c r="AD52" s="190"/>
      <c r="AE52" s="181"/>
    </row>
    <row r="53" spans="1:31" s="204" customFormat="1" ht="28.35" customHeight="1" x14ac:dyDescent="0.3">
      <c r="A53" s="179">
        <v>219</v>
      </c>
      <c r="B53" s="179" t="s">
        <v>1449</v>
      </c>
      <c r="C53" s="179" t="s">
        <v>1450</v>
      </c>
      <c r="D53" s="200" t="s">
        <v>45</v>
      </c>
      <c r="E53" s="179" t="s">
        <v>1451</v>
      </c>
      <c r="F53" s="180" t="s">
        <v>1452</v>
      </c>
      <c r="G53" s="201" t="s">
        <v>165</v>
      </c>
      <c r="H53" s="201">
        <v>150</v>
      </c>
      <c r="I53" s="181" t="s">
        <v>1453</v>
      </c>
      <c r="J53" s="201" t="s">
        <v>22</v>
      </c>
      <c r="K53" s="201" t="s">
        <v>0</v>
      </c>
      <c r="L53" s="181" t="s">
        <v>1354</v>
      </c>
      <c r="M53" s="201" t="s">
        <v>1332</v>
      </c>
      <c r="N53" s="200" t="s">
        <v>1345</v>
      </c>
      <c r="O53" s="201">
        <v>100</v>
      </c>
      <c r="P53" s="188" t="s">
        <v>1355</v>
      </c>
      <c r="Q53" s="201" t="s">
        <v>1356</v>
      </c>
      <c r="R53" s="201" t="s">
        <v>1</v>
      </c>
      <c r="S53" s="201">
        <v>150</v>
      </c>
      <c r="T53" s="201" t="s">
        <v>1336</v>
      </c>
      <c r="U53" s="201" t="s">
        <v>1373</v>
      </c>
      <c r="V53" s="201" t="s">
        <v>16</v>
      </c>
      <c r="W53" s="200" t="s">
        <v>1332</v>
      </c>
      <c r="X53" s="200" t="s">
        <v>1332</v>
      </c>
      <c r="Y53" s="200" t="s">
        <v>1332</v>
      </c>
      <c r="Z53" s="200" t="s">
        <v>1332</v>
      </c>
      <c r="AA53" s="201" t="s">
        <v>91</v>
      </c>
      <c r="AB53" s="200" t="s">
        <v>1347</v>
      </c>
      <c r="AC53" s="202" t="s">
        <v>1348</v>
      </c>
      <c r="AD53" s="203"/>
      <c r="AE53" s="201"/>
    </row>
    <row r="54" spans="1:31" s="204" customFormat="1" ht="28.35" customHeight="1" x14ac:dyDescent="0.3">
      <c r="A54" s="179">
        <v>223</v>
      </c>
      <c r="B54" s="179" t="s">
        <v>1304</v>
      </c>
      <c r="C54" s="179" t="s">
        <v>259</v>
      </c>
      <c r="D54" s="200" t="s">
        <v>45</v>
      </c>
      <c r="E54" s="179" t="s">
        <v>1454</v>
      </c>
      <c r="F54" s="180" t="s">
        <v>1455</v>
      </c>
      <c r="G54" s="201" t="s">
        <v>165</v>
      </c>
      <c r="H54" s="201">
        <v>25</v>
      </c>
      <c r="I54" s="181" t="s">
        <v>1353</v>
      </c>
      <c r="J54" s="201" t="s">
        <v>22</v>
      </c>
      <c r="K54" s="201" t="s">
        <v>0</v>
      </c>
      <c r="L54" s="181" t="s">
        <v>1354</v>
      </c>
      <c r="M54" s="201" t="s">
        <v>1332</v>
      </c>
      <c r="N54" s="200" t="s">
        <v>1345</v>
      </c>
      <c r="O54" s="201">
        <f t="shared" si="1"/>
        <v>25</v>
      </c>
      <c r="P54" s="188" t="s">
        <v>1367</v>
      </c>
      <c r="Q54" s="201" t="s">
        <v>1356</v>
      </c>
      <c r="R54" s="201" t="s">
        <v>1</v>
      </c>
      <c r="S54" s="201">
        <v>600</v>
      </c>
      <c r="T54" s="201" t="s">
        <v>1368</v>
      </c>
      <c r="U54" s="201" t="s">
        <v>1373</v>
      </c>
      <c r="V54" s="201" t="s">
        <v>16</v>
      </c>
      <c r="W54" s="200" t="s">
        <v>1332</v>
      </c>
      <c r="X54" s="200" t="s">
        <v>1332</v>
      </c>
      <c r="Y54" s="200" t="s">
        <v>1332</v>
      </c>
      <c r="Z54" s="200" t="s">
        <v>1332</v>
      </c>
      <c r="AA54" s="201" t="s">
        <v>91</v>
      </c>
      <c r="AB54" s="200" t="s">
        <v>1347</v>
      </c>
      <c r="AC54" s="202" t="s">
        <v>1456</v>
      </c>
      <c r="AD54" s="203"/>
      <c r="AE54" s="201"/>
    </row>
    <row r="55" spans="1:31" s="209" customFormat="1" ht="28.35" customHeight="1" x14ac:dyDescent="0.3">
      <c r="A55" s="179">
        <v>3</v>
      </c>
      <c r="B55" s="185" t="s">
        <v>1457</v>
      </c>
      <c r="C55" s="179" t="s">
        <v>1458</v>
      </c>
      <c r="D55" s="185" t="s">
        <v>45</v>
      </c>
      <c r="E55" s="185" t="s">
        <v>1459</v>
      </c>
      <c r="F55" s="207" t="s">
        <v>1309</v>
      </c>
      <c r="G55" s="181" t="s">
        <v>1307</v>
      </c>
      <c r="H55" s="181">
        <v>500</v>
      </c>
      <c r="I55" s="181" t="s">
        <v>1460</v>
      </c>
      <c r="J55" s="181" t="s">
        <v>22</v>
      </c>
      <c r="K55" s="181" t="s">
        <v>1461</v>
      </c>
      <c r="L55" s="181" t="s">
        <v>1462</v>
      </c>
      <c r="M55" s="181" t="s">
        <v>1332</v>
      </c>
      <c r="N55" s="179" t="s">
        <v>1345</v>
      </c>
      <c r="O55" s="181">
        <f t="shared" si="1"/>
        <v>500</v>
      </c>
      <c r="P55" s="181" t="s">
        <v>1463</v>
      </c>
      <c r="Q55" s="208" t="s">
        <v>1464</v>
      </c>
      <c r="R55" s="181" t="s">
        <v>1308</v>
      </c>
      <c r="S55" s="181">
        <v>150</v>
      </c>
      <c r="T55" s="181" t="s">
        <v>1465</v>
      </c>
      <c r="U55" s="181" t="s">
        <v>1466</v>
      </c>
      <c r="V55" s="181" t="s">
        <v>1465</v>
      </c>
      <c r="W55" s="179" t="s">
        <v>1332</v>
      </c>
      <c r="X55" s="179" t="s">
        <v>1332</v>
      </c>
      <c r="Y55" s="179" t="s">
        <v>1332</v>
      </c>
      <c r="Z55" s="179" t="s">
        <v>1332</v>
      </c>
      <c r="AA55" s="181" t="s">
        <v>1467</v>
      </c>
      <c r="AB55" s="179" t="s">
        <v>1347</v>
      </c>
      <c r="AC55" s="189" t="s">
        <v>1468</v>
      </c>
      <c r="AD55" s="190" t="s">
        <v>1338</v>
      </c>
    </row>
    <row r="56" spans="1:31" s="209" customFormat="1" ht="28.35" customHeight="1" x14ac:dyDescent="0.3">
      <c r="A56" s="179">
        <v>6</v>
      </c>
      <c r="B56" s="179" t="s">
        <v>1310</v>
      </c>
      <c r="C56" s="179" t="s">
        <v>1311</v>
      </c>
      <c r="D56" s="179" t="s">
        <v>45</v>
      </c>
      <c r="E56" s="179" t="s">
        <v>1469</v>
      </c>
      <c r="F56" s="184" t="s">
        <v>1470</v>
      </c>
      <c r="G56" s="179" t="s">
        <v>165</v>
      </c>
      <c r="H56" s="181">
        <v>80</v>
      </c>
      <c r="I56" s="181" t="s">
        <v>1471</v>
      </c>
      <c r="J56" s="181" t="s">
        <v>22</v>
      </c>
      <c r="K56" s="181" t="s">
        <v>1423</v>
      </c>
      <c r="L56" s="181" t="s">
        <v>1354</v>
      </c>
      <c r="M56" s="181" t="s">
        <v>1332</v>
      </c>
      <c r="N56" s="179" t="s">
        <v>1345</v>
      </c>
      <c r="O56" s="181">
        <f t="shared" si="1"/>
        <v>80</v>
      </c>
      <c r="P56" s="188" t="s">
        <v>1472</v>
      </c>
      <c r="Q56" s="201" t="s">
        <v>1473</v>
      </c>
      <c r="R56" s="181" t="s">
        <v>1</v>
      </c>
      <c r="S56" s="188">
        <v>150</v>
      </c>
      <c r="T56" s="188" t="s">
        <v>1474</v>
      </c>
      <c r="U56" s="181" t="s">
        <v>1373</v>
      </c>
      <c r="V56" s="181" t="s">
        <v>1357</v>
      </c>
      <c r="W56" s="179" t="s">
        <v>1332</v>
      </c>
      <c r="X56" s="179" t="s">
        <v>1332</v>
      </c>
      <c r="Y56" s="179" t="s">
        <v>1332</v>
      </c>
      <c r="Z56" s="179" t="s">
        <v>1332</v>
      </c>
      <c r="AA56" s="181" t="s">
        <v>1467</v>
      </c>
      <c r="AB56" s="179" t="s">
        <v>1347</v>
      </c>
      <c r="AC56" s="189" t="s">
        <v>1362</v>
      </c>
      <c r="AD56" s="190"/>
    </row>
    <row r="57" spans="1:31" s="209" customFormat="1" ht="28.35" customHeight="1" x14ac:dyDescent="0.3">
      <c r="A57" s="179">
        <v>7</v>
      </c>
      <c r="B57" s="179" t="s">
        <v>1310</v>
      </c>
      <c r="C57" s="179" t="s">
        <v>1311</v>
      </c>
      <c r="D57" s="179" t="s">
        <v>45</v>
      </c>
      <c r="E57" s="179" t="s">
        <v>1475</v>
      </c>
      <c r="F57" s="184" t="s">
        <v>1476</v>
      </c>
      <c r="G57" s="179" t="s">
        <v>165</v>
      </c>
      <c r="H57" s="181">
        <v>200</v>
      </c>
      <c r="I57" s="181" t="s">
        <v>1471</v>
      </c>
      <c r="J57" s="181" t="s">
        <v>22</v>
      </c>
      <c r="K57" s="181" t="s">
        <v>1423</v>
      </c>
      <c r="L57" s="181" t="s">
        <v>1331</v>
      </c>
      <c r="M57" s="181" t="s">
        <v>1332</v>
      </c>
      <c r="N57" s="179" t="s">
        <v>1345</v>
      </c>
      <c r="O57" s="181">
        <f t="shared" si="1"/>
        <v>200</v>
      </c>
      <c r="P57" s="188" t="s">
        <v>1472</v>
      </c>
      <c r="Q57" s="201" t="s">
        <v>1473</v>
      </c>
      <c r="R57" s="181" t="s">
        <v>1</v>
      </c>
      <c r="S57" s="188">
        <v>150</v>
      </c>
      <c r="T57" s="188" t="s">
        <v>1474</v>
      </c>
      <c r="U57" s="181" t="s">
        <v>1373</v>
      </c>
      <c r="V57" s="181" t="s">
        <v>1357</v>
      </c>
      <c r="W57" s="179" t="s">
        <v>1332</v>
      </c>
      <c r="X57" s="179" t="s">
        <v>1332</v>
      </c>
      <c r="Y57" s="179" t="s">
        <v>1332</v>
      </c>
      <c r="Z57" s="179" t="s">
        <v>1332</v>
      </c>
      <c r="AA57" s="181" t="s">
        <v>1467</v>
      </c>
      <c r="AB57" s="179" t="s">
        <v>1347</v>
      </c>
      <c r="AC57" s="215" t="s">
        <v>1378</v>
      </c>
      <c r="AD57" s="283"/>
    </row>
    <row r="58" spans="1:31" s="209" customFormat="1" ht="28.35" customHeight="1" x14ac:dyDescent="0.3">
      <c r="A58" s="179">
        <v>8</v>
      </c>
      <c r="B58" s="179" t="s">
        <v>1310</v>
      </c>
      <c r="C58" s="179" t="s">
        <v>1311</v>
      </c>
      <c r="D58" s="179" t="s">
        <v>45</v>
      </c>
      <c r="E58" s="179" t="s">
        <v>1477</v>
      </c>
      <c r="F58" s="184" t="s">
        <v>1478</v>
      </c>
      <c r="G58" s="179" t="s">
        <v>165</v>
      </c>
      <c r="H58" s="181">
        <v>200</v>
      </c>
      <c r="I58" s="181" t="s">
        <v>1471</v>
      </c>
      <c r="J58" s="181" t="s">
        <v>22</v>
      </c>
      <c r="K58" s="181" t="s">
        <v>1423</v>
      </c>
      <c r="L58" s="181" t="s">
        <v>1331</v>
      </c>
      <c r="M58" s="181" t="s">
        <v>1332</v>
      </c>
      <c r="N58" s="179" t="s">
        <v>1345</v>
      </c>
      <c r="O58" s="181">
        <f t="shared" si="1"/>
        <v>200</v>
      </c>
      <c r="P58" s="188" t="s">
        <v>1472</v>
      </c>
      <c r="Q58" s="201" t="s">
        <v>1473</v>
      </c>
      <c r="R58" s="181" t="s">
        <v>1</v>
      </c>
      <c r="S58" s="188">
        <v>150</v>
      </c>
      <c r="T58" s="188" t="s">
        <v>1474</v>
      </c>
      <c r="U58" s="181" t="s">
        <v>1373</v>
      </c>
      <c r="V58" s="181" t="s">
        <v>1357</v>
      </c>
      <c r="W58" s="179" t="s">
        <v>1332</v>
      </c>
      <c r="X58" s="179" t="s">
        <v>1332</v>
      </c>
      <c r="Y58" s="179" t="s">
        <v>1332</v>
      </c>
      <c r="Z58" s="179" t="s">
        <v>1332</v>
      </c>
      <c r="AA58" s="181" t="s">
        <v>1467</v>
      </c>
      <c r="AB58" s="179" t="s">
        <v>1347</v>
      </c>
      <c r="AC58" s="215" t="s">
        <v>1378</v>
      </c>
      <c r="AD58" s="284"/>
    </row>
    <row r="59" spans="1:31" s="209" customFormat="1" ht="28.35" customHeight="1" x14ac:dyDescent="0.3">
      <c r="A59" s="179">
        <v>9</v>
      </c>
      <c r="B59" s="179" t="s">
        <v>1312</v>
      </c>
      <c r="C59" s="179" t="s">
        <v>1479</v>
      </c>
      <c r="D59" s="179" t="s">
        <v>45</v>
      </c>
      <c r="E59" s="179" t="s">
        <v>1480</v>
      </c>
      <c r="F59" s="184" t="s">
        <v>1481</v>
      </c>
      <c r="G59" s="179" t="s">
        <v>165</v>
      </c>
      <c r="H59" s="181">
        <v>100</v>
      </c>
      <c r="I59" s="181" t="s">
        <v>1471</v>
      </c>
      <c r="J59" s="181" t="s">
        <v>22</v>
      </c>
      <c r="K59" s="181" t="s">
        <v>0</v>
      </c>
      <c r="L59" s="181" t="s">
        <v>1354</v>
      </c>
      <c r="M59" s="181" t="s">
        <v>1332</v>
      </c>
      <c r="N59" s="179" t="s">
        <v>1345</v>
      </c>
      <c r="O59" s="181">
        <v>80</v>
      </c>
      <c r="P59" s="188" t="s">
        <v>1472</v>
      </c>
      <c r="Q59" s="201" t="s">
        <v>1473</v>
      </c>
      <c r="R59" s="181" t="s">
        <v>1</v>
      </c>
      <c r="S59" s="188">
        <v>150</v>
      </c>
      <c r="T59" s="188" t="s">
        <v>1474</v>
      </c>
      <c r="U59" s="181" t="s">
        <v>1373</v>
      </c>
      <c r="V59" s="181" t="s">
        <v>1357</v>
      </c>
      <c r="W59" s="179" t="s">
        <v>1332</v>
      </c>
      <c r="X59" s="179" t="s">
        <v>1332</v>
      </c>
      <c r="Y59" s="179" t="s">
        <v>1332</v>
      </c>
      <c r="Z59" s="179" t="s">
        <v>1332</v>
      </c>
      <c r="AA59" s="181" t="s">
        <v>1467</v>
      </c>
      <c r="AB59" s="179" t="s">
        <v>1347</v>
      </c>
      <c r="AC59" s="189" t="s">
        <v>1362</v>
      </c>
      <c r="AD59" s="190"/>
    </row>
    <row r="60" spans="1:31" s="209" customFormat="1" ht="28.35" customHeight="1" x14ac:dyDescent="0.3">
      <c r="A60" s="179">
        <v>10</v>
      </c>
      <c r="B60" s="179" t="s">
        <v>1313</v>
      </c>
      <c r="C60" s="179" t="s">
        <v>1479</v>
      </c>
      <c r="D60" s="179" t="s">
        <v>45</v>
      </c>
      <c r="E60" s="179" t="s">
        <v>1482</v>
      </c>
      <c r="F60" s="184" t="s">
        <v>1483</v>
      </c>
      <c r="G60" s="179" t="s">
        <v>165</v>
      </c>
      <c r="H60" s="181">
        <v>250</v>
      </c>
      <c r="I60" s="181" t="s">
        <v>1471</v>
      </c>
      <c r="J60" s="181" t="s">
        <v>22</v>
      </c>
      <c r="K60" s="181" t="s">
        <v>0</v>
      </c>
      <c r="L60" s="181" t="s">
        <v>1354</v>
      </c>
      <c r="M60" s="181" t="s">
        <v>1332</v>
      </c>
      <c r="N60" s="179" t="s">
        <v>1345</v>
      </c>
      <c r="O60" s="181">
        <v>150</v>
      </c>
      <c r="P60" s="188" t="s">
        <v>1472</v>
      </c>
      <c r="Q60" s="201" t="s">
        <v>1473</v>
      </c>
      <c r="R60" s="181" t="s">
        <v>1</v>
      </c>
      <c r="S60" s="188">
        <v>150</v>
      </c>
      <c r="T60" s="188" t="s">
        <v>1474</v>
      </c>
      <c r="U60" s="181" t="s">
        <v>1373</v>
      </c>
      <c r="V60" s="181" t="s">
        <v>1357</v>
      </c>
      <c r="W60" s="179" t="s">
        <v>1332</v>
      </c>
      <c r="X60" s="179" t="s">
        <v>1332</v>
      </c>
      <c r="Y60" s="179" t="s">
        <v>1332</v>
      </c>
      <c r="Z60" s="179" t="s">
        <v>1332</v>
      </c>
      <c r="AA60" s="181" t="s">
        <v>1467</v>
      </c>
      <c r="AB60" s="179" t="s">
        <v>1347</v>
      </c>
      <c r="AC60" s="189" t="s">
        <v>1484</v>
      </c>
      <c r="AD60" s="190"/>
    </row>
    <row r="61" spans="1:31" s="209" customFormat="1" ht="28.35" customHeight="1" x14ac:dyDescent="0.3">
      <c r="A61" s="179">
        <v>11</v>
      </c>
      <c r="B61" s="179" t="s">
        <v>1313</v>
      </c>
      <c r="C61" s="179" t="s">
        <v>1479</v>
      </c>
      <c r="D61" s="179" t="s">
        <v>45</v>
      </c>
      <c r="E61" s="179" t="s">
        <v>1485</v>
      </c>
      <c r="F61" s="184" t="s">
        <v>1314</v>
      </c>
      <c r="G61" s="179" t="s">
        <v>165</v>
      </c>
      <c r="H61" s="181">
        <v>350</v>
      </c>
      <c r="I61" s="181" t="s">
        <v>1453</v>
      </c>
      <c r="J61" s="181" t="s">
        <v>22</v>
      </c>
      <c r="K61" s="181" t="s">
        <v>0</v>
      </c>
      <c r="L61" s="181" t="s">
        <v>1331</v>
      </c>
      <c r="M61" s="181" t="s">
        <v>1332</v>
      </c>
      <c r="N61" s="179" t="s">
        <v>1345</v>
      </c>
      <c r="O61" s="181">
        <v>250</v>
      </c>
      <c r="P61" s="181" t="s">
        <v>1472</v>
      </c>
      <c r="Q61" s="181" t="s">
        <v>1473</v>
      </c>
      <c r="R61" s="181" t="s">
        <v>1</v>
      </c>
      <c r="S61" s="181">
        <v>150</v>
      </c>
      <c r="T61" s="181" t="s">
        <v>1336</v>
      </c>
      <c r="U61" s="181" t="s">
        <v>1373</v>
      </c>
      <c r="V61" s="181" t="s">
        <v>1357</v>
      </c>
      <c r="W61" s="179" t="s">
        <v>1332</v>
      </c>
      <c r="X61" s="179" t="s">
        <v>1332</v>
      </c>
      <c r="Y61" s="179" t="s">
        <v>1332</v>
      </c>
      <c r="Z61" s="179" t="s">
        <v>1332</v>
      </c>
      <c r="AA61" s="181" t="s">
        <v>1467</v>
      </c>
      <c r="AB61" s="179" t="s">
        <v>1347</v>
      </c>
      <c r="AC61" s="215" t="s">
        <v>1486</v>
      </c>
      <c r="AD61" s="198"/>
    </row>
    <row r="62" spans="1:31" s="209" customFormat="1" ht="28.35" customHeight="1" x14ac:dyDescent="0.3">
      <c r="A62" s="179">
        <v>12</v>
      </c>
      <c r="B62" s="179" t="s">
        <v>1313</v>
      </c>
      <c r="C62" s="179" t="s">
        <v>1479</v>
      </c>
      <c r="D62" s="179" t="s">
        <v>45</v>
      </c>
      <c r="E62" s="179" t="s">
        <v>1487</v>
      </c>
      <c r="F62" s="184" t="s">
        <v>1315</v>
      </c>
      <c r="G62" s="179" t="s">
        <v>165</v>
      </c>
      <c r="H62" s="181">
        <v>350</v>
      </c>
      <c r="I62" s="181" t="s">
        <v>1453</v>
      </c>
      <c r="J62" s="181" t="s">
        <v>22</v>
      </c>
      <c r="K62" s="181" t="s">
        <v>0</v>
      </c>
      <c r="L62" s="181" t="s">
        <v>1331</v>
      </c>
      <c r="M62" s="181" t="s">
        <v>1332</v>
      </c>
      <c r="N62" s="179" t="s">
        <v>1345</v>
      </c>
      <c r="O62" s="181">
        <v>250</v>
      </c>
      <c r="P62" s="181" t="s">
        <v>1472</v>
      </c>
      <c r="Q62" s="181" t="s">
        <v>1473</v>
      </c>
      <c r="R62" s="181" t="s">
        <v>1</v>
      </c>
      <c r="S62" s="181">
        <v>150</v>
      </c>
      <c r="T62" s="181" t="s">
        <v>1336</v>
      </c>
      <c r="U62" s="181" t="s">
        <v>1373</v>
      </c>
      <c r="V62" s="181" t="s">
        <v>1357</v>
      </c>
      <c r="W62" s="179" t="s">
        <v>1332</v>
      </c>
      <c r="X62" s="179" t="s">
        <v>1332</v>
      </c>
      <c r="Y62" s="179" t="s">
        <v>1332</v>
      </c>
      <c r="Z62" s="179" t="s">
        <v>1332</v>
      </c>
      <c r="AA62" s="181" t="s">
        <v>1467</v>
      </c>
      <c r="AB62" s="179" t="s">
        <v>1347</v>
      </c>
      <c r="AC62" s="215" t="s">
        <v>1486</v>
      </c>
      <c r="AD62" s="199"/>
    </row>
    <row r="64" spans="1:31" ht="25.9" customHeight="1" x14ac:dyDescent="0.3">
      <c r="G64" s="210"/>
      <c r="H64" s="5"/>
    </row>
  </sheetData>
  <autoFilter ref="A6:AE62" xr:uid="{00000000-0009-0000-0000-000003000000}"/>
  <mergeCells count="21">
    <mergeCell ref="AD57:AD58"/>
    <mergeCell ref="AD45:AD46"/>
    <mergeCell ref="AD9:AD10"/>
    <mergeCell ref="AD11:AD12"/>
    <mergeCell ref="AA5:AA6"/>
    <mergeCell ref="AB5:AB6"/>
    <mergeCell ref="AC5:AC6"/>
    <mergeCell ref="AD5:AD6"/>
    <mergeCell ref="AE5:AE6"/>
    <mergeCell ref="G5:G6"/>
    <mergeCell ref="H5:H6"/>
    <mergeCell ref="I5:I6"/>
    <mergeCell ref="J5:V5"/>
    <mergeCell ref="W5:X5"/>
    <mergeCell ref="Y5:Z5"/>
    <mergeCell ref="F5:F6"/>
    <mergeCell ref="A5:A6"/>
    <mergeCell ref="B5:B6"/>
    <mergeCell ref="C5:C6"/>
    <mergeCell ref="D5:D6"/>
    <mergeCell ref="E5:E6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50" fitToWidth="0" orientation="landscape" r:id="rId1"/>
  <rowBreaks count="1" manualBreakCount="1">
    <brk id="56" max="3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D99"/>
  <sheetViews>
    <sheetView workbookViewId="0">
      <selection activeCell="H20" sqref="H20"/>
    </sheetView>
  </sheetViews>
  <sheetFormatPr defaultRowHeight="16.5" x14ac:dyDescent="0.3"/>
  <cols>
    <col min="1" max="1" width="3.375" style="2" bestFit="1" customWidth="1"/>
    <col min="2" max="2" width="15.75" style="2" bestFit="1" customWidth="1"/>
    <col min="3" max="4" width="8.75" style="2"/>
  </cols>
  <sheetData>
    <row r="1" spans="1:4" x14ac:dyDescent="0.3">
      <c r="A1" s="2" t="s">
        <v>1492</v>
      </c>
      <c r="B1" s="2" t="s">
        <v>1493</v>
      </c>
      <c r="C1" s="2" t="s">
        <v>1494</v>
      </c>
      <c r="D1" s="2" t="s">
        <v>1495</v>
      </c>
    </row>
    <row r="2" spans="1:4" x14ac:dyDescent="0.3">
      <c r="A2" s="2">
        <v>1</v>
      </c>
      <c r="B2" s="217" t="s">
        <v>1496</v>
      </c>
      <c r="C2" s="2" t="s">
        <v>1497</v>
      </c>
    </row>
    <row r="3" spans="1:4" x14ac:dyDescent="0.3">
      <c r="A3" s="2">
        <v>2</v>
      </c>
      <c r="B3" s="217" t="s">
        <v>1498</v>
      </c>
      <c r="C3" s="2" t="s">
        <v>1497</v>
      </c>
    </row>
    <row r="4" spans="1:4" x14ac:dyDescent="0.3">
      <c r="A4" s="2">
        <v>3</v>
      </c>
      <c r="B4" s="217" t="s">
        <v>1499</v>
      </c>
      <c r="C4" s="2" t="s">
        <v>1497</v>
      </c>
    </row>
    <row r="5" spans="1:4" x14ac:dyDescent="0.3">
      <c r="A5" s="2">
        <v>4</v>
      </c>
      <c r="B5" s="217" t="s">
        <v>1500</v>
      </c>
      <c r="C5" s="2" t="s">
        <v>1497</v>
      </c>
    </row>
    <row r="6" spans="1:4" x14ac:dyDescent="0.3">
      <c r="A6" s="2">
        <v>5</v>
      </c>
      <c r="B6" s="217" t="s">
        <v>1501</v>
      </c>
      <c r="C6" s="2" t="s">
        <v>1497</v>
      </c>
    </row>
    <row r="7" spans="1:4" x14ac:dyDescent="0.3">
      <c r="A7" s="2">
        <v>1</v>
      </c>
      <c r="B7" s="217" t="s">
        <v>1502</v>
      </c>
      <c r="C7" s="2" t="s">
        <v>1503</v>
      </c>
      <c r="D7" s="2" t="s">
        <v>1495</v>
      </c>
    </row>
    <row r="8" spans="1:4" x14ac:dyDescent="0.3">
      <c r="A8" s="2">
        <v>2</v>
      </c>
      <c r="B8" s="217" t="s">
        <v>1504</v>
      </c>
      <c r="C8" s="2" t="s">
        <v>1503</v>
      </c>
      <c r="D8" s="2" t="s">
        <v>1495</v>
      </c>
    </row>
    <row r="9" spans="1:4" x14ac:dyDescent="0.3">
      <c r="A9" s="2">
        <v>51</v>
      </c>
      <c r="B9" s="217" t="s">
        <v>1505</v>
      </c>
      <c r="C9" s="2" t="s">
        <v>1503</v>
      </c>
    </row>
    <row r="10" spans="1:4" x14ac:dyDescent="0.3">
      <c r="A10" s="2">
        <v>52</v>
      </c>
      <c r="B10" s="217" t="s">
        <v>1506</v>
      </c>
      <c r="C10" s="2" t="s">
        <v>1503</v>
      </c>
    </row>
    <row r="11" spans="1:4" x14ac:dyDescent="0.3">
      <c r="A11" s="2">
        <v>1</v>
      </c>
      <c r="B11" s="217" t="s">
        <v>1507</v>
      </c>
      <c r="C11" s="2" t="s">
        <v>1508</v>
      </c>
    </row>
    <row r="12" spans="1:4" x14ac:dyDescent="0.3">
      <c r="A12" s="2">
        <v>2</v>
      </c>
      <c r="B12" s="217" t="s">
        <v>1509</v>
      </c>
      <c r="C12" s="2" t="s">
        <v>1508</v>
      </c>
    </row>
    <row r="13" spans="1:4" x14ac:dyDescent="0.3">
      <c r="A13" s="2">
        <v>3</v>
      </c>
      <c r="B13" s="217" t="s">
        <v>1510</v>
      </c>
      <c r="C13" s="2" t="s">
        <v>1508</v>
      </c>
    </row>
    <row r="14" spans="1:4" x14ac:dyDescent="0.3">
      <c r="A14" s="2">
        <v>4</v>
      </c>
      <c r="B14" s="217" t="s">
        <v>1511</v>
      </c>
      <c r="C14" s="2" t="s">
        <v>1508</v>
      </c>
    </row>
    <row r="15" spans="1:4" x14ac:dyDescent="0.3">
      <c r="A15" s="2">
        <v>5</v>
      </c>
      <c r="B15" s="217" t="s">
        <v>1512</v>
      </c>
      <c r="C15" s="2" t="s">
        <v>1508</v>
      </c>
    </row>
    <row r="16" spans="1:4" x14ac:dyDescent="0.3">
      <c r="A16" s="2">
        <v>6</v>
      </c>
      <c r="B16" s="217" t="s">
        <v>1513</v>
      </c>
      <c r="C16" s="2" t="s">
        <v>1508</v>
      </c>
    </row>
    <row r="17" spans="1:3" x14ac:dyDescent="0.3">
      <c r="A17" s="2">
        <v>7</v>
      </c>
      <c r="B17" s="217" t="s">
        <v>1514</v>
      </c>
      <c r="C17" s="2" t="s">
        <v>1508</v>
      </c>
    </row>
    <row r="18" spans="1:3" x14ac:dyDescent="0.3">
      <c r="A18" s="2">
        <v>8</v>
      </c>
      <c r="B18" s="217" t="s">
        <v>1515</v>
      </c>
      <c r="C18" s="2" t="s">
        <v>1508</v>
      </c>
    </row>
    <row r="19" spans="1:3" x14ac:dyDescent="0.3">
      <c r="A19" s="2">
        <v>9</v>
      </c>
      <c r="B19" s="217" t="s">
        <v>1516</v>
      </c>
      <c r="C19" s="2" t="s">
        <v>1508</v>
      </c>
    </row>
    <row r="20" spans="1:3" x14ac:dyDescent="0.3">
      <c r="A20" s="2">
        <v>10</v>
      </c>
      <c r="B20" s="217" t="s">
        <v>1517</v>
      </c>
      <c r="C20" s="2" t="s">
        <v>1508</v>
      </c>
    </row>
    <row r="21" spans="1:3" x14ac:dyDescent="0.3">
      <c r="A21" s="2">
        <v>11</v>
      </c>
      <c r="B21" s="217" t="s">
        <v>1518</v>
      </c>
      <c r="C21" s="2" t="s">
        <v>1508</v>
      </c>
    </row>
    <row r="22" spans="1:3" x14ac:dyDescent="0.3">
      <c r="A22" s="2">
        <v>12</v>
      </c>
      <c r="B22" s="217" t="s">
        <v>1519</v>
      </c>
      <c r="C22" s="2" t="s">
        <v>1508</v>
      </c>
    </row>
    <row r="23" spans="1:3" x14ac:dyDescent="0.3">
      <c r="A23" s="2">
        <v>13</v>
      </c>
      <c r="B23" s="217" t="s">
        <v>1520</v>
      </c>
      <c r="C23" s="2" t="s">
        <v>1508</v>
      </c>
    </row>
    <row r="24" spans="1:3" x14ac:dyDescent="0.3">
      <c r="A24" s="2">
        <v>14</v>
      </c>
      <c r="B24" s="217" t="s">
        <v>1521</v>
      </c>
      <c r="C24" s="2" t="s">
        <v>1508</v>
      </c>
    </row>
    <row r="25" spans="1:3" x14ac:dyDescent="0.3">
      <c r="A25" s="2">
        <v>15</v>
      </c>
      <c r="B25" s="217" t="s">
        <v>1522</v>
      </c>
      <c r="C25" s="2" t="s">
        <v>1508</v>
      </c>
    </row>
    <row r="26" spans="1:3" x14ac:dyDescent="0.3">
      <c r="A26" s="2">
        <v>16</v>
      </c>
      <c r="B26" s="217" t="s">
        <v>1523</v>
      </c>
      <c r="C26" s="2" t="s">
        <v>1508</v>
      </c>
    </row>
    <row r="27" spans="1:3" x14ac:dyDescent="0.3">
      <c r="A27" s="2">
        <v>17</v>
      </c>
      <c r="B27" s="217" t="s">
        <v>1524</v>
      </c>
      <c r="C27" s="2" t="s">
        <v>1508</v>
      </c>
    </row>
    <row r="28" spans="1:3" x14ac:dyDescent="0.3">
      <c r="A28" s="2">
        <v>18</v>
      </c>
      <c r="B28" s="217" t="s">
        <v>1525</v>
      </c>
      <c r="C28" s="2" t="s">
        <v>1508</v>
      </c>
    </row>
    <row r="29" spans="1:3" x14ac:dyDescent="0.3">
      <c r="A29" s="2">
        <v>19</v>
      </c>
      <c r="B29" s="217" t="s">
        <v>1526</v>
      </c>
      <c r="C29" s="2" t="s">
        <v>1508</v>
      </c>
    </row>
    <row r="30" spans="1:3" x14ac:dyDescent="0.3">
      <c r="A30" s="2">
        <v>20</v>
      </c>
      <c r="B30" s="217" t="s">
        <v>1527</v>
      </c>
      <c r="C30" s="2" t="s">
        <v>1508</v>
      </c>
    </row>
    <row r="31" spans="1:3" x14ac:dyDescent="0.3">
      <c r="A31" s="2">
        <v>21</v>
      </c>
      <c r="B31" s="217" t="s">
        <v>1528</v>
      </c>
      <c r="C31" s="2" t="s">
        <v>1508</v>
      </c>
    </row>
    <row r="32" spans="1:3" x14ac:dyDescent="0.3">
      <c r="A32" s="2">
        <v>22</v>
      </c>
      <c r="B32" s="217" t="s">
        <v>1529</v>
      </c>
      <c r="C32" s="2" t="s">
        <v>1508</v>
      </c>
    </row>
    <row r="33" spans="1:3" x14ac:dyDescent="0.3">
      <c r="A33" s="2">
        <v>23</v>
      </c>
      <c r="B33" s="217" t="s">
        <v>1530</v>
      </c>
      <c r="C33" s="2" t="s">
        <v>1508</v>
      </c>
    </row>
    <row r="34" spans="1:3" x14ac:dyDescent="0.3">
      <c r="A34" s="2">
        <v>24</v>
      </c>
      <c r="B34" s="217" t="s">
        <v>1531</v>
      </c>
      <c r="C34" s="2" t="s">
        <v>1508</v>
      </c>
    </row>
    <row r="35" spans="1:3" x14ac:dyDescent="0.3">
      <c r="A35" s="2">
        <v>25</v>
      </c>
      <c r="B35" s="217" t="s">
        <v>1532</v>
      </c>
      <c r="C35" s="2" t="s">
        <v>1508</v>
      </c>
    </row>
    <row r="36" spans="1:3" x14ac:dyDescent="0.3">
      <c r="A36" s="2">
        <v>26</v>
      </c>
      <c r="B36" s="217" t="s">
        <v>1533</v>
      </c>
      <c r="C36" s="2" t="s">
        <v>1508</v>
      </c>
    </row>
    <row r="37" spans="1:3" x14ac:dyDescent="0.3">
      <c r="A37" s="2">
        <v>27</v>
      </c>
      <c r="B37" s="217" t="s">
        <v>1534</v>
      </c>
      <c r="C37" s="2" t="s">
        <v>1535</v>
      </c>
    </row>
    <row r="38" spans="1:3" x14ac:dyDescent="0.3">
      <c r="A38" s="2">
        <v>28</v>
      </c>
      <c r="B38" s="217" t="s">
        <v>1536</v>
      </c>
      <c r="C38" s="2" t="s">
        <v>1535</v>
      </c>
    </row>
    <row r="39" spans="1:3" x14ac:dyDescent="0.3">
      <c r="A39" s="2">
        <v>29</v>
      </c>
      <c r="B39" s="217" t="s">
        <v>1537</v>
      </c>
      <c r="C39" s="2" t="s">
        <v>1535</v>
      </c>
    </row>
    <row r="40" spans="1:3" x14ac:dyDescent="0.3">
      <c r="A40" s="2">
        <v>30</v>
      </c>
      <c r="B40" s="217" t="s">
        <v>1538</v>
      </c>
      <c r="C40" s="2" t="s">
        <v>1535</v>
      </c>
    </row>
    <row r="41" spans="1:3" x14ac:dyDescent="0.3">
      <c r="A41" s="2">
        <v>31</v>
      </c>
      <c r="B41" s="217" t="s">
        <v>1539</v>
      </c>
      <c r="C41" s="2" t="s">
        <v>1535</v>
      </c>
    </row>
    <row r="42" spans="1:3" x14ac:dyDescent="0.3">
      <c r="A42" s="2">
        <v>32</v>
      </c>
      <c r="B42" s="217" t="s">
        <v>1540</v>
      </c>
      <c r="C42" s="2" t="s">
        <v>1535</v>
      </c>
    </row>
    <row r="43" spans="1:3" x14ac:dyDescent="0.3">
      <c r="A43" s="2">
        <v>33</v>
      </c>
      <c r="B43" s="217" t="s">
        <v>1541</v>
      </c>
      <c r="C43" s="2" t="s">
        <v>1535</v>
      </c>
    </row>
    <row r="44" spans="1:3" x14ac:dyDescent="0.3">
      <c r="A44" s="2">
        <v>34</v>
      </c>
      <c r="B44" s="217" t="s">
        <v>1542</v>
      </c>
      <c r="C44" s="2" t="s">
        <v>1535</v>
      </c>
    </row>
    <row r="45" spans="1:3" x14ac:dyDescent="0.3">
      <c r="A45" s="2">
        <v>35</v>
      </c>
      <c r="B45" s="217" t="s">
        <v>1543</v>
      </c>
      <c r="C45" s="2" t="s">
        <v>1535</v>
      </c>
    </row>
    <row r="46" spans="1:3" x14ac:dyDescent="0.3">
      <c r="A46" s="2">
        <v>36</v>
      </c>
      <c r="B46" s="217" t="s">
        <v>1544</v>
      </c>
      <c r="C46" s="2" t="s">
        <v>1535</v>
      </c>
    </row>
    <row r="47" spans="1:3" x14ac:dyDescent="0.3">
      <c r="A47" s="2">
        <v>37</v>
      </c>
      <c r="B47" s="217" t="s">
        <v>1545</v>
      </c>
      <c r="C47" s="2" t="s">
        <v>1535</v>
      </c>
    </row>
    <row r="48" spans="1:3" x14ac:dyDescent="0.3">
      <c r="A48" s="2">
        <v>38</v>
      </c>
      <c r="B48" s="217" t="s">
        <v>1546</v>
      </c>
      <c r="C48" s="2" t="s">
        <v>1535</v>
      </c>
    </row>
    <row r="49" spans="1:4" x14ac:dyDescent="0.3">
      <c r="A49" s="2">
        <v>39</v>
      </c>
      <c r="B49" s="217" t="s">
        <v>1547</v>
      </c>
      <c r="C49" s="2" t="s">
        <v>1535</v>
      </c>
      <c r="D49" s="2" t="s">
        <v>1548</v>
      </c>
    </row>
    <row r="50" spans="1:4" x14ac:dyDescent="0.3">
      <c r="A50" s="2">
        <v>40</v>
      </c>
      <c r="B50" s="217" t="s">
        <v>1549</v>
      </c>
      <c r="C50" s="2" t="s">
        <v>1535</v>
      </c>
      <c r="D50" s="2" t="s">
        <v>1548</v>
      </c>
    </row>
    <row r="51" spans="1:4" x14ac:dyDescent="0.3">
      <c r="A51" s="2">
        <v>41</v>
      </c>
      <c r="B51" s="217" t="s">
        <v>1550</v>
      </c>
      <c r="C51" s="2" t="s">
        <v>1535</v>
      </c>
      <c r="D51" s="2" t="s">
        <v>1548</v>
      </c>
    </row>
    <row r="52" spans="1:4" x14ac:dyDescent="0.3">
      <c r="A52" s="2">
        <v>51</v>
      </c>
      <c r="B52" s="217" t="s">
        <v>1551</v>
      </c>
      <c r="C52" s="2" t="s">
        <v>1535</v>
      </c>
    </row>
    <row r="53" spans="1:4" x14ac:dyDescent="0.3">
      <c r="A53" s="2">
        <v>52</v>
      </c>
      <c r="B53" s="217" t="s">
        <v>1552</v>
      </c>
      <c r="C53" s="2" t="s">
        <v>1535</v>
      </c>
    </row>
    <row r="54" spans="1:4" x14ac:dyDescent="0.3">
      <c r="A54" s="2">
        <v>53</v>
      </c>
      <c r="B54" s="217" t="s">
        <v>1553</v>
      </c>
      <c r="C54" s="2" t="s">
        <v>1554</v>
      </c>
    </row>
    <row r="55" spans="1:4" x14ac:dyDescent="0.3">
      <c r="A55" s="2">
        <v>54</v>
      </c>
      <c r="B55" s="217" t="s">
        <v>1555</v>
      </c>
      <c r="C55" s="2" t="s">
        <v>1556</v>
      </c>
    </row>
    <row r="56" spans="1:4" x14ac:dyDescent="0.3">
      <c r="A56" s="2">
        <v>55</v>
      </c>
      <c r="B56" s="217" t="s">
        <v>1557</v>
      </c>
      <c r="C56" s="2" t="s">
        <v>1556</v>
      </c>
      <c r="D56" s="2" t="s">
        <v>1558</v>
      </c>
    </row>
    <row r="57" spans="1:4" x14ac:dyDescent="0.3">
      <c r="A57" s="2">
        <v>56</v>
      </c>
      <c r="B57" s="217" t="s">
        <v>1559</v>
      </c>
      <c r="C57" s="2" t="s">
        <v>1556</v>
      </c>
      <c r="D57" s="2" t="s">
        <v>1558</v>
      </c>
    </row>
    <row r="58" spans="1:4" x14ac:dyDescent="0.3">
      <c r="A58" s="2">
        <v>1</v>
      </c>
      <c r="B58" s="217" t="s">
        <v>1560</v>
      </c>
      <c r="C58" s="2" t="s">
        <v>1561</v>
      </c>
    </row>
    <row r="59" spans="1:4" x14ac:dyDescent="0.3">
      <c r="A59" s="2">
        <v>2</v>
      </c>
      <c r="B59" s="217" t="s">
        <v>1562</v>
      </c>
      <c r="C59" s="2" t="s">
        <v>1561</v>
      </c>
    </row>
    <row r="60" spans="1:4" x14ac:dyDescent="0.3">
      <c r="A60" s="2">
        <v>3</v>
      </c>
      <c r="B60" s="217" t="s">
        <v>1563</v>
      </c>
      <c r="C60" s="2" t="s">
        <v>1561</v>
      </c>
    </row>
    <row r="61" spans="1:4" x14ac:dyDescent="0.3">
      <c r="A61" s="2">
        <v>4</v>
      </c>
      <c r="B61" s="217" t="s">
        <v>1564</v>
      </c>
      <c r="C61" s="2" t="s">
        <v>1561</v>
      </c>
    </row>
    <row r="62" spans="1:4" x14ac:dyDescent="0.3">
      <c r="A62" s="2">
        <v>5</v>
      </c>
      <c r="B62" s="217" t="s">
        <v>1565</v>
      </c>
      <c r="C62" s="2" t="s">
        <v>1561</v>
      </c>
    </row>
    <row r="63" spans="1:4" x14ac:dyDescent="0.3">
      <c r="A63" s="2">
        <v>6</v>
      </c>
      <c r="B63" s="217" t="s">
        <v>1566</v>
      </c>
      <c r="C63" s="2" t="s">
        <v>1561</v>
      </c>
    </row>
    <row r="64" spans="1:4" x14ac:dyDescent="0.3">
      <c r="A64" s="2">
        <v>7</v>
      </c>
      <c r="B64" s="217" t="s">
        <v>1567</v>
      </c>
      <c r="C64" s="2" t="s">
        <v>1561</v>
      </c>
    </row>
    <row r="65" spans="1:4" x14ac:dyDescent="0.3">
      <c r="A65" s="2">
        <v>8</v>
      </c>
      <c r="B65" s="217" t="s">
        <v>1568</v>
      </c>
      <c r="C65" s="2" t="s">
        <v>1561</v>
      </c>
    </row>
    <row r="66" spans="1:4" x14ac:dyDescent="0.3">
      <c r="A66" s="2">
        <v>9</v>
      </c>
      <c r="B66" s="217" t="s">
        <v>1569</v>
      </c>
      <c r="C66" s="2" t="s">
        <v>1561</v>
      </c>
    </row>
    <row r="67" spans="1:4" x14ac:dyDescent="0.3">
      <c r="A67" s="2">
        <v>10</v>
      </c>
      <c r="B67" s="217" t="s">
        <v>1570</v>
      </c>
      <c r="C67" s="2" t="s">
        <v>1561</v>
      </c>
    </row>
    <row r="68" spans="1:4" x14ac:dyDescent="0.3">
      <c r="A68" s="2">
        <v>11</v>
      </c>
      <c r="B68" s="217" t="s">
        <v>1571</v>
      </c>
      <c r="C68" s="2" t="s">
        <v>1561</v>
      </c>
    </row>
    <row r="69" spans="1:4" x14ac:dyDescent="0.3">
      <c r="A69" s="2">
        <v>12</v>
      </c>
      <c r="B69" s="217" t="s">
        <v>1572</v>
      </c>
      <c r="C69" s="2" t="s">
        <v>1561</v>
      </c>
    </row>
    <row r="70" spans="1:4" x14ac:dyDescent="0.3">
      <c r="A70" s="2">
        <v>13</v>
      </c>
      <c r="B70" s="217" t="s">
        <v>1573</v>
      </c>
      <c r="C70" s="2" t="s">
        <v>1561</v>
      </c>
      <c r="D70" s="2" t="s">
        <v>1558</v>
      </c>
    </row>
    <row r="71" spans="1:4" x14ac:dyDescent="0.3">
      <c r="A71" s="2">
        <v>14</v>
      </c>
      <c r="B71" s="217" t="s">
        <v>1574</v>
      </c>
      <c r="C71" s="2" t="s">
        <v>1561</v>
      </c>
      <c r="D71" s="2" t="s">
        <v>1558</v>
      </c>
    </row>
    <row r="72" spans="1:4" x14ac:dyDescent="0.3">
      <c r="A72" s="2">
        <v>51</v>
      </c>
      <c r="B72" s="217" t="s">
        <v>1575</v>
      </c>
      <c r="C72" s="2" t="s">
        <v>1561</v>
      </c>
    </row>
    <row r="73" spans="1:4" x14ac:dyDescent="0.3">
      <c r="A73" s="2">
        <v>1</v>
      </c>
      <c r="B73" s="217" t="s">
        <v>1576</v>
      </c>
      <c r="C73" s="2" t="s">
        <v>1577</v>
      </c>
    </row>
    <row r="74" spans="1:4" x14ac:dyDescent="0.3">
      <c r="A74" s="2">
        <v>2</v>
      </c>
      <c r="B74" s="217" t="s">
        <v>1578</v>
      </c>
      <c r="C74" s="2" t="s">
        <v>1577</v>
      </c>
      <c r="D74" s="2" t="s">
        <v>1579</v>
      </c>
    </row>
    <row r="75" spans="1:4" x14ac:dyDescent="0.3">
      <c r="A75" s="2">
        <v>3</v>
      </c>
      <c r="B75" s="217" t="s">
        <v>1580</v>
      </c>
      <c r="C75" s="2" t="s">
        <v>1577</v>
      </c>
    </row>
    <row r="76" spans="1:4" x14ac:dyDescent="0.3">
      <c r="A76" s="2">
        <v>4</v>
      </c>
      <c r="B76" s="217" t="s">
        <v>1581</v>
      </c>
      <c r="C76" s="2" t="s">
        <v>1577</v>
      </c>
    </row>
    <row r="77" spans="1:4" x14ac:dyDescent="0.3">
      <c r="A77" s="2">
        <v>5</v>
      </c>
      <c r="B77" s="217" t="s">
        <v>1582</v>
      </c>
      <c r="C77" s="2" t="s">
        <v>1577</v>
      </c>
      <c r="D77" s="2" t="s">
        <v>1558</v>
      </c>
    </row>
    <row r="78" spans="1:4" x14ac:dyDescent="0.3">
      <c r="A78" s="2">
        <v>6</v>
      </c>
      <c r="B78" s="217" t="s">
        <v>1583</v>
      </c>
      <c r="C78" s="2" t="s">
        <v>1577</v>
      </c>
      <c r="D78" s="2" t="s">
        <v>1558</v>
      </c>
    </row>
    <row r="79" spans="1:4" x14ac:dyDescent="0.3">
      <c r="A79" s="2">
        <v>7</v>
      </c>
      <c r="B79" s="217" t="s">
        <v>1584</v>
      </c>
      <c r="C79" s="2" t="s">
        <v>1577</v>
      </c>
      <c r="D79" s="2" t="s">
        <v>1558</v>
      </c>
    </row>
    <row r="80" spans="1:4" x14ac:dyDescent="0.3">
      <c r="A80" s="2">
        <v>8</v>
      </c>
      <c r="B80" s="217" t="s">
        <v>1585</v>
      </c>
      <c r="C80" s="2" t="s">
        <v>1577</v>
      </c>
      <c r="D80" s="2" t="s">
        <v>1558</v>
      </c>
    </row>
    <row r="81" spans="1:4" x14ac:dyDescent="0.3">
      <c r="A81" s="2">
        <v>9</v>
      </c>
      <c r="B81" s="217" t="s">
        <v>1586</v>
      </c>
      <c r="C81" s="2" t="s">
        <v>1577</v>
      </c>
    </row>
    <row r="82" spans="1:4" x14ac:dyDescent="0.3">
      <c r="A82" s="2">
        <v>10</v>
      </c>
      <c r="B82" s="217" t="s">
        <v>1587</v>
      </c>
      <c r="C82" s="2" t="s">
        <v>1577</v>
      </c>
    </row>
    <row r="83" spans="1:4" x14ac:dyDescent="0.3">
      <c r="A83" s="2">
        <v>11</v>
      </c>
      <c r="B83" s="217" t="s">
        <v>1588</v>
      </c>
      <c r="C83" s="2" t="s">
        <v>1577</v>
      </c>
    </row>
    <row r="84" spans="1:4" x14ac:dyDescent="0.3">
      <c r="A84" s="2">
        <v>12</v>
      </c>
      <c r="B84" s="217" t="s">
        <v>1589</v>
      </c>
      <c r="C84" s="2" t="s">
        <v>1577</v>
      </c>
    </row>
    <row r="85" spans="1:4" x14ac:dyDescent="0.3">
      <c r="A85" s="2">
        <v>13</v>
      </c>
      <c r="B85" s="217" t="s">
        <v>1590</v>
      </c>
      <c r="C85" s="2" t="s">
        <v>1577</v>
      </c>
    </row>
    <row r="86" spans="1:4" x14ac:dyDescent="0.3">
      <c r="A86" s="2">
        <v>14</v>
      </c>
      <c r="B86" s="217" t="s">
        <v>1591</v>
      </c>
      <c r="C86" s="2" t="s">
        <v>1577</v>
      </c>
      <c r="D86" s="2" t="s">
        <v>1558</v>
      </c>
    </row>
    <row r="87" spans="1:4" x14ac:dyDescent="0.3">
      <c r="A87" s="2">
        <v>15</v>
      </c>
      <c r="B87" s="217" t="s">
        <v>1592</v>
      </c>
      <c r="C87" s="2" t="s">
        <v>1577</v>
      </c>
      <c r="D87" s="2" t="s">
        <v>1558</v>
      </c>
    </row>
    <row r="88" spans="1:4" x14ac:dyDescent="0.3">
      <c r="A88" s="2">
        <v>51</v>
      </c>
      <c r="B88" s="217" t="s">
        <v>1593</v>
      </c>
      <c r="C88" s="2" t="s">
        <v>1577</v>
      </c>
    </row>
    <row r="89" spans="1:4" x14ac:dyDescent="0.3">
      <c r="A89" s="2">
        <v>1</v>
      </c>
      <c r="B89" s="217" t="s">
        <v>1594</v>
      </c>
      <c r="C89" s="2" t="s">
        <v>1595</v>
      </c>
    </row>
    <row r="90" spans="1:4" x14ac:dyDescent="0.3">
      <c r="A90" s="2">
        <v>2</v>
      </c>
      <c r="B90" s="217" t="s">
        <v>1596</v>
      </c>
      <c r="C90" s="2" t="s">
        <v>1595</v>
      </c>
    </row>
    <row r="91" spans="1:4" x14ac:dyDescent="0.3">
      <c r="A91" s="2">
        <v>3</v>
      </c>
      <c r="B91" s="217" t="s">
        <v>1597</v>
      </c>
      <c r="C91" s="2" t="s">
        <v>1595</v>
      </c>
    </row>
    <row r="92" spans="1:4" x14ac:dyDescent="0.3">
      <c r="A92" s="2">
        <v>4</v>
      </c>
      <c r="B92" s="217" t="s">
        <v>1598</v>
      </c>
      <c r="C92" s="2" t="s">
        <v>1595</v>
      </c>
    </row>
    <row r="93" spans="1:4" x14ac:dyDescent="0.3">
      <c r="A93" s="2">
        <v>5</v>
      </c>
      <c r="B93" s="217" t="s">
        <v>1599</v>
      </c>
      <c r="C93" s="2" t="s">
        <v>1595</v>
      </c>
    </row>
    <row r="94" spans="1:4" x14ac:dyDescent="0.3">
      <c r="A94" s="2">
        <v>6</v>
      </c>
      <c r="B94" s="217" t="s">
        <v>1600</v>
      </c>
      <c r="C94" s="2" t="s">
        <v>1595</v>
      </c>
    </row>
    <row r="95" spans="1:4" x14ac:dyDescent="0.3">
      <c r="A95" s="2">
        <v>7</v>
      </c>
      <c r="B95" s="217" t="s">
        <v>1601</v>
      </c>
      <c r="C95" s="2" t="s">
        <v>1595</v>
      </c>
    </row>
    <row r="96" spans="1:4" x14ac:dyDescent="0.3">
      <c r="A96" s="2">
        <v>8</v>
      </c>
      <c r="B96" s="217" t="s">
        <v>1602</v>
      </c>
      <c r="C96" s="2" t="s">
        <v>1595</v>
      </c>
    </row>
    <row r="97" spans="1:3" x14ac:dyDescent="0.3">
      <c r="A97" s="2">
        <v>51</v>
      </c>
      <c r="B97" s="217" t="s">
        <v>1603</v>
      </c>
      <c r="C97" s="2" t="s">
        <v>1595</v>
      </c>
    </row>
    <row r="98" spans="1:3" x14ac:dyDescent="0.3">
      <c r="A98" s="2">
        <v>52</v>
      </c>
      <c r="B98" s="217" t="s">
        <v>1604</v>
      </c>
      <c r="C98" s="2" t="s">
        <v>1595</v>
      </c>
    </row>
    <row r="99" spans="1:3" x14ac:dyDescent="0.3">
      <c r="A99" s="2">
        <v>53</v>
      </c>
      <c r="B99" s="217" t="s">
        <v>1605</v>
      </c>
      <c r="C99" s="2" t="s">
        <v>1595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COGEN_ISSUE_A</vt:lpstr>
      <vt:lpstr>MOV</vt:lpstr>
      <vt:lpstr>SDT_220118</vt:lpstr>
      <vt:lpstr>VALVE LIST (COGEN&amp;DESAL)_이기훈프로</vt:lpstr>
      <vt:lpstr>Sheet2</vt:lpstr>
      <vt:lpstr>COGEN_ISSUE_A!Print_Area</vt:lpstr>
      <vt:lpstr>MOV!Print_Area</vt:lpstr>
      <vt:lpstr>'VALVE LIST (COGEN&amp;DESAL)_이기훈프로'!Print_Area</vt:lpstr>
      <vt:lpstr>MOV!Print_Titles</vt:lpstr>
      <vt:lpstr>'VALVE LIST (COGEN&amp;DESAL)_이기훈프로'!Print_Titles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이동원(dw77.lee)</cp:lastModifiedBy>
  <cp:lastPrinted>2024-06-19T05:02:23Z</cp:lastPrinted>
  <dcterms:created xsi:type="dcterms:W3CDTF">2019-05-29T01:24:15Z</dcterms:created>
  <dcterms:modified xsi:type="dcterms:W3CDTF">2025-03-26T02:20:45Z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E:\전기계장 ENG\00 입찰 PJT\190318_Tanajib IPP\INST PKG\Tanajib_Inst&amp;Vlv List\대외 송부용\198L-00GEN00-J22-0001_Tanajib_Valve List_Rev C.xlsx</vt:lpwstr>
  </property>
  <property fmtid="{D5CDD505-2E9C-101B-9397-08002B2CF9AE}" pid="4" name="Matl" linkTarget="Prop_Matl">
    <vt:lpwstr>#REF!</vt:lpwstr>
  </property>
  <property fmtid="{D5CDD505-2E9C-101B-9397-08002B2CF9AE}" pid="5" name="Matl_Rate" linkTarget="Prop_Matl_Rate">
    <vt:lpwstr>#REF!</vt:lpwstr>
  </property>
  <property fmtid="{D5CDD505-2E9C-101B-9397-08002B2CF9AE}" pid="6" name="MD" linkTarget="Prop_MD">
    <vt:lpwstr>#REF!</vt:lpwstr>
  </property>
  <property fmtid="{D5CDD505-2E9C-101B-9397-08002B2CF9AE}" pid="7" name="MD_Rate" linkTarget="Prop_MD_Rate">
    <vt:lpwstr>#REF!</vt:lpwstr>
  </property>
  <property fmtid="{D5CDD505-2E9C-101B-9397-08002B2CF9AE}" pid="8" name="Total_Matl" linkTarget="Prop_Total_Matl">
    <vt:lpwstr>#REF!</vt:lpwstr>
  </property>
  <property fmtid="{D5CDD505-2E9C-101B-9397-08002B2CF9AE}" pid="9" name="Total_MD" linkTarget="Prop_Total_MD">
    <vt:lpwstr>#REF!</vt:lpwstr>
  </property>
  <property fmtid="{D5CDD505-2E9C-101B-9397-08002B2CF9AE}" pid="10" name="MSIP_Label_3351ac48-f2ec-47d6-b214-43b916e392ff_Enabled">
    <vt:lpwstr>true</vt:lpwstr>
  </property>
  <property fmtid="{D5CDD505-2E9C-101B-9397-08002B2CF9AE}" pid="11" name="MSIP_Label_3351ac48-f2ec-47d6-b214-43b916e392ff_SetDate">
    <vt:lpwstr>2025-02-24T10:47:07Z</vt:lpwstr>
  </property>
  <property fmtid="{D5CDD505-2E9C-101B-9397-08002B2CF9AE}" pid="12" name="MSIP_Label_3351ac48-f2ec-47d6-b214-43b916e392ff_Method">
    <vt:lpwstr>Standard</vt:lpwstr>
  </property>
  <property fmtid="{D5CDD505-2E9C-101B-9397-08002B2CF9AE}" pid="13" name="MSIP_Label_3351ac48-f2ec-47d6-b214-43b916e392ff_Name">
    <vt:lpwstr>3351ac48-f2ec-47d6-b214-43b916e392ff</vt:lpwstr>
  </property>
  <property fmtid="{D5CDD505-2E9C-101B-9397-08002B2CF9AE}" pid="14" name="MSIP_Label_3351ac48-f2ec-47d6-b214-43b916e392ff_SiteId">
    <vt:lpwstr>5af76741-f886-4d20-ad04-775dee0ce762</vt:lpwstr>
  </property>
  <property fmtid="{D5CDD505-2E9C-101B-9397-08002B2CF9AE}" pid="15" name="MSIP_Label_3351ac48-f2ec-47d6-b214-43b916e392ff_ActionId">
    <vt:lpwstr>025c2884-2269-4d2a-884f-2ed099c777b5</vt:lpwstr>
  </property>
  <property fmtid="{D5CDD505-2E9C-101B-9397-08002B2CF9AE}" pid="16" name="MSIP_Label_3351ac48-f2ec-47d6-b214-43b916e392ff_ContentBits">
    <vt:lpwstr>0</vt:lpwstr>
  </property>
</Properties>
</file>