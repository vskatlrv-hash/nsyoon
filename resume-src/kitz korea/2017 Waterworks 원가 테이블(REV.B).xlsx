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600" yWindow="2055" windowWidth="11340" windowHeight="6795" tabRatio="764" activeTab="13"/>
  </bookViews>
  <sheets>
    <sheet name="원가" sheetId="49" r:id="rId1"/>
    <sheet name="100A" sheetId="7" r:id="rId2"/>
    <sheet name="125A" sheetId="58" r:id="rId3"/>
    <sheet name="150A" sheetId="50" r:id="rId4"/>
    <sheet name="200A" sheetId="4" r:id="rId5"/>
    <sheet name="250A" sheetId="21" r:id="rId6"/>
    <sheet name="300A" sheetId="52" r:id="rId7"/>
    <sheet name="350A" sheetId="26" r:id="rId8"/>
    <sheet name="400A" sheetId="53" r:id="rId9"/>
    <sheet name="450A" sheetId="8" r:id="rId10"/>
    <sheet name="500A" sheetId="54" r:id="rId11"/>
    <sheet name="550A" sheetId="56" r:id="rId12"/>
    <sheet name="600A" sheetId="55" r:id="rId13"/>
    <sheet name="650A" sheetId="30" r:id="rId14"/>
    <sheet name="700A" sheetId="31" r:id="rId15"/>
    <sheet name="750A" sheetId="10" r:id="rId16"/>
    <sheet name="800A" sheetId="33" r:id="rId17"/>
    <sheet name="850A" sheetId="57" r:id="rId18"/>
    <sheet name="900A" sheetId="9" r:id="rId19"/>
    <sheet name="950A" sheetId="59" r:id="rId20"/>
    <sheet name="1000A" sheetId="11" r:id="rId21"/>
    <sheet name="1050A" sheetId="60" r:id="rId22"/>
    <sheet name="1100A" sheetId="34" r:id="rId23"/>
    <sheet name="1200A" sheetId="13" r:id="rId24"/>
    <sheet name="1300A" sheetId="61" r:id="rId25"/>
    <sheet name="1400A" sheetId="5" r:id="rId26"/>
    <sheet name="1500A" sheetId="62" r:id="rId27"/>
    <sheet name="1600A" sheetId="36" r:id="rId28"/>
    <sheet name="1650A" sheetId="63" r:id="rId29"/>
    <sheet name="1700A" sheetId="64" r:id="rId30"/>
    <sheet name="1800A" sheetId="6" r:id="rId31"/>
    <sheet name="1900A" sheetId="65" r:id="rId32"/>
    <sheet name="1950A" sheetId="66" r:id="rId33"/>
    <sheet name="2000A" sheetId="67" r:id="rId34"/>
    <sheet name="2100A" sheetId="68" r:id="rId35"/>
    <sheet name="2250A" sheetId="37" r:id="rId36"/>
    <sheet name="2400A" sheetId="70" r:id="rId37"/>
    <sheet name="2500A" sheetId="69" r:id="rId38"/>
    <sheet name="Sheet1" sheetId="71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_123Graph_A" hidden="1">[1]TTL!$G$31:$AU$31</definedName>
    <definedName name="__123Graph_B" hidden="1">[1]TTL!$G$32:$AU$32</definedName>
    <definedName name="__123Graph_C" hidden="1">[1]TTL!$G$37:$AU$37</definedName>
    <definedName name="__123Graph_D" hidden="1">[1]TTL!$G$38:$AU$38</definedName>
    <definedName name="__123Graph_X" hidden="1">[1]TTL!$G$6:$AU$6</definedName>
    <definedName name="_1">#N/A</definedName>
    <definedName name="_11">#N/A</definedName>
    <definedName name="_2">#N/A</definedName>
    <definedName name="_22">#N/A</definedName>
    <definedName name="_AOC2">#REF!</definedName>
    <definedName name="_ELL45">#REF!</definedName>
    <definedName name="_ELL90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\a">#N/A</definedName>
    <definedName name="\p">'[2]FWBS7000,8000'!#REF!</definedName>
    <definedName name="A7JB_WIRES">[3]A7!$S$68</definedName>
    <definedName name="air_trap">#REF!</definedName>
    <definedName name="angle">#REF!</definedName>
    <definedName name="B_FLG">#REF!</definedName>
    <definedName name="back_pressure">#REF!</definedName>
    <definedName name="ball">#REF!</definedName>
    <definedName name="BOLT">#REF!</definedName>
    <definedName name="BOSS">#REF!</definedName>
    <definedName name="butterfly">#REF!</definedName>
    <definedName name="CAP">#REF!</definedName>
    <definedName name="CCS">'[4]Product-part-a'!$R$11</definedName>
    <definedName name="check">#REF!</definedName>
    <definedName name="COM">#REF!</definedName>
    <definedName name="CPLG">#REF!</definedName>
    <definedName name="CS">#REF!</definedName>
    <definedName name="CS_DB">#REF!</definedName>
    <definedName name="data">#REF!</definedName>
    <definedName name="_xlnm.Database">[5]Sheet1!#REF!</definedName>
    <definedName name="diameter">#REF!</definedName>
    <definedName name="diaphragm">#REF!</definedName>
    <definedName name="drain_trap">#REF!</definedName>
    <definedName name="dual_plate_check">#REF!</definedName>
    <definedName name="duplex_strainer">#REF!</definedName>
    <definedName name="EOL">#REF!</definedName>
    <definedName name="ex_joint">#REF!</definedName>
    <definedName name="FFF" localSheetId="20" hidden="1">{#N/A,#N/A,TRUE,"SUMMARY";#N/A,#N/A,TRUE,"ISBL";#N/A,#N/A,TRUE,"OSBL";#N/A,#N/A,TRUE,"OFFSITE";#N/A,#N/A,TRUE,"STEAM"}</definedName>
    <definedName name="FFF" localSheetId="1" hidden="1">{#N/A,#N/A,TRUE,"SUMMARY";#N/A,#N/A,TRUE,"ISBL";#N/A,#N/A,TRUE,"OSBL";#N/A,#N/A,TRUE,"OFFSITE";#N/A,#N/A,TRUE,"STEAM"}</definedName>
    <definedName name="FFF" localSheetId="22" hidden="1">{#N/A,#N/A,TRUE,"SUMMARY";#N/A,#N/A,TRUE,"ISBL";#N/A,#N/A,TRUE,"OSBL";#N/A,#N/A,TRUE,"OFFSITE";#N/A,#N/A,TRUE,"STEAM"}</definedName>
    <definedName name="FFF" localSheetId="23" hidden="1">{#N/A,#N/A,TRUE,"SUMMARY";#N/A,#N/A,TRUE,"ISBL";#N/A,#N/A,TRUE,"OSBL";#N/A,#N/A,TRUE,"OFFSITE";#N/A,#N/A,TRUE,"STEAM"}</definedName>
    <definedName name="FFF" localSheetId="25" hidden="1">{#N/A,#N/A,TRUE,"SUMMARY";#N/A,#N/A,TRUE,"ISBL";#N/A,#N/A,TRUE,"OSBL";#N/A,#N/A,TRUE,"OFFSITE";#N/A,#N/A,TRUE,"STEAM"}</definedName>
    <definedName name="FFF" localSheetId="27" hidden="1">{#N/A,#N/A,TRUE,"SUMMARY";#N/A,#N/A,TRUE,"ISBL";#N/A,#N/A,TRUE,"OSBL";#N/A,#N/A,TRUE,"OFFSITE";#N/A,#N/A,TRUE,"STEAM"}</definedName>
    <definedName name="FFF" localSheetId="30" hidden="1">{#N/A,#N/A,TRUE,"SUMMARY";#N/A,#N/A,TRUE,"ISBL";#N/A,#N/A,TRUE,"OSBL";#N/A,#N/A,TRUE,"OFFSITE";#N/A,#N/A,TRUE,"STEAM"}</definedName>
    <definedName name="FFF" localSheetId="4" hidden="1">{#N/A,#N/A,TRUE,"SUMMARY";#N/A,#N/A,TRUE,"ISBL";#N/A,#N/A,TRUE,"OSBL";#N/A,#N/A,TRUE,"OFFSITE";#N/A,#N/A,TRUE,"STEAM"}</definedName>
    <definedName name="FFF" localSheetId="35" hidden="1">{#N/A,#N/A,TRUE,"SUMMARY";#N/A,#N/A,TRUE,"ISBL";#N/A,#N/A,TRUE,"OSBL";#N/A,#N/A,TRUE,"OFFSITE";#N/A,#N/A,TRUE,"STEAM"}</definedName>
    <definedName name="FFF" localSheetId="5" hidden="1">{#N/A,#N/A,TRUE,"SUMMARY";#N/A,#N/A,TRUE,"ISBL";#N/A,#N/A,TRUE,"OSBL";#N/A,#N/A,TRUE,"OFFSITE";#N/A,#N/A,TRUE,"STEAM"}</definedName>
    <definedName name="FFF" localSheetId="7" hidden="1">{#N/A,#N/A,TRUE,"SUMMARY";#N/A,#N/A,TRUE,"ISBL";#N/A,#N/A,TRUE,"OSBL";#N/A,#N/A,TRUE,"OFFSITE";#N/A,#N/A,TRUE,"STEAM"}</definedName>
    <definedName name="FFF" localSheetId="9" hidden="1">{#N/A,#N/A,TRUE,"SUMMARY";#N/A,#N/A,TRUE,"ISBL";#N/A,#N/A,TRUE,"OSBL";#N/A,#N/A,TRUE,"OFFSITE";#N/A,#N/A,TRUE,"STEAM"}</definedName>
    <definedName name="FFF" localSheetId="13" hidden="1">{#N/A,#N/A,TRUE,"SUMMARY";#N/A,#N/A,TRUE,"ISBL";#N/A,#N/A,TRUE,"OSBL";#N/A,#N/A,TRUE,"OFFSITE";#N/A,#N/A,TRUE,"STEAM"}</definedName>
    <definedName name="FFF" localSheetId="14" hidden="1">{#N/A,#N/A,TRUE,"SUMMARY";#N/A,#N/A,TRUE,"ISBL";#N/A,#N/A,TRUE,"OSBL";#N/A,#N/A,TRUE,"OFFSITE";#N/A,#N/A,TRUE,"STEAM"}</definedName>
    <definedName name="FFF" localSheetId="15" hidden="1">{#N/A,#N/A,TRUE,"SUMMARY";#N/A,#N/A,TRUE,"ISBL";#N/A,#N/A,TRUE,"OSBL";#N/A,#N/A,TRUE,"OFFSITE";#N/A,#N/A,TRUE,"STEAM"}</definedName>
    <definedName name="FFF" localSheetId="16" hidden="1">{#N/A,#N/A,TRUE,"SUMMARY";#N/A,#N/A,TRUE,"ISBL";#N/A,#N/A,TRUE,"OSBL";#N/A,#N/A,TRUE,"OFFSITE";#N/A,#N/A,TRUE,"STEAM"}</definedName>
    <definedName name="FFF" localSheetId="18" hidden="1">{#N/A,#N/A,TRUE,"SUMMARY";#N/A,#N/A,TRUE,"ISBL";#N/A,#N/A,TRUE,"OSBL";#N/A,#N/A,TRUE,"OFFSITE";#N/A,#N/A,TRUE,"STEAM"}</definedName>
    <definedName name="FFF" hidden="1">{#N/A,#N/A,TRUE,"SUMMARY";#N/A,#N/A,TRUE,"ISBL";#N/A,#N/A,TRUE,"OSBL";#N/A,#N/A,TRUE,"OFFSITE";#N/A,#N/A,TRUE,"STEAM"}</definedName>
    <definedName name="FLG">#REF!</definedName>
    <definedName name="Flg_DB">#REF!</definedName>
    <definedName name="FLG_Orifice">#REF!</definedName>
    <definedName name="Flgd">[4]Sheet1!#REF!</definedName>
    <definedName name="gate">#REF!</definedName>
    <definedName name="globe">#REF!</definedName>
    <definedName name="JAOV_C">#REF!</definedName>
    <definedName name="JAOV_U">#REF!</definedName>
    <definedName name="JCER_C">#REF!</definedName>
    <definedName name="JCER_U">#REF!</definedName>
    <definedName name="JCVE_C">#REF!</definedName>
    <definedName name="JCVE_U">#REF!</definedName>
    <definedName name="JCVES_C">#REF!</definedName>
    <definedName name="JCVES_U">#REF!</definedName>
    <definedName name="JCVP_C">#REF!</definedName>
    <definedName name="JCVP_U">#REF!</definedName>
    <definedName name="JECB_C">#REF!</definedName>
    <definedName name="JECB_U">#REF!</definedName>
    <definedName name="JMOT_C">#REF!</definedName>
    <definedName name="JMOT_U">#REF!</definedName>
    <definedName name="JMOV_C">#REF!</definedName>
    <definedName name="JMOV_U">#REF!</definedName>
    <definedName name="JMOVS_C">#REF!</definedName>
    <definedName name="JMOVS_U">#REF!</definedName>
    <definedName name="JPROSV_C">#REF!</definedName>
    <definedName name="JPROSV_U">#REF!</definedName>
    <definedName name="JRER_C">#REF!</definedName>
    <definedName name="JRER_U">#REF!</definedName>
    <definedName name="JTC_C">#REF!</definedName>
    <definedName name="JTC_U">#REF!</definedName>
    <definedName name="JTR_C">#REF!</definedName>
    <definedName name="JTR_U">#REF!</definedName>
    <definedName name="JTTC_C">#REF!</definedName>
    <definedName name="JTTC_U">#REF!</definedName>
    <definedName name="JTTR_C">#REF!</definedName>
    <definedName name="JTTR_U">#REF!</definedName>
    <definedName name="JXS_C">#REF!</definedName>
    <definedName name="JXS_U">#REF!</definedName>
    <definedName name="JXT_C">#REF!</definedName>
    <definedName name="JXT_U">#REF!</definedName>
    <definedName name="JZS_C">#REF!</definedName>
    <definedName name="JZS_U">#REF!</definedName>
    <definedName name="KAOV_C">#REF!</definedName>
    <definedName name="KAOV_U">#REF!</definedName>
    <definedName name="KCVE_C">#REF!</definedName>
    <definedName name="KCVE_U">#REF!</definedName>
    <definedName name="KCVES_C">#REF!</definedName>
    <definedName name="KCVES_U">#REF!</definedName>
    <definedName name="KCVP_C">#REF!</definedName>
    <definedName name="KCVP_U">#REF!</definedName>
    <definedName name="kib">#REF!</definedName>
    <definedName name="KPROSV_C">#REF!</definedName>
    <definedName name="KPROSV_U">#REF!</definedName>
    <definedName name="KRER_C">#REF!</definedName>
    <definedName name="KRER_U">#REF!</definedName>
    <definedName name="KSEPTTC_C">#REF!</definedName>
    <definedName name="KSEPTTC_U">#REF!</definedName>
    <definedName name="KTC_C">#REF!</definedName>
    <definedName name="KTC_U">#REF!</definedName>
    <definedName name="KTR_C">#REF!</definedName>
    <definedName name="KTR_U">#REF!</definedName>
    <definedName name="KTTC_C">#REF!</definedName>
    <definedName name="KTTC_U">#REF!</definedName>
    <definedName name="KTTR_C">#REF!</definedName>
    <definedName name="KTTR_U">#REF!</definedName>
    <definedName name="KXS_C">#REF!</definedName>
    <definedName name="KXS_U">#REF!</definedName>
    <definedName name="KXT_C">#REF!</definedName>
    <definedName name="KXT_U">#REF!</definedName>
    <definedName name="KZS_C">#REF!</definedName>
    <definedName name="KZS_U">#REF!</definedName>
    <definedName name="latent">'[6]steam table'!$N$5:$Q$102</definedName>
    <definedName name="Matl">[4]Sheet1!$L$4</definedName>
    <definedName name="Matl_markup">#REF!</definedName>
    <definedName name="needle">#REF!</definedName>
    <definedName name="NIPP">#REF!</definedName>
    <definedName name="PA" localSheetId="20" hidden="1">{#N/A,#N/A,TRUE,"FIELDOFF";#N/A,#N/A,TRUE,"SCAFF";#N/A,#N/A,TRUE,"CONSTEQP";#N/A,#N/A,TRUE,"FUELUBE";#N/A,#N/A,TRUE,"CONSUME";#N/A,#N/A,TRUE,"FIELDEXP";#N/A,#N/A,TRUE,"MANPLAN";#N/A,#N/A,TRUE,"EQPLAN"}</definedName>
    <definedName name="PA" localSheetId="1" hidden="1">{#N/A,#N/A,TRUE,"FIELDOFF";#N/A,#N/A,TRUE,"SCAFF";#N/A,#N/A,TRUE,"CONSTEQP";#N/A,#N/A,TRUE,"FUELUBE";#N/A,#N/A,TRUE,"CONSUME";#N/A,#N/A,TRUE,"FIELDEXP";#N/A,#N/A,TRUE,"MANPLAN";#N/A,#N/A,TRUE,"EQPLAN"}</definedName>
    <definedName name="PA" localSheetId="22" hidden="1">{#N/A,#N/A,TRUE,"FIELDOFF";#N/A,#N/A,TRUE,"SCAFF";#N/A,#N/A,TRUE,"CONSTEQP";#N/A,#N/A,TRUE,"FUELUBE";#N/A,#N/A,TRUE,"CONSUME";#N/A,#N/A,TRUE,"FIELDEXP";#N/A,#N/A,TRUE,"MANPLAN";#N/A,#N/A,TRUE,"EQPLAN"}</definedName>
    <definedName name="PA" localSheetId="23" hidden="1">{#N/A,#N/A,TRUE,"FIELDOFF";#N/A,#N/A,TRUE,"SCAFF";#N/A,#N/A,TRUE,"CONSTEQP";#N/A,#N/A,TRUE,"FUELUBE";#N/A,#N/A,TRUE,"CONSUME";#N/A,#N/A,TRUE,"FIELDEXP";#N/A,#N/A,TRUE,"MANPLAN";#N/A,#N/A,TRUE,"EQPLAN"}</definedName>
    <definedName name="PA" localSheetId="25" hidden="1">{#N/A,#N/A,TRUE,"FIELDOFF";#N/A,#N/A,TRUE,"SCAFF";#N/A,#N/A,TRUE,"CONSTEQP";#N/A,#N/A,TRUE,"FUELUBE";#N/A,#N/A,TRUE,"CONSUME";#N/A,#N/A,TRUE,"FIELDEXP";#N/A,#N/A,TRUE,"MANPLAN";#N/A,#N/A,TRUE,"EQPLAN"}</definedName>
    <definedName name="PA" localSheetId="27" hidden="1">{#N/A,#N/A,TRUE,"FIELDOFF";#N/A,#N/A,TRUE,"SCAFF";#N/A,#N/A,TRUE,"CONSTEQP";#N/A,#N/A,TRUE,"FUELUBE";#N/A,#N/A,TRUE,"CONSUME";#N/A,#N/A,TRUE,"FIELDEXP";#N/A,#N/A,TRUE,"MANPLAN";#N/A,#N/A,TRUE,"EQPLAN"}</definedName>
    <definedName name="PA" localSheetId="30" hidden="1">{#N/A,#N/A,TRUE,"FIELDOFF";#N/A,#N/A,TRUE,"SCAFF";#N/A,#N/A,TRUE,"CONSTEQP";#N/A,#N/A,TRUE,"FUELUBE";#N/A,#N/A,TRUE,"CONSUME";#N/A,#N/A,TRUE,"FIELDEXP";#N/A,#N/A,TRUE,"MANPLAN";#N/A,#N/A,TRUE,"EQPLAN"}</definedName>
    <definedName name="PA" localSheetId="4" hidden="1">{#N/A,#N/A,TRUE,"FIELDOFF";#N/A,#N/A,TRUE,"SCAFF";#N/A,#N/A,TRUE,"CONSTEQP";#N/A,#N/A,TRUE,"FUELUBE";#N/A,#N/A,TRUE,"CONSUME";#N/A,#N/A,TRUE,"FIELDEXP";#N/A,#N/A,TRUE,"MANPLAN";#N/A,#N/A,TRUE,"EQPLAN"}</definedName>
    <definedName name="PA" localSheetId="35" hidden="1">{#N/A,#N/A,TRUE,"FIELDOFF";#N/A,#N/A,TRUE,"SCAFF";#N/A,#N/A,TRUE,"CONSTEQP";#N/A,#N/A,TRUE,"FUELUBE";#N/A,#N/A,TRUE,"CONSUME";#N/A,#N/A,TRUE,"FIELDEXP";#N/A,#N/A,TRUE,"MANPLAN";#N/A,#N/A,TRUE,"EQPLAN"}</definedName>
    <definedName name="PA" localSheetId="5" hidden="1">{#N/A,#N/A,TRUE,"FIELDOFF";#N/A,#N/A,TRUE,"SCAFF";#N/A,#N/A,TRUE,"CONSTEQP";#N/A,#N/A,TRUE,"FUELUBE";#N/A,#N/A,TRUE,"CONSUME";#N/A,#N/A,TRUE,"FIELDEXP";#N/A,#N/A,TRUE,"MANPLAN";#N/A,#N/A,TRUE,"EQPLAN"}</definedName>
    <definedName name="PA" localSheetId="7" hidden="1">{#N/A,#N/A,TRUE,"FIELDOFF";#N/A,#N/A,TRUE,"SCAFF";#N/A,#N/A,TRUE,"CONSTEQP";#N/A,#N/A,TRUE,"FUELUBE";#N/A,#N/A,TRUE,"CONSUME";#N/A,#N/A,TRUE,"FIELDEXP";#N/A,#N/A,TRUE,"MANPLAN";#N/A,#N/A,TRUE,"EQPLAN"}</definedName>
    <definedName name="PA" localSheetId="9" hidden="1">{#N/A,#N/A,TRUE,"FIELDOFF";#N/A,#N/A,TRUE,"SCAFF";#N/A,#N/A,TRUE,"CONSTEQP";#N/A,#N/A,TRUE,"FUELUBE";#N/A,#N/A,TRUE,"CONSUME";#N/A,#N/A,TRUE,"FIELDEXP";#N/A,#N/A,TRUE,"MANPLAN";#N/A,#N/A,TRUE,"EQPLAN"}</definedName>
    <definedName name="PA" localSheetId="13" hidden="1">{#N/A,#N/A,TRUE,"FIELDOFF";#N/A,#N/A,TRUE,"SCAFF";#N/A,#N/A,TRUE,"CONSTEQP";#N/A,#N/A,TRUE,"FUELUBE";#N/A,#N/A,TRUE,"CONSUME";#N/A,#N/A,TRUE,"FIELDEXP";#N/A,#N/A,TRUE,"MANPLAN";#N/A,#N/A,TRUE,"EQPLAN"}</definedName>
    <definedName name="PA" localSheetId="14" hidden="1">{#N/A,#N/A,TRUE,"FIELDOFF";#N/A,#N/A,TRUE,"SCAFF";#N/A,#N/A,TRUE,"CONSTEQP";#N/A,#N/A,TRUE,"FUELUBE";#N/A,#N/A,TRUE,"CONSUME";#N/A,#N/A,TRUE,"FIELDEXP";#N/A,#N/A,TRUE,"MANPLAN";#N/A,#N/A,TRUE,"EQPLAN"}</definedName>
    <definedName name="PA" localSheetId="15" hidden="1">{#N/A,#N/A,TRUE,"FIELDOFF";#N/A,#N/A,TRUE,"SCAFF";#N/A,#N/A,TRUE,"CONSTEQP";#N/A,#N/A,TRUE,"FUELUBE";#N/A,#N/A,TRUE,"CONSUME";#N/A,#N/A,TRUE,"FIELDEXP";#N/A,#N/A,TRUE,"MANPLAN";#N/A,#N/A,TRUE,"EQPLAN"}</definedName>
    <definedName name="PA" localSheetId="16" hidden="1">{#N/A,#N/A,TRUE,"FIELDOFF";#N/A,#N/A,TRUE,"SCAFF";#N/A,#N/A,TRUE,"CONSTEQP";#N/A,#N/A,TRUE,"FUELUBE";#N/A,#N/A,TRUE,"CONSUME";#N/A,#N/A,TRUE,"FIELDEXP";#N/A,#N/A,TRUE,"MANPLAN";#N/A,#N/A,TRUE,"EQPLAN"}</definedName>
    <definedName name="PA" localSheetId="18" hidden="1">{#N/A,#N/A,TRUE,"FIELDOFF";#N/A,#N/A,TRUE,"SCAFF";#N/A,#N/A,TRUE,"CONSTEQP";#N/A,#N/A,TRUE,"FUELUBE";#N/A,#N/A,TRUE,"CONSUME";#N/A,#N/A,TRUE,"FIELDEXP";#N/A,#N/A,TRUE,"MANPLAN";#N/A,#N/A,TRUE,"EQPLAN"}</definedName>
    <definedName name="PA" hidden="1">{#N/A,#N/A,TRUE,"FIELDOFF";#N/A,#N/A,TRUE,"SCAFF";#N/A,#N/A,TRUE,"CONSTEQP";#N/A,#N/A,TRUE,"FUELUBE";#N/A,#N/A,TRUE,"CONSUME";#N/A,#N/A,TRUE,"FIELDEXP";#N/A,#N/A,TRUE,"MANPLAN";#N/A,#N/A,TRUE,"EQPLAN"}</definedName>
    <definedName name="PIPE">#REF!</definedName>
    <definedName name="PLUG">#REF!</definedName>
    <definedName name="pound">#REF!</definedName>
    <definedName name="_xlnm.Print_Area" localSheetId="20">'1000A'!$A$1:$K$40</definedName>
    <definedName name="_xlnm.Print_Area" localSheetId="1">'100A'!$A$1:$K$40</definedName>
    <definedName name="_xlnm.Print_Area" localSheetId="22">'1100A'!$A$1:$K$40</definedName>
    <definedName name="_xlnm.Print_Area" localSheetId="23">'1200A'!$A$1:$K$40</definedName>
    <definedName name="_xlnm.Print_Area" localSheetId="25">'1400A'!$A$1:$K$40</definedName>
    <definedName name="_xlnm.Print_Area" localSheetId="27">'1600A'!$A$1:$K$43</definedName>
    <definedName name="_xlnm.Print_Area" localSheetId="30">'1800A'!$A$1:$K$43</definedName>
    <definedName name="_xlnm.Print_Area" localSheetId="31">'1900A'!$A$1:$K$43</definedName>
    <definedName name="_xlnm.Print_Area" localSheetId="33">'2000A'!$A$1:$K$43</definedName>
    <definedName name="_xlnm.Print_Area" localSheetId="4">'200A'!$A$1:$K$40</definedName>
    <definedName name="_xlnm.Print_Area" localSheetId="35">'2250A'!$A$1:$K$43</definedName>
    <definedName name="_xlnm.Print_Area" localSheetId="5">'250A'!$A$1:$K$40</definedName>
    <definedName name="_xlnm.Print_Area" localSheetId="7">'350A'!$A$1:$K$40</definedName>
    <definedName name="_xlnm.Print_Area" localSheetId="9">'450A'!$A$1:$K$40</definedName>
    <definedName name="_xlnm.Print_Area" localSheetId="13">'650A'!$A$1:$K$40</definedName>
    <definedName name="_xlnm.Print_Area" localSheetId="14">'700A'!$A$1:$K$40</definedName>
    <definedName name="_xlnm.Print_Area" localSheetId="15">'750A'!$A$1:$K$40</definedName>
    <definedName name="_xlnm.Print_Area" localSheetId="16">'800A'!$A$1:$K$40</definedName>
    <definedName name="_xlnm.Print_Area" localSheetId="18">'900A'!$A$1:$K$40</definedName>
    <definedName name="_xlnm.Print_Area" localSheetId="0">원가!$A$1:$L$39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Q">'[7]Mech CIF'!#REF!</definedName>
    <definedName name="RE_SIZE">#REF!</definedName>
    <definedName name="RED">#REF!</definedName>
    <definedName name="sal">#REF!</definedName>
    <definedName name="SIZE">#REF!</definedName>
    <definedName name="SIZEC">#REF!</definedName>
    <definedName name="SOL">#REF!</definedName>
    <definedName name="SS">#REF!</definedName>
    <definedName name="SS_DB">#REF!</definedName>
    <definedName name="steam_trap">#REF!</definedName>
    <definedName name="TEE">#REF!</definedName>
    <definedName name="temp">#REF!</definedName>
    <definedName name="temp_strainer">#REF!</definedName>
    <definedName name="test1">'[8]steam table'!$N$5:$Q$102</definedName>
    <definedName name="THK">#REF!</definedName>
    <definedName name="Thrd">[4]Sheet1!#REF!</definedName>
    <definedName name="Thrd_DB">#REF!</definedName>
    <definedName name="TOL">#REF!</definedName>
    <definedName name="TRD">#REF!</definedName>
    <definedName name="ttt">#REF!</definedName>
    <definedName name="tube_test_press1_12">#REF!</definedName>
    <definedName name="UNION">#REF!</definedName>
    <definedName name="Vendor">'[9]w''t table'!$AE$2:$AF$5</definedName>
    <definedName name="WOL">#REF!</definedName>
    <definedName name="wrn.BIDSUM." localSheetId="20" hidden="1">{#N/A,#N/A,TRUE,"SUMMARY";#N/A,#N/A,TRUE,"ISBL";#N/A,#N/A,TRUE,"OSBL";#N/A,#N/A,TRUE,"OFFSITE";#N/A,#N/A,TRUE,"STEAM"}</definedName>
    <definedName name="wrn.BIDSUM." localSheetId="1" hidden="1">{#N/A,#N/A,TRUE,"SUMMARY";#N/A,#N/A,TRUE,"ISBL";#N/A,#N/A,TRUE,"OSBL";#N/A,#N/A,TRUE,"OFFSITE";#N/A,#N/A,TRUE,"STEAM"}</definedName>
    <definedName name="wrn.BIDSUM." localSheetId="22" hidden="1">{#N/A,#N/A,TRUE,"SUMMARY";#N/A,#N/A,TRUE,"ISBL";#N/A,#N/A,TRUE,"OSBL";#N/A,#N/A,TRUE,"OFFSITE";#N/A,#N/A,TRUE,"STEAM"}</definedName>
    <definedName name="wrn.BIDSUM." localSheetId="23" hidden="1">{#N/A,#N/A,TRUE,"SUMMARY";#N/A,#N/A,TRUE,"ISBL";#N/A,#N/A,TRUE,"OSBL";#N/A,#N/A,TRUE,"OFFSITE";#N/A,#N/A,TRUE,"STEAM"}</definedName>
    <definedName name="wrn.BIDSUM." localSheetId="25" hidden="1">{#N/A,#N/A,TRUE,"SUMMARY";#N/A,#N/A,TRUE,"ISBL";#N/A,#N/A,TRUE,"OSBL";#N/A,#N/A,TRUE,"OFFSITE";#N/A,#N/A,TRUE,"STEAM"}</definedName>
    <definedName name="wrn.BIDSUM." localSheetId="27" hidden="1">{#N/A,#N/A,TRUE,"SUMMARY";#N/A,#N/A,TRUE,"ISBL";#N/A,#N/A,TRUE,"OSBL";#N/A,#N/A,TRUE,"OFFSITE";#N/A,#N/A,TRUE,"STEAM"}</definedName>
    <definedName name="wrn.BIDSUM." localSheetId="30" hidden="1">{#N/A,#N/A,TRUE,"SUMMARY";#N/A,#N/A,TRUE,"ISBL";#N/A,#N/A,TRUE,"OSBL";#N/A,#N/A,TRUE,"OFFSITE";#N/A,#N/A,TRUE,"STEAM"}</definedName>
    <definedName name="wrn.BIDSUM." localSheetId="4" hidden="1">{#N/A,#N/A,TRUE,"SUMMARY";#N/A,#N/A,TRUE,"ISBL";#N/A,#N/A,TRUE,"OSBL";#N/A,#N/A,TRUE,"OFFSITE";#N/A,#N/A,TRUE,"STEAM"}</definedName>
    <definedName name="wrn.BIDSUM." localSheetId="35" hidden="1">{#N/A,#N/A,TRUE,"SUMMARY";#N/A,#N/A,TRUE,"ISBL";#N/A,#N/A,TRUE,"OSBL";#N/A,#N/A,TRUE,"OFFSITE";#N/A,#N/A,TRUE,"STEAM"}</definedName>
    <definedName name="wrn.BIDSUM." localSheetId="5" hidden="1">{#N/A,#N/A,TRUE,"SUMMARY";#N/A,#N/A,TRUE,"ISBL";#N/A,#N/A,TRUE,"OSBL";#N/A,#N/A,TRUE,"OFFSITE";#N/A,#N/A,TRUE,"STEAM"}</definedName>
    <definedName name="wrn.BIDSUM." localSheetId="7" hidden="1">{#N/A,#N/A,TRUE,"SUMMARY";#N/A,#N/A,TRUE,"ISBL";#N/A,#N/A,TRUE,"OSBL";#N/A,#N/A,TRUE,"OFFSITE";#N/A,#N/A,TRUE,"STEAM"}</definedName>
    <definedName name="wrn.BIDSUM." localSheetId="9" hidden="1">{#N/A,#N/A,TRUE,"SUMMARY";#N/A,#N/A,TRUE,"ISBL";#N/A,#N/A,TRUE,"OSBL";#N/A,#N/A,TRUE,"OFFSITE";#N/A,#N/A,TRUE,"STEAM"}</definedName>
    <definedName name="wrn.BIDSUM." localSheetId="13" hidden="1">{#N/A,#N/A,TRUE,"SUMMARY";#N/A,#N/A,TRUE,"ISBL";#N/A,#N/A,TRUE,"OSBL";#N/A,#N/A,TRUE,"OFFSITE";#N/A,#N/A,TRUE,"STEAM"}</definedName>
    <definedName name="wrn.BIDSUM." localSheetId="14" hidden="1">{#N/A,#N/A,TRUE,"SUMMARY";#N/A,#N/A,TRUE,"ISBL";#N/A,#N/A,TRUE,"OSBL";#N/A,#N/A,TRUE,"OFFSITE";#N/A,#N/A,TRUE,"STEAM"}</definedName>
    <definedName name="wrn.BIDSUM." localSheetId="15" hidden="1">{#N/A,#N/A,TRUE,"SUMMARY";#N/A,#N/A,TRUE,"ISBL";#N/A,#N/A,TRUE,"OSBL";#N/A,#N/A,TRUE,"OFFSITE";#N/A,#N/A,TRUE,"STEAM"}</definedName>
    <definedName name="wrn.BIDSUM." localSheetId="16" hidden="1">{#N/A,#N/A,TRUE,"SUMMARY";#N/A,#N/A,TRUE,"ISBL";#N/A,#N/A,TRUE,"OSBL";#N/A,#N/A,TRUE,"OFFSITE";#N/A,#N/A,TRUE,"STEAM"}</definedName>
    <definedName name="wrn.BIDSUM." localSheetId="18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DIRLABR." localSheetId="20" hidden="1">{#N/A,#N/A,TRUE,"CS&amp;SS(AG)";#N/A,#N/A,TRUE,"CS(UG)";#N/A,#N/A,TRUE,"CSCL(UG)";#N/A,#N/A,TRUE,"KYNAR";#N/A,#N/A,TRUE,"ALLOY904";#N/A,#N/A,TRUE,"TITANIUM";#N/A,#N/A,TRUE,"STMTRACE"}</definedName>
    <definedName name="wrn.DIRLABR." localSheetId="1" hidden="1">{#N/A,#N/A,TRUE,"CS&amp;SS(AG)";#N/A,#N/A,TRUE,"CS(UG)";#N/A,#N/A,TRUE,"CSCL(UG)";#N/A,#N/A,TRUE,"KYNAR";#N/A,#N/A,TRUE,"ALLOY904";#N/A,#N/A,TRUE,"TITANIUM";#N/A,#N/A,TRUE,"STMTRACE"}</definedName>
    <definedName name="wrn.DIRLABR." localSheetId="22" hidden="1">{#N/A,#N/A,TRUE,"CS&amp;SS(AG)";#N/A,#N/A,TRUE,"CS(UG)";#N/A,#N/A,TRUE,"CSCL(UG)";#N/A,#N/A,TRUE,"KYNAR";#N/A,#N/A,TRUE,"ALLOY904";#N/A,#N/A,TRUE,"TITANIUM";#N/A,#N/A,TRUE,"STMTRACE"}</definedName>
    <definedName name="wrn.DIRLABR." localSheetId="23" hidden="1">{#N/A,#N/A,TRUE,"CS&amp;SS(AG)";#N/A,#N/A,TRUE,"CS(UG)";#N/A,#N/A,TRUE,"CSCL(UG)";#N/A,#N/A,TRUE,"KYNAR";#N/A,#N/A,TRUE,"ALLOY904";#N/A,#N/A,TRUE,"TITANIUM";#N/A,#N/A,TRUE,"STMTRACE"}</definedName>
    <definedName name="wrn.DIRLABR." localSheetId="25" hidden="1">{#N/A,#N/A,TRUE,"CS&amp;SS(AG)";#N/A,#N/A,TRUE,"CS(UG)";#N/A,#N/A,TRUE,"CSCL(UG)";#N/A,#N/A,TRUE,"KYNAR";#N/A,#N/A,TRUE,"ALLOY904";#N/A,#N/A,TRUE,"TITANIUM";#N/A,#N/A,TRUE,"STMTRACE"}</definedName>
    <definedName name="wrn.DIRLABR." localSheetId="27" hidden="1">{#N/A,#N/A,TRUE,"CS&amp;SS(AG)";#N/A,#N/A,TRUE,"CS(UG)";#N/A,#N/A,TRUE,"CSCL(UG)";#N/A,#N/A,TRUE,"KYNAR";#N/A,#N/A,TRUE,"ALLOY904";#N/A,#N/A,TRUE,"TITANIUM";#N/A,#N/A,TRUE,"STMTRACE"}</definedName>
    <definedName name="wrn.DIRLABR." localSheetId="30" hidden="1">{#N/A,#N/A,TRUE,"CS&amp;SS(AG)";#N/A,#N/A,TRUE,"CS(UG)";#N/A,#N/A,TRUE,"CSCL(UG)";#N/A,#N/A,TRUE,"KYNAR";#N/A,#N/A,TRUE,"ALLOY904";#N/A,#N/A,TRUE,"TITANIUM";#N/A,#N/A,TRUE,"STMTRACE"}</definedName>
    <definedName name="wrn.DIRLABR." localSheetId="4" hidden="1">{#N/A,#N/A,TRUE,"CS&amp;SS(AG)";#N/A,#N/A,TRUE,"CS(UG)";#N/A,#N/A,TRUE,"CSCL(UG)";#N/A,#N/A,TRUE,"KYNAR";#N/A,#N/A,TRUE,"ALLOY904";#N/A,#N/A,TRUE,"TITANIUM";#N/A,#N/A,TRUE,"STMTRACE"}</definedName>
    <definedName name="wrn.DIRLABR." localSheetId="35" hidden="1">{#N/A,#N/A,TRUE,"CS&amp;SS(AG)";#N/A,#N/A,TRUE,"CS(UG)";#N/A,#N/A,TRUE,"CSCL(UG)";#N/A,#N/A,TRUE,"KYNAR";#N/A,#N/A,TRUE,"ALLOY904";#N/A,#N/A,TRUE,"TITANIUM";#N/A,#N/A,TRUE,"STMTRACE"}</definedName>
    <definedName name="wrn.DIRLABR." localSheetId="5" hidden="1">{#N/A,#N/A,TRUE,"CS&amp;SS(AG)";#N/A,#N/A,TRUE,"CS(UG)";#N/A,#N/A,TRUE,"CSCL(UG)";#N/A,#N/A,TRUE,"KYNAR";#N/A,#N/A,TRUE,"ALLOY904";#N/A,#N/A,TRUE,"TITANIUM";#N/A,#N/A,TRUE,"STMTRACE"}</definedName>
    <definedName name="wrn.DIRLABR." localSheetId="7" hidden="1">{#N/A,#N/A,TRUE,"CS&amp;SS(AG)";#N/A,#N/A,TRUE,"CS(UG)";#N/A,#N/A,TRUE,"CSCL(UG)";#N/A,#N/A,TRUE,"KYNAR";#N/A,#N/A,TRUE,"ALLOY904";#N/A,#N/A,TRUE,"TITANIUM";#N/A,#N/A,TRUE,"STMTRACE"}</definedName>
    <definedName name="wrn.DIRLABR." localSheetId="9" hidden="1">{#N/A,#N/A,TRUE,"CS&amp;SS(AG)";#N/A,#N/A,TRUE,"CS(UG)";#N/A,#N/A,TRUE,"CSCL(UG)";#N/A,#N/A,TRUE,"KYNAR";#N/A,#N/A,TRUE,"ALLOY904";#N/A,#N/A,TRUE,"TITANIUM";#N/A,#N/A,TRUE,"STMTRACE"}</definedName>
    <definedName name="wrn.DIRLABR." localSheetId="13" hidden="1">{#N/A,#N/A,TRUE,"CS&amp;SS(AG)";#N/A,#N/A,TRUE,"CS(UG)";#N/A,#N/A,TRUE,"CSCL(UG)";#N/A,#N/A,TRUE,"KYNAR";#N/A,#N/A,TRUE,"ALLOY904";#N/A,#N/A,TRUE,"TITANIUM";#N/A,#N/A,TRUE,"STMTRACE"}</definedName>
    <definedName name="wrn.DIRLABR." localSheetId="14" hidden="1">{#N/A,#N/A,TRUE,"CS&amp;SS(AG)";#N/A,#N/A,TRUE,"CS(UG)";#N/A,#N/A,TRUE,"CSCL(UG)";#N/A,#N/A,TRUE,"KYNAR";#N/A,#N/A,TRUE,"ALLOY904";#N/A,#N/A,TRUE,"TITANIUM";#N/A,#N/A,TRUE,"STMTRACE"}</definedName>
    <definedName name="wrn.DIRLABR." localSheetId="15" hidden="1">{#N/A,#N/A,TRUE,"CS&amp;SS(AG)";#N/A,#N/A,TRUE,"CS(UG)";#N/A,#N/A,TRUE,"CSCL(UG)";#N/A,#N/A,TRUE,"KYNAR";#N/A,#N/A,TRUE,"ALLOY904";#N/A,#N/A,TRUE,"TITANIUM";#N/A,#N/A,TRUE,"STMTRACE"}</definedName>
    <definedName name="wrn.DIRLABR." localSheetId="16" hidden="1">{#N/A,#N/A,TRUE,"CS&amp;SS(AG)";#N/A,#N/A,TRUE,"CS(UG)";#N/A,#N/A,TRUE,"CSCL(UG)";#N/A,#N/A,TRUE,"KYNAR";#N/A,#N/A,TRUE,"ALLOY904";#N/A,#N/A,TRUE,"TITANIUM";#N/A,#N/A,TRUE,"STMTRACE"}</definedName>
    <definedName name="wrn.DIRLABR." localSheetId="18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INDIRCOS." localSheetId="20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22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23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25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27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30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4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35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5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7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9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3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4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5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6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8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w" localSheetId="20" hidden="1">{#N/A,#N/A,TRUE,"SUMMARY";#N/A,#N/A,TRUE,"ISBL";#N/A,#N/A,TRUE,"OSBL";#N/A,#N/A,TRUE,"OFFSITE";#N/A,#N/A,TRUE,"STEAM"}</definedName>
    <definedName name="ww" localSheetId="1" hidden="1">{#N/A,#N/A,TRUE,"SUMMARY";#N/A,#N/A,TRUE,"ISBL";#N/A,#N/A,TRUE,"OSBL";#N/A,#N/A,TRUE,"OFFSITE";#N/A,#N/A,TRUE,"STEAM"}</definedName>
    <definedName name="ww" localSheetId="22" hidden="1">{#N/A,#N/A,TRUE,"SUMMARY";#N/A,#N/A,TRUE,"ISBL";#N/A,#N/A,TRUE,"OSBL";#N/A,#N/A,TRUE,"OFFSITE";#N/A,#N/A,TRUE,"STEAM"}</definedName>
    <definedName name="ww" localSheetId="23" hidden="1">{#N/A,#N/A,TRUE,"SUMMARY";#N/A,#N/A,TRUE,"ISBL";#N/A,#N/A,TRUE,"OSBL";#N/A,#N/A,TRUE,"OFFSITE";#N/A,#N/A,TRUE,"STEAM"}</definedName>
    <definedName name="ww" localSheetId="25" hidden="1">{#N/A,#N/A,TRUE,"SUMMARY";#N/A,#N/A,TRUE,"ISBL";#N/A,#N/A,TRUE,"OSBL";#N/A,#N/A,TRUE,"OFFSITE";#N/A,#N/A,TRUE,"STEAM"}</definedName>
    <definedName name="ww" localSheetId="27" hidden="1">{#N/A,#N/A,TRUE,"SUMMARY";#N/A,#N/A,TRUE,"ISBL";#N/A,#N/A,TRUE,"OSBL";#N/A,#N/A,TRUE,"OFFSITE";#N/A,#N/A,TRUE,"STEAM"}</definedName>
    <definedName name="ww" localSheetId="30" hidden="1">{#N/A,#N/A,TRUE,"SUMMARY";#N/A,#N/A,TRUE,"ISBL";#N/A,#N/A,TRUE,"OSBL";#N/A,#N/A,TRUE,"OFFSITE";#N/A,#N/A,TRUE,"STEAM"}</definedName>
    <definedName name="ww" localSheetId="4" hidden="1">{#N/A,#N/A,TRUE,"SUMMARY";#N/A,#N/A,TRUE,"ISBL";#N/A,#N/A,TRUE,"OSBL";#N/A,#N/A,TRUE,"OFFSITE";#N/A,#N/A,TRUE,"STEAM"}</definedName>
    <definedName name="ww" localSheetId="35" hidden="1">{#N/A,#N/A,TRUE,"SUMMARY";#N/A,#N/A,TRUE,"ISBL";#N/A,#N/A,TRUE,"OSBL";#N/A,#N/A,TRUE,"OFFSITE";#N/A,#N/A,TRUE,"STEAM"}</definedName>
    <definedName name="ww" localSheetId="5" hidden="1">{#N/A,#N/A,TRUE,"SUMMARY";#N/A,#N/A,TRUE,"ISBL";#N/A,#N/A,TRUE,"OSBL";#N/A,#N/A,TRUE,"OFFSITE";#N/A,#N/A,TRUE,"STEAM"}</definedName>
    <definedName name="ww" localSheetId="7" hidden="1">{#N/A,#N/A,TRUE,"SUMMARY";#N/A,#N/A,TRUE,"ISBL";#N/A,#N/A,TRUE,"OSBL";#N/A,#N/A,TRUE,"OFFSITE";#N/A,#N/A,TRUE,"STEAM"}</definedName>
    <definedName name="ww" localSheetId="9" hidden="1">{#N/A,#N/A,TRUE,"SUMMARY";#N/A,#N/A,TRUE,"ISBL";#N/A,#N/A,TRUE,"OSBL";#N/A,#N/A,TRUE,"OFFSITE";#N/A,#N/A,TRUE,"STEAM"}</definedName>
    <definedName name="ww" localSheetId="13" hidden="1">{#N/A,#N/A,TRUE,"SUMMARY";#N/A,#N/A,TRUE,"ISBL";#N/A,#N/A,TRUE,"OSBL";#N/A,#N/A,TRUE,"OFFSITE";#N/A,#N/A,TRUE,"STEAM"}</definedName>
    <definedName name="ww" localSheetId="14" hidden="1">{#N/A,#N/A,TRUE,"SUMMARY";#N/A,#N/A,TRUE,"ISBL";#N/A,#N/A,TRUE,"OSBL";#N/A,#N/A,TRUE,"OFFSITE";#N/A,#N/A,TRUE,"STEAM"}</definedName>
    <definedName name="ww" localSheetId="15" hidden="1">{#N/A,#N/A,TRUE,"SUMMARY";#N/A,#N/A,TRUE,"ISBL";#N/A,#N/A,TRUE,"OSBL";#N/A,#N/A,TRUE,"OFFSITE";#N/A,#N/A,TRUE,"STEAM"}</definedName>
    <definedName name="ww" localSheetId="16" hidden="1">{#N/A,#N/A,TRUE,"SUMMARY";#N/A,#N/A,TRUE,"ISBL";#N/A,#N/A,TRUE,"OSBL";#N/A,#N/A,TRUE,"OFFSITE";#N/A,#N/A,TRUE,"STEAM"}</definedName>
    <definedName name="ww" localSheetId="18" hidden="1">{#N/A,#N/A,TRUE,"SUMMARY";#N/A,#N/A,TRUE,"ISBL";#N/A,#N/A,TRUE,"OSBL";#N/A,#N/A,TRUE,"OFFSITE";#N/A,#N/A,TRUE,"STEAM"}</definedName>
    <definedName name="ww" hidden="1">{#N/A,#N/A,TRUE,"SUMMARY";#N/A,#N/A,TRUE,"ISBL";#N/A,#N/A,TRUE,"OSBL";#N/A,#N/A,TRUE,"OFFSITE";#N/A,#N/A,TRUE,"STEAM"}</definedName>
    <definedName name="y_strainer">#REF!</definedName>
  </definedNames>
  <calcPr calcId="145621"/>
</workbook>
</file>

<file path=xl/calcChain.xml><?xml version="1.0" encoding="utf-8"?>
<calcChain xmlns="http://schemas.openxmlformats.org/spreadsheetml/2006/main">
  <c r="H10" i="65" l="1"/>
  <c r="C26" i="67" l="1"/>
  <c r="I24" i="50" l="1"/>
  <c r="I27" i="7"/>
  <c r="I27" i="58"/>
  <c r="I27" i="50"/>
  <c r="I27" i="4"/>
  <c r="I27" i="21"/>
  <c r="I27" i="52"/>
  <c r="I27" i="26"/>
  <c r="I27" i="53"/>
  <c r="I27" i="8"/>
  <c r="I27" i="54"/>
  <c r="I27" i="56"/>
  <c r="I27" i="55"/>
  <c r="I27" i="30"/>
  <c r="I27" i="31"/>
  <c r="I27" i="10"/>
  <c r="I27" i="33"/>
  <c r="I27" i="57"/>
  <c r="I27" i="9"/>
  <c r="I27" i="59"/>
  <c r="I27" i="11"/>
  <c r="I27" i="60"/>
  <c r="I27" i="34"/>
  <c r="I27" i="13"/>
  <c r="L39" i="36"/>
  <c r="I14" i="6"/>
  <c r="K30" i="4"/>
  <c r="K29" i="4"/>
  <c r="C26" i="58"/>
  <c r="K26" i="58" s="1"/>
  <c r="K31" i="58" s="1"/>
  <c r="I39" i="58" s="1"/>
  <c r="K39" i="58" s="1"/>
  <c r="K40" i="58" s="1"/>
  <c r="C26" i="50"/>
  <c r="K26" i="50" s="1"/>
  <c r="K31" i="50" s="1"/>
  <c r="I39" i="50" s="1"/>
  <c r="K39" i="50" s="1"/>
  <c r="K40" i="50" s="1"/>
  <c r="C26" i="4"/>
  <c r="K26" i="4" s="1"/>
  <c r="K31" i="4" s="1"/>
  <c r="I39" i="4" s="1"/>
  <c r="K39" i="4" s="1"/>
  <c r="K40" i="4" s="1"/>
  <c r="C26" i="21"/>
  <c r="K26" i="21" s="1"/>
  <c r="K31" i="21" s="1"/>
  <c r="I39" i="21" s="1"/>
  <c r="K39" i="21" s="1"/>
  <c r="K40" i="21" s="1"/>
  <c r="C26" i="52"/>
  <c r="K26" i="52" s="1"/>
  <c r="K31" i="52" s="1"/>
  <c r="I39" i="52" s="1"/>
  <c r="K39" i="52" s="1"/>
  <c r="K40" i="52" s="1"/>
  <c r="C26" i="26"/>
  <c r="K26" i="26" s="1"/>
  <c r="K31" i="26" s="1"/>
  <c r="I39" i="26" s="1"/>
  <c r="K39" i="26" s="1"/>
  <c r="K40" i="26" s="1"/>
  <c r="C26" i="53"/>
  <c r="K26" i="53"/>
  <c r="C26" i="8"/>
  <c r="K26" i="8" s="1"/>
  <c r="K31" i="8" s="1"/>
  <c r="I39" i="8" s="1"/>
  <c r="K39" i="8" s="1"/>
  <c r="K40" i="8" s="1"/>
  <c r="C26" i="54"/>
  <c r="K26" i="54" s="1"/>
  <c r="K31" i="54" s="1"/>
  <c r="I39" i="54" s="1"/>
  <c r="K39" i="54" s="1"/>
  <c r="K40" i="54" s="1"/>
  <c r="C26" i="56"/>
  <c r="K26" i="56" s="1"/>
  <c r="K31" i="56" s="1"/>
  <c r="I39" i="56" s="1"/>
  <c r="K39" i="56" s="1"/>
  <c r="K40" i="56" s="1"/>
  <c r="C26" i="55"/>
  <c r="K26" i="55"/>
  <c r="C26" i="30"/>
  <c r="K26" i="30" s="1"/>
  <c r="C26" i="31"/>
  <c r="K26" i="31" s="1"/>
  <c r="K31" i="31" s="1"/>
  <c r="I39" i="31" s="1"/>
  <c r="K39" i="31" s="1"/>
  <c r="K40" i="31" s="1"/>
  <c r="C26" i="10"/>
  <c r="K26" i="10" s="1"/>
  <c r="K31" i="10" s="1"/>
  <c r="I39" i="10" s="1"/>
  <c r="K39" i="10" s="1"/>
  <c r="K40" i="10" s="1"/>
  <c r="C26" i="33"/>
  <c r="K26" i="33"/>
  <c r="C26" i="57"/>
  <c r="K26" i="57" s="1"/>
  <c r="C26" i="9"/>
  <c r="K26" i="9" s="1"/>
  <c r="C26" i="59"/>
  <c r="K26" i="59" s="1"/>
  <c r="K31" i="59" s="1"/>
  <c r="I39" i="59" s="1"/>
  <c r="K39" i="59" s="1"/>
  <c r="K40" i="59" s="1"/>
  <c r="C26" i="11"/>
  <c r="K26" i="11"/>
  <c r="C26" i="60"/>
  <c r="K26" i="60" s="1"/>
  <c r="K31" i="60" s="1"/>
  <c r="I39" i="60" s="1"/>
  <c r="K39" i="60" s="1"/>
  <c r="K40" i="60" s="1"/>
  <c r="C26" i="34"/>
  <c r="K26" i="34" s="1"/>
  <c r="K31" i="34" s="1"/>
  <c r="I39" i="34" s="1"/>
  <c r="K39" i="34" s="1"/>
  <c r="K40" i="34" s="1"/>
  <c r="C26" i="13"/>
  <c r="K26" i="13" s="1"/>
  <c r="C26" i="61"/>
  <c r="K26" i="61"/>
  <c r="K31" i="61" s="1"/>
  <c r="I39" i="61" s="1"/>
  <c r="K39" i="61" s="1"/>
  <c r="K40" i="61" s="1"/>
  <c r="C26" i="5"/>
  <c r="K26" i="5" s="1"/>
  <c r="K31" i="5" s="1"/>
  <c r="I39" i="5" s="1"/>
  <c r="K39" i="5" s="1"/>
  <c r="K40" i="5" s="1"/>
  <c r="C26" i="62"/>
  <c r="K26" i="62" s="1"/>
  <c r="K31" i="62" s="1"/>
  <c r="I39" i="62" s="1"/>
  <c r="K39" i="62" s="1"/>
  <c r="K40" i="62" s="1"/>
  <c r="C26" i="36"/>
  <c r="K26" i="36" s="1"/>
  <c r="K34" i="36" s="1"/>
  <c r="I42" i="36" s="1"/>
  <c r="K42" i="36" s="1"/>
  <c r="K43" i="36" s="1"/>
  <c r="C26" i="63"/>
  <c r="K26" i="63"/>
  <c r="C26" i="64"/>
  <c r="K26" i="64" s="1"/>
  <c r="K34" i="64" s="1"/>
  <c r="I42" i="64" s="1"/>
  <c r="K42" i="64" s="1"/>
  <c r="K43" i="64" s="1"/>
  <c r="C26" i="6"/>
  <c r="K26" i="6" s="1"/>
  <c r="C26" i="65"/>
  <c r="K26" i="65" s="1"/>
  <c r="C26" i="66"/>
  <c r="K26" i="66"/>
  <c r="K26" i="67"/>
  <c r="C26" i="68"/>
  <c r="K26" i="68"/>
  <c r="K34" i="68" s="1"/>
  <c r="I42" i="68" s="1"/>
  <c r="K42" i="68" s="1"/>
  <c r="K43" i="68" s="1"/>
  <c r="C26" i="37"/>
  <c r="K26" i="37" s="1"/>
  <c r="K34" i="37" s="1"/>
  <c r="I42" i="37" s="1"/>
  <c r="K42" i="37" s="1"/>
  <c r="K43" i="37" s="1"/>
  <c r="C26" i="70"/>
  <c r="K26" i="70"/>
  <c r="C26" i="69"/>
  <c r="K26" i="69" s="1"/>
  <c r="K34" i="69" s="1"/>
  <c r="I42" i="69" s="1"/>
  <c r="K42" i="69" s="1"/>
  <c r="K43" i="69" s="1"/>
  <c r="C26" i="7"/>
  <c r="K26" i="7"/>
  <c r="K31" i="7" s="1"/>
  <c r="I39" i="7" s="1"/>
  <c r="K39" i="7" s="1"/>
  <c r="K40" i="7" s="1"/>
  <c r="C23" i="58"/>
  <c r="C23" i="50"/>
  <c r="C23" i="4"/>
  <c r="C23" i="21"/>
  <c r="C23" i="52"/>
  <c r="C23" i="26"/>
  <c r="C23" i="53"/>
  <c r="C23" i="8"/>
  <c r="C23" i="54"/>
  <c r="C23" i="56"/>
  <c r="C23" i="55"/>
  <c r="C23" i="30"/>
  <c r="C23" i="31"/>
  <c r="C23" i="10"/>
  <c r="C23" i="33"/>
  <c r="C23" i="57"/>
  <c r="C23" i="9"/>
  <c r="C23" i="59"/>
  <c r="C23" i="11"/>
  <c r="C23" i="60"/>
  <c r="C23" i="34"/>
  <c r="C23" i="13"/>
  <c r="C23" i="61"/>
  <c r="C23" i="5"/>
  <c r="C23" i="62"/>
  <c r="C23" i="36"/>
  <c r="C23" i="63"/>
  <c r="C23" i="64"/>
  <c r="C23" i="6"/>
  <c r="C23" i="65"/>
  <c r="C23" i="66"/>
  <c r="C23" i="67"/>
  <c r="C23" i="68"/>
  <c r="C23" i="37"/>
  <c r="C23" i="70"/>
  <c r="C23" i="69"/>
  <c r="C23" i="7"/>
  <c r="C18" i="58"/>
  <c r="C18" i="50"/>
  <c r="C18" i="4"/>
  <c r="C18" i="21"/>
  <c r="C18" i="52"/>
  <c r="C18" i="26"/>
  <c r="C18" i="53"/>
  <c r="C18" i="8"/>
  <c r="C18" i="54"/>
  <c r="C18" i="56"/>
  <c r="C18" i="55"/>
  <c r="C18" i="30"/>
  <c r="C18" i="31"/>
  <c r="C18" i="10"/>
  <c r="C18" i="33"/>
  <c r="C18" i="57"/>
  <c r="C18" i="9"/>
  <c r="C18" i="59"/>
  <c r="C18" i="11"/>
  <c r="C18" i="60"/>
  <c r="C18" i="34"/>
  <c r="C18" i="13"/>
  <c r="C18" i="61"/>
  <c r="C18" i="5"/>
  <c r="C18" i="62"/>
  <c r="C18" i="36"/>
  <c r="C18" i="63"/>
  <c r="C18" i="64"/>
  <c r="C18" i="6"/>
  <c r="C18" i="65"/>
  <c r="C18" i="66"/>
  <c r="C18" i="67"/>
  <c r="C18" i="68"/>
  <c r="C18" i="37"/>
  <c r="C18" i="70"/>
  <c r="C18" i="69"/>
  <c r="C18" i="7"/>
  <c r="C16" i="58"/>
  <c r="C16" i="50"/>
  <c r="C16" i="4"/>
  <c r="C16" i="21"/>
  <c r="C16" i="52"/>
  <c r="C16" i="26"/>
  <c r="C16" i="53"/>
  <c r="C16" i="8"/>
  <c r="C16" i="54"/>
  <c r="C16" i="56"/>
  <c r="C16" i="55"/>
  <c r="C16" i="30"/>
  <c r="C16" i="31"/>
  <c r="C16" i="10"/>
  <c r="C16" i="33"/>
  <c r="C16" i="57"/>
  <c r="C16" i="9"/>
  <c r="C16" i="59"/>
  <c r="C16" i="11"/>
  <c r="C16" i="60"/>
  <c r="C16" i="34"/>
  <c r="C16" i="13"/>
  <c r="C16" i="61"/>
  <c r="C16" i="5"/>
  <c r="C16" i="62"/>
  <c r="C16" i="36"/>
  <c r="C16" i="63"/>
  <c r="C16" i="64"/>
  <c r="C16" i="6"/>
  <c r="C16" i="65"/>
  <c r="C16" i="66"/>
  <c r="C16" i="67"/>
  <c r="C16" i="68"/>
  <c r="C16" i="37"/>
  <c r="C16" i="70"/>
  <c r="C16" i="69"/>
  <c r="C16" i="7"/>
  <c r="C13" i="58"/>
  <c r="C13" i="50"/>
  <c r="C13" i="4"/>
  <c r="C13" i="21"/>
  <c r="C13" i="52"/>
  <c r="C13" i="26"/>
  <c r="C13" i="53"/>
  <c r="C13" i="8"/>
  <c r="C13" i="54"/>
  <c r="C13" i="56"/>
  <c r="C13" i="55"/>
  <c r="C13" i="30"/>
  <c r="C13" i="31"/>
  <c r="C13" i="10"/>
  <c r="C13" i="33"/>
  <c r="C13" i="57"/>
  <c r="C13" i="9"/>
  <c r="C13" i="59"/>
  <c r="C13" i="11"/>
  <c r="C13" i="60"/>
  <c r="C13" i="34"/>
  <c r="C13" i="13"/>
  <c r="C13" i="61"/>
  <c r="C13" i="5"/>
  <c r="C13" i="62"/>
  <c r="C13" i="36"/>
  <c r="C13" i="63"/>
  <c r="C13" i="64"/>
  <c r="C13" i="6"/>
  <c r="C13" i="65"/>
  <c r="C13" i="66"/>
  <c r="C13" i="67"/>
  <c r="C13" i="68"/>
  <c r="C13" i="37"/>
  <c r="C13" i="70"/>
  <c r="C13" i="69"/>
  <c r="C13" i="7"/>
  <c r="C12" i="58"/>
  <c r="C12" i="50"/>
  <c r="C12" i="4"/>
  <c r="C12" i="21"/>
  <c r="C12" i="52"/>
  <c r="C12" i="26"/>
  <c r="C12" i="53"/>
  <c r="C12" i="8"/>
  <c r="C12" i="54"/>
  <c r="C12" i="56"/>
  <c r="C12" i="55"/>
  <c r="C12" i="30"/>
  <c r="C12" i="31"/>
  <c r="C12" i="10"/>
  <c r="C12" i="33"/>
  <c r="C12" i="57"/>
  <c r="C12" i="9"/>
  <c r="C12" i="59"/>
  <c r="C12" i="11"/>
  <c r="C12" i="60"/>
  <c r="C12" i="34"/>
  <c r="C12" i="13"/>
  <c r="C12" i="61"/>
  <c r="C12" i="5"/>
  <c r="C12" i="62"/>
  <c r="C12" i="36"/>
  <c r="C12" i="63"/>
  <c r="C12" i="64"/>
  <c r="C12" i="6"/>
  <c r="C12" i="65"/>
  <c r="C12" i="66"/>
  <c r="C12" i="67"/>
  <c r="C12" i="68"/>
  <c r="C12" i="37"/>
  <c r="C12" i="70"/>
  <c r="C12" i="69"/>
  <c r="C12" i="7"/>
  <c r="C11" i="58"/>
  <c r="C11" i="50"/>
  <c r="C11" i="4"/>
  <c r="C11" i="21"/>
  <c r="C11" i="52"/>
  <c r="C11" i="26"/>
  <c r="C11" i="53"/>
  <c r="C11" i="8"/>
  <c r="C11" i="54"/>
  <c r="C11" i="56"/>
  <c r="C11" i="55"/>
  <c r="C11" i="30"/>
  <c r="C11" i="31"/>
  <c r="C11" i="10"/>
  <c r="C11" i="33"/>
  <c r="C11" i="57"/>
  <c r="C11" i="9"/>
  <c r="C11" i="59"/>
  <c r="C11" i="11"/>
  <c r="C11" i="60"/>
  <c r="C11" i="34"/>
  <c r="C11" i="13"/>
  <c r="C11" i="61"/>
  <c r="C11" i="5"/>
  <c r="C11" i="62"/>
  <c r="C11" i="36"/>
  <c r="C11" i="63"/>
  <c r="C11" i="64"/>
  <c r="C11" i="6"/>
  <c r="C11" i="65"/>
  <c r="C11" i="66"/>
  <c r="C11" i="67"/>
  <c r="C11" i="68"/>
  <c r="C11" i="37"/>
  <c r="C11" i="70"/>
  <c r="C11" i="69"/>
  <c r="C11" i="7"/>
  <c r="C10" i="58"/>
  <c r="C10" i="50"/>
  <c r="C10" i="4"/>
  <c r="C10" i="21"/>
  <c r="C10" i="52"/>
  <c r="C10" i="26"/>
  <c r="C10" i="53"/>
  <c r="C10" i="8"/>
  <c r="C10" i="54"/>
  <c r="C10" i="56"/>
  <c r="C10" i="55"/>
  <c r="C10" i="30"/>
  <c r="C10" i="31"/>
  <c r="C10" i="10"/>
  <c r="C10" i="33"/>
  <c r="C10" i="57"/>
  <c r="C10" i="9"/>
  <c r="C10" i="59"/>
  <c r="C10" i="11"/>
  <c r="C10" i="60"/>
  <c r="C10" i="34"/>
  <c r="C10" i="13"/>
  <c r="C10" i="61"/>
  <c r="C10" i="5"/>
  <c r="C10" i="62"/>
  <c r="C10" i="36"/>
  <c r="C10" i="63"/>
  <c r="C10" i="64"/>
  <c r="C10" i="6"/>
  <c r="C10" i="65"/>
  <c r="C10" i="66"/>
  <c r="C10" i="67"/>
  <c r="C10" i="68"/>
  <c r="C10" i="37"/>
  <c r="C10" i="70"/>
  <c r="C10" i="69"/>
  <c r="C10" i="7"/>
  <c r="C9" i="58"/>
  <c r="C9" i="50"/>
  <c r="C9" i="4"/>
  <c r="C9" i="21"/>
  <c r="C9" i="52"/>
  <c r="C9" i="26"/>
  <c r="C9" i="53"/>
  <c r="C9" i="8"/>
  <c r="C9" i="54"/>
  <c r="C9" i="56"/>
  <c r="C9" i="55"/>
  <c r="C9" i="30"/>
  <c r="C9" i="31"/>
  <c r="C9" i="10"/>
  <c r="C9" i="33"/>
  <c r="C9" i="57"/>
  <c r="C9" i="9"/>
  <c r="C9" i="59"/>
  <c r="C9" i="11"/>
  <c r="C9" i="60"/>
  <c r="C9" i="34"/>
  <c r="C9" i="13"/>
  <c r="C9" i="61"/>
  <c r="C9" i="5"/>
  <c r="C9" i="62"/>
  <c r="C9" i="36"/>
  <c r="C9" i="63"/>
  <c r="C9" i="64"/>
  <c r="C9" i="6"/>
  <c r="C9" i="65"/>
  <c r="C9" i="66"/>
  <c r="C9" i="67"/>
  <c r="C9" i="68"/>
  <c r="C9" i="37"/>
  <c r="C9" i="70"/>
  <c r="C9" i="69"/>
  <c r="C9" i="7"/>
  <c r="C7" i="58"/>
  <c r="C7" i="50"/>
  <c r="C7" i="4"/>
  <c r="C7" i="21"/>
  <c r="C7" i="52"/>
  <c r="C7" i="26"/>
  <c r="C7" i="53"/>
  <c r="C7" i="8"/>
  <c r="C7" i="54"/>
  <c r="C7" i="56"/>
  <c r="C7" i="55"/>
  <c r="C7" i="30"/>
  <c r="C7" i="31"/>
  <c r="C7" i="10"/>
  <c r="C7" i="33"/>
  <c r="C7" i="57"/>
  <c r="C7" i="9"/>
  <c r="C7" i="59"/>
  <c r="C7" i="11"/>
  <c r="C7" i="60"/>
  <c r="C7" i="34"/>
  <c r="C7" i="13"/>
  <c r="C7" i="61"/>
  <c r="C7" i="5"/>
  <c r="C7" i="62"/>
  <c r="C7" i="36"/>
  <c r="C7" i="63"/>
  <c r="C7" i="64"/>
  <c r="C7" i="6"/>
  <c r="C7" i="65"/>
  <c r="C7" i="66"/>
  <c r="C7" i="67"/>
  <c r="C7" i="68"/>
  <c r="C7" i="37"/>
  <c r="C7" i="70"/>
  <c r="C7" i="69"/>
  <c r="C7" i="7"/>
  <c r="C6" i="58"/>
  <c r="C6" i="50"/>
  <c r="C6" i="4"/>
  <c r="C6" i="21"/>
  <c r="C6" i="52"/>
  <c r="C6" i="26"/>
  <c r="C6" i="53"/>
  <c r="C6" i="8"/>
  <c r="C6" i="54"/>
  <c r="C6" i="56"/>
  <c r="C6" i="55"/>
  <c r="C6" i="30"/>
  <c r="C6" i="31"/>
  <c r="C6" i="10"/>
  <c r="C6" i="33"/>
  <c r="C6" i="57"/>
  <c r="C6" i="9"/>
  <c r="C6" i="59"/>
  <c r="C6" i="11"/>
  <c r="C6" i="60"/>
  <c r="C6" i="34"/>
  <c r="C6" i="13"/>
  <c r="C6" i="61"/>
  <c r="C6" i="5"/>
  <c r="C6" i="62"/>
  <c r="C6" i="36"/>
  <c r="C6" i="63"/>
  <c r="C6" i="64"/>
  <c r="C6" i="6"/>
  <c r="C6" i="65"/>
  <c r="C6" i="66"/>
  <c r="C6" i="67"/>
  <c r="C6" i="68"/>
  <c r="C6" i="37"/>
  <c r="C6" i="70"/>
  <c r="C6" i="69"/>
  <c r="C6" i="7"/>
  <c r="H6" i="52"/>
  <c r="I6" i="52"/>
  <c r="K6" i="52"/>
  <c r="H7" i="52"/>
  <c r="I7" i="52"/>
  <c r="K7" i="52"/>
  <c r="H18" i="52"/>
  <c r="I18" i="52"/>
  <c r="K18" i="52"/>
  <c r="H23" i="52"/>
  <c r="I23" i="52"/>
  <c r="K23" i="52"/>
  <c r="H10" i="52"/>
  <c r="I10" i="52"/>
  <c r="K10" i="52"/>
  <c r="H11" i="52"/>
  <c r="I11" i="52"/>
  <c r="K11" i="52"/>
  <c r="H9" i="52"/>
  <c r="I9" i="52"/>
  <c r="K9" i="52"/>
  <c r="H16" i="52"/>
  <c r="I16" i="52"/>
  <c r="K16" i="52"/>
  <c r="H12" i="52"/>
  <c r="I12" i="52"/>
  <c r="K12" i="52"/>
  <c r="H13" i="52"/>
  <c r="I13" i="52"/>
  <c r="K13" i="52"/>
  <c r="J39" i="52"/>
  <c r="I40" i="52"/>
  <c r="K8" i="49"/>
  <c r="H8" i="49"/>
  <c r="L8" i="49"/>
  <c r="H6" i="26"/>
  <c r="I6" i="26"/>
  <c r="K6" i="26"/>
  <c r="H7" i="26"/>
  <c r="I7" i="26"/>
  <c r="K7" i="26"/>
  <c r="H18" i="26"/>
  <c r="I18" i="26"/>
  <c r="K18" i="26"/>
  <c r="H23" i="26"/>
  <c r="I23" i="26"/>
  <c r="K23" i="26"/>
  <c r="H10" i="26"/>
  <c r="I10" i="26"/>
  <c r="K10" i="26"/>
  <c r="H11" i="26"/>
  <c r="I11" i="26"/>
  <c r="K11" i="26"/>
  <c r="H9" i="26"/>
  <c r="I9" i="26"/>
  <c r="K9" i="26"/>
  <c r="H16" i="26"/>
  <c r="I16" i="26"/>
  <c r="K16" i="26"/>
  <c r="H12" i="26"/>
  <c r="I12" i="26"/>
  <c r="K12" i="26"/>
  <c r="H13" i="26"/>
  <c r="I13" i="26"/>
  <c r="K13" i="26"/>
  <c r="J39" i="26"/>
  <c r="I40" i="26"/>
  <c r="K9" i="49"/>
  <c r="H9" i="49"/>
  <c r="I9" i="49"/>
  <c r="L9" i="49"/>
  <c r="H6" i="53"/>
  <c r="I6" i="53"/>
  <c r="K6" i="53"/>
  <c r="H7" i="53"/>
  <c r="I7" i="53"/>
  <c r="K7" i="53"/>
  <c r="H18" i="53"/>
  <c r="I18" i="53"/>
  <c r="K18" i="53"/>
  <c r="H23" i="53"/>
  <c r="I23" i="53"/>
  <c r="K23" i="53"/>
  <c r="H10" i="53"/>
  <c r="I10" i="53"/>
  <c r="K10" i="53"/>
  <c r="H11" i="53"/>
  <c r="I11" i="53"/>
  <c r="K11" i="53"/>
  <c r="H9" i="53"/>
  <c r="I9" i="53"/>
  <c r="K9" i="53"/>
  <c r="H16" i="53"/>
  <c r="I16" i="53"/>
  <c r="K16" i="53"/>
  <c r="H12" i="53"/>
  <c r="I12" i="53"/>
  <c r="K12" i="53"/>
  <c r="H13" i="53"/>
  <c r="I13" i="53"/>
  <c r="K13" i="53"/>
  <c r="J39" i="53"/>
  <c r="I40" i="53"/>
  <c r="K10" i="49"/>
  <c r="H10" i="49"/>
  <c r="I10" i="49"/>
  <c r="L10" i="49"/>
  <c r="H6" i="8"/>
  <c r="I6" i="8"/>
  <c r="K6" i="8"/>
  <c r="H7" i="8"/>
  <c r="I7" i="8"/>
  <c r="K7" i="8"/>
  <c r="H18" i="8"/>
  <c r="I18" i="8"/>
  <c r="K18" i="8"/>
  <c r="H23" i="8"/>
  <c r="I23" i="8"/>
  <c r="K23" i="8"/>
  <c r="H10" i="8"/>
  <c r="I10" i="8"/>
  <c r="K10" i="8"/>
  <c r="H11" i="8"/>
  <c r="I11" i="8"/>
  <c r="K11" i="8"/>
  <c r="H9" i="8"/>
  <c r="I9" i="8"/>
  <c r="K9" i="8"/>
  <c r="H16" i="8"/>
  <c r="I16" i="8"/>
  <c r="K16" i="8"/>
  <c r="H12" i="8"/>
  <c r="I12" i="8"/>
  <c r="K12" i="8"/>
  <c r="H13" i="8"/>
  <c r="I13" i="8"/>
  <c r="K13" i="8"/>
  <c r="J39" i="8"/>
  <c r="I40" i="8"/>
  <c r="K11" i="49"/>
  <c r="H11" i="49"/>
  <c r="L11" i="49"/>
  <c r="H6" i="54"/>
  <c r="I6" i="54"/>
  <c r="K6" i="54"/>
  <c r="H7" i="54"/>
  <c r="I7" i="54"/>
  <c r="K7" i="54"/>
  <c r="H18" i="54"/>
  <c r="I18" i="54"/>
  <c r="K18" i="54"/>
  <c r="H23" i="54"/>
  <c r="I23" i="54"/>
  <c r="K23" i="54"/>
  <c r="H10" i="54"/>
  <c r="I10" i="54"/>
  <c r="K10" i="54"/>
  <c r="H11" i="54"/>
  <c r="I11" i="54"/>
  <c r="K11" i="54"/>
  <c r="H9" i="54"/>
  <c r="I9" i="54"/>
  <c r="K9" i="54"/>
  <c r="H16" i="54"/>
  <c r="I16" i="54"/>
  <c r="K16" i="54"/>
  <c r="H12" i="54"/>
  <c r="I12" i="54"/>
  <c r="K12" i="54"/>
  <c r="H13" i="54"/>
  <c r="I13" i="54"/>
  <c r="K13" i="54"/>
  <c r="J39" i="54"/>
  <c r="I40" i="54"/>
  <c r="K12" i="49"/>
  <c r="H12" i="49"/>
  <c r="I12" i="49"/>
  <c r="L12" i="49"/>
  <c r="H6" i="56"/>
  <c r="I6" i="56"/>
  <c r="K6" i="56"/>
  <c r="H7" i="56"/>
  <c r="I7" i="56"/>
  <c r="K7" i="56"/>
  <c r="H18" i="56"/>
  <c r="I18" i="56"/>
  <c r="K18" i="56"/>
  <c r="H23" i="56"/>
  <c r="I23" i="56"/>
  <c r="K23" i="56"/>
  <c r="H10" i="56"/>
  <c r="I10" i="56"/>
  <c r="K10" i="56"/>
  <c r="H11" i="56"/>
  <c r="I11" i="56"/>
  <c r="K11" i="56"/>
  <c r="H9" i="56"/>
  <c r="I9" i="56"/>
  <c r="K9" i="56"/>
  <c r="H16" i="56"/>
  <c r="I16" i="56"/>
  <c r="K16" i="56"/>
  <c r="H12" i="56"/>
  <c r="I12" i="56"/>
  <c r="K12" i="56"/>
  <c r="H13" i="56"/>
  <c r="I13" i="56"/>
  <c r="K13" i="56"/>
  <c r="J39" i="56"/>
  <c r="I40" i="56"/>
  <c r="K13" i="49"/>
  <c r="H13" i="49"/>
  <c r="I13" i="49"/>
  <c r="L13" i="49"/>
  <c r="H6" i="55"/>
  <c r="I6" i="55"/>
  <c r="K6" i="55"/>
  <c r="H7" i="55"/>
  <c r="I7" i="55"/>
  <c r="K7" i="55"/>
  <c r="H18" i="55"/>
  <c r="I18" i="55"/>
  <c r="K18" i="55"/>
  <c r="H23" i="55"/>
  <c r="I23" i="55"/>
  <c r="K23" i="55"/>
  <c r="I10" i="55"/>
  <c r="K10" i="55" s="1"/>
  <c r="H11" i="55"/>
  <c r="I11" i="55"/>
  <c r="K11" i="55" s="1"/>
  <c r="H9" i="55"/>
  <c r="I9" i="55"/>
  <c r="K9" i="55"/>
  <c r="H16" i="55"/>
  <c r="I16" i="55"/>
  <c r="K16" i="55"/>
  <c r="H12" i="55"/>
  <c r="I12" i="55"/>
  <c r="K12" i="55"/>
  <c r="H13" i="55"/>
  <c r="I13" i="55"/>
  <c r="K13" i="55"/>
  <c r="J39" i="55"/>
  <c r="I40" i="55"/>
  <c r="K14" i="49"/>
  <c r="H14" i="49"/>
  <c r="L14" i="49"/>
  <c r="H6" i="30"/>
  <c r="I6" i="30"/>
  <c r="K6" i="30" s="1"/>
  <c r="H7" i="30"/>
  <c r="I7" i="30"/>
  <c r="K7" i="30"/>
  <c r="H18" i="30"/>
  <c r="I18" i="30"/>
  <c r="K18" i="30"/>
  <c r="H23" i="30"/>
  <c r="I23" i="30"/>
  <c r="K23" i="30"/>
  <c r="I10" i="30"/>
  <c r="K10" i="30" s="1"/>
  <c r="H11" i="30"/>
  <c r="I11" i="30"/>
  <c r="K11" i="30"/>
  <c r="H9" i="30"/>
  <c r="I9" i="30"/>
  <c r="K9" i="30" s="1"/>
  <c r="H16" i="30"/>
  <c r="I16" i="30"/>
  <c r="K16" i="30"/>
  <c r="H12" i="30"/>
  <c r="I12" i="30"/>
  <c r="K12" i="30"/>
  <c r="H13" i="30"/>
  <c r="I13" i="30"/>
  <c r="K13" i="30"/>
  <c r="J39" i="30"/>
  <c r="I40" i="30"/>
  <c r="K15" i="49"/>
  <c r="H15" i="49"/>
  <c r="L15" i="49"/>
  <c r="I15" i="49"/>
  <c r="H6" i="31"/>
  <c r="I6" i="31"/>
  <c r="K6" i="31"/>
  <c r="H7" i="31"/>
  <c r="I7" i="31"/>
  <c r="K7" i="31"/>
  <c r="H18" i="31"/>
  <c r="I18" i="31"/>
  <c r="K18" i="31"/>
  <c r="H23" i="31"/>
  <c r="I23" i="31"/>
  <c r="K23" i="31"/>
  <c r="H10" i="31"/>
  <c r="I10" i="31"/>
  <c r="K10" i="31"/>
  <c r="H11" i="31"/>
  <c r="I11" i="31"/>
  <c r="K11" i="31"/>
  <c r="H9" i="31"/>
  <c r="I9" i="31"/>
  <c r="K9" i="31"/>
  <c r="H16" i="31"/>
  <c r="I16" i="31"/>
  <c r="K16" i="31"/>
  <c r="H12" i="31"/>
  <c r="I12" i="31"/>
  <c r="K12" i="31"/>
  <c r="H13" i="31"/>
  <c r="I13" i="31"/>
  <c r="K13" i="31"/>
  <c r="J39" i="31"/>
  <c r="I40" i="31"/>
  <c r="K16" i="49"/>
  <c r="H16" i="49"/>
  <c r="L16" i="49"/>
  <c r="H6" i="10"/>
  <c r="I6" i="10"/>
  <c r="K6" i="10"/>
  <c r="H7" i="10"/>
  <c r="I7" i="10"/>
  <c r="K7" i="10"/>
  <c r="H18" i="10"/>
  <c r="I18" i="10"/>
  <c r="K18" i="10"/>
  <c r="H23" i="10"/>
  <c r="I23" i="10"/>
  <c r="K23" i="10"/>
  <c r="H10" i="10"/>
  <c r="I10" i="10"/>
  <c r="K10" i="10"/>
  <c r="H11" i="10"/>
  <c r="I11" i="10"/>
  <c r="K11" i="10"/>
  <c r="H9" i="10"/>
  <c r="I9" i="10"/>
  <c r="K9" i="10"/>
  <c r="H16" i="10"/>
  <c r="I16" i="10"/>
  <c r="K16" i="10"/>
  <c r="H12" i="10"/>
  <c r="I12" i="10"/>
  <c r="K12" i="10"/>
  <c r="H13" i="10"/>
  <c r="I13" i="10"/>
  <c r="K13" i="10"/>
  <c r="J39" i="10"/>
  <c r="I40" i="10"/>
  <c r="K17" i="49"/>
  <c r="H17" i="49"/>
  <c r="I17" i="49"/>
  <c r="L17" i="49"/>
  <c r="H6" i="33"/>
  <c r="I6" i="33"/>
  <c r="K6" i="33"/>
  <c r="H7" i="33"/>
  <c r="I7" i="33"/>
  <c r="K7" i="33"/>
  <c r="H18" i="33"/>
  <c r="I18" i="33"/>
  <c r="K18" i="33"/>
  <c r="H23" i="33"/>
  <c r="I23" i="33"/>
  <c r="K23" i="33"/>
  <c r="H10" i="33"/>
  <c r="I10" i="33"/>
  <c r="K10" i="33"/>
  <c r="I11" i="33"/>
  <c r="K11" i="33" s="1"/>
  <c r="K31" i="33" s="1"/>
  <c r="I39" i="33" s="1"/>
  <c r="K39" i="33" s="1"/>
  <c r="K40" i="33" s="1"/>
  <c r="H9" i="33"/>
  <c r="I9" i="33"/>
  <c r="K9" i="33"/>
  <c r="H16" i="33"/>
  <c r="I16" i="33"/>
  <c r="K16" i="33"/>
  <c r="H12" i="33"/>
  <c r="I12" i="33"/>
  <c r="K12" i="33"/>
  <c r="H13" i="33"/>
  <c r="I13" i="33"/>
  <c r="K13" i="33"/>
  <c r="J39" i="33"/>
  <c r="I40" i="33"/>
  <c r="K18" i="49"/>
  <c r="H18" i="49"/>
  <c r="L18" i="49"/>
  <c r="H6" i="57"/>
  <c r="I6" i="57"/>
  <c r="K6" i="57"/>
  <c r="H7" i="57"/>
  <c r="I7" i="57"/>
  <c r="K7" i="57"/>
  <c r="H18" i="57"/>
  <c r="I18" i="57"/>
  <c r="K18" i="57"/>
  <c r="H23" i="57"/>
  <c r="I23" i="57"/>
  <c r="K23" i="57"/>
  <c r="I10" i="57"/>
  <c r="K10" i="57" s="1"/>
  <c r="H11" i="57"/>
  <c r="I11" i="57"/>
  <c r="K11" i="57" s="1"/>
  <c r="H9" i="57"/>
  <c r="I9" i="57"/>
  <c r="K9" i="57"/>
  <c r="H16" i="57"/>
  <c r="I16" i="57"/>
  <c r="K16" i="57"/>
  <c r="H12" i="57"/>
  <c r="I12" i="57"/>
  <c r="K12" i="57"/>
  <c r="H13" i="57"/>
  <c r="I13" i="57"/>
  <c r="K13" i="57"/>
  <c r="J39" i="57"/>
  <c r="I40" i="57"/>
  <c r="K19" i="49"/>
  <c r="H19" i="49"/>
  <c r="I19" i="49"/>
  <c r="L19" i="49"/>
  <c r="H6" i="9"/>
  <c r="I6" i="9"/>
  <c r="K6" i="9"/>
  <c r="H7" i="9"/>
  <c r="I7" i="9"/>
  <c r="K7" i="9"/>
  <c r="H18" i="9"/>
  <c r="I18" i="9"/>
  <c r="K18" i="9"/>
  <c r="H23" i="9"/>
  <c r="I23" i="9"/>
  <c r="K23" i="9"/>
  <c r="I10" i="9"/>
  <c r="K10" i="9"/>
  <c r="H11" i="9"/>
  <c r="I11" i="9"/>
  <c r="K11" i="9"/>
  <c r="H9" i="9"/>
  <c r="I9" i="9"/>
  <c r="K9" i="9"/>
  <c r="H16" i="9"/>
  <c r="I16" i="9"/>
  <c r="K16" i="9"/>
  <c r="H12" i="9"/>
  <c r="I12" i="9"/>
  <c r="K12" i="9"/>
  <c r="H13" i="9"/>
  <c r="I13" i="9"/>
  <c r="K13" i="9"/>
  <c r="J39" i="9"/>
  <c r="I40" i="9"/>
  <c r="K20" i="49"/>
  <c r="H20" i="49"/>
  <c r="L20" i="49"/>
  <c r="H6" i="59"/>
  <c r="I6" i="59"/>
  <c r="K6" i="59"/>
  <c r="H7" i="59"/>
  <c r="I7" i="59"/>
  <c r="K7" i="59"/>
  <c r="H18" i="59"/>
  <c r="I18" i="59"/>
  <c r="K18" i="59"/>
  <c r="H23" i="59"/>
  <c r="I23" i="59"/>
  <c r="K23" i="59"/>
  <c r="H10" i="59"/>
  <c r="I10" i="59"/>
  <c r="K10" i="59"/>
  <c r="H11" i="59"/>
  <c r="I11" i="59"/>
  <c r="K11" i="59"/>
  <c r="H9" i="59"/>
  <c r="I9" i="59"/>
  <c r="K9" i="59"/>
  <c r="H16" i="59"/>
  <c r="I16" i="59"/>
  <c r="K16" i="59"/>
  <c r="H12" i="59"/>
  <c r="I12" i="59"/>
  <c r="K12" i="59"/>
  <c r="H13" i="59"/>
  <c r="I13" i="59"/>
  <c r="K13" i="59"/>
  <c r="J39" i="59"/>
  <c r="I40" i="59"/>
  <c r="K21" i="49"/>
  <c r="H21" i="49"/>
  <c r="I21" i="49"/>
  <c r="L21" i="49"/>
  <c r="H6" i="11"/>
  <c r="I6" i="11"/>
  <c r="K6" i="11"/>
  <c r="H7" i="11"/>
  <c r="I7" i="11"/>
  <c r="K7" i="11"/>
  <c r="H18" i="11"/>
  <c r="I18" i="11"/>
  <c r="K18" i="11"/>
  <c r="H23" i="11"/>
  <c r="I23" i="11"/>
  <c r="K23" i="11"/>
  <c r="H10" i="11"/>
  <c r="I10" i="11"/>
  <c r="K10" i="11"/>
  <c r="H11" i="11"/>
  <c r="I11" i="11"/>
  <c r="K11" i="11"/>
  <c r="H9" i="11"/>
  <c r="I9" i="11"/>
  <c r="K9" i="11"/>
  <c r="H16" i="11"/>
  <c r="I16" i="11"/>
  <c r="K16" i="11"/>
  <c r="H12" i="11"/>
  <c r="I12" i="11"/>
  <c r="K12" i="11"/>
  <c r="H13" i="11"/>
  <c r="I13" i="11"/>
  <c r="K13" i="11"/>
  <c r="J39" i="11"/>
  <c r="I40" i="11"/>
  <c r="K22" i="49"/>
  <c r="H22" i="49"/>
  <c r="L22" i="49"/>
  <c r="H6" i="60"/>
  <c r="I6" i="60"/>
  <c r="K6" i="60"/>
  <c r="H7" i="60"/>
  <c r="I7" i="60"/>
  <c r="K7" i="60"/>
  <c r="H18" i="60"/>
  <c r="I18" i="60"/>
  <c r="K18" i="60"/>
  <c r="H23" i="60"/>
  <c r="I23" i="60"/>
  <c r="K23" i="60"/>
  <c r="H10" i="60"/>
  <c r="I10" i="60"/>
  <c r="K10" i="60"/>
  <c r="H11" i="60"/>
  <c r="I11" i="60"/>
  <c r="K11" i="60"/>
  <c r="H9" i="60"/>
  <c r="I9" i="60"/>
  <c r="K9" i="60"/>
  <c r="H16" i="60"/>
  <c r="I16" i="60"/>
  <c r="K16" i="60"/>
  <c r="H12" i="60"/>
  <c r="I12" i="60"/>
  <c r="K12" i="60"/>
  <c r="H13" i="60"/>
  <c r="I13" i="60"/>
  <c r="K13" i="60"/>
  <c r="J39" i="60"/>
  <c r="I40" i="60"/>
  <c r="K23" i="49"/>
  <c r="H23" i="49"/>
  <c r="I23" i="49"/>
  <c r="L23" i="49"/>
  <c r="H6" i="34"/>
  <c r="I6" i="34"/>
  <c r="K6" i="34"/>
  <c r="H7" i="34"/>
  <c r="I7" i="34"/>
  <c r="K7" i="34"/>
  <c r="H18" i="34"/>
  <c r="I18" i="34"/>
  <c r="K18" i="34"/>
  <c r="H23" i="34"/>
  <c r="I23" i="34"/>
  <c r="K23" i="34"/>
  <c r="H10" i="34"/>
  <c r="I10" i="34"/>
  <c r="K10" i="34"/>
  <c r="H11" i="34"/>
  <c r="I11" i="34"/>
  <c r="K11" i="34"/>
  <c r="H9" i="34"/>
  <c r="I9" i="34"/>
  <c r="K9" i="34"/>
  <c r="H16" i="34"/>
  <c r="I16" i="34"/>
  <c r="K16" i="34"/>
  <c r="H12" i="34"/>
  <c r="I12" i="34"/>
  <c r="K12" i="34"/>
  <c r="H13" i="34"/>
  <c r="I13" i="34"/>
  <c r="K13" i="34"/>
  <c r="J39" i="34"/>
  <c r="I40" i="34"/>
  <c r="K24" i="49"/>
  <c r="H24" i="49"/>
  <c r="L24" i="49"/>
  <c r="H6" i="13"/>
  <c r="I6" i="13"/>
  <c r="K6" i="13"/>
  <c r="H7" i="13"/>
  <c r="I7" i="13"/>
  <c r="K7" i="13"/>
  <c r="H18" i="13"/>
  <c r="I18" i="13"/>
  <c r="K18" i="13"/>
  <c r="H23" i="13"/>
  <c r="I23" i="13"/>
  <c r="K23" i="13" s="1"/>
  <c r="H10" i="13"/>
  <c r="I10" i="13"/>
  <c r="K10" i="13"/>
  <c r="H11" i="13"/>
  <c r="I11" i="13"/>
  <c r="K11" i="13"/>
  <c r="H9" i="13"/>
  <c r="I9" i="13"/>
  <c r="K9" i="13"/>
  <c r="H16" i="13"/>
  <c r="I16" i="13"/>
  <c r="K16" i="13"/>
  <c r="H12" i="13"/>
  <c r="I12" i="13"/>
  <c r="K12" i="13"/>
  <c r="H13" i="13"/>
  <c r="I13" i="13"/>
  <c r="K13" i="13"/>
  <c r="J39" i="13"/>
  <c r="I40" i="13"/>
  <c r="K25" i="49"/>
  <c r="H25" i="49"/>
  <c r="I25" i="49"/>
  <c r="L25" i="49"/>
  <c r="H6" i="61"/>
  <c r="I6" i="61"/>
  <c r="K6" i="61"/>
  <c r="H7" i="61"/>
  <c r="I7" i="61"/>
  <c r="K7" i="61"/>
  <c r="H18" i="61"/>
  <c r="I18" i="61"/>
  <c r="K18" i="61"/>
  <c r="H23" i="61"/>
  <c r="I23" i="61"/>
  <c r="K23" i="61"/>
  <c r="H10" i="61"/>
  <c r="I10" i="61"/>
  <c r="K10" i="61"/>
  <c r="H11" i="61"/>
  <c r="I11" i="61"/>
  <c r="K11" i="61"/>
  <c r="H9" i="61"/>
  <c r="I9" i="61"/>
  <c r="K9" i="61"/>
  <c r="H16" i="61"/>
  <c r="I16" i="61"/>
  <c r="K16" i="61"/>
  <c r="H12" i="61"/>
  <c r="I12" i="61"/>
  <c r="K12" i="61"/>
  <c r="H13" i="61"/>
  <c r="I13" i="61"/>
  <c r="K13" i="61"/>
  <c r="J39" i="61"/>
  <c r="I40" i="61"/>
  <c r="K26" i="49"/>
  <c r="H26" i="49"/>
  <c r="I26" i="49"/>
  <c r="L26" i="49"/>
  <c r="H6" i="5"/>
  <c r="I6" i="5"/>
  <c r="K6" i="5"/>
  <c r="H7" i="5"/>
  <c r="I7" i="5"/>
  <c r="K7" i="5"/>
  <c r="H18" i="5"/>
  <c r="I18" i="5"/>
  <c r="K18" i="5"/>
  <c r="H23" i="5"/>
  <c r="I23" i="5"/>
  <c r="K23" i="5"/>
  <c r="H10" i="5"/>
  <c r="I10" i="5"/>
  <c r="K10" i="5"/>
  <c r="H11" i="5"/>
  <c r="I11" i="5"/>
  <c r="K11" i="5"/>
  <c r="H9" i="5"/>
  <c r="I9" i="5"/>
  <c r="K9" i="5"/>
  <c r="H16" i="5"/>
  <c r="I16" i="5"/>
  <c r="K16" i="5"/>
  <c r="H12" i="5"/>
  <c r="I12" i="5"/>
  <c r="K12" i="5"/>
  <c r="H13" i="5"/>
  <c r="I13" i="5"/>
  <c r="K13" i="5"/>
  <c r="J39" i="5"/>
  <c r="I40" i="5"/>
  <c r="K27" i="49"/>
  <c r="H27" i="49"/>
  <c r="I27" i="49"/>
  <c r="L27" i="49"/>
  <c r="H6" i="62"/>
  <c r="I6" i="62"/>
  <c r="K6" i="62"/>
  <c r="H7" i="62"/>
  <c r="I7" i="62"/>
  <c r="K7" i="62"/>
  <c r="H18" i="62"/>
  <c r="I18" i="62"/>
  <c r="K18" i="62"/>
  <c r="H23" i="62"/>
  <c r="I23" i="62"/>
  <c r="K23" i="62"/>
  <c r="H10" i="62"/>
  <c r="I10" i="62"/>
  <c r="K10" i="62"/>
  <c r="H11" i="62"/>
  <c r="I11" i="62"/>
  <c r="K11" i="62"/>
  <c r="H9" i="62"/>
  <c r="I9" i="62"/>
  <c r="K9" i="62"/>
  <c r="H16" i="62"/>
  <c r="I16" i="62"/>
  <c r="K16" i="62"/>
  <c r="H12" i="62"/>
  <c r="I12" i="62"/>
  <c r="K12" i="62"/>
  <c r="H13" i="62"/>
  <c r="I13" i="62"/>
  <c r="K13" i="62"/>
  <c r="J39" i="62"/>
  <c r="I40" i="62"/>
  <c r="K28" i="49"/>
  <c r="H28" i="49"/>
  <c r="I28" i="49"/>
  <c r="L28" i="49"/>
  <c r="H6" i="36"/>
  <c r="I6" i="36"/>
  <c r="K6" i="36"/>
  <c r="H7" i="36"/>
  <c r="I7" i="36"/>
  <c r="K7" i="36"/>
  <c r="H18" i="36"/>
  <c r="I18" i="36"/>
  <c r="K18" i="36"/>
  <c r="H23" i="36"/>
  <c r="I23" i="36"/>
  <c r="K23" i="36"/>
  <c r="H10" i="36"/>
  <c r="I10" i="36"/>
  <c r="K10" i="36"/>
  <c r="H11" i="36"/>
  <c r="I11" i="36"/>
  <c r="K11" i="36"/>
  <c r="H9" i="36"/>
  <c r="I9" i="36"/>
  <c r="K9" i="36"/>
  <c r="H16" i="36"/>
  <c r="I16" i="36"/>
  <c r="K16" i="36"/>
  <c r="H12" i="36"/>
  <c r="I12" i="36"/>
  <c r="K12" i="36"/>
  <c r="H13" i="36"/>
  <c r="I13" i="36"/>
  <c r="K13" i="36"/>
  <c r="J42" i="36"/>
  <c r="I43" i="36"/>
  <c r="K29" i="49"/>
  <c r="H29" i="49"/>
  <c r="L29" i="49"/>
  <c r="H6" i="63"/>
  <c r="I6" i="63"/>
  <c r="K6" i="63"/>
  <c r="H7" i="63"/>
  <c r="I7" i="63"/>
  <c r="K7" i="63"/>
  <c r="H18" i="63"/>
  <c r="I18" i="63"/>
  <c r="K18" i="63"/>
  <c r="H23" i="63"/>
  <c r="I23" i="63"/>
  <c r="K23" i="63"/>
  <c r="H10" i="63"/>
  <c r="I10" i="63"/>
  <c r="K10" i="63"/>
  <c r="H11" i="63"/>
  <c r="I11" i="63"/>
  <c r="K11" i="63"/>
  <c r="H9" i="63"/>
  <c r="I9" i="63"/>
  <c r="K9" i="63"/>
  <c r="H16" i="63"/>
  <c r="I16" i="63"/>
  <c r="K16" i="63"/>
  <c r="H12" i="63"/>
  <c r="I12" i="63"/>
  <c r="K12" i="63"/>
  <c r="H13" i="63"/>
  <c r="I13" i="63"/>
  <c r="K13" i="63"/>
  <c r="J42" i="63"/>
  <c r="I43" i="63"/>
  <c r="K30" i="49"/>
  <c r="H30" i="49"/>
  <c r="I30" i="49"/>
  <c r="L30" i="49"/>
  <c r="H6" i="64"/>
  <c r="I6" i="64"/>
  <c r="K6" i="64"/>
  <c r="H7" i="64"/>
  <c r="I7" i="64"/>
  <c r="K7" i="64"/>
  <c r="H18" i="64"/>
  <c r="I18" i="64"/>
  <c r="K18" i="64"/>
  <c r="H23" i="64"/>
  <c r="I23" i="64"/>
  <c r="K23" i="64"/>
  <c r="H10" i="64"/>
  <c r="I10" i="64"/>
  <c r="K10" i="64"/>
  <c r="H11" i="64"/>
  <c r="I11" i="64"/>
  <c r="K11" i="64"/>
  <c r="H9" i="64"/>
  <c r="I9" i="64"/>
  <c r="K9" i="64"/>
  <c r="H16" i="64"/>
  <c r="I16" i="64"/>
  <c r="K16" i="64"/>
  <c r="H12" i="64"/>
  <c r="I12" i="64"/>
  <c r="K12" i="64"/>
  <c r="H13" i="64"/>
  <c r="I13" i="64"/>
  <c r="K13" i="64"/>
  <c r="J42" i="64"/>
  <c r="I43" i="64"/>
  <c r="K31" i="49"/>
  <c r="H31" i="49"/>
  <c r="I31" i="49"/>
  <c r="L31" i="49"/>
  <c r="H6" i="6"/>
  <c r="I6" i="6"/>
  <c r="K6" i="6" s="1"/>
  <c r="H7" i="6"/>
  <c r="I7" i="6"/>
  <c r="K7" i="6" s="1"/>
  <c r="H18" i="6"/>
  <c r="I18" i="6"/>
  <c r="K18" i="6"/>
  <c r="H23" i="6"/>
  <c r="I23" i="6"/>
  <c r="K23" i="6"/>
  <c r="I10" i="6"/>
  <c r="K10" i="6" s="1"/>
  <c r="H11" i="6"/>
  <c r="I11" i="6"/>
  <c r="K11" i="6"/>
  <c r="I9" i="6"/>
  <c r="K9" i="6" s="1"/>
  <c r="H16" i="6"/>
  <c r="I16" i="6"/>
  <c r="K16" i="6"/>
  <c r="H12" i="6"/>
  <c r="I12" i="6"/>
  <c r="K12" i="6"/>
  <c r="H13" i="6"/>
  <c r="I13" i="6"/>
  <c r="K13" i="6"/>
  <c r="K8" i="6"/>
  <c r="J42" i="6"/>
  <c r="I43" i="6"/>
  <c r="K32" i="49"/>
  <c r="H32" i="49"/>
  <c r="I32" i="49"/>
  <c r="L32" i="49"/>
  <c r="H6" i="65"/>
  <c r="I6" i="65"/>
  <c r="K6" i="65"/>
  <c r="H7" i="65"/>
  <c r="I7" i="65"/>
  <c r="K7" i="65"/>
  <c r="H18" i="65"/>
  <c r="I18" i="65"/>
  <c r="K18" i="65"/>
  <c r="H23" i="65"/>
  <c r="I23" i="65"/>
  <c r="K23" i="65"/>
  <c r="I10" i="65"/>
  <c r="K10" i="65" s="1"/>
  <c r="H11" i="65"/>
  <c r="I11" i="65"/>
  <c r="K11" i="65"/>
  <c r="H9" i="65"/>
  <c r="I9" i="65"/>
  <c r="K9" i="65"/>
  <c r="H16" i="65"/>
  <c r="I16" i="65"/>
  <c r="K16" i="65"/>
  <c r="H12" i="65"/>
  <c r="I12" i="65"/>
  <c r="K12" i="65"/>
  <c r="H13" i="65"/>
  <c r="I13" i="65"/>
  <c r="K13" i="65"/>
  <c r="K8" i="65"/>
  <c r="J42" i="65"/>
  <c r="I43" i="65"/>
  <c r="K33" i="49"/>
  <c r="H33" i="49"/>
  <c r="L33" i="49"/>
  <c r="H6" i="66"/>
  <c r="I6" i="66"/>
  <c r="K6" i="66"/>
  <c r="H7" i="66"/>
  <c r="I7" i="66"/>
  <c r="K7" i="66"/>
  <c r="H18" i="66"/>
  <c r="I18" i="66"/>
  <c r="K18" i="66"/>
  <c r="H23" i="66"/>
  <c r="I23" i="66"/>
  <c r="K23" i="66"/>
  <c r="H10" i="66"/>
  <c r="I10" i="66"/>
  <c r="K10" i="66"/>
  <c r="H11" i="66"/>
  <c r="I11" i="66"/>
  <c r="K11" i="66"/>
  <c r="H9" i="66"/>
  <c r="I9" i="66"/>
  <c r="K9" i="66"/>
  <c r="H16" i="66"/>
  <c r="I16" i="66"/>
  <c r="K16" i="66"/>
  <c r="H12" i="66"/>
  <c r="I12" i="66"/>
  <c r="K12" i="66"/>
  <c r="H13" i="66"/>
  <c r="I13" i="66"/>
  <c r="K13" i="66"/>
  <c r="K8" i="66"/>
  <c r="J42" i="66"/>
  <c r="I43" i="66"/>
  <c r="K34" i="49"/>
  <c r="H34" i="49"/>
  <c r="I34" i="49"/>
  <c r="L34" i="49"/>
  <c r="H6" i="67"/>
  <c r="I6" i="67"/>
  <c r="K6" i="67"/>
  <c r="H7" i="67"/>
  <c r="I7" i="67"/>
  <c r="K7" i="67"/>
  <c r="H18" i="67"/>
  <c r="I18" i="67"/>
  <c r="K18" i="67"/>
  <c r="H23" i="67"/>
  <c r="I23" i="67"/>
  <c r="K23" i="67"/>
  <c r="H10" i="67"/>
  <c r="I10" i="67"/>
  <c r="K10" i="67"/>
  <c r="H11" i="67"/>
  <c r="I11" i="67"/>
  <c r="K11" i="67"/>
  <c r="H9" i="67"/>
  <c r="I9" i="67"/>
  <c r="K9" i="67"/>
  <c r="H16" i="67"/>
  <c r="I16" i="67"/>
  <c r="K16" i="67"/>
  <c r="H12" i="67"/>
  <c r="I12" i="67"/>
  <c r="K12" i="67"/>
  <c r="H13" i="67"/>
  <c r="I13" i="67"/>
  <c r="K13" i="67"/>
  <c r="K8" i="67"/>
  <c r="J42" i="67"/>
  <c r="I43" i="67"/>
  <c r="K35" i="49"/>
  <c r="H35" i="49"/>
  <c r="I35" i="49"/>
  <c r="L35" i="49"/>
  <c r="H6" i="68"/>
  <c r="I6" i="68"/>
  <c r="K6" i="68"/>
  <c r="H7" i="68"/>
  <c r="I7" i="68"/>
  <c r="K7" i="68"/>
  <c r="H18" i="68"/>
  <c r="I18" i="68"/>
  <c r="K18" i="68"/>
  <c r="H23" i="68"/>
  <c r="I23" i="68"/>
  <c r="K23" i="68"/>
  <c r="H10" i="68"/>
  <c r="I10" i="68"/>
  <c r="K10" i="68"/>
  <c r="H11" i="68"/>
  <c r="I11" i="68"/>
  <c r="K11" i="68"/>
  <c r="H9" i="68"/>
  <c r="I9" i="68"/>
  <c r="K9" i="68"/>
  <c r="H16" i="68"/>
  <c r="I16" i="68"/>
  <c r="K16" i="68"/>
  <c r="H12" i="68"/>
  <c r="I12" i="68"/>
  <c r="K12" i="68"/>
  <c r="H13" i="68"/>
  <c r="I13" i="68"/>
  <c r="K13" i="68"/>
  <c r="K8" i="68"/>
  <c r="J42" i="68"/>
  <c r="I43" i="68"/>
  <c r="K36" i="49"/>
  <c r="H36" i="49"/>
  <c r="L36" i="49"/>
  <c r="H6" i="37"/>
  <c r="I6" i="37"/>
  <c r="K6" i="37"/>
  <c r="H7" i="37"/>
  <c r="I7" i="37"/>
  <c r="K7" i="37"/>
  <c r="H18" i="37"/>
  <c r="I18" i="37"/>
  <c r="K18" i="37"/>
  <c r="H23" i="37"/>
  <c r="I23" i="37"/>
  <c r="K23" i="37"/>
  <c r="H10" i="37"/>
  <c r="I10" i="37"/>
  <c r="K10" i="37"/>
  <c r="H11" i="37"/>
  <c r="I11" i="37"/>
  <c r="K11" i="37"/>
  <c r="H9" i="37"/>
  <c r="I9" i="37"/>
  <c r="K9" i="37"/>
  <c r="H16" i="37"/>
  <c r="I16" i="37"/>
  <c r="K16" i="37"/>
  <c r="H12" i="37"/>
  <c r="I12" i="37"/>
  <c r="K12" i="37"/>
  <c r="H13" i="37"/>
  <c r="I13" i="37"/>
  <c r="K13" i="37"/>
  <c r="J42" i="37"/>
  <c r="I43" i="37"/>
  <c r="K37" i="49"/>
  <c r="H37" i="49"/>
  <c r="L37" i="49"/>
  <c r="I37" i="49"/>
  <c r="H6" i="70"/>
  <c r="I6" i="70"/>
  <c r="K6" i="70"/>
  <c r="H7" i="70"/>
  <c r="I7" i="70"/>
  <c r="K7" i="70"/>
  <c r="H18" i="70"/>
  <c r="I18" i="70"/>
  <c r="K18" i="70"/>
  <c r="H23" i="70"/>
  <c r="I23" i="70"/>
  <c r="K23" i="70"/>
  <c r="H10" i="70"/>
  <c r="I10" i="70"/>
  <c r="K10" i="70"/>
  <c r="H11" i="70"/>
  <c r="I11" i="70"/>
  <c r="K11" i="70"/>
  <c r="H9" i="70"/>
  <c r="I9" i="70"/>
  <c r="K9" i="70"/>
  <c r="H16" i="70"/>
  <c r="I16" i="70"/>
  <c r="K16" i="70"/>
  <c r="H12" i="70"/>
  <c r="I12" i="70"/>
  <c r="K12" i="70"/>
  <c r="H13" i="70"/>
  <c r="I13" i="70"/>
  <c r="K13" i="70"/>
  <c r="J42" i="70"/>
  <c r="I43" i="70"/>
  <c r="K38" i="49"/>
  <c r="H38" i="49"/>
  <c r="L38" i="49"/>
  <c r="I38" i="49"/>
  <c r="H6" i="69"/>
  <c r="I6" i="69"/>
  <c r="K6" i="69"/>
  <c r="H7" i="69"/>
  <c r="I7" i="69"/>
  <c r="K7" i="69"/>
  <c r="H18" i="69"/>
  <c r="I18" i="69"/>
  <c r="K18" i="69"/>
  <c r="H23" i="69"/>
  <c r="I23" i="69"/>
  <c r="K23" i="69"/>
  <c r="H10" i="69"/>
  <c r="I10" i="69"/>
  <c r="K10" i="69"/>
  <c r="H11" i="69"/>
  <c r="I11" i="69"/>
  <c r="K11" i="69"/>
  <c r="H9" i="69"/>
  <c r="I9" i="69"/>
  <c r="K9" i="69"/>
  <c r="H16" i="69"/>
  <c r="I16" i="69"/>
  <c r="K16" i="69"/>
  <c r="H12" i="69"/>
  <c r="I12" i="69"/>
  <c r="K12" i="69"/>
  <c r="H13" i="69"/>
  <c r="I13" i="69"/>
  <c r="K13" i="69"/>
  <c r="J42" i="69"/>
  <c r="I43" i="69"/>
  <c r="K39" i="49"/>
  <c r="H39" i="49"/>
  <c r="L39" i="49"/>
  <c r="H6" i="21"/>
  <c r="I6" i="21"/>
  <c r="K6" i="21"/>
  <c r="H7" i="21"/>
  <c r="I7" i="21"/>
  <c r="K7" i="21"/>
  <c r="H18" i="21"/>
  <c r="I18" i="21"/>
  <c r="K18" i="21"/>
  <c r="H23" i="21"/>
  <c r="I23" i="21"/>
  <c r="K23" i="21"/>
  <c r="H10" i="21"/>
  <c r="I10" i="21"/>
  <c r="K10" i="21"/>
  <c r="H11" i="21"/>
  <c r="I11" i="21"/>
  <c r="K11" i="21"/>
  <c r="H9" i="21"/>
  <c r="I9" i="21"/>
  <c r="K9" i="21"/>
  <c r="H16" i="21"/>
  <c r="I16" i="21"/>
  <c r="K16" i="21"/>
  <c r="H12" i="21"/>
  <c r="I12" i="21"/>
  <c r="K12" i="21"/>
  <c r="H13" i="21"/>
  <c r="I13" i="21"/>
  <c r="K13" i="21"/>
  <c r="J39" i="21"/>
  <c r="I40" i="21"/>
  <c r="K7" i="49"/>
  <c r="H7" i="49"/>
  <c r="I7" i="49"/>
  <c r="L7" i="49"/>
  <c r="L6" i="49"/>
  <c r="L5" i="49"/>
  <c r="L4" i="49"/>
  <c r="L3" i="49"/>
  <c r="K6" i="49"/>
  <c r="K5" i="49"/>
  <c r="K4" i="49"/>
  <c r="K3" i="49"/>
  <c r="I19" i="9"/>
  <c r="I20" i="55"/>
  <c r="H11" i="50"/>
  <c r="K32" i="70"/>
  <c r="K33" i="70"/>
  <c r="K32" i="67"/>
  <c r="K33" i="67"/>
  <c r="I15" i="63"/>
  <c r="K15" i="63"/>
  <c r="K32" i="63"/>
  <c r="K33" i="63"/>
  <c r="K8" i="62"/>
  <c r="K29" i="62"/>
  <c r="K30" i="62"/>
  <c r="I14" i="13"/>
  <c r="K14" i="13"/>
  <c r="I15" i="13"/>
  <c r="K15" i="13"/>
  <c r="I17" i="13"/>
  <c r="K17" i="13"/>
  <c r="K29" i="13"/>
  <c r="K30" i="13"/>
  <c r="I14" i="34"/>
  <c r="K14" i="34"/>
  <c r="I15" i="34"/>
  <c r="K15" i="34"/>
  <c r="I17" i="34"/>
  <c r="K17" i="34"/>
  <c r="I19" i="34"/>
  <c r="K19" i="34"/>
  <c r="K29" i="34"/>
  <c r="K30" i="34"/>
  <c r="I14" i="60"/>
  <c r="K14" i="60"/>
  <c r="I15" i="60"/>
  <c r="K15" i="60"/>
  <c r="I17" i="60"/>
  <c r="K17" i="60"/>
  <c r="I19" i="60"/>
  <c r="K19" i="60"/>
  <c r="K29" i="60"/>
  <c r="K30" i="60"/>
  <c r="I14" i="11"/>
  <c r="K14" i="11"/>
  <c r="I15" i="11"/>
  <c r="K15" i="11"/>
  <c r="I17" i="11"/>
  <c r="K17" i="11"/>
  <c r="I19" i="11"/>
  <c r="K19" i="11"/>
  <c r="K29" i="11"/>
  <c r="K30" i="11"/>
  <c r="I14" i="59"/>
  <c r="K14" i="59"/>
  <c r="I15" i="59"/>
  <c r="K15" i="59"/>
  <c r="I17" i="59"/>
  <c r="K17" i="59"/>
  <c r="I19" i="59"/>
  <c r="K19" i="59"/>
  <c r="K29" i="59"/>
  <c r="K30" i="59"/>
  <c r="I14" i="9"/>
  <c r="K14" i="9"/>
  <c r="I15" i="9"/>
  <c r="K15" i="9"/>
  <c r="I17" i="9"/>
  <c r="K17" i="9"/>
  <c r="K19" i="9"/>
  <c r="I14" i="57"/>
  <c r="K14" i="57"/>
  <c r="I15" i="57"/>
  <c r="K15" i="57"/>
  <c r="I17" i="57"/>
  <c r="K17" i="57"/>
  <c r="K29" i="33"/>
  <c r="K30" i="33"/>
  <c r="K29" i="10"/>
  <c r="K30" i="10"/>
  <c r="I14" i="31"/>
  <c r="K14" i="31"/>
  <c r="I15" i="31"/>
  <c r="K15" i="31"/>
  <c r="I17" i="31"/>
  <c r="K17" i="31"/>
  <c r="I19" i="31"/>
  <c r="K19" i="31"/>
  <c r="K29" i="31"/>
  <c r="K30" i="31"/>
  <c r="I14" i="30"/>
  <c r="K14" i="30"/>
  <c r="I15" i="30"/>
  <c r="K15" i="30"/>
  <c r="I17" i="30"/>
  <c r="K17" i="30"/>
  <c r="I19" i="30"/>
  <c r="K19" i="30"/>
  <c r="K29" i="30"/>
  <c r="K30" i="30"/>
  <c r="I14" i="55"/>
  <c r="K14" i="55"/>
  <c r="I15" i="55"/>
  <c r="K15" i="55"/>
  <c r="I17" i="55"/>
  <c r="K17" i="55"/>
  <c r="I19" i="55"/>
  <c r="K19" i="55"/>
  <c r="K8" i="55"/>
  <c r="K20" i="55"/>
  <c r="I21" i="55"/>
  <c r="K21" i="55"/>
  <c r="K29" i="55"/>
  <c r="K30" i="55"/>
  <c r="I14" i="56"/>
  <c r="K14" i="56"/>
  <c r="I15" i="56"/>
  <c r="K15" i="56"/>
  <c r="I17" i="56"/>
  <c r="K17" i="56"/>
  <c r="I19" i="56"/>
  <c r="K19" i="56"/>
  <c r="K29" i="56"/>
  <c r="K30" i="56"/>
  <c r="I14" i="54"/>
  <c r="K14" i="54"/>
  <c r="I15" i="54"/>
  <c r="K15" i="54"/>
  <c r="I17" i="54"/>
  <c r="K17" i="54"/>
  <c r="I19" i="54"/>
  <c r="K19" i="54"/>
  <c r="K8" i="54"/>
  <c r="I14" i="8"/>
  <c r="K14" i="8"/>
  <c r="I15" i="8"/>
  <c r="K15" i="8"/>
  <c r="I17" i="8"/>
  <c r="K17" i="8"/>
  <c r="I19" i="8"/>
  <c r="K19" i="8"/>
  <c r="I20" i="8"/>
  <c r="K20" i="8"/>
  <c r="I21" i="8"/>
  <c r="K21" i="8"/>
  <c r="I22" i="8"/>
  <c r="K22" i="8"/>
  <c r="I24" i="8"/>
  <c r="K24" i="8"/>
  <c r="I14" i="53"/>
  <c r="K14" i="53"/>
  <c r="I15" i="53"/>
  <c r="K15" i="53"/>
  <c r="I17" i="53"/>
  <c r="K17" i="53"/>
  <c r="I19" i="53"/>
  <c r="K19" i="53"/>
  <c r="I20" i="53"/>
  <c r="K20" i="53"/>
  <c r="I21" i="53"/>
  <c r="K21" i="53"/>
  <c r="I22" i="53"/>
  <c r="K22" i="53"/>
  <c r="I24" i="53"/>
  <c r="K24" i="53"/>
  <c r="K29" i="53"/>
  <c r="K30" i="53"/>
  <c r="I14" i="26"/>
  <c r="K14" i="26"/>
  <c r="I15" i="26"/>
  <c r="K15" i="26"/>
  <c r="I17" i="26"/>
  <c r="K17" i="26"/>
  <c r="I19" i="26"/>
  <c r="K19" i="26"/>
  <c r="I20" i="26"/>
  <c r="K20" i="26"/>
  <c r="I21" i="26"/>
  <c r="K21" i="26"/>
  <c r="I22" i="26"/>
  <c r="K22" i="26"/>
  <c r="I24" i="26"/>
  <c r="K24" i="26"/>
  <c r="I14" i="52"/>
  <c r="K14" i="52"/>
  <c r="I15" i="52"/>
  <c r="K15" i="52"/>
  <c r="I17" i="52"/>
  <c r="K17" i="52"/>
  <c r="I19" i="52"/>
  <c r="K19" i="52"/>
  <c r="I20" i="52"/>
  <c r="K20" i="52"/>
  <c r="I21" i="52"/>
  <c r="K21" i="52"/>
  <c r="I22" i="52"/>
  <c r="K22" i="52"/>
  <c r="I24" i="52"/>
  <c r="K24" i="52"/>
  <c r="I14" i="21"/>
  <c r="K14" i="21"/>
  <c r="I15" i="21"/>
  <c r="K15" i="21"/>
  <c r="I17" i="21"/>
  <c r="K17" i="21"/>
  <c r="I40" i="4"/>
  <c r="J39" i="4"/>
  <c r="H23" i="4"/>
  <c r="I23" i="4"/>
  <c r="K23" i="4"/>
  <c r="H6" i="4"/>
  <c r="I6" i="4"/>
  <c r="K6" i="4"/>
  <c r="H7" i="4"/>
  <c r="I7" i="4"/>
  <c r="K7" i="4"/>
  <c r="H9" i="4"/>
  <c r="I9" i="4"/>
  <c r="K9" i="4"/>
  <c r="H10" i="4"/>
  <c r="I10" i="4"/>
  <c r="K10" i="4"/>
  <c r="H11" i="4"/>
  <c r="I11" i="4"/>
  <c r="K11" i="4"/>
  <c r="H12" i="4"/>
  <c r="I12" i="4"/>
  <c r="K12" i="4"/>
  <c r="H13" i="4"/>
  <c r="I13" i="4"/>
  <c r="K13" i="4"/>
  <c r="I14" i="4"/>
  <c r="K14" i="4"/>
  <c r="I15" i="4"/>
  <c r="K15" i="4"/>
  <c r="H16" i="4"/>
  <c r="I16" i="4"/>
  <c r="K16" i="4"/>
  <c r="I17" i="4"/>
  <c r="K17" i="4"/>
  <c r="H18" i="4"/>
  <c r="I18" i="4"/>
  <c r="K18" i="4"/>
  <c r="I40" i="50"/>
  <c r="J39" i="50"/>
  <c r="H23" i="50"/>
  <c r="I23" i="50"/>
  <c r="K23" i="50"/>
  <c r="H6" i="50"/>
  <c r="I6" i="50"/>
  <c r="K6" i="50"/>
  <c r="H7" i="50"/>
  <c r="I7" i="50"/>
  <c r="K7" i="50"/>
  <c r="I8" i="50"/>
  <c r="K8" i="50"/>
  <c r="H9" i="50"/>
  <c r="I9" i="50"/>
  <c r="K9" i="50"/>
  <c r="H10" i="50"/>
  <c r="I10" i="50"/>
  <c r="K10" i="50"/>
  <c r="I11" i="50"/>
  <c r="K11" i="50"/>
  <c r="H12" i="50"/>
  <c r="I12" i="50"/>
  <c r="K12" i="50"/>
  <c r="H13" i="50"/>
  <c r="I13" i="50"/>
  <c r="K13" i="50"/>
  <c r="I14" i="50"/>
  <c r="K14" i="50"/>
  <c r="I15" i="50"/>
  <c r="K15" i="50"/>
  <c r="H16" i="50"/>
  <c r="I16" i="50"/>
  <c r="K16" i="50"/>
  <c r="I17" i="50"/>
  <c r="K17" i="50"/>
  <c r="H18" i="50"/>
  <c r="I18" i="50"/>
  <c r="K18" i="50"/>
  <c r="I19" i="50"/>
  <c r="K19" i="50"/>
  <c r="I20" i="50"/>
  <c r="K20" i="50"/>
  <c r="I21" i="50"/>
  <c r="K21" i="50"/>
  <c r="I22" i="50"/>
  <c r="K22" i="50"/>
  <c r="I40" i="7"/>
  <c r="J39" i="7"/>
  <c r="H23" i="7"/>
  <c r="I23" i="7"/>
  <c r="K23" i="7"/>
  <c r="H6" i="7"/>
  <c r="I6" i="7"/>
  <c r="K6" i="7"/>
  <c r="H7" i="7"/>
  <c r="I7" i="7"/>
  <c r="K7" i="7"/>
  <c r="H9" i="7"/>
  <c r="I9" i="7"/>
  <c r="K9" i="7"/>
  <c r="H10" i="7"/>
  <c r="I10" i="7"/>
  <c r="K10" i="7"/>
  <c r="H11" i="7"/>
  <c r="I11" i="7"/>
  <c r="K11" i="7"/>
  <c r="H12" i="7"/>
  <c r="I12" i="7"/>
  <c r="K12" i="7"/>
  <c r="H13" i="7"/>
  <c r="I13" i="7"/>
  <c r="K13" i="7"/>
  <c r="I14" i="7"/>
  <c r="K14" i="7"/>
  <c r="I15" i="7"/>
  <c r="K15" i="7"/>
  <c r="H16" i="7"/>
  <c r="I16" i="7"/>
  <c r="K16" i="7"/>
  <c r="I17" i="7"/>
  <c r="K17" i="7"/>
  <c r="H18" i="7"/>
  <c r="I18" i="7"/>
  <c r="K18" i="7"/>
  <c r="I19" i="7"/>
  <c r="K19" i="7"/>
  <c r="I40" i="58"/>
  <c r="J39" i="58"/>
  <c r="H23" i="58"/>
  <c r="I23" i="58"/>
  <c r="K23" i="58"/>
  <c r="H6" i="58"/>
  <c r="I6" i="58"/>
  <c r="K6" i="58"/>
  <c r="H7" i="58"/>
  <c r="I7" i="58"/>
  <c r="K7" i="58"/>
  <c r="I8" i="58"/>
  <c r="K8" i="58"/>
  <c r="H9" i="58"/>
  <c r="I9" i="58"/>
  <c r="K9" i="58"/>
  <c r="H10" i="58"/>
  <c r="I10" i="58"/>
  <c r="K10" i="58"/>
  <c r="H11" i="58"/>
  <c r="I11" i="58"/>
  <c r="K11" i="58"/>
  <c r="H12" i="58"/>
  <c r="I12" i="58"/>
  <c r="K12" i="58"/>
  <c r="H13" i="58"/>
  <c r="I13" i="58"/>
  <c r="K13" i="58"/>
  <c r="I14" i="58"/>
  <c r="K14" i="58"/>
  <c r="I15" i="58"/>
  <c r="K15" i="58"/>
  <c r="H16" i="58"/>
  <c r="I16" i="58"/>
  <c r="K16" i="58"/>
  <c r="I17" i="58"/>
  <c r="K17" i="58"/>
  <c r="H18" i="58"/>
  <c r="I18" i="58"/>
  <c r="K18" i="58"/>
  <c r="I19" i="58"/>
  <c r="K19" i="58"/>
  <c r="I20" i="58"/>
  <c r="K20" i="58"/>
  <c r="I21" i="58"/>
  <c r="K21" i="58"/>
  <c r="I22" i="58"/>
  <c r="K22" i="58"/>
  <c r="I22" i="55"/>
  <c r="K22" i="55"/>
  <c r="I24" i="55"/>
  <c r="K24" i="55"/>
  <c r="I25" i="55"/>
  <c r="K25" i="55"/>
  <c r="K27" i="55"/>
  <c r="K28" i="55"/>
  <c r="I37" i="55"/>
  <c r="K37" i="55"/>
  <c r="I40" i="69"/>
  <c r="K40" i="69"/>
  <c r="K8" i="69"/>
  <c r="I14" i="69"/>
  <c r="K14" i="69"/>
  <c r="I15" i="69"/>
  <c r="K15" i="69"/>
  <c r="I17" i="69"/>
  <c r="K17" i="69"/>
  <c r="I19" i="69"/>
  <c r="K19" i="69"/>
  <c r="I20" i="69"/>
  <c r="K20" i="69"/>
  <c r="I21" i="69"/>
  <c r="K21" i="69"/>
  <c r="I22" i="69"/>
  <c r="K22" i="69"/>
  <c r="I24" i="69"/>
  <c r="K24" i="69"/>
  <c r="I25" i="69"/>
  <c r="K25" i="69"/>
  <c r="I27" i="69"/>
  <c r="K27" i="69"/>
  <c r="I28" i="69"/>
  <c r="I29" i="69"/>
  <c r="K31" i="69"/>
  <c r="K32" i="69"/>
  <c r="K33" i="69"/>
  <c r="I15" i="70"/>
  <c r="K15" i="70"/>
  <c r="I19" i="70"/>
  <c r="K19" i="70"/>
  <c r="I20" i="70"/>
  <c r="K20" i="70"/>
  <c r="I28" i="70"/>
  <c r="I29" i="70"/>
  <c r="K8" i="70"/>
  <c r="I14" i="70"/>
  <c r="K14" i="70"/>
  <c r="I17" i="70"/>
  <c r="K17" i="70"/>
  <c r="I21" i="70"/>
  <c r="K21" i="70"/>
  <c r="I22" i="70"/>
  <c r="K22" i="70"/>
  <c r="I24" i="70"/>
  <c r="K24" i="70"/>
  <c r="I25" i="70"/>
  <c r="K25" i="70"/>
  <c r="I27" i="70"/>
  <c r="K27" i="70"/>
  <c r="K31" i="70"/>
  <c r="I40" i="70"/>
  <c r="K40" i="70"/>
  <c r="I37" i="69"/>
  <c r="F42" i="69"/>
  <c r="I37" i="70"/>
  <c r="F42" i="70"/>
  <c r="K8" i="37"/>
  <c r="I14" i="37"/>
  <c r="K14" i="37"/>
  <c r="I15" i="37"/>
  <c r="K15" i="37"/>
  <c r="I17" i="37"/>
  <c r="K17" i="37"/>
  <c r="I19" i="37"/>
  <c r="K19" i="37"/>
  <c r="I20" i="37"/>
  <c r="K20" i="37"/>
  <c r="I21" i="37"/>
  <c r="K21" i="37"/>
  <c r="I22" i="37"/>
  <c r="K22" i="37"/>
  <c r="I24" i="37"/>
  <c r="K24" i="37"/>
  <c r="I25" i="37"/>
  <c r="K25" i="37"/>
  <c r="I27" i="37"/>
  <c r="K27" i="37"/>
  <c r="I28" i="37"/>
  <c r="I29" i="37"/>
  <c r="K31" i="37"/>
  <c r="K32" i="37"/>
  <c r="K33" i="37"/>
  <c r="I40" i="37"/>
  <c r="K40" i="37"/>
  <c r="I14" i="68"/>
  <c r="K14" i="68"/>
  <c r="I15" i="68"/>
  <c r="K15" i="68"/>
  <c r="I17" i="68"/>
  <c r="K17" i="68"/>
  <c r="I19" i="68"/>
  <c r="K19" i="68"/>
  <c r="I20" i="68"/>
  <c r="K20" i="68"/>
  <c r="I21" i="68"/>
  <c r="K21" i="68"/>
  <c r="I22" i="68"/>
  <c r="K22" i="68"/>
  <c r="I24" i="68"/>
  <c r="K24" i="68"/>
  <c r="I25" i="68"/>
  <c r="K25" i="68"/>
  <c r="I27" i="68"/>
  <c r="K27" i="68"/>
  <c r="I28" i="68"/>
  <c r="I29" i="68"/>
  <c r="K31" i="68"/>
  <c r="K32" i="68"/>
  <c r="K33" i="68"/>
  <c r="I40" i="68"/>
  <c r="K40" i="68"/>
  <c r="I15" i="67"/>
  <c r="K15" i="67"/>
  <c r="I19" i="67"/>
  <c r="K19" i="67"/>
  <c r="I20" i="67"/>
  <c r="K20" i="67"/>
  <c r="I28" i="67"/>
  <c r="I29" i="67"/>
  <c r="I14" i="67"/>
  <c r="K14" i="67"/>
  <c r="I17" i="67"/>
  <c r="K17" i="67"/>
  <c r="I21" i="67"/>
  <c r="K21" i="67"/>
  <c r="I22" i="67"/>
  <c r="K22" i="67"/>
  <c r="I24" i="67"/>
  <c r="K24" i="67"/>
  <c r="I25" i="67"/>
  <c r="K25" i="67"/>
  <c r="I27" i="67"/>
  <c r="K27" i="67"/>
  <c r="K31" i="67"/>
  <c r="I40" i="67"/>
  <c r="K40" i="67"/>
  <c r="I37" i="68"/>
  <c r="F42" i="68"/>
  <c r="I37" i="67"/>
  <c r="F42" i="67"/>
  <c r="I14" i="66"/>
  <c r="K14" i="66"/>
  <c r="I15" i="66"/>
  <c r="K15" i="66"/>
  <c r="I17" i="66"/>
  <c r="K17" i="66"/>
  <c r="I19" i="66"/>
  <c r="K19" i="66"/>
  <c r="I20" i="66"/>
  <c r="K20" i="66"/>
  <c r="I21" i="66"/>
  <c r="K21" i="66"/>
  <c r="I22" i="66"/>
  <c r="K22" i="66"/>
  <c r="I24" i="66"/>
  <c r="K24" i="66"/>
  <c r="I25" i="66"/>
  <c r="K25" i="66"/>
  <c r="I27" i="66"/>
  <c r="K27" i="66"/>
  <c r="I28" i="66"/>
  <c r="I29" i="66"/>
  <c r="K31" i="66"/>
  <c r="K32" i="66"/>
  <c r="K33" i="66"/>
  <c r="I40" i="66"/>
  <c r="K40" i="66"/>
  <c r="I14" i="65"/>
  <c r="K14" i="65"/>
  <c r="I15" i="65"/>
  <c r="K15" i="65"/>
  <c r="I17" i="65"/>
  <c r="K17" i="65"/>
  <c r="I19" i="65"/>
  <c r="K19" i="65"/>
  <c r="I20" i="65"/>
  <c r="K20" i="65" s="1"/>
  <c r="I21" i="65"/>
  <c r="K21" i="65"/>
  <c r="I22" i="65"/>
  <c r="K22" i="65"/>
  <c r="I24" i="65"/>
  <c r="K24" i="65"/>
  <c r="I25" i="65"/>
  <c r="K25" i="65"/>
  <c r="I27" i="65"/>
  <c r="K27" i="65"/>
  <c r="I28" i="65"/>
  <c r="I29" i="65"/>
  <c r="K31" i="65"/>
  <c r="K32" i="65"/>
  <c r="K33" i="65"/>
  <c r="I40" i="65"/>
  <c r="K40" i="65"/>
  <c r="I37" i="66"/>
  <c r="F42" i="66"/>
  <c r="I37" i="65"/>
  <c r="F42" i="65"/>
  <c r="I20" i="6"/>
  <c r="K20" i="6"/>
  <c r="K14" i="6"/>
  <c r="I15" i="6"/>
  <c r="K15" i="6"/>
  <c r="I17" i="6"/>
  <c r="K17" i="6"/>
  <c r="I19" i="6"/>
  <c r="K19" i="6"/>
  <c r="I21" i="6"/>
  <c r="K21" i="6"/>
  <c r="I22" i="6"/>
  <c r="K22" i="6"/>
  <c r="I24" i="6"/>
  <c r="K24" i="6"/>
  <c r="I25" i="6"/>
  <c r="K25" i="6"/>
  <c r="I27" i="6"/>
  <c r="K27" i="6"/>
  <c r="I28" i="6"/>
  <c r="I29" i="6"/>
  <c r="K31" i="6"/>
  <c r="K32" i="6"/>
  <c r="K33" i="6"/>
  <c r="I40" i="6"/>
  <c r="K40" i="6"/>
  <c r="I20" i="64"/>
  <c r="K20" i="64"/>
  <c r="I28" i="64"/>
  <c r="K28" i="64"/>
  <c r="K8" i="64"/>
  <c r="I14" i="64"/>
  <c r="K14" i="64"/>
  <c r="I15" i="64"/>
  <c r="K15" i="64"/>
  <c r="I17" i="64"/>
  <c r="K17" i="64"/>
  <c r="I19" i="64"/>
  <c r="K19" i="64"/>
  <c r="I21" i="64"/>
  <c r="K21" i="64"/>
  <c r="I22" i="64"/>
  <c r="K22" i="64"/>
  <c r="I24" i="64"/>
  <c r="K24" i="64"/>
  <c r="I25" i="64"/>
  <c r="K25" i="64"/>
  <c r="I27" i="64"/>
  <c r="K27" i="64"/>
  <c r="I29" i="64"/>
  <c r="K29" i="64"/>
  <c r="K31" i="64"/>
  <c r="K32" i="64"/>
  <c r="K33" i="64"/>
  <c r="I40" i="64"/>
  <c r="K40" i="64"/>
  <c r="I37" i="64"/>
  <c r="F42" i="64"/>
  <c r="I20" i="63"/>
  <c r="K20" i="63"/>
  <c r="I28" i="63"/>
  <c r="K8" i="63"/>
  <c r="I14" i="63"/>
  <c r="K14" i="63"/>
  <c r="I17" i="63"/>
  <c r="K17" i="63"/>
  <c r="I19" i="63"/>
  <c r="K19" i="63"/>
  <c r="I21" i="63"/>
  <c r="K21" i="63"/>
  <c r="I22" i="63"/>
  <c r="K22" i="63"/>
  <c r="I24" i="63"/>
  <c r="K24" i="63"/>
  <c r="I25" i="63"/>
  <c r="K25" i="63"/>
  <c r="I27" i="63"/>
  <c r="K27" i="63"/>
  <c r="I29" i="63"/>
  <c r="K31" i="63"/>
  <c r="I40" i="63"/>
  <c r="K40" i="63"/>
  <c r="I37" i="63"/>
  <c r="F42" i="63"/>
  <c r="I20" i="36"/>
  <c r="K20" i="36"/>
  <c r="I28" i="36"/>
  <c r="K8" i="36"/>
  <c r="I14" i="36"/>
  <c r="K14" i="36"/>
  <c r="I15" i="36"/>
  <c r="K15" i="36"/>
  <c r="I17" i="36"/>
  <c r="K17" i="36"/>
  <c r="I19" i="36"/>
  <c r="K19" i="36"/>
  <c r="I21" i="36"/>
  <c r="K21" i="36"/>
  <c r="I22" i="36"/>
  <c r="K22" i="36"/>
  <c r="I24" i="36"/>
  <c r="K24" i="36"/>
  <c r="I25" i="36"/>
  <c r="K25" i="36"/>
  <c r="I27" i="36"/>
  <c r="K27" i="36"/>
  <c r="I29" i="36"/>
  <c r="K31" i="36"/>
  <c r="K32" i="36"/>
  <c r="K33" i="36"/>
  <c r="I40" i="36"/>
  <c r="K40" i="36"/>
  <c r="I15" i="62"/>
  <c r="K15" i="62"/>
  <c r="I19" i="62"/>
  <c r="K19" i="62"/>
  <c r="I14" i="62"/>
  <c r="K14" i="62"/>
  <c r="I17" i="62"/>
  <c r="K17" i="62"/>
  <c r="I20" i="62"/>
  <c r="K20" i="62"/>
  <c r="I21" i="62"/>
  <c r="K21" i="62"/>
  <c r="I22" i="62"/>
  <c r="K22" i="62"/>
  <c r="I24" i="62"/>
  <c r="K24" i="62"/>
  <c r="I25" i="62"/>
  <c r="K25" i="62"/>
  <c r="I27" i="62"/>
  <c r="K27" i="62"/>
  <c r="K28" i="62"/>
  <c r="I37" i="62"/>
  <c r="K37" i="62"/>
  <c r="F39" i="62"/>
  <c r="I15" i="5"/>
  <c r="K15" i="5"/>
  <c r="I19" i="5"/>
  <c r="K19" i="5"/>
  <c r="K8" i="5"/>
  <c r="I14" i="5"/>
  <c r="K14" i="5"/>
  <c r="I17" i="5"/>
  <c r="K17" i="5"/>
  <c r="I20" i="5"/>
  <c r="K20" i="5"/>
  <c r="I21" i="5"/>
  <c r="K21" i="5"/>
  <c r="I22" i="5"/>
  <c r="K22" i="5"/>
  <c r="I24" i="5"/>
  <c r="K24" i="5"/>
  <c r="I25" i="5"/>
  <c r="K25" i="5"/>
  <c r="I27" i="5"/>
  <c r="K27" i="5"/>
  <c r="K28" i="5"/>
  <c r="K29" i="5"/>
  <c r="K30" i="5"/>
  <c r="I37" i="5"/>
  <c r="K37" i="5"/>
  <c r="I15" i="61"/>
  <c r="K15" i="61"/>
  <c r="I19" i="61"/>
  <c r="K19" i="61"/>
  <c r="I20" i="61"/>
  <c r="K20" i="61"/>
  <c r="K8" i="61"/>
  <c r="I14" i="61"/>
  <c r="K14" i="61"/>
  <c r="I17" i="61"/>
  <c r="K17" i="61"/>
  <c r="I21" i="61"/>
  <c r="K21" i="61"/>
  <c r="I22" i="61"/>
  <c r="K22" i="61"/>
  <c r="I24" i="61"/>
  <c r="K24" i="61"/>
  <c r="I25" i="61"/>
  <c r="K25" i="61"/>
  <c r="I27" i="61"/>
  <c r="K27" i="61"/>
  <c r="K28" i="61"/>
  <c r="K29" i="61"/>
  <c r="K30" i="61"/>
  <c r="I37" i="61"/>
  <c r="K37" i="61"/>
  <c r="F39" i="61"/>
  <c r="I20" i="13"/>
  <c r="K20" i="13"/>
  <c r="K8" i="13"/>
  <c r="K19" i="13"/>
  <c r="I21" i="13"/>
  <c r="K21" i="13"/>
  <c r="I22" i="13"/>
  <c r="K22" i="13"/>
  <c r="I24" i="13"/>
  <c r="K24" i="13"/>
  <c r="I25" i="13"/>
  <c r="K25" i="13"/>
  <c r="K27" i="13"/>
  <c r="K28" i="13"/>
  <c r="I37" i="13"/>
  <c r="K37" i="13"/>
  <c r="K8" i="34"/>
  <c r="K20" i="34"/>
  <c r="I21" i="34"/>
  <c r="K21" i="34"/>
  <c r="I22" i="34"/>
  <c r="K22" i="34"/>
  <c r="I24" i="34"/>
  <c r="K24" i="34"/>
  <c r="I25" i="34"/>
  <c r="K25" i="34"/>
  <c r="K27" i="34"/>
  <c r="K28" i="34"/>
  <c r="I37" i="34"/>
  <c r="K37" i="34"/>
  <c r="K8" i="60"/>
  <c r="K20" i="60"/>
  <c r="I21" i="60"/>
  <c r="K21" i="60"/>
  <c r="I22" i="60"/>
  <c r="K22" i="60"/>
  <c r="I24" i="60"/>
  <c r="K24" i="60"/>
  <c r="I25" i="60"/>
  <c r="K25" i="60"/>
  <c r="K27" i="60"/>
  <c r="K28" i="60"/>
  <c r="I37" i="60"/>
  <c r="K37" i="60"/>
  <c r="F39" i="60"/>
  <c r="K8" i="59"/>
  <c r="K20" i="59"/>
  <c r="I21" i="59"/>
  <c r="K21" i="59"/>
  <c r="I22" i="59"/>
  <c r="K22" i="59"/>
  <c r="I24" i="59"/>
  <c r="K24" i="59"/>
  <c r="I25" i="59"/>
  <c r="K25" i="59"/>
  <c r="K27" i="59"/>
  <c r="K28" i="59"/>
  <c r="I37" i="59"/>
  <c r="K37" i="59"/>
  <c r="F39" i="59"/>
  <c r="K24" i="58"/>
  <c r="I25" i="58"/>
  <c r="K25" i="58"/>
  <c r="K27" i="58"/>
  <c r="K28" i="58"/>
  <c r="K29" i="58"/>
  <c r="K30" i="58"/>
  <c r="K33" i="58"/>
  <c r="I37" i="58"/>
  <c r="K37" i="58"/>
  <c r="K34" i="58"/>
  <c r="F39" i="58"/>
  <c r="K8" i="57"/>
  <c r="K19" i="57"/>
  <c r="K20" i="57"/>
  <c r="I21" i="57"/>
  <c r="K21" i="57"/>
  <c r="I22" i="57"/>
  <c r="K22" i="57"/>
  <c r="I24" i="57"/>
  <c r="K24" i="57"/>
  <c r="I25" i="57"/>
  <c r="K25" i="57"/>
  <c r="K27" i="57"/>
  <c r="K28" i="57"/>
  <c r="K29" i="57"/>
  <c r="K30" i="57"/>
  <c r="I37" i="57"/>
  <c r="K37" i="57"/>
  <c r="F39" i="57"/>
  <c r="K8" i="56"/>
  <c r="K20" i="56"/>
  <c r="I21" i="56"/>
  <c r="K21" i="56"/>
  <c r="I22" i="56"/>
  <c r="K22" i="56"/>
  <c r="I24" i="56"/>
  <c r="K24" i="56"/>
  <c r="I25" i="56"/>
  <c r="K25" i="56"/>
  <c r="K27" i="56"/>
  <c r="K28" i="56"/>
  <c r="I37" i="56"/>
  <c r="K37" i="56"/>
  <c r="F39" i="56"/>
  <c r="I34" i="56"/>
  <c r="K8" i="11"/>
  <c r="K20" i="11"/>
  <c r="I21" i="11"/>
  <c r="K21" i="11"/>
  <c r="I22" i="11"/>
  <c r="K22" i="11"/>
  <c r="I24" i="11"/>
  <c r="K24" i="11"/>
  <c r="I25" i="11"/>
  <c r="K25" i="11"/>
  <c r="K27" i="11"/>
  <c r="K28" i="11"/>
  <c r="I37" i="11"/>
  <c r="K37" i="11"/>
  <c r="K8" i="9"/>
  <c r="K20" i="9"/>
  <c r="I21" i="9"/>
  <c r="K21" i="9"/>
  <c r="I22" i="9"/>
  <c r="K22" i="9"/>
  <c r="I24" i="9"/>
  <c r="K24" i="9"/>
  <c r="I25" i="9"/>
  <c r="K25" i="9"/>
  <c r="K27" i="9"/>
  <c r="K28" i="9"/>
  <c r="K29" i="9"/>
  <c r="K30" i="9"/>
  <c r="I37" i="9"/>
  <c r="K37" i="9"/>
  <c r="I37" i="33"/>
  <c r="K37" i="33"/>
  <c r="I15" i="33"/>
  <c r="K15" i="33"/>
  <c r="I20" i="33"/>
  <c r="K20" i="33"/>
  <c r="K8" i="33"/>
  <c r="I14" i="33"/>
  <c r="K14" i="33"/>
  <c r="I17" i="33"/>
  <c r="K17" i="33"/>
  <c r="I19" i="33"/>
  <c r="K19" i="33"/>
  <c r="I21" i="33"/>
  <c r="K21" i="33"/>
  <c r="I22" i="33"/>
  <c r="K22" i="33"/>
  <c r="I24" i="33"/>
  <c r="K24" i="33"/>
  <c r="I25" i="33"/>
  <c r="K25" i="33"/>
  <c r="K27" i="33"/>
  <c r="K28" i="33"/>
  <c r="I15" i="10"/>
  <c r="K15" i="10"/>
  <c r="I20" i="10"/>
  <c r="K20" i="10"/>
  <c r="K8" i="10"/>
  <c r="I14" i="10"/>
  <c r="K14" i="10"/>
  <c r="I17" i="10"/>
  <c r="K17" i="10"/>
  <c r="I19" i="10"/>
  <c r="K19" i="10"/>
  <c r="I21" i="10"/>
  <c r="K21" i="10"/>
  <c r="I22" i="10"/>
  <c r="K22" i="10"/>
  <c r="I24" i="10"/>
  <c r="K24" i="10"/>
  <c r="I25" i="10"/>
  <c r="K25" i="10"/>
  <c r="K27" i="10"/>
  <c r="K28" i="10"/>
  <c r="I37" i="10"/>
  <c r="K37" i="10"/>
  <c r="K8" i="31"/>
  <c r="K20" i="31"/>
  <c r="I21" i="31"/>
  <c r="K21" i="31"/>
  <c r="I22" i="31"/>
  <c r="K22" i="31"/>
  <c r="I24" i="31"/>
  <c r="K24" i="31"/>
  <c r="I25" i="31"/>
  <c r="K25" i="31"/>
  <c r="K27" i="31"/>
  <c r="K28" i="31"/>
  <c r="I37" i="31"/>
  <c r="K37" i="31"/>
  <c r="K8" i="30"/>
  <c r="K20" i="30"/>
  <c r="I21" i="30"/>
  <c r="K21" i="30"/>
  <c r="I22" i="30"/>
  <c r="K22" i="30"/>
  <c r="I24" i="30"/>
  <c r="K24" i="30"/>
  <c r="I25" i="30"/>
  <c r="K25" i="30"/>
  <c r="K27" i="30"/>
  <c r="K28" i="30"/>
  <c r="I37" i="30"/>
  <c r="K37" i="30"/>
  <c r="I34" i="55"/>
  <c r="F39" i="55"/>
  <c r="K20" i="54"/>
  <c r="I21" i="54"/>
  <c r="K21" i="54"/>
  <c r="I22" i="54"/>
  <c r="K22" i="54"/>
  <c r="I24" i="54"/>
  <c r="K24" i="54"/>
  <c r="I25" i="54"/>
  <c r="K25" i="54"/>
  <c r="K27" i="54"/>
  <c r="K28" i="54"/>
  <c r="K29" i="54"/>
  <c r="K30" i="54"/>
  <c r="I37" i="54"/>
  <c r="K37" i="54"/>
  <c r="I34" i="54"/>
  <c r="F39" i="54"/>
  <c r="K8" i="8"/>
  <c r="K25" i="8"/>
  <c r="K27" i="8"/>
  <c r="K28" i="8"/>
  <c r="K29" i="8"/>
  <c r="K30" i="8"/>
  <c r="K33" i="8"/>
  <c r="I37" i="8"/>
  <c r="K37" i="8"/>
  <c r="K34" i="8"/>
  <c r="K8" i="53"/>
  <c r="K25" i="53"/>
  <c r="K27" i="53"/>
  <c r="K28" i="53"/>
  <c r="K33" i="53"/>
  <c r="K34" i="53"/>
  <c r="I37" i="53"/>
  <c r="K37" i="53"/>
  <c r="F39" i="53"/>
  <c r="K8" i="26"/>
  <c r="K25" i="26"/>
  <c r="K27" i="26"/>
  <c r="K28" i="26"/>
  <c r="K29" i="26"/>
  <c r="K30" i="26"/>
  <c r="K33" i="26"/>
  <c r="I37" i="26"/>
  <c r="K37" i="26"/>
  <c r="K34" i="26"/>
  <c r="K8" i="52"/>
  <c r="K25" i="52"/>
  <c r="K27" i="52"/>
  <c r="K28" i="52"/>
  <c r="K29" i="52"/>
  <c r="K30" i="52"/>
  <c r="K33" i="52"/>
  <c r="I37" i="52"/>
  <c r="K37" i="52"/>
  <c r="K34" i="52"/>
  <c r="F39" i="52"/>
  <c r="I25" i="50"/>
  <c r="K8" i="4"/>
  <c r="K19" i="4"/>
  <c r="I20" i="4"/>
  <c r="K20" i="4"/>
  <c r="I21" i="4"/>
  <c r="K21" i="4"/>
  <c r="I22" i="4"/>
  <c r="K22" i="4"/>
  <c r="I24" i="4"/>
  <c r="K24" i="4"/>
  <c r="K25" i="4"/>
  <c r="K27" i="4"/>
  <c r="K28" i="4"/>
  <c r="K33" i="4"/>
  <c r="I37" i="4"/>
  <c r="K37" i="4"/>
  <c r="K34" i="4"/>
  <c r="K24" i="50"/>
  <c r="K25" i="50"/>
  <c r="K27" i="50"/>
  <c r="K28" i="50"/>
  <c r="K29" i="50"/>
  <c r="K30" i="50"/>
  <c r="K33" i="50"/>
  <c r="K34" i="50"/>
  <c r="I37" i="50"/>
  <c r="K37" i="50"/>
  <c r="F39" i="50"/>
  <c r="K8" i="7"/>
  <c r="K20" i="7"/>
  <c r="I21" i="7"/>
  <c r="K21" i="7"/>
  <c r="I22" i="7"/>
  <c r="K22" i="7"/>
  <c r="K24" i="7"/>
  <c r="I25" i="7"/>
  <c r="K25" i="7"/>
  <c r="K27" i="7"/>
  <c r="K28" i="7"/>
  <c r="K29" i="7"/>
  <c r="K30" i="7"/>
  <c r="K33" i="7"/>
  <c r="I37" i="7"/>
  <c r="K37" i="7"/>
  <c r="K34" i="7"/>
  <c r="K8" i="21"/>
  <c r="K19" i="21"/>
  <c r="I20" i="21"/>
  <c r="K20" i="21"/>
  <c r="I21" i="21"/>
  <c r="K21" i="21"/>
  <c r="I22" i="21"/>
  <c r="K22" i="21"/>
  <c r="I24" i="21"/>
  <c r="K24" i="21"/>
  <c r="K25" i="21"/>
  <c r="K27" i="21"/>
  <c r="K28" i="21"/>
  <c r="K29" i="21"/>
  <c r="K30" i="21"/>
  <c r="K33" i="21"/>
  <c r="I37" i="21"/>
  <c r="K37" i="21"/>
  <c r="K34" i="21"/>
  <c r="I37" i="37"/>
  <c r="I37" i="6"/>
  <c r="I34" i="33"/>
  <c r="I34" i="30"/>
  <c r="F42" i="37"/>
  <c r="F42" i="36"/>
  <c r="F39" i="34"/>
  <c r="F39" i="33"/>
  <c r="I34" i="31"/>
  <c r="F39" i="31"/>
  <c r="F39" i="30"/>
  <c r="F39" i="26"/>
  <c r="F39" i="21"/>
  <c r="F39" i="13"/>
  <c r="F39" i="11"/>
  <c r="F39" i="10"/>
  <c r="F39" i="9"/>
  <c r="F39" i="8"/>
  <c r="F39" i="7"/>
  <c r="F42" i="6"/>
  <c r="F39" i="5"/>
  <c r="F39" i="4"/>
  <c r="I39" i="49"/>
  <c r="I14" i="49"/>
  <c r="I11" i="49"/>
  <c r="I33" i="49"/>
  <c r="I24" i="49"/>
  <c r="I8" i="49"/>
  <c r="I20" i="49"/>
  <c r="I16" i="49"/>
  <c r="I29" i="49"/>
  <c r="I36" i="49"/>
  <c r="I18" i="49"/>
  <c r="I22" i="49"/>
  <c r="K34" i="70"/>
  <c r="I42" i="70" s="1"/>
  <c r="K42" i="70" s="1"/>
  <c r="K43" i="70" s="1"/>
  <c r="K34" i="63"/>
  <c r="I42" i="63" s="1"/>
  <c r="K42" i="63" s="1"/>
  <c r="K43" i="63" s="1"/>
  <c r="K31" i="11"/>
  <c r="I39" i="11" s="1"/>
  <c r="K39" i="11" s="1"/>
  <c r="K40" i="11" s="1"/>
  <c r="K31" i="53"/>
  <c r="I39" i="53" s="1"/>
  <c r="K39" i="53" s="1"/>
  <c r="K40" i="53" s="1"/>
  <c r="K34" i="67"/>
  <c r="I42" i="67" s="1"/>
  <c r="K42" i="67" s="1"/>
  <c r="K43" i="67" s="1"/>
  <c r="K34" i="66"/>
  <c r="I42" i="66" s="1"/>
  <c r="K42" i="66" s="1"/>
  <c r="K43" i="66" s="1"/>
  <c r="K31" i="30" l="1"/>
  <c r="I39" i="30" s="1"/>
  <c r="K39" i="30" s="1"/>
  <c r="K40" i="30" s="1"/>
  <c r="F40" i="30" s="1"/>
  <c r="K31" i="9"/>
  <c r="I39" i="9" s="1"/>
  <c r="K39" i="9" s="1"/>
  <c r="K40" i="9" s="1"/>
  <c r="F40" i="9" s="1"/>
  <c r="K31" i="57"/>
  <c r="I39" i="57" s="1"/>
  <c r="K39" i="57" s="1"/>
  <c r="K40" i="57" s="1"/>
  <c r="F19" i="49" s="1"/>
  <c r="J19" i="49" s="1"/>
  <c r="K31" i="55"/>
  <c r="I39" i="55" s="1"/>
  <c r="K39" i="55" s="1"/>
  <c r="K40" i="55" s="1"/>
  <c r="F40" i="55" s="1"/>
  <c r="K34" i="6"/>
  <c r="I42" i="6" s="1"/>
  <c r="K42" i="6" s="1"/>
  <c r="K43" i="6" s="1"/>
  <c r="F43" i="6" s="1"/>
  <c r="K34" i="65"/>
  <c r="I42" i="65" s="1"/>
  <c r="K42" i="65" s="1"/>
  <c r="K43" i="65" s="1"/>
  <c r="F43" i="65" s="1"/>
  <c r="F43" i="69"/>
  <c r="F39" i="49"/>
  <c r="J39" i="49" s="1"/>
  <c r="K31" i="13"/>
  <c r="I39" i="13" s="1"/>
  <c r="K39" i="13" s="1"/>
  <c r="K40" i="13" s="1"/>
  <c r="F25" i="49" s="1"/>
  <c r="J25" i="49" s="1"/>
  <c r="F43" i="70"/>
  <c r="F38" i="49"/>
  <c r="J38" i="49" s="1"/>
  <c r="F37" i="49"/>
  <c r="J37" i="49" s="1"/>
  <c r="F43" i="37"/>
  <c r="F43" i="68"/>
  <c r="F36" i="49"/>
  <c r="J36" i="49" s="1"/>
  <c r="F35" i="49"/>
  <c r="J35" i="49" s="1"/>
  <c r="F43" i="67"/>
  <c r="F34" i="49"/>
  <c r="J34" i="49" s="1"/>
  <c r="F43" i="66"/>
  <c r="F31" i="49"/>
  <c r="J31" i="49" s="1"/>
  <c r="F43" i="64"/>
  <c r="F43" i="63"/>
  <c r="F30" i="49"/>
  <c r="J30" i="49" s="1"/>
  <c r="F43" i="36"/>
  <c r="F29" i="49"/>
  <c r="J29" i="49" s="1"/>
  <c r="F28" i="49"/>
  <c r="J28" i="49" s="1"/>
  <c r="F40" i="62"/>
  <c r="F27" i="49"/>
  <c r="J27" i="49" s="1"/>
  <c r="F40" i="5"/>
  <c r="F26" i="49"/>
  <c r="J26" i="49" s="1"/>
  <c r="F40" i="61"/>
  <c r="F24" i="49"/>
  <c r="J24" i="49" s="1"/>
  <c r="F40" i="34"/>
  <c r="F23" i="49"/>
  <c r="J23" i="49" s="1"/>
  <c r="F40" i="60"/>
  <c r="F22" i="49"/>
  <c r="J22" i="49" s="1"/>
  <c r="F40" i="11"/>
  <c r="F40" i="59"/>
  <c r="F21" i="49"/>
  <c r="J21" i="49" s="1"/>
  <c r="F40" i="33"/>
  <c r="F18" i="49"/>
  <c r="J18" i="49" s="1"/>
  <c r="F17" i="49"/>
  <c r="J17" i="49" s="1"/>
  <c r="F40" i="10"/>
  <c r="F40" i="31"/>
  <c r="F16" i="49"/>
  <c r="J16" i="49" s="1"/>
  <c r="F40" i="56"/>
  <c r="F13" i="49"/>
  <c r="J13" i="49" s="1"/>
  <c r="F12" i="49"/>
  <c r="J12" i="49" s="1"/>
  <c r="F40" i="54"/>
  <c r="F11" i="49"/>
  <c r="J11" i="49" s="1"/>
  <c r="F40" i="8"/>
  <c r="F40" i="53"/>
  <c r="F10" i="49"/>
  <c r="J10" i="49" s="1"/>
  <c r="F9" i="49"/>
  <c r="J9" i="49" s="1"/>
  <c r="F40" i="26"/>
  <c r="F40" i="52"/>
  <c r="F8" i="49"/>
  <c r="J8" i="49" s="1"/>
  <c r="F40" i="21"/>
  <c r="F7" i="49"/>
  <c r="J7" i="49" s="1"/>
  <c r="F40" i="4"/>
  <c r="F6" i="49"/>
  <c r="F40" i="50"/>
  <c r="F5" i="49"/>
  <c r="F4" i="49"/>
  <c r="F40" i="58"/>
  <c r="F3" i="49"/>
  <c r="F40" i="7"/>
  <c r="F15" i="49" l="1"/>
  <c r="J15" i="49" s="1"/>
  <c r="F20" i="49"/>
  <c r="J20" i="49" s="1"/>
  <c r="F40" i="57"/>
  <c r="F14" i="49"/>
  <c r="J14" i="49" s="1"/>
  <c r="F32" i="49"/>
  <c r="J32" i="49" s="1"/>
  <c r="F33" i="49"/>
  <c r="J33" i="49" s="1"/>
  <c r="F40" i="13"/>
</calcChain>
</file>

<file path=xl/comments1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26.2Kg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1.5Kg</t>
        </r>
      </text>
    </comment>
  </commentList>
</comments>
</file>

<file path=xl/comments2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26.2Kg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1.5Kg</t>
        </r>
      </text>
    </comment>
  </commentList>
</comments>
</file>

<file path=xl/comments3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26.2Kg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1.5Kg</t>
        </r>
      </text>
    </comment>
  </commentList>
</comments>
</file>

<file path=xl/comments4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57Kg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7Kg</t>
        </r>
      </text>
    </comment>
  </commentList>
</comments>
</file>

<file path=xl/comments5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77Kg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9.4Kg</t>
        </r>
      </text>
    </comment>
  </commentList>
</comments>
</file>

<file path=xl/comments6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216Kg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42Kg</t>
        </r>
      </text>
    </comment>
  </commentList>
</comments>
</file>

<file path=xl/comments7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216Kg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316L : 42Kg</t>
        </r>
      </text>
    </comment>
  </commentList>
</comments>
</file>

<file path=xl/comments8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700A중량적용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700A 중량적용</t>
        </r>
      </text>
    </comment>
  </commentList>
</comments>
</file>

<file path=xl/comments9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700A중량적용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700A 중량적용</t>
        </r>
      </text>
    </comment>
  </commentList>
</comments>
</file>

<file path=xl/comments10.xml><?xml version="1.0" encoding="utf-8"?>
<comments xmlns="http://schemas.openxmlformats.org/spreadsheetml/2006/main">
  <authors>
    <author>김준수</author>
  </authors>
  <commentList>
    <comment ref="F23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GO : 34Kg
MO : 42Kg</t>
        </r>
      </text>
    </comment>
  </commentList>
</comments>
</file>

<file path=xl/comments11.xml><?xml version="1.0" encoding="utf-8"?>
<comments xmlns="http://schemas.openxmlformats.org/spreadsheetml/2006/main">
  <authors>
    <author>김준수</author>
  </authors>
  <commentList>
    <comment ref="F23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GO : 38Kg
MO : 42Kg</t>
        </r>
      </text>
    </comment>
    <comment ref="J23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GO : 30,000
MO : 33,000</t>
        </r>
      </text>
    </comment>
  </commentList>
</comments>
</file>

<file path=xl/comments12.xml><?xml version="1.0" encoding="utf-8"?>
<comments xmlns="http://schemas.openxmlformats.org/spreadsheetml/2006/main">
  <authors>
    <author>김준수</author>
  </authors>
  <commentList>
    <comment ref="J23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GO : 30,000
MO : 33,000</t>
        </r>
      </text>
    </comment>
  </commentList>
</comments>
</file>

<file path=xl/comments13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CF3M : 1745Kg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CF3M : 818Kg</t>
        </r>
      </text>
    </comment>
  </commentList>
</comments>
</file>

<file path=xl/comments14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CF3M : 1745Kg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CF3M : 818Kg</t>
        </r>
      </text>
    </comment>
  </commentList>
</comments>
</file>

<file path=xl/comments15.xml><?xml version="1.0" encoding="utf-8"?>
<comments xmlns="http://schemas.openxmlformats.org/spreadsheetml/2006/main">
  <authors>
    <author>김준수</author>
  </authors>
  <commentList>
    <comment ref="F6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CF3M : 1745Kg</t>
        </r>
      </text>
    </comment>
    <comment ref="F7" authorId="0">
      <text>
        <r>
          <rPr>
            <b/>
            <sz val="9"/>
            <color indexed="81"/>
            <rFont val="굴림"/>
            <family val="3"/>
            <charset val="129"/>
          </rPr>
          <t>김준수:</t>
        </r>
        <r>
          <rPr>
            <sz val="9"/>
            <color indexed="81"/>
            <rFont val="굴림"/>
            <family val="3"/>
            <charset val="129"/>
          </rPr>
          <t xml:space="preserve">
CF3M : 818Kg</t>
        </r>
      </text>
    </comment>
  </commentList>
</comments>
</file>

<file path=xl/sharedStrings.xml><?xml version="1.0" encoding="utf-8"?>
<sst xmlns="http://schemas.openxmlformats.org/spreadsheetml/2006/main" count="2501" uniqueCount="531">
  <si>
    <t>SHAFT</t>
    <phoneticPr fontId="23" type="noConversion"/>
  </si>
  <si>
    <t>DISC Retainer Ring</t>
    <phoneticPr fontId="23" type="noConversion"/>
  </si>
  <si>
    <t>Bottom Bush</t>
    <phoneticPr fontId="23" type="noConversion"/>
  </si>
  <si>
    <t>Top Flange Cover</t>
    <phoneticPr fontId="23" type="noConversion"/>
  </si>
  <si>
    <t>SIZE : 250A</t>
    <phoneticPr fontId="23" type="noConversion"/>
  </si>
  <si>
    <t>제수변 BFV 원가 分析表</t>
    <phoneticPr fontId="23" type="noConversion"/>
  </si>
  <si>
    <t>압력 : 150#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</si>
  <si>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</si>
  <si>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</si>
  <si>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</si>
  <si>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</si>
  <si>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</si>
  <si>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</si>
  <si>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</si>
  <si>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</si>
  <si>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</si>
  <si>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</si>
  <si>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</si>
  <si>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</si>
  <si>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</si>
  <si>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</si>
  <si>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</si>
  <si>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</si>
  <si>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</si>
  <si>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</si>
  <si>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</si>
  <si>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</si>
  <si>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</si>
  <si>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</si>
  <si>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</si>
  <si>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</si>
  <si>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</si>
  <si>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</si>
  <si>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</si>
  <si>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</si>
  <si>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</si>
  <si>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</si>
  <si>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</si>
  <si>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</si>
  <si>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</si>
  <si>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</si>
  <si>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</si>
  <si>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</si>
  <si>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</si>
  <si>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</si>
  <si>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</si>
  <si>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</si>
  <si>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</si>
  <si>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</si>
  <si>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</si>
  <si>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</si>
  <si>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</si>
  <si>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</si>
  <si>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</si>
  <si>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</si>
  <si>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</si>
  <si>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</si>
  <si>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</si>
  <si>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SIZE : 350A</t>
    <phoneticPr fontId="23" type="noConversion"/>
  </si>
  <si>
    <t>PNE.ACT</t>
    <phoneticPr fontId="23" type="noConversion"/>
  </si>
  <si>
    <t>SINGLE</t>
    <phoneticPr fontId="23" type="noConversion"/>
  </si>
  <si>
    <t>LIMIT/SOL V/V</t>
    <phoneticPr fontId="23" type="noConversion"/>
  </si>
  <si>
    <t>FAIL TO CLOSE</t>
    <phoneticPr fontId="23" type="noConversion"/>
  </si>
  <si>
    <t>SIZE : 650A</t>
    <phoneticPr fontId="23" type="noConversion"/>
  </si>
  <si>
    <t>중량확인</t>
    <phoneticPr fontId="23" type="noConversion"/>
  </si>
  <si>
    <t>DW7 SR</t>
    <phoneticPr fontId="23" type="noConversion"/>
  </si>
  <si>
    <t>SIZE : 700A</t>
    <phoneticPr fontId="23" type="noConversion"/>
  </si>
  <si>
    <t>제수변 BFV 원가 分析表</t>
    <phoneticPr fontId="23" type="noConversion"/>
  </si>
  <si>
    <t>C95800</t>
    <phoneticPr fontId="23" type="noConversion"/>
  </si>
  <si>
    <t>DISC RETAINER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</si>
  <si>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</si>
  <si>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</si>
  <si>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</si>
  <si>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BUSH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</si>
  <si>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</si>
  <si>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</si>
  <si>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</si>
  <si>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</si>
  <si>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</si>
  <si>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</si>
  <si>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</si>
  <si>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</si>
  <si>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</si>
  <si>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</si>
  <si>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
BOLT/WASHER</t>
    <phoneticPr fontId="23" type="noConversion"/>
  </si>
  <si>
    <t>LIMIT SWITCH</t>
    <phoneticPr fontId="23" type="noConversion"/>
  </si>
  <si>
    <t>SIZE : 800A</t>
    <phoneticPr fontId="23" type="noConversion"/>
  </si>
  <si>
    <t>AUMA 감속기어</t>
    <phoneticPr fontId="23" type="noConversion"/>
  </si>
  <si>
    <t>AUMA SA14.5-INCHING</t>
    <phoneticPr fontId="23" type="noConversion"/>
  </si>
  <si>
    <t>SIZE : 1100A</t>
    <phoneticPr fontId="23" type="noConversion"/>
  </si>
  <si>
    <t>CONTROL SHAFT</t>
    <phoneticPr fontId="23" type="noConversion"/>
  </si>
  <si>
    <t>BOLT COVER</t>
    <phoneticPr fontId="23" type="noConversion"/>
  </si>
  <si>
    <t>CONTROL SHAFT NUT</t>
    <phoneticPr fontId="23" type="noConversion"/>
  </si>
  <si>
    <t>AUMA 감속기어</t>
    <phoneticPr fontId="23" type="noConversion"/>
  </si>
  <si>
    <t>SIZE : 1600A</t>
    <phoneticPr fontId="23" type="noConversion"/>
  </si>
  <si>
    <t>REMARK : 1650A 중량기준</t>
    <phoneticPr fontId="23" type="noConversion"/>
  </si>
  <si>
    <t>REMARK : 2250A 기준</t>
    <phoneticPr fontId="23" type="noConversion"/>
  </si>
  <si>
    <t>제수변 BFV 원가 分析表</t>
    <phoneticPr fontId="23" type="noConversion"/>
  </si>
  <si>
    <t>SIZE : 200A</t>
    <phoneticPr fontId="23" type="noConversion"/>
  </si>
  <si>
    <t>압력 : 150#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</si>
  <si>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</si>
  <si>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</si>
  <si>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</si>
  <si>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</si>
  <si>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</si>
  <si>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</si>
  <si>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</si>
  <si>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</si>
  <si>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</si>
  <si>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</si>
  <si>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</si>
  <si>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</si>
  <si>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</si>
  <si>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</si>
  <si>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</si>
  <si>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</si>
  <si>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</si>
  <si>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</si>
  <si>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</si>
  <si>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</si>
  <si>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</si>
  <si>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</si>
  <si>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</si>
  <si>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</si>
  <si>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</si>
  <si>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</si>
  <si>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</si>
  <si>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</si>
  <si>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</si>
  <si>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</si>
  <si>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</si>
  <si>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</si>
  <si>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</si>
  <si>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</si>
  <si>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</si>
  <si>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</si>
  <si>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</si>
  <si>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</si>
  <si>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</si>
  <si>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</si>
  <si>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</si>
  <si>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</si>
  <si>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</si>
  <si>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</si>
  <si>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</si>
  <si>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</si>
  <si>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</si>
  <si>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</si>
  <si>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</si>
  <si>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</si>
  <si>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</si>
  <si>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SIZE : 1400A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</si>
  <si>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</si>
  <si>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</si>
  <si>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</si>
  <si>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</si>
  <si>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</si>
  <si>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</si>
  <si>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</si>
  <si>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</si>
  <si>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</si>
  <si>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</si>
  <si>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</si>
  <si>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</si>
  <si>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</si>
  <si>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</si>
  <si>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</si>
  <si>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</si>
  <si>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</si>
  <si>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</si>
  <si>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</si>
  <si>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</si>
  <si>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</si>
  <si>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</si>
  <si>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</si>
  <si>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</si>
  <si>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</si>
  <si>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</si>
  <si>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</si>
  <si>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</si>
  <si>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</si>
  <si>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</si>
  <si>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</si>
  <si>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</si>
  <si>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</si>
  <si>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</si>
  <si>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</si>
  <si>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</si>
  <si>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</si>
  <si>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</si>
  <si>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</si>
  <si>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</si>
  <si>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</si>
  <si>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</si>
  <si>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</si>
  <si>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</si>
  <si>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</si>
  <si>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</si>
  <si>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</si>
  <si>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</si>
  <si>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</si>
  <si>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</si>
  <si>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</si>
  <si>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SIZE : 1800A</t>
    <phoneticPr fontId="23" type="noConversion"/>
  </si>
  <si>
    <t>CONTROL SHAFT</t>
    <phoneticPr fontId="23" type="noConversion"/>
  </si>
  <si>
    <t>BOLT COVER</t>
    <phoneticPr fontId="23" type="noConversion"/>
  </si>
  <si>
    <t>CONTROL SHAFT NUT</t>
    <phoneticPr fontId="23" type="noConversion"/>
  </si>
  <si>
    <t>AUMA 감속기어</t>
    <phoneticPr fontId="23" type="noConversion"/>
  </si>
  <si>
    <t>SIZE : 100A</t>
    <phoneticPr fontId="23" type="noConversion"/>
  </si>
  <si>
    <t>제수변 BFV 원가 分析表</t>
    <phoneticPr fontId="23" type="noConversion"/>
  </si>
  <si>
    <t>SIZE : 450A</t>
    <phoneticPr fontId="23" type="noConversion"/>
  </si>
  <si>
    <t>압력 : 150#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</si>
  <si>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</si>
  <si>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</si>
  <si>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</si>
  <si>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</si>
  <si>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</si>
  <si>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</si>
  <si>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</si>
  <si>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</si>
  <si>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</si>
  <si>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</si>
  <si>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</si>
  <si>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</si>
  <si>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</si>
  <si>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</si>
  <si>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</si>
  <si>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</si>
  <si>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</si>
  <si>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</si>
  <si>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</si>
  <si>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</si>
  <si>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</si>
  <si>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</si>
  <si>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</si>
  <si>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</si>
  <si>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</si>
  <si>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</si>
  <si>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</si>
  <si>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</si>
  <si>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</si>
  <si>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</si>
  <si>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</si>
  <si>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</si>
  <si>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</si>
  <si>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</si>
  <si>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</si>
  <si>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</si>
  <si>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</si>
  <si>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</si>
  <si>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</si>
  <si>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</si>
  <si>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</si>
  <si>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</si>
  <si>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</si>
  <si>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</si>
  <si>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</si>
  <si>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</si>
  <si>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</si>
  <si>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</si>
  <si>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</si>
  <si>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</si>
  <si>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</si>
  <si>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SIZE : 900A</t>
    <phoneticPr fontId="23" type="noConversion"/>
  </si>
  <si>
    <t>LIMIT SWITCH</t>
    <phoneticPr fontId="23" type="noConversion"/>
  </si>
  <si>
    <t>제수변 BFV 원가 分析表</t>
    <phoneticPr fontId="23" type="noConversion"/>
  </si>
  <si>
    <t>SIZE : 750A</t>
    <phoneticPr fontId="23" type="noConversion"/>
  </si>
  <si>
    <t>압력 : 150#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</si>
  <si>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</si>
  <si>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</si>
  <si>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</si>
  <si>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</si>
  <si>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</si>
  <si>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</si>
  <si>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</si>
  <si>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</si>
  <si>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</si>
  <si>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</si>
  <si>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</si>
  <si>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</si>
  <si>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</si>
  <si>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</si>
  <si>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</si>
  <si>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</si>
  <si>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</si>
  <si>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</si>
  <si>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</si>
  <si>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</si>
  <si>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</si>
  <si>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</si>
  <si>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</si>
  <si>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</si>
  <si>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</si>
  <si>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</si>
  <si>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</si>
  <si>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</si>
  <si>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</si>
  <si>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</si>
  <si>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</si>
  <si>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</si>
  <si>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</si>
  <si>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</si>
  <si>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</si>
  <si>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</si>
  <si>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</si>
  <si>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</si>
  <si>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</si>
  <si>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</si>
  <si>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</si>
  <si>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</si>
  <si>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LIMIT SWITCH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</si>
  <si>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</si>
  <si>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</si>
  <si>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</si>
  <si>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</si>
  <si>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</si>
  <si>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</si>
  <si>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</si>
  <si>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</si>
  <si>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</si>
  <si>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제수변 BFV 원가 分析表</t>
    <phoneticPr fontId="23" type="noConversion"/>
  </si>
  <si>
    <t>SIZE : 1000A</t>
    <phoneticPr fontId="23" type="noConversion"/>
  </si>
  <si>
    <t>압력 : 150#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</si>
  <si>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</si>
  <si>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</si>
  <si>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</si>
  <si>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</si>
  <si>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</si>
  <si>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</si>
  <si>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</si>
  <si>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</si>
  <si>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</si>
  <si>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</si>
  <si>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</si>
  <si>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</si>
  <si>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</si>
  <si>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</si>
  <si>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</si>
  <si>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</si>
  <si>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</si>
  <si>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</si>
  <si>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</si>
  <si>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</si>
  <si>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</si>
  <si>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</si>
  <si>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</si>
  <si>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</si>
  <si>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</si>
  <si>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</si>
  <si>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</si>
  <si>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</si>
  <si>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</si>
  <si>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</si>
  <si>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</si>
  <si>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</si>
  <si>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</si>
  <si>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</si>
  <si>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</si>
  <si>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</si>
  <si>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</si>
  <si>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</si>
  <si>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</si>
  <si>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</si>
  <si>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</si>
  <si>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</si>
  <si>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LIMIT SWITCH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</si>
  <si>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</si>
  <si>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</si>
  <si>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</si>
  <si>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</si>
  <si>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</si>
  <si>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</si>
  <si>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</si>
  <si>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</si>
  <si>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</si>
  <si>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SIZE : 1200A</t>
    <phoneticPr fontId="23" type="noConversion"/>
  </si>
  <si>
    <t>LIMIT</t>
    <phoneticPr fontId="23" type="noConversion"/>
  </si>
  <si>
    <t>제수변 BFV 원가 分析表</t>
    <phoneticPr fontId="23" type="noConversion"/>
  </si>
  <si>
    <t>압력 : 150#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</si>
  <si>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</si>
  <si>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</si>
  <si>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</si>
  <si>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</si>
  <si>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</si>
  <si>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</si>
  <si>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</si>
  <si>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</si>
  <si>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</si>
  <si>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</si>
  <si>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</si>
  <si>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</si>
  <si>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C95800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</si>
  <si>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</si>
  <si>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</si>
  <si>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</si>
  <si>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</si>
  <si>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DISC RETAINER</t>
    <phoneticPr fontId="23" type="noConversion"/>
  </si>
  <si>
    <t>316L</t>
    <phoneticPr fontId="23" type="noConversion"/>
  </si>
  <si>
    <t>BODY RETAINER</t>
    <phoneticPr fontId="23" type="noConversion"/>
  </si>
  <si>
    <t>BUSH(上)</t>
    <phoneticPr fontId="23" type="noConversion"/>
  </si>
  <si>
    <t>BUSH(下)</t>
    <phoneticPr fontId="23" type="noConversion"/>
  </si>
  <si>
    <t>PACKING RING</t>
    <phoneticPr fontId="23" type="noConversion"/>
  </si>
  <si>
    <t>PACKING BUSH</t>
    <phoneticPr fontId="23" type="noConversion"/>
  </si>
  <si>
    <t>PACKING GLAND</t>
    <phoneticPr fontId="23" type="noConversion"/>
  </si>
  <si>
    <t>STAND BOLT/NUT</t>
    <phoneticPr fontId="23" type="noConversion"/>
  </si>
  <si>
    <t>B8M</t>
    <phoneticPr fontId="23" type="noConversion"/>
  </si>
  <si>
    <t>BOTTOM COVER</t>
    <phoneticPr fontId="23" type="noConversion"/>
  </si>
  <si>
    <t>SPLIT COLLAR</t>
    <phoneticPr fontId="23" type="noConversion"/>
  </si>
  <si>
    <t>DISC BOLT/NUT</t>
    <phoneticPr fontId="23" type="noConversion"/>
  </si>
  <si>
    <t>DISC RETAINER BOLT</t>
    <phoneticPr fontId="23" type="noConversion"/>
  </si>
  <si>
    <t>BOTTOM COVER
BOLT/WASHER</t>
    <phoneticPr fontId="23" type="noConversion"/>
  </si>
  <si>
    <t>TOP FLG COVER</t>
    <phoneticPr fontId="23" type="noConversion"/>
  </si>
  <si>
    <t>TOP COVER BOLT</t>
    <phoneticPr fontId="23" type="noConversion"/>
  </si>
  <si>
    <t>BOTTOM O-RING</t>
    <phoneticPr fontId="23" type="noConversion"/>
  </si>
  <si>
    <t>GEAR BOX</t>
    <phoneticPr fontId="23" type="noConversion"/>
  </si>
  <si>
    <t>GEAR BOX
BOLT/WASHER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</si>
  <si>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</si>
  <si>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</si>
  <si>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</si>
  <si>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</si>
  <si>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</si>
  <si>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</si>
  <si>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</si>
  <si>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</si>
  <si>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</si>
  <si>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</si>
  <si>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</si>
  <si>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</si>
  <si>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</si>
  <si>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</si>
  <si>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CF3M</t>
    <phoneticPr fontId="23" type="noConversion"/>
  </si>
  <si>
    <t>압력 : 150#</t>
    <phoneticPr fontId="23" type="noConversion"/>
  </si>
  <si>
    <t>PJT : RAS ABU FONTAS B2</t>
    <phoneticPr fontId="23" type="noConversion"/>
  </si>
  <si>
    <t>NO.</t>
    <phoneticPr fontId="23" type="noConversion"/>
  </si>
  <si>
    <t>부품명</t>
    <phoneticPr fontId="23" type="noConversion"/>
  </si>
  <si>
    <t>재질</t>
    <phoneticPr fontId="23" type="noConversion"/>
  </si>
  <si>
    <t>수량</t>
    <phoneticPr fontId="23" type="noConversion"/>
  </si>
  <si>
    <t>규격</t>
    <phoneticPr fontId="23" type="noConversion"/>
  </si>
  <si>
    <t>단중</t>
    <phoneticPr fontId="23" type="noConversion"/>
  </si>
  <si>
    <t>업체</t>
    <phoneticPr fontId="23" type="noConversion"/>
  </si>
  <si>
    <t>단가</t>
    <phoneticPr fontId="23" type="noConversion"/>
  </si>
  <si>
    <t>소계</t>
    <phoneticPr fontId="23" type="noConversion"/>
  </si>
  <si>
    <t>가공비</t>
    <phoneticPr fontId="23" type="noConversion"/>
  </si>
  <si>
    <t>합계</t>
    <phoneticPr fontId="23" type="noConversion"/>
  </si>
  <si>
    <t>BODY</t>
    <phoneticPr fontId="23" type="noConversion"/>
  </si>
  <si>
    <t>DISC</t>
    <phoneticPr fontId="23" type="noConversion"/>
  </si>
  <si>
    <t>SEAT</t>
    <phoneticPr fontId="23" type="noConversion"/>
  </si>
  <si>
    <t>EPDM</t>
    <phoneticPr fontId="23" type="noConversion"/>
  </si>
  <si>
    <t>STEM(上,下)</t>
    <phoneticPr fontId="23" type="noConversion"/>
  </si>
  <si>
    <t>316L</t>
    <phoneticPr fontId="23" type="noConversion"/>
  </si>
  <si>
    <t>PACKING RING</t>
    <phoneticPr fontId="23" type="noConversion"/>
  </si>
  <si>
    <t>PACKING GLAND</t>
    <phoneticPr fontId="23" type="noConversion"/>
  </si>
  <si>
    <t>GEAR BOX</t>
    <phoneticPr fontId="23" type="noConversion"/>
  </si>
  <si>
    <t>KEY &amp; TAG</t>
    <phoneticPr fontId="23" type="noConversion"/>
  </si>
  <si>
    <t>SUS</t>
    <phoneticPr fontId="23" type="noConversion"/>
  </si>
  <si>
    <t>페인트</t>
    <phoneticPr fontId="23" type="noConversion"/>
  </si>
  <si>
    <t>조립.검사</t>
    <phoneticPr fontId="23" type="noConversion"/>
  </si>
  <si>
    <t>밸브합산</t>
    <phoneticPr fontId="23" type="noConversion"/>
  </si>
  <si>
    <t>ACTUATOR</t>
    <phoneticPr fontId="23" type="noConversion"/>
  </si>
  <si>
    <t>ACTUATOR
BOLT/WASHER</t>
    <phoneticPr fontId="23" type="noConversion"/>
  </si>
  <si>
    <t>포장비용</t>
    <phoneticPr fontId="23" type="noConversion"/>
  </si>
  <si>
    <t>RUBBER LINNING</t>
    <phoneticPr fontId="23" type="noConversion"/>
  </si>
  <si>
    <t>밸브외 사급품 비용 연산</t>
    <phoneticPr fontId="23" type="noConversion"/>
  </si>
  <si>
    <t>FACTOR</t>
    <phoneticPr fontId="23" type="noConversion"/>
  </si>
  <si>
    <t>1차견적가</t>
    <phoneticPr fontId="23" type="noConversion"/>
  </si>
  <si>
    <t>견적가격(TOTAL금액)</t>
    <phoneticPr fontId="23" type="noConversion"/>
  </si>
  <si>
    <t>네고가능가</t>
    <phoneticPr fontId="23" type="noConversion"/>
  </si>
  <si>
    <t>GS400/GZ35-F48</t>
  </si>
  <si>
    <t>SAM 14.5</t>
    <phoneticPr fontId="23" type="noConversion"/>
  </si>
  <si>
    <t>SAM 14.1</t>
    <phoneticPr fontId="23" type="noConversion"/>
  </si>
  <si>
    <t>GS315/GZ30-F40</t>
    <phoneticPr fontId="23" type="noConversion"/>
  </si>
  <si>
    <t>INCHING TYPE</t>
    <phoneticPr fontId="23" type="noConversion"/>
  </si>
  <si>
    <t>150A</t>
    <phoneticPr fontId="23" type="noConversion"/>
  </si>
  <si>
    <t>SIZE : 300A</t>
    <phoneticPr fontId="23" type="noConversion"/>
  </si>
  <si>
    <t>SIZE : 400A</t>
    <phoneticPr fontId="23" type="noConversion"/>
  </si>
  <si>
    <t>BODY Retainer Ring</t>
    <phoneticPr fontId="23" type="noConversion"/>
  </si>
  <si>
    <t>Upper Bush</t>
    <phoneticPr fontId="23" type="noConversion"/>
  </si>
  <si>
    <t>Packing Grand</t>
    <phoneticPr fontId="23" type="noConversion"/>
  </si>
  <si>
    <t>Bottom Cover</t>
    <phoneticPr fontId="23" type="noConversion"/>
  </si>
  <si>
    <t>SIZE : 500A</t>
    <phoneticPr fontId="23" type="noConversion"/>
  </si>
  <si>
    <t>SIZE : 600A</t>
    <phoneticPr fontId="23" type="noConversion"/>
  </si>
  <si>
    <t>SIZE : 1050A</t>
    <phoneticPr fontId="23" type="noConversion"/>
  </si>
  <si>
    <t>SIZE : 950A</t>
    <phoneticPr fontId="23" type="noConversion"/>
  </si>
  <si>
    <t>SIZE : 850A</t>
    <phoneticPr fontId="23" type="noConversion"/>
  </si>
  <si>
    <t>SIZE : 550A</t>
    <phoneticPr fontId="23" type="noConversion"/>
  </si>
  <si>
    <t>125A</t>
    <phoneticPr fontId="23" type="noConversion"/>
  </si>
  <si>
    <t>SIZE : 1300A</t>
    <phoneticPr fontId="23" type="noConversion"/>
  </si>
  <si>
    <t>TOTAL COST</t>
    <phoneticPr fontId="23" type="noConversion"/>
  </si>
  <si>
    <t>+</t>
    <phoneticPr fontId="23" type="noConversion"/>
  </si>
  <si>
    <t>SIZE : 2500A</t>
    <phoneticPr fontId="23" type="noConversion"/>
  </si>
  <si>
    <t>SIZE : 2400A</t>
    <phoneticPr fontId="23" type="noConversion"/>
  </si>
  <si>
    <t>SIZE : 2100A</t>
    <phoneticPr fontId="23" type="noConversion"/>
  </si>
  <si>
    <t>SIZE : 2000A</t>
    <phoneticPr fontId="23" type="noConversion"/>
  </si>
  <si>
    <t>SIZE : 1950A</t>
    <phoneticPr fontId="23" type="noConversion"/>
  </si>
  <si>
    <t>SIZE : 1900A</t>
    <phoneticPr fontId="23" type="noConversion"/>
  </si>
  <si>
    <t>SIZE : 1700A</t>
    <phoneticPr fontId="23" type="noConversion"/>
  </si>
  <si>
    <t>SIZE : 1650A</t>
    <phoneticPr fontId="23" type="noConversion"/>
  </si>
  <si>
    <t>SIZE : 1500A</t>
    <phoneticPr fontId="23" type="noConversion"/>
  </si>
  <si>
    <t>환율</t>
    <phoneticPr fontId="23" type="noConversion"/>
  </si>
  <si>
    <t>Material</t>
    <phoneticPr fontId="23" type="noConversion"/>
  </si>
  <si>
    <r>
      <t>소재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단가</t>
    </r>
    <phoneticPr fontId="23" type="noConversion"/>
  </si>
  <si>
    <t>SIZE</t>
    <phoneticPr fontId="23" type="noConversion"/>
  </si>
  <si>
    <t>환율</t>
    <phoneticPr fontId="23" type="noConversion"/>
  </si>
  <si>
    <t>SIZE : 2250A</t>
    <phoneticPr fontId="23" type="noConversion"/>
  </si>
  <si>
    <r>
      <t>M</t>
    </r>
    <r>
      <rPr>
        <sz val="10"/>
        <rFont val="Arial"/>
        <family val="2"/>
      </rPr>
      <t>OTOR</t>
    </r>
    <phoneticPr fontId="23" type="noConversion"/>
  </si>
  <si>
    <t>MOTOR</t>
    <phoneticPr fontId="23" type="noConversion"/>
  </si>
  <si>
    <r>
      <t>M</t>
    </r>
    <r>
      <rPr>
        <sz val="10"/>
        <rFont val="Arial"/>
        <family val="2"/>
      </rPr>
      <t xml:space="preserve">OTOR </t>
    </r>
    <r>
      <rPr>
        <sz val="10"/>
        <rFont val="Arial"/>
        <family val="2"/>
      </rPr>
      <t>FACTOR</t>
    </r>
    <phoneticPr fontId="23" type="noConversion"/>
  </si>
  <si>
    <r>
      <t>motor fa</t>
    </r>
    <r>
      <rPr>
        <sz val="10"/>
        <rFont val="Arial"/>
        <family val="2"/>
      </rPr>
      <t>ctor</t>
    </r>
    <phoneticPr fontId="23" type="noConversion"/>
  </si>
  <si>
    <t>Total</t>
    <phoneticPr fontId="23" type="noConversion"/>
  </si>
  <si>
    <r>
      <t>M</t>
    </r>
    <r>
      <rPr>
        <sz val="10"/>
        <rFont val="Arial"/>
        <family val="2"/>
      </rPr>
      <t>-factor</t>
    </r>
    <phoneticPr fontId="23" type="noConversion"/>
  </si>
  <si>
    <t>B148</t>
    <phoneticPr fontId="23" type="noConversion"/>
  </si>
  <si>
    <t>TMG</t>
    <phoneticPr fontId="23" type="noConversion"/>
  </si>
  <si>
    <t>Braket</t>
    <phoneticPr fontId="41" type="noConversion"/>
  </si>
  <si>
    <t>LCP</t>
    <phoneticPr fontId="41" type="noConversion"/>
  </si>
  <si>
    <t>HYD</t>
    <phoneticPr fontId="41" type="noConversion"/>
  </si>
  <si>
    <t>포장비용</t>
    <phoneticPr fontId="23" type="noConversion"/>
  </si>
  <si>
    <t>RUBBER LINNING(BODY+DISC)</t>
    <phoneticPr fontId="23" type="noConversion"/>
  </si>
  <si>
    <t>B148</t>
    <phoneticPr fontId="23" type="noConversion"/>
  </si>
  <si>
    <t>PRESSURE</t>
    <phoneticPr fontId="5" type="noConversion"/>
  </si>
  <si>
    <t>확인</t>
    <phoneticPr fontId="23" type="noConversion"/>
  </si>
  <si>
    <t>PIYAKE</t>
    <phoneticPr fontId="23" type="noConversion"/>
  </si>
  <si>
    <r>
      <t>1</t>
    </r>
    <r>
      <rPr>
        <sz val="10"/>
        <rFont val="Arial"/>
        <family val="2"/>
      </rPr>
      <t>0 BAR</t>
    </r>
    <phoneticPr fontId="23" type="noConversion"/>
  </si>
  <si>
    <r>
      <t>2</t>
    </r>
    <r>
      <rPr>
        <sz val="10"/>
        <rFont val="Arial"/>
        <family val="2"/>
      </rPr>
      <t>0 BAR</t>
    </r>
    <phoneticPr fontId="23" type="noConversion"/>
  </si>
  <si>
    <t>A276T316L</t>
    <phoneticPr fontId="23" type="noConversion"/>
  </si>
  <si>
    <t>10 BAR</t>
  </si>
  <si>
    <r>
      <rPr>
        <u/>
        <sz val="7"/>
        <color indexed="12"/>
        <rFont val="돋움"/>
        <family val="3"/>
        <charset val="129"/>
      </rPr>
      <t>목형관리대장</t>
    </r>
    <phoneticPr fontId="5" type="noConversion"/>
  </si>
  <si>
    <t>DIMESION TABLE</t>
    <phoneticPr fontId="5" type="noConversion"/>
  </si>
  <si>
    <t>DISC PIN</t>
    <phoneticPr fontId="23" type="noConversion"/>
  </si>
  <si>
    <t>WCB</t>
    <phoneticPr fontId="23" type="noConversion"/>
  </si>
  <si>
    <t>WCB</t>
    <phoneticPr fontId="23" type="noConversion"/>
  </si>
  <si>
    <t>WCB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</si>
</sst>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* #,##0.00_ ;_ * \-#,##0.00_ ;_ * &quot;-&quot;??_ ;_ @_ "/>
    <numFmt numFmtId="179" formatCode="_-* #,##0.0_-;\-* #,##0.0_-;_-* &quot;-&quot;_-;_-@_-"/>
    <numFmt numFmtId="180" formatCode="_-* #,##0.00_-;\-* #,##0.00_-;_-* &quot;-&quot;_-;_-@_-"/>
    <numFmt numFmtId="181" formatCode="&quot;$&quot;#,##0;[Red]&quot;$&quot;\-#,##0"/>
    <numFmt numFmtId="182" formatCode="#,###&quot; / MM &quot;"/>
    <numFmt numFmtId="183" formatCode="&quot;$&quot;#,##0.00;\-&quot;$&quot;#,##0.00"/>
    <numFmt numFmtId="184" formatCode="&quot;$&quot;#,##0;[Red]\-&quot;$&quot;#,##0"/>
    <numFmt numFmtId="185" formatCode="&quot;$&quot;#,##0.00;[Red]\-&quot;$&quot;#,##0.00"/>
    <numFmt numFmtId="186" formatCode="0.00_)"/>
    <numFmt numFmtId="187" formatCode="_([$€-2]* #,##0.00_);_([$€-2]* \(#,##0.00\);_([$€-2]* &quot;-&quot;??_)"/>
    <numFmt numFmtId="188" formatCode="0.0_ "/>
  </numFmts>
  <fonts count="45">
    <font>
      <sz val="10"/>
      <name val="Arial"/>
      <family val="2"/>
    </font>
    <font>
      <sz val="10"/>
      <name val="Arial"/>
      <family val="2"/>
    </font>
    <font>
      <sz val="10"/>
      <name val="돋움"/>
      <family val="3"/>
      <charset val="129"/>
    </font>
    <font>
      <sz val="11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u/>
      <sz val="7"/>
      <color indexed="12"/>
      <name val="Arial"/>
      <family val="2"/>
    </font>
    <font>
      <sz val="12"/>
      <name val="¹UAAA¼"/>
      <family val="3"/>
      <charset val="129"/>
    </font>
    <font>
      <sz val="12"/>
      <name val="Tms Rmn"/>
      <family val="1"/>
    </font>
    <font>
      <sz val="1"/>
      <color indexed="8"/>
      <name val="Courier"/>
      <family val="3"/>
    </font>
    <font>
      <sz val="10"/>
      <name val="MS Sans Serif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i/>
      <sz val="12"/>
      <color indexed="10"/>
      <name val="Courier New"/>
      <family val="3"/>
    </font>
    <font>
      <sz val="7"/>
      <name val="Small Fonts"/>
      <family val="2"/>
    </font>
    <font>
      <b/>
      <i/>
      <sz val="16"/>
      <name val="Helv"/>
      <family val="2"/>
    </font>
    <font>
      <sz val="10"/>
      <name val="Times New Roman"/>
      <family val="1"/>
    </font>
    <font>
      <b/>
      <sz val="12"/>
      <color indexed="8"/>
      <name val="ConGEsansBol67"/>
      <family val="1"/>
    </font>
    <font>
      <sz val="18"/>
      <color indexed="12"/>
      <name val="MS Sans Serif"/>
      <family val="2"/>
    </font>
    <font>
      <sz val="8"/>
      <name val="돋움"/>
      <family val="3"/>
      <charset val="129"/>
    </font>
    <font>
      <b/>
      <sz val="16"/>
      <name val="견명조"/>
      <family val="1"/>
      <charset val="129"/>
    </font>
    <font>
      <b/>
      <sz val="9"/>
      <name val="견명조"/>
      <family val="1"/>
      <charset val="129"/>
    </font>
    <font>
      <b/>
      <sz val="14"/>
      <name val="돋움"/>
      <family val="3"/>
      <charset val="129"/>
    </font>
    <font>
      <b/>
      <sz val="9"/>
      <name val="돋움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9"/>
      <color indexed="10"/>
      <name val="굴림"/>
      <family val="3"/>
      <charset val="129"/>
    </font>
    <font>
      <sz val="9"/>
      <color indexed="9"/>
      <name val="굴림"/>
      <family val="3"/>
      <charset val="129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sz val="9"/>
      <name val="바탕"/>
      <family val="1"/>
      <charset val="129"/>
    </font>
    <font>
      <sz val="6"/>
      <name val="굴림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</font>
    <font>
      <u/>
      <sz val="7"/>
      <color indexed="12"/>
      <name val="돋움"/>
      <family val="3"/>
      <charset val="129"/>
    </font>
    <font>
      <sz val="9"/>
      <color rgb="FFFF0000"/>
      <name val="굴림"/>
      <family val="3"/>
      <charset val="129"/>
    </font>
    <font>
      <sz val="10"/>
      <color rgb="FFFF000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6">
    <xf numFmtId="0" fontId="0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/>
    <xf numFmtId="0" fontId="10" fillId="0" borderId="0">
      <protection locked="0"/>
    </xf>
    <xf numFmtId="38" fontId="11" fillId="0" borderId="0" applyFont="0" applyFill="0" applyBorder="0" applyAlignment="0" applyProtection="0"/>
    <xf numFmtId="178" fontId="1" fillId="0" borderId="0" applyFont="0" applyFill="0" applyBorder="0" applyAlignment="0" applyProtection="0"/>
    <xf numFmtId="3" fontId="12" fillId="0" borderId="0" applyFont="0" applyFill="0" applyBorder="0" applyAlignment="0" applyProtection="0"/>
    <xf numFmtId="183" fontId="1" fillId="0" borderId="0" applyFill="0" applyBorder="0" applyAlignment="0" applyProtection="0"/>
    <xf numFmtId="18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12" fillId="0" borderId="0" applyFont="0" applyFill="0" applyBorder="0" applyAlignment="0" applyProtection="0"/>
    <xf numFmtId="187" fontId="1" fillId="0" borderId="0" applyFont="0" applyFill="0" applyBorder="0" applyAlignment="0" applyProtection="0"/>
    <xf numFmtId="2" fontId="12" fillId="0" borderId="0" applyFont="0" applyFill="0" applyBorder="0" applyAlignment="0" applyProtection="0"/>
    <xf numFmtId="38" fontId="13" fillId="2" borderId="0" applyNumberFormat="0" applyBorder="0" applyAlignment="0" applyProtection="0"/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7" fillId="0" borderId="4" applyNumberFormat="0" applyBorder="0" applyAlignment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8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37" fontId="18" fillId="0" borderId="0"/>
    <xf numFmtId="0" fontId="1" fillId="0" borderId="0" applyNumberFormat="0" applyFill="0" applyBorder="0" applyAlignment="0" applyProtection="0"/>
    <xf numFmtId="186" fontId="19" fillId="0" borderId="0"/>
    <xf numFmtId="0" fontId="20" fillId="0" borderId="0"/>
    <xf numFmtId="10" fontId="1" fillId="0" borderId="0" applyFill="0" applyBorder="0" applyAlignment="0" applyProtection="0"/>
    <xf numFmtId="10" fontId="1" fillId="0" borderId="0" applyFont="0" applyFill="0" applyBorder="0" applyAlignment="0" applyProtection="0"/>
    <xf numFmtId="9" fontId="11" fillId="0" borderId="5" applyNumberFormat="0" applyBorder="0"/>
    <xf numFmtId="0" fontId="21" fillId="0" borderId="0" applyProtection="0"/>
    <xf numFmtId="0" fontId="22" fillId="2" borderId="0">
      <alignment horizontal="centerContinuous"/>
    </xf>
    <xf numFmtId="0" fontId="12" fillId="0" borderId="6" applyNumberFormat="0" applyFont="0" applyFill="0" applyAlignment="0" applyProtection="0"/>
    <xf numFmtId="0" fontId="4" fillId="0" borderId="0"/>
    <xf numFmtId="41" fontId="1" fillId="0" borderId="0" applyFont="0" applyFill="0" applyBorder="0" applyAlignment="0" applyProtection="0"/>
    <xf numFmtId="41" fontId="40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34">
    <xf numFmtId="0" fontId="0" fillId="0" borderId="0" xfId="0"/>
    <xf numFmtId="0" fontId="24" fillId="0" borderId="0" xfId="44" applyFont="1" applyAlignment="1">
      <alignment horizontal="centerContinuous" vertical="center"/>
    </xf>
    <xf numFmtId="41" fontId="25" fillId="0" borderId="0" xfId="40" applyFont="1" applyAlignment="1">
      <alignment horizontal="center" vertical="center"/>
    </xf>
    <xf numFmtId="0" fontId="24" fillId="0" borderId="0" xfId="44" applyFont="1" applyAlignment="1">
      <alignment horizontal="center" vertical="center"/>
    </xf>
    <xf numFmtId="0" fontId="6" fillId="0" borderId="0" xfId="44" applyAlignment="1">
      <alignment vertical="center"/>
    </xf>
    <xf numFmtId="0" fontId="26" fillId="0" borderId="0" xfId="44" applyFont="1" applyAlignment="1">
      <alignment horizontal="left" vertical="center"/>
    </xf>
    <xf numFmtId="0" fontId="26" fillId="0" borderId="0" xfId="44" applyFont="1" applyAlignment="1">
      <alignment vertical="center"/>
    </xf>
    <xf numFmtId="41" fontId="27" fillId="0" borderId="0" xfId="40" applyFont="1" applyAlignment="1">
      <alignment vertical="center"/>
    </xf>
    <xf numFmtId="31" fontId="26" fillId="0" borderId="0" xfId="44" quotePrefix="1" applyNumberFormat="1" applyFont="1" applyAlignment="1">
      <alignment vertical="center"/>
    </xf>
    <xf numFmtId="0" fontId="28" fillId="4" borderId="3" xfId="44" applyFont="1" applyFill="1" applyBorder="1" applyAlignment="1">
      <alignment horizontal="center" vertical="center"/>
    </xf>
    <xf numFmtId="0" fontId="28" fillId="4" borderId="3" xfId="44" applyFont="1" applyFill="1" applyBorder="1" applyAlignment="1">
      <alignment vertical="center"/>
    </xf>
    <xf numFmtId="41" fontId="28" fillId="0" borderId="0" xfId="40" applyFont="1" applyBorder="1" applyAlignment="1">
      <alignment horizontal="center" vertical="center"/>
    </xf>
    <xf numFmtId="0" fontId="28" fillId="0" borderId="0" xfId="44" applyFont="1" applyBorder="1" applyAlignment="1">
      <alignment horizontal="center" vertical="center"/>
    </xf>
    <xf numFmtId="0" fontId="29" fillId="0" borderId="0" xfId="44" applyFont="1" applyAlignment="1">
      <alignment vertical="center"/>
    </xf>
    <xf numFmtId="0" fontId="30" fillId="4" borderId="3" xfId="44" applyFont="1" applyFill="1" applyBorder="1" applyAlignment="1">
      <alignment horizontal="center" vertical="center"/>
    </xf>
    <xf numFmtId="0" fontId="29" fillId="0" borderId="3" xfId="44" applyFont="1" applyBorder="1" applyAlignment="1">
      <alignment vertical="center" shrinkToFit="1"/>
    </xf>
    <xf numFmtId="0" fontId="29" fillId="0" borderId="3" xfId="44" applyFont="1" applyBorder="1" applyAlignment="1">
      <alignment horizontal="center" vertical="center" shrinkToFit="1"/>
    </xf>
    <xf numFmtId="0" fontId="29" fillId="0" borderId="3" xfId="44" applyFont="1" applyBorder="1" applyAlignment="1">
      <alignment vertical="center"/>
    </xf>
    <xf numFmtId="179" fontId="2" fillId="0" borderId="3" xfId="40" applyNumberFormat="1" applyFont="1" applyBorder="1"/>
    <xf numFmtId="179" fontId="29" fillId="0" borderId="3" xfId="40" applyNumberFormat="1" applyFont="1" applyBorder="1" applyAlignment="1">
      <alignment vertical="center"/>
    </xf>
    <xf numFmtId="41" fontId="29" fillId="0" borderId="3" xfId="44" applyNumberFormat="1" applyFont="1" applyBorder="1" applyAlignment="1">
      <alignment horizontal="right" vertical="center"/>
    </xf>
    <xf numFmtId="41" fontId="29" fillId="0" borderId="3" xfId="40" applyFont="1" applyBorder="1" applyAlignment="1">
      <alignment vertical="center"/>
    </xf>
    <xf numFmtId="41" fontId="29" fillId="0" borderId="3" xfId="44" applyNumberFormat="1" applyFont="1" applyBorder="1" applyAlignment="1">
      <alignment vertical="center"/>
    </xf>
    <xf numFmtId="41" fontId="28" fillId="0" borderId="0" xfId="40" applyFont="1" applyBorder="1" applyAlignment="1">
      <alignment vertical="center"/>
    </xf>
    <xf numFmtId="0" fontId="29" fillId="0" borderId="0" xfId="44" applyFont="1" applyBorder="1" applyAlignment="1">
      <alignment vertical="center"/>
    </xf>
    <xf numFmtId="179" fontId="31" fillId="0" borderId="3" xfId="40" applyNumberFormat="1" applyFont="1" applyBorder="1" applyAlignment="1">
      <alignment vertical="center"/>
    </xf>
    <xf numFmtId="0" fontId="29" fillId="0" borderId="3" xfId="44" applyFont="1" applyFill="1" applyBorder="1" applyAlignment="1">
      <alignment vertical="center" shrinkToFit="1"/>
    </xf>
    <xf numFmtId="0" fontId="29" fillId="0" borderId="3" xfId="44" applyFont="1" applyFill="1" applyBorder="1" applyAlignment="1">
      <alignment horizontal="center" vertical="center" shrinkToFit="1"/>
    </xf>
    <xf numFmtId="0" fontId="29" fillId="0" borderId="3" xfId="44" applyFont="1" applyFill="1" applyBorder="1" applyAlignment="1">
      <alignment vertical="center"/>
    </xf>
    <xf numFmtId="179" fontId="29" fillId="0" borderId="3" xfId="40" applyNumberFormat="1" applyFont="1" applyFill="1" applyBorder="1" applyAlignment="1">
      <alignment vertical="center"/>
    </xf>
    <xf numFmtId="41" fontId="29" fillId="0" borderId="3" xfId="44" applyNumberFormat="1" applyFont="1" applyFill="1" applyBorder="1" applyAlignment="1">
      <alignment horizontal="right" vertical="center"/>
    </xf>
    <xf numFmtId="41" fontId="29" fillId="0" borderId="3" xfId="40" applyFont="1" applyFill="1" applyBorder="1" applyAlignment="1">
      <alignment vertical="center"/>
    </xf>
    <xf numFmtId="179" fontId="29" fillId="0" borderId="3" xfId="44" applyNumberFormat="1" applyFont="1" applyBorder="1" applyAlignment="1">
      <alignment vertical="center"/>
    </xf>
    <xf numFmtId="41" fontId="28" fillId="0" borderId="0" xfId="40" applyFont="1" applyAlignment="1">
      <alignment vertical="center"/>
    </xf>
    <xf numFmtId="0" fontId="29" fillId="0" borderId="3" xfId="44" applyFont="1" applyFill="1" applyBorder="1" applyAlignment="1">
      <alignment vertical="center" wrapText="1"/>
    </xf>
    <xf numFmtId="41" fontId="29" fillId="0" borderId="3" xfId="40" applyFont="1" applyBorder="1" applyAlignment="1">
      <alignment horizontal="right" vertical="center"/>
    </xf>
    <xf numFmtId="0" fontId="29" fillId="0" borderId="3" xfId="44" applyFont="1" applyBorder="1" applyAlignment="1">
      <alignment vertical="center" wrapText="1"/>
    </xf>
    <xf numFmtId="0" fontId="28" fillId="4" borderId="3" xfId="44" applyFont="1" applyFill="1" applyBorder="1" applyAlignment="1">
      <alignment horizontal="left" vertical="center" shrinkToFit="1"/>
    </xf>
    <xf numFmtId="0" fontId="29" fillId="4" borderId="3" xfId="44" applyFont="1" applyFill="1" applyBorder="1" applyAlignment="1">
      <alignment horizontal="center" vertical="center" shrinkToFit="1"/>
    </xf>
    <xf numFmtId="0" fontId="29" fillId="4" borderId="3" xfId="44" applyFont="1" applyFill="1" applyBorder="1" applyAlignment="1">
      <alignment vertical="center"/>
    </xf>
    <xf numFmtId="41" fontId="29" fillId="4" borderId="3" xfId="40" applyFont="1" applyFill="1" applyBorder="1" applyAlignment="1">
      <alignment vertical="center"/>
    </xf>
    <xf numFmtId="41" fontId="28" fillId="4" borderId="3" xfId="44" applyNumberFormat="1" applyFont="1" applyFill="1" applyBorder="1" applyAlignment="1">
      <alignment vertical="center"/>
    </xf>
    <xf numFmtId="180" fontId="29" fillId="4" borderId="3" xfId="40" applyNumberFormat="1" applyFont="1" applyFill="1" applyBorder="1" applyAlignment="1">
      <alignment horizontal="center" vertical="center" shrinkToFit="1"/>
    </xf>
    <xf numFmtId="41" fontId="28" fillId="4" borderId="3" xfId="40" applyFont="1" applyFill="1" applyBorder="1" applyAlignment="1">
      <alignment vertical="center"/>
    </xf>
    <xf numFmtId="188" fontId="29" fillId="4" borderId="3" xfId="44" applyNumberFormat="1" applyFont="1" applyFill="1" applyBorder="1" applyAlignment="1">
      <alignment horizontal="center" vertical="center"/>
    </xf>
    <xf numFmtId="0" fontId="29" fillId="0" borderId="3" xfId="44" applyFont="1" applyBorder="1" applyAlignment="1">
      <alignment horizontal="center" vertical="center"/>
    </xf>
    <xf numFmtId="0" fontId="28" fillId="4" borderId="3" xfId="44" applyFont="1" applyFill="1" applyBorder="1" applyAlignment="1">
      <alignment vertical="center" shrinkToFit="1"/>
    </xf>
    <xf numFmtId="0" fontId="29" fillId="5" borderId="3" xfId="44" applyFont="1" applyFill="1" applyBorder="1" applyAlignment="1">
      <alignment horizontal="center" vertical="center"/>
    </xf>
    <xf numFmtId="0" fontId="29" fillId="4" borderId="3" xfId="44" applyFont="1" applyFill="1" applyBorder="1" applyAlignment="1">
      <alignment horizontal="center" vertical="center"/>
    </xf>
    <xf numFmtId="41" fontId="28" fillId="0" borderId="0" xfId="40" applyFont="1" applyAlignment="1">
      <alignment horizontal="center" vertical="center"/>
    </xf>
    <xf numFmtId="0" fontId="32" fillId="0" borderId="0" xfId="44" applyFont="1" applyAlignment="1">
      <alignment vertical="center"/>
    </xf>
    <xf numFmtId="41" fontId="33" fillId="0" borderId="0" xfId="40" applyFont="1" applyAlignment="1">
      <alignment vertical="center"/>
    </xf>
    <xf numFmtId="0" fontId="34" fillId="0" borderId="0" xfId="44" applyFont="1" applyAlignment="1">
      <alignment vertical="center"/>
    </xf>
    <xf numFmtId="0" fontId="29" fillId="6" borderId="3" xfId="44" applyFont="1" applyFill="1" applyBorder="1" applyAlignment="1">
      <alignment horizontal="center" vertical="center" shrinkToFit="1"/>
    </xf>
    <xf numFmtId="179" fontId="2" fillId="0" borderId="3" xfId="40" applyNumberFormat="1" applyFont="1" applyBorder="1" applyAlignment="1">
      <alignment vertical="center" shrinkToFit="1"/>
    </xf>
    <xf numFmtId="179" fontId="29" fillId="0" borderId="3" xfId="40" applyNumberFormat="1" applyFont="1" applyBorder="1" applyAlignment="1">
      <alignment vertical="center" shrinkToFit="1"/>
    </xf>
    <xf numFmtId="41" fontId="29" fillId="0" borderId="3" xfId="44" applyNumberFormat="1" applyFont="1" applyBorder="1" applyAlignment="1">
      <alignment horizontal="right" vertical="center" shrinkToFit="1"/>
    </xf>
    <xf numFmtId="41" fontId="29" fillId="0" borderId="3" xfId="40" applyFont="1" applyBorder="1" applyAlignment="1">
      <alignment vertical="center" shrinkToFit="1"/>
    </xf>
    <xf numFmtId="41" fontId="29" fillId="0" borderId="3" xfId="44" applyNumberFormat="1" applyFont="1" applyBorder="1" applyAlignment="1">
      <alignment vertical="center" shrinkToFit="1"/>
    </xf>
    <xf numFmtId="179" fontId="31" fillId="0" borderId="3" xfId="40" applyNumberFormat="1" applyFont="1" applyBorder="1" applyAlignment="1">
      <alignment vertical="center" shrinkToFit="1"/>
    </xf>
    <xf numFmtId="0" fontId="29" fillId="5" borderId="3" xfId="44" applyFont="1" applyFill="1" applyBorder="1" applyAlignment="1">
      <alignment horizontal="center" vertical="center" shrinkToFit="1"/>
    </xf>
    <xf numFmtId="179" fontId="29" fillId="0" borderId="3" xfId="40" applyNumberFormat="1" applyFont="1" applyFill="1" applyBorder="1" applyAlignment="1">
      <alignment vertical="center" shrinkToFit="1"/>
    </xf>
    <xf numFmtId="41" fontId="29" fillId="0" borderId="3" xfId="44" applyNumberFormat="1" applyFont="1" applyFill="1" applyBorder="1" applyAlignment="1">
      <alignment horizontal="right" vertical="center" shrinkToFit="1"/>
    </xf>
    <xf numFmtId="41" fontId="29" fillId="0" borderId="3" xfId="40" applyFont="1" applyFill="1" applyBorder="1" applyAlignment="1">
      <alignment vertical="center" shrinkToFit="1"/>
    </xf>
    <xf numFmtId="179" fontId="31" fillId="0" borderId="3" xfId="44" applyNumberFormat="1" applyFont="1" applyBorder="1" applyAlignment="1">
      <alignment vertical="center" shrinkToFit="1"/>
    </xf>
    <xf numFmtId="179" fontId="29" fillId="0" borderId="3" xfId="44" applyNumberFormat="1" applyFont="1" applyBorder="1" applyAlignment="1">
      <alignment vertical="center" shrinkToFit="1"/>
    </xf>
    <xf numFmtId="41" fontId="29" fillId="0" borderId="3" xfId="40" applyFont="1" applyBorder="1" applyAlignment="1">
      <alignment horizontal="right" vertical="center" shrinkToFit="1"/>
    </xf>
    <xf numFmtId="0" fontId="29" fillId="4" borderId="3" xfId="44" applyFont="1" applyFill="1" applyBorder="1" applyAlignment="1">
      <alignment vertical="center" wrapText="1"/>
    </xf>
    <xf numFmtId="0" fontId="29" fillId="0" borderId="3" xfId="44" applyFont="1" applyFill="1" applyBorder="1" applyAlignment="1">
      <alignment horizontal="center" vertical="center"/>
    </xf>
    <xf numFmtId="0" fontId="37" fillId="0" borderId="0" xfId="44" applyFont="1" applyAlignment="1">
      <alignment vertical="center"/>
    </xf>
    <xf numFmtId="179" fontId="2" fillId="0" borderId="3" xfId="40" applyNumberFormat="1" applyFont="1" applyBorder="1" applyAlignment="1">
      <alignment shrinkToFit="1"/>
    </xf>
    <xf numFmtId="0" fontId="38" fillId="0" borderId="3" xfId="44" applyFont="1" applyBorder="1" applyAlignment="1">
      <alignment vertical="center" wrapText="1"/>
    </xf>
    <xf numFmtId="41" fontId="29" fillId="7" borderId="3" xfId="40" applyFont="1" applyFill="1" applyBorder="1" applyAlignment="1">
      <alignment vertical="center"/>
    </xf>
    <xf numFmtId="0" fontId="2" fillId="0" borderId="0" xfId="0" applyFont="1"/>
    <xf numFmtId="0" fontId="39" fillId="0" borderId="0" xfId="0" applyFont="1"/>
    <xf numFmtId="0" fontId="1" fillId="0" borderId="0" xfId="0" applyFont="1"/>
    <xf numFmtId="0" fontId="40" fillId="0" borderId="0" xfId="0" applyFont="1" applyFill="1"/>
    <xf numFmtId="0" fontId="40" fillId="0" borderId="0" xfId="0" applyFont="1"/>
    <xf numFmtId="0" fontId="40" fillId="0" borderId="3" xfId="0" applyFont="1" applyBorder="1" applyAlignment="1">
      <alignment horizontal="center"/>
    </xf>
    <xf numFmtId="0" fontId="40" fillId="0" borderId="3" xfId="0" applyFont="1" applyFill="1" applyBorder="1" applyAlignment="1">
      <alignment horizontal="center"/>
    </xf>
    <xf numFmtId="41" fontId="40" fillId="0" borderId="3" xfId="0" applyNumberFormat="1" applyFont="1" applyBorder="1"/>
    <xf numFmtId="0" fontId="40" fillId="7" borderId="7" xfId="0" applyFont="1" applyFill="1" applyBorder="1"/>
    <xf numFmtId="0" fontId="40" fillId="7" borderId="7" xfId="0" applyFont="1" applyFill="1" applyBorder="1" applyAlignment="1">
      <alignment horizontal="center"/>
    </xf>
    <xf numFmtId="0" fontId="2" fillId="7" borderId="7" xfId="0" applyFont="1" applyFill="1" applyBorder="1"/>
    <xf numFmtId="0" fontId="1" fillId="7" borderId="7" xfId="0" applyFont="1" applyFill="1" applyBorder="1"/>
    <xf numFmtId="0" fontId="3" fillId="8" borderId="7" xfId="0" applyFont="1" applyFill="1" applyBorder="1"/>
    <xf numFmtId="0" fontId="1" fillId="0" borderId="3" xfId="0" applyFont="1" applyBorder="1"/>
    <xf numFmtId="0" fontId="40" fillId="0" borderId="3" xfId="0" applyFont="1" applyBorder="1"/>
    <xf numFmtId="0" fontId="1" fillId="0" borderId="3" xfId="0" applyFont="1" applyFill="1" applyBorder="1"/>
    <xf numFmtId="0" fontId="2" fillId="0" borderId="3" xfId="0" applyFont="1" applyBorder="1"/>
    <xf numFmtId="0" fontId="40" fillId="0" borderId="3" xfId="0" applyFont="1" applyFill="1" applyBorder="1"/>
    <xf numFmtId="41" fontId="1" fillId="0" borderId="3" xfId="0" applyNumberFormat="1" applyFont="1" applyBorder="1"/>
    <xf numFmtId="41" fontId="40" fillId="0" borderId="3" xfId="0" applyNumberFormat="1" applyFont="1" applyFill="1" applyBorder="1"/>
    <xf numFmtId="41" fontId="1" fillId="0" borderId="3" xfId="0" applyNumberFormat="1" applyFont="1" applyFill="1" applyBorder="1"/>
    <xf numFmtId="41" fontId="28" fillId="9" borderId="3" xfId="44" applyNumberFormat="1" applyFont="1" applyFill="1" applyBorder="1" applyAlignment="1">
      <alignment vertical="center" shrinkToFit="1"/>
    </xf>
    <xf numFmtId="41" fontId="29" fillId="9" borderId="3" xfId="44" applyNumberFormat="1" applyFont="1" applyFill="1" applyBorder="1" applyAlignment="1">
      <alignment vertical="center"/>
    </xf>
    <xf numFmtId="41" fontId="29" fillId="9" borderId="3" xfId="44" applyNumberFormat="1" applyFont="1" applyFill="1" applyBorder="1" applyAlignment="1">
      <alignment vertical="center" shrinkToFit="1"/>
    </xf>
    <xf numFmtId="41" fontId="29" fillId="9" borderId="3" xfId="40" applyFont="1" applyFill="1" applyBorder="1" applyAlignment="1">
      <alignment horizontal="center" vertical="center" shrinkToFit="1"/>
    </xf>
    <xf numFmtId="41" fontId="40" fillId="0" borderId="0" xfId="40" applyFont="1"/>
    <xf numFmtId="41" fontId="1" fillId="0" borderId="3" xfId="40" applyFont="1" applyBorder="1"/>
    <xf numFmtId="41" fontId="1" fillId="0" borderId="3" xfId="40" applyFont="1" applyFill="1" applyBorder="1"/>
    <xf numFmtId="41" fontId="1" fillId="0" borderId="0" xfId="40" applyFont="1"/>
    <xf numFmtId="0" fontId="28" fillId="0" borderId="3" xfId="44" applyFont="1" applyBorder="1" applyAlignment="1">
      <alignment vertical="center" shrinkToFit="1"/>
    </xf>
    <xf numFmtId="179" fontId="29" fillId="0" borderId="3" xfId="41" applyNumberFormat="1" applyFont="1" applyBorder="1" applyAlignment="1">
      <alignment vertical="center"/>
    </xf>
    <xf numFmtId="41" fontId="29" fillId="0" borderId="3" xfId="41" applyFont="1" applyBorder="1" applyAlignment="1">
      <alignment vertical="center"/>
    </xf>
    <xf numFmtId="0" fontId="28" fillId="0" borderId="3" xfId="44" applyFont="1" applyBorder="1" applyAlignment="1">
      <alignment vertical="center" wrapText="1"/>
    </xf>
    <xf numFmtId="179" fontId="31" fillId="0" borderId="3" xfId="41" applyNumberFormat="1" applyFont="1" applyBorder="1" applyAlignment="1">
      <alignment vertical="center"/>
    </xf>
    <xf numFmtId="41" fontId="29" fillId="9" borderId="8" xfId="41" applyFont="1" applyFill="1" applyBorder="1" applyAlignment="1">
      <alignment vertical="center"/>
    </xf>
    <xf numFmtId="41" fontId="29" fillId="9" borderId="9" xfId="44" applyNumberFormat="1" applyFont="1" applyFill="1" applyBorder="1" applyAlignment="1">
      <alignment vertical="center"/>
    </xf>
    <xf numFmtId="41" fontId="29" fillId="4" borderId="10" xfId="40" applyFont="1" applyFill="1" applyBorder="1" applyAlignment="1">
      <alignment vertical="center"/>
    </xf>
    <xf numFmtId="41" fontId="29" fillId="0" borderId="9" xfId="44" applyNumberFormat="1" applyFont="1" applyBorder="1" applyAlignment="1">
      <alignment vertical="center" shrinkToFit="1"/>
    </xf>
    <xf numFmtId="188" fontId="29" fillId="4" borderId="10" xfId="44" applyNumberFormat="1" applyFont="1" applyFill="1" applyBorder="1" applyAlignment="1">
      <alignment horizontal="center" vertical="center"/>
    </xf>
    <xf numFmtId="0" fontId="29" fillId="0" borderId="8" xfId="44" applyFont="1" applyBorder="1" applyAlignment="1">
      <alignment vertical="center"/>
    </xf>
    <xf numFmtId="41" fontId="29" fillId="9" borderId="3" xfId="40" applyFont="1" applyFill="1" applyBorder="1" applyAlignment="1">
      <alignment vertical="center"/>
    </xf>
    <xf numFmtId="41" fontId="29" fillId="9" borderId="3" xfId="40" applyFont="1" applyFill="1" applyBorder="1" applyAlignment="1">
      <alignment vertical="center" shrinkToFit="1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shrinkToFit="1"/>
    </xf>
    <xf numFmtId="41" fontId="43" fillId="0" borderId="3" xfId="40" applyFont="1" applyBorder="1" applyAlignment="1">
      <alignment vertical="center" shrinkToFit="1"/>
    </xf>
    <xf numFmtId="179" fontId="44" fillId="0" borderId="3" xfId="40" applyNumberFormat="1" applyFont="1" applyBorder="1" applyAlignment="1">
      <alignment vertical="center" shrinkToFit="1"/>
    </xf>
    <xf numFmtId="179" fontId="43" fillId="0" borderId="3" xfId="40" applyNumberFormat="1" applyFont="1" applyBorder="1" applyAlignment="1">
      <alignment vertical="center" shrinkToFit="1"/>
    </xf>
    <xf numFmtId="41" fontId="43" fillId="0" borderId="3" xfId="40" applyFont="1" applyBorder="1" applyAlignment="1">
      <alignment horizontal="right" vertical="center" shrinkToFit="1"/>
    </xf>
    <xf numFmtId="41" fontId="43" fillId="0" borderId="3" xfId="44" applyNumberFormat="1" applyFont="1" applyBorder="1" applyAlignment="1">
      <alignment horizontal="right" vertical="center" shrinkToFit="1"/>
    </xf>
    <xf numFmtId="179" fontId="43" fillId="0" borderId="3" xfId="44" applyNumberFormat="1" applyFont="1" applyBorder="1" applyAlignment="1">
      <alignment vertical="center" shrinkToFit="1"/>
    </xf>
    <xf numFmtId="41" fontId="28" fillId="0" borderId="14" xfId="44" applyNumberFormat="1" applyFont="1" applyFill="1" applyBorder="1" applyAlignment="1">
      <alignment vertical="center"/>
    </xf>
    <xf numFmtId="41" fontId="29" fillId="0" borderId="8" xfId="41" applyFont="1" applyFill="1" applyBorder="1" applyAlignment="1">
      <alignment vertical="center"/>
    </xf>
    <xf numFmtId="41" fontId="29" fillId="0" borderId="3" xfId="44" applyNumberFormat="1" applyFont="1" applyFill="1" applyBorder="1" applyAlignment="1">
      <alignment vertical="center"/>
    </xf>
    <xf numFmtId="41" fontId="29" fillId="0" borderId="9" xfId="44" applyNumberFormat="1" applyFont="1" applyFill="1" applyBorder="1" applyAlignment="1">
      <alignment vertical="center"/>
    </xf>
    <xf numFmtId="41" fontId="28" fillId="0" borderId="14" xfId="40" applyFont="1" applyFill="1" applyBorder="1" applyAlignment="1">
      <alignment vertical="center"/>
    </xf>
    <xf numFmtId="41" fontId="43" fillId="0" borderId="3" xfId="44" applyNumberFormat="1" applyFont="1" applyBorder="1" applyAlignment="1">
      <alignment horizontal="right" vertical="center"/>
    </xf>
    <xf numFmtId="0" fontId="7" fillId="4" borderId="11" xfId="45" applyFill="1" applyBorder="1" applyAlignment="1" applyProtection="1">
      <alignment horizontal="center"/>
    </xf>
    <xf numFmtId="0" fontId="7" fillId="4" borderId="12" xfId="45" applyFill="1" applyBorder="1" applyAlignment="1" applyProtection="1">
      <alignment horizontal="center"/>
    </xf>
    <xf numFmtId="0" fontId="30" fillId="4" borderId="3" xfId="44" applyFont="1" applyFill="1" applyBorder="1" applyAlignment="1">
      <alignment horizontal="center" vertical="center"/>
    </xf>
    <xf numFmtId="41" fontId="29" fillId="5" borderId="10" xfId="44" applyNumberFormat="1" applyFont="1" applyFill="1" applyBorder="1" applyAlignment="1">
      <alignment horizontal="center" vertical="center" shrinkToFit="1"/>
    </xf>
    <xf numFmtId="0" fontId="29" fillId="5" borderId="13" xfId="44" applyFont="1" applyFill="1" applyBorder="1" applyAlignment="1">
      <alignment horizontal="center" vertical="center" shrinkToFit="1"/>
    </xf>
  </cellXfs>
  <cellStyles count="46"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Body" xfId="5"/>
    <cellStyle name="C￥AØ_¿μ¾÷CoE² " xfId="6"/>
    <cellStyle name="Comma" xfId="7"/>
    <cellStyle name="Comma [0]" xfId="8"/>
    <cellStyle name="Comma_ SG&amp;A Bridge " xfId="9"/>
    <cellStyle name="Comma0" xfId="10"/>
    <cellStyle name="Currency" xfId="11"/>
    <cellStyle name="Currency [0]" xfId="12"/>
    <cellStyle name="Currency_ SG&amp;A Bridge " xfId="13"/>
    <cellStyle name="Currency0" xfId="14"/>
    <cellStyle name="Date" xfId="15"/>
    <cellStyle name="Euro" xfId="16"/>
    <cellStyle name="Fixed" xfId="17"/>
    <cellStyle name="Grey" xfId="18"/>
    <cellStyle name="Header1" xfId="19"/>
    <cellStyle name="Header2" xfId="20"/>
    <cellStyle name="Heading 1" xfId="21"/>
    <cellStyle name="Heading 2" xfId="22"/>
    <cellStyle name="Input [yellow]" xfId="23"/>
    <cellStyle name="KIB" xfId="24"/>
    <cellStyle name="Milliers [0]_AR1194" xfId="25"/>
    <cellStyle name="Milliers_AR1194" xfId="26"/>
    <cellStyle name="Monétaire [0]_AR1194" xfId="27"/>
    <cellStyle name="Monétaire_AR1194" xfId="28"/>
    <cellStyle name="no dec" xfId="29"/>
    <cellStyle name="normal" xfId="30"/>
    <cellStyle name="Normal - Style1" xfId="31"/>
    <cellStyle name="Normal_mtopipe" xfId="32"/>
    <cellStyle name="Percent" xfId="33"/>
    <cellStyle name="Percent [2]" xfId="34"/>
    <cellStyle name="PERCENTAGE" xfId="35"/>
    <cellStyle name="Red Title" xfId="36"/>
    <cellStyle name="Title" xfId="37"/>
    <cellStyle name="Total" xfId="38"/>
    <cellStyle name="뷭?_BOOKSHIP" xfId="39"/>
    <cellStyle name="쉼표 [0]" xfId="40" builtinId="6"/>
    <cellStyle name="쉼표 [0] 3" xfId="41"/>
    <cellStyle name="콤마 [0]_#16" xfId="42"/>
    <cellStyle name="콤마_#16" xfId="43"/>
    <cellStyle name="표준" xfId="0" builtinId="0"/>
    <cellStyle name="표준_원가분석-RASLAFFAN-AB2" xfId="44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ydj\&#48376;&#49324;&#44204;&#51201;\&#46748;&#47476;&#45124;\&#51105;&#46041;&#49324;&#45768;\&#49884;&#54665;&#44552;&#5052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My%20Documents\Gulf(Enel)\&#44228;&#51109;\EREC%20SUM(REV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WINNT\Profiles\eric.gocho\Personal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gram%20Files\Microsoft%20Office\office\price.x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posal_PJT&#51088;&#47308;\PROPOSAL\Fujairah%20Desal\&#50696;&#47049;&#44396;&#47588;(Fujairah%20Piping)\&#50696;&#47049;&#44396;&#47588;BOM\Piping%20Specialty\PMS\loss&#44228;&#49328;-TAWEELAH-msf-jan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44053;&#54805;&#44540;\KANNUR2000\BM_Kannu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posal_PJT&#51088;&#47308;\PROPOSAL\Fujairah%20Desal\&#50696;&#47049;&#44396;&#47588;(Fujairah%20Piping)\&#50696;&#47049;&#44396;&#47588;BOM\Piping%20Specialty\PMS\loss&#44228;&#49328;-TAWEELAH-msf-ja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-pc\&#50689;&#50629;&#48512;&#49436;&#48260;\Project\Fujairah\Valve\Valve%20list%20&#51228;&#52636;\My%20Documents\Excel\Jebel-K\Valvelist-Jebel-'K'(4Unit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h-013211-2"/>
      <sheetName val="A7"/>
      <sheetName val="MOBIL"/>
      <sheetName val="Reference"/>
      <sheetName val="Eq. Mobilization"/>
      <sheetName val="COVER"/>
      <sheetName val="영업2"/>
      <sheetName val="영업3"/>
      <sheetName val="Sheet1"/>
      <sheetName val="DRUM"/>
      <sheetName val="대비표"/>
      <sheetName val="집계표(OPTION)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결재용 대비 금액"/>
      <sheetName val="견적대비 시행 "/>
      <sheetName val="FWBS7000,8000"/>
      <sheetName val="비교표"/>
      <sheetName val="MANPOWER"/>
      <sheetName val="CONSUMABLE"/>
      <sheetName val="산출근거"/>
      <sheetName val="BULK"/>
      <sheetName val="TOOL"/>
      <sheetName val="TEST"/>
      <sheetName val="CABLE TRAY"/>
      <sheetName val="Sheet1"/>
      <sheetName val="문제점"/>
      <sheetName val="DCS"/>
      <sheetName val="CMS"/>
      <sheetName val="INSTRUMENT"/>
      <sheetName val="VALVE"/>
      <sheetName val="CABLETRN"/>
      <sheetName val="CBLINJ"/>
      <sheetName val="F.O CABLE TERMI"/>
      <sheetName val="TRAY&amp;LADDER"/>
      <sheetName val="LOCAL INDICATION"/>
      <sheetName val="ANALYSER"/>
      <sheetName val="F&amp;G"/>
      <sheetName val="CABLE"/>
      <sheetName val="ANALYSIS SYS"/>
      <sheetName val="condition"/>
      <sheetName val="견적근거"/>
      <sheetName val="DCS ESD 3RD FG"/>
      <sheetName val="F&amp;G DETECTOR"/>
      <sheetName val="LOCAL FIELD"/>
      <sheetName val="FO RO VALVE"/>
      <sheetName val="package"/>
      <sheetName val="CABLErev1"/>
      <sheetName val="CABLE TC rev1"/>
      <sheetName val="TUBE"/>
      <sheetName val="TFTG"/>
      <sheetName val="PIPE"/>
      <sheetName val="PFTrev"/>
      <sheetName val="VLVrev1"/>
      <sheetName val="GLDrev1"/>
      <sheetName val="JB"/>
      <sheetName val="TRAY"/>
      <sheetName val="SUPPrev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"/>
      <sheetName val="총괄"/>
      <sheetName val="EREC SUM"/>
      <sheetName val="비교"/>
      <sheetName val="A1"/>
      <sheetName val="A2"/>
      <sheetName val="A3"/>
      <sheetName val="A4"/>
      <sheetName val="A5"/>
      <sheetName val="A6"/>
      <sheetName val="A7"/>
      <sheetName val="A8"/>
      <sheetName val="PRE-COMM'G"/>
      <sheetName val="SUM"/>
      <sheetName val="SUPPORT"/>
      <sheetName val="S-MATL"/>
      <sheetName val="SUM (물량비교))"/>
      <sheetName val="FWBS7000,8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8">
          <cell r="S68">
            <v>16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Book1"/>
      <sheetName val="#REF"/>
      <sheetName val="summary"/>
      <sheetName val="TF&amp;PS"/>
      <sheetName val="Piping Summary"/>
      <sheetName val="Product-part-a"/>
      <sheetName val="IO Mod List (2)"/>
      <sheetName val="IO Mod List (1)"/>
      <sheetName val="080-HIS-159"/>
      <sheetName val="080-HIS-160"/>
      <sheetName val="080-HIS-161"/>
      <sheetName val="080-HIS-162"/>
      <sheetName val="080-HIS-257"/>
      <sheetName val="080-HIS-258"/>
      <sheetName val="080-HIS-259"/>
      <sheetName val="080-HIS-260"/>
      <sheetName val="080-HIS-261"/>
      <sheetName val="080-HIS-262"/>
      <sheetName val="080-HIS-263"/>
      <sheetName val="080-HIS-264"/>
      <sheetName val="080-DCS-101"/>
      <sheetName val="080-DCS-102"/>
      <sheetName val="080-DCS-103"/>
      <sheetName val="080-DCS-104"/>
      <sheetName val="080-DCS-201"/>
      <sheetName val="080-DCS-202"/>
      <sheetName val="080-DCS-203"/>
      <sheetName val="080-DCS-204"/>
      <sheetName val="080-DCS-205"/>
      <sheetName val="080-DCS-206"/>
      <sheetName val="080-DCS-207"/>
      <sheetName val="14962"/>
      <sheetName val="14963"/>
      <sheetName val="14923"/>
      <sheetName val="55010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PumpSpec"/>
      <sheetName val="M-EQPT-Z"/>
      <sheetName val="ut"/>
      <sheetName val="t"/>
      <sheetName val="os"/>
      <sheetName val="PRO_DCI"/>
      <sheetName val="INST_DCI"/>
      <sheetName val="HVAC_DCI"/>
      <sheetName val="PIPE_DCI"/>
      <sheetName val="COVER"/>
      <sheetName val="SPARES"/>
      <sheetName val="일위대가집계표(이윤)"/>
      <sheetName val="일위대가집계표"/>
      <sheetName val="직접노무비산출근거(단가)"/>
      <sheetName val="목차"/>
      <sheetName val="공사설명서외"/>
      <sheetName val="설계명세서"/>
      <sheetName val="예산내역서"/>
      <sheetName val="일위대가"/>
      <sheetName val="XL4Poppy"/>
      <sheetName val="_x0001__x0000__x0001__x0000__xffff__xffff_ꤘ_x0000_"/>
      <sheetName val="[Command not available][Command"/>
      <sheetName val="#REF!"/>
      <sheetName val="7.6.3(B) UG Piping"/>
      <sheetName val="BQ"/>
      <sheetName val="Testing"/>
      <sheetName val="표지-2"/>
      <sheetName val="표지-1"/>
      <sheetName val="철골세우기"/>
      <sheetName val="장비사용계획"/>
      <sheetName val="판재LIST "/>
      <sheetName val="도장면적"/>
      <sheetName val="도장집계"/>
      <sheetName val="비파괴 검사"/>
      <sheetName val="형강재판재산출 "/>
      <sheetName val="비계공"/>
      <sheetName val="용접집계 "/>
      <sheetName val="용접집계표"/>
      <sheetName val="운반중량산출"/>
      <sheetName val="운반중량집계"/>
      <sheetName val="자재LIST"/>
      <sheetName val="가공총괄표"/>
      <sheetName val="총집계표"/>
      <sheetName val="철골가공조립"/>
      <sheetName val="단위중량표"/>
      <sheetName val="2공구산출내역"/>
      <sheetName val="단중표"/>
      <sheetName val="용선 C.L"/>
      <sheetName val="EXPAN-1"/>
      <sheetName val="cover "/>
      <sheetName val="제출"/>
      <sheetName val="제출 (2)"/>
      <sheetName val="compare"/>
      <sheetName val="1ST"/>
      <sheetName val="2F 회의실견적(5_14 일대)"/>
      <sheetName val="방수(씨텍)"/>
      <sheetName val="AL창호(기현-일성)"/>
      <sheetName val="인테리어(바우하우스전체)"/>
      <sheetName val="수리결과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환율표"/>
      <sheetName val="정부노임단가"/>
      <sheetName val="연돌일위집계"/>
      <sheetName val="당초"/>
      <sheetName val="DB_ET200(R. A)"/>
      <sheetName val="PSV2701F"/>
      <sheetName val="CODE"/>
      <sheetName val="TABLE"/>
      <sheetName val="인원현황"/>
      <sheetName val="공문"/>
      <sheetName val="참고"/>
      <sheetName val="LOAD 5 Wind "/>
      <sheetName val="D-3109"/>
      <sheetName val=" 견적서"/>
      <sheetName val="FCS0101-AIO"/>
      <sheetName val="FCS020101-AIO"/>
      <sheetName val="예산서"/>
      <sheetName val="REQDELTA"/>
      <sheetName val="Base_Data"/>
      <sheetName val="6.3.E.Insul (2)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Product-part-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 bundle"/>
      <sheetName val="steam table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ch CIF"/>
      <sheetName val="Elec CIF"/>
      <sheetName val="CNI CIF"/>
      <sheetName val="Piping CIF"/>
      <sheetName val="내역서"/>
      <sheetName val="Baby일위대가"/>
      <sheetName val="INSTR"/>
      <sheetName val="INPUT"/>
      <sheetName val="PipWT"/>
      <sheetName val="집계표(OPTION)"/>
      <sheetName val="CBE-VSL"/>
      <sheetName val="COVERSHEET PAGE"/>
      <sheetName val="98TSON4A"/>
      <sheetName val="Cover sheet"/>
      <sheetName val="Ox-Air"/>
      <sheetName val="영업소실적"/>
      <sheetName val="IT-BAT"/>
      <sheetName val="Units"/>
      <sheetName val="Instructions"/>
      <sheetName val="CABLE BULK"/>
      <sheetName val="CONT10"/>
      <sheetName val="Sohar담수Target"/>
      <sheetName val="Sheet1"/>
      <sheetName val="piping"/>
      <sheetName val="WE'T"/>
      <sheetName val="Baseplate(MAX COMP)"/>
      <sheetName val="DESCRIPTION"/>
      <sheetName val="BM DATA SHEET"/>
      <sheetName val="급여일반"/>
      <sheetName val="eq_data"/>
      <sheetName val="UG분석표"/>
      <sheetName val="Sheet3"/>
      <sheetName val="선가(조선)"/>
      <sheetName val="CABLE BM"/>
      <sheetName val="Macro"/>
      <sheetName val="Taux"/>
      <sheetName val="CABLE"/>
      <sheetName val="SVCS"/>
      <sheetName val="ORIGN"/>
      <sheetName val="STATU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 bundle"/>
      <sheetName val="steam table"/>
      <sheetName val="loss계산-TAWEELAH-msf-jan6"/>
      <sheetName val="환율-LIBOR"/>
      <sheetName val="내역(한신APT)"/>
      <sheetName val="INSULTABLE"/>
    </sheetNames>
    <sheetDataSet>
      <sheetData sheetId="0" refreshError="1"/>
      <sheetData sheetId="1" refreshError="1">
        <row r="5">
          <cell r="N5">
            <v>20</v>
          </cell>
          <cell r="O5">
            <v>2454.3000000000002</v>
          </cell>
          <cell r="P5">
            <v>21</v>
          </cell>
          <cell r="Q5">
            <v>2452</v>
          </cell>
        </row>
        <row r="6">
          <cell r="N6">
            <v>21</v>
          </cell>
          <cell r="O6">
            <v>2452</v>
          </cell>
          <cell r="P6">
            <v>22</v>
          </cell>
          <cell r="Q6">
            <v>2449.6</v>
          </cell>
        </row>
        <row r="7">
          <cell r="N7">
            <v>22</v>
          </cell>
          <cell r="O7">
            <v>2449.6</v>
          </cell>
          <cell r="P7">
            <v>23</v>
          </cell>
          <cell r="Q7">
            <v>2447.1999999999998</v>
          </cell>
        </row>
        <row r="8">
          <cell r="N8">
            <v>23</v>
          </cell>
          <cell r="O8">
            <v>2447.1999999999998</v>
          </cell>
          <cell r="P8">
            <v>24</v>
          </cell>
          <cell r="Q8">
            <v>2444.9</v>
          </cell>
        </row>
        <row r="9">
          <cell r="N9">
            <v>24</v>
          </cell>
          <cell r="O9">
            <v>2444.9</v>
          </cell>
          <cell r="P9">
            <v>25</v>
          </cell>
          <cell r="Q9">
            <v>2442.5</v>
          </cell>
        </row>
        <row r="10">
          <cell r="N10">
            <v>25</v>
          </cell>
          <cell r="O10">
            <v>2442.5</v>
          </cell>
          <cell r="P10">
            <v>26</v>
          </cell>
          <cell r="Q10">
            <v>2440.1999999999998</v>
          </cell>
        </row>
        <row r="11">
          <cell r="N11">
            <v>26</v>
          </cell>
          <cell r="O11">
            <v>2440.1999999999998</v>
          </cell>
          <cell r="P11">
            <v>27</v>
          </cell>
          <cell r="Q11">
            <v>2437.8000000000002</v>
          </cell>
        </row>
        <row r="12">
          <cell r="N12">
            <v>27</v>
          </cell>
          <cell r="O12">
            <v>2437.8000000000002</v>
          </cell>
          <cell r="P12">
            <v>28</v>
          </cell>
          <cell r="Q12">
            <v>2435.4</v>
          </cell>
        </row>
        <row r="13">
          <cell r="N13">
            <v>28</v>
          </cell>
          <cell r="O13">
            <v>2435.4</v>
          </cell>
          <cell r="P13">
            <v>29</v>
          </cell>
          <cell r="Q13">
            <v>2433.1</v>
          </cell>
        </row>
        <row r="14">
          <cell r="N14">
            <v>29</v>
          </cell>
          <cell r="O14">
            <v>2433.1</v>
          </cell>
          <cell r="P14">
            <v>30</v>
          </cell>
          <cell r="Q14">
            <v>2430.6999999999998</v>
          </cell>
        </row>
        <row r="15">
          <cell r="N15">
            <v>30</v>
          </cell>
          <cell r="O15">
            <v>2430.6999999999998</v>
          </cell>
          <cell r="P15">
            <v>31</v>
          </cell>
          <cell r="Q15">
            <v>2428.3000000000002</v>
          </cell>
        </row>
        <row r="16">
          <cell r="N16">
            <v>31</v>
          </cell>
          <cell r="O16">
            <v>2428.3000000000002</v>
          </cell>
          <cell r="P16">
            <v>32</v>
          </cell>
          <cell r="Q16">
            <v>2425.9</v>
          </cell>
        </row>
        <row r="17">
          <cell r="N17">
            <v>32</v>
          </cell>
          <cell r="O17">
            <v>2425.9</v>
          </cell>
          <cell r="P17">
            <v>33</v>
          </cell>
          <cell r="Q17">
            <v>2423.6</v>
          </cell>
        </row>
        <row r="18">
          <cell r="N18">
            <v>33</v>
          </cell>
          <cell r="O18">
            <v>2423.6</v>
          </cell>
          <cell r="P18">
            <v>34</v>
          </cell>
          <cell r="Q18">
            <v>2421.1999999999998</v>
          </cell>
        </row>
        <row r="19">
          <cell r="N19">
            <v>34</v>
          </cell>
          <cell r="O19">
            <v>2421.1999999999998</v>
          </cell>
          <cell r="P19">
            <v>35</v>
          </cell>
          <cell r="Q19">
            <v>2418.8000000000002</v>
          </cell>
        </row>
        <row r="20">
          <cell r="N20">
            <v>35</v>
          </cell>
          <cell r="O20">
            <v>2418.8000000000002</v>
          </cell>
          <cell r="P20">
            <v>36</v>
          </cell>
          <cell r="Q20">
            <v>2416.4</v>
          </cell>
        </row>
        <row r="21">
          <cell r="N21">
            <v>36</v>
          </cell>
          <cell r="O21">
            <v>2416.4</v>
          </cell>
          <cell r="P21">
            <v>37</v>
          </cell>
          <cell r="Q21">
            <v>2414.1</v>
          </cell>
        </row>
        <row r="22">
          <cell r="N22">
            <v>37</v>
          </cell>
          <cell r="O22">
            <v>2414.1</v>
          </cell>
          <cell r="P22">
            <v>38</v>
          </cell>
          <cell r="Q22">
            <v>2411.6999999999998</v>
          </cell>
        </row>
        <row r="23">
          <cell r="N23">
            <v>38</v>
          </cell>
          <cell r="O23">
            <v>2411.6999999999998</v>
          </cell>
          <cell r="P23">
            <v>39</v>
          </cell>
          <cell r="Q23">
            <v>2409.3000000000002</v>
          </cell>
        </row>
        <row r="24">
          <cell r="N24">
            <v>39</v>
          </cell>
          <cell r="O24">
            <v>2409.3000000000002</v>
          </cell>
          <cell r="P24">
            <v>40</v>
          </cell>
          <cell r="Q24">
            <v>2406.9</v>
          </cell>
        </row>
        <row r="25">
          <cell r="N25">
            <v>40</v>
          </cell>
          <cell r="O25">
            <v>2406.9</v>
          </cell>
          <cell r="P25">
            <v>41</v>
          </cell>
          <cell r="Q25">
            <v>2404.5</v>
          </cell>
        </row>
        <row r="26">
          <cell r="N26">
            <v>41</v>
          </cell>
          <cell r="O26">
            <v>2404.5</v>
          </cell>
          <cell r="P26">
            <v>42</v>
          </cell>
          <cell r="Q26">
            <v>2402.1</v>
          </cell>
        </row>
        <row r="27">
          <cell r="N27">
            <v>42</v>
          </cell>
          <cell r="O27">
            <v>2402.1</v>
          </cell>
          <cell r="P27">
            <v>43</v>
          </cell>
          <cell r="Q27">
            <v>2399.6999999999998</v>
          </cell>
        </row>
        <row r="28">
          <cell r="N28">
            <v>43</v>
          </cell>
          <cell r="O28">
            <v>2399.6999999999998</v>
          </cell>
          <cell r="P28">
            <v>44</v>
          </cell>
          <cell r="Q28">
            <v>2397.3000000000002</v>
          </cell>
        </row>
        <row r="29">
          <cell r="N29">
            <v>44</v>
          </cell>
          <cell r="O29">
            <v>2397.3000000000002</v>
          </cell>
          <cell r="P29">
            <v>45</v>
          </cell>
          <cell r="Q29">
            <v>2394.9</v>
          </cell>
        </row>
        <row r="30">
          <cell r="N30">
            <v>45</v>
          </cell>
          <cell r="O30">
            <v>2394.9</v>
          </cell>
          <cell r="P30">
            <v>46</v>
          </cell>
          <cell r="Q30">
            <v>2392.5</v>
          </cell>
        </row>
        <row r="31">
          <cell r="N31">
            <v>46</v>
          </cell>
          <cell r="O31">
            <v>2392.5</v>
          </cell>
          <cell r="P31">
            <v>47</v>
          </cell>
          <cell r="Q31">
            <v>2390.1</v>
          </cell>
        </row>
        <row r="32">
          <cell r="N32">
            <v>47</v>
          </cell>
          <cell r="O32">
            <v>2390.1</v>
          </cell>
          <cell r="P32">
            <v>48</v>
          </cell>
          <cell r="Q32">
            <v>2387.6999999999998</v>
          </cell>
        </row>
        <row r="33">
          <cell r="N33">
            <v>48</v>
          </cell>
          <cell r="O33">
            <v>2387.6999999999998</v>
          </cell>
          <cell r="P33">
            <v>49</v>
          </cell>
          <cell r="Q33">
            <v>2385.3000000000002</v>
          </cell>
        </row>
        <row r="34">
          <cell r="N34">
            <v>49</v>
          </cell>
          <cell r="O34">
            <v>2385.3000000000002</v>
          </cell>
          <cell r="P34">
            <v>50</v>
          </cell>
          <cell r="Q34">
            <v>2382.9</v>
          </cell>
        </row>
        <row r="35">
          <cell r="N35">
            <v>50</v>
          </cell>
          <cell r="O35">
            <v>2382.9</v>
          </cell>
          <cell r="P35">
            <v>51</v>
          </cell>
          <cell r="Q35">
            <v>2380.5</v>
          </cell>
        </row>
        <row r="36">
          <cell r="N36">
            <v>51</v>
          </cell>
          <cell r="O36">
            <v>2380.5</v>
          </cell>
          <cell r="P36">
            <v>52</v>
          </cell>
          <cell r="Q36">
            <v>2378.1</v>
          </cell>
        </row>
        <row r="37">
          <cell r="N37">
            <v>52</v>
          </cell>
          <cell r="O37">
            <v>2378.1</v>
          </cell>
          <cell r="P37">
            <v>53</v>
          </cell>
          <cell r="Q37">
            <v>2375.6999999999998</v>
          </cell>
        </row>
        <row r="38">
          <cell r="N38">
            <v>53</v>
          </cell>
          <cell r="O38">
            <v>2375.6999999999998</v>
          </cell>
          <cell r="P38">
            <v>54</v>
          </cell>
          <cell r="Q38">
            <v>2373.1999999999998</v>
          </cell>
        </row>
        <row r="39">
          <cell r="N39">
            <v>54</v>
          </cell>
          <cell r="O39">
            <v>2373.1999999999998</v>
          </cell>
          <cell r="P39">
            <v>55</v>
          </cell>
          <cell r="Q39">
            <v>2370.8000000000002</v>
          </cell>
        </row>
        <row r="40">
          <cell r="N40">
            <v>55</v>
          </cell>
          <cell r="O40">
            <v>2370.8000000000002</v>
          </cell>
          <cell r="P40">
            <v>56</v>
          </cell>
          <cell r="Q40">
            <v>2368.4</v>
          </cell>
        </row>
        <row r="41">
          <cell r="N41">
            <v>56</v>
          </cell>
          <cell r="O41">
            <v>2368.4</v>
          </cell>
          <cell r="P41">
            <v>57</v>
          </cell>
          <cell r="Q41">
            <v>2365.9</v>
          </cell>
        </row>
        <row r="42">
          <cell r="N42">
            <v>57</v>
          </cell>
          <cell r="O42">
            <v>2365.9</v>
          </cell>
          <cell r="P42">
            <v>58</v>
          </cell>
          <cell r="Q42">
            <v>2363.5</v>
          </cell>
        </row>
        <row r="43">
          <cell r="N43">
            <v>58</v>
          </cell>
          <cell r="O43">
            <v>2363.5</v>
          </cell>
          <cell r="P43">
            <v>59</v>
          </cell>
          <cell r="Q43">
            <v>2361.1</v>
          </cell>
        </row>
        <row r="44">
          <cell r="N44">
            <v>59</v>
          </cell>
          <cell r="O44">
            <v>2361.1</v>
          </cell>
          <cell r="P44">
            <v>60</v>
          </cell>
          <cell r="Q44">
            <v>2358.6</v>
          </cell>
        </row>
        <row r="45">
          <cell r="N45">
            <v>60</v>
          </cell>
          <cell r="O45">
            <v>2358.6</v>
          </cell>
          <cell r="P45">
            <v>61</v>
          </cell>
          <cell r="Q45">
            <v>2356.1999999999998</v>
          </cell>
        </row>
        <row r="46">
          <cell r="N46">
            <v>61</v>
          </cell>
          <cell r="O46">
            <v>2356.1999999999998</v>
          </cell>
          <cell r="P46">
            <v>62</v>
          </cell>
          <cell r="Q46">
            <v>2353.6999999999998</v>
          </cell>
        </row>
        <row r="47">
          <cell r="N47">
            <v>62</v>
          </cell>
          <cell r="O47">
            <v>2353.6999999999998</v>
          </cell>
          <cell r="P47">
            <v>63</v>
          </cell>
          <cell r="Q47">
            <v>2351.3000000000002</v>
          </cell>
        </row>
        <row r="48">
          <cell r="N48">
            <v>63</v>
          </cell>
          <cell r="O48">
            <v>2351.3000000000002</v>
          </cell>
          <cell r="P48">
            <v>64</v>
          </cell>
          <cell r="Q48">
            <v>2348.8000000000002</v>
          </cell>
        </row>
        <row r="49">
          <cell r="N49">
            <v>64</v>
          </cell>
          <cell r="O49">
            <v>2348.8000000000002</v>
          </cell>
          <cell r="P49">
            <v>65</v>
          </cell>
          <cell r="Q49">
            <v>2346.3000000000002</v>
          </cell>
        </row>
        <row r="50">
          <cell r="N50">
            <v>65</v>
          </cell>
          <cell r="O50">
            <v>2346.3000000000002</v>
          </cell>
          <cell r="P50">
            <v>66</v>
          </cell>
          <cell r="Q50">
            <v>2343.9</v>
          </cell>
        </row>
        <row r="51">
          <cell r="N51">
            <v>66</v>
          </cell>
          <cell r="O51">
            <v>2343.9</v>
          </cell>
          <cell r="P51">
            <v>67</v>
          </cell>
          <cell r="Q51">
            <v>2341.4</v>
          </cell>
        </row>
        <row r="52">
          <cell r="N52">
            <v>67</v>
          </cell>
          <cell r="O52">
            <v>2341.4</v>
          </cell>
          <cell r="P52">
            <v>68</v>
          </cell>
          <cell r="Q52">
            <v>2338.9</v>
          </cell>
        </row>
        <row r="53">
          <cell r="N53">
            <v>68</v>
          </cell>
          <cell r="O53">
            <v>2338.9</v>
          </cell>
          <cell r="P53">
            <v>69</v>
          </cell>
          <cell r="Q53">
            <v>2336.4</v>
          </cell>
        </row>
        <row r="54">
          <cell r="N54">
            <v>69</v>
          </cell>
          <cell r="O54">
            <v>2336.4</v>
          </cell>
          <cell r="P54">
            <v>70</v>
          </cell>
          <cell r="Q54">
            <v>2334</v>
          </cell>
        </row>
        <row r="55">
          <cell r="N55">
            <v>70</v>
          </cell>
          <cell r="O55">
            <v>2334</v>
          </cell>
          <cell r="P55">
            <v>71</v>
          </cell>
          <cell r="Q55">
            <v>2331.5</v>
          </cell>
        </row>
        <row r="56">
          <cell r="N56">
            <v>71</v>
          </cell>
          <cell r="O56">
            <v>2331.5</v>
          </cell>
          <cell r="P56">
            <v>72</v>
          </cell>
          <cell r="Q56">
            <v>2329</v>
          </cell>
        </row>
        <row r="57">
          <cell r="N57">
            <v>72</v>
          </cell>
          <cell r="O57">
            <v>2329</v>
          </cell>
          <cell r="P57">
            <v>73</v>
          </cell>
          <cell r="Q57">
            <v>2326.5</v>
          </cell>
        </row>
        <row r="58">
          <cell r="N58">
            <v>73</v>
          </cell>
          <cell r="O58">
            <v>2326.5</v>
          </cell>
          <cell r="P58">
            <v>74</v>
          </cell>
          <cell r="Q58">
            <v>2324</v>
          </cell>
        </row>
        <row r="59">
          <cell r="N59">
            <v>74</v>
          </cell>
          <cell r="O59">
            <v>2324</v>
          </cell>
          <cell r="P59">
            <v>75</v>
          </cell>
          <cell r="Q59">
            <v>2321.5</v>
          </cell>
        </row>
        <row r="60">
          <cell r="N60">
            <v>75</v>
          </cell>
          <cell r="O60">
            <v>2321.5</v>
          </cell>
          <cell r="P60">
            <v>76</v>
          </cell>
          <cell r="Q60">
            <v>2318.9</v>
          </cell>
        </row>
        <row r="61">
          <cell r="N61">
            <v>76</v>
          </cell>
          <cell r="O61">
            <v>2318.9</v>
          </cell>
          <cell r="P61">
            <v>77</v>
          </cell>
          <cell r="Q61">
            <v>2316.4</v>
          </cell>
        </row>
        <row r="62">
          <cell r="N62">
            <v>77</v>
          </cell>
          <cell r="O62">
            <v>2316.4</v>
          </cell>
          <cell r="P62">
            <v>78</v>
          </cell>
          <cell r="Q62">
            <v>2313.9</v>
          </cell>
        </row>
        <row r="63">
          <cell r="N63">
            <v>78</v>
          </cell>
          <cell r="O63">
            <v>2313.9</v>
          </cell>
          <cell r="P63">
            <v>79</v>
          </cell>
          <cell r="Q63">
            <v>2311.4</v>
          </cell>
        </row>
        <row r="64">
          <cell r="N64">
            <v>79</v>
          </cell>
          <cell r="O64">
            <v>2311.4</v>
          </cell>
          <cell r="P64">
            <v>80</v>
          </cell>
          <cell r="Q64">
            <v>2308.8000000000002</v>
          </cell>
        </row>
        <row r="65">
          <cell r="N65">
            <v>80</v>
          </cell>
          <cell r="O65">
            <v>2308.8000000000002</v>
          </cell>
          <cell r="P65">
            <v>81</v>
          </cell>
          <cell r="Q65">
            <v>2306.3000000000002</v>
          </cell>
        </row>
        <row r="66">
          <cell r="N66">
            <v>81</v>
          </cell>
          <cell r="O66">
            <v>2306.3000000000002</v>
          </cell>
          <cell r="P66">
            <v>82</v>
          </cell>
          <cell r="Q66">
            <v>2303.8000000000002</v>
          </cell>
        </row>
        <row r="67">
          <cell r="N67">
            <v>82</v>
          </cell>
          <cell r="O67">
            <v>2303.8000000000002</v>
          </cell>
          <cell r="P67">
            <v>83</v>
          </cell>
          <cell r="Q67">
            <v>2301.1999999999998</v>
          </cell>
        </row>
        <row r="68">
          <cell r="N68">
            <v>83</v>
          </cell>
          <cell r="O68">
            <v>2301.1999999999998</v>
          </cell>
          <cell r="P68">
            <v>84</v>
          </cell>
          <cell r="Q68">
            <v>2298.6999999999998</v>
          </cell>
        </row>
        <row r="69">
          <cell r="N69">
            <v>84</v>
          </cell>
          <cell r="O69">
            <v>2298.6999999999998</v>
          </cell>
          <cell r="P69">
            <v>85</v>
          </cell>
          <cell r="Q69">
            <v>2296.5</v>
          </cell>
        </row>
        <row r="70">
          <cell r="N70">
            <v>85</v>
          </cell>
          <cell r="O70">
            <v>2296.5</v>
          </cell>
          <cell r="P70">
            <v>86</v>
          </cell>
          <cell r="Q70">
            <v>2293.1</v>
          </cell>
        </row>
        <row r="71">
          <cell r="N71">
            <v>86</v>
          </cell>
          <cell r="O71">
            <v>2293.1</v>
          </cell>
          <cell r="P71">
            <v>87</v>
          </cell>
          <cell r="Q71">
            <v>2290.9</v>
          </cell>
        </row>
        <row r="72">
          <cell r="N72">
            <v>87</v>
          </cell>
          <cell r="O72">
            <v>2290.9</v>
          </cell>
          <cell r="P72">
            <v>88</v>
          </cell>
          <cell r="Q72">
            <v>2288.4</v>
          </cell>
        </row>
        <row r="73">
          <cell r="N73">
            <v>88</v>
          </cell>
          <cell r="O73">
            <v>2288.4</v>
          </cell>
          <cell r="P73">
            <v>89</v>
          </cell>
          <cell r="Q73">
            <v>2285.8000000000002</v>
          </cell>
        </row>
        <row r="74">
          <cell r="N74">
            <v>89</v>
          </cell>
          <cell r="O74">
            <v>2285.8000000000002</v>
          </cell>
          <cell r="P74">
            <v>90</v>
          </cell>
          <cell r="Q74">
            <v>2283.1999999999998</v>
          </cell>
        </row>
        <row r="75">
          <cell r="N75">
            <v>90</v>
          </cell>
          <cell r="O75">
            <v>2283.1999999999998</v>
          </cell>
          <cell r="P75">
            <v>91</v>
          </cell>
          <cell r="Q75">
            <v>2280.6</v>
          </cell>
        </row>
        <row r="76">
          <cell r="N76">
            <v>91</v>
          </cell>
          <cell r="O76">
            <v>2280.6</v>
          </cell>
          <cell r="P76">
            <v>92</v>
          </cell>
          <cell r="Q76">
            <v>2278</v>
          </cell>
        </row>
        <row r="77">
          <cell r="N77">
            <v>92</v>
          </cell>
          <cell r="O77">
            <v>2278</v>
          </cell>
          <cell r="P77">
            <v>93</v>
          </cell>
          <cell r="Q77">
            <v>2275.4</v>
          </cell>
        </row>
        <row r="78">
          <cell r="N78">
            <v>93</v>
          </cell>
          <cell r="O78">
            <v>2275.4</v>
          </cell>
          <cell r="P78">
            <v>94</v>
          </cell>
          <cell r="Q78">
            <v>2272.8000000000002</v>
          </cell>
        </row>
        <row r="79">
          <cell r="N79">
            <v>94</v>
          </cell>
          <cell r="O79">
            <v>2272.8000000000002</v>
          </cell>
          <cell r="P79">
            <v>95</v>
          </cell>
          <cell r="Q79">
            <v>2270.1999999999998</v>
          </cell>
        </row>
        <row r="80">
          <cell r="N80">
            <v>95</v>
          </cell>
          <cell r="O80">
            <v>2270.1999999999998</v>
          </cell>
          <cell r="P80">
            <v>96</v>
          </cell>
          <cell r="Q80">
            <v>2267.5</v>
          </cell>
        </row>
        <row r="81">
          <cell r="N81">
            <v>96</v>
          </cell>
          <cell r="O81">
            <v>2267.5</v>
          </cell>
          <cell r="P81">
            <v>97</v>
          </cell>
          <cell r="Q81">
            <v>2264.9</v>
          </cell>
        </row>
        <row r="82">
          <cell r="N82">
            <v>97</v>
          </cell>
          <cell r="O82">
            <v>2264.9</v>
          </cell>
          <cell r="P82">
            <v>98</v>
          </cell>
          <cell r="Q82">
            <v>2262.1999999999998</v>
          </cell>
        </row>
        <row r="83">
          <cell r="N83">
            <v>98</v>
          </cell>
          <cell r="O83">
            <v>2262.1999999999998</v>
          </cell>
          <cell r="P83">
            <v>99</v>
          </cell>
          <cell r="Q83">
            <v>2259.6</v>
          </cell>
        </row>
        <row r="84">
          <cell r="N84">
            <v>99</v>
          </cell>
          <cell r="O84">
            <v>2259.6</v>
          </cell>
          <cell r="P84">
            <v>100</v>
          </cell>
          <cell r="Q84">
            <v>2256.9</v>
          </cell>
        </row>
        <row r="85">
          <cell r="N85">
            <v>100</v>
          </cell>
          <cell r="O85">
            <v>2256.9</v>
          </cell>
          <cell r="P85">
            <v>101</v>
          </cell>
          <cell r="Q85">
            <v>2254.3000000000002</v>
          </cell>
        </row>
        <row r="86">
          <cell r="N86">
            <v>101</v>
          </cell>
          <cell r="O86">
            <v>2254.3000000000002</v>
          </cell>
          <cell r="P86">
            <v>102</v>
          </cell>
          <cell r="Q86">
            <v>2251.6</v>
          </cell>
        </row>
        <row r="87">
          <cell r="N87">
            <v>102</v>
          </cell>
          <cell r="O87">
            <v>2251.6</v>
          </cell>
          <cell r="P87">
            <v>103</v>
          </cell>
          <cell r="Q87">
            <v>2248.9</v>
          </cell>
        </row>
        <row r="88">
          <cell r="N88">
            <v>103</v>
          </cell>
          <cell r="O88">
            <v>2248.9</v>
          </cell>
          <cell r="P88">
            <v>104</v>
          </cell>
          <cell r="Q88">
            <v>2246.3000000000002</v>
          </cell>
        </row>
        <row r="89">
          <cell r="N89">
            <v>104</v>
          </cell>
          <cell r="O89">
            <v>2246.3000000000002</v>
          </cell>
          <cell r="P89">
            <v>105</v>
          </cell>
          <cell r="Q89">
            <v>2243.6</v>
          </cell>
        </row>
        <row r="90">
          <cell r="N90">
            <v>105</v>
          </cell>
          <cell r="O90">
            <v>2243.6</v>
          </cell>
          <cell r="P90">
            <v>106</v>
          </cell>
          <cell r="Q90">
            <v>2240.9</v>
          </cell>
        </row>
        <row r="91">
          <cell r="N91">
            <v>106</v>
          </cell>
          <cell r="O91">
            <v>2240.9</v>
          </cell>
          <cell r="P91">
            <v>107</v>
          </cell>
          <cell r="Q91">
            <v>2238.1999999999998</v>
          </cell>
        </row>
        <row r="92">
          <cell r="N92">
            <v>107</v>
          </cell>
          <cell r="O92">
            <v>2238.1999999999998</v>
          </cell>
          <cell r="P92">
            <v>108</v>
          </cell>
          <cell r="Q92">
            <v>2235.4</v>
          </cell>
        </row>
        <row r="93">
          <cell r="N93">
            <v>108</v>
          </cell>
          <cell r="O93">
            <v>2235.4</v>
          </cell>
          <cell r="P93">
            <v>109</v>
          </cell>
          <cell r="Q93">
            <v>2232.6999999999998</v>
          </cell>
        </row>
        <row r="94">
          <cell r="N94">
            <v>109</v>
          </cell>
          <cell r="O94">
            <v>2232.6999999999998</v>
          </cell>
          <cell r="P94">
            <v>110</v>
          </cell>
          <cell r="Q94">
            <v>2230</v>
          </cell>
        </row>
        <row r="95">
          <cell r="N95">
            <v>110</v>
          </cell>
          <cell r="O95">
            <v>2230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ve total"/>
      <sheetName val="Weight"/>
      <sheetName val="Valve total(4units)"/>
      <sheetName val="Valve"/>
      <sheetName val="Control valve"/>
      <sheetName val="Specialty"/>
      <sheetName val="S.Cooler"/>
      <sheetName val="Pivot"/>
      <sheetName val="Pivot2"/>
      <sheetName val="Vendor 집계표"/>
      <sheetName val="Project별 집계표"/>
      <sheetName val="Vendor"/>
      <sheetName val="w't table"/>
      <sheetName val="steam table"/>
      <sheetName val="내역(한신APT)"/>
      <sheetName val="CBE-VS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E2" t="str">
            <v>bw</v>
          </cell>
          <cell r="AF2" t="str">
            <v>flanged</v>
          </cell>
        </row>
        <row r="3">
          <cell r="AE3">
            <v>35</v>
          </cell>
          <cell r="AF3">
            <v>34</v>
          </cell>
        </row>
        <row r="4">
          <cell r="AE4">
            <v>35</v>
          </cell>
          <cell r="AF4">
            <v>34</v>
          </cell>
        </row>
        <row r="5">
          <cell r="AE5">
            <v>35</v>
          </cell>
          <cell r="AF5">
            <v>34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99.&#44204;&#51201;&#51088;&#47308;\2.Dimension%20Table\DIMENSION%20TABLE-WW(09.05.18).xlsx" TargetMode="External"/><Relationship Id="rId1" Type="http://schemas.openxmlformats.org/officeDocument/2006/relationships/hyperlink" Target="..\99.&#44204;&#51201;&#51088;&#47308;\1.&#47785;&#54805;%20Table\PATTERN&#44288;&#47532;&#45824;&#51109;%20(20131029)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view="pageBreakPreview" zoomScale="85" zoomScaleNormal="100" zoomScaleSheetLayoutView="85" workbookViewId="0">
      <selection activeCell="C27" sqref="C27"/>
    </sheetView>
  </sheetViews>
  <sheetFormatPr defaultColWidth="9.140625" defaultRowHeight="12.75"/>
  <cols>
    <col min="1" max="1" width="23.85546875" style="77" bestFit="1" customWidth="1"/>
    <col min="2" max="2" width="15.7109375" style="77" bestFit="1" customWidth="1"/>
    <col min="3" max="3" width="11.7109375" style="77" customWidth="1"/>
    <col min="4" max="4" width="12.7109375" style="77" customWidth="1"/>
    <col min="5" max="5" width="10.28515625" style="77" customWidth="1"/>
    <col min="6" max="6" width="16.140625" style="77" customWidth="1"/>
    <col min="7" max="7" width="14.140625" style="98" customWidth="1"/>
    <col min="8" max="8" width="12.5703125" style="98" customWidth="1"/>
    <col min="9" max="9" width="11.7109375" style="98" customWidth="1"/>
    <col min="10" max="10" width="13.42578125" style="77" customWidth="1"/>
    <col min="11" max="11" width="7.42578125" style="77" customWidth="1"/>
    <col min="12" max="12" width="12" style="77" customWidth="1"/>
    <col min="13" max="16384" width="9.140625" style="77"/>
  </cols>
  <sheetData>
    <row r="1" spans="1:18" ht="15.95" customHeight="1" thickBot="1">
      <c r="K1" s="75"/>
      <c r="L1" s="75"/>
      <c r="M1" s="75"/>
      <c r="N1" s="75"/>
      <c r="O1" s="75"/>
      <c r="P1" s="75"/>
      <c r="Q1" s="75"/>
      <c r="R1" s="75"/>
    </row>
    <row r="2" spans="1:18" s="75" customFormat="1" ht="15.95" customHeight="1" thickBot="1">
      <c r="A2" s="83" t="s">
        <v>498</v>
      </c>
      <c r="B2" s="84">
        <v>1</v>
      </c>
      <c r="E2" s="78" t="s">
        <v>501</v>
      </c>
      <c r="F2" s="79" t="s">
        <v>487</v>
      </c>
      <c r="G2" s="99" t="s">
        <v>504</v>
      </c>
      <c r="H2" s="100" t="s">
        <v>505</v>
      </c>
      <c r="I2" s="99" t="s">
        <v>509</v>
      </c>
      <c r="J2" s="88" t="s">
        <v>508</v>
      </c>
      <c r="K2" s="89" t="s">
        <v>498</v>
      </c>
      <c r="L2" s="90" t="s">
        <v>507</v>
      </c>
      <c r="M2" s="77"/>
      <c r="N2" s="77"/>
      <c r="O2" s="77"/>
      <c r="P2" s="77"/>
      <c r="Q2" s="77"/>
      <c r="R2" s="77"/>
    </row>
    <row r="3" spans="1:18" s="75" customFormat="1" ht="15.95" customHeight="1" thickBot="1">
      <c r="B3" s="75" t="s">
        <v>499</v>
      </c>
      <c r="C3" s="73" t="s">
        <v>500</v>
      </c>
      <c r="E3" s="78">
        <v>100</v>
      </c>
      <c r="F3" s="80">
        <f>'100A'!K40</f>
        <v>448600</v>
      </c>
      <c r="G3" s="99"/>
      <c r="H3" s="99"/>
      <c r="I3" s="99"/>
      <c r="J3" s="86"/>
      <c r="K3" s="87">
        <f>B2</f>
        <v>1</v>
      </c>
      <c r="L3" s="87">
        <f>B16</f>
        <v>1</v>
      </c>
      <c r="M3" s="77"/>
      <c r="N3" s="77"/>
      <c r="O3" s="77"/>
      <c r="P3" s="77"/>
      <c r="Q3" s="77"/>
      <c r="R3" s="77"/>
    </row>
    <row r="4" spans="1:18" s="74" customFormat="1" ht="15.95" customHeight="1" thickBot="1">
      <c r="A4" s="85" t="s">
        <v>163</v>
      </c>
      <c r="B4" s="85" t="s">
        <v>530</v>
      </c>
      <c r="C4" s="85">
        <v>2600</v>
      </c>
      <c r="E4" s="78">
        <v>125</v>
      </c>
      <c r="F4" s="80">
        <f>'125A'!K40</f>
        <v>486350</v>
      </c>
      <c r="G4" s="99"/>
      <c r="H4" s="99"/>
      <c r="I4" s="99"/>
      <c r="J4" s="86"/>
      <c r="K4" s="87">
        <f>B2</f>
        <v>1</v>
      </c>
      <c r="L4" s="87">
        <f>B16</f>
        <v>1</v>
      </c>
      <c r="M4" s="77"/>
      <c r="N4" s="77"/>
      <c r="O4" s="77"/>
      <c r="P4" s="77"/>
      <c r="Q4" s="77"/>
      <c r="R4" s="77"/>
    </row>
    <row r="5" spans="1:18" s="74" customFormat="1" ht="15.95" customHeight="1" thickBot="1">
      <c r="A5" s="85" t="s">
        <v>165</v>
      </c>
      <c r="B5" s="85" t="s">
        <v>530</v>
      </c>
      <c r="C5" s="85">
        <v>2600</v>
      </c>
      <c r="E5" s="78">
        <v>150</v>
      </c>
      <c r="F5" s="80">
        <f>'150A'!K40</f>
        <v>573595</v>
      </c>
      <c r="G5" s="99"/>
      <c r="H5" s="99"/>
      <c r="I5" s="99"/>
      <c r="J5" s="86"/>
      <c r="K5" s="87">
        <f>B2</f>
        <v>1</v>
      </c>
      <c r="L5" s="87">
        <f>B16</f>
        <v>1</v>
      </c>
      <c r="M5" s="77"/>
      <c r="N5" s="77"/>
      <c r="O5" s="77"/>
      <c r="P5" s="77"/>
      <c r="Q5" s="77"/>
      <c r="R5" s="77"/>
    </row>
    <row r="6" spans="1:18" s="74" customFormat="1" ht="15.95" customHeight="1" thickBot="1">
      <c r="A6" s="85" t="s">
        <v>0</v>
      </c>
      <c r="B6" s="85" t="s">
        <v>523</v>
      </c>
      <c r="C6" s="85">
        <v>8500</v>
      </c>
      <c r="E6" s="78">
        <v>200</v>
      </c>
      <c r="F6" s="80">
        <f>'200A'!K40</f>
        <v>718242</v>
      </c>
      <c r="G6" s="99"/>
      <c r="H6" s="99"/>
      <c r="I6" s="99"/>
      <c r="J6" s="86"/>
      <c r="K6" s="87">
        <f>B2</f>
        <v>1</v>
      </c>
      <c r="L6" s="87">
        <f>B16</f>
        <v>1</v>
      </c>
      <c r="M6" s="77"/>
      <c r="N6" s="77"/>
      <c r="O6" s="77"/>
      <c r="P6" s="77"/>
      <c r="Q6" s="77"/>
      <c r="R6" s="77"/>
    </row>
    <row r="7" spans="1:18" s="74" customFormat="1" ht="15.95" customHeight="1" thickBot="1">
      <c r="A7" s="85" t="s">
        <v>1</v>
      </c>
      <c r="B7" s="85" t="s">
        <v>25</v>
      </c>
      <c r="C7" s="85">
        <v>8500</v>
      </c>
      <c r="E7" s="78">
        <v>250</v>
      </c>
      <c r="F7" s="80">
        <f>'250A'!K40</f>
        <v>940349</v>
      </c>
      <c r="G7" s="99">
        <v>3740000</v>
      </c>
      <c r="H7" s="99">
        <f>ROUND(G7/K7,0)</f>
        <v>3740000</v>
      </c>
      <c r="I7" s="99">
        <f>ROUND(H7*L7,0)</f>
        <v>3740000</v>
      </c>
      <c r="J7" s="91">
        <f>I7+F7</f>
        <v>4680349</v>
      </c>
      <c r="K7" s="87">
        <f>B2</f>
        <v>1</v>
      </c>
      <c r="L7" s="87">
        <f>B16</f>
        <v>1</v>
      </c>
      <c r="M7" s="77"/>
      <c r="N7" s="77"/>
      <c r="O7" s="77"/>
      <c r="P7" s="77"/>
      <c r="Q7" s="77"/>
      <c r="R7" s="77"/>
    </row>
    <row r="8" spans="1:18" s="74" customFormat="1" ht="15.95" customHeight="1" thickBot="1">
      <c r="A8" s="85" t="s">
        <v>475</v>
      </c>
      <c r="B8" s="85" t="s">
        <v>25</v>
      </c>
      <c r="C8" s="85">
        <v>8500</v>
      </c>
      <c r="E8" s="78">
        <v>300</v>
      </c>
      <c r="F8" s="80">
        <f>'300A'!K40</f>
        <v>1269525</v>
      </c>
      <c r="G8" s="99">
        <v>3740000</v>
      </c>
      <c r="H8" s="99">
        <f t="shared" ref="H8:H39" si="0">ROUND(G8/K8,0)</f>
        <v>3740000</v>
      </c>
      <c r="I8" s="99">
        <f t="shared" ref="I8:I39" si="1">ROUND(H8*L8,0)</f>
        <v>3740000</v>
      </c>
      <c r="J8" s="91">
        <f t="shared" ref="J8:J39" si="2">I8+F8</f>
        <v>5009525</v>
      </c>
      <c r="K8" s="87">
        <f>B2</f>
        <v>1</v>
      </c>
      <c r="L8" s="87">
        <f>B16</f>
        <v>1</v>
      </c>
      <c r="M8" s="77"/>
      <c r="N8" s="77"/>
      <c r="O8" s="77"/>
      <c r="P8" s="77"/>
      <c r="Q8" s="77"/>
      <c r="R8" s="77"/>
    </row>
    <row r="9" spans="1:18" s="74" customFormat="1" ht="15.95" customHeight="1" thickBot="1">
      <c r="A9" s="85" t="s">
        <v>476</v>
      </c>
      <c r="B9" s="85" t="s">
        <v>510</v>
      </c>
      <c r="C9" s="85">
        <v>12500</v>
      </c>
      <c r="E9" s="78">
        <v>350</v>
      </c>
      <c r="F9" s="80">
        <f>'350A'!K40</f>
        <v>1370020</v>
      </c>
      <c r="G9" s="99">
        <v>4370000</v>
      </c>
      <c r="H9" s="99">
        <f t="shared" si="0"/>
        <v>4370000</v>
      </c>
      <c r="I9" s="99">
        <f t="shared" si="1"/>
        <v>4370000</v>
      </c>
      <c r="J9" s="91">
        <f t="shared" si="2"/>
        <v>5740020</v>
      </c>
      <c r="K9" s="87">
        <f>B2</f>
        <v>1</v>
      </c>
      <c r="L9" s="87">
        <f>B16</f>
        <v>1</v>
      </c>
      <c r="M9" s="77"/>
      <c r="N9" s="77"/>
      <c r="O9" s="77"/>
      <c r="P9" s="77"/>
      <c r="Q9" s="77"/>
      <c r="R9" s="77"/>
    </row>
    <row r="10" spans="1:18" s="74" customFormat="1" ht="15.95" customHeight="1" thickBot="1">
      <c r="A10" s="85" t="s">
        <v>2</v>
      </c>
      <c r="B10" s="85" t="s">
        <v>517</v>
      </c>
      <c r="C10" s="85">
        <v>12500</v>
      </c>
      <c r="E10" s="78">
        <v>400</v>
      </c>
      <c r="F10" s="80">
        <f>'400A'!K40</f>
        <v>2191546</v>
      </c>
      <c r="G10" s="99">
        <v>4370000</v>
      </c>
      <c r="H10" s="99">
        <f t="shared" si="0"/>
        <v>4370000</v>
      </c>
      <c r="I10" s="99">
        <f t="shared" si="1"/>
        <v>4370000</v>
      </c>
      <c r="J10" s="91">
        <f t="shared" si="2"/>
        <v>6561546</v>
      </c>
      <c r="K10" s="87">
        <f>B2</f>
        <v>1</v>
      </c>
      <c r="L10" s="87">
        <f>B16</f>
        <v>1</v>
      </c>
      <c r="M10" s="77"/>
      <c r="N10" s="77"/>
      <c r="O10" s="77"/>
      <c r="P10" s="77"/>
      <c r="Q10" s="77"/>
      <c r="R10" s="77"/>
    </row>
    <row r="11" spans="1:18" s="74" customFormat="1" ht="15.95" customHeight="1" thickBot="1">
      <c r="A11" s="85" t="s">
        <v>477</v>
      </c>
      <c r="B11" s="85" t="s">
        <v>529</v>
      </c>
      <c r="C11" s="85">
        <v>2600</v>
      </c>
      <c r="E11" s="78">
        <v>450</v>
      </c>
      <c r="F11" s="80">
        <f>'450A'!K40</f>
        <v>2655904</v>
      </c>
      <c r="G11" s="99">
        <v>4370000</v>
      </c>
      <c r="H11" s="99">
        <f t="shared" si="0"/>
        <v>4370000</v>
      </c>
      <c r="I11" s="99">
        <f t="shared" si="1"/>
        <v>4370000</v>
      </c>
      <c r="J11" s="91">
        <f t="shared" si="2"/>
        <v>7025904</v>
      </c>
      <c r="K11" s="87">
        <f>B2</f>
        <v>1</v>
      </c>
      <c r="L11" s="87">
        <f>B16</f>
        <v>1</v>
      </c>
      <c r="M11" s="77"/>
      <c r="N11" s="77"/>
      <c r="O11" s="77"/>
      <c r="P11" s="77"/>
      <c r="Q11" s="77"/>
      <c r="R11" s="77"/>
    </row>
    <row r="12" spans="1:18" s="74" customFormat="1" ht="15.95" customHeight="1" thickBot="1">
      <c r="A12" s="85" t="s">
        <v>478</v>
      </c>
      <c r="B12" s="85" t="s">
        <v>528</v>
      </c>
      <c r="C12" s="85">
        <v>2600</v>
      </c>
      <c r="E12" s="78">
        <v>500</v>
      </c>
      <c r="F12" s="80">
        <f>'500A'!K40</f>
        <v>2808900</v>
      </c>
      <c r="G12" s="99">
        <v>4910000</v>
      </c>
      <c r="H12" s="99">
        <f t="shared" si="0"/>
        <v>4910000</v>
      </c>
      <c r="I12" s="99">
        <f t="shared" si="1"/>
        <v>4910000</v>
      </c>
      <c r="J12" s="91">
        <f t="shared" si="2"/>
        <v>7718900</v>
      </c>
      <c r="K12" s="87">
        <f>B2</f>
        <v>1</v>
      </c>
      <c r="L12" s="87">
        <f>B16</f>
        <v>1</v>
      </c>
      <c r="M12" s="77"/>
      <c r="N12" s="77"/>
      <c r="O12" s="77"/>
      <c r="P12" s="77"/>
      <c r="Q12" s="77"/>
      <c r="R12" s="77"/>
    </row>
    <row r="13" spans="1:18" s="74" customFormat="1" ht="15.95" customHeight="1" thickBot="1">
      <c r="A13" s="85" t="s">
        <v>3</v>
      </c>
      <c r="B13" s="85" t="s">
        <v>529</v>
      </c>
      <c r="C13" s="85">
        <v>2600</v>
      </c>
      <c r="E13" s="78">
        <v>550</v>
      </c>
      <c r="F13" s="80">
        <f>'550A'!K40</f>
        <v>3405895</v>
      </c>
      <c r="G13" s="99">
        <v>4910000</v>
      </c>
      <c r="H13" s="99">
        <f t="shared" si="0"/>
        <v>4910000</v>
      </c>
      <c r="I13" s="99">
        <f t="shared" si="1"/>
        <v>4910000</v>
      </c>
      <c r="J13" s="91">
        <f t="shared" si="2"/>
        <v>8315895</v>
      </c>
      <c r="K13" s="87">
        <f>B2</f>
        <v>1</v>
      </c>
      <c r="L13" s="87">
        <f>B16</f>
        <v>1</v>
      </c>
      <c r="M13" s="77"/>
      <c r="N13" s="77"/>
      <c r="O13" s="77"/>
      <c r="P13" s="77"/>
      <c r="Q13" s="77"/>
      <c r="R13" s="77"/>
    </row>
    <row r="14" spans="1:18" ht="15.95" customHeight="1" thickBot="1">
      <c r="A14" s="76"/>
      <c r="B14" s="76"/>
      <c r="C14" s="76"/>
      <c r="E14" s="79">
        <v>600</v>
      </c>
      <c r="F14" s="92">
        <f>'600A'!K40</f>
        <v>3993065.76</v>
      </c>
      <c r="G14" s="100">
        <v>4910000</v>
      </c>
      <c r="H14" s="100">
        <f t="shared" si="0"/>
        <v>4910000</v>
      </c>
      <c r="I14" s="100">
        <f t="shared" si="1"/>
        <v>4910000</v>
      </c>
      <c r="J14" s="93">
        <f t="shared" si="2"/>
        <v>8903065.7599999998</v>
      </c>
      <c r="K14" s="90">
        <f>B2</f>
        <v>1</v>
      </c>
      <c r="L14" s="90">
        <f>B16</f>
        <v>1</v>
      </c>
    </row>
    <row r="15" spans="1:18" ht="15.95" customHeight="1" thickBot="1">
      <c r="A15" s="81" t="s">
        <v>199</v>
      </c>
      <c r="B15" s="82">
        <v>1</v>
      </c>
      <c r="C15" s="76"/>
      <c r="E15" s="78">
        <v>650</v>
      </c>
      <c r="F15" s="80">
        <f>'650A'!K40</f>
        <v>4502730</v>
      </c>
      <c r="G15" s="99">
        <v>4910000</v>
      </c>
      <c r="H15" s="99">
        <f t="shared" si="0"/>
        <v>4910000</v>
      </c>
      <c r="I15" s="99">
        <f t="shared" si="1"/>
        <v>4910000</v>
      </c>
      <c r="J15" s="91">
        <f t="shared" si="2"/>
        <v>9412730</v>
      </c>
      <c r="K15" s="87">
        <f>B2</f>
        <v>1</v>
      </c>
      <c r="L15" s="87">
        <f>B16</f>
        <v>1</v>
      </c>
    </row>
    <row r="16" spans="1:18" ht="15.95" customHeight="1" thickBot="1">
      <c r="A16" s="81" t="s">
        <v>506</v>
      </c>
      <c r="B16" s="82">
        <v>1</v>
      </c>
      <c r="E16" s="78">
        <v>700</v>
      </c>
      <c r="F16" s="80">
        <f>'700A'!K40</f>
        <v>4396130</v>
      </c>
      <c r="G16" s="99">
        <v>6310000</v>
      </c>
      <c r="H16" s="99">
        <f t="shared" si="0"/>
        <v>6310000</v>
      </c>
      <c r="I16" s="99">
        <f t="shared" si="1"/>
        <v>6310000</v>
      </c>
      <c r="J16" s="91">
        <f t="shared" si="2"/>
        <v>10706130</v>
      </c>
      <c r="K16" s="87">
        <f>B2</f>
        <v>1</v>
      </c>
      <c r="L16" s="87">
        <f>B16</f>
        <v>1</v>
      </c>
    </row>
    <row r="17" spans="1:12" ht="15.95" customHeight="1" thickBot="1">
      <c r="A17" s="115" t="s">
        <v>518</v>
      </c>
      <c r="B17" s="116" t="s">
        <v>524</v>
      </c>
      <c r="E17" s="78">
        <v>750</v>
      </c>
      <c r="F17" s="80">
        <f>'750A'!K40</f>
        <v>5273538</v>
      </c>
      <c r="G17" s="99">
        <v>6310000</v>
      </c>
      <c r="H17" s="99">
        <f t="shared" si="0"/>
        <v>6310000</v>
      </c>
      <c r="I17" s="99">
        <f t="shared" si="1"/>
        <v>6310000</v>
      </c>
      <c r="J17" s="91">
        <f t="shared" si="2"/>
        <v>11583538</v>
      </c>
      <c r="K17" s="87">
        <f>B2</f>
        <v>1</v>
      </c>
      <c r="L17" s="87">
        <f>B16</f>
        <v>1</v>
      </c>
    </row>
    <row r="18" spans="1:12" ht="15.95" customHeight="1" thickBot="1">
      <c r="A18" s="129" t="s">
        <v>525</v>
      </c>
      <c r="B18" s="130"/>
      <c r="E18" s="78">
        <v>800</v>
      </c>
      <c r="F18" s="80">
        <f>'800A'!K40</f>
        <v>6119997.5</v>
      </c>
      <c r="G18" s="99">
        <v>6310000</v>
      </c>
      <c r="H18" s="99">
        <f t="shared" si="0"/>
        <v>6310000</v>
      </c>
      <c r="I18" s="99">
        <f t="shared" si="1"/>
        <v>6310000</v>
      </c>
      <c r="J18" s="91">
        <f t="shared" si="2"/>
        <v>12429997.5</v>
      </c>
      <c r="K18" s="87">
        <f>B2</f>
        <v>1</v>
      </c>
      <c r="L18" s="87">
        <f>B16</f>
        <v>1</v>
      </c>
    </row>
    <row r="19" spans="1:12" ht="15.95" customHeight="1" thickBot="1">
      <c r="A19" s="129" t="s">
        <v>526</v>
      </c>
      <c r="B19" s="130"/>
      <c r="E19" s="78">
        <v>850</v>
      </c>
      <c r="F19" s="80">
        <f>'850A'!K40</f>
        <v>7116000</v>
      </c>
      <c r="G19" s="99">
        <v>7670000</v>
      </c>
      <c r="H19" s="99">
        <f t="shared" si="0"/>
        <v>7670000</v>
      </c>
      <c r="I19" s="99">
        <f t="shared" si="1"/>
        <v>7670000</v>
      </c>
      <c r="J19" s="91">
        <f t="shared" si="2"/>
        <v>14786000</v>
      </c>
      <c r="K19" s="87">
        <f>B2</f>
        <v>1</v>
      </c>
      <c r="L19" s="87">
        <f>B16</f>
        <v>1</v>
      </c>
    </row>
    <row r="20" spans="1:12" ht="15.95" customHeight="1">
      <c r="E20" s="78">
        <v>900</v>
      </c>
      <c r="F20" s="80">
        <f>'900A'!K40</f>
        <v>8542270</v>
      </c>
      <c r="G20" s="99">
        <v>10410000</v>
      </c>
      <c r="H20" s="99">
        <f t="shared" si="0"/>
        <v>10410000</v>
      </c>
      <c r="I20" s="99">
        <f t="shared" si="1"/>
        <v>10410000</v>
      </c>
      <c r="J20" s="91">
        <f t="shared" si="2"/>
        <v>18952270</v>
      </c>
      <c r="K20" s="87">
        <f>B2</f>
        <v>1</v>
      </c>
      <c r="L20" s="87">
        <f>B16</f>
        <v>1</v>
      </c>
    </row>
    <row r="21" spans="1:12" ht="15.95" customHeight="1">
      <c r="E21" s="78">
        <v>950</v>
      </c>
      <c r="F21" s="80">
        <f>'950A'!K40</f>
        <v>8909085</v>
      </c>
      <c r="G21" s="99">
        <v>10410000</v>
      </c>
      <c r="H21" s="99">
        <f t="shared" si="0"/>
        <v>10410000</v>
      </c>
      <c r="I21" s="99">
        <f t="shared" si="1"/>
        <v>10410000</v>
      </c>
      <c r="J21" s="91">
        <f t="shared" si="2"/>
        <v>19319085</v>
      </c>
      <c r="K21" s="87">
        <f>B2</f>
        <v>1</v>
      </c>
      <c r="L21" s="87">
        <f>B16</f>
        <v>1</v>
      </c>
    </row>
    <row r="22" spans="1:12" ht="15.95" customHeight="1">
      <c r="E22" s="78">
        <v>1000</v>
      </c>
      <c r="F22" s="80">
        <f>'1000A'!K40</f>
        <v>9878065</v>
      </c>
      <c r="G22" s="99">
        <v>10410000</v>
      </c>
      <c r="H22" s="99">
        <f t="shared" si="0"/>
        <v>10410000</v>
      </c>
      <c r="I22" s="99">
        <f t="shared" si="1"/>
        <v>10410000</v>
      </c>
      <c r="J22" s="91">
        <f t="shared" si="2"/>
        <v>20288065</v>
      </c>
      <c r="K22" s="87">
        <f>B2</f>
        <v>1</v>
      </c>
      <c r="L22" s="87">
        <f>B16</f>
        <v>1</v>
      </c>
    </row>
    <row r="23" spans="1:12" ht="15.95" customHeight="1">
      <c r="E23" s="78">
        <v>1050</v>
      </c>
      <c r="F23" s="80">
        <f>'1050A'!K40</f>
        <v>10618765</v>
      </c>
      <c r="G23" s="99">
        <v>10410000</v>
      </c>
      <c r="H23" s="99">
        <f t="shared" si="0"/>
        <v>10410000</v>
      </c>
      <c r="I23" s="99">
        <f t="shared" si="1"/>
        <v>10410000</v>
      </c>
      <c r="J23" s="91">
        <f t="shared" si="2"/>
        <v>21028765</v>
      </c>
      <c r="K23" s="87">
        <f>B2</f>
        <v>1</v>
      </c>
      <c r="L23" s="87">
        <f>B16</f>
        <v>1</v>
      </c>
    </row>
    <row r="24" spans="1:12" ht="15.95" customHeight="1">
      <c r="E24" s="78">
        <v>1100</v>
      </c>
      <c r="F24" s="80">
        <f>'1100A'!K40</f>
        <v>11399545</v>
      </c>
      <c r="G24" s="99">
        <v>10410000</v>
      </c>
      <c r="H24" s="99">
        <f t="shared" si="0"/>
        <v>10410000</v>
      </c>
      <c r="I24" s="99">
        <f t="shared" si="1"/>
        <v>10410000</v>
      </c>
      <c r="J24" s="91">
        <f t="shared" si="2"/>
        <v>21809545</v>
      </c>
      <c r="K24" s="87">
        <f>B2</f>
        <v>1</v>
      </c>
      <c r="L24" s="87">
        <f>B16</f>
        <v>1</v>
      </c>
    </row>
    <row r="25" spans="1:12" ht="15.95" customHeight="1">
      <c r="E25" s="78">
        <v>1200</v>
      </c>
      <c r="F25" s="80">
        <f>'1200A'!K40</f>
        <v>13161824</v>
      </c>
      <c r="G25" s="99">
        <v>10410000</v>
      </c>
      <c r="H25" s="99">
        <f t="shared" si="0"/>
        <v>10410000</v>
      </c>
      <c r="I25" s="99">
        <f t="shared" si="1"/>
        <v>10410000</v>
      </c>
      <c r="J25" s="91">
        <f t="shared" si="2"/>
        <v>23571824</v>
      </c>
      <c r="K25" s="87">
        <f>B2</f>
        <v>1</v>
      </c>
      <c r="L25" s="87">
        <f>B16</f>
        <v>1</v>
      </c>
    </row>
    <row r="26" spans="1:12" ht="15.95" customHeight="1">
      <c r="E26" s="78">
        <v>1300</v>
      </c>
      <c r="F26" s="80">
        <f>'1300A'!K40</f>
        <v>15186924</v>
      </c>
      <c r="G26" s="99">
        <v>10410000</v>
      </c>
      <c r="H26" s="99">
        <f t="shared" si="0"/>
        <v>10410000</v>
      </c>
      <c r="I26" s="99">
        <f t="shared" si="1"/>
        <v>10410000</v>
      </c>
      <c r="J26" s="91">
        <f t="shared" si="2"/>
        <v>25596924</v>
      </c>
      <c r="K26" s="87">
        <f>B2</f>
        <v>1</v>
      </c>
      <c r="L26" s="87">
        <f>B16</f>
        <v>1</v>
      </c>
    </row>
    <row r="27" spans="1:12" ht="15.95" customHeight="1">
      <c r="E27" s="78">
        <v>1400</v>
      </c>
      <c r="F27" s="80">
        <f>'1400A'!K40</f>
        <v>17349960</v>
      </c>
      <c r="G27" s="99">
        <v>10410000</v>
      </c>
      <c r="H27" s="99">
        <f t="shared" si="0"/>
        <v>10410000</v>
      </c>
      <c r="I27" s="99">
        <f t="shared" si="1"/>
        <v>10410000</v>
      </c>
      <c r="J27" s="91">
        <f t="shared" si="2"/>
        <v>27759960</v>
      </c>
      <c r="K27" s="87">
        <f>B2</f>
        <v>1</v>
      </c>
      <c r="L27" s="87">
        <f>B16</f>
        <v>1</v>
      </c>
    </row>
    <row r="28" spans="1:12" ht="15.95" customHeight="1">
      <c r="E28" s="78">
        <v>1500</v>
      </c>
      <c r="F28" s="80">
        <f>'1500A'!K40</f>
        <v>19665390</v>
      </c>
      <c r="G28" s="99">
        <v>14770000</v>
      </c>
      <c r="H28" s="99">
        <f t="shared" si="0"/>
        <v>14770000</v>
      </c>
      <c r="I28" s="99">
        <f t="shared" si="1"/>
        <v>14770000</v>
      </c>
      <c r="J28" s="91">
        <f t="shared" si="2"/>
        <v>34435390</v>
      </c>
      <c r="K28" s="87">
        <f>B2</f>
        <v>1</v>
      </c>
      <c r="L28" s="87">
        <f>B16</f>
        <v>1</v>
      </c>
    </row>
    <row r="29" spans="1:12" ht="15.95" customHeight="1">
      <c r="E29" s="78">
        <v>1600</v>
      </c>
      <c r="F29" s="80">
        <f>'1600A'!K43</f>
        <v>23994125</v>
      </c>
      <c r="G29" s="99">
        <v>14770000</v>
      </c>
      <c r="H29" s="99">
        <f t="shared" si="0"/>
        <v>14770000</v>
      </c>
      <c r="I29" s="99">
        <f t="shared" si="1"/>
        <v>14770000</v>
      </c>
      <c r="J29" s="91">
        <f t="shared" si="2"/>
        <v>38764125</v>
      </c>
      <c r="K29" s="87">
        <f>B2</f>
        <v>1</v>
      </c>
      <c r="L29" s="87">
        <f>B16</f>
        <v>1</v>
      </c>
    </row>
    <row r="30" spans="1:12" ht="15.95" customHeight="1">
      <c r="E30" s="78">
        <v>1650</v>
      </c>
      <c r="F30" s="80">
        <f>'1650A'!K43</f>
        <v>26006275</v>
      </c>
      <c r="G30" s="99">
        <v>14770000</v>
      </c>
      <c r="H30" s="99">
        <f t="shared" si="0"/>
        <v>14770000</v>
      </c>
      <c r="I30" s="99">
        <f t="shared" si="1"/>
        <v>14770000</v>
      </c>
      <c r="J30" s="91">
        <f t="shared" si="2"/>
        <v>40776275</v>
      </c>
      <c r="K30" s="87">
        <f>B2</f>
        <v>1</v>
      </c>
      <c r="L30" s="87">
        <f>B16</f>
        <v>1</v>
      </c>
    </row>
    <row r="31" spans="1:12" ht="15.95" customHeight="1">
      <c r="E31" s="78">
        <v>1700</v>
      </c>
      <c r="F31" s="80">
        <f>'1700A'!K43</f>
        <v>28456225</v>
      </c>
      <c r="G31" s="99">
        <v>14770000</v>
      </c>
      <c r="H31" s="99">
        <f t="shared" si="0"/>
        <v>14770000</v>
      </c>
      <c r="I31" s="99">
        <f t="shared" si="1"/>
        <v>14770000</v>
      </c>
      <c r="J31" s="91">
        <f t="shared" si="2"/>
        <v>43226225</v>
      </c>
      <c r="K31" s="87">
        <f>B2</f>
        <v>1</v>
      </c>
      <c r="L31" s="87">
        <f>B16</f>
        <v>1</v>
      </c>
    </row>
    <row r="32" spans="1:12" ht="15.95" customHeight="1">
      <c r="E32" s="79">
        <v>1800</v>
      </c>
      <c r="F32" s="92">
        <f>'1800A'!K43</f>
        <v>42404700</v>
      </c>
      <c r="G32" s="100">
        <v>23460000</v>
      </c>
      <c r="H32" s="100">
        <f t="shared" si="0"/>
        <v>23460000</v>
      </c>
      <c r="I32" s="100">
        <f t="shared" si="1"/>
        <v>23460000</v>
      </c>
      <c r="J32" s="93">
        <f t="shared" si="2"/>
        <v>65864700</v>
      </c>
      <c r="K32" s="90">
        <f>B2</f>
        <v>1</v>
      </c>
      <c r="L32" s="90">
        <f>B16</f>
        <v>1</v>
      </c>
    </row>
    <row r="33" spans="2:12" ht="15.95" customHeight="1">
      <c r="E33" s="78">
        <v>1900</v>
      </c>
      <c r="F33" s="80">
        <f>'1900A'!K43</f>
        <v>30916780</v>
      </c>
      <c r="G33" s="99">
        <v>23460000</v>
      </c>
      <c r="H33" s="99">
        <f t="shared" si="0"/>
        <v>23460000</v>
      </c>
      <c r="I33" s="99">
        <f t="shared" si="1"/>
        <v>23460000</v>
      </c>
      <c r="J33" s="91">
        <f t="shared" si="2"/>
        <v>54376780</v>
      </c>
      <c r="K33" s="87">
        <f>B2</f>
        <v>1</v>
      </c>
      <c r="L33" s="87">
        <f>B16</f>
        <v>1</v>
      </c>
    </row>
    <row r="34" spans="2:12" ht="15.95" customHeight="1">
      <c r="E34" s="78">
        <v>1950</v>
      </c>
      <c r="F34" s="80">
        <f>'1950A'!K43</f>
        <v>31548960</v>
      </c>
      <c r="G34" s="99">
        <v>23460000</v>
      </c>
      <c r="H34" s="99">
        <f t="shared" si="0"/>
        <v>23460000</v>
      </c>
      <c r="I34" s="99">
        <f t="shared" si="1"/>
        <v>23460000</v>
      </c>
      <c r="J34" s="91">
        <f t="shared" si="2"/>
        <v>55008960</v>
      </c>
      <c r="K34" s="87">
        <f>B2</f>
        <v>1</v>
      </c>
      <c r="L34" s="87">
        <f>B16</f>
        <v>1</v>
      </c>
    </row>
    <row r="35" spans="2:12" ht="15.95" customHeight="1">
      <c r="E35" s="78">
        <v>2000</v>
      </c>
      <c r="F35" s="80">
        <f>'2000A'!K43</f>
        <v>34025642</v>
      </c>
      <c r="G35" s="99">
        <v>23460000</v>
      </c>
      <c r="H35" s="99">
        <f t="shared" si="0"/>
        <v>23460000</v>
      </c>
      <c r="I35" s="99">
        <f t="shared" si="1"/>
        <v>23460000</v>
      </c>
      <c r="J35" s="91">
        <f t="shared" si="2"/>
        <v>57485642</v>
      </c>
      <c r="K35" s="87">
        <f>B2</f>
        <v>1</v>
      </c>
      <c r="L35" s="87">
        <f>B16</f>
        <v>1</v>
      </c>
    </row>
    <row r="36" spans="2:12" ht="15.95" customHeight="1">
      <c r="E36" s="78">
        <v>2100</v>
      </c>
      <c r="F36" s="80">
        <f>'2100A'!K43</f>
        <v>36414422</v>
      </c>
      <c r="G36" s="99">
        <v>23460000</v>
      </c>
      <c r="H36" s="99">
        <f t="shared" si="0"/>
        <v>23460000</v>
      </c>
      <c r="I36" s="99">
        <f t="shared" si="1"/>
        <v>23460000</v>
      </c>
      <c r="J36" s="91">
        <f t="shared" si="2"/>
        <v>59874422</v>
      </c>
      <c r="K36" s="87">
        <f>B2</f>
        <v>1</v>
      </c>
      <c r="L36" s="87">
        <f>B16</f>
        <v>1</v>
      </c>
    </row>
    <row r="37" spans="2:12" ht="15.95" customHeight="1">
      <c r="E37" s="78">
        <v>2200</v>
      </c>
      <c r="F37" s="80">
        <f>'2250A'!K43</f>
        <v>40791752</v>
      </c>
      <c r="G37" s="99">
        <v>23460000</v>
      </c>
      <c r="H37" s="99">
        <f t="shared" si="0"/>
        <v>23460000</v>
      </c>
      <c r="I37" s="99">
        <f t="shared" si="1"/>
        <v>23460000</v>
      </c>
      <c r="J37" s="91">
        <f t="shared" si="2"/>
        <v>64251752</v>
      </c>
      <c r="K37" s="87">
        <f>B2</f>
        <v>1</v>
      </c>
      <c r="L37" s="87">
        <f>B16</f>
        <v>1</v>
      </c>
    </row>
    <row r="38" spans="2:12" ht="15.95" customHeight="1">
      <c r="E38" s="78">
        <v>2400</v>
      </c>
      <c r="F38" s="80">
        <f>'2400A'!K43</f>
        <v>49212017</v>
      </c>
      <c r="G38" s="99">
        <v>23460000</v>
      </c>
      <c r="H38" s="99">
        <f t="shared" si="0"/>
        <v>23460000</v>
      </c>
      <c r="I38" s="99">
        <f t="shared" si="1"/>
        <v>23460000</v>
      </c>
      <c r="J38" s="91">
        <f t="shared" si="2"/>
        <v>72672017</v>
      </c>
      <c r="K38" s="87">
        <f>B2</f>
        <v>1</v>
      </c>
      <c r="L38" s="87">
        <f>B16</f>
        <v>1</v>
      </c>
    </row>
    <row r="39" spans="2:12" ht="15.95" customHeight="1">
      <c r="E39" s="78">
        <v>2500</v>
      </c>
      <c r="F39" s="80">
        <f>'2500A'!K43</f>
        <v>55634142</v>
      </c>
      <c r="G39" s="99">
        <v>23460000</v>
      </c>
      <c r="H39" s="99">
        <f t="shared" si="0"/>
        <v>23460000</v>
      </c>
      <c r="I39" s="99">
        <f t="shared" si="1"/>
        <v>23460000</v>
      </c>
      <c r="J39" s="91">
        <f t="shared" si="2"/>
        <v>79094142</v>
      </c>
      <c r="K39" s="87">
        <f>B2</f>
        <v>1</v>
      </c>
      <c r="L39" s="87">
        <f>B16</f>
        <v>1</v>
      </c>
    </row>
    <row r="40" spans="2:12" ht="15.95" customHeight="1">
      <c r="G40" s="101"/>
      <c r="H40" s="101"/>
      <c r="I40" s="101"/>
      <c r="J40" s="75"/>
    </row>
    <row r="41" spans="2:12" ht="15.95" customHeight="1">
      <c r="B41" t="s">
        <v>520</v>
      </c>
      <c r="G41" s="101"/>
      <c r="H41" s="101"/>
      <c r="I41" s="101"/>
      <c r="J41" s="75"/>
    </row>
    <row r="42" spans="2:12" ht="15.95" customHeight="1">
      <c r="B42" t="s">
        <v>521</v>
      </c>
      <c r="G42" s="101"/>
      <c r="H42" s="101"/>
      <c r="I42" s="101"/>
      <c r="J42" s="75"/>
    </row>
    <row r="43" spans="2:12" ht="15.95" customHeight="1">
      <c r="B43" t="s">
        <v>522</v>
      </c>
      <c r="G43" s="101"/>
      <c r="H43" s="101"/>
      <c r="I43" s="101"/>
      <c r="J43" s="75"/>
    </row>
    <row r="44" spans="2:12" ht="15.95" customHeight="1">
      <c r="G44" s="101"/>
      <c r="H44" s="101"/>
      <c r="I44" s="101"/>
      <c r="J44" s="75"/>
    </row>
    <row r="45" spans="2:12" ht="15.95" customHeight="1">
      <c r="G45" s="101"/>
      <c r="H45" s="101"/>
      <c r="I45" s="101"/>
      <c r="J45" s="75"/>
    </row>
    <row r="46" spans="2:12" ht="15.95" customHeight="1">
      <c r="G46" s="101"/>
      <c r="H46" s="101"/>
      <c r="I46" s="101"/>
      <c r="J46" s="75"/>
    </row>
    <row r="47" spans="2:12" ht="15.95" customHeight="1">
      <c r="G47" s="101"/>
      <c r="H47" s="101"/>
      <c r="I47" s="101"/>
      <c r="J47" s="75"/>
    </row>
    <row r="48" spans="2:12" ht="15.95" customHeight="1">
      <c r="G48" s="101"/>
      <c r="H48" s="101"/>
      <c r="I48" s="101"/>
      <c r="J48" s="75"/>
    </row>
    <row r="49" spans="7:10" ht="15.95" customHeight="1">
      <c r="G49" s="101"/>
      <c r="H49" s="101"/>
      <c r="I49" s="101"/>
      <c r="J49" s="75"/>
    </row>
    <row r="50" spans="7:10" ht="15.95" customHeight="1">
      <c r="G50" s="101"/>
      <c r="H50" s="101"/>
      <c r="I50" s="101"/>
      <c r="J50" s="75"/>
    </row>
    <row r="51" spans="7:10" ht="15.95" customHeight="1">
      <c r="G51" s="101"/>
      <c r="H51" s="101"/>
      <c r="I51" s="101"/>
      <c r="J51" s="75"/>
    </row>
    <row r="52" spans="7:10" ht="15.95" customHeight="1">
      <c r="G52" s="101"/>
      <c r="H52" s="101"/>
      <c r="I52" s="101"/>
      <c r="J52" s="75"/>
    </row>
    <row r="53" spans="7:10" ht="15.95" customHeight="1">
      <c r="G53" s="101"/>
      <c r="H53" s="101"/>
      <c r="I53" s="101"/>
      <c r="J53" s="75"/>
    </row>
    <row r="54" spans="7:10" ht="15.95" customHeight="1">
      <c r="G54" s="101"/>
      <c r="H54" s="101"/>
      <c r="I54" s="101"/>
      <c r="J54" s="75"/>
    </row>
    <row r="55" spans="7:10" ht="15.95" customHeight="1">
      <c r="G55" s="101"/>
      <c r="H55" s="101"/>
      <c r="I55" s="101"/>
      <c r="J55" s="75"/>
    </row>
    <row r="56" spans="7:10" ht="15.95" customHeight="1">
      <c r="G56" s="101"/>
      <c r="H56" s="101"/>
      <c r="I56" s="101"/>
      <c r="J56" s="75"/>
    </row>
    <row r="57" spans="7:10" ht="15.95" customHeight="1">
      <c r="G57" s="101"/>
      <c r="H57" s="101"/>
      <c r="I57" s="101"/>
      <c r="J57" s="75"/>
    </row>
    <row r="58" spans="7:10" ht="15.95" customHeight="1">
      <c r="G58" s="101"/>
      <c r="H58" s="101"/>
      <c r="I58" s="101"/>
      <c r="J58" s="75"/>
    </row>
    <row r="59" spans="7:10" ht="15.95" customHeight="1">
      <c r="G59" s="101"/>
      <c r="H59" s="101"/>
      <c r="I59" s="101"/>
      <c r="J59" s="75"/>
    </row>
    <row r="60" spans="7:10" ht="15.95" customHeight="1">
      <c r="G60" s="101"/>
      <c r="H60" s="101"/>
      <c r="I60" s="101"/>
      <c r="J60" s="75"/>
    </row>
    <row r="61" spans="7:10" ht="15.95" customHeight="1">
      <c r="G61" s="101"/>
      <c r="H61" s="101"/>
      <c r="I61" s="101"/>
      <c r="J61" s="75"/>
    </row>
    <row r="62" spans="7:10" ht="15.95" customHeight="1">
      <c r="G62" s="101"/>
      <c r="H62" s="101"/>
      <c r="I62" s="101"/>
      <c r="J62" s="75"/>
    </row>
    <row r="63" spans="7:10" ht="15.95" customHeight="1">
      <c r="G63" s="101"/>
      <c r="H63" s="101"/>
      <c r="I63" s="101"/>
      <c r="J63" s="75"/>
    </row>
    <row r="64" spans="7:10" ht="15.95" customHeight="1">
      <c r="G64" s="101"/>
      <c r="H64" s="101"/>
      <c r="I64" s="101"/>
      <c r="J64" s="75"/>
    </row>
    <row r="65" spans="7:10" ht="15.95" customHeight="1">
      <c r="G65" s="101"/>
      <c r="H65" s="101"/>
      <c r="I65" s="101"/>
      <c r="J65" s="75"/>
    </row>
    <row r="66" spans="7:10" ht="15.95" customHeight="1">
      <c r="G66" s="101"/>
    </row>
    <row r="67" spans="7:10">
      <c r="G67" s="101"/>
    </row>
    <row r="68" spans="7:10">
      <c r="G68" s="101"/>
    </row>
    <row r="69" spans="7:10">
      <c r="G69" s="101"/>
    </row>
    <row r="70" spans="7:10">
      <c r="G70" s="101"/>
    </row>
  </sheetData>
  <mergeCells count="2">
    <mergeCell ref="A18:B18"/>
    <mergeCell ref="A19:B19"/>
  </mergeCells>
  <phoneticPr fontId="23" type="noConversion"/>
  <dataValidations count="1">
    <dataValidation type="list" allowBlank="1" showInputMessage="1" showErrorMessage="1" sqref="B17">
      <formula1>$B$41:$B$43</formula1>
    </dataValidation>
  </dataValidations>
  <hyperlinks>
    <hyperlink ref="A18:B18" r:id="rId1" display="목형관리대장"/>
    <hyperlink ref="A19:B19" r:id="rId2" display="DIMESION TABLE"/>
  </hyperlinks>
  <pageMargins left="0.75" right="0.5" top="0.55000000000000004" bottom="0.56000000000000005" header="0.5" footer="0.5"/>
  <pageSetup paperSize="9" scale="83" orientation="landscape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/>
  <dimension ref="A1:N47"/>
  <sheetViews>
    <sheetView zoomScaleNormal="100" workbookViewId="0">
      <selection activeCell="M18" sqref="M18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208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7"/>
      <c r="F6" s="19">
        <v>27.25</v>
      </c>
      <c r="G6" s="19"/>
      <c r="H6" s="20">
        <f>원가!C4</f>
        <v>2600</v>
      </c>
      <c r="I6" s="21">
        <f>D6*F6*H6</f>
        <v>70850</v>
      </c>
      <c r="J6" s="21">
        <v>70000</v>
      </c>
      <c r="K6" s="22">
        <f t="shared" ref="K6:K30" si="0">I6+J6</f>
        <v>140850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2.2999999999999998</v>
      </c>
      <c r="G7" s="19"/>
      <c r="H7" s="20">
        <f>원가!C5</f>
        <v>2600</v>
      </c>
      <c r="I7" s="21">
        <f>D7*F7*H7</f>
        <v>5979.9999999999991</v>
      </c>
      <c r="J7" s="21">
        <v>10000</v>
      </c>
      <c r="K7" s="22">
        <f t="shared" si="0"/>
        <v>15980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2500</v>
      </c>
      <c r="J8" s="21"/>
      <c r="K8" s="22">
        <f t="shared" si="0"/>
        <v>2500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1.34</v>
      </c>
      <c r="G9" s="19"/>
      <c r="H9" s="20">
        <f>원가!C6</f>
        <v>8500</v>
      </c>
      <c r="I9" s="21">
        <f t="shared" ref="I9:I19" si="1">D9*F9*H9</f>
        <v>11390</v>
      </c>
      <c r="J9" s="21">
        <v>5000</v>
      </c>
      <c r="K9" s="22">
        <f t="shared" si="0"/>
        <v>16390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3.4</v>
      </c>
      <c r="G10" s="19"/>
      <c r="H10" s="20">
        <f>원가!C7</f>
        <v>8500</v>
      </c>
      <c r="I10" s="21">
        <f t="shared" si="1"/>
        <v>28900</v>
      </c>
      <c r="J10" s="21">
        <v>12000</v>
      </c>
      <c r="K10" s="22">
        <f t="shared" si="0"/>
        <v>40900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17"/>
      <c r="F11" s="19">
        <v>1.2</v>
      </c>
      <c r="G11" s="19"/>
      <c r="H11" s="20">
        <f>원가!C8</f>
        <v>8500</v>
      </c>
      <c r="I11" s="21">
        <f t="shared" si="1"/>
        <v>10200</v>
      </c>
      <c r="J11" s="21">
        <v>10000</v>
      </c>
      <c r="K11" s="22">
        <f t="shared" si="0"/>
        <v>20200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0.35</v>
      </c>
      <c r="G12" s="19"/>
      <c r="H12" s="20">
        <f>원가!C9</f>
        <v>12500</v>
      </c>
      <c r="I12" s="21">
        <f t="shared" si="1"/>
        <v>4375</v>
      </c>
      <c r="J12" s="21">
        <v>7000</v>
      </c>
      <c r="K12" s="22">
        <f t="shared" si="0"/>
        <v>11375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0.35</v>
      </c>
      <c r="G13" s="19"/>
      <c r="H13" s="20">
        <f>원가!C10</f>
        <v>12500</v>
      </c>
      <c r="I13" s="21">
        <f t="shared" si="1"/>
        <v>4375</v>
      </c>
      <c r="J13" s="21">
        <v>7000</v>
      </c>
      <c r="K13" s="22">
        <f t="shared" si="0"/>
        <v>11375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3</v>
      </c>
      <c r="E14" s="28"/>
      <c r="F14" s="25">
        <v>1</v>
      </c>
      <c r="G14" s="29"/>
      <c r="H14" s="30">
        <v>750</v>
      </c>
      <c r="I14" s="21">
        <f t="shared" si="1"/>
        <v>2250</v>
      </c>
      <c r="J14" s="31"/>
      <c r="K14" s="22">
        <f t="shared" si="0"/>
        <v>2250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25">
        <v>1</v>
      </c>
      <c r="G15" s="29"/>
      <c r="H15" s="30">
        <v>700</v>
      </c>
      <c r="I15" s="21">
        <f t="shared" si="1"/>
        <v>700</v>
      </c>
      <c r="J15" s="31">
        <v>2000</v>
      </c>
      <c r="K15" s="22">
        <f t="shared" si="0"/>
        <v>2700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1.5</v>
      </c>
      <c r="G16" s="19"/>
      <c r="H16" s="20">
        <f>원가!C11</f>
        <v>2600</v>
      </c>
      <c r="I16" s="21">
        <f t="shared" si="1"/>
        <v>3900</v>
      </c>
      <c r="J16" s="21">
        <v>3500</v>
      </c>
      <c r="K16" s="22">
        <f t="shared" si="0"/>
        <v>7400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2</v>
      </c>
      <c r="E17" s="28"/>
      <c r="F17" s="25">
        <v>1</v>
      </c>
      <c r="G17" s="19"/>
      <c r="H17" s="20">
        <v>800</v>
      </c>
      <c r="I17" s="21">
        <f t="shared" si="1"/>
        <v>1600</v>
      </c>
      <c r="J17" s="21"/>
      <c r="K17" s="22">
        <f t="shared" si="0"/>
        <v>1600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1</v>
      </c>
      <c r="G18" s="19"/>
      <c r="H18" s="20">
        <f>원가!C12</f>
        <v>2600</v>
      </c>
      <c r="I18" s="21">
        <f t="shared" si="1"/>
        <v>2600</v>
      </c>
      <c r="J18" s="21">
        <v>5000</v>
      </c>
      <c r="K18" s="22">
        <f t="shared" si="0"/>
        <v>7600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>
        <v>0.8</v>
      </c>
      <c r="G19" s="19"/>
      <c r="H19" s="20">
        <v>8000</v>
      </c>
      <c r="I19" s="21">
        <f t="shared" si="1"/>
        <v>6400</v>
      </c>
      <c r="J19" s="21">
        <v>2500</v>
      </c>
      <c r="K19" s="22">
        <f t="shared" si="0"/>
        <v>8900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25">
        <v>1</v>
      </c>
      <c r="G20" s="32"/>
      <c r="H20" s="20"/>
      <c r="I20" s="21">
        <v>200</v>
      </c>
      <c r="J20" s="21">
        <v>1200</v>
      </c>
      <c r="K20" s="22">
        <f t="shared" si="0"/>
        <v>1400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4</v>
      </c>
      <c r="E21" s="28"/>
      <c r="F21" s="25">
        <v>1</v>
      </c>
      <c r="G21" s="32"/>
      <c r="H21" s="20">
        <v>60</v>
      </c>
      <c r="I21" s="21">
        <f>D21*F21*H21</f>
        <v>240</v>
      </c>
      <c r="J21" s="21"/>
      <c r="K21" s="22">
        <f t="shared" si="0"/>
        <v>240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4</v>
      </c>
      <c r="E22" s="28"/>
      <c r="F22" s="25">
        <v>1</v>
      </c>
      <c r="G22" s="32"/>
      <c r="H22" s="20">
        <v>1000</v>
      </c>
      <c r="I22" s="21">
        <f>D22*F22*H22</f>
        <v>4000</v>
      </c>
      <c r="J22" s="21"/>
      <c r="K22" s="22">
        <f t="shared" si="0"/>
        <v>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</v>
      </c>
      <c r="G23" s="32"/>
      <c r="H23" s="20">
        <f>원가!C13</f>
        <v>2600</v>
      </c>
      <c r="I23" s="21">
        <f>D23*F23*H23</f>
        <v>5200</v>
      </c>
      <c r="J23" s="21">
        <v>6000</v>
      </c>
      <c r="K23" s="22">
        <f t="shared" si="0"/>
        <v>11200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/>
      <c r="I24" s="21">
        <v>2100</v>
      </c>
      <c r="J24" s="21">
        <v>3000</v>
      </c>
      <c r="K24" s="22">
        <f t="shared" si="0"/>
        <v>5100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4</v>
      </c>
      <c r="E25" s="17"/>
      <c r="F25" s="25">
        <v>1</v>
      </c>
      <c r="G25" s="32"/>
      <c r="H25" s="35">
        <v>30</v>
      </c>
      <c r="I25" s="21">
        <f>D25*F25*H25</f>
        <v>120</v>
      </c>
      <c r="J25" s="21"/>
      <c r="K25" s="22">
        <f t="shared" si="0"/>
        <v>120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6.3</v>
      </c>
      <c r="G26" s="32"/>
      <c r="H26" s="35"/>
      <c r="I26" s="21"/>
      <c r="J26" s="97" t="s">
        <v>511</v>
      </c>
      <c r="K26" s="95">
        <f>IF(C26="PIYAKE",L26,IF(C26="10 BAR",M26,IF(C26="20 BAR",N26)))</f>
        <v>98000</v>
      </c>
      <c r="L26" s="33">
        <v>25320</v>
      </c>
      <c r="M26" s="33">
        <v>98000</v>
      </c>
      <c r="N26" s="33">
        <v>98000</v>
      </c>
    </row>
    <row r="27" spans="1:14" s="13" customFormat="1" ht="24" customHeight="1">
      <c r="A27" s="131"/>
      <c r="B27" s="36" t="s">
        <v>188</v>
      </c>
      <c r="C27" s="16"/>
      <c r="D27" s="16">
        <v>4</v>
      </c>
      <c r="E27" s="17"/>
      <c r="F27" s="25">
        <v>1</v>
      </c>
      <c r="G27" s="32"/>
      <c r="H27" s="35">
        <v>2500</v>
      </c>
      <c r="I27" s="57">
        <f>D27*F27*H27</f>
        <v>10000</v>
      </c>
      <c r="J27" s="21"/>
      <c r="K27" s="22">
        <f t="shared" si="0"/>
        <v>10000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220</v>
      </c>
      <c r="J28" s="21">
        <v>3300</v>
      </c>
      <c r="K28" s="22">
        <f t="shared" si="0"/>
        <v>3520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10000</v>
      </c>
      <c r="J29" s="22"/>
      <c r="K29" s="22">
        <f t="shared" si="0"/>
        <v>10000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10000</v>
      </c>
      <c r="J30" s="22"/>
      <c r="K30" s="22">
        <f t="shared" si="0"/>
        <v>10000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443600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5000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5000</v>
      </c>
      <c r="J37" s="44">
        <v>1</v>
      </c>
      <c r="K37" s="43">
        <f>J37*I37</f>
        <v>5000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1310</v>
      </c>
      <c r="G39" s="133"/>
      <c r="H39" s="39"/>
      <c r="I39" s="41">
        <f>K31</f>
        <v>443600</v>
      </c>
      <c r="J39" s="48">
        <f>원가!B15</f>
        <v>1</v>
      </c>
      <c r="K39" s="43">
        <f>J39*I39</f>
        <v>443600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448600</v>
      </c>
      <c r="G40" s="133"/>
      <c r="H40" s="39" t="s">
        <v>502</v>
      </c>
      <c r="I40" s="48">
        <f>원가!B2</f>
        <v>1</v>
      </c>
      <c r="J40" s="48"/>
      <c r="K40" s="41">
        <f>SUM(K37:K39)/I40</f>
        <v>448600</v>
      </c>
      <c r="L40" s="49">
        <v>1310</v>
      </c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scale="80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topLeftCell="A13" workbookViewId="0">
      <selection activeCell="L28" sqref="L28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2" max="14" width="9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208</v>
      </c>
      <c r="B3" s="6" t="s">
        <v>485</v>
      </c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7"/>
      <c r="F6" s="19">
        <v>35</v>
      </c>
      <c r="G6" s="19"/>
      <c r="H6" s="20">
        <f>원가!C4</f>
        <v>2600</v>
      </c>
      <c r="I6" s="21">
        <f>D6*F6*H6</f>
        <v>91000</v>
      </c>
      <c r="J6" s="21">
        <v>70000</v>
      </c>
      <c r="K6" s="22">
        <f t="shared" ref="K6:K30" si="0">I6+J6</f>
        <v>161000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3.6</v>
      </c>
      <c r="G7" s="19"/>
      <c r="H7" s="20">
        <f>원가!C5</f>
        <v>2600</v>
      </c>
      <c r="I7" s="21">
        <f t="shared" ref="I7:I22" si="1">D7*F7*H7</f>
        <v>9360</v>
      </c>
      <c r="J7" s="21">
        <v>10000</v>
      </c>
      <c r="K7" s="22">
        <f t="shared" si="0"/>
        <v>19360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f t="shared" si="1"/>
        <v>0</v>
      </c>
      <c r="J8" s="21"/>
      <c r="K8" s="22">
        <f t="shared" si="0"/>
        <v>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2.4</v>
      </c>
      <c r="G9" s="19"/>
      <c r="H9" s="20">
        <f>원가!C6</f>
        <v>8500</v>
      </c>
      <c r="I9" s="21">
        <f t="shared" si="1"/>
        <v>20400</v>
      </c>
      <c r="J9" s="21">
        <v>5000</v>
      </c>
      <c r="K9" s="22">
        <f t="shared" si="0"/>
        <v>25400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3.4</v>
      </c>
      <c r="G10" s="19"/>
      <c r="H10" s="20">
        <f>원가!C7</f>
        <v>8500</v>
      </c>
      <c r="I10" s="21">
        <f t="shared" si="1"/>
        <v>28900</v>
      </c>
      <c r="J10" s="21">
        <v>12000</v>
      </c>
      <c r="K10" s="22">
        <f t="shared" si="0"/>
        <v>40900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17"/>
      <c r="F11" s="19">
        <v>2.1</v>
      </c>
      <c r="G11" s="19"/>
      <c r="H11" s="20">
        <f>원가!C8</f>
        <v>8500</v>
      </c>
      <c r="I11" s="21">
        <f t="shared" si="1"/>
        <v>17850</v>
      </c>
      <c r="J11" s="21">
        <v>10000</v>
      </c>
      <c r="K11" s="22">
        <f t="shared" si="0"/>
        <v>27850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0.35</v>
      </c>
      <c r="G12" s="19"/>
      <c r="H12" s="20">
        <f>원가!C9</f>
        <v>12500</v>
      </c>
      <c r="I12" s="21">
        <f t="shared" si="1"/>
        <v>4375</v>
      </c>
      <c r="J12" s="21">
        <v>7000</v>
      </c>
      <c r="K12" s="22">
        <f t="shared" si="0"/>
        <v>11375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0.35</v>
      </c>
      <c r="G13" s="19"/>
      <c r="H13" s="20">
        <f>원가!C10</f>
        <v>12500</v>
      </c>
      <c r="I13" s="21">
        <f t="shared" si="1"/>
        <v>4375</v>
      </c>
      <c r="J13" s="21">
        <v>7000</v>
      </c>
      <c r="K13" s="22">
        <f t="shared" si="0"/>
        <v>11375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3</v>
      </c>
      <c r="E14" s="28"/>
      <c r="F14" s="25">
        <v>1</v>
      </c>
      <c r="G14" s="29"/>
      <c r="H14" s="30">
        <v>750</v>
      </c>
      <c r="I14" s="21">
        <f t="shared" si="1"/>
        <v>2250</v>
      </c>
      <c r="J14" s="31"/>
      <c r="K14" s="22">
        <f t="shared" si="0"/>
        <v>2250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25">
        <v>1</v>
      </c>
      <c r="G15" s="29"/>
      <c r="H15" s="30">
        <v>700</v>
      </c>
      <c r="I15" s="21">
        <f t="shared" si="1"/>
        <v>700</v>
      </c>
      <c r="J15" s="31">
        <v>2000</v>
      </c>
      <c r="K15" s="22">
        <f t="shared" si="0"/>
        <v>2700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1.5</v>
      </c>
      <c r="G16" s="19"/>
      <c r="H16" s="20">
        <f>원가!C11</f>
        <v>2600</v>
      </c>
      <c r="I16" s="21">
        <f t="shared" si="1"/>
        <v>3900</v>
      </c>
      <c r="J16" s="21">
        <v>3500</v>
      </c>
      <c r="K16" s="22">
        <f t="shared" si="0"/>
        <v>7400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2</v>
      </c>
      <c r="E17" s="28"/>
      <c r="F17" s="25">
        <v>1</v>
      </c>
      <c r="G17" s="19"/>
      <c r="H17" s="20">
        <v>800</v>
      </c>
      <c r="I17" s="21">
        <f t="shared" si="1"/>
        <v>1600</v>
      </c>
      <c r="J17" s="21"/>
      <c r="K17" s="22">
        <f t="shared" si="0"/>
        <v>1600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1</v>
      </c>
      <c r="G18" s="19"/>
      <c r="H18" s="20">
        <f>원가!C12</f>
        <v>2600</v>
      </c>
      <c r="I18" s="21">
        <f t="shared" si="1"/>
        <v>2600</v>
      </c>
      <c r="J18" s="21">
        <v>5000</v>
      </c>
      <c r="K18" s="22">
        <f t="shared" si="0"/>
        <v>7600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>
        <v>0.8</v>
      </c>
      <c r="G19" s="19"/>
      <c r="H19" s="20">
        <v>8000</v>
      </c>
      <c r="I19" s="21">
        <f t="shared" si="1"/>
        <v>6400</v>
      </c>
      <c r="J19" s="21">
        <v>2500</v>
      </c>
      <c r="K19" s="22">
        <f t="shared" si="0"/>
        <v>8900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25">
        <v>1</v>
      </c>
      <c r="G20" s="32"/>
      <c r="H20" s="20"/>
      <c r="I20" s="21">
        <f t="shared" si="1"/>
        <v>0</v>
      </c>
      <c r="J20" s="21">
        <v>1200</v>
      </c>
      <c r="K20" s="22">
        <f t="shared" si="0"/>
        <v>1200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4</v>
      </c>
      <c r="E21" s="28"/>
      <c r="F21" s="25">
        <v>1</v>
      </c>
      <c r="G21" s="32"/>
      <c r="H21" s="20">
        <v>60</v>
      </c>
      <c r="I21" s="21">
        <f t="shared" si="1"/>
        <v>240</v>
      </c>
      <c r="J21" s="21"/>
      <c r="K21" s="22">
        <f t="shared" si="0"/>
        <v>240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4</v>
      </c>
      <c r="E22" s="28"/>
      <c r="F22" s="25">
        <v>1</v>
      </c>
      <c r="G22" s="32"/>
      <c r="H22" s="20">
        <v>1000</v>
      </c>
      <c r="I22" s="21">
        <f t="shared" si="1"/>
        <v>4000</v>
      </c>
      <c r="J22" s="21"/>
      <c r="K22" s="22">
        <f t="shared" si="0"/>
        <v>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2.1</v>
      </c>
      <c r="G23" s="32"/>
      <c r="H23" s="20">
        <f>원가!C13</f>
        <v>2600</v>
      </c>
      <c r="I23" s="21">
        <f>D23*F23*H23</f>
        <v>5460</v>
      </c>
      <c r="J23" s="21">
        <v>6000</v>
      </c>
      <c r="K23" s="22">
        <f t="shared" si="0"/>
        <v>11460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/>
      <c r="I24" s="21">
        <v>2100</v>
      </c>
      <c r="J24" s="21">
        <v>3000</v>
      </c>
      <c r="K24" s="22">
        <f t="shared" si="0"/>
        <v>5100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4</v>
      </c>
      <c r="E25" s="17"/>
      <c r="F25" s="25">
        <v>1</v>
      </c>
      <c r="G25" s="32"/>
      <c r="H25" s="35">
        <v>30</v>
      </c>
      <c r="I25" s="21">
        <f>D25*F25*H25</f>
        <v>120</v>
      </c>
      <c r="J25" s="21"/>
      <c r="K25" s="22">
        <f t="shared" si="0"/>
        <v>120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6.3</v>
      </c>
      <c r="G26" s="32"/>
      <c r="H26" s="35"/>
      <c r="I26" s="21"/>
      <c r="J26" s="97" t="s">
        <v>511</v>
      </c>
      <c r="K26" s="95">
        <f>IF(C26="PIYAKE",L26,IF(C26="10 BAR",M26,IF(C26="20 BAR",N26)))</f>
        <v>98000</v>
      </c>
      <c r="L26" s="33">
        <v>25230</v>
      </c>
      <c r="M26" s="33">
        <v>98000</v>
      </c>
      <c r="N26" s="33">
        <v>98000</v>
      </c>
    </row>
    <row r="27" spans="1:14" s="13" customFormat="1" ht="24" customHeight="1">
      <c r="A27" s="131"/>
      <c r="B27" s="36" t="s">
        <v>188</v>
      </c>
      <c r="C27" s="16"/>
      <c r="D27" s="16">
        <v>4</v>
      </c>
      <c r="E27" s="17"/>
      <c r="F27" s="25">
        <v>1</v>
      </c>
      <c r="G27" s="32"/>
      <c r="H27" s="35">
        <v>2500</v>
      </c>
      <c r="I27" s="57">
        <f>D27*F27*H27</f>
        <v>10000</v>
      </c>
      <c r="J27" s="21"/>
      <c r="K27" s="22">
        <f t="shared" si="0"/>
        <v>10000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220</v>
      </c>
      <c r="J28" s="21">
        <v>3300</v>
      </c>
      <c r="K28" s="22">
        <f t="shared" si="0"/>
        <v>3520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10000</v>
      </c>
      <c r="J29" s="22"/>
      <c r="K29" s="22">
        <f t="shared" si="0"/>
        <v>10000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10000</v>
      </c>
      <c r="J30" s="22"/>
      <c r="K30" s="22">
        <f t="shared" si="0"/>
        <v>10000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481350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5000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5000</v>
      </c>
      <c r="J37" s="44">
        <v>1</v>
      </c>
      <c r="K37" s="43">
        <f>J37*I37</f>
        <v>5000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1310</v>
      </c>
      <c r="G39" s="133"/>
      <c r="H39" s="39"/>
      <c r="I39" s="41">
        <f>K31</f>
        <v>481350</v>
      </c>
      <c r="J39" s="48">
        <f>원가!B15</f>
        <v>1</v>
      </c>
      <c r="K39" s="43">
        <f>J39*I39</f>
        <v>481350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486350</v>
      </c>
      <c r="G40" s="133"/>
      <c r="H40" s="39" t="s">
        <v>502</v>
      </c>
      <c r="I40" s="48">
        <f>원가!B2</f>
        <v>1</v>
      </c>
      <c r="J40" s="48"/>
      <c r="K40" s="41">
        <f>SUM(K37:K39)/I40</f>
        <v>486350</v>
      </c>
      <c r="L40" s="49">
        <v>1310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topLeftCell="A13" workbookViewId="0">
      <selection activeCell="L28" sqref="L28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2" max="14" width="9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208</v>
      </c>
      <c r="B3" s="6" t="s">
        <v>472</v>
      </c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7"/>
      <c r="F6" s="19">
        <v>40</v>
      </c>
      <c r="G6" s="19"/>
      <c r="H6" s="20">
        <f>원가!C4</f>
        <v>2600</v>
      </c>
      <c r="I6" s="21">
        <f>D6*F6*H6</f>
        <v>104000</v>
      </c>
      <c r="J6" s="21">
        <v>100000</v>
      </c>
      <c r="K6" s="22">
        <f t="shared" ref="K6:K30" si="0">I6+J6</f>
        <v>204000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4.5999999999999996</v>
      </c>
      <c r="G7" s="19"/>
      <c r="H7" s="20">
        <f>원가!C5</f>
        <v>2600</v>
      </c>
      <c r="I7" s="21">
        <f t="shared" ref="I7:I22" si="1">D7*F7*H7</f>
        <v>11959.999999999998</v>
      </c>
      <c r="J7" s="21">
        <v>15000</v>
      </c>
      <c r="K7" s="22">
        <f t="shared" si="0"/>
        <v>26960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f t="shared" si="1"/>
        <v>0</v>
      </c>
      <c r="J8" s="21"/>
      <c r="K8" s="22">
        <f t="shared" si="0"/>
        <v>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2.67</v>
      </c>
      <c r="G9" s="19"/>
      <c r="H9" s="20">
        <f>원가!C6</f>
        <v>8500</v>
      </c>
      <c r="I9" s="21">
        <f t="shared" si="1"/>
        <v>22695</v>
      </c>
      <c r="J9" s="21">
        <v>5000</v>
      </c>
      <c r="K9" s="22">
        <f t="shared" si="0"/>
        <v>27695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5</v>
      </c>
      <c r="G10" s="19"/>
      <c r="H10" s="20">
        <f>원가!C7</f>
        <v>8500</v>
      </c>
      <c r="I10" s="21">
        <f t="shared" si="1"/>
        <v>42500</v>
      </c>
      <c r="J10" s="21">
        <v>12000</v>
      </c>
      <c r="K10" s="22">
        <f t="shared" si="0"/>
        <v>54500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17"/>
      <c r="F11" s="19">
        <v>2.1</v>
      </c>
      <c r="G11" s="19"/>
      <c r="H11" s="20">
        <f>원가!C8</f>
        <v>8500</v>
      </c>
      <c r="I11" s="21">
        <f t="shared" si="1"/>
        <v>17850</v>
      </c>
      <c r="J11" s="21">
        <v>10000</v>
      </c>
      <c r="K11" s="22">
        <f t="shared" si="0"/>
        <v>27850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0.8</v>
      </c>
      <c r="G12" s="19"/>
      <c r="H12" s="20">
        <f>원가!C9</f>
        <v>12500</v>
      </c>
      <c r="I12" s="21">
        <f t="shared" si="1"/>
        <v>10000</v>
      </c>
      <c r="J12" s="21">
        <v>7000</v>
      </c>
      <c r="K12" s="22">
        <f t="shared" si="0"/>
        <v>17000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0.8</v>
      </c>
      <c r="G13" s="19"/>
      <c r="H13" s="20">
        <f>원가!C10</f>
        <v>12500</v>
      </c>
      <c r="I13" s="21">
        <f t="shared" si="1"/>
        <v>10000</v>
      </c>
      <c r="J13" s="21">
        <v>7000</v>
      </c>
      <c r="K13" s="22">
        <f t="shared" si="0"/>
        <v>17000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3</v>
      </c>
      <c r="E14" s="28"/>
      <c r="F14" s="25">
        <v>1</v>
      </c>
      <c r="G14" s="29"/>
      <c r="H14" s="30">
        <v>750</v>
      </c>
      <c r="I14" s="21">
        <f t="shared" si="1"/>
        <v>2250</v>
      </c>
      <c r="J14" s="31"/>
      <c r="K14" s="22">
        <f t="shared" si="0"/>
        <v>2250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25">
        <v>1</v>
      </c>
      <c r="G15" s="29"/>
      <c r="H15" s="30">
        <v>700</v>
      </c>
      <c r="I15" s="21">
        <f t="shared" si="1"/>
        <v>700</v>
      </c>
      <c r="J15" s="31">
        <v>2000</v>
      </c>
      <c r="K15" s="22">
        <f t="shared" si="0"/>
        <v>2700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2.4</v>
      </c>
      <c r="G16" s="19"/>
      <c r="H16" s="20">
        <f>원가!C11</f>
        <v>2600</v>
      </c>
      <c r="I16" s="21">
        <f t="shared" si="1"/>
        <v>6240</v>
      </c>
      <c r="J16" s="21">
        <v>3500</v>
      </c>
      <c r="K16" s="22">
        <f t="shared" si="0"/>
        <v>9740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2</v>
      </c>
      <c r="E17" s="28"/>
      <c r="F17" s="25">
        <v>1</v>
      </c>
      <c r="G17" s="19"/>
      <c r="H17" s="20">
        <v>800</v>
      </c>
      <c r="I17" s="21">
        <f t="shared" si="1"/>
        <v>1600</v>
      </c>
      <c r="J17" s="21"/>
      <c r="K17" s="22">
        <f t="shared" si="0"/>
        <v>1600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1</v>
      </c>
      <c r="G18" s="19"/>
      <c r="H18" s="20">
        <f>원가!C12</f>
        <v>2600</v>
      </c>
      <c r="I18" s="21">
        <f t="shared" si="1"/>
        <v>2600</v>
      </c>
      <c r="J18" s="21">
        <v>5000</v>
      </c>
      <c r="K18" s="22">
        <f t="shared" si="0"/>
        <v>7600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>
        <v>0.8</v>
      </c>
      <c r="G19" s="19"/>
      <c r="H19" s="20">
        <v>8000</v>
      </c>
      <c r="I19" s="21">
        <f t="shared" si="1"/>
        <v>6400</v>
      </c>
      <c r="J19" s="21">
        <v>2500</v>
      </c>
      <c r="K19" s="22">
        <f t="shared" si="0"/>
        <v>8900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25">
        <v>1</v>
      </c>
      <c r="G20" s="32"/>
      <c r="H20" s="20"/>
      <c r="I20" s="21">
        <f t="shared" si="1"/>
        <v>0</v>
      </c>
      <c r="J20" s="21">
        <v>1200</v>
      </c>
      <c r="K20" s="22">
        <f t="shared" si="0"/>
        <v>1200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4</v>
      </c>
      <c r="E21" s="28"/>
      <c r="F21" s="25">
        <v>1</v>
      </c>
      <c r="G21" s="32"/>
      <c r="H21" s="20">
        <v>60</v>
      </c>
      <c r="I21" s="21">
        <f t="shared" si="1"/>
        <v>240</v>
      </c>
      <c r="J21" s="21"/>
      <c r="K21" s="22">
        <f t="shared" si="0"/>
        <v>240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4</v>
      </c>
      <c r="E22" s="28"/>
      <c r="F22" s="25">
        <v>1</v>
      </c>
      <c r="G22" s="32"/>
      <c r="H22" s="20">
        <v>1000</v>
      </c>
      <c r="I22" s="21">
        <f t="shared" si="1"/>
        <v>4000</v>
      </c>
      <c r="J22" s="21"/>
      <c r="K22" s="22">
        <f t="shared" si="0"/>
        <v>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2.2000000000000002</v>
      </c>
      <c r="G23" s="32"/>
      <c r="H23" s="20">
        <f>원가!C13</f>
        <v>2600</v>
      </c>
      <c r="I23" s="21">
        <f>D23*F23*H23</f>
        <v>5720.0000000000009</v>
      </c>
      <c r="J23" s="21">
        <v>6000</v>
      </c>
      <c r="K23" s="22">
        <f t="shared" si="0"/>
        <v>11720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128">
        <v>1500</v>
      </c>
      <c r="I24" s="21">
        <f>D24*F24*H24</f>
        <v>6000</v>
      </c>
      <c r="J24" s="21"/>
      <c r="K24" s="22">
        <f t="shared" si="0"/>
        <v>6000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4</v>
      </c>
      <c r="E25" s="17"/>
      <c r="F25" s="25">
        <v>1</v>
      </c>
      <c r="G25" s="32"/>
      <c r="H25" s="35">
        <v>30</v>
      </c>
      <c r="I25" s="21">
        <f>D25*F25*H25</f>
        <v>120</v>
      </c>
      <c r="J25" s="21"/>
      <c r="K25" s="22">
        <f t="shared" si="0"/>
        <v>120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6.3</v>
      </c>
      <c r="G26" s="32"/>
      <c r="H26" s="35"/>
      <c r="I26" s="21"/>
      <c r="J26" s="97" t="s">
        <v>511</v>
      </c>
      <c r="K26" s="95">
        <f>IF(C26="PIYAKE",L26,IF(C26="10 BAR",M26,IF(C26="20 BAR",N26)))</f>
        <v>98000</v>
      </c>
      <c r="L26" s="33">
        <v>25230</v>
      </c>
      <c r="M26" s="33">
        <v>98000</v>
      </c>
      <c r="N26" s="33">
        <v>98000</v>
      </c>
    </row>
    <row r="27" spans="1:14" s="13" customFormat="1" ht="24" customHeight="1">
      <c r="A27" s="131"/>
      <c r="B27" s="36" t="s">
        <v>188</v>
      </c>
      <c r="C27" s="16"/>
      <c r="D27" s="16">
        <v>4</v>
      </c>
      <c r="E27" s="17"/>
      <c r="F27" s="25">
        <v>1</v>
      </c>
      <c r="G27" s="32"/>
      <c r="H27" s="35">
        <v>2500</v>
      </c>
      <c r="I27" s="57">
        <f>D27*F27*H27</f>
        <v>10000</v>
      </c>
      <c r="J27" s="21"/>
      <c r="K27" s="22">
        <f t="shared" si="0"/>
        <v>10000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220</v>
      </c>
      <c r="J28" s="21">
        <v>3300</v>
      </c>
      <c r="K28" s="22">
        <f t="shared" si="0"/>
        <v>3520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11500</v>
      </c>
      <c r="J29" s="22"/>
      <c r="K29" s="22">
        <f t="shared" si="0"/>
        <v>11500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11500</v>
      </c>
      <c r="J30" s="22"/>
      <c r="K30" s="22">
        <f t="shared" si="0"/>
        <v>11500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565595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8000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8000</v>
      </c>
      <c r="J37" s="44">
        <v>1</v>
      </c>
      <c r="K37" s="43">
        <f>J37*I37</f>
        <v>8000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1310</v>
      </c>
      <c r="G39" s="133"/>
      <c r="H39" s="39"/>
      <c r="I39" s="41">
        <f>K31</f>
        <v>565595</v>
      </c>
      <c r="J39" s="48">
        <f>원가!B15</f>
        <v>1</v>
      </c>
      <c r="K39" s="43">
        <f>J39*I39</f>
        <v>565595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573595</v>
      </c>
      <c r="G40" s="133"/>
      <c r="H40" s="39" t="s">
        <v>502</v>
      </c>
      <c r="I40" s="48">
        <f>원가!B2</f>
        <v>1</v>
      </c>
      <c r="J40" s="48"/>
      <c r="K40" s="41">
        <f>SUM(K37:K39)/I40</f>
        <v>573595</v>
      </c>
      <c r="L40" s="49">
        <v>1310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/>
  <dimension ref="A1:N47"/>
  <sheetViews>
    <sheetView topLeftCell="A10" workbookViewId="0">
      <selection activeCell="L28" sqref="L28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98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100</v>
      </c>
      <c r="B5" s="9" t="s">
        <v>101</v>
      </c>
      <c r="C5" s="9" t="s">
        <v>102</v>
      </c>
      <c r="D5" s="10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11"/>
      <c r="M5" s="12"/>
    </row>
    <row r="6" spans="1:13" s="13" customFormat="1" ht="18" customHeight="1">
      <c r="A6" s="14">
        <v>1</v>
      </c>
      <c r="B6" s="15" t="s">
        <v>111</v>
      </c>
      <c r="C6" s="16" t="str">
        <f>원가!B4</f>
        <v>WCB</v>
      </c>
      <c r="D6" s="16">
        <v>1</v>
      </c>
      <c r="E6" s="17"/>
      <c r="F6" s="18">
        <v>66</v>
      </c>
      <c r="G6" s="19"/>
      <c r="H6" s="20">
        <f>원가!C4</f>
        <v>2600</v>
      </c>
      <c r="I6" s="21">
        <f>D6*F6*H6</f>
        <v>171600</v>
      </c>
      <c r="J6" s="21">
        <v>130000</v>
      </c>
      <c r="K6" s="22">
        <f t="shared" ref="K6:K30" si="0">I6+J6</f>
        <v>301600</v>
      </c>
      <c r="L6" s="23"/>
      <c r="M6" s="24"/>
    </row>
    <row r="7" spans="1:13" s="13" customFormat="1" ht="18" customHeight="1">
      <c r="A7" s="14">
        <v>2</v>
      </c>
      <c r="B7" s="15" t="s">
        <v>113</v>
      </c>
      <c r="C7" s="16" t="str">
        <f>원가!B5</f>
        <v>WCB</v>
      </c>
      <c r="D7" s="16">
        <v>1</v>
      </c>
      <c r="E7" s="17"/>
      <c r="F7" s="18">
        <v>9.1999999999999993</v>
      </c>
      <c r="G7" s="19"/>
      <c r="H7" s="20">
        <f>원가!C5</f>
        <v>2600</v>
      </c>
      <c r="I7" s="21">
        <f>D7*F7*H7</f>
        <v>23919.999999999996</v>
      </c>
      <c r="J7" s="21">
        <v>15000</v>
      </c>
      <c r="K7" s="22">
        <f t="shared" si="0"/>
        <v>38920</v>
      </c>
      <c r="L7" s="23"/>
      <c r="M7" s="24"/>
    </row>
    <row r="8" spans="1:13" s="13" customFormat="1" ht="18" customHeight="1">
      <c r="A8" s="14">
        <v>3</v>
      </c>
      <c r="B8" s="15" t="s">
        <v>114</v>
      </c>
      <c r="C8" s="16" t="s">
        <v>115</v>
      </c>
      <c r="D8" s="16">
        <v>1</v>
      </c>
      <c r="E8" s="17"/>
      <c r="F8" s="25">
        <v>1</v>
      </c>
      <c r="G8" s="19"/>
      <c r="H8" s="20"/>
      <c r="I8" s="21">
        <v>2500</v>
      </c>
      <c r="J8" s="21"/>
      <c r="K8" s="22">
        <f t="shared" si="0"/>
        <v>2500</v>
      </c>
      <c r="L8" s="23"/>
      <c r="M8" s="24"/>
    </row>
    <row r="9" spans="1:13" s="13" customFormat="1" ht="18" customHeight="1">
      <c r="A9" s="14">
        <v>4</v>
      </c>
      <c r="B9" s="15" t="s">
        <v>116</v>
      </c>
      <c r="C9" s="16" t="str">
        <f>원가!B6</f>
        <v>A276T316L</v>
      </c>
      <c r="D9" s="16">
        <v>1</v>
      </c>
      <c r="E9" s="17"/>
      <c r="F9" s="19">
        <v>3.82</v>
      </c>
      <c r="G9" s="19"/>
      <c r="H9" s="20">
        <f>원가!C6</f>
        <v>8500</v>
      </c>
      <c r="I9" s="21">
        <f t="shared" ref="I9:I18" si="1">D9*F9*H9</f>
        <v>32470</v>
      </c>
      <c r="J9" s="21">
        <v>8000</v>
      </c>
      <c r="K9" s="22">
        <f t="shared" si="0"/>
        <v>40470</v>
      </c>
      <c r="L9" s="23"/>
      <c r="M9" s="24"/>
    </row>
    <row r="10" spans="1:13" s="13" customFormat="1" ht="18" customHeight="1">
      <c r="A10" s="131">
        <v>5</v>
      </c>
      <c r="B10" s="15" t="s">
        <v>117</v>
      </c>
      <c r="C10" s="16" t="str">
        <f>원가!B7</f>
        <v>316L</v>
      </c>
      <c r="D10" s="16">
        <v>1</v>
      </c>
      <c r="E10" s="17"/>
      <c r="F10" s="19">
        <v>5</v>
      </c>
      <c r="G10" s="19"/>
      <c r="H10" s="20">
        <f>원가!C7</f>
        <v>8500</v>
      </c>
      <c r="I10" s="21">
        <f t="shared" si="1"/>
        <v>42500</v>
      </c>
      <c r="J10" s="21">
        <v>12000</v>
      </c>
      <c r="K10" s="22">
        <f t="shared" si="0"/>
        <v>54500</v>
      </c>
      <c r="L10" s="23"/>
      <c r="M10" s="24"/>
    </row>
    <row r="11" spans="1:13" s="13" customFormat="1" ht="18" customHeight="1">
      <c r="A11" s="131"/>
      <c r="B11" s="15" t="s">
        <v>119</v>
      </c>
      <c r="C11" s="16" t="str">
        <f>원가!B8</f>
        <v>316L</v>
      </c>
      <c r="D11" s="16">
        <v>1</v>
      </c>
      <c r="E11" s="17"/>
      <c r="F11" s="19">
        <v>3.3</v>
      </c>
      <c r="G11" s="19"/>
      <c r="H11" s="20">
        <f>원가!C8</f>
        <v>8500</v>
      </c>
      <c r="I11" s="21">
        <f t="shared" si="1"/>
        <v>28050</v>
      </c>
      <c r="J11" s="21">
        <v>12000</v>
      </c>
      <c r="K11" s="22">
        <f t="shared" si="0"/>
        <v>40050</v>
      </c>
      <c r="L11" s="23"/>
      <c r="M11" s="24"/>
    </row>
    <row r="12" spans="1:13" s="13" customFormat="1" ht="18" customHeight="1">
      <c r="A12" s="131">
        <v>6</v>
      </c>
      <c r="B12" s="15" t="s">
        <v>120</v>
      </c>
      <c r="C12" s="16" t="str">
        <f>원가!B9</f>
        <v>B148</v>
      </c>
      <c r="D12" s="16">
        <v>1</v>
      </c>
      <c r="E12" s="17"/>
      <c r="F12" s="19">
        <v>0.8</v>
      </c>
      <c r="G12" s="19"/>
      <c r="H12" s="20">
        <f>원가!C9</f>
        <v>12500</v>
      </c>
      <c r="I12" s="21">
        <f t="shared" si="1"/>
        <v>10000</v>
      </c>
      <c r="J12" s="21">
        <v>9000</v>
      </c>
      <c r="K12" s="22">
        <f t="shared" si="0"/>
        <v>19000</v>
      </c>
      <c r="L12" s="23"/>
      <c r="M12" s="24"/>
    </row>
    <row r="13" spans="1:13" s="13" customFormat="1" ht="18" customHeight="1">
      <c r="A13" s="131"/>
      <c r="B13" s="26" t="s">
        <v>121</v>
      </c>
      <c r="C13" s="16" t="str">
        <f>원가!B10</f>
        <v>B148</v>
      </c>
      <c r="D13" s="16">
        <v>1</v>
      </c>
      <c r="E13" s="17"/>
      <c r="F13" s="19">
        <v>0.8</v>
      </c>
      <c r="G13" s="19"/>
      <c r="H13" s="20">
        <f>원가!C10</f>
        <v>12500</v>
      </c>
      <c r="I13" s="21">
        <f t="shared" si="1"/>
        <v>10000</v>
      </c>
      <c r="J13" s="21">
        <v>9000</v>
      </c>
      <c r="K13" s="22">
        <f t="shared" si="0"/>
        <v>19000</v>
      </c>
      <c r="L13" s="23"/>
      <c r="M13" s="24"/>
    </row>
    <row r="14" spans="1:13" s="13" customFormat="1" ht="18" customHeight="1">
      <c r="A14" s="131">
        <v>7</v>
      </c>
      <c r="B14" s="26" t="s">
        <v>122</v>
      </c>
      <c r="C14" s="27" t="s">
        <v>115</v>
      </c>
      <c r="D14" s="27">
        <v>3</v>
      </c>
      <c r="E14" s="28"/>
      <c r="F14" s="25">
        <v>1</v>
      </c>
      <c r="G14" s="29"/>
      <c r="H14" s="30">
        <v>500</v>
      </c>
      <c r="I14" s="21">
        <f t="shared" si="1"/>
        <v>1500</v>
      </c>
      <c r="J14" s="31"/>
      <c r="K14" s="22">
        <f t="shared" si="0"/>
        <v>1500</v>
      </c>
      <c r="L14" s="23"/>
      <c r="M14" s="24"/>
    </row>
    <row r="15" spans="1:13" s="13" customFormat="1" ht="18" customHeight="1">
      <c r="A15" s="131"/>
      <c r="B15" s="15" t="s">
        <v>123</v>
      </c>
      <c r="C15" s="27" t="s">
        <v>112</v>
      </c>
      <c r="D15" s="27">
        <v>2</v>
      </c>
      <c r="E15" s="28"/>
      <c r="F15" s="25">
        <v>1</v>
      </c>
      <c r="G15" s="29"/>
      <c r="H15" s="30">
        <v>1000</v>
      </c>
      <c r="I15" s="21">
        <f t="shared" si="1"/>
        <v>2000</v>
      </c>
      <c r="J15" s="31">
        <v>2000</v>
      </c>
      <c r="K15" s="22">
        <f t="shared" si="0"/>
        <v>4000</v>
      </c>
      <c r="L15" s="23"/>
      <c r="M15" s="24"/>
    </row>
    <row r="16" spans="1:13" s="13" customFormat="1" ht="18" customHeight="1">
      <c r="A16" s="14">
        <v>8</v>
      </c>
      <c r="B16" s="26" t="s">
        <v>124</v>
      </c>
      <c r="C16" s="16" t="str">
        <f>원가!B11</f>
        <v>WCB</v>
      </c>
      <c r="D16" s="16">
        <v>1</v>
      </c>
      <c r="E16" s="17"/>
      <c r="F16" s="19">
        <v>1.5</v>
      </c>
      <c r="G16" s="19"/>
      <c r="H16" s="20">
        <f>원가!C11</f>
        <v>2600</v>
      </c>
      <c r="I16" s="21">
        <f t="shared" si="1"/>
        <v>3900</v>
      </c>
      <c r="J16" s="21">
        <v>4000</v>
      </c>
      <c r="K16" s="22">
        <f t="shared" si="0"/>
        <v>7900</v>
      </c>
      <c r="L16" s="23"/>
      <c r="M16" s="24"/>
    </row>
    <row r="17" spans="1:14" s="13" customFormat="1" ht="18" customHeight="1">
      <c r="A17" s="14">
        <v>9</v>
      </c>
      <c r="B17" s="26" t="s">
        <v>125</v>
      </c>
      <c r="C17" s="27" t="s">
        <v>126</v>
      </c>
      <c r="D17" s="27">
        <v>2</v>
      </c>
      <c r="E17" s="28"/>
      <c r="F17" s="25">
        <v>1</v>
      </c>
      <c r="G17" s="19"/>
      <c r="H17" s="20">
        <v>600</v>
      </c>
      <c r="I17" s="21">
        <f t="shared" si="1"/>
        <v>1200</v>
      </c>
      <c r="J17" s="21"/>
      <c r="K17" s="22">
        <f t="shared" si="0"/>
        <v>1200</v>
      </c>
      <c r="L17" s="23"/>
      <c r="M17" s="24"/>
    </row>
    <row r="18" spans="1:14" s="13" customFormat="1" ht="18" customHeight="1">
      <c r="A18" s="14">
        <v>10</v>
      </c>
      <c r="B18" s="26" t="s">
        <v>127</v>
      </c>
      <c r="C18" s="16" t="str">
        <f>원가!B12</f>
        <v>WCB</v>
      </c>
      <c r="D18" s="27">
        <v>1</v>
      </c>
      <c r="E18" s="28"/>
      <c r="F18" s="19">
        <v>1.27</v>
      </c>
      <c r="G18" s="19"/>
      <c r="H18" s="20">
        <f>원가!C12</f>
        <v>2600</v>
      </c>
      <c r="I18" s="21">
        <f t="shared" si="1"/>
        <v>3302</v>
      </c>
      <c r="J18" s="21">
        <v>6000</v>
      </c>
      <c r="K18" s="22">
        <f t="shared" si="0"/>
        <v>9302</v>
      </c>
      <c r="L18" s="23"/>
      <c r="M18" s="24"/>
    </row>
    <row r="19" spans="1:14" s="13" customFormat="1" ht="18" customHeight="1">
      <c r="A19" s="14">
        <v>11</v>
      </c>
      <c r="B19" s="26" t="s">
        <v>128</v>
      </c>
      <c r="C19" s="16" t="s">
        <v>112</v>
      </c>
      <c r="D19" s="27">
        <v>1</v>
      </c>
      <c r="E19" s="28"/>
      <c r="F19" s="19"/>
      <c r="G19" s="19"/>
      <c r="H19" s="20"/>
      <c r="I19" s="21">
        <v>1000</v>
      </c>
      <c r="J19" s="21">
        <v>2500</v>
      </c>
      <c r="K19" s="22">
        <f t="shared" si="0"/>
        <v>3500</v>
      </c>
      <c r="L19" s="23"/>
      <c r="M19" s="24"/>
    </row>
    <row r="20" spans="1:14" s="13" customFormat="1" ht="18" customHeight="1">
      <c r="A20" s="14">
        <v>12</v>
      </c>
      <c r="B20" s="26" t="s">
        <v>129</v>
      </c>
      <c r="C20" s="27" t="s">
        <v>118</v>
      </c>
      <c r="D20" s="27">
        <v>3</v>
      </c>
      <c r="E20" s="28"/>
      <c r="F20" s="25">
        <v>1</v>
      </c>
      <c r="G20" s="32"/>
      <c r="H20" s="20">
        <v>300</v>
      </c>
      <c r="I20" s="21">
        <f>D20*F20*H20</f>
        <v>900</v>
      </c>
      <c r="J20" s="21">
        <v>1500</v>
      </c>
      <c r="K20" s="22">
        <f t="shared" si="0"/>
        <v>2400</v>
      </c>
      <c r="L20" s="33"/>
    </row>
    <row r="21" spans="1:14" s="13" customFormat="1" ht="18" customHeight="1">
      <c r="A21" s="14">
        <v>13</v>
      </c>
      <c r="B21" s="26" t="s">
        <v>130</v>
      </c>
      <c r="C21" s="27" t="s">
        <v>126</v>
      </c>
      <c r="D21" s="27">
        <v>8</v>
      </c>
      <c r="E21" s="28"/>
      <c r="F21" s="25">
        <v>1</v>
      </c>
      <c r="G21" s="32"/>
      <c r="H21" s="20">
        <v>60</v>
      </c>
      <c r="I21" s="21">
        <f>D21*F21*H21</f>
        <v>480</v>
      </c>
      <c r="J21" s="21"/>
      <c r="K21" s="22">
        <f t="shared" si="0"/>
        <v>480</v>
      </c>
      <c r="L21" s="33"/>
    </row>
    <row r="22" spans="1:14" s="13" customFormat="1" ht="24" customHeight="1">
      <c r="A22" s="14">
        <v>14</v>
      </c>
      <c r="B22" s="34" t="s">
        <v>131</v>
      </c>
      <c r="C22" s="27" t="s">
        <v>126</v>
      </c>
      <c r="D22" s="27">
        <v>4</v>
      </c>
      <c r="E22" s="28"/>
      <c r="F22" s="25">
        <v>1</v>
      </c>
      <c r="G22" s="32"/>
      <c r="H22" s="20">
        <v>1500</v>
      </c>
      <c r="I22" s="21">
        <f>D22*F22*H22</f>
        <v>6000</v>
      </c>
      <c r="J22" s="21"/>
      <c r="K22" s="22">
        <f t="shared" si="0"/>
        <v>6000</v>
      </c>
      <c r="L22" s="33"/>
    </row>
    <row r="23" spans="1:14" s="13" customFormat="1" ht="18" customHeight="1">
      <c r="A23" s="14">
        <v>15</v>
      </c>
      <c r="B23" s="26" t="s">
        <v>132</v>
      </c>
      <c r="C23" s="27" t="str">
        <f>원가!B13</f>
        <v>WCB</v>
      </c>
      <c r="D23" s="27">
        <v>1</v>
      </c>
      <c r="E23" s="28"/>
      <c r="F23" s="32">
        <v>2.5</v>
      </c>
      <c r="G23" s="32"/>
      <c r="H23" s="20">
        <f>원가!C13</f>
        <v>2600</v>
      </c>
      <c r="I23" s="21">
        <f>D23*F23*H23</f>
        <v>6500</v>
      </c>
      <c r="J23" s="21">
        <v>6000</v>
      </c>
      <c r="K23" s="22">
        <f t="shared" si="0"/>
        <v>12500</v>
      </c>
      <c r="L23" s="33"/>
    </row>
    <row r="24" spans="1:14" s="13" customFormat="1" ht="18" customHeight="1">
      <c r="A24" s="14">
        <v>16</v>
      </c>
      <c r="B24" s="15" t="s">
        <v>133</v>
      </c>
      <c r="C24" s="16" t="s">
        <v>126</v>
      </c>
      <c r="D24" s="16">
        <v>4</v>
      </c>
      <c r="E24" s="17"/>
      <c r="F24" s="25">
        <v>1</v>
      </c>
      <c r="G24" s="32"/>
      <c r="H24" s="20">
        <v>1500</v>
      </c>
      <c r="I24" s="21">
        <f>D24*F24*H24</f>
        <v>6000</v>
      </c>
      <c r="J24" s="21"/>
      <c r="K24" s="22">
        <f t="shared" si="0"/>
        <v>6000</v>
      </c>
      <c r="L24" s="33"/>
    </row>
    <row r="25" spans="1:14" s="13" customFormat="1" ht="18" customHeight="1">
      <c r="A25" s="14">
        <v>17</v>
      </c>
      <c r="B25" s="15" t="s">
        <v>134</v>
      </c>
      <c r="C25" s="16" t="s">
        <v>115</v>
      </c>
      <c r="D25" s="16">
        <v>1</v>
      </c>
      <c r="E25" s="17"/>
      <c r="F25" s="25">
        <v>1</v>
      </c>
      <c r="G25" s="32"/>
      <c r="H25" s="35"/>
      <c r="I25" s="21">
        <v>400</v>
      </c>
      <c r="J25" s="21"/>
      <c r="K25" s="22">
        <f t="shared" si="0"/>
        <v>400</v>
      </c>
      <c r="L25" s="33"/>
    </row>
    <row r="26" spans="1:14" s="13" customFormat="1" ht="18" customHeight="1">
      <c r="A26" s="131">
        <v>18</v>
      </c>
      <c r="B26" s="15" t="s">
        <v>135</v>
      </c>
      <c r="C26" s="16" t="str">
        <f>원가!B17</f>
        <v>10 BAR</v>
      </c>
      <c r="D26" s="16">
        <v>1</v>
      </c>
      <c r="E26" s="17"/>
      <c r="F26" s="32">
        <v>6.3</v>
      </c>
      <c r="G26" s="32"/>
      <c r="H26" s="35"/>
      <c r="I26" s="21"/>
      <c r="J26" s="97" t="s">
        <v>511</v>
      </c>
      <c r="K26" s="95">
        <f>IF(C26="PIYAKE",L26,IF(C26="10 BAR",M26,IF(C26="20 BAR",N26)))</f>
        <v>98000</v>
      </c>
      <c r="L26" s="33">
        <v>25230</v>
      </c>
      <c r="M26" s="33">
        <v>98000</v>
      </c>
      <c r="N26" s="33">
        <v>98000</v>
      </c>
    </row>
    <row r="27" spans="1:14" s="13" customFormat="1" ht="24" customHeight="1">
      <c r="A27" s="131"/>
      <c r="B27" s="36" t="s">
        <v>136</v>
      </c>
      <c r="C27" s="16"/>
      <c r="D27" s="16">
        <v>4</v>
      </c>
      <c r="E27" s="17"/>
      <c r="F27" s="25">
        <v>1</v>
      </c>
      <c r="G27" s="32"/>
      <c r="H27" s="35">
        <v>3000</v>
      </c>
      <c r="I27" s="57">
        <f>D27*F27*H27</f>
        <v>12000</v>
      </c>
      <c r="J27" s="21"/>
      <c r="K27" s="22">
        <f t="shared" si="0"/>
        <v>12000</v>
      </c>
      <c r="L27" s="33"/>
    </row>
    <row r="28" spans="1:14" s="13" customFormat="1" ht="18" customHeight="1">
      <c r="A28" s="14">
        <v>19</v>
      </c>
      <c r="B28" s="15" t="s">
        <v>137</v>
      </c>
      <c r="C28" s="16" t="s">
        <v>138</v>
      </c>
      <c r="D28" s="16">
        <v>1</v>
      </c>
      <c r="E28" s="17"/>
      <c r="F28" s="25">
        <v>1</v>
      </c>
      <c r="G28" s="32"/>
      <c r="H28" s="17"/>
      <c r="I28" s="21">
        <v>220</v>
      </c>
      <c r="J28" s="21">
        <v>3300</v>
      </c>
      <c r="K28" s="22">
        <f t="shared" si="0"/>
        <v>3520</v>
      </c>
      <c r="L28" s="33"/>
    </row>
    <row r="29" spans="1:14" s="13" customFormat="1" ht="18" customHeight="1">
      <c r="A29" s="14">
        <v>20</v>
      </c>
      <c r="B29" s="15" t="s">
        <v>139</v>
      </c>
      <c r="C29" s="16"/>
      <c r="D29" s="16">
        <v>1</v>
      </c>
      <c r="E29" s="17"/>
      <c r="F29" s="25">
        <v>1</v>
      </c>
      <c r="G29" s="32"/>
      <c r="H29" s="17"/>
      <c r="I29" s="22">
        <v>12000</v>
      </c>
      <c r="J29" s="22"/>
      <c r="K29" s="22">
        <f t="shared" si="0"/>
        <v>12000</v>
      </c>
      <c r="L29" s="33"/>
    </row>
    <row r="30" spans="1:14" s="13" customFormat="1" ht="18" customHeight="1">
      <c r="A30" s="14">
        <v>21</v>
      </c>
      <c r="B30" s="15" t="s">
        <v>140</v>
      </c>
      <c r="C30" s="16"/>
      <c r="D30" s="16">
        <v>1</v>
      </c>
      <c r="E30" s="17"/>
      <c r="F30" s="25">
        <v>1</v>
      </c>
      <c r="G30" s="32"/>
      <c r="H30" s="17"/>
      <c r="I30" s="22">
        <v>12000</v>
      </c>
      <c r="J30" s="22"/>
      <c r="K30" s="22">
        <f t="shared" si="0"/>
        <v>12000</v>
      </c>
      <c r="L30" s="33"/>
    </row>
    <row r="31" spans="1:14" s="13" customFormat="1" ht="18" customHeight="1">
      <c r="A31" s="14">
        <v>22</v>
      </c>
      <c r="B31" s="37" t="s">
        <v>141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708742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142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143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144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9500</v>
      </c>
      <c r="L35" s="33"/>
    </row>
    <row r="36" spans="1:13" s="13" customFormat="1" ht="18" customHeight="1">
      <c r="A36" s="14">
        <v>26</v>
      </c>
      <c r="B36" s="15" t="s">
        <v>145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146</v>
      </c>
      <c r="C37" s="38"/>
      <c r="D37" s="42"/>
      <c r="E37" s="39"/>
      <c r="F37" s="39"/>
      <c r="G37" s="39"/>
      <c r="H37" s="39"/>
      <c r="I37" s="43">
        <f>SUM(K32:K36)</f>
        <v>9500</v>
      </c>
      <c r="J37" s="44">
        <v>1</v>
      </c>
      <c r="K37" s="43">
        <f>J37*I37</f>
        <v>9500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147</v>
      </c>
      <c r="C39" s="38"/>
      <c r="D39" s="38"/>
      <c r="E39" s="47" t="s">
        <v>148</v>
      </c>
      <c r="F39" s="132">
        <f>L40</f>
        <v>1580</v>
      </c>
      <c r="G39" s="133"/>
      <c r="H39" s="39"/>
      <c r="I39" s="41">
        <f>K31</f>
        <v>708742</v>
      </c>
      <c r="J39" s="48">
        <f>원가!B15</f>
        <v>1</v>
      </c>
      <c r="K39" s="43">
        <f>J39*I39</f>
        <v>708742</v>
      </c>
      <c r="L39" s="49" t="s">
        <v>148</v>
      </c>
    </row>
    <row r="40" spans="1:13" s="50" customFormat="1" ht="18" customHeight="1">
      <c r="A40" s="14">
        <v>30</v>
      </c>
      <c r="B40" s="10" t="s">
        <v>149</v>
      </c>
      <c r="C40" s="38"/>
      <c r="D40" s="38"/>
      <c r="E40" s="47" t="s">
        <v>150</v>
      </c>
      <c r="F40" s="132">
        <f>K40</f>
        <v>718242</v>
      </c>
      <c r="G40" s="133"/>
      <c r="H40" s="39" t="s">
        <v>502</v>
      </c>
      <c r="I40" s="48">
        <f>원가!B2</f>
        <v>1</v>
      </c>
      <c r="J40" s="48"/>
      <c r="K40" s="41">
        <f>SUM(K37:K39)/I40</f>
        <v>718242</v>
      </c>
      <c r="L40" s="49">
        <v>1580</v>
      </c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6"/>
  <dimension ref="A1:N47"/>
  <sheetViews>
    <sheetView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4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7"/>
      <c r="F6" s="18">
        <v>80.099999999999994</v>
      </c>
      <c r="G6" s="19"/>
      <c r="H6" s="20">
        <f>원가!C4</f>
        <v>2600</v>
      </c>
      <c r="I6" s="21">
        <f>D6*F6*H6</f>
        <v>208259.99999999997</v>
      </c>
      <c r="J6" s="21">
        <v>150000</v>
      </c>
      <c r="K6" s="22">
        <f>I6+J6</f>
        <v>358260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8">
        <v>9.8000000000000007</v>
      </c>
      <c r="G7" s="19"/>
      <c r="H7" s="20">
        <f>원가!C5</f>
        <v>2600</v>
      </c>
      <c r="I7" s="21">
        <f>D7*F7*H7</f>
        <v>25480.000000000004</v>
      </c>
      <c r="J7" s="21">
        <v>20000</v>
      </c>
      <c r="K7" s="22">
        <f t="shared" ref="K7:K30" si="0">I7+J7</f>
        <v>45480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2500</v>
      </c>
      <c r="J8" s="21"/>
      <c r="K8" s="22">
        <f t="shared" si="0"/>
        <v>2500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4.75</v>
      </c>
      <c r="G9" s="19"/>
      <c r="H9" s="20">
        <f>원가!C6</f>
        <v>8500</v>
      </c>
      <c r="I9" s="21">
        <f t="shared" ref="I9:I18" si="1">D9*F9*H9</f>
        <v>40375</v>
      </c>
      <c r="J9" s="21">
        <v>10000</v>
      </c>
      <c r="K9" s="22">
        <f t="shared" si="0"/>
        <v>50375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5.4</v>
      </c>
      <c r="G10" s="19"/>
      <c r="H10" s="20">
        <f>원가!C7</f>
        <v>8500</v>
      </c>
      <c r="I10" s="21">
        <f t="shared" si="1"/>
        <v>45900</v>
      </c>
      <c r="J10" s="21">
        <v>15000</v>
      </c>
      <c r="K10" s="22">
        <f t="shared" si="0"/>
        <v>60900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17"/>
      <c r="F11" s="19">
        <v>5.4</v>
      </c>
      <c r="G11" s="19"/>
      <c r="H11" s="20">
        <f>원가!C8</f>
        <v>8500</v>
      </c>
      <c r="I11" s="21">
        <f t="shared" si="1"/>
        <v>45900</v>
      </c>
      <c r="J11" s="21">
        <v>15000</v>
      </c>
      <c r="K11" s="22">
        <f t="shared" si="0"/>
        <v>60900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0.86299999999999999</v>
      </c>
      <c r="G12" s="19"/>
      <c r="H12" s="20">
        <f>원가!C9</f>
        <v>12500</v>
      </c>
      <c r="I12" s="21">
        <f t="shared" si="1"/>
        <v>10787.5</v>
      </c>
      <c r="J12" s="21">
        <v>10500</v>
      </c>
      <c r="K12" s="22">
        <f t="shared" si="0"/>
        <v>21287.5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0.86299999999999999</v>
      </c>
      <c r="G13" s="19"/>
      <c r="H13" s="20">
        <f>원가!C10</f>
        <v>12500</v>
      </c>
      <c r="I13" s="21">
        <f t="shared" si="1"/>
        <v>10787.5</v>
      </c>
      <c r="J13" s="21">
        <v>10500</v>
      </c>
      <c r="K13" s="22">
        <f t="shared" si="0"/>
        <v>21287.5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3</v>
      </c>
      <c r="E14" s="28"/>
      <c r="F14" s="25">
        <v>1</v>
      </c>
      <c r="G14" s="29"/>
      <c r="H14" s="30">
        <v>500</v>
      </c>
      <c r="I14" s="21">
        <f t="shared" si="1"/>
        <v>1500</v>
      </c>
      <c r="J14" s="31"/>
      <c r="K14" s="22">
        <f t="shared" si="0"/>
        <v>1500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2</v>
      </c>
      <c r="E15" s="28"/>
      <c r="F15" s="25">
        <v>1</v>
      </c>
      <c r="G15" s="29"/>
      <c r="H15" s="30">
        <v>1000</v>
      </c>
      <c r="I15" s="21">
        <f t="shared" si="1"/>
        <v>2000</v>
      </c>
      <c r="J15" s="31">
        <v>2000</v>
      </c>
      <c r="K15" s="22">
        <f t="shared" si="0"/>
        <v>4000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1.5</v>
      </c>
      <c r="G16" s="19"/>
      <c r="H16" s="20">
        <f>원가!C11</f>
        <v>2600</v>
      </c>
      <c r="I16" s="21">
        <f t="shared" si="1"/>
        <v>3900</v>
      </c>
      <c r="J16" s="21">
        <v>4000</v>
      </c>
      <c r="K16" s="22">
        <f t="shared" si="0"/>
        <v>7900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2</v>
      </c>
      <c r="E17" s="28"/>
      <c r="F17" s="25">
        <v>1</v>
      </c>
      <c r="G17" s="19"/>
      <c r="H17" s="20">
        <v>600</v>
      </c>
      <c r="I17" s="21">
        <f t="shared" si="1"/>
        <v>1200</v>
      </c>
      <c r="J17" s="21"/>
      <c r="K17" s="22">
        <f t="shared" si="0"/>
        <v>1200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1.415</v>
      </c>
      <c r="G18" s="19"/>
      <c r="H18" s="20">
        <f>원가!C12</f>
        <v>2600</v>
      </c>
      <c r="I18" s="21">
        <f t="shared" si="1"/>
        <v>3679</v>
      </c>
      <c r="J18" s="21">
        <v>6000</v>
      </c>
      <c r="K18" s="22">
        <f t="shared" si="0"/>
        <v>9679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/>
      <c r="G19" s="19"/>
      <c r="H19" s="20"/>
      <c r="I19" s="21">
        <v>1000</v>
      </c>
      <c r="J19" s="21">
        <v>3000</v>
      </c>
      <c r="K19" s="22">
        <f t="shared" si="0"/>
        <v>4000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25">
        <v>1</v>
      </c>
      <c r="G20" s="32"/>
      <c r="H20" s="20">
        <v>300</v>
      </c>
      <c r="I20" s="21">
        <f>D20*F20*H20</f>
        <v>900</v>
      </c>
      <c r="J20" s="21">
        <v>1500</v>
      </c>
      <c r="K20" s="22">
        <f t="shared" si="0"/>
        <v>2400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8</v>
      </c>
      <c r="E21" s="28"/>
      <c r="F21" s="25">
        <v>1</v>
      </c>
      <c r="G21" s="32"/>
      <c r="H21" s="20">
        <v>60</v>
      </c>
      <c r="I21" s="21">
        <f>D21*F21*H21</f>
        <v>480</v>
      </c>
      <c r="J21" s="21"/>
      <c r="K21" s="22">
        <f t="shared" si="0"/>
        <v>480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4</v>
      </c>
      <c r="E22" s="28"/>
      <c r="F22" s="25">
        <v>1</v>
      </c>
      <c r="G22" s="32"/>
      <c r="H22" s="20">
        <v>1500</v>
      </c>
      <c r="I22" s="21">
        <f>D22*F22*H22</f>
        <v>6000</v>
      </c>
      <c r="J22" s="21"/>
      <c r="K22" s="22">
        <f t="shared" si="0"/>
        <v>6000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2.8</v>
      </c>
      <c r="G23" s="32"/>
      <c r="H23" s="20">
        <f>원가!C13</f>
        <v>2600</v>
      </c>
      <c r="I23" s="21">
        <f>D23*F23*H23</f>
        <v>7279.9999999999991</v>
      </c>
      <c r="J23" s="21">
        <v>7000</v>
      </c>
      <c r="K23" s="22">
        <f t="shared" si="0"/>
        <v>14280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2000</v>
      </c>
      <c r="I24" s="21">
        <f>D24*F24*H24</f>
        <v>8000</v>
      </c>
      <c r="J24" s="21"/>
      <c r="K24" s="22">
        <f t="shared" si="0"/>
        <v>8000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/>
      <c r="I25" s="21">
        <v>400</v>
      </c>
      <c r="J25" s="21"/>
      <c r="K25" s="22">
        <f t="shared" si="0"/>
        <v>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6.3</v>
      </c>
      <c r="G26" s="32"/>
      <c r="H26" s="35"/>
      <c r="I26" s="21"/>
      <c r="J26" s="97" t="s">
        <v>511</v>
      </c>
      <c r="K26" s="95">
        <f>IF(C26="PIYAKE",L26,IF(C26="10 BAR",M26,IF(C26="20 BAR",N26)))</f>
        <v>203000</v>
      </c>
      <c r="L26" s="33">
        <v>27860</v>
      </c>
      <c r="M26" s="33">
        <v>203000</v>
      </c>
      <c r="N26" s="33">
        <v>203000</v>
      </c>
    </row>
    <row r="27" spans="1:14" s="13" customFormat="1" ht="24" customHeight="1">
      <c r="A27" s="131"/>
      <c r="B27" s="36" t="s">
        <v>188</v>
      </c>
      <c r="C27" s="16"/>
      <c r="D27" s="16">
        <v>4</v>
      </c>
      <c r="E27" s="17"/>
      <c r="F27" s="25">
        <v>1</v>
      </c>
      <c r="G27" s="32"/>
      <c r="H27" s="35">
        <v>3000</v>
      </c>
      <c r="I27" s="57">
        <f>D27*F27*H27</f>
        <v>12000</v>
      </c>
      <c r="J27" s="21"/>
      <c r="K27" s="22">
        <f t="shared" si="0"/>
        <v>12000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220</v>
      </c>
      <c r="J28" s="21">
        <v>3300</v>
      </c>
      <c r="K28" s="22">
        <f t="shared" si="0"/>
        <v>3520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15000</v>
      </c>
      <c r="J29" s="22"/>
      <c r="K29" s="22">
        <f t="shared" si="0"/>
        <v>15000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15000</v>
      </c>
      <c r="J30" s="22"/>
      <c r="K30" s="22">
        <f t="shared" si="0"/>
        <v>15000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929349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11000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11000</v>
      </c>
      <c r="J37" s="44">
        <v>1</v>
      </c>
      <c r="K37" s="43">
        <f>J37*I37</f>
        <v>11000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0</v>
      </c>
      <c r="G39" s="133"/>
      <c r="H39" s="39"/>
      <c r="I39" s="41">
        <f>K31</f>
        <v>929349</v>
      </c>
      <c r="J39" s="48">
        <f>원가!B15</f>
        <v>1</v>
      </c>
      <c r="K39" s="43">
        <f>J39*I39</f>
        <v>929349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940349</v>
      </c>
      <c r="G40" s="133"/>
      <c r="H40" s="39" t="s">
        <v>502</v>
      </c>
      <c r="I40" s="48">
        <f>원가!B2</f>
        <v>1</v>
      </c>
      <c r="J40" s="48"/>
      <c r="K40" s="41">
        <f>SUM(K37:K39)/I40</f>
        <v>940349</v>
      </c>
      <c r="L40" s="49"/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A16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2" max="14" width="10.42578125" bestFit="1" customWidth="1"/>
  </cols>
  <sheetData>
    <row r="1" spans="1:13" s="4" customFormat="1" ht="20.25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473</v>
      </c>
      <c r="B3" s="6"/>
      <c r="C3" s="6" t="s">
        <v>6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7</v>
      </c>
      <c r="B5" s="9" t="s">
        <v>8</v>
      </c>
      <c r="C5" s="9" t="s">
        <v>9</v>
      </c>
      <c r="D5" s="10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11"/>
      <c r="M5" s="12"/>
    </row>
    <row r="6" spans="1:13" s="13" customFormat="1" ht="18" customHeight="1">
      <c r="A6" s="14">
        <v>1</v>
      </c>
      <c r="B6" s="15" t="s">
        <v>18</v>
      </c>
      <c r="C6" s="16" t="str">
        <f>원가!B4</f>
        <v>WCB</v>
      </c>
      <c r="D6" s="16">
        <v>1</v>
      </c>
      <c r="E6" s="17"/>
      <c r="F6" s="18">
        <v>131</v>
      </c>
      <c r="G6" s="19"/>
      <c r="H6" s="20">
        <f>원가!C4</f>
        <v>2600</v>
      </c>
      <c r="I6" s="21">
        <f>D6*F6*H6</f>
        <v>340600</v>
      </c>
      <c r="J6" s="21">
        <v>170000</v>
      </c>
      <c r="K6" s="22">
        <f t="shared" ref="K6:K30" si="0">I6+J6</f>
        <v>510600</v>
      </c>
      <c r="L6" s="23"/>
      <c r="M6" s="24"/>
    </row>
    <row r="7" spans="1:13" s="13" customFormat="1" ht="18" customHeight="1">
      <c r="A7" s="14">
        <v>2</v>
      </c>
      <c r="B7" s="15" t="s">
        <v>20</v>
      </c>
      <c r="C7" s="16" t="str">
        <f>원가!B5</f>
        <v>WCB</v>
      </c>
      <c r="D7" s="16">
        <v>1</v>
      </c>
      <c r="E7" s="17"/>
      <c r="F7" s="18">
        <v>23</v>
      </c>
      <c r="G7" s="19"/>
      <c r="H7" s="20">
        <f>원가!C5</f>
        <v>2600</v>
      </c>
      <c r="I7" s="21">
        <f>D7*F7*H7</f>
        <v>59800</v>
      </c>
      <c r="J7" s="21">
        <v>20000</v>
      </c>
      <c r="K7" s="22">
        <f t="shared" si="0"/>
        <v>79800</v>
      </c>
      <c r="L7" s="23"/>
      <c r="M7" s="24"/>
    </row>
    <row r="8" spans="1:13" s="13" customFormat="1" ht="18" customHeight="1">
      <c r="A8" s="14">
        <v>3</v>
      </c>
      <c r="B8" s="15" t="s">
        <v>21</v>
      </c>
      <c r="C8" s="16" t="s">
        <v>22</v>
      </c>
      <c r="D8" s="16">
        <v>1</v>
      </c>
      <c r="E8" s="17"/>
      <c r="F8" s="25">
        <v>1</v>
      </c>
      <c r="G8" s="19"/>
      <c r="H8" s="20"/>
      <c r="I8" s="21">
        <v>7700</v>
      </c>
      <c r="J8" s="21"/>
      <c r="K8" s="22">
        <f t="shared" si="0"/>
        <v>7700</v>
      </c>
      <c r="L8" s="23"/>
      <c r="M8" s="24"/>
    </row>
    <row r="9" spans="1:13" s="13" customFormat="1" ht="18" customHeight="1">
      <c r="A9" s="14">
        <v>4</v>
      </c>
      <c r="B9" s="15" t="s">
        <v>23</v>
      </c>
      <c r="C9" s="16" t="str">
        <f>원가!B6</f>
        <v>A276T316L</v>
      </c>
      <c r="D9" s="16">
        <v>1</v>
      </c>
      <c r="E9" s="17"/>
      <c r="F9" s="19">
        <v>7.29</v>
      </c>
      <c r="G9" s="19"/>
      <c r="H9" s="20">
        <f>원가!C6</f>
        <v>8500</v>
      </c>
      <c r="I9" s="21">
        <f t="shared" ref="I9:I24" si="1">D9*F9*H9</f>
        <v>61965</v>
      </c>
      <c r="J9" s="21">
        <v>25000</v>
      </c>
      <c r="K9" s="22">
        <f t="shared" si="0"/>
        <v>86965</v>
      </c>
      <c r="L9" s="23"/>
      <c r="M9" s="24"/>
    </row>
    <row r="10" spans="1:13" s="13" customFormat="1" ht="18" customHeight="1">
      <c r="A10" s="131">
        <v>5</v>
      </c>
      <c r="B10" s="15" t="s">
        <v>24</v>
      </c>
      <c r="C10" s="16" t="str">
        <f>원가!B7</f>
        <v>316L</v>
      </c>
      <c r="D10" s="16">
        <v>1</v>
      </c>
      <c r="E10" s="17"/>
      <c r="F10" s="19">
        <v>5</v>
      </c>
      <c r="G10" s="19"/>
      <c r="H10" s="20">
        <f>원가!C7</f>
        <v>8500</v>
      </c>
      <c r="I10" s="21">
        <f t="shared" si="1"/>
        <v>42500</v>
      </c>
      <c r="J10" s="21">
        <v>25000</v>
      </c>
      <c r="K10" s="22">
        <f t="shared" si="0"/>
        <v>67500</v>
      </c>
      <c r="L10" s="23"/>
      <c r="M10" s="24"/>
    </row>
    <row r="11" spans="1:13" s="13" customFormat="1" ht="18" customHeight="1">
      <c r="A11" s="131"/>
      <c r="B11" s="15" t="s">
        <v>26</v>
      </c>
      <c r="C11" s="16" t="str">
        <f>원가!B8</f>
        <v>316L</v>
      </c>
      <c r="D11" s="16">
        <v>1</v>
      </c>
      <c r="E11" s="17"/>
      <c r="F11" s="19">
        <v>5</v>
      </c>
      <c r="G11" s="19"/>
      <c r="H11" s="20">
        <f>원가!C8</f>
        <v>8500</v>
      </c>
      <c r="I11" s="21">
        <f t="shared" si="1"/>
        <v>42500</v>
      </c>
      <c r="J11" s="21">
        <v>25000</v>
      </c>
      <c r="K11" s="22">
        <f t="shared" si="0"/>
        <v>67500</v>
      </c>
      <c r="L11" s="23"/>
      <c r="M11" s="24"/>
    </row>
    <row r="12" spans="1:13" s="13" customFormat="1" ht="18" customHeight="1">
      <c r="A12" s="131">
        <v>6</v>
      </c>
      <c r="B12" s="15" t="s">
        <v>27</v>
      </c>
      <c r="C12" s="16" t="str">
        <f>원가!B9</f>
        <v>B148</v>
      </c>
      <c r="D12" s="16">
        <v>1</v>
      </c>
      <c r="E12" s="17"/>
      <c r="F12" s="19">
        <v>2</v>
      </c>
      <c r="G12" s="19"/>
      <c r="H12" s="20">
        <f>원가!C9</f>
        <v>12500</v>
      </c>
      <c r="I12" s="21">
        <f t="shared" si="1"/>
        <v>25000</v>
      </c>
      <c r="J12" s="21">
        <v>3000</v>
      </c>
      <c r="K12" s="22">
        <f t="shared" si="0"/>
        <v>28000</v>
      </c>
      <c r="L12" s="23"/>
      <c r="M12" s="24"/>
    </row>
    <row r="13" spans="1:13" s="13" customFormat="1" ht="18" customHeight="1">
      <c r="A13" s="131"/>
      <c r="B13" s="26" t="s">
        <v>28</v>
      </c>
      <c r="C13" s="16" t="str">
        <f>원가!B10</f>
        <v>B148</v>
      </c>
      <c r="D13" s="16">
        <v>1</v>
      </c>
      <c r="E13" s="17"/>
      <c r="F13" s="19">
        <v>2</v>
      </c>
      <c r="G13" s="19"/>
      <c r="H13" s="20">
        <f>원가!C10</f>
        <v>12500</v>
      </c>
      <c r="I13" s="21">
        <f t="shared" si="1"/>
        <v>25000</v>
      </c>
      <c r="J13" s="21">
        <v>3000</v>
      </c>
      <c r="K13" s="22">
        <f t="shared" si="0"/>
        <v>28000</v>
      </c>
      <c r="L13" s="23"/>
      <c r="M13" s="24"/>
    </row>
    <row r="14" spans="1:13" s="13" customFormat="1" ht="18" customHeight="1">
      <c r="A14" s="131">
        <v>7</v>
      </c>
      <c r="B14" s="26" t="s">
        <v>29</v>
      </c>
      <c r="C14" s="27" t="s">
        <v>22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30</v>
      </c>
      <c r="C15" s="27" t="s">
        <v>19</v>
      </c>
      <c r="D15" s="27">
        <v>3</v>
      </c>
      <c r="E15" s="28"/>
      <c r="F15" s="25">
        <v>1</v>
      </c>
      <c r="G15" s="29"/>
      <c r="H15" s="30">
        <v>4200</v>
      </c>
      <c r="I15" s="21">
        <f t="shared" si="1"/>
        <v>12600</v>
      </c>
      <c r="J15" s="31"/>
      <c r="K15" s="22">
        <f t="shared" si="0"/>
        <v>12600</v>
      </c>
      <c r="L15" s="23"/>
      <c r="M15" s="24"/>
    </row>
    <row r="16" spans="1:13" s="13" customFormat="1" ht="18" customHeight="1">
      <c r="A16" s="14">
        <v>8</v>
      </c>
      <c r="B16" s="26" t="s">
        <v>31</v>
      </c>
      <c r="C16" s="16" t="str">
        <f>원가!B11</f>
        <v>WCB</v>
      </c>
      <c r="D16" s="16">
        <v>1</v>
      </c>
      <c r="E16" s="17"/>
      <c r="F16" s="19">
        <v>2</v>
      </c>
      <c r="G16" s="19"/>
      <c r="H16" s="20">
        <f>원가!C11</f>
        <v>2600</v>
      </c>
      <c r="I16" s="21">
        <f t="shared" si="1"/>
        <v>5200</v>
      </c>
      <c r="J16" s="21">
        <v>4000</v>
      </c>
      <c r="K16" s="22">
        <f t="shared" si="0"/>
        <v>9200</v>
      </c>
      <c r="L16" s="23"/>
      <c r="M16" s="24"/>
    </row>
    <row r="17" spans="1:14" s="13" customFormat="1" ht="18" customHeight="1">
      <c r="A17" s="14">
        <v>9</v>
      </c>
      <c r="B17" s="26" t="s">
        <v>32</v>
      </c>
      <c r="C17" s="27" t="s">
        <v>33</v>
      </c>
      <c r="D17" s="27">
        <v>4</v>
      </c>
      <c r="E17" s="28"/>
      <c r="F17" s="25">
        <v>1</v>
      </c>
      <c r="G17" s="19"/>
      <c r="H17" s="20">
        <v>3200</v>
      </c>
      <c r="I17" s="21">
        <f t="shared" si="1"/>
        <v>12800</v>
      </c>
      <c r="J17" s="21"/>
      <c r="K17" s="22">
        <f t="shared" si="0"/>
        <v>12800</v>
      </c>
      <c r="L17" s="23"/>
      <c r="M17" s="24"/>
    </row>
    <row r="18" spans="1:14" s="13" customFormat="1" ht="18" customHeight="1">
      <c r="A18" s="14">
        <v>10</v>
      </c>
      <c r="B18" s="26" t="s">
        <v>34</v>
      </c>
      <c r="C18" s="16" t="str">
        <f>원가!B12</f>
        <v>WCB</v>
      </c>
      <c r="D18" s="27">
        <v>1</v>
      </c>
      <c r="E18" s="28"/>
      <c r="F18" s="19">
        <v>2.6</v>
      </c>
      <c r="G18" s="19"/>
      <c r="H18" s="20">
        <f>원가!C12</f>
        <v>2600</v>
      </c>
      <c r="I18" s="21">
        <f t="shared" si="1"/>
        <v>6760</v>
      </c>
      <c r="J18" s="21">
        <v>7000</v>
      </c>
      <c r="K18" s="22">
        <f t="shared" si="0"/>
        <v>13760</v>
      </c>
      <c r="L18" s="23"/>
      <c r="M18" s="24"/>
    </row>
    <row r="19" spans="1:14" s="13" customFormat="1" ht="18" customHeight="1">
      <c r="A19" s="14">
        <v>11</v>
      </c>
      <c r="B19" s="26" t="s">
        <v>35</v>
      </c>
      <c r="C19" s="16" t="s">
        <v>19</v>
      </c>
      <c r="D19" s="27">
        <v>1</v>
      </c>
      <c r="E19" s="28"/>
      <c r="F19" s="19">
        <v>1.25</v>
      </c>
      <c r="G19" s="19"/>
      <c r="H19" s="20">
        <v>8000</v>
      </c>
      <c r="I19" s="21">
        <f t="shared" si="1"/>
        <v>10000</v>
      </c>
      <c r="J19" s="21">
        <v>4000</v>
      </c>
      <c r="K19" s="22">
        <f t="shared" si="0"/>
        <v>14000</v>
      </c>
      <c r="L19" s="23"/>
      <c r="M19" s="24"/>
    </row>
    <row r="20" spans="1:14" s="13" customFormat="1" ht="18" customHeight="1">
      <c r="A20" s="14">
        <v>12</v>
      </c>
      <c r="B20" s="26" t="s">
        <v>36</v>
      </c>
      <c r="C20" s="27" t="s">
        <v>25</v>
      </c>
      <c r="D20" s="27">
        <v>2</v>
      </c>
      <c r="E20" s="28"/>
      <c r="F20" s="32">
        <v>0.4</v>
      </c>
      <c r="G20" s="32"/>
      <c r="H20" s="20">
        <v>2400</v>
      </c>
      <c r="I20" s="21">
        <f t="shared" si="1"/>
        <v>1920</v>
      </c>
      <c r="J20" s="21">
        <v>4000</v>
      </c>
      <c r="K20" s="22">
        <f t="shared" si="0"/>
        <v>5920</v>
      </c>
      <c r="L20" s="33"/>
    </row>
    <row r="21" spans="1:14" s="13" customFormat="1" ht="18" customHeight="1">
      <c r="A21" s="14">
        <v>13</v>
      </c>
      <c r="B21" s="26" t="s">
        <v>37</v>
      </c>
      <c r="C21" s="27" t="s">
        <v>33</v>
      </c>
      <c r="D21" s="27">
        <v>12</v>
      </c>
      <c r="E21" s="28"/>
      <c r="F21" s="25">
        <v>1</v>
      </c>
      <c r="G21" s="32"/>
      <c r="H21" s="20">
        <v>110</v>
      </c>
      <c r="I21" s="21">
        <f t="shared" si="1"/>
        <v>1320</v>
      </c>
      <c r="J21" s="21"/>
      <c r="K21" s="22">
        <f t="shared" si="0"/>
        <v>1320</v>
      </c>
      <c r="L21" s="33"/>
    </row>
    <row r="22" spans="1:14" s="13" customFormat="1" ht="24" customHeight="1">
      <c r="A22" s="14">
        <v>14</v>
      </c>
      <c r="B22" s="34" t="s">
        <v>38</v>
      </c>
      <c r="C22" s="27" t="s">
        <v>33</v>
      </c>
      <c r="D22" s="27">
        <v>6</v>
      </c>
      <c r="E22" s="28"/>
      <c r="F22" s="25">
        <v>1</v>
      </c>
      <c r="G22" s="32"/>
      <c r="H22" s="20">
        <v>1500</v>
      </c>
      <c r="I22" s="21">
        <f t="shared" si="1"/>
        <v>9000</v>
      </c>
      <c r="J22" s="21"/>
      <c r="K22" s="22">
        <f t="shared" si="0"/>
        <v>9000</v>
      </c>
      <c r="L22" s="33"/>
    </row>
    <row r="23" spans="1:14" s="13" customFormat="1" ht="18" customHeight="1">
      <c r="A23" s="14">
        <v>15</v>
      </c>
      <c r="B23" s="26" t="s">
        <v>39</v>
      </c>
      <c r="C23" s="27" t="str">
        <f>원가!B13</f>
        <v>WCB</v>
      </c>
      <c r="D23" s="27">
        <v>1</v>
      </c>
      <c r="E23" s="28"/>
      <c r="F23" s="32">
        <v>7</v>
      </c>
      <c r="G23" s="32"/>
      <c r="H23" s="20">
        <f>원가!C13</f>
        <v>2600</v>
      </c>
      <c r="I23" s="21">
        <f t="shared" si="1"/>
        <v>18200</v>
      </c>
      <c r="J23" s="21">
        <v>9000</v>
      </c>
      <c r="K23" s="22">
        <f t="shared" si="0"/>
        <v>27200</v>
      </c>
      <c r="L23" s="33"/>
    </row>
    <row r="24" spans="1:14" s="13" customFormat="1" ht="18" customHeight="1">
      <c r="A24" s="14">
        <v>16</v>
      </c>
      <c r="B24" s="15" t="s">
        <v>40</v>
      </c>
      <c r="C24" s="16" t="s">
        <v>33</v>
      </c>
      <c r="D24" s="16">
        <v>4</v>
      </c>
      <c r="E24" s="17"/>
      <c r="F24" s="25">
        <v>1</v>
      </c>
      <c r="G24" s="32"/>
      <c r="H24" s="20">
        <v>2000</v>
      </c>
      <c r="I24" s="21">
        <f t="shared" si="1"/>
        <v>8000</v>
      </c>
      <c r="J24" s="21"/>
      <c r="K24" s="22">
        <f t="shared" si="0"/>
        <v>8000</v>
      </c>
      <c r="L24" s="33"/>
    </row>
    <row r="25" spans="1:14" s="13" customFormat="1" ht="18" customHeight="1">
      <c r="A25" s="14">
        <v>17</v>
      </c>
      <c r="B25" s="15" t="s">
        <v>41</v>
      </c>
      <c r="C25" s="16" t="s">
        <v>22</v>
      </c>
      <c r="D25" s="16">
        <v>1</v>
      </c>
      <c r="E25" s="17"/>
      <c r="F25" s="25">
        <v>1</v>
      </c>
      <c r="G25" s="32"/>
      <c r="H25" s="35"/>
      <c r="I25" s="21">
        <v>900</v>
      </c>
      <c r="J25" s="21"/>
      <c r="K25" s="22">
        <f t="shared" si="0"/>
        <v>900</v>
      </c>
      <c r="L25" s="33"/>
    </row>
    <row r="26" spans="1:14" s="13" customFormat="1" ht="18" customHeight="1">
      <c r="A26" s="131">
        <v>18</v>
      </c>
      <c r="B26" s="15" t="s">
        <v>42</v>
      </c>
      <c r="C26" s="16" t="str">
        <f>원가!B17</f>
        <v>10 BAR</v>
      </c>
      <c r="D26" s="16">
        <v>1</v>
      </c>
      <c r="E26" s="17"/>
      <c r="F26" s="32">
        <v>52</v>
      </c>
      <c r="G26" s="32"/>
      <c r="H26" s="35"/>
      <c r="I26" s="21">
        <v>181032</v>
      </c>
      <c r="J26" s="97" t="s">
        <v>511</v>
      </c>
      <c r="K26" s="95">
        <f>IF(C26="PIYAKE",L26,IF(C26="10 BAR",M26,IF(C26="20 BAR",N26)))</f>
        <v>203000</v>
      </c>
      <c r="L26" s="33"/>
      <c r="M26" s="33">
        <v>203000</v>
      </c>
      <c r="N26" s="33">
        <v>225000</v>
      </c>
    </row>
    <row r="27" spans="1:14" s="13" customFormat="1" ht="24" customHeight="1">
      <c r="A27" s="131"/>
      <c r="B27" s="36" t="s">
        <v>43</v>
      </c>
      <c r="C27" s="16"/>
      <c r="D27" s="16">
        <v>4</v>
      </c>
      <c r="E27" s="17"/>
      <c r="F27" s="25">
        <v>1</v>
      </c>
      <c r="G27" s="32"/>
      <c r="H27" s="35">
        <v>3000</v>
      </c>
      <c r="I27" s="57">
        <f>D27*F27*H27</f>
        <v>12000</v>
      </c>
      <c r="J27" s="21"/>
      <c r="K27" s="22">
        <f t="shared" si="0"/>
        <v>12000</v>
      </c>
      <c r="L27" s="33"/>
    </row>
    <row r="28" spans="1:14" s="13" customFormat="1" ht="18" customHeight="1">
      <c r="A28" s="14">
        <v>19</v>
      </c>
      <c r="B28" s="15" t="s">
        <v>44</v>
      </c>
      <c r="C28" s="16" t="s">
        <v>45</v>
      </c>
      <c r="D28" s="16">
        <v>1</v>
      </c>
      <c r="E28" s="17"/>
      <c r="F28" s="25">
        <v>1</v>
      </c>
      <c r="G28" s="32"/>
      <c r="H28" s="17"/>
      <c r="I28" s="21">
        <v>2160</v>
      </c>
      <c r="J28" s="21">
        <v>4400</v>
      </c>
      <c r="K28" s="22">
        <f t="shared" si="0"/>
        <v>6560</v>
      </c>
      <c r="L28" s="33"/>
    </row>
    <row r="29" spans="1:14" s="13" customFormat="1" ht="18" customHeight="1">
      <c r="A29" s="14">
        <v>20</v>
      </c>
      <c r="B29" s="15" t="s">
        <v>46</v>
      </c>
      <c r="C29" s="16"/>
      <c r="D29" s="16">
        <v>1</v>
      </c>
      <c r="E29" s="17"/>
      <c r="F29" s="25">
        <v>1</v>
      </c>
      <c r="G29" s="32"/>
      <c r="H29" s="17"/>
      <c r="I29" s="22">
        <v>20000</v>
      </c>
      <c r="J29" s="22"/>
      <c r="K29" s="22">
        <f t="shared" si="0"/>
        <v>20000</v>
      </c>
      <c r="L29" s="33"/>
    </row>
    <row r="30" spans="1:14" s="13" customFormat="1" ht="18" customHeight="1">
      <c r="A30" s="14">
        <v>21</v>
      </c>
      <c r="B30" s="15" t="s">
        <v>47</v>
      </c>
      <c r="C30" s="16"/>
      <c r="D30" s="16">
        <v>1</v>
      </c>
      <c r="E30" s="17"/>
      <c r="F30" s="25">
        <v>1</v>
      </c>
      <c r="G30" s="32"/>
      <c r="H30" s="17"/>
      <c r="I30" s="22">
        <v>20000</v>
      </c>
      <c r="J30" s="22"/>
      <c r="K30" s="22">
        <f t="shared" si="0"/>
        <v>20000</v>
      </c>
      <c r="L30" s="33"/>
    </row>
    <row r="31" spans="1:14" s="13" customFormat="1" ht="18" customHeight="1">
      <c r="A31" s="14">
        <v>22</v>
      </c>
      <c r="B31" s="37" t="s">
        <v>48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1254525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49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50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51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15000</v>
      </c>
      <c r="L35" s="33"/>
    </row>
    <row r="36" spans="1:13" s="13" customFormat="1" ht="18" customHeight="1">
      <c r="A36" s="14">
        <v>26</v>
      </c>
      <c r="B36" s="15" t="s">
        <v>52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53</v>
      </c>
      <c r="C37" s="38"/>
      <c r="D37" s="42"/>
      <c r="E37" s="39"/>
      <c r="F37" s="39"/>
      <c r="G37" s="39"/>
      <c r="H37" s="39"/>
      <c r="I37" s="43">
        <f>SUM(K32:K36)</f>
        <v>15000</v>
      </c>
      <c r="J37" s="44">
        <v>1</v>
      </c>
      <c r="K37" s="43">
        <f>J37*I37</f>
        <v>15000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54</v>
      </c>
      <c r="C39" s="38"/>
      <c r="D39" s="38"/>
      <c r="E39" s="47" t="s">
        <v>55</v>
      </c>
      <c r="F39" s="132">
        <f>L40</f>
        <v>0</v>
      </c>
      <c r="G39" s="133"/>
      <c r="H39" s="39"/>
      <c r="I39" s="41">
        <f>K31</f>
        <v>1254525</v>
      </c>
      <c r="J39" s="48">
        <f>원가!B15</f>
        <v>1</v>
      </c>
      <c r="K39" s="43">
        <f>J39*I39</f>
        <v>1254525</v>
      </c>
      <c r="L39" s="49" t="s">
        <v>55</v>
      </c>
    </row>
    <row r="40" spans="1:13" s="50" customFormat="1" ht="18" customHeight="1">
      <c r="A40" s="14">
        <v>30</v>
      </c>
      <c r="B40" s="10" t="s">
        <v>56</v>
      </c>
      <c r="C40" s="38"/>
      <c r="D40" s="38"/>
      <c r="E40" s="47" t="s">
        <v>57</v>
      </c>
      <c r="F40" s="132">
        <f>K40</f>
        <v>1269525</v>
      </c>
      <c r="G40" s="133"/>
      <c r="H40" s="39" t="s">
        <v>502</v>
      </c>
      <c r="I40" s="48">
        <f>원가!B2</f>
        <v>1</v>
      </c>
      <c r="J40" s="48"/>
      <c r="K40" s="41">
        <f>SUM(K37:K39)/I40</f>
        <v>1269525</v>
      </c>
      <c r="L40" s="49"/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N47"/>
  <sheetViews>
    <sheetView topLeftCell="A10"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58</v>
      </c>
      <c r="B3" s="6"/>
      <c r="C3" s="6" t="s">
        <v>6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7</v>
      </c>
      <c r="B5" s="9" t="s">
        <v>8</v>
      </c>
      <c r="C5" s="9" t="s">
        <v>9</v>
      </c>
      <c r="D5" s="10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11"/>
      <c r="M5" s="12"/>
    </row>
    <row r="6" spans="1:13" s="13" customFormat="1" ht="18" customHeight="1">
      <c r="A6" s="14">
        <v>1</v>
      </c>
      <c r="B6" s="15" t="s">
        <v>18</v>
      </c>
      <c r="C6" s="16" t="str">
        <f>원가!B4</f>
        <v>WCB</v>
      </c>
      <c r="D6" s="16">
        <v>1</v>
      </c>
      <c r="E6" s="17"/>
      <c r="F6" s="18">
        <v>134.69999999999999</v>
      </c>
      <c r="G6" s="19"/>
      <c r="H6" s="20">
        <f>원가!C4</f>
        <v>2600</v>
      </c>
      <c r="I6" s="21">
        <f>D6*F6*H6</f>
        <v>350219.99999999994</v>
      </c>
      <c r="J6" s="21">
        <v>190000</v>
      </c>
      <c r="K6" s="22">
        <f t="shared" ref="K6:K30" si="0">I6+J6</f>
        <v>540220</v>
      </c>
      <c r="L6" s="23"/>
      <c r="M6" s="24"/>
    </row>
    <row r="7" spans="1:13" s="13" customFormat="1" ht="18" customHeight="1">
      <c r="A7" s="14">
        <v>2</v>
      </c>
      <c r="B7" s="15" t="s">
        <v>20</v>
      </c>
      <c r="C7" s="16" t="str">
        <f>원가!B5</f>
        <v>WCB</v>
      </c>
      <c r="D7" s="16">
        <v>1</v>
      </c>
      <c r="E7" s="17"/>
      <c r="F7" s="18">
        <v>27</v>
      </c>
      <c r="G7" s="19"/>
      <c r="H7" s="20">
        <f>원가!C5</f>
        <v>2600</v>
      </c>
      <c r="I7" s="21">
        <f>D7*F7*H7</f>
        <v>70200</v>
      </c>
      <c r="J7" s="21">
        <v>40000</v>
      </c>
      <c r="K7" s="22">
        <f t="shared" si="0"/>
        <v>110200</v>
      </c>
      <c r="L7" s="23"/>
      <c r="M7" s="24"/>
    </row>
    <row r="8" spans="1:13" s="13" customFormat="1" ht="18" customHeight="1">
      <c r="A8" s="14">
        <v>3</v>
      </c>
      <c r="B8" s="15" t="s">
        <v>21</v>
      </c>
      <c r="C8" s="16" t="s">
        <v>22</v>
      </c>
      <c r="D8" s="16">
        <v>1</v>
      </c>
      <c r="E8" s="17"/>
      <c r="F8" s="25">
        <v>1</v>
      </c>
      <c r="G8" s="19"/>
      <c r="H8" s="20"/>
      <c r="I8" s="21">
        <v>7700</v>
      </c>
      <c r="J8" s="21"/>
      <c r="K8" s="22">
        <f t="shared" si="0"/>
        <v>7700</v>
      </c>
      <c r="L8" s="23"/>
      <c r="M8" s="24"/>
    </row>
    <row r="9" spans="1:13" s="13" customFormat="1" ht="18" customHeight="1">
      <c r="A9" s="14">
        <v>4</v>
      </c>
      <c r="B9" s="15" t="s">
        <v>23</v>
      </c>
      <c r="C9" s="16" t="str">
        <f>원가!B6</f>
        <v>A276T316L</v>
      </c>
      <c r="D9" s="16">
        <v>1</v>
      </c>
      <c r="E9" s="17"/>
      <c r="F9" s="19">
        <v>11</v>
      </c>
      <c r="G9" s="19"/>
      <c r="H9" s="20">
        <f>원가!C6</f>
        <v>8500</v>
      </c>
      <c r="I9" s="21">
        <f t="shared" ref="I9:I24" si="1">D9*F9*H9</f>
        <v>93500</v>
      </c>
      <c r="J9" s="21">
        <v>25000</v>
      </c>
      <c r="K9" s="22">
        <f t="shared" si="0"/>
        <v>118500</v>
      </c>
      <c r="L9" s="23"/>
      <c r="M9" s="24"/>
    </row>
    <row r="10" spans="1:13" s="13" customFormat="1" ht="18" customHeight="1">
      <c r="A10" s="131">
        <v>5</v>
      </c>
      <c r="B10" s="15" t="s">
        <v>24</v>
      </c>
      <c r="C10" s="16" t="str">
        <f>원가!B7</f>
        <v>316L</v>
      </c>
      <c r="D10" s="16">
        <v>1</v>
      </c>
      <c r="E10" s="17"/>
      <c r="F10" s="19">
        <v>6</v>
      </c>
      <c r="G10" s="19"/>
      <c r="H10" s="20">
        <f>원가!C7</f>
        <v>8500</v>
      </c>
      <c r="I10" s="21">
        <f t="shared" si="1"/>
        <v>51000</v>
      </c>
      <c r="J10" s="21">
        <v>25000</v>
      </c>
      <c r="K10" s="22">
        <f t="shared" si="0"/>
        <v>76000</v>
      </c>
      <c r="L10" s="23"/>
      <c r="M10" s="24"/>
    </row>
    <row r="11" spans="1:13" s="13" customFormat="1" ht="18" customHeight="1">
      <c r="A11" s="131"/>
      <c r="B11" s="15" t="s">
        <v>26</v>
      </c>
      <c r="C11" s="16" t="str">
        <f>원가!B8</f>
        <v>316L</v>
      </c>
      <c r="D11" s="16">
        <v>1</v>
      </c>
      <c r="E11" s="17"/>
      <c r="F11" s="19">
        <v>6</v>
      </c>
      <c r="G11" s="19"/>
      <c r="H11" s="20">
        <f>원가!C8</f>
        <v>8500</v>
      </c>
      <c r="I11" s="21">
        <f t="shared" si="1"/>
        <v>51000</v>
      </c>
      <c r="J11" s="21">
        <v>25000</v>
      </c>
      <c r="K11" s="22">
        <f t="shared" si="0"/>
        <v>76000</v>
      </c>
      <c r="L11" s="23"/>
      <c r="M11" s="24"/>
    </row>
    <row r="12" spans="1:13" s="13" customFormat="1" ht="18" customHeight="1">
      <c r="A12" s="131">
        <v>6</v>
      </c>
      <c r="B12" s="15" t="s">
        <v>27</v>
      </c>
      <c r="C12" s="16" t="str">
        <f>원가!B9</f>
        <v>B148</v>
      </c>
      <c r="D12" s="16">
        <v>1</v>
      </c>
      <c r="E12" s="17"/>
      <c r="F12" s="19">
        <v>1</v>
      </c>
      <c r="G12" s="19"/>
      <c r="H12" s="20">
        <f>원가!C9</f>
        <v>12500</v>
      </c>
      <c r="I12" s="21">
        <f t="shared" si="1"/>
        <v>12500</v>
      </c>
      <c r="J12" s="21">
        <v>3000</v>
      </c>
      <c r="K12" s="22">
        <f t="shared" si="0"/>
        <v>15500</v>
      </c>
      <c r="L12" s="23"/>
      <c r="M12" s="24"/>
    </row>
    <row r="13" spans="1:13" s="13" customFormat="1" ht="18" customHeight="1">
      <c r="A13" s="131"/>
      <c r="B13" s="26" t="s">
        <v>28</v>
      </c>
      <c r="C13" s="16" t="str">
        <f>원가!B10</f>
        <v>B148</v>
      </c>
      <c r="D13" s="16">
        <v>1</v>
      </c>
      <c r="E13" s="17"/>
      <c r="F13" s="19">
        <v>1</v>
      </c>
      <c r="G13" s="19"/>
      <c r="H13" s="20">
        <f>원가!C10</f>
        <v>12500</v>
      </c>
      <c r="I13" s="21">
        <f t="shared" si="1"/>
        <v>12500</v>
      </c>
      <c r="J13" s="21">
        <v>3000</v>
      </c>
      <c r="K13" s="22">
        <f t="shared" si="0"/>
        <v>15500</v>
      </c>
      <c r="L13" s="23"/>
      <c r="M13" s="24"/>
    </row>
    <row r="14" spans="1:13" s="13" customFormat="1" ht="18" customHeight="1">
      <c r="A14" s="131">
        <v>7</v>
      </c>
      <c r="B14" s="26" t="s">
        <v>29</v>
      </c>
      <c r="C14" s="27" t="s">
        <v>22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30</v>
      </c>
      <c r="C15" s="27" t="s">
        <v>19</v>
      </c>
      <c r="D15" s="27">
        <v>3</v>
      </c>
      <c r="E15" s="28"/>
      <c r="F15" s="25">
        <v>1</v>
      </c>
      <c r="G15" s="29"/>
      <c r="H15" s="30">
        <v>4200</v>
      </c>
      <c r="I15" s="21">
        <f t="shared" si="1"/>
        <v>12600</v>
      </c>
      <c r="J15" s="31"/>
      <c r="K15" s="22">
        <f t="shared" si="0"/>
        <v>12600</v>
      </c>
      <c r="L15" s="23"/>
      <c r="M15" s="24"/>
    </row>
    <row r="16" spans="1:13" s="13" customFormat="1" ht="18" customHeight="1">
      <c r="A16" s="14">
        <v>8</v>
      </c>
      <c r="B16" s="26" t="s">
        <v>31</v>
      </c>
      <c r="C16" s="16" t="str">
        <f>원가!B11</f>
        <v>WCB</v>
      </c>
      <c r="D16" s="16">
        <v>1</v>
      </c>
      <c r="E16" s="17"/>
      <c r="F16" s="19">
        <v>2.5</v>
      </c>
      <c r="G16" s="19"/>
      <c r="H16" s="20">
        <f>원가!C11</f>
        <v>2600</v>
      </c>
      <c r="I16" s="21">
        <f t="shared" si="1"/>
        <v>6500</v>
      </c>
      <c r="J16" s="21">
        <v>4000</v>
      </c>
      <c r="K16" s="22">
        <f t="shared" si="0"/>
        <v>10500</v>
      </c>
      <c r="L16" s="23"/>
      <c r="M16" s="24"/>
    </row>
    <row r="17" spans="1:14" s="13" customFormat="1" ht="18" customHeight="1">
      <c r="A17" s="14">
        <v>9</v>
      </c>
      <c r="B17" s="26" t="s">
        <v>32</v>
      </c>
      <c r="C17" s="27" t="s">
        <v>33</v>
      </c>
      <c r="D17" s="27">
        <v>4</v>
      </c>
      <c r="E17" s="28"/>
      <c r="F17" s="25">
        <v>1</v>
      </c>
      <c r="G17" s="19"/>
      <c r="H17" s="20">
        <v>3200</v>
      </c>
      <c r="I17" s="21">
        <f t="shared" si="1"/>
        <v>12800</v>
      </c>
      <c r="J17" s="21"/>
      <c r="K17" s="22">
        <f t="shared" si="0"/>
        <v>12800</v>
      </c>
      <c r="L17" s="23"/>
      <c r="M17" s="24"/>
    </row>
    <row r="18" spans="1:14" s="13" customFormat="1" ht="18" customHeight="1">
      <c r="A18" s="14">
        <v>10</v>
      </c>
      <c r="B18" s="26" t="s">
        <v>34</v>
      </c>
      <c r="C18" s="16" t="str">
        <f>원가!B12</f>
        <v>WCB</v>
      </c>
      <c r="D18" s="27">
        <v>1</v>
      </c>
      <c r="E18" s="28"/>
      <c r="F18" s="19">
        <v>2.6</v>
      </c>
      <c r="G18" s="19"/>
      <c r="H18" s="20">
        <f>원가!C12</f>
        <v>2600</v>
      </c>
      <c r="I18" s="21">
        <f t="shared" si="1"/>
        <v>6760</v>
      </c>
      <c r="J18" s="21">
        <v>7000</v>
      </c>
      <c r="K18" s="22">
        <f t="shared" si="0"/>
        <v>13760</v>
      </c>
      <c r="L18" s="23"/>
      <c r="M18" s="24"/>
    </row>
    <row r="19" spans="1:14" s="13" customFormat="1" ht="18" customHeight="1">
      <c r="A19" s="14">
        <v>11</v>
      </c>
      <c r="B19" s="26" t="s">
        <v>35</v>
      </c>
      <c r="C19" s="16" t="s">
        <v>19</v>
      </c>
      <c r="D19" s="27">
        <v>1</v>
      </c>
      <c r="E19" s="28"/>
      <c r="F19" s="19">
        <v>0.432</v>
      </c>
      <c r="G19" s="19"/>
      <c r="H19" s="20">
        <v>8000</v>
      </c>
      <c r="I19" s="21">
        <f t="shared" si="1"/>
        <v>3456</v>
      </c>
      <c r="J19" s="21">
        <v>4000</v>
      </c>
      <c r="K19" s="22">
        <f t="shared" si="0"/>
        <v>7456</v>
      </c>
      <c r="L19" s="23"/>
      <c r="M19" s="24"/>
    </row>
    <row r="20" spans="1:14" s="13" customFormat="1" ht="18" customHeight="1">
      <c r="A20" s="14">
        <v>12</v>
      </c>
      <c r="B20" s="26" t="s">
        <v>36</v>
      </c>
      <c r="C20" s="27" t="s">
        <v>25</v>
      </c>
      <c r="D20" s="27">
        <v>2</v>
      </c>
      <c r="E20" s="28"/>
      <c r="F20" s="32">
        <v>0.23</v>
      </c>
      <c r="G20" s="32"/>
      <c r="H20" s="20">
        <v>2400</v>
      </c>
      <c r="I20" s="21">
        <f t="shared" si="1"/>
        <v>1104</v>
      </c>
      <c r="J20" s="21">
        <v>4000</v>
      </c>
      <c r="K20" s="22">
        <f t="shared" si="0"/>
        <v>5104</v>
      </c>
      <c r="L20" s="33"/>
    </row>
    <row r="21" spans="1:14" s="13" customFormat="1" ht="18" customHeight="1">
      <c r="A21" s="14">
        <v>13</v>
      </c>
      <c r="B21" s="26" t="s">
        <v>37</v>
      </c>
      <c r="C21" s="27" t="s">
        <v>33</v>
      </c>
      <c r="D21" s="27">
        <v>12</v>
      </c>
      <c r="E21" s="28"/>
      <c r="F21" s="25">
        <v>1</v>
      </c>
      <c r="G21" s="32"/>
      <c r="H21" s="20">
        <v>110</v>
      </c>
      <c r="I21" s="21">
        <f t="shared" si="1"/>
        <v>1320</v>
      </c>
      <c r="J21" s="21"/>
      <c r="K21" s="22">
        <f t="shared" si="0"/>
        <v>1320</v>
      </c>
      <c r="L21" s="33"/>
    </row>
    <row r="22" spans="1:14" s="13" customFormat="1" ht="24" customHeight="1">
      <c r="A22" s="14">
        <v>14</v>
      </c>
      <c r="B22" s="34" t="s">
        <v>38</v>
      </c>
      <c r="C22" s="27" t="s">
        <v>33</v>
      </c>
      <c r="D22" s="27">
        <v>6</v>
      </c>
      <c r="E22" s="28"/>
      <c r="F22" s="25">
        <v>1</v>
      </c>
      <c r="G22" s="32"/>
      <c r="H22" s="20">
        <v>1500</v>
      </c>
      <c r="I22" s="21">
        <f t="shared" si="1"/>
        <v>9000</v>
      </c>
      <c r="J22" s="21"/>
      <c r="K22" s="22">
        <f t="shared" si="0"/>
        <v>9000</v>
      </c>
      <c r="L22" s="33"/>
    </row>
    <row r="23" spans="1:14" s="13" customFormat="1" ht="18" customHeight="1">
      <c r="A23" s="14">
        <v>15</v>
      </c>
      <c r="B23" s="26" t="s">
        <v>39</v>
      </c>
      <c r="C23" s="27" t="str">
        <f>원가!B13</f>
        <v>WCB</v>
      </c>
      <c r="D23" s="27">
        <v>1</v>
      </c>
      <c r="E23" s="28"/>
      <c r="F23" s="32">
        <v>7</v>
      </c>
      <c r="G23" s="32"/>
      <c r="H23" s="20">
        <f>원가!C13</f>
        <v>2600</v>
      </c>
      <c r="I23" s="21">
        <f t="shared" si="1"/>
        <v>18200</v>
      </c>
      <c r="J23" s="21">
        <v>9000</v>
      </c>
      <c r="K23" s="22">
        <f t="shared" si="0"/>
        <v>27200</v>
      </c>
      <c r="L23" s="33"/>
    </row>
    <row r="24" spans="1:14" s="13" customFormat="1" ht="18" customHeight="1">
      <c r="A24" s="14">
        <v>16</v>
      </c>
      <c r="B24" s="15" t="s">
        <v>40</v>
      </c>
      <c r="C24" s="16" t="s">
        <v>33</v>
      </c>
      <c r="D24" s="16">
        <v>4</v>
      </c>
      <c r="E24" s="17"/>
      <c r="F24" s="25">
        <v>1</v>
      </c>
      <c r="G24" s="32"/>
      <c r="H24" s="20">
        <v>2000</v>
      </c>
      <c r="I24" s="21">
        <f t="shared" si="1"/>
        <v>8000</v>
      </c>
      <c r="J24" s="21"/>
      <c r="K24" s="22">
        <f t="shared" si="0"/>
        <v>8000</v>
      </c>
      <c r="L24" s="33"/>
    </row>
    <row r="25" spans="1:14" s="13" customFormat="1" ht="18" customHeight="1">
      <c r="A25" s="14">
        <v>17</v>
      </c>
      <c r="B25" s="15" t="s">
        <v>41</v>
      </c>
      <c r="C25" s="16" t="s">
        <v>22</v>
      </c>
      <c r="D25" s="16">
        <v>1</v>
      </c>
      <c r="E25" s="17"/>
      <c r="F25" s="25">
        <v>1</v>
      </c>
      <c r="G25" s="32"/>
      <c r="H25" s="35"/>
      <c r="I25" s="21">
        <v>900</v>
      </c>
      <c r="J25" s="21"/>
      <c r="K25" s="22">
        <f t="shared" si="0"/>
        <v>900</v>
      </c>
      <c r="L25" s="33"/>
    </row>
    <row r="26" spans="1:14" s="13" customFormat="1" ht="18" customHeight="1">
      <c r="A26" s="131">
        <v>18</v>
      </c>
      <c r="B26" s="15" t="s">
        <v>42</v>
      </c>
      <c r="C26" s="16" t="str">
        <f>원가!B17</f>
        <v>10 BAR</v>
      </c>
      <c r="D26" s="16">
        <v>1</v>
      </c>
      <c r="E26" s="17"/>
      <c r="F26" s="32">
        <v>52</v>
      </c>
      <c r="G26" s="32"/>
      <c r="H26" s="35"/>
      <c r="I26" s="21">
        <v>181032</v>
      </c>
      <c r="J26" s="97" t="s">
        <v>511</v>
      </c>
      <c r="K26" s="95">
        <f>IF(C26="PIYAKE",L26,IF(C26="10 BAR",M26,IF(C26="20 BAR",N26)))</f>
        <v>203000</v>
      </c>
      <c r="L26" s="33"/>
      <c r="M26" s="33">
        <v>203000</v>
      </c>
      <c r="N26" s="33">
        <v>305000</v>
      </c>
    </row>
    <row r="27" spans="1:14" s="13" customFormat="1" ht="24" customHeight="1">
      <c r="A27" s="131"/>
      <c r="B27" s="36" t="s">
        <v>43</v>
      </c>
      <c r="C27" s="16"/>
      <c r="D27" s="16">
        <v>4</v>
      </c>
      <c r="E27" s="17"/>
      <c r="F27" s="25">
        <v>1</v>
      </c>
      <c r="G27" s="32"/>
      <c r="H27" s="35">
        <v>3000</v>
      </c>
      <c r="I27" s="57">
        <f>D27*F27*H27</f>
        <v>12000</v>
      </c>
      <c r="J27" s="21"/>
      <c r="K27" s="22">
        <f t="shared" si="0"/>
        <v>12000</v>
      </c>
      <c r="L27" s="33"/>
    </row>
    <row r="28" spans="1:14" s="13" customFormat="1" ht="18" customHeight="1">
      <c r="A28" s="14">
        <v>19</v>
      </c>
      <c r="B28" s="15" t="s">
        <v>44</v>
      </c>
      <c r="C28" s="16" t="s">
        <v>45</v>
      </c>
      <c r="D28" s="16">
        <v>1</v>
      </c>
      <c r="E28" s="17"/>
      <c r="F28" s="25">
        <v>1</v>
      </c>
      <c r="G28" s="32"/>
      <c r="H28" s="17"/>
      <c r="I28" s="21">
        <v>2160</v>
      </c>
      <c r="J28" s="21">
        <v>4400</v>
      </c>
      <c r="K28" s="22">
        <f t="shared" si="0"/>
        <v>6560</v>
      </c>
      <c r="L28" s="33"/>
    </row>
    <row r="29" spans="1:14" s="13" customFormat="1" ht="18" customHeight="1">
      <c r="A29" s="14">
        <v>20</v>
      </c>
      <c r="B29" s="15" t="s">
        <v>46</v>
      </c>
      <c r="C29" s="16"/>
      <c r="D29" s="16">
        <v>1</v>
      </c>
      <c r="E29" s="17"/>
      <c r="F29" s="25">
        <v>1</v>
      </c>
      <c r="G29" s="32"/>
      <c r="H29" s="17"/>
      <c r="I29" s="22">
        <v>35000</v>
      </c>
      <c r="J29" s="22"/>
      <c r="K29" s="22">
        <f t="shared" si="0"/>
        <v>35000</v>
      </c>
      <c r="L29" s="33"/>
    </row>
    <row r="30" spans="1:14" s="13" customFormat="1" ht="18" customHeight="1">
      <c r="A30" s="14">
        <v>21</v>
      </c>
      <c r="B30" s="15" t="s">
        <v>47</v>
      </c>
      <c r="C30" s="16"/>
      <c r="D30" s="16">
        <v>1</v>
      </c>
      <c r="E30" s="17"/>
      <c r="F30" s="25">
        <v>1</v>
      </c>
      <c r="G30" s="32"/>
      <c r="H30" s="17"/>
      <c r="I30" s="22">
        <v>25000</v>
      </c>
      <c r="J30" s="22"/>
      <c r="K30" s="22">
        <f t="shared" si="0"/>
        <v>25000</v>
      </c>
      <c r="L30" s="33"/>
    </row>
    <row r="31" spans="1:14" s="13" customFormat="1" ht="18" customHeight="1">
      <c r="A31" s="14">
        <v>22</v>
      </c>
      <c r="B31" s="37" t="s">
        <v>48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1352020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49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50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51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18000</v>
      </c>
      <c r="L35" s="33"/>
    </row>
    <row r="36" spans="1:13" s="13" customFormat="1" ht="18" customHeight="1">
      <c r="A36" s="14">
        <v>26</v>
      </c>
      <c r="B36" s="15" t="s">
        <v>52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53</v>
      </c>
      <c r="C37" s="38"/>
      <c r="D37" s="42"/>
      <c r="E37" s="39"/>
      <c r="F37" s="39"/>
      <c r="G37" s="39"/>
      <c r="H37" s="39"/>
      <c r="I37" s="43">
        <f>SUM(K32:K36)</f>
        <v>18000</v>
      </c>
      <c r="J37" s="44">
        <v>1</v>
      </c>
      <c r="K37" s="43">
        <f>J37*I37</f>
        <v>18000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54</v>
      </c>
      <c r="C39" s="38"/>
      <c r="D39" s="38"/>
      <c r="E39" s="47" t="s">
        <v>55</v>
      </c>
      <c r="F39" s="132">
        <f>L40</f>
        <v>0</v>
      </c>
      <c r="G39" s="133"/>
      <c r="H39" s="39"/>
      <c r="I39" s="41">
        <f>K31</f>
        <v>1352020</v>
      </c>
      <c r="J39" s="48">
        <f>원가!B15</f>
        <v>1</v>
      </c>
      <c r="K39" s="43">
        <f>J39*I39</f>
        <v>1352020</v>
      </c>
      <c r="L39" s="49" t="s">
        <v>55</v>
      </c>
    </row>
    <row r="40" spans="1:13" s="50" customFormat="1" ht="18" customHeight="1">
      <c r="A40" s="14">
        <v>30</v>
      </c>
      <c r="B40" s="10" t="s">
        <v>56</v>
      </c>
      <c r="C40" s="38"/>
      <c r="D40" s="38"/>
      <c r="E40" s="47" t="s">
        <v>57</v>
      </c>
      <c r="F40" s="132">
        <f>K40</f>
        <v>1370020</v>
      </c>
      <c r="G40" s="133"/>
      <c r="H40" s="39" t="s">
        <v>502</v>
      </c>
      <c r="I40" s="48">
        <f>원가!B2</f>
        <v>1</v>
      </c>
      <c r="J40" s="48"/>
      <c r="K40" s="41">
        <f>SUM(K37:K39)/I40</f>
        <v>1370020</v>
      </c>
      <c r="L40" s="49"/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topLeftCell="A13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2" max="14" width="10.42578125" bestFit="1" customWidth="1"/>
  </cols>
  <sheetData>
    <row r="1" spans="1:13" s="4" customFormat="1" ht="2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474</v>
      </c>
      <c r="B3" s="6"/>
      <c r="C3" s="6" t="s">
        <v>211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212</v>
      </c>
      <c r="B5" s="9" t="s">
        <v>213</v>
      </c>
      <c r="C5" s="9" t="s">
        <v>214</v>
      </c>
      <c r="D5" s="10" t="s">
        <v>215</v>
      </c>
      <c r="E5" s="9" t="s">
        <v>216</v>
      </c>
      <c r="F5" s="9" t="s">
        <v>217</v>
      </c>
      <c r="G5" s="9" t="s">
        <v>218</v>
      </c>
      <c r="H5" s="9" t="s">
        <v>219</v>
      </c>
      <c r="I5" s="9" t="s">
        <v>220</v>
      </c>
      <c r="J5" s="9" t="s">
        <v>221</v>
      </c>
      <c r="K5" s="9" t="s">
        <v>222</v>
      </c>
      <c r="L5" s="11"/>
      <c r="M5" s="12"/>
    </row>
    <row r="6" spans="1:13" s="13" customFormat="1" ht="18" customHeight="1">
      <c r="A6" s="14">
        <v>1</v>
      </c>
      <c r="B6" s="15" t="s">
        <v>223</v>
      </c>
      <c r="C6" s="16" t="str">
        <f>원가!B4</f>
        <v>WCB</v>
      </c>
      <c r="D6" s="16">
        <v>1</v>
      </c>
      <c r="E6" s="17"/>
      <c r="F6" s="18">
        <v>205</v>
      </c>
      <c r="G6" s="19"/>
      <c r="H6" s="20">
        <f>원가!C4</f>
        <v>2600</v>
      </c>
      <c r="I6" s="21">
        <f>D6*F6*H6</f>
        <v>533000</v>
      </c>
      <c r="J6" s="21">
        <v>230000</v>
      </c>
      <c r="K6" s="22">
        <f t="shared" ref="K6:K25" si="0">I6+J6</f>
        <v>763000</v>
      </c>
      <c r="L6" s="23"/>
      <c r="M6" s="24"/>
    </row>
    <row r="7" spans="1:13" s="13" customFormat="1" ht="18" customHeight="1">
      <c r="A7" s="14">
        <v>2</v>
      </c>
      <c r="B7" s="15" t="s">
        <v>225</v>
      </c>
      <c r="C7" s="16" t="str">
        <f>원가!B5</f>
        <v>WCB</v>
      </c>
      <c r="D7" s="16">
        <v>1</v>
      </c>
      <c r="E7" s="17"/>
      <c r="F7" s="18">
        <v>41</v>
      </c>
      <c r="G7" s="19"/>
      <c r="H7" s="20">
        <f>원가!C5</f>
        <v>2600</v>
      </c>
      <c r="I7" s="21">
        <f>D7*F7*H7</f>
        <v>106600</v>
      </c>
      <c r="J7" s="21">
        <v>160000</v>
      </c>
      <c r="K7" s="22">
        <f t="shared" si="0"/>
        <v>266600</v>
      </c>
      <c r="L7" s="23"/>
      <c r="M7" s="24"/>
    </row>
    <row r="8" spans="1:13" s="13" customFormat="1" ht="18" customHeight="1">
      <c r="A8" s="14">
        <v>3</v>
      </c>
      <c r="B8" s="15" t="s">
        <v>226</v>
      </c>
      <c r="C8" s="16" t="s">
        <v>227</v>
      </c>
      <c r="D8" s="16">
        <v>1</v>
      </c>
      <c r="E8" s="17"/>
      <c r="F8" s="25">
        <v>1</v>
      </c>
      <c r="G8" s="19"/>
      <c r="H8" s="20"/>
      <c r="I8" s="21">
        <v>7700</v>
      </c>
      <c r="J8" s="21"/>
      <c r="K8" s="22">
        <f t="shared" si="0"/>
        <v>7700</v>
      </c>
      <c r="L8" s="23"/>
      <c r="M8" s="24"/>
    </row>
    <row r="9" spans="1:13" s="13" customFormat="1" ht="18" customHeight="1">
      <c r="A9" s="14">
        <v>4</v>
      </c>
      <c r="B9" s="15" t="s">
        <v>228</v>
      </c>
      <c r="C9" s="16" t="str">
        <f>원가!B6</f>
        <v>A276T316L</v>
      </c>
      <c r="D9" s="16">
        <v>1</v>
      </c>
      <c r="E9" s="17"/>
      <c r="F9" s="19">
        <v>20.74</v>
      </c>
      <c r="G9" s="19"/>
      <c r="H9" s="20">
        <f>원가!C6</f>
        <v>8500</v>
      </c>
      <c r="I9" s="21">
        <f t="shared" ref="I9:I24" si="1">D9*F9*H9</f>
        <v>176290</v>
      </c>
      <c r="J9" s="21">
        <v>35000</v>
      </c>
      <c r="K9" s="22">
        <f t="shared" si="0"/>
        <v>211290</v>
      </c>
      <c r="L9" s="23"/>
      <c r="M9" s="24"/>
    </row>
    <row r="10" spans="1:13" s="13" customFormat="1" ht="18" customHeight="1">
      <c r="A10" s="131">
        <v>5</v>
      </c>
      <c r="B10" s="15" t="s">
        <v>229</v>
      </c>
      <c r="C10" s="16" t="str">
        <f>원가!B7</f>
        <v>316L</v>
      </c>
      <c r="D10" s="16">
        <v>1</v>
      </c>
      <c r="E10" s="17"/>
      <c r="F10" s="19">
        <v>11</v>
      </c>
      <c r="G10" s="19"/>
      <c r="H10" s="20">
        <f>원가!C7</f>
        <v>8500</v>
      </c>
      <c r="I10" s="21">
        <f t="shared" si="1"/>
        <v>93500</v>
      </c>
      <c r="J10" s="21">
        <v>30000</v>
      </c>
      <c r="K10" s="22">
        <f t="shared" si="0"/>
        <v>123500</v>
      </c>
      <c r="L10" s="23"/>
      <c r="M10" s="24"/>
    </row>
    <row r="11" spans="1:13" s="13" customFormat="1" ht="18" customHeight="1">
      <c r="A11" s="131"/>
      <c r="B11" s="15" t="s">
        <v>231</v>
      </c>
      <c r="C11" s="16" t="str">
        <f>원가!B8</f>
        <v>316L</v>
      </c>
      <c r="D11" s="16">
        <v>1</v>
      </c>
      <c r="E11" s="17"/>
      <c r="F11" s="19">
        <v>22.34</v>
      </c>
      <c r="G11" s="19"/>
      <c r="H11" s="20">
        <f>원가!C8</f>
        <v>8500</v>
      </c>
      <c r="I11" s="21">
        <f t="shared" si="1"/>
        <v>189890</v>
      </c>
      <c r="J11" s="21">
        <v>33000</v>
      </c>
      <c r="K11" s="22">
        <f t="shared" si="0"/>
        <v>222890</v>
      </c>
      <c r="L11" s="23"/>
      <c r="M11" s="24"/>
    </row>
    <row r="12" spans="1:13" s="13" customFormat="1" ht="18" customHeight="1">
      <c r="A12" s="131">
        <v>6</v>
      </c>
      <c r="B12" s="15" t="s">
        <v>232</v>
      </c>
      <c r="C12" s="16" t="str">
        <f>원가!B9</f>
        <v>B148</v>
      </c>
      <c r="D12" s="16">
        <v>1</v>
      </c>
      <c r="E12" s="17"/>
      <c r="F12" s="19">
        <v>3</v>
      </c>
      <c r="G12" s="19"/>
      <c r="H12" s="20">
        <f>원가!C9</f>
        <v>12500</v>
      </c>
      <c r="I12" s="21">
        <f t="shared" si="1"/>
        <v>37500</v>
      </c>
      <c r="J12" s="21">
        <v>13000</v>
      </c>
      <c r="K12" s="22">
        <f t="shared" si="0"/>
        <v>50500</v>
      </c>
      <c r="L12" s="23"/>
      <c r="M12" s="24"/>
    </row>
    <row r="13" spans="1:13" s="13" customFormat="1" ht="18" customHeight="1">
      <c r="A13" s="131"/>
      <c r="B13" s="26" t="s">
        <v>233</v>
      </c>
      <c r="C13" s="16" t="str">
        <f>원가!B10</f>
        <v>B148</v>
      </c>
      <c r="D13" s="16">
        <v>1</v>
      </c>
      <c r="E13" s="17"/>
      <c r="F13" s="19">
        <v>3</v>
      </c>
      <c r="G13" s="19"/>
      <c r="H13" s="20">
        <f>원가!C10</f>
        <v>12500</v>
      </c>
      <c r="I13" s="21">
        <f t="shared" si="1"/>
        <v>37500</v>
      </c>
      <c r="J13" s="21">
        <v>13000</v>
      </c>
      <c r="K13" s="22">
        <f t="shared" si="0"/>
        <v>50500</v>
      </c>
      <c r="L13" s="23"/>
      <c r="M13" s="24"/>
    </row>
    <row r="14" spans="1:13" s="13" customFormat="1" ht="18" customHeight="1">
      <c r="A14" s="131">
        <v>7</v>
      </c>
      <c r="B14" s="26" t="s">
        <v>234</v>
      </c>
      <c r="C14" s="27" t="s">
        <v>227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235</v>
      </c>
      <c r="C15" s="27" t="s">
        <v>224</v>
      </c>
      <c r="D15" s="27">
        <v>3</v>
      </c>
      <c r="E15" s="28"/>
      <c r="F15" s="25">
        <v>1</v>
      </c>
      <c r="G15" s="29"/>
      <c r="H15" s="30">
        <v>4200</v>
      </c>
      <c r="I15" s="21">
        <f t="shared" si="1"/>
        <v>12600</v>
      </c>
      <c r="J15" s="31">
        <v>9000</v>
      </c>
      <c r="K15" s="22">
        <f t="shared" si="0"/>
        <v>21600</v>
      </c>
      <c r="L15" s="23"/>
      <c r="M15" s="24"/>
    </row>
    <row r="16" spans="1:13" s="13" customFormat="1" ht="18" customHeight="1">
      <c r="A16" s="14">
        <v>8</v>
      </c>
      <c r="B16" s="26" t="s">
        <v>236</v>
      </c>
      <c r="C16" s="16" t="str">
        <f>원가!B11</f>
        <v>WCB</v>
      </c>
      <c r="D16" s="16">
        <v>1</v>
      </c>
      <c r="E16" s="17"/>
      <c r="F16" s="19">
        <v>3</v>
      </c>
      <c r="G16" s="19"/>
      <c r="H16" s="20">
        <f>원가!C11</f>
        <v>2600</v>
      </c>
      <c r="I16" s="21">
        <f t="shared" si="1"/>
        <v>7800</v>
      </c>
      <c r="J16" s="21">
        <v>6000</v>
      </c>
      <c r="K16" s="22">
        <f t="shared" si="0"/>
        <v>13800</v>
      </c>
      <c r="L16" s="23"/>
      <c r="M16" s="24"/>
    </row>
    <row r="17" spans="1:14" s="13" customFormat="1" ht="18" customHeight="1">
      <c r="A17" s="14">
        <v>9</v>
      </c>
      <c r="B17" s="26" t="s">
        <v>237</v>
      </c>
      <c r="C17" s="27" t="s">
        <v>238</v>
      </c>
      <c r="D17" s="27">
        <v>4</v>
      </c>
      <c r="E17" s="28"/>
      <c r="F17" s="25">
        <v>1</v>
      </c>
      <c r="G17" s="19"/>
      <c r="H17" s="20">
        <v>3200</v>
      </c>
      <c r="I17" s="21">
        <f t="shared" si="1"/>
        <v>12800</v>
      </c>
      <c r="J17" s="21"/>
      <c r="K17" s="22">
        <f t="shared" si="0"/>
        <v>12800</v>
      </c>
      <c r="L17" s="23"/>
      <c r="M17" s="24"/>
    </row>
    <row r="18" spans="1:14" s="13" customFormat="1" ht="18" customHeight="1">
      <c r="A18" s="14">
        <v>10</v>
      </c>
      <c r="B18" s="26" t="s">
        <v>239</v>
      </c>
      <c r="C18" s="16" t="str">
        <f>원가!B12</f>
        <v>WCB</v>
      </c>
      <c r="D18" s="27">
        <v>1</v>
      </c>
      <c r="E18" s="28"/>
      <c r="F18" s="19">
        <v>4.37</v>
      </c>
      <c r="G18" s="19"/>
      <c r="H18" s="20">
        <f>원가!C12</f>
        <v>2600</v>
      </c>
      <c r="I18" s="21">
        <f t="shared" si="1"/>
        <v>11362</v>
      </c>
      <c r="J18" s="21">
        <v>10000</v>
      </c>
      <c r="K18" s="22">
        <f t="shared" si="0"/>
        <v>21362</v>
      </c>
      <c r="L18" s="23"/>
      <c r="M18" s="24"/>
    </row>
    <row r="19" spans="1:14" s="13" customFormat="1" ht="18" customHeight="1">
      <c r="A19" s="14">
        <v>11</v>
      </c>
      <c r="B19" s="26" t="s">
        <v>240</v>
      </c>
      <c r="C19" s="16" t="s">
        <v>224</v>
      </c>
      <c r="D19" s="27">
        <v>1</v>
      </c>
      <c r="E19" s="28"/>
      <c r="F19" s="19">
        <v>0.70599999999999996</v>
      </c>
      <c r="G19" s="19"/>
      <c r="H19" s="20">
        <v>8000</v>
      </c>
      <c r="I19" s="21">
        <f t="shared" si="1"/>
        <v>5648</v>
      </c>
      <c r="J19" s="21">
        <v>4000</v>
      </c>
      <c r="K19" s="22">
        <f t="shared" si="0"/>
        <v>9648</v>
      </c>
      <c r="L19" s="23"/>
      <c r="M19" s="24"/>
    </row>
    <row r="20" spans="1:14" s="13" customFormat="1" ht="18" customHeight="1">
      <c r="A20" s="14">
        <v>12</v>
      </c>
      <c r="B20" s="26" t="s">
        <v>241</v>
      </c>
      <c r="C20" s="27" t="s">
        <v>230</v>
      </c>
      <c r="D20" s="27">
        <v>2</v>
      </c>
      <c r="E20" s="28"/>
      <c r="F20" s="32">
        <v>0.37</v>
      </c>
      <c r="G20" s="32"/>
      <c r="H20" s="20">
        <v>2400</v>
      </c>
      <c r="I20" s="21">
        <f t="shared" si="1"/>
        <v>1776</v>
      </c>
      <c r="J20" s="21">
        <v>4000</v>
      </c>
      <c r="K20" s="22">
        <f t="shared" si="0"/>
        <v>5776</v>
      </c>
      <c r="L20" s="33"/>
    </row>
    <row r="21" spans="1:14" s="13" customFormat="1" ht="18" customHeight="1">
      <c r="A21" s="14">
        <v>13</v>
      </c>
      <c r="B21" s="26" t="s">
        <v>242</v>
      </c>
      <c r="C21" s="27" t="s">
        <v>238</v>
      </c>
      <c r="D21" s="27">
        <v>12</v>
      </c>
      <c r="E21" s="28"/>
      <c r="F21" s="25">
        <v>1</v>
      </c>
      <c r="G21" s="32"/>
      <c r="H21" s="20">
        <v>110</v>
      </c>
      <c r="I21" s="21">
        <f t="shared" si="1"/>
        <v>1320</v>
      </c>
      <c r="J21" s="21"/>
      <c r="K21" s="22">
        <f t="shared" si="0"/>
        <v>1320</v>
      </c>
      <c r="L21" s="33"/>
    </row>
    <row r="22" spans="1:14" s="13" customFormat="1" ht="24" customHeight="1">
      <c r="A22" s="14">
        <v>14</v>
      </c>
      <c r="B22" s="34" t="s">
        <v>243</v>
      </c>
      <c r="C22" s="27" t="s">
        <v>238</v>
      </c>
      <c r="D22" s="27">
        <v>6</v>
      </c>
      <c r="E22" s="28"/>
      <c r="F22" s="25">
        <v>1</v>
      </c>
      <c r="G22" s="32"/>
      <c r="H22" s="20">
        <v>2000</v>
      </c>
      <c r="I22" s="21">
        <f t="shared" si="1"/>
        <v>12000</v>
      </c>
      <c r="J22" s="21"/>
      <c r="K22" s="22">
        <f t="shared" si="0"/>
        <v>12000</v>
      </c>
      <c r="L22" s="33"/>
    </row>
    <row r="23" spans="1:14" s="13" customFormat="1" ht="18" customHeight="1">
      <c r="A23" s="14">
        <v>15</v>
      </c>
      <c r="B23" s="26" t="s">
        <v>244</v>
      </c>
      <c r="C23" s="27" t="str">
        <f>원가!B13</f>
        <v>WCB</v>
      </c>
      <c r="D23" s="27">
        <v>1</v>
      </c>
      <c r="E23" s="28"/>
      <c r="F23" s="32">
        <v>11</v>
      </c>
      <c r="G23" s="32"/>
      <c r="H23" s="20">
        <f>원가!C13</f>
        <v>2600</v>
      </c>
      <c r="I23" s="21">
        <f t="shared" si="1"/>
        <v>28600</v>
      </c>
      <c r="J23" s="21">
        <v>12000</v>
      </c>
      <c r="K23" s="22">
        <f t="shared" si="0"/>
        <v>40600</v>
      </c>
      <c r="L23" s="33"/>
    </row>
    <row r="24" spans="1:14" s="13" customFormat="1" ht="18" customHeight="1">
      <c r="A24" s="14">
        <v>16</v>
      </c>
      <c r="B24" s="15" t="s">
        <v>245</v>
      </c>
      <c r="C24" s="16" t="s">
        <v>238</v>
      </c>
      <c r="D24" s="16">
        <v>4</v>
      </c>
      <c r="E24" s="17"/>
      <c r="F24" s="25">
        <v>1</v>
      </c>
      <c r="G24" s="32"/>
      <c r="H24" s="128">
        <v>2500</v>
      </c>
      <c r="I24" s="21">
        <f t="shared" si="1"/>
        <v>10000</v>
      </c>
      <c r="J24" s="21"/>
      <c r="K24" s="22">
        <f t="shared" si="0"/>
        <v>10000</v>
      </c>
      <c r="L24" s="33"/>
    </row>
    <row r="25" spans="1:14" s="13" customFormat="1" ht="18" customHeight="1">
      <c r="A25" s="14">
        <v>17</v>
      </c>
      <c r="B25" s="15" t="s">
        <v>246</v>
      </c>
      <c r="C25" s="16" t="s">
        <v>227</v>
      </c>
      <c r="D25" s="16">
        <v>1</v>
      </c>
      <c r="E25" s="17"/>
      <c r="F25" s="25">
        <v>1</v>
      </c>
      <c r="G25" s="32"/>
      <c r="H25" s="35"/>
      <c r="I25" s="21">
        <v>900</v>
      </c>
      <c r="J25" s="21"/>
      <c r="K25" s="22">
        <f t="shared" si="0"/>
        <v>900</v>
      </c>
      <c r="L25" s="33"/>
    </row>
    <row r="26" spans="1:14" s="13" customFormat="1" ht="18" customHeight="1">
      <c r="A26" s="131">
        <v>18</v>
      </c>
      <c r="B26" s="15" t="s">
        <v>247</v>
      </c>
      <c r="C26" s="16" t="str">
        <f>원가!B17</f>
        <v>10 BAR</v>
      </c>
      <c r="D26" s="16">
        <v>1</v>
      </c>
      <c r="E26" s="17"/>
      <c r="F26" s="32">
        <v>52</v>
      </c>
      <c r="G26" s="32"/>
      <c r="H26" s="35"/>
      <c r="I26" s="21"/>
      <c r="J26" s="97" t="s">
        <v>511</v>
      </c>
      <c r="K26" s="95">
        <f>IF(C26="PIYAKE",L26,IF(C26="10 BAR",M26,IF(C26="20 BAR",N26)))</f>
        <v>225000</v>
      </c>
      <c r="L26" s="33">
        <v>258070</v>
      </c>
      <c r="M26" s="33">
        <v>225000</v>
      </c>
      <c r="N26" s="33">
        <v>305000</v>
      </c>
    </row>
    <row r="27" spans="1:14" s="13" customFormat="1" ht="24" customHeight="1">
      <c r="A27" s="131"/>
      <c r="B27" s="36" t="s">
        <v>248</v>
      </c>
      <c r="C27" s="16"/>
      <c r="D27" s="16">
        <v>4</v>
      </c>
      <c r="E27" s="17"/>
      <c r="F27" s="25">
        <v>1</v>
      </c>
      <c r="G27" s="32"/>
      <c r="H27" s="35">
        <v>3000</v>
      </c>
      <c r="I27" s="57">
        <f>D27*F27*H27</f>
        <v>12000</v>
      </c>
      <c r="J27" s="21"/>
      <c r="K27" s="22">
        <f>I27+J27</f>
        <v>12000</v>
      </c>
      <c r="L27" s="33"/>
    </row>
    <row r="28" spans="1:14" s="13" customFormat="1" ht="18" customHeight="1">
      <c r="A28" s="14">
        <v>19</v>
      </c>
      <c r="B28" s="15" t="s">
        <v>249</v>
      </c>
      <c r="C28" s="16" t="s">
        <v>250</v>
      </c>
      <c r="D28" s="16">
        <v>1</v>
      </c>
      <c r="E28" s="17"/>
      <c r="F28" s="25">
        <v>1</v>
      </c>
      <c r="G28" s="32"/>
      <c r="H28" s="17"/>
      <c r="I28" s="21">
        <v>2160</v>
      </c>
      <c r="J28" s="21">
        <v>4400</v>
      </c>
      <c r="K28" s="22">
        <f>I28+J28</f>
        <v>6560</v>
      </c>
      <c r="L28" s="33"/>
    </row>
    <row r="29" spans="1:14" s="13" customFormat="1" ht="18" customHeight="1">
      <c r="A29" s="14">
        <v>20</v>
      </c>
      <c r="B29" s="15" t="s">
        <v>251</v>
      </c>
      <c r="C29" s="16"/>
      <c r="D29" s="16">
        <v>1</v>
      </c>
      <c r="E29" s="17"/>
      <c r="F29" s="25">
        <v>1</v>
      </c>
      <c r="G29" s="32"/>
      <c r="H29" s="17"/>
      <c r="I29" s="22">
        <v>40000</v>
      </c>
      <c r="J29" s="22"/>
      <c r="K29" s="22">
        <f>I29+J29</f>
        <v>40000</v>
      </c>
      <c r="L29" s="33"/>
    </row>
    <row r="30" spans="1:14" s="13" customFormat="1" ht="18" customHeight="1">
      <c r="A30" s="14">
        <v>21</v>
      </c>
      <c r="B30" s="15" t="s">
        <v>252</v>
      </c>
      <c r="C30" s="16"/>
      <c r="D30" s="16">
        <v>1</v>
      </c>
      <c r="E30" s="17"/>
      <c r="F30" s="25">
        <v>1</v>
      </c>
      <c r="G30" s="32"/>
      <c r="H30" s="17"/>
      <c r="I30" s="22">
        <v>35000</v>
      </c>
      <c r="J30" s="22"/>
      <c r="K30" s="22">
        <f>I30+J30</f>
        <v>35000</v>
      </c>
      <c r="L30" s="33"/>
    </row>
    <row r="31" spans="1:14" s="13" customFormat="1" ht="18" customHeight="1">
      <c r="A31" s="14">
        <v>22</v>
      </c>
      <c r="B31" s="37" t="s">
        <v>253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2166546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254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255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256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25000</v>
      </c>
      <c r="L35" s="33"/>
    </row>
    <row r="36" spans="1:13" s="13" customFormat="1" ht="18" customHeight="1">
      <c r="A36" s="14">
        <v>26</v>
      </c>
      <c r="B36" s="15" t="s">
        <v>257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258</v>
      </c>
      <c r="C37" s="38"/>
      <c r="D37" s="42"/>
      <c r="E37" s="39"/>
      <c r="F37" s="39"/>
      <c r="G37" s="39"/>
      <c r="H37" s="39"/>
      <c r="I37" s="43">
        <f>SUM(K32:K36)</f>
        <v>25000</v>
      </c>
      <c r="J37" s="44">
        <v>1</v>
      </c>
      <c r="K37" s="43">
        <f>J37*I37</f>
        <v>25000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259</v>
      </c>
      <c r="C39" s="38"/>
      <c r="D39" s="38"/>
      <c r="E39" s="47" t="s">
        <v>260</v>
      </c>
      <c r="F39" s="132">
        <f>L40</f>
        <v>6990</v>
      </c>
      <c r="G39" s="133"/>
      <c r="H39" s="39"/>
      <c r="I39" s="41">
        <f>K31</f>
        <v>2166546</v>
      </c>
      <c r="J39" s="48">
        <f>원가!B15</f>
        <v>1</v>
      </c>
      <c r="K39" s="43">
        <f>J39*I39</f>
        <v>2166546</v>
      </c>
      <c r="L39" s="49" t="s">
        <v>260</v>
      </c>
    </row>
    <row r="40" spans="1:13" s="50" customFormat="1" ht="18" customHeight="1">
      <c r="A40" s="14">
        <v>30</v>
      </c>
      <c r="B40" s="10" t="s">
        <v>261</v>
      </c>
      <c r="C40" s="38"/>
      <c r="D40" s="38"/>
      <c r="E40" s="47" t="s">
        <v>262</v>
      </c>
      <c r="F40" s="132">
        <f>K40</f>
        <v>2191546</v>
      </c>
      <c r="G40" s="133"/>
      <c r="H40" s="39" t="s">
        <v>502</v>
      </c>
      <c r="I40" s="48">
        <f>원가!B2</f>
        <v>1</v>
      </c>
      <c r="J40" s="48"/>
      <c r="K40" s="41">
        <f>SUM(K37:K39)/I40</f>
        <v>2191546</v>
      </c>
      <c r="L40" s="49">
        <v>6990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/>
  <dimension ref="A1:N47"/>
  <sheetViews>
    <sheetView topLeftCell="A13"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210</v>
      </c>
      <c r="B3" s="6"/>
      <c r="C3" s="6" t="s">
        <v>211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212</v>
      </c>
      <c r="B5" s="9" t="s">
        <v>213</v>
      </c>
      <c r="C5" s="9" t="s">
        <v>214</v>
      </c>
      <c r="D5" s="10" t="s">
        <v>215</v>
      </c>
      <c r="E5" s="9" t="s">
        <v>216</v>
      </c>
      <c r="F5" s="9" t="s">
        <v>217</v>
      </c>
      <c r="G5" s="9" t="s">
        <v>218</v>
      </c>
      <c r="H5" s="9" t="s">
        <v>219</v>
      </c>
      <c r="I5" s="9" t="s">
        <v>220</v>
      </c>
      <c r="J5" s="9" t="s">
        <v>221</v>
      </c>
      <c r="K5" s="9" t="s">
        <v>222</v>
      </c>
      <c r="L5" s="11"/>
      <c r="M5" s="12"/>
    </row>
    <row r="6" spans="1:13" s="13" customFormat="1" ht="18" customHeight="1">
      <c r="A6" s="14">
        <v>1</v>
      </c>
      <c r="B6" s="15" t="s">
        <v>223</v>
      </c>
      <c r="C6" s="16" t="str">
        <f>원가!B4</f>
        <v>WCB</v>
      </c>
      <c r="D6" s="16">
        <v>1</v>
      </c>
      <c r="E6" s="17"/>
      <c r="F6" s="18">
        <v>238</v>
      </c>
      <c r="G6" s="19"/>
      <c r="H6" s="20">
        <f>원가!C4</f>
        <v>2600</v>
      </c>
      <c r="I6" s="21">
        <f>D6*F6*H6</f>
        <v>618800</v>
      </c>
      <c r="J6" s="21">
        <v>270000</v>
      </c>
      <c r="K6" s="22">
        <f t="shared" ref="K6:K30" si="0">I6+J6</f>
        <v>888800</v>
      </c>
      <c r="L6" s="23"/>
      <c r="M6" s="24"/>
    </row>
    <row r="7" spans="1:13" s="13" customFormat="1" ht="18" customHeight="1">
      <c r="A7" s="14">
        <v>2</v>
      </c>
      <c r="B7" s="15" t="s">
        <v>225</v>
      </c>
      <c r="C7" s="16" t="str">
        <f>원가!B5</f>
        <v>WCB</v>
      </c>
      <c r="D7" s="16">
        <v>1</v>
      </c>
      <c r="E7" s="17"/>
      <c r="F7" s="18">
        <v>52</v>
      </c>
      <c r="G7" s="19"/>
      <c r="H7" s="20">
        <f>원가!C5</f>
        <v>2600</v>
      </c>
      <c r="I7" s="21">
        <f>D7*F7*H7</f>
        <v>135200</v>
      </c>
      <c r="J7" s="21">
        <v>160000</v>
      </c>
      <c r="K7" s="22">
        <f t="shared" si="0"/>
        <v>295200</v>
      </c>
      <c r="L7" s="23"/>
      <c r="M7" s="24"/>
    </row>
    <row r="8" spans="1:13" s="13" customFormat="1" ht="18" customHeight="1">
      <c r="A8" s="14">
        <v>3</v>
      </c>
      <c r="B8" s="15" t="s">
        <v>226</v>
      </c>
      <c r="C8" s="16" t="s">
        <v>227</v>
      </c>
      <c r="D8" s="16">
        <v>1</v>
      </c>
      <c r="E8" s="17"/>
      <c r="F8" s="25">
        <v>1</v>
      </c>
      <c r="G8" s="19"/>
      <c r="H8" s="20"/>
      <c r="I8" s="21">
        <v>7700</v>
      </c>
      <c r="J8" s="21"/>
      <c r="K8" s="22">
        <f t="shared" si="0"/>
        <v>7700</v>
      </c>
      <c r="L8" s="23"/>
      <c r="M8" s="24"/>
    </row>
    <row r="9" spans="1:13" s="13" customFormat="1" ht="18" customHeight="1">
      <c r="A9" s="14">
        <v>4</v>
      </c>
      <c r="B9" s="15" t="s">
        <v>228</v>
      </c>
      <c r="C9" s="16" t="str">
        <f>원가!B6</f>
        <v>A276T316L</v>
      </c>
      <c r="D9" s="16">
        <v>1</v>
      </c>
      <c r="E9" s="17"/>
      <c r="F9" s="19">
        <v>23</v>
      </c>
      <c r="G9" s="19"/>
      <c r="H9" s="20">
        <f>원가!C6</f>
        <v>8500</v>
      </c>
      <c r="I9" s="21">
        <f t="shared" ref="I9:I24" si="1">D9*F9*H9</f>
        <v>195500</v>
      </c>
      <c r="J9" s="21">
        <v>35000</v>
      </c>
      <c r="K9" s="22">
        <f t="shared" si="0"/>
        <v>230500</v>
      </c>
      <c r="L9" s="23"/>
      <c r="M9" s="24"/>
    </row>
    <row r="10" spans="1:13" s="13" customFormat="1" ht="18" customHeight="1">
      <c r="A10" s="131">
        <v>5</v>
      </c>
      <c r="B10" s="15" t="s">
        <v>229</v>
      </c>
      <c r="C10" s="16" t="str">
        <f>원가!B7</f>
        <v>316L</v>
      </c>
      <c r="D10" s="16">
        <v>1</v>
      </c>
      <c r="E10" s="17"/>
      <c r="F10" s="19">
        <v>22.34</v>
      </c>
      <c r="G10" s="19"/>
      <c r="H10" s="20">
        <f>원가!C7</f>
        <v>8500</v>
      </c>
      <c r="I10" s="21">
        <f t="shared" si="1"/>
        <v>189890</v>
      </c>
      <c r="J10" s="21">
        <v>40000</v>
      </c>
      <c r="K10" s="22">
        <f t="shared" si="0"/>
        <v>229890</v>
      </c>
      <c r="L10" s="23"/>
      <c r="M10" s="24"/>
    </row>
    <row r="11" spans="1:13" s="13" customFormat="1" ht="18" customHeight="1">
      <c r="A11" s="131"/>
      <c r="B11" s="15" t="s">
        <v>231</v>
      </c>
      <c r="C11" s="16" t="str">
        <f>원가!B8</f>
        <v>316L</v>
      </c>
      <c r="D11" s="16">
        <v>1</v>
      </c>
      <c r="E11" s="17"/>
      <c r="F11" s="19">
        <v>22.34</v>
      </c>
      <c r="G11" s="19"/>
      <c r="H11" s="20">
        <f>원가!C8</f>
        <v>8500</v>
      </c>
      <c r="I11" s="21">
        <f t="shared" si="1"/>
        <v>189890</v>
      </c>
      <c r="J11" s="21">
        <v>33000</v>
      </c>
      <c r="K11" s="22">
        <f t="shared" si="0"/>
        <v>222890</v>
      </c>
      <c r="L11" s="23"/>
      <c r="M11" s="24"/>
    </row>
    <row r="12" spans="1:13" s="13" customFormat="1" ht="18" customHeight="1">
      <c r="A12" s="131">
        <v>6</v>
      </c>
      <c r="B12" s="15" t="s">
        <v>232</v>
      </c>
      <c r="C12" s="16" t="str">
        <f>원가!B9</f>
        <v>B148</v>
      </c>
      <c r="D12" s="16">
        <v>1</v>
      </c>
      <c r="E12" s="17"/>
      <c r="F12" s="19">
        <v>3.8</v>
      </c>
      <c r="G12" s="19"/>
      <c r="H12" s="20">
        <f>원가!C9</f>
        <v>12500</v>
      </c>
      <c r="I12" s="21">
        <f t="shared" si="1"/>
        <v>47500</v>
      </c>
      <c r="J12" s="21">
        <v>13000</v>
      </c>
      <c r="K12" s="22">
        <f t="shared" si="0"/>
        <v>60500</v>
      </c>
      <c r="L12" s="23"/>
      <c r="M12" s="24"/>
    </row>
    <row r="13" spans="1:13" s="13" customFormat="1" ht="18" customHeight="1">
      <c r="A13" s="131"/>
      <c r="B13" s="26" t="s">
        <v>233</v>
      </c>
      <c r="C13" s="16" t="str">
        <f>원가!B10</f>
        <v>B148</v>
      </c>
      <c r="D13" s="16">
        <v>1</v>
      </c>
      <c r="E13" s="17"/>
      <c r="F13" s="19">
        <v>3.8</v>
      </c>
      <c r="G13" s="19"/>
      <c r="H13" s="20">
        <f>원가!C10</f>
        <v>12500</v>
      </c>
      <c r="I13" s="21">
        <f t="shared" si="1"/>
        <v>47500</v>
      </c>
      <c r="J13" s="21">
        <v>13000</v>
      </c>
      <c r="K13" s="22">
        <f t="shared" si="0"/>
        <v>60500</v>
      </c>
      <c r="L13" s="23"/>
      <c r="M13" s="24"/>
    </row>
    <row r="14" spans="1:13" s="13" customFormat="1" ht="18" customHeight="1">
      <c r="A14" s="131">
        <v>7</v>
      </c>
      <c r="B14" s="26" t="s">
        <v>234</v>
      </c>
      <c r="C14" s="27" t="s">
        <v>227</v>
      </c>
      <c r="D14" s="27">
        <v>4</v>
      </c>
      <c r="E14" s="28"/>
      <c r="F14" s="25">
        <v>8</v>
      </c>
      <c r="G14" s="29"/>
      <c r="H14" s="30">
        <v>550</v>
      </c>
      <c r="I14" s="21">
        <f t="shared" si="1"/>
        <v>17600</v>
      </c>
      <c r="J14" s="31"/>
      <c r="K14" s="22">
        <f t="shared" si="0"/>
        <v>17600</v>
      </c>
      <c r="L14" s="23"/>
      <c r="M14" s="24"/>
    </row>
    <row r="15" spans="1:13" s="13" customFormat="1" ht="18" customHeight="1">
      <c r="A15" s="131"/>
      <c r="B15" s="15" t="s">
        <v>235</v>
      </c>
      <c r="C15" s="27" t="s">
        <v>224</v>
      </c>
      <c r="D15" s="27">
        <v>3</v>
      </c>
      <c r="E15" s="28"/>
      <c r="F15" s="25">
        <v>1</v>
      </c>
      <c r="G15" s="29"/>
      <c r="H15" s="30">
        <v>4200</v>
      </c>
      <c r="I15" s="21">
        <f t="shared" si="1"/>
        <v>12600</v>
      </c>
      <c r="J15" s="31">
        <v>9000</v>
      </c>
      <c r="K15" s="22">
        <f t="shared" si="0"/>
        <v>21600</v>
      </c>
      <c r="L15" s="23"/>
      <c r="M15" s="24"/>
    </row>
    <row r="16" spans="1:13" s="13" customFormat="1" ht="18" customHeight="1">
      <c r="A16" s="14">
        <v>8</v>
      </c>
      <c r="B16" s="26" t="s">
        <v>236</v>
      </c>
      <c r="C16" s="16" t="str">
        <f>원가!B11</f>
        <v>WCB</v>
      </c>
      <c r="D16" s="16">
        <v>1</v>
      </c>
      <c r="E16" s="17"/>
      <c r="F16" s="19">
        <v>2.5</v>
      </c>
      <c r="G16" s="19"/>
      <c r="H16" s="20">
        <f>원가!C11</f>
        <v>2600</v>
      </c>
      <c r="I16" s="21">
        <f t="shared" si="1"/>
        <v>6500</v>
      </c>
      <c r="J16" s="21">
        <v>6000</v>
      </c>
      <c r="K16" s="22">
        <f t="shared" si="0"/>
        <v>12500</v>
      </c>
      <c r="L16" s="23"/>
      <c r="M16" s="24"/>
    </row>
    <row r="17" spans="1:14" s="13" customFormat="1" ht="18" customHeight="1">
      <c r="A17" s="14">
        <v>9</v>
      </c>
      <c r="B17" s="26" t="s">
        <v>237</v>
      </c>
      <c r="C17" s="27" t="s">
        <v>238</v>
      </c>
      <c r="D17" s="27">
        <v>4</v>
      </c>
      <c r="E17" s="28"/>
      <c r="F17" s="25">
        <v>1</v>
      </c>
      <c r="G17" s="19"/>
      <c r="H17" s="20">
        <v>3200</v>
      </c>
      <c r="I17" s="21">
        <f t="shared" si="1"/>
        <v>12800</v>
      </c>
      <c r="J17" s="21"/>
      <c r="K17" s="22">
        <f t="shared" si="0"/>
        <v>12800</v>
      </c>
      <c r="L17" s="23"/>
      <c r="M17" s="24"/>
    </row>
    <row r="18" spans="1:14" s="13" customFormat="1" ht="18" customHeight="1">
      <c r="A18" s="14">
        <v>10</v>
      </c>
      <c r="B18" s="26" t="s">
        <v>239</v>
      </c>
      <c r="C18" s="16" t="str">
        <f>원가!B12</f>
        <v>WCB</v>
      </c>
      <c r="D18" s="27">
        <v>1</v>
      </c>
      <c r="E18" s="28"/>
      <c r="F18" s="19">
        <v>4.5</v>
      </c>
      <c r="G18" s="19"/>
      <c r="H18" s="20">
        <f>원가!C12</f>
        <v>2600</v>
      </c>
      <c r="I18" s="21">
        <f t="shared" si="1"/>
        <v>11700</v>
      </c>
      <c r="J18" s="21">
        <v>10000</v>
      </c>
      <c r="K18" s="22">
        <f t="shared" si="0"/>
        <v>21700</v>
      </c>
      <c r="L18" s="23"/>
      <c r="M18" s="24"/>
    </row>
    <row r="19" spans="1:14" s="13" customFormat="1" ht="18" customHeight="1">
      <c r="A19" s="14">
        <v>11</v>
      </c>
      <c r="B19" s="26" t="s">
        <v>240</v>
      </c>
      <c r="C19" s="16" t="s">
        <v>224</v>
      </c>
      <c r="D19" s="27">
        <v>1</v>
      </c>
      <c r="E19" s="28"/>
      <c r="F19" s="19">
        <v>1</v>
      </c>
      <c r="G19" s="19"/>
      <c r="H19" s="20">
        <v>8000</v>
      </c>
      <c r="I19" s="21">
        <f t="shared" si="1"/>
        <v>8000</v>
      </c>
      <c r="J19" s="21">
        <v>4000</v>
      </c>
      <c r="K19" s="22">
        <f t="shared" si="0"/>
        <v>12000</v>
      </c>
      <c r="L19" s="23"/>
      <c r="M19" s="24"/>
    </row>
    <row r="20" spans="1:14" s="13" customFormat="1" ht="18" customHeight="1">
      <c r="A20" s="14">
        <v>12</v>
      </c>
      <c r="B20" s="26" t="s">
        <v>241</v>
      </c>
      <c r="C20" s="27" t="s">
        <v>230</v>
      </c>
      <c r="D20" s="27">
        <v>2</v>
      </c>
      <c r="E20" s="28"/>
      <c r="F20" s="32">
        <v>0.43</v>
      </c>
      <c r="G20" s="32"/>
      <c r="H20" s="20">
        <v>2400</v>
      </c>
      <c r="I20" s="21">
        <f t="shared" si="1"/>
        <v>2064</v>
      </c>
      <c r="J20" s="21">
        <v>4000</v>
      </c>
      <c r="K20" s="22">
        <f t="shared" si="0"/>
        <v>6064</v>
      </c>
      <c r="L20" s="33"/>
    </row>
    <row r="21" spans="1:14" s="13" customFormat="1" ht="18" customHeight="1">
      <c r="A21" s="14">
        <v>13</v>
      </c>
      <c r="B21" s="26" t="s">
        <v>242</v>
      </c>
      <c r="C21" s="27" t="s">
        <v>238</v>
      </c>
      <c r="D21" s="27">
        <v>12</v>
      </c>
      <c r="E21" s="28"/>
      <c r="F21" s="25">
        <v>1</v>
      </c>
      <c r="G21" s="32"/>
      <c r="H21" s="20">
        <v>3000</v>
      </c>
      <c r="I21" s="21">
        <f t="shared" si="1"/>
        <v>36000</v>
      </c>
      <c r="J21" s="21"/>
      <c r="K21" s="22">
        <f t="shared" si="0"/>
        <v>36000</v>
      </c>
      <c r="L21" s="33"/>
    </row>
    <row r="22" spans="1:14" s="13" customFormat="1" ht="24" customHeight="1">
      <c r="A22" s="14">
        <v>14</v>
      </c>
      <c r="B22" s="34" t="s">
        <v>243</v>
      </c>
      <c r="C22" s="27" t="s">
        <v>238</v>
      </c>
      <c r="D22" s="27">
        <v>6</v>
      </c>
      <c r="E22" s="28"/>
      <c r="F22" s="25">
        <v>1</v>
      </c>
      <c r="G22" s="32"/>
      <c r="H22" s="20">
        <v>2000</v>
      </c>
      <c r="I22" s="21">
        <f t="shared" si="1"/>
        <v>12000</v>
      </c>
      <c r="J22" s="21"/>
      <c r="K22" s="22">
        <f t="shared" si="0"/>
        <v>12000</v>
      </c>
      <c r="L22" s="33"/>
    </row>
    <row r="23" spans="1:14" s="13" customFormat="1" ht="18" customHeight="1">
      <c r="A23" s="14">
        <v>15</v>
      </c>
      <c r="B23" s="26" t="s">
        <v>244</v>
      </c>
      <c r="C23" s="27" t="str">
        <f>원가!B13</f>
        <v>WCB</v>
      </c>
      <c r="D23" s="27">
        <v>1</v>
      </c>
      <c r="E23" s="28"/>
      <c r="F23" s="32">
        <v>17</v>
      </c>
      <c r="G23" s="32"/>
      <c r="H23" s="20">
        <f>원가!C13</f>
        <v>2600</v>
      </c>
      <c r="I23" s="21">
        <f t="shared" si="1"/>
        <v>44200</v>
      </c>
      <c r="J23" s="21">
        <v>12000</v>
      </c>
      <c r="K23" s="22">
        <f t="shared" si="0"/>
        <v>56200</v>
      </c>
      <c r="L23" s="33"/>
    </row>
    <row r="24" spans="1:14" s="13" customFormat="1" ht="18" customHeight="1">
      <c r="A24" s="14">
        <v>16</v>
      </c>
      <c r="B24" s="15" t="s">
        <v>245</v>
      </c>
      <c r="C24" s="16" t="s">
        <v>238</v>
      </c>
      <c r="D24" s="16">
        <v>4</v>
      </c>
      <c r="E24" s="17"/>
      <c r="F24" s="25">
        <v>1</v>
      </c>
      <c r="G24" s="32"/>
      <c r="H24" s="128">
        <v>2500</v>
      </c>
      <c r="I24" s="21">
        <f t="shared" si="1"/>
        <v>10000</v>
      </c>
      <c r="J24" s="21"/>
      <c r="K24" s="22">
        <f t="shared" si="0"/>
        <v>10000</v>
      </c>
      <c r="L24" s="33"/>
    </row>
    <row r="25" spans="1:14" s="13" customFormat="1" ht="18" customHeight="1">
      <c r="A25" s="14">
        <v>17</v>
      </c>
      <c r="B25" s="15" t="s">
        <v>246</v>
      </c>
      <c r="C25" s="16" t="s">
        <v>227</v>
      </c>
      <c r="D25" s="16">
        <v>1</v>
      </c>
      <c r="E25" s="17"/>
      <c r="F25" s="25">
        <v>1</v>
      </c>
      <c r="G25" s="32"/>
      <c r="H25" s="35"/>
      <c r="I25" s="21">
        <v>900</v>
      </c>
      <c r="J25" s="21"/>
      <c r="K25" s="22">
        <f t="shared" si="0"/>
        <v>900</v>
      </c>
      <c r="L25" s="33"/>
    </row>
    <row r="26" spans="1:14" s="13" customFormat="1" ht="18" customHeight="1">
      <c r="A26" s="131">
        <v>18</v>
      </c>
      <c r="B26" s="15" t="s">
        <v>247</v>
      </c>
      <c r="C26" s="16" t="str">
        <f>원가!B17</f>
        <v>10 BAR</v>
      </c>
      <c r="D26" s="16">
        <v>1</v>
      </c>
      <c r="E26" s="17"/>
      <c r="F26" s="32">
        <v>52</v>
      </c>
      <c r="G26" s="32"/>
      <c r="H26" s="35"/>
      <c r="I26" s="21"/>
      <c r="J26" s="97" t="s">
        <v>511</v>
      </c>
      <c r="K26" s="95">
        <f>IF(C26="PIYAKE",L26,IF(C26="10 BAR",M26,IF(C26="20 BAR",N26)))</f>
        <v>305000</v>
      </c>
      <c r="L26" s="33">
        <v>258070</v>
      </c>
      <c r="M26" s="33">
        <v>305000</v>
      </c>
      <c r="N26" s="33">
        <v>355000</v>
      </c>
    </row>
    <row r="27" spans="1:14" s="13" customFormat="1" ht="24" customHeight="1">
      <c r="A27" s="131"/>
      <c r="B27" s="36" t="s">
        <v>248</v>
      </c>
      <c r="C27" s="16"/>
      <c r="D27" s="16">
        <v>4</v>
      </c>
      <c r="E27" s="17"/>
      <c r="F27" s="25">
        <v>1</v>
      </c>
      <c r="G27" s="32"/>
      <c r="H27" s="35">
        <v>3500</v>
      </c>
      <c r="I27" s="57">
        <f>D27*F27*H27</f>
        <v>14000</v>
      </c>
      <c r="J27" s="21"/>
      <c r="K27" s="22">
        <f t="shared" si="0"/>
        <v>14000</v>
      </c>
      <c r="L27" s="33"/>
    </row>
    <row r="28" spans="1:14" s="13" customFormat="1" ht="18" customHeight="1">
      <c r="A28" s="14">
        <v>19</v>
      </c>
      <c r="B28" s="15" t="s">
        <v>249</v>
      </c>
      <c r="C28" s="16" t="s">
        <v>250</v>
      </c>
      <c r="D28" s="16">
        <v>1</v>
      </c>
      <c r="E28" s="17"/>
      <c r="F28" s="25">
        <v>1</v>
      </c>
      <c r="G28" s="32"/>
      <c r="H28" s="17"/>
      <c r="I28" s="21">
        <v>2160</v>
      </c>
      <c r="J28" s="21">
        <v>4400</v>
      </c>
      <c r="K28" s="22">
        <f t="shared" si="0"/>
        <v>6560</v>
      </c>
      <c r="L28" s="33"/>
    </row>
    <row r="29" spans="1:14" s="13" customFormat="1" ht="18" customHeight="1">
      <c r="A29" s="14">
        <v>20</v>
      </c>
      <c r="B29" s="15" t="s">
        <v>251</v>
      </c>
      <c r="C29" s="16"/>
      <c r="D29" s="16">
        <v>1</v>
      </c>
      <c r="E29" s="17"/>
      <c r="F29" s="25">
        <v>1</v>
      </c>
      <c r="G29" s="32"/>
      <c r="H29" s="17"/>
      <c r="I29" s="22">
        <v>45000</v>
      </c>
      <c r="J29" s="22"/>
      <c r="K29" s="22">
        <f t="shared" si="0"/>
        <v>45000</v>
      </c>
      <c r="L29" s="33"/>
    </row>
    <row r="30" spans="1:14" s="13" customFormat="1" ht="18" customHeight="1">
      <c r="A30" s="14">
        <v>21</v>
      </c>
      <c r="B30" s="15" t="s">
        <v>252</v>
      </c>
      <c r="C30" s="16"/>
      <c r="D30" s="16">
        <v>1</v>
      </c>
      <c r="E30" s="17"/>
      <c r="F30" s="25">
        <v>1</v>
      </c>
      <c r="G30" s="32"/>
      <c r="H30" s="17"/>
      <c r="I30" s="22">
        <v>40000</v>
      </c>
      <c r="J30" s="22"/>
      <c r="K30" s="22">
        <f t="shared" si="0"/>
        <v>40000</v>
      </c>
      <c r="L30" s="33"/>
    </row>
    <row r="31" spans="1:14" s="13" customFormat="1" ht="18" customHeight="1">
      <c r="A31" s="14">
        <v>22</v>
      </c>
      <c r="B31" s="37" t="s">
        <v>253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2625904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254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>
        <f>I33+J33</f>
        <v>0</v>
      </c>
      <c r="L33" s="33"/>
    </row>
    <row r="34" spans="1:13" s="13" customFormat="1" ht="24" customHeight="1">
      <c r="A34" s="131"/>
      <c r="B34" s="36" t="s">
        <v>255</v>
      </c>
      <c r="C34" s="16"/>
      <c r="D34" s="16">
        <v>4</v>
      </c>
      <c r="E34" s="17"/>
      <c r="F34" s="25">
        <v>1</v>
      </c>
      <c r="G34" s="32"/>
      <c r="H34" s="17"/>
      <c r="I34" s="21"/>
      <c r="J34" s="21"/>
      <c r="K34" s="22">
        <f>I34+J34</f>
        <v>0</v>
      </c>
      <c r="L34" s="33"/>
    </row>
    <row r="35" spans="1:13" s="13" customFormat="1" ht="18" customHeight="1">
      <c r="A35" s="14">
        <v>25</v>
      </c>
      <c r="B35" s="15" t="s">
        <v>256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30000</v>
      </c>
      <c r="L35" s="33"/>
    </row>
    <row r="36" spans="1:13" s="13" customFormat="1" ht="18" customHeight="1">
      <c r="A36" s="14">
        <v>26</v>
      </c>
      <c r="B36" s="15" t="s">
        <v>257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258</v>
      </c>
      <c r="C37" s="38"/>
      <c r="D37" s="42"/>
      <c r="E37" s="39"/>
      <c r="F37" s="39"/>
      <c r="G37" s="39"/>
      <c r="H37" s="39"/>
      <c r="I37" s="43">
        <f>SUM(K32:K36)</f>
        <v>30000</v>
      </c>
      <c r="J37" s="44">
        <v>1</v>
      </c>
      <c r="K37" s="43">
        <f>J37*I37</f>
        <v>30000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259</v>
      </c>
      <c r="C39" s="38"/>
      <c r="D39" s="38"/>
      <c r="E39" s="47" t="s">
        <v>260</v>
      </c>
      <c r="F39" s="132">
        <f>L40</f>
        <v>6990</v>
      </c>
      <c r="G39" s="133"/>
      <c r="H39" s="39"/>
      <c r="I39" s="41">
        <f>K31</f>
        <v>2625904</v>
      </c>
      <c r="J39" s="48">
        <f>원가!B15</f>
        <v>1</v>
      </c>
      <c r="K39" s="43">
        <f>J39*I39</f>
        <v>2625904</v>
      </c>
      <c r="L39" s="49" t="s">
        <v>260</v>
      </c>
    </row>
    <row r="40" spans="1:13" s="50" customFormat="1" ht="18" customHeight="1">
      <c r="A40" s="14">
        <v>30</v>
      </c>
      <c r="B40" s="10" t="s">
        <v>261</v>
      </c>
      <c r="C40" s="38"/>
      <c r="D40" s="38"/>
      <c r="E40" s="47" t="s">
        <v>262</v>
      </c>
      <c r="F40" s="132">
        <f>K40</f>
        <v>2655904</v>
      </c>
      <c r="G40" s="133"/>
      <c r="H40" s="39" t="s">
        <v>502</v>
      </c>
      <c r="I40" s="48">
        <f>원가!B2</f>
        <v>1</v>
      </c>
      <c r="J40" s="48"/>
      <c r="K40" s="41">
        <f>SUM(K37:K39)/I40</f>
        <v>2655904</v>
      </c>
      <c r="L40" s="49">
        <v>6990</v>
      </c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"/>
  <sheetViews>
    <sheetView topLeftCell="A7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3" max="14" width="10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479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68"/>
      <c r="F6" s="19">
        <v>290</v>
      </c>
      <c r="G6" s="19"/>
      <c r="H6" s="20">
        <f>원가!C4</f>
        <v>2600</v>
      </c>
      <c r="I6" s="21">
        <f>D6*F6*H6</f>
        <v>754000</v>
      </c>
      <c r="J6" s="21">
        <v>290000</v>
      </c>
      <c r="K6" s="22">
        <f t="shared" ref="K6:K30" si="0">I6+J6</f>
        <v>1044000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81</v>
      </c>
      <c r="G7" s="19"/>
      <c r="H7" s="20">
        <f>원가!C5</f>
        <v>2600</v>
      </c>
      <c r="I7" s="21">
        <f>D7*F7*H7</f>
        <v>210600</v>
      </c>
      <c r="J7" s="21">
        <v>180000</v>
      </c>
      <c r="K7" s="22">
        <f t="shared" si="0"/>
        <v>390600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8400</v>
      </c>
      <c r="J8" s="21"/>
      <c r="K8" s="22">
        <f t="shared" si="0"/>
        <v>8400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29</v>
      </c>
      <c r="G9" s="19"/>
      <c r="H9" s="20">
        <f>원가!C6</f>
        <v>8500</v>
      </c>
      <c r="I9" s="21">
        <f t="shared" ref="I9:I19" si="1">D9*F9*H9</f>
        <v>246500</v>
      </c>
      <c r="J9" s="21">
        <v>50000</v>
      </c>
      <c r="K9" s="22">
        <f t="shared" si="0"/>
        <v>296500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14.5</v>
      </c>
      <c r="G10" s="19"/>
      <c r="H10" s="20">
        <f>원가!C7</f>
        <v>8500</v>
      </c>
      <c r="I10" s="21">
        <f t="shared" si="1"/>
        <v>123250</v>
      </c>
      <c r="J10" s="21">
        <v>45000</v>
      </c>
      <c r="K10" s="22">
        <f t="shared" si="0"/>
        <v>168250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14.5</v>
      </c>
      <c r="G11" s="29"/>
      <c r="H11" s="20">
        <f>원가!C8</f>
        <v>8500</v>
      </c>
      <c r="I11" s="21">
        <f t="shared" si="1"/>
        <v>123250</v>
      </c>
      <c r="J11" s="21">
        <v>45000</v>
      </c>
      <c r="K11" s="22">
        <f t="shared" si="0"/>
        <v>168250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2</v>
      </c>
      <c r="G12" s="19"/>
      <c r="H12" s="20">
        <f>원가!C9</f>
        <v>12500</v>
      </c>
      <c r="I12" s="21">
        <f t="shared" si="1"/>
        <v>25000</v>
      </c>
      <c r="J12" s="21">
        <v>15000</v>
      </c>
      <c r="K12" s="22">
        <f t="shared" si="0"/>
        <v>40000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2</v>
      </c>
      <c r="G13" s="19"/>
      <c r="H13" s="20">
        <f>원가!C10</f>
        <v>12500</v>
      </c>
      <c r="I13" s="21">
        <f t="shared" si="1"/>
        <v>25000</v>
      </c>
      <c r="J13" s="21">
        <v>15000</v>
      </c>
      <c r="K13" s="22">
        <f t="shared" si="0"/>
        <v>40000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19">
        <v>0.7</v>
      </c>
      <c r="G15" s="29"/>
      <c r="H15" s="30">
        <v>8000</v>
      </c>
      <c r="I15" s="21">
        <f t="shared" si="1"/>
        <v>5600</v>
      </c>
      <c r="J15" s="31">
        <v>3500</v>
      </c>
      <c r="K15" s="22">
        <f t="shared" si="0"/>
        <v>9100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3.4</v>
      </c>
      <c r="G16" s="19"/>
      <c r="H16" s="20">
        <f>원가!C11</f>
        <v>2600</v>
      </c>
      <c r="I16" s="21">
        <f t="shared" si="1"/>
        <v>8840</v>
      </c>
      <c r="J16" s="21">
        <v>6000</v>
      </c>
      <c r="K16" s="22">
        <f t="shared" si="0"/>
        <v>14840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3.5</v>
      </c>
      <c r="G18" s="19"/>
      <c r="H18" s="20">
        <f>원가!C12</f>
        <v>2600</v>
      </c>
      <c r="I18" s="21">
        <f t="shared" si="1"/>
        <v>9100</v>
      </c>
      <c r="J18" s="21">
        <v>10000</v>
      </c>
      <c r="K18" s="22">
        <f t="shared" si="0"/>
        <v>19100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430</v>
      </c>
      <c r="D19" s="27">
        <v>1</v>
      </c>
      <c r="E19" s="28"/>
      <c r="F19" s="19">
        <v>0.7</v>
      </c>
      <c r="G19" s="19"/>
      <c r="H19" s="20">
        <v>7500</v>
      </c>
      <c r="I19" s="21">
        <f t="shared" si="1"/>
        <v>5250</v>
      </c>
      <c r="J19" s="21">
        <v>4500</v>
      </c>
      <c r="K19" s="22">
        <f t="shared" si="0"/>
        <v>9750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0.5</v>
      </c>
      <c r="G20" s="32"/>
      <c r="H20" s="20"/>
      <c r="I20" s="21">
        <v>3500</v>
      </c>
      <c r="J20" s="21">
        <v>4770</v>
      </c>
      <c r="K20" s="22">
        <f t="shared" si="0"/>
        <v>8270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16</v>
      </c>
      <c r="E21" s="28"/>
      <c r="F21" s="25">
        <v>1</v>
      </c>
      <c r="G21" s="32"/>
      <c r="H21" s="20">
        <v>130</v>
      </c>
      <c r="I21" s="21">
        <f>D21*F21*H21</f>
        <v>2080</v>
      </c>
      <c r="J21" s="21"/>
      <c r="K21" s="22">
        <f t="shared" si="0"/>
        <v>2080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2000</v>
      </c>
      <c r="I22" s="21">
        <f>D22*F22*H22</f>
        <v>12000</v>
      </c>
      <c r="J22" s="21"/>
      <c r="K22" s="22">
        <f t="shared" si="0"/>
        <v>12000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20</v>
      </c>
      <c r="G23" s="32"/>
      <c r="H23" s="20">
        <f>원가!C13</f>
        <v>2600</v>
      </c>
      <c r="I23" s="21">
        <f>D23*F23*H23</f>
        <v>52000</v>
      </c>
      <c r="J23" s="21">
        <v>22000</v>
      </c>
      <c r="K23" s="22">
        <f t="shared" si="0"/>
        <v>74000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3500</v>
      </c>
      <c r="I24" s="21">
        <f>D24*F24*H24</f>
        <v>14000</v>
      </c>
      <c r="J24" s="21"/>
      <c r="K24" s="22">
        <f t="shared" si="0"/>
        <v>14000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560</v>
      </c>
      <c r="I25" s="21">
        <f>D25*F25*H25</f>
        <v>560</v>
      </c>
      <c r="J25" s="21">
        <v>1000</v>
      </c>
      <c r="K25" s="22">
        <f t="shared" si="0"/>
        <v>1560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52</v>
      </c>
      <c r="G26" s="32"/>
      <c r="H26" s="35"/>
      <c r="I26" s="21">
        <v>243432</v>
      </c>
      <c r="J26" s="97" t="s">
        <v>511</v>
      </c>
      <c r="K26" s="95">
        <f>IF(C26="PIYAKE",L26,IF(C26="10 BAR",M26,IF(C26="20 BAR",N26)))</f>
        <v>305000</v>
      </c>
      <c r="L26" s="33"/>
      <c r="M26" s="33">
        <v>305000</v>
      </c>
      <c r="N26" s="33">
        <v>355000</v>
      </c>
    </row>
    <row r="27" spans="1:14" s="13" customFormat="1" ht="24" customHeight="1">
      <c r="A27" s="131"/>
      <c r="B27" s="36" t="s">
        <v>188</v>
      </c>
      <c r="C27" s="16"/>
      <c r="D27" s="16">
        <v>8</v>
      </c>
      <c r="E27" s="17"/>
      <c r="F27" s="25">
        <v>1</v>
      </c>
      <c r="G27" s="32"/>
      <c r="H27" s="35">
        <v>3500</v>
      </c>
      <c r="I27" s="57">
        <f>D27*F27*H27</f>
        <v>28000</v>
      </c>
      <c r="J27" s="21"/>
      <c r="K27" s="22">
        <f t="shared" si="0"/>
        <v>28000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50000</v>
      </c>
      <c r="J29" s="22"/>
      <c r="K29" s="22">
        <f t="shared" si="0"/>
        <v>50000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45000</v>
      </c>
      <c r="J30" s="22"/>
      <c r="K30" s="22">
        <f t="shared" si="0"/>
        <v>45000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2768900</v>
      </c>
      <c r="L31" s="33"/>
    </row>
    <row r="32" spans="1:14" s="13" customFormat="1" ht="18" customHeight="1">
      <c r="A32" s="14">
        <v>23</v>
      </c>
      <c r="B32" s="15" t="s">
        <v>59</v>
      </c>
      <c r="C32" s="16" t="s">
        <v>60</v>
      </c>
      <c r="D32" s="16">
        <v>1</v>
      </c>
      <c r="E32" s="17" t="s">
        <v>62</v>
      </c>
      <c r="F32" s="25"/>
      <c r="G32" s="32" t="s">
        <v>65</v>
      </c>
      <c r="H32" s="21"/>
      <c r="I32" s="21"/>
      <c r="J32" s="21"/>
      <c r="K32" s="22"/>
      <c r="L32" s="33"/>
    </row>
    <row r="33" spans="1:13" s="13" customFormat="1" ht="18" customHeight="1">
      <c r="A33" s="131">
        <v>24</v>
      </c>
      <c r="B33" s="71" t="s">
        <v>61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>
        <v>630</v>
      </c>
      <c r="I34" s="21">
        <f>D34*F34*H34</f>
        <v>2520</v>
      </c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40000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40000</v>
      </c>
      <c r="J37" s="44">
        <v>1</v>
      </c>
      <c r="K37" s="43">
        <f>J37*I37</f>
        <v>40000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0</v>
      </c>
      <c r="G39" s="133"/>
      <c r="H39" s="39"/>
      <c r="I39" s="41">
        <f>K31</f>
        <v>2768900</v>
      </c>
      <c r="J39" s="48">
        <f>원가!B15</f>
        <v>1</v>
      </c>
      <c r="K39" s="43">
        <f>J39*I39</f>
        <v>2768900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2808900</v>
      </c>
      <c r="G40" s="133"/>
      <c r="H40" s="39" t="s">
        <v>502</v>
      </c>
      <c r="I40" s="48">
        <f>원가!B2</f>
        <v>1</v>
      </c>
      <c r="J40" s="48"/>
      <c r="K40" s="41">
        <f>SUM(K37:K39)/I40</f>
        <v>2808900</v>
      </c>
      <c r="L40" s="49"/>
      <c r="M40" s="13"/>
    </row>
    <row r="41" spans="1:13" s="50" customFormat="1" ht="18" customHeight="1">
      <c r="J41" s="69" t="s">
        <v>64</v>
      </c>
      <c r="L41" s="51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"/>
  <sheetViews>
    <sheetView workbookViewId="0">
      <selection activeCell="H16" sqref="H16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3" max="14" width="10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484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68"/>
      <c r="F6" s="19">
        <v>380</v>
      </c>
      <c r="G6" s="19"/>
      <c r="H6" s="20">
        <f>원가!C4</f>
        <v>2600</v>
      </c>
      <c r="I6" s="21">
        <f>D6*F6*H6</f>
        <v>988000</v>
      </c>
      <c r="J6" s="21">
        <v>310000</v>
      </c>
      <c r="K6" s="22">
        <f t="shared" ref="K6:K30" si="0">I6+J6</f>
        <v>1298000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100</v>
      </c>
      <c r="G7" s="19"/>
      <c r="H7" s="20">
        <f>원가!C5</f>
        <v>2600</v>
      </c>
      <c r="I7" s="21">
        <f>D7*F7*H7</f>
        <v>260000</v>
      </c>
      <c r="J7" s="21">
        <v>200000</v>
      </c>
      <c r="K7" s="22">
        <f t="shared" si="0"/>
        <v>460000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13000</v>
      </c>
      <c r="J8" s="21">
        <v>10000</v>
      </c>
      <c r="K8" s="22">
        <f t="shared" si="0"/>
        <v>23000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43</v>
      </c>
      <c r="G9" s="19"/>
      <c r="H9" s="20">
        <f>원가!C6</f>
        <v>8500</v>
      </c>
      <c r="I9" s="21">
        <f t="shared" ref="I9:I19" si="1">D9*F9*H9</f>
        <v>365500</v>
      </c>
      <c r="J9" s="21"/>
      <c r="K9" s="22">
        <f t="shared" si="0"/>
        <v>365500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17</v>
      </c>
      <c r="G10" s="19"/>
      <c r="H10" s="20">
        <f>원가!C7</f>
        <v>8500</v>
      </c>
      <c r="I10" s="21">
        <f t="shared" si="1"/>
        <v>144500</v>
      </c>
      <c r="J10" s="21">
        <v>60000</v>
      </c>
      <c r="K10" s="22">
        <f t="shared" si="0"/>
        <v>204500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17</v>
      </c>
      <c r="G11" s="29"/>
      <c r="H11" s="20">
        <f>원가!C8</f>
        <v>8500</v>
      </c>
      <c r="I11" s="21">
        <f t="shared" si="1"/>
        <v>144500</v>
      </c>
      <c r="J11" s="21">
        <v>60000</v>
      </c>
      <c r="K11" s="22">
        <f t="shared" si="0"/>
        <v>204500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2.1</v>
      </c>
      <c r="G12" s="19"/>
      <c r="H12" s="20">
        <f>원가!C9</f>
        <v>12500</v>
      </c>
      <c r="I12" s="21">
        <f t="shared" si="1"/>
        <v>26250</v>
      </c>
      <c r="J12" s="21">
        <v>18000</v>
      </c>
      <c r="K12" s="22">
        <f t="shared" si="0"/>
        <v>44250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2.1</v>
      </c>
      <c r="G13" s="19"/>
      <c r="H13" s="20">
        <f>원가!C10</f>
        <v>12500</v>
      </c>
      <c r="I13" s="21">
        <f t="shared" si="1"/>
        <v>26250</v>
      </c>
      <c r="J13" s="21">
        <v>18000</v>
      </c>
      <c r="K13" s="22">
        <f t="shared" si="0"/>
        <v>44250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19">
        <v>3.75</v>
      </c>
      <c r="G15" s="29"/>
      <c r="H15" s="30">
        <v>8000</v>
      </c>
      <c r="I15" s="21">
        <f t="shared" si="1"/>
        <v>30000</v>
      </c>
      <c r="J15" s="31">
        <v>3500</v>
      </c>
      <c r="K15" s="22">
        <f t="shared" si="0"/>
        <v>33500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5</v>
      </c>
      <c r="G16" s="19"/>
      <c r="H16" s="20">
        <f>원가!C11</f>
        <v>2600</v>
      </c>
      <c r="I16" s="21">
        <f t="shared" si="1"/>
        <v>13000</v>
      </c>
      <c r="J16" s="21">
        <v>11000</v>
      </c>
      <c r="K16" s="22">
        <f t="shared" si="0"/>
        <v>24000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7.6</v>
      </c>
      <c r="G18" s="19"/>
      <c r="H18" s="20">
        <f>원가!C12</f>
        <v>2600</v>
      </c>
      <c r="I18" s="21">
        <f t="shared" si="1"/>
        <v>19760</v>
      </c>
      <c r="J18" s="21">
        <v>10000</v>
      </c>
      <c r="K18" s="22">
        <f t="shared" si="0"/>
        <v>29760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430</v>
      </c>
      <c r="D19" s="27">
        <v>1</v>
      </c>
      <c r="E19" s="28"/>
      <c r="F19" s="19">
        <v>0.75</v>
      </c>
      <c r="G19" s="19"/>
      <c r="H19" s="20">
        <v>7500</v>
      </c>
      <c r="I19" s="21">
        <f t="shared" si="1"/>
        <v>5625</v>
      </c>
      <c r="J19" s="21">
        <v>4500</v>
      </c>
      <c r="K19" s="22">
        <f t="shared" si="0"/>
        <v>10125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1.71</v>
      </c>
      <c r="G20" s="32"/>
      <c r="H20" s="20"/>
      <c r="I20" s="21">
        <v>3500</v>
      </c>
      <c r="J20" s="21">
        <v>4770</v>
      </c>
      <c r="K20" s="22">
        <f t="shared" si="0"/>
        <v>8270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16</v>
      </c>
      <c r="E21" s="28"/>
      <c r="F21" s="25">
        <v>1</v>
      </c>
      <c r="G21" s="32"/>
      <c r="H21" s="20">
        <v>130</v>
      </c>
      <c r="I21" s="21">
        <f>D21*F21*H21</f>
        <v>2080</v>
      </c>
      <c r="J21" s="21"/>
      <c r="K21" s="22">
        <f t="shared" si="0"/>
        <v>2080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2000</v>
      </c>
      <c r="I22" s="21">
        <f>D22*F22*H22</f>
        <v>12000</v>
      </c>
      <c r="J22" s="21"/>
      <c r="K22" s="22">
        <f t="shared" si="0"/>
        <v>12000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24</v>
      </c>
      <c r="G23" s="32"/>
      <c r="H23" s="20">
        <f>원가!C13</f>
        <v>2600</v>
      </c>
      <c r="I23" s="21">
        <f>D23*F23*H23</f>
        <v>62400</v>
      </c>
      <c r="J23" s="21">
        <v>22000</v>
      </c>
      <c r="K23" s="22">
        <f t="shared" si="0"/>
        <v>84400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3500</v>
      </c>
      <c r="I24" s="21">
        <f>D24*F24*H24</f>
        <v>14000</v>
      </c>
      <c r="J24" s="21"/>
      <c r="K24" s="22">
        <f t="shared" si="0"/>
        <v>14000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560</v>
      </c>
      <c r="I25" s="21">
        <f>D25*F25*H25</f>
        <v>560</v>
      </c>
      <c r="J25" s="21">
        <v>1000</v>
      </c>
      <c r="K25" s="22">
        <f t="shared" si="0"/>
        <v>1560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65</v>
      </c>
      <c r="G26" s="32"/>
      <c r="H26" s="35"/>
      <c r="I26" s="21">
        <v>243432</v>
      </c>
      <c r="J26" s="113" t="s">
        <v>511</v>
      </c>
      <c r="K26" s="95">
        <f>IF(C26="PIYAKE",L26,IF(C26="10 BAR",M26,IF(C26="20 BAR",N26)))</f>
        <v>355000</v>
      </c>
      <c r="L26" s="33"/>
      <c r="M26" s="33">
        <v>355000</v>
      </c>
      <c r="N26" s="33">
        <v>589000</v>
      </c>
    </row>
    <row r="27" spans="1:14" s="13" customFormat="1" ht="24" customHeight="1">
      <c r="A27" s="131"/>
      <c r="B27" s="36" t="s">
        <v>188</v>
      </c>
      <c r="C27" s="16"/>
      <c r="D27" s="16">
        <v>8</v>
      </c>
      <c r="E27" s="17"/>
      <c r="F27" s="25">
        <v>1</v>
      </c>
      <c r="G27" s="32"/>
      <c r="H27" s="35">
        <v>4000</v>
      </c>
      <c r="I27" s="57">
        <f>D27*F27*H27</f>
        <v>32000</v>
      </c>
      <c r="J27" s="21"/>
      <c r="K27" s="22">
        <f t="shared" si="0"/>
        <v>32000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50000</v>
      </c>
      <c r="J29" s="22"/>
      <c r="K29" s="22">
        <f t="shared" si="0"/>
        <v>50000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45000</v>
      </c>
      <c r="J30" s="22"/>
      <c r="K30" s="22">
        <f t="shared" si="0"/>
        <v>45000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3365895</v>
      </c>
      <c r="L31" s="33"/>
    </row>
    <row r="32" spans="1:14" s="13" customFormat="1" ht="18" customHeight="1">
      <c r="A32" s="14">
        <v>23</v>
      </c>
      <c r="B32" s="15" t="s">
        <v>59</v>
      </c>
      <c r="C32" s="16" t="s">
        <v>60</v>
      </c>
      <c r="D32" s="16">
        <v>1</v>
      </c>
      <c r="E32" s="17" t="s">
        <v>62</v>
      </c>
      <c r="F32" s="25"/>
      <c r="G32" s="32" t="s">
        <v>65</v>
      </c>
      <c r="H32" s="21"/>
      <c r="I32" s="21"/>
      <c r="J32" s="21"/>
      <c r="K32" s="22"/>
      <c r="L32" s="33"/>
    </row>
    <row r="33" spans="1:13" s="13" customFormat="1" ht="18" customHeight="1">
      <c r="A33" s="131">
        <v>24</v>
      </c>
      <c r="B33" s="71" t="s">
        <v>61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>
        <v>630</v>
      </c>
      <c r="I34" s="21">
        <f>D34*F34*H34</f>
        <v>2520</v>
      </c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40000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40000</v>
      </c>
      <c r="J37" s="44">
        <v>1</v>
      </c>
      <c r="K37" s="43">
        <f>J37*I37</f>
        <v>40000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0</v>
      </c>
      <c r="G39" s="133"/>
      <c r="H39" s="39"/>
      <c r="I39" s="41">
        <f>K31</f>
        <v>3365895</v>
      </c>
      <c r="J39" s="48">
        <f>원가!B15</f>
        <v>1</v>
      </c>
      <c r="K39" s="43">
        <f>J39*I39</f>
        <v>3365895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3405895</v>
      </c>
      <c r="G40" s="133"/>
      <c r="H40" s="39" t="s">
        <v>502</v>
      </c>
      <c r="I40" s="48">
        <f>원가!B2</f>
        <v>1</v>
      </c>
      <c r="J40" s="48"/>
      <c r="K40" s="41">
        <f>SUM(K37:K39)/I40</f>
        <v>3405895</v>
      </c>
      <c r="L40" s="49"/>
      <c r="M40" s="13"/>
    </row>
    <row r="41" spans="1:13" s="50" customFormat="1" ht="18" customHeight="1">
      <c r="J41" s="69" t="s">
        <v>64</v>
      </c>
      <c r="L41" s="51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F12" sqref="F12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3" max="14" width="10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480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68"/>
      <c r="F6" s="19">
        <v>460</v>
      </c>
      <c r="G6" s="19"/>
      <c r="H6" s="20">
        <f>원가!C4</f>
        <v>2600</v>
      </c>
      <c r="I6" s="21">
        <f>D6*F6*H6</f>
        <v>1196000</v>
      </c>
      <c r="J6" s="21">
        <v>310000</v>
      </c>
      <c r="K6" s="22">
        <f t="shared" ref="K6:K30" si="0">I6+J6</f>
        <v>1506000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110</v>
      </c>
      <c r="G7" s="19"/>
      <c r="H7" s="20">
        <f>원가!C5</f>
        <v>2600</v>
      </c>
      <c r="I7" s="21">
        <f>D7*F7*H7</f>
        <v>286000</v>
      </c>
      <c r="J7" s="21">
        <v>200000</v>
      </c>
      <c r="K7" s="22">
        <f t="shared" si="0"/>
        <v>486000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9000</v>
      </c>
      <c r="J8" s="21">
        <v>5000</v>
      </c>
      <c r="K8" s="22">
        <f t="shared" si="0"/>
        <v>14000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44</v>
      </c>
      <c r="G9" s="19"/>
      <c r="H9" s="20">
        <f>원가!C6</f>
        <v>8500</v>
      </c>
      <c r="I9" s="21">
        <f t="shared" ref="I9:I19" si="1">D9*F9*H9</f>
        <v>374000</v>
      </c>
      <c r="J9" s="21"/>
      <c r="K9" s="22">
        <f t="shared" si="0"/>
        <v>374000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20</v>
      </c>
      <c r="G10" s="19"/>
      <c r="H10" s="20">
        <v>20000</v>
      </c>
      <c r="I10" s="21">
        <f t="shared" si="1"/>
        <v>400000</v>
      </c>
      <c r="J10" s="21">
        <v>60000</v>
      </c>
      <c r="K10" s="22">
        <f t="shared" si="0"/>
        <v>460000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20</v>
      </c>
      <c r="G11" s="29"/>
      <c r="H11" s="20">
        <f>원가!C8</f>
        <v>8500</v>
      </c>
      <c r="I11" s="21">
        <f t="shared" si="1"/>
        <v>170000</v>
      </c>
      <c r="J11" s="21">
        <v>60000</v>
      </c>
      <c r="K11" s="22">
        <f t="shared" si="0"/>
        <v>230000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2.1</v>
      </c>
      <c r="G12" s="19"/>
      <c r="H12" s="20">
        <f>원가!C9</f>
        <v>12500</v>
      </c>
      <c r="I12" s="21">
        <f t="shared" si="1"/>
        <v>26250</v>
      </c>
      <c r="J12" s="21">
        <v>18000</v>
      </c>
      <c r="K12" s="22">
        <f t="shared" si="0"/>
        <v>44250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2.1</v>
      </c>
      <c r="G13" s="19"/>
      <c r="H13" s="20">
        <f>원가!C10</f>
        <v>12500</v>
      </c>
      <c r="I13" s="21">
        <f t="shared" si="1"/>
        <v>26250</v>
      </c>
      <c r="J13" s="21">
        <v>18000</v>
      </c>
      <c r="K13" s="22">
        <f t="shared" si="0"/>
        <v>44250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19">
        <v>3.75</v>
      </c>
      <c r="G15" s="29"/>
      <c r="H15" s="30">
        <v>8000</v>
      </c>
      <c r="I15" s="21">
        <f t="shared" si="1"/>
        <v>30000</v>
      </c>
      <c r="J15" s="31">
        <v>3500</v>
      </c>
      <c r="K15" s="22">
        <f t="shared" si="0"/>
        <v>33500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5</v>
      </c>
      <c r="G16" s="19"/>
      <c r="H16" s="20">
        <f>원가!C11</f>
        <v>2600</v>
      </c>
      <c r="I16" s="21">
        <f t="shared" si="1"/>
        <v>13000</v>
      </c>
      <c r="J16" s="21">
        <v>11000</v>
      </c>
      <c r="K16" s="22">
        <f t="shared" si="0"/>
        <v>24000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7.6</v>
      </c>
      <c r="G18" s="19"/>
      <c r="H18" s="20">
        <f>원가!C12</f>
        <v>2600</v>
      </c>
      <c r="I18" s="21">
        <f t="shared" si="1"/>
        <v>19760</v>
      </c>
      <c r="J18" s="21">
        <v>10000</v>
      </c>
      <c r="K18" s="22">
        <f t="shared" si="0"/>
        <v>29760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430</v>
      </c>
      <c r="D19" s="27">
        <v>1</v>
      </c>
      <c r="E19" s="28"/>
      <c r="F19" s="19">
        <v>1.4</v>
      </c>
      <c r="G19" s="19"/>
      <c r="H19" s="20">
        <v>7500</v>
      </c>
      <c r="I19" s="21">
        <f t="shared" si="1"/>
        <v>10500</v>
      </c>
      <c r="J19" s="21">
        <v>4500</v>
      </c>
      <c r="K19" s="22">
        <f t="shared" si="0"/>
        <v>15000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1.71</v>
      </c>
      <c r="G20" s="32"/>
      <c r="H20" s="20">
        <v>9352</v>
      </c>
      <c r="I20" s="21">
        <f>H20*F20*D20</f>
        <v>47975.76</v>
      </c>
      <c r="J20" s="21">
        <v>4770</v>
      </c>
      <c r="K20" s="22">
        <f t="shared" si="0"/>
        <v>52745.760000000002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20</v>
      </c>
      <c r="E21" s="28"/>
      <c r="F21" s="25">
        <v>1</v>
      </c>
      <c r="G21" s="32"/>
      <c r="H21" s="20">
        <v>110</v>
      </c>
      <c r="I21" s="21">
        <f>D21*F21*H21</f>
        <v>2200</v>
      </c>
      <c r="J21" s="21"/>
      <c r="K21" s="22">
        <f t="shared" si="0"/>
        <v>2200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2500</v>
      </c>
      <c r="I22" s="21">
        <f>D22*F22*H22</f>
        <v>15000</v>
      </c>
      <c r="J22" s="21"/>
      <c r="K22" s="22">
        <f t="shared" si="0"/>
        <v>15000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26</v>
      </c>
      <c r="G23" s="32"/>
      <c r="H23" s="20">
        <f>원가!C13</f>
        <v>2600</v>
      </c>
      <c r="I23" s="21">
        <f>D23*F23*H23</f>
        <v>67600</v>
      </c>
      <c r="J23" s="21">
        <v>22000</v>
      </c>
      <c r="K23" s="22">
        <f t="shared" si="0"/>
        <v>89600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3500</v>
      </c>
      <c r="I24" s="21">
        <f>D24*F24*H24</f>
        <v>14000</v>
      </c>
      <c r="J24" s="21"/>
      <c r="K24" s="22">
        <f t="shared" si="0"/>
        <v>14000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560</v>
      </c>
      <c r="I25" s="21">
        <f>D25*F25*H25</f>
        <v>560</v>
      </c>
      <c r="J25" s="21">
        <v>1000</v>
      </c>
      <c r="K25" s="22">
        <f t="shared" si="0"/>
        <v>1560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>
        <v>243432</v>
      </c>
      <c r="J26" s="113" t="s">
        <v>511</v>
      </c>
      <c r="K26" s="95">
        <f>IF(C26="PIYAKE",L26,IF(C26="10 BAR",M26,IF(C26="20 BAR",N26)))</f>
        <v>355000</v>
      </c>
      <c r="L26" s="33"/>
      <c r="M26" s="33">
        <v>355000</v>
      </c>
      <c r="N26" s="33">
        <v>589000</v>
      </c>
    </row>
    <row r="27" spans="1:14" s="13" customFormat="1" ht="24" customHeight="1">
      <c r="A27" s="131"/>
      <c r="B27" s="36" t="s">
        <v>188</v>
      </c>
      <c r="C27" s="16"/>
      <c r="D27" s="16">
        <v>8</v>
      </c>
      <c r="E27" s="17"/>
      <c r="F27" s="25">
        <v>1</v>
      </c>
      <c r="G27" s="32"/>
      <c r="H27" s="35">
        <v>4000</v>
      </c>
      <c r="I27" s="57">
        <f>D27*F27*H27</f>
        <v>32000</v>
      </c>
      <c r="J27" s="21"/>
      <c r="K27" s="22">
        <f t="shared" si="0"/>
        <v>32000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55000</v>
      </c>
      <c r="J29" s="22"/>
      <c r="K29" s="22">
        <f t="shared" si="0"/>
        <v>55000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45000</v>
      </c>
      <c r="J30" s="22"/>
      <c r="K30" s="22">
        <f t="shared" si="0"/>
        <v>45000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3943065.76</v>
      </c>
      <c r="L31" s="33"/>
    </row>
    <row r="32" spans="1:14" s="13" customFormat="1" ht="18" customHeight="1">
      <c r="A32" s="14">
        <v>23</v>
      </c>
      <c r="B32" s="15" t="s">
        <v>59</v>
      </c>
      <c r="C32" s="16" t="s">
        <v>60</v>
      </c>
      <c r="D32" s="16">
        <v>1</v>
      </c>
      <c r="E32" s="17" t="s">
        <v>62</v>
      </c>
      <c r="F32" s="25"/>
      <c r="G32" s="32" t="s">
        <v>65</v>
      </c>
      <c r="H32" s="21"/>
      <c r="I32" s="21"/>
      <c r="J32" s="21"/>
      <c r="K32" s="22"/>
      <c r="L32" s="33"/>
    </row>
    <row r="33" spans="1:13" s="13" customFormat="1" ht="18" customHeight="1">
      <c r="A33" s="131">
        <v>24</v>
      </c>
      <c r="B33" s="71" t="s">
        <v>61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>
        <v>630</v>
      </c>
      <c r="I34" s="21">
        <f>D34*F34*H34</f>
        <v>2520</v>
      </c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50000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50000</v>
      </c>
      <c r="J37" s="44">
        <v>1</v>
      </c>
      <c r="K37" s="43">
        <f>J37*I37</f>
        <v>50000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0</v>
      </c>
      <c r="G39" s="133"/>
      <c r="H39" s="39"/>
      <c r="I39" s="41">
        <f>K31</f>
        <v>3943065.76</v>
      </c>
      <c r="J39" s="48">
        <f>원가!B15</f>
        <v>1</v>
      </c>
      <c r="K39" s="43">
        <f>J39*I39</f>
        <v>3943065.76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3993065.76</v>
      </c>
      <c r="G40" s="133"/>
      <c r="H40" s="39" t="s">
        <v>502</v>
      </c>
      <c r="I40" s="48">
        <f>원가!B2</f>
        <v>1</v>
      </c>
      <c r="J40" s="48"/>
      <c r="K40" s="41">
        <f>SUM(K37:K39)/I40</f>
        <v>3993065.76</v>
      </c>
      <c r="L40" s="49"/>
      <c r="M40" s="13"/>
    </row>
    <row r="41" spans="1:13" s="50" customFormat="1" ht="18" customHeight="1">
      <c r="J41" s="69" t="s">
        <v>64</v>
      </c>
      <c r="L41" s="51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N47"/>
  <sheetViews>
    <sheetView tabSelected="1" workbookViewId="0">
      <selection activeCell="N14" sqref="N14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63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68"/>
      <c r="F6" s="19">
        <v>420</v>
      </c>
      <c r="G6" s="19"/>
      <c r="H6" s="20">
        <f>원가!C4</f>
        <v>2600</v>
      </c>
      <c r="I6" s="21">
        <f>D6*F6*H6</f>
        <v>1092000</v>
      </c>
      <c r="J6" s="21">
        <v>310000</v>
      </c>
      <c r="K6" s="22">
        <f t="shared" ref="K6:K30" si="0">I6+J6</f>
        <v>1402000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150</v>
      </c>
      <c r="G7" s="19"/>
      <c r="H7" s="20">
        <f>원가!C5</f>
        <v>2600</v>
      </c>
      <c r="I7" s="21">
        <f>D7*F7*H7</f>
        <v>390000</v>
      </c>
      <c r="J7" s="21">
        <v>200000</v>
      </c>
      <c r="K7" s="22">
        <f t="shared" si="0"/>
        <v>590000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13000</v>
      </c>
      <c r="J8" s="21">
        <v>10000</v>
      </c>
      <c r="K8" s="22">
        <f t="shared" si="0"/>
        <v>23000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60</v>
      </c>
      <c r="G9" s="19"/>
      <c r="H9" s="20">
        <f>원가!C6</f>
        <v>8500</v>
      </c>
      <c r="I9" s="21">
        <f t="shared" ref="I9:I19" si="1">D9*F9*H9</f>
        <v>510000</v>
      </c>
      <c r="J9" s="21"/>
      <c r="K9" s="22">
        <f t="shared" si="0"/>
        <v>510000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25</v>
      </c>
      <c r="G10" s="19"/>
      <c r="H10" s="20">
        <v>20000</v>
      </c>
      <c r="I10" s="21">
        <f t="shared" si="1"/>
        <v>500000</v>
      </c>
      <c r="J10" s="21">
        <v>70000</v>
      </c>
      <c r="K10" s="22">
        <f t="shared" si="0"/>
        <v>570000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19</v>
      </c>
      <c r="G11" s="29"/>
      <c r="H11" s="20">
        <f>원가!C8</f>
        <v>8500</v>
      </c>
      <c r="I11" s="21">
        <f t="shared" si="1"/>
        <v>161500</v>
      </c>
      <c r="J11" s="21">
        <v>70000</v>
      </c>
      <c r="K11" s="22">
        <f t="shared" si="0"/>
        <v>231500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5</v>
      </c>
      <c r="G12" s="19"/>
      <c r="H12" s="20">
        <f>원가!C9</f>
        <v>12500</v>
      </c>
      <c r="I12" s="21">
        <f t="shared" si="1"/>
        <v>62500</v>
      </c>
      <c r="J12" s="21">
        <v>5000</v>
      </c>
      <c r="K12" s="22">
        <f t="shared" si="0"/>
        <v>67500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5</v>
      </c>
      <c r="G13" s="19"/>
      <c r="H13" s="20">
        <f>원가!C10</f>
        <v>12500</v>
      </c>
      <c r="I13" s="21">
        <f t="shared" si="1"/>
        <v>62500</v>
      </c>
      <c r="J13" s="21">
        <v>5000</v>
      </c>
      <c r="K13" s="22">
        <f t="shared" si="0"/>
        <v>67500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19">
        <v>2.5</v>
      </c>
      <c r="G15" s="29"/>
      <c r="H15" s="30">
        <v>8000</v>
      </c>
      <c r="I15" s="21">
        <f t="shared" si="1"/>
        <v>20000</v>
      </c>
      <c r="J15" s="31">
        <v>3500</v>
      </c>
      <c r="K15" s="22">
        <f t="shared" si="0"/>
        <v>23500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4.2</v>
      </c>
      <c r="G16" s="19"/>
      <c r="H16" s="20">
        <f>원가!C11</f>
        <v>2600</v>
      </c>
      <c r="I16" s="21">
        <f t="shared" si="1"/>
        <v>10920</v>
      </c>
      <c r="J16" s="21">
        <v>11000</v>
      </c>
      <c r="K16" s="22">
        <f t="shared" si="0"/>
        <v>21920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6</v>
      </c>
      <c r="G18" s="19"/>
      <c r="H18" s="20">
        <f>원가!C12</f>
        <v>2600</v>
      </c>
      <c r="I18" s="21">
        <f t="shared" si="1"/>
        <v>15600</v>
      </c>
      <c r="J18" s="21">
        <v>10000</v>
      </c>
      <c r="K18" s="22">
        <f t="shared" si="0"/>
        <v>25600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430</v>
      </c>
      <c r="D19" s="27">
        <v>1</v>
      </c>
      <c r="E19" s="28"/>
      <c r="F19" s="19">
        <v>1.6</v>
      </c>
      <c r="G19" s="19"/>
      <c r="H19" s="20">
        <v>7500</v>
      </c>
      <c r="I19" s="21">
        <f t="shared" si="1"/>
        <v>12000</v>
      </c>
      <c r="J19" s="21">
        <v>4500</v>
      </c>
      <c r="K19" s="22">
        <f t="shared" si="0"/>
        <v>16500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0.95</v>
      </c>
      <c r="G20" s="32"/>
      <c r="H20" s="20"/>
      <c r="I20" s="21">
        <v>3500</v>
      </c>
      <c r="J20" s="21">
        <v>4770</v>
      </c>
      <c r="K20" s="22">
        <f t="shared" si="0"/>
        <v>8270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16</v>
      </c>
      <c r="E21" s="28"/>
      <c r="F21" s="25">
        <v>1</v>
      </c>
      <c r="G21" s="32"/>
      <c r="H21" s="20">
        <v>130</v>
      </c>
      <c r="I21" s="21">
        <f>D21*F21*H21</f>
        <v>2080</v>
      </c>
      <c r="J21" s="21"/>
      <c r="K21" s="22">
        <f t="shared" si="0"/>
        <v>2080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2500</v>
      </c>
      <c r="I22" s="21">
        <f>D22*F22*H22</f>
        <v>15000</v>
      </c>
      <c r="J22" s="21"/>
      <c r="K22" s="22">
        <f t="shared" si="0"/>
        <v>15000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26</v>
      </c>
      <c r="G23" s="32"/>
      <c r="H23" s="20">
        <f>원가!C13</f>
        <v>2600</v>
      </c>
      <c r="I23" s="21">
        <f>D23*F23*H23</f>
        <v>67600</v>
      </c>
      <c r="J23" s="21">
        <v>22000</v>
      </c>
      <c r="K23" s="22">
        <f t="shared" si="0"/>
        <v>89600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4000</v>
      </c>
      <c r="I24" s="21">
        <f>D24*F24*H24</f>
        <v>16000</v>
      </c>
      <c r="J24" s="21"/>
      <c r="K24" s="22">
        <f t="shared" si="0"/>
        <v>16000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560</v>
      </c>
      <c r="I25" s="21">
        <f>D25*F25*H25</f>
        <v>560</v>
      </c>
      <c r="J25" s="21">
        <v>1000</v>
      </c>
      <c r="K25" s="22">
        <f t="shared" si="0"/>
        <v>1560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/>
      <c r="J26" s="97" t="s">
        <v>511</v>
      </c>
      <c r="K26" s="95">
        <f>IF(C26="PIYAKE",L26,IF(C26="10 BAR",M26,IF(C26="20 BAR",N26)))</f>
        <v>589000</v>
      </c>
      <c r="L26" s="33">
        <v>346555</v>
      </c>
      <c r="M26" s="33">
        <v>589000</v>
      </c>
      <c r="N26" s="33">
        <v>748000</v>
      </c>
    </row>
    <row r="27" spans="1:14" s="13" customFormat="1" ht="24" customHeight="1">
      <c r="A27" s="131"/>
      <c r="B27" s="36" t="s">
        <v>188</v>
      </c>
      <c r="C27" s="16"/>
      <c r="D27" s="16">
        <v>8</v>
      </c>
      <c r="E27" s="17"/>
      <c r="F27" s="25">
        <v>1</v>
      </c>
      <c r="G27" s="32"/>
      <c r="H27" s="35">
        <v>4000</v>
      </c>
      <c r="I27" s="57">
        <f>D27*F27*H27</f>
        <v>32000</v>
      </c>
      <c r="J27" s="21"/>
      <c r="K27" s="22">
        <f t="shared" si="0"/>
        <v>32000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60000</v>
      </c>
      <c r="J29" s="22"/>
      <c r="K29" s="22">
        <f t="shared" si="0"/>
        <v>60000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50000</v>
      </c>
      <c r="J30" s="22"/>
      <c r="K30" s="22">
        <f t="shared" si="0"/>
        <v>50000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4432730</v>
      </c>
      <c r="L31" s="33"/>
    </row>
    <row r="32" spans="1:14" s="13" customFormat="1" ht="18" customHeight="1">
      <c r="A32" s="14">
        <v>23</v>
      </c>
      <c r="B32" s="15" t="s">
        <v>59</v>
      </c>
      <c r="C32" s="16" t="s">
        <v>60</v>
      </c>
      <c r="D32" s="16">
        <v>1</v>
      </c>
      <c r="E32" s="17" t="s">
        <v>62</v>
      </c>
      <c r="F32" s="25"/>
      <c r="G32" s="32" t="s">
        <v>65</v>
      </c>
      <c r="H32" s="21"/>
      <c r="I32" s="21"/>
      <c r="J32" s="21"/>
      <c r="K32" s="22"/>
      <c r="L32" s="33"/>
    </row>
    <row r="33" spans="1:13" s="13" customFormat="1" ht="18" customHeight="1">
      <c r="A33" s="131">
        <v>24</v>
      </c>
      <c r="B33" s="71" t="s">
        <v>61</v>
      </c>
      <c r="C33" s="16"/>
      <c r="D33" s="16">
        <v>1</v>
      </c>
      <c r="E33" s="17"/>
      <c r="F33" s="25">
        <v>1</v>
      </c>
      <c r="G33" s="32"/>
      <c r="H33" s="17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>
        <v>630</v>
      </c>
      <c r="I34" s="21">
        <f>D34*F34*H34</f>
        <v>2520</v>
      </c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70000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70000</v>
      </c>
      <c r="J37" s="44">
        <v>1</v>
      </c>
      <c r="K37" s="43">
        <f>J37*I37</f>
        <v>70000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0</v>
      </c>
      <c r="G39" s="133"/>
      <c r="H39" s="39"/>
      <c r="I39" s="41">
        <f>K31</f>
        <v>4432730</v>
      </c>
      <c r="J39" s="48">
        <f>원가!B15</f>
        <v>1</v>
      </c>
      <c r="K39" s="43">
        <f>J39*I39</f>
        <v>4432730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4502730</v>
      </c>
      <c r="G40" s="133"/>
      <c r="H40" s="39" t="s">
        <v>502</v>
      </c>
      <c r="I40" s="48">
        <f>원가!B2</f>
        <v>1</v>
      </c>
      <c r="J40" s="48"/>
      <c r="K40" s="41">
        <f>SUM(K37:K39)/I40</f>
        <v>4502730</v>
      </c>
      <c r="L40" s="49"/>
      <c r="M40" s="13"/>
    </row>
    <row r="41" spans="1:13" s="50" customFormat="1" ht="18" customHeight="1">
      <c r="J41" s="69" t="s">
        <v>64</v>
      </c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N47"/>
  <sheetViews>
    <sheetView workbookViewId="0">
      <selection activeCell="M17" sqref="M1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66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68"/>
      <c r="F6" s="19">
        <v>490</v>
      </c>
      <c r="G6" s="19"/>
      <c r="H6" s="20">
        <f>원가!C4</f>
        <v>2600</v>
      </c>
      <c r="I6" s="21">
        <f>D6*F6*H6</f>
        <v>1274000</v>
      </c>
      <c r="J6" s="21">
        <v>310000</v>
      </c>
      <c r="K6" s="22">
        <f t="shared" ref="K6:K30" si="0">I6+J6</f>
        <v>1584000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9">
        <v>160</v>
      </c>
      <c r="G7" s="19"/>
      <c r="H7" s="20">
        <f>원가!C5</f>
        <v>2600</v>
      </c>
      <c r="I7" s="21">
        <f>D7*F7*H7</f>
        <v>416000</v>
      </c>
      <c r="J7" s="21">
        <v>200000</v>
      </c>
      <c r="K7" s="22">
        <f t="shared" si="0"/>
        <v>616000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13000</v>
      </c>
      <c r="J8" s="21">
        <v>10000</v>
      </c>
      <c r="K8" s="22">
        <f t="shared" si="0"/>
        <v>23000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60</v>
      </c>
      <c r="G9" s="19"/>
      <c r="H9" s="20">
        <f>원가!C6</f>
        <v>8500</v>
      </c>
      <c r="I9" s="21">
        <f t="shared" ref="I9:I19" si="1">D9*F9*H9</f>
        <v>510000</v>
      </c>
      <c r="J9" s="21"/>
      <c r="K9" s="22">
        <f t="shared" si="0"/>
        <v>510000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21</v>
      </c>
      <c r="G10" s="19"/>
      <c r="H10" s="20">
        <f>원가!C7</f>
        <v>8500</v>
      </c>
      <c r="I10" s="21">
        <f t="shared" si="1"/>
        <v>178500</v>
      </c>
      <c r="J10" s="21">
        <v>70000</v>
      </c>
      <c r="K10" s="22">
        <f t="shared" si="0"/>
        <v>248500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18</v>
      </c>
      <c r="G11" s="29"/>
      <c r="H11" s="20">
        <f>원가!C8</f>
        <v>8500</v>
      </c>
      <c r="I11" s="21">
        <f t="shared" si="1"/>
        <v>153000</v>
      </c>
      <c r="J11" s="21">
        <v>70000</v>
      </c>
      <c r="K11" s="22">
        <f t="shared" si="0"/>
        <v>223000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5</v>
      </c>
      <c r="G12" s="19"/>
      <c r="H12" s="20">
        <f>원가!C9</f>
        <v>12500</v>
      </c>
      <c r="I12" s="21">
        <f t="shared" si="1"/>
        <v>62500</v>
      </c>
      <c r="J12" s="21">
        <v>5000</v>
      </c>
      <c r="K12" s="22">
        <f t="shared" si="0"/>
        <v>67500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5</v>
      </c>
      <c r="G13" s="19"/>
      <c r="H13" s="20">
        <f>원가!C10</f>
        <v>12500</v>
      </c>
      <c r="I13" s="21">
        <f t="shared" si="1"/>
        <v>62500</v>
      </c>
      <c r="J13" s="21">
        <v>5000</v>
      </c>
      <c r="K13" s="22">
        <f t="shared" si="0"/>
        <v>67500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1</v>
      </c>
      <c r="E15" s="28"/>
      <c r="F15" s="19">
        <v>0.95</v>
      </c>
      <c r="G15" s="29"/>
      <c r="H15" s="30">
        <v>8000</v>
      </c>
      <c r="I15" s="21">
        <f t="shared" si="1"/>
        <v>7600</v>
      </c>
      <c r="J15" s="31">
        <v>3500</v>
      </c>
      <c r="K15" s="22">
        <f t="shared" si="0"/>
        <v>11100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4.2</v>
      </c>
      <c r="G16" s="19"/>
      <c r="H16" s="20">
        <f>원가!C11</f>
        <v>2600</v>
      </c>
      <c r="I16" s="21">
        <f t="shared" si="1"/>
        <v>10920</v>
      </c>
      <c r="J16" s="21">
        <v>11000</v>
      </c>
      <c r="K16" s="22">
        <f t="shared" si="0"/>
        <v>21920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6</v>
      </c>
      <c r="G18" s="19"/>
      <c r="H18" s="20">
        <f>원가!C12</f>
        <v>2600</v>
      </c>
      <c r="I18" s="21">
        <f t="shared" si="1"/>
        <v>15600</v>
      </c>
      <c r="J18" s="21">
        <v>10000</v>
      </c>
      <c r="K18" s="22">
        <f t="shared" si="0"/>
        <v>25600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>
        <v>1.6</v>
      </c>
      <c r="G19" s="19"/>
      <c r="H19" s="20">
        <v>8000</v>
      </c>
      <c r="I19" s="21">
        <f t="shared" si="1"/>
        <v>12800</v>
      </c>
      <c r="J19" s="21">
        <v>4500</v>
      </c>
      <c r="K19" s="22">
        <f t="shared" si="0"/>
        <v>17300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1.1000000000000001</v>
      </c>
      <c r="G20" s="32"/>
      <c r="H20" s="20"/>
      <c r="I20" s="21">
        <v>3500</v>
      </c>
      <c r="J20" s="21">
        <v>4770</v>
      </c>
      <c r="K20" s="22">
        <f t="shared" si="0"/>
        <v>8270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27">
        <v>16</v>
      </c>
      <c r="E21" s="28"/>
      <c r="F21" s="25">
        <v>1</v>
      </c>
      <c r="G21" s="32"/>
      <c r="H21" s="20">
        <v>130</v>
      </c>
      <c r="I21" s="21">
        <f>D21*F21*H21</f>
        <v>2080</v>
      </c>
      <c r="J21" s="21"/>
      <c r="K21" s="22">
        <f t="shared" si="0"/>
        <v>2080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2500</v>
      </c>
      <c r="I22" s="21">
        <f>D22*F22*H22</f>
        <v>15000</v>
      </c>
      <c r="J22" s="21"/>
      <c r="K22" s="22">
        <f t="shared" si="0"/>
        <v>15000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26</v>
      </c>
      <c r="G23" s="32"/>
      <c r="H23" s="20">
        <f>원가!C13</f>
        <v>2600</v>
      </c>
      <c r="I23" s="21">
        <f>D23*F23*H23</f>
        <v>67600</v>
      </c>
      <c r="J23" s="21">
        <v>22000</v>
      </c>
      <c r="K23" s="22">
        <f t="shared" si="0"/>
        <v>89600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5000</v>
      </c>
      <c r="I24" s="21">
        <f>D24*F24*H24</f>
        <v>20000</v>
      </c>
      <c r="J24" s="21"/>
      <c r="K24" s="22">
        <f t="shared" si="0"/>
        <v>20000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560</v>
      </c>
      <c r="I25" s="21">
        <f>D25*F25*H25</f>
        <v>560</v>
      </c>
      <c r="J25" s="21">
        <v>1000</v>
      </c>
      <c r="K25" s="22">
        <f t="shared" si="0"/>
        <v>1560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/>
      <c r="J26" s="97" t="s">
        <v>511</v>
      </c>
      <c r="K26" s="95">
        <f>IF(C26="PIYAKE",L26,IF(C26="10 BAR",M26,IF(C26="20 BAR",N26)))</f>
        <v>589000</v>
      </c>
      <c r="L26" s="33">
        <v>346555</v>
      </c>
      <c r="M26" s="33">
        <v>589000</v>
      </c>
      <c r="N26" s="33">
        <v>748000</v>
      </c>
    </row>
    <row r="27" spans="1:14" s="13" customFormat="1" ht="24" customHeight="1">
      <c r="A27" s="131"/>
      <c r="B27" s="36" t="s">
        <v>188</v>
      </c>
      <c r="C27" s="16"/>
      <c r="D27" s="16">
        <v>8</v>
      </c>
      <c r="E27" s="17"/>
      <c r="F27" s="25">
        <v>1</v>
      </c>
      <c r="G27" s="32"/>
      <c r="H27" s="35">
        <v>5000</v>
      </c>
      <c r="I27" s="57">
        <f>D27*F27*H27</f>
        <v>40000</v>
      </c>
      <c r="J27" s="21"/>
      <c r="K27" s="22">
        <f t="shared" si="0"/>
        <v>40000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65000</v>
      </c>
      <c r="J29" s="22"/>
      <c r="K29" s="22">
        <f t="shared" si="0"/>
        <v>65000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50000</v>
      </c>
      <c r="J30" s="22"/>
      <c r="K30" s="22">
        <f t="shared" si="0"/>
        <v>50000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4316130</v>
      </c>
      <c r="L31" s="33"/>
    </row>
    <row r="32" spans="1:14" s="13" customFormat="1" ht="18" customHeight="1">
      <c r="A32" s="14">
        <v>23</v>
      </c>
      <c r="B32" s="15" t="s">
        <v>207</v>
      </c>
      <c r="C32" s="16"/>
      <c r="D32" s="16"/>
      <c r="E32" s="17"/>
      <c r="F32" s="17"/>
      <c r="G32" s="17"/>
      <c r="H32" s="17"/>
      <c r="I32" s="17"/>
      <c r="J32" s="17"/>
      <c r="K32" s="72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>
        <v>1</v>
      </c>
      <c r="G34" s="32"/>
      <c r="H34" s="17">
        <v>630</v>
      </c>
      <c r="I34" s="21">
        <f>D34*F34*H34</f>
        <v>2520</v>
      </c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80000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80000</v>
      </c>
      <c r="J37" s="44">
        <v>1</v>
      </c>
      <c r="K37" s="43">
        <f>J37*I37</f>
        <v>80000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0</v>
      </c>
      <c r="G39" s="133"/>
      <c r="H39" s="39"/>
      <c r="I39" s="41">
        <f>K31</f>
        <v>4316130</v>
      </c>
      <c r="J39" s="48">
        <f>원가!B15</f>
        <v>1</v>
      </c>
      <c r="K39" s="43">
        <f>J39*I39</f>
        <v>4316130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4396130</v>
      </c>
      <c r="G40" s="133"/>
      <c r="H40" s="39" t="s">
        <v>502</v>
      </c>
      <c r="I40" s="48">
        <f>원가!B2</f>
        <v>1</v>
      </c>
      <c r="J40" s="48"/>
      <c r="K40" s="41">
        <f>SUM(K37:K39)/I40</f>
        <v>4396130</v>
      </c>
      <c r="L40" s="49"/>
      <c r="M40" s="13"/>
    </row>
    <row r="41" spans="1:13" s="50" customFormat="1" ht="18" customHeight="1">
      <c r="J41" s="69" t="s">
        <v>64</v>
      </c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N47"/>
  <sheetViews>
    <sheetView topLeftCell="A7" workbookViewId="0">
      <selection activeCell="O31" sqref="O31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266</v>
      </c>
      <c r="B3" s="6"/>
      <c r="C3" s="6" t="s">
        <v>267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268</v>
      </c>
      <c r="B5" s="9" t="s">
        <v>269</v>
      </c>
      <c r="C5" s="9" t="s">
        <v>270</v>
      </c>
      <c r="D5" s="10" t="s">
        <v>271</v>
      </c>
      <c r="E5" s="9" t="s">
        <v>272</v>
      </c>
      <c r="F5" s="9" t="s">
        <v>273</v>
      </c>
      <c r="G5" s="9" t="s">
        <v>274</v>
      </c>
      <c r="H5" s="9" t="s">
        <v>275</v>
      </c>
      <c r="I5" s="9" t="s">
        <v>276</v>
      </c>
      <c r="J5" s="9" t="s">
        <v>277</v>
      </c>
      <c r="K5" s="9" t="s">
        <v>278</v>
      </c>
      <c r="L5" s="11"/>
      <c r="M5" s="12"/>
    </row>
    <row r="6" spans="1:13" s="13" customFormat="1" ht="18" customHeight="1">
      <c r="A6" s="14">
        <v>1</v>
      </c>
      <c r="B6" s="15" t="s">
        <v>279</v>
      </c>
      <c r="C6" s="16" t="str">
        <f>원가!B4</f>
        <v>WCB</v>
      </c>
      <c r="D6" s="16">
        <v>1</v>
      </c>
      <c r="E6" s="17"/>
      <c r="F6" s="18">
        <v>552.24</v>
      </c>
      <c r="G6" s="19"/>
      <c r="H6" s="20">
        <f>원가!C4</f>
        <v>2600</v>
      </c>
      <c r="I6" s="21">
        <f>D6*F6*H6</f>
        <v>1435824</v>
      </c>
      <c r="J6" s="21">
        <v>540000</v>
      </c>
      <c r="K6" s="22">
        <f t="shared" ref="K6:K30" si="0">I6+J6</f>
        <v>1975824</v>
      </c>
      <c r="L6" s="23"/>
      <c r="M6" s="24"/>
    </row>
    <row r="7" spans="1:13" s="13" customFormat="1" ht="18" customHeight="1">
      <c r="A7" s="14">
        <v>2</v>
      </c>
      <c r="B7" s="15" t="s">
        <v>281</v>
      </c>
      <c r="C7" s="16" t="str">
        <f>원가!B5</f>
        <v>WCB</v>
      </c>
      <c r="D7" s="16">
        <v>1</v>
      </c>
      <c r="E7" s="17"/>
      <c r="F7" s="18">
        <v>206.44</v>
      </c>
      <c r="G7" s="19"/>
      <c r="H7" s="20">
        <f>원가!C5</f>
        <v>2600</v>
      </c>
      <c r="I7" s="21">
        <f>D7*F7*H7</f>
        <v>536744</v>
      </c>
      <c r="J7" s="21">
        <v>160000</v>
      </c>
      <c r="K7" s="22">
        <f t="shared" si="0"/>
        <v>696744</v>
      </c>
      <c r="L7" s="23"/>
      <c r="M7" s="24"/>
    </row>
    <row r="8" spans="1:13" s="13" customFormat="1" ht="18" customHeight="1">
      <c r="A8" s="14">
        <v>3</v>
      </c>
      <c r="B8" s="15" t="s">
        <v>282</v>
      </c>
      <c r="C8" s="16" t="s">
        <v>283</v>
      </c>
      <c r="D8" s="16">
        <v>1</v>
      </c>
      <c r="E8" s="17"/>
      <c r="F8" s="25">
        <v>1</v>
      </c>
      <c r="G8" s="19"/>
      <c r="H8" s="20"/>
      <c r="I8" s="21">
        <v>14000</v>
      </c>
      <c r="J8" s="21">
        <v>10000</v>
      </c>
      <c r="K8" s="22">
        <f t="shared" si="0"/>
        <v>24000</v>
      </c>
      <c r="L8" s="23"/>
      <c r="M8" s="24"/>
    </row>
    <row r="9" spans="1:13" s="13" customFormat="1" ht="18" customHeight="1">
      <c r="A9" s="14">
        <v>4</v>
      </c>
      <c r="B9" s="15" t="s">
        <v>284</v>
      </c>
      <c r="C9" s="16" t="str">
        <f>원가!B6</f>
        <v>A276T316L</v>
      </c>
      <c r="D9" s="16">
        <v>1</v>
      </c>
      <c r="E9" s="17"/>
      <c r="F9" s="19">
        <v>69.599999999999994</v>
      </c>
      <c r="G9" s="19"/>
      <c r="H9" s="20">
        <f>원가!C6</f>
        <v>8500</v>
      </c>
      <c r="I9" s="21">
        <f t="shared" ref="I9:I25" si="1">D9*F9*H9</f>
        <v>591600</v>
      </c>
      <c r="J9" s="21">
        <v>150000</v>
      </c>
      <c r="K9" s="22">
        <f t="shared" si="0"/>
        <v>741600</v>
      </c>
      <c r="L9" s="23"/>
      <c r="M9" s="24"/>
    </row>
    <row r="10" spans="1:13" s="13" customFormat="1" ht="18" customHeight="1">
      <c r="A10" s="131">
        <v>5</v>
      </c>
      <c r="B10" s="15" t="s">
        <v>285</v>
      </c>
      <c r="C10" s="16" t="str">
        <f>원가!B7</f>
        <v>316L</v>
      </c>
      <c r="D10" s="16">
        <v>1</v>
      </c>
      <c r="E10" s="17"/>
      <c r="F10" s="19">
        <v>18</v>
      </c>
      <c r="G10" s="19"/>
      <c r="H10" s="20">
        <f>원가!C7</f>
        <v>8500</v>
      </c>
      <c r="I10" s="21">
        <f t="shared" si="1"/>
        <v>153000</v>
      </c>
      <c r="J10" s="21">
        <v>75000</v>
      </c>
      <c r="K10" s="22">
        <f t="shared" si="0"/>
        <v>228000</v>
      </c>
      <c r="L10" s="23"/>
      <c r="M10" s="24"/>
    </row>
    <row r="11" spans="1:13" s="13" customFormat="1" ht="18" customHeight="1">
      <c r="A11" s="131"/>
      <c r="B11" s="15" t="s">
        <v>287</v>
      </c>
      <c r="C11" s="16" t="str">
        <f>원가!B8</f>
        <v>316L</v>
      </c>
      <c r="D11" s="16">
        <v>1</v>
      </c>
      <c r="E11" s="28"/>
      <c r="F11" s="19">
        <v>18</v>
      </c>
      <c r="G11" s="29"/>
      <c r="H11" s="20">
        <f>원가!C8</f>
        <v>8500</v>
      </c>
      <c r="I11" s="21">
        <f t="shared" si="1"/>
        <v>153000</v>
      </c>
      <c r="J11" s="21">
        <v>75000</v>
      </c>
      <c r="K11" s="22">
        <f t="shared" si="0"/>
        <v>228000</v>
      </c>
      <c r="L11" s="23"/>
      <c r="M11" s="24"/>
    </row>
    <row r="12" spans="1:13" s="13" customFormat="1" ht="18" customHeight="1">
      <c r="A12" s="131">
        <v>6</v>
      </c>
      <c r="B12" s="15" t="s">
        <v>288</v>
      </c>
      <c r="C12" s="16" t="str">
        <f>원가!B9</f>
        <v>B148</v>
      </c>
      <c r="D12" s="16">
        <v>1</v>
      </c>
      <c r="E12" s="17"/>
      <c r="F12" s="19">
        <v>8.6</v>
      </c>
      <c r="G12" s="19"/>
      <c r="H12" s="20">
        <f>원가!C9</f>
        <v>12500</v>
      </c>
      <c r="I12" s="21">
        <f t="shared" si="1"/>
        <v>107500</v>
      </c>
      <c r="J12" s="21">
        <v>10000</v>
      </c>
      <c r="K12" s="22">
        <f t="shared" si="0"/>
        <v>117500</v>
      </c>
      <c r="L12" s="23"/>
      <c r="M12" s="24"/>
    </row>
    <row r="13" spans="1:13" s="13" customFormat="1" ht="18" customHeight="1">
      <c r="A13" s="131"/>
      <c r="B13" s="26" t="s">
        <v>289</v>
      </c>
      <c r="C13" s="16" t="str">
        <f>원가!B10</f>
        <v>B148</v>
      </c>
      <c r="D13" s="16">
        <v>1</v>
      </c>
      <c r="E13" s="17"/>
      <c r="F13" s="19">
        <v>8.6</v>
      </c>
      <c r="G13" s="19"/>
      <c r="H13" s="20">
        <f>원가!C10</f>
        <v>12500</v>
      </c>
      <c r="I13" s="21">
        <f t="shared" si="1"/>
        <v>107500</v>
      </c>
      <c r="J13" s="21">
        <v>10000</v>
      </c>
      <c r="K13" s="22">
        <f t="shared" si="0"/>
        <v>117500</v>
      </c>
      <c r="L13" s="23"/>
      <c r="M13" s="24"/>
    </row>
    <row r="14" spans="1:13" s="13" customFormat="1" ht="18" customHeight="1">
      <c r="A14" s="131">
        <v>7</v>
      </c>
      <c r="B14" s="26" t="s">
        <v>290</v>
      </c>
      <c r="C14" s="27" t="s">
        <v>283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291</v>
      </c>
      <c r="C15" s="27" t="s">
        <v>280</v>
      </c>
      <c r="D15" s="27">
        <v>3</v>
      </c>
      <c r="E15" s="28"/>
      <c r="F15" s="25">
        <v>1</v>
      </c>
      <c r="G15" s="29"/>
      <c r="H15" s="30">
        <v>3150</v>
      </c>
      <c r="I15" s="21">
        <f t="shared" si="1"/>
        <v>9450</v>
      </c>
      <c r="J15" s="31">
        <v>4000</v>
      </c>
      <c r="K15" s="22">
        <f t="shared" si="0"/>
        <v>13450</v>
      </c>
      <c r="L15" s="23"/>
      <c r="M15" s="24"/>
    </row>
    <row r="16" spans="1:13" s="13" customFormat="1" ht="18" customHeight="1">
      <c r="A16" s="14">
        <v>8</v>
      </c>
      <c r="B16" s="26" t="s">
        <v>292</v>
      </c>
      <c r="C16" s="16" t="str">
        <f>원가!B11</f>
        <v>WCB</v>
      </c>
      <c r="D16" s="16">
        <v>1</v>
      </c>
      <c r="E16" s="17"/>
      <c r="F16" s="19">
        <v>7</v>
      </c>
      <c r="G16" s="19"/>
      <c r="H16" s="20">
        <f>원가!C11</f>
        <v>2600</v>
      </c>
      <c r="I16" s="21">
        <f t="shared" si="1"/>
        <v>18200</v>
      </c>
      <c r="J16" s="21">
        <v>11000</v>
      </c>
      <c r="K16" s="22">
        <f t="shared" si="0"/>
        <v>29200</v>
      </c>
      <c r="L16" s="23"/>
      <c r="M16" s="24"/>
    </row>
    <row r="17" spans="1:14" s="13" customFormat="1" ht="18" customHeight="1">
      <c r="A17" s="14">
        <v>9</v>
      </c>
      <c r="B17" s="26" t="s">
        <v>293</v>
      </c>
      <c r="C17" s="27" t="s">
        <v>294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295</v>
      </c>
      <c r="C18" s="16" t="str">
        <f>원가!B12</f>
        <v>WCB</v>
      </c>
      <c r="D18" s="27">
        <v>1</v>
      </c>
      <c r="E18" s="28"/>
      <c r="F18" s="19">
        <v>8</v>
      </c>
      <c r="G18" s="19"/>
      <c r="H18" s="20">
        <f>원가!C12</f>
        <v>2600</v>
      </c>
      <c r="I18" s="21">
        <f t="shared" si="1"/>
        <v>20800</v>
      </c>
      <c r="J18" s="21">
        <v>10000</v>
      </c>
      <c r="K18" s="22">
        <f t="shared" si="0"/>
        <v>30800</v>
      </c>
      <c r="L18" s="23"/>
      <c r="M18" s="24"/>
    </row>
    <row r="19" spans="1:14" s="13" customFormat="1" ht="18" customHeight="1">
      <c r="A19" s="14">
        <v>11</v>
      </c>
      <c r="B19" s="26" t="s">
        <v>296</v>
      </c>
      <c r="C19" s="16" t="s">
        <v>280</v>
      </c>
      <c r="D19" s="27">
        <v>1</v>
      </c>
      <c r="E19" s="28"/>
      <c r="F19" s="19">
        <v>1.6</v>
      </c>
      <c r="G19" s="19"/>
      <c r="H19" s="20">
        <v>8000</v>
      </c>
      <c r="I19" s="21">
        <f t="shared" si="1"/>
        <v>12800</v>
      </c>
      <c r="J19" s="21">
        <v>5500</v>
      </c>
      <c r="K19" s="22">
        <f t="shared" si="0"/>
        <v>18300</v>
      </c>
      <c r="L19" s="23"/>
      <c r="M19" s="24"/>
    </row>
    <row r="20" spans="1:14" s="13" customFormat="1" ht="18" customHeight="1">
      <c r="A20" s="14">
        <v>12</v>
      </c>
      <c r="B20" s="26" t="s">
        <v>297</v>
      </c>
      <c r="C20" s="27" t="s">
        <v>286</v>
      </c>
      <c r="D20" s="27">
        <v>3</v>
      </c>
      <c r="E20" s="28"/>
      <c r="F20" s="32">
        <v>1.2</v>
      </c>
      <c r="G20" s="32"/>
      <c r="H20" s="20">
        <v>7500</v>
      </c>
      <c r="I20" s="21">
        <f t="shared" si="1"/>
        <v>26999.999999999996</v>
      </c>
      <c r="J20" s="21">
        <v>4000</v>
      </c>
      <c r="K20" s="22">
        <f t="shared" si="0"/>
        <v>30999.999999999996</v>
      </c>
      <c r="L20" s="33"/>
    </row>
    <row r="21" spans="1:14" s="13" customFormat="1" ht="18" customHeight="1">
      <c r="A21" s="14">
        <v>13</v>
      </c>
      <c r="B21" s="26" t="s">
        <v>298</v>
      </c>
      <c r="C21" s="27" t="s">
        <v>294</v>
      </c>
      <c r="D21" s="60">
        <v>20</v>
      </c>
      <c r="E21" s="28"/>
      <c r="F21" s="25">
        <v>1</v>
      </c>
      <c r="G21" s="32"/>
      <c r="H21" s="20">
        <v>130</v>
      </c>
      <c r="I21" s="21">
        <f t="shared" si="1"/>
        <v>2600</v>
      </c>
      <c r="J21" s="21"/>
      <c r="K21" s="22">
        <f t="shared" si="0"/>
        <v>2600</v>
      </c>
      <c r="L21" s="33"/>
    </row>
    <row r="22" spans="1:14" s="13" customFormat="1" ht="24" customHeight="1">
      <c r="A22" s="14">
        <v>14</v>
      </c>
      <c r="B22" s="34" t="s">
        <v>299</v>
      </c>
      <c r="C22" s="27" t="s">
        <v>294</v>
      </c>
      <c r="D22" s="27">
        <v>6</v>
      </c>
      <c r="E22" s="28"/>
      <c r="F22" s="25">
        <v>1</v>
      </c>
      <c r="G22" s="32"/>
      <c r="H22" s="20">
        <v>3000</v>
      </c>
      <c r="I22" s="21">
        <f t="shared" si="1"/>
        <v>18000</v>
      </c>
      <c r="J22" s="21"/>
      <c r="K22" s="22">
        <f t="shared" si="0"/>
        <v>18000</v>
      </c>
      <c r="L22" s="33"/>
    </row>
    <row r="23" spans="1:14" s="13" customFormat="1" ht="18" customHeight="1">
      <c r="A23" s="14">
        <v>15</v>
      </c>
      <c r="B23" s="26" t="s">
        <v>300</v>
      </c>
      <c r="C23" s="27" t="str">
        <f>원가!B13</f>
        <v>WCB</v>
      </c>
      <c r="D23" s="27">
        <v>1</v>
      </c>
      <c r="E23" s="28"/>
      <c r="F23" s="32">
        <v>30</v>
      </c>
      <c r="G23" s="32"/>
      <c r="H23" s="20">
        <f>원가!C13</f>
        <v>2600</v>
      </c>
      <c r="I23" s="21">
        <f t="shared" si="1"/>
        <v>78000</v>
      </c>
      <c r="J23" s="21">
        <v>25000</v>
      </c>
      <c r="K23" s="22">
        <f t="shared" si="0"/>
        <v>103000</v>
      </c>
      <c r="L23" s="33"/>
    </row>
    <row r="24" spans="1:14" s="13" customFormat="1" ht="18" customHeight="1">
      <c r="A24" s="14">
        <v>16</v>
      </c>
      <c r="B24" s="15" t="s">
        <v>301</v>
      </c>
      <c r="C24" s="16" t="s">
        <v>294</v>
      </c>
      <c r="D24" s="16">
        <v>4</v>
      </c>
      <c r="E24" s="17"/>
      <c r="F24" s="25">
        <v>1</v>
      </c>
      <c r="G24" s="32"/>
      <c r="H24" s="20">
        <v>5000</v>
      </c>
      <c r="I24" s="21">
        <f t="shared" si="1"/>
        <v>20000</v>
      </c>
      <c r="J24" s="21"/>
      <c r="K24" s="22">
        <f t="shared" si="0"/>
        <v>20000</v>
      </c>
      <c r="L24" s="33"/>
    </row>
    <row r="25" spans="1:14" s="13" customFormat="1" ht="18" customHeight="1">
      <c r="A25" s="14">
        <v>17</v>
      </c>
      <c r="B25" s="15" t="s">
        <v>302</v>
      </c>
      <c r="C25" s="16" t="s">
        <v>283</v>
      </c>
      <c r="D25" s="16">
        <v>1</v>
      </c>
      <c r="E25" s="17"/>
      <c r="F25" s="25">
        <v>1</v>
      </c>
      <c r="G25" s="32"/>
      <c r="H25" s="35">
        <v>820</v>
      </c>
      <c r="I25" s="21">
        <f t="shared" si="1"/>
        <v>820</v>
      </c>
      <c r="J25" s="21">
        <v>1000</v>
      </c>
      <c r="K25" s="22">
        <f t="shared" si="0"/>
        <v>1820</v>
      </c>
      <c r="L25" s="33"/>
    </row>
    <row r="26" spans="1:14" s="13" customFormat="1" ht="18" customHeight="1">
      <c r="A26" s="131">
        <v>18</v>
      </c>
      <c r="B26" s="15" t="s">
        <v>303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/>
      <c r="J26" s="97" t="s">
        <v>511</v>
      </c>
      <c r="K26" s="95">
        <f>IF(C26="PIYAKE",L26,IF(C26="10 BAR",M26,IF(C26="20 BAR",N26)))</f>
        <v>589000</v>
      </c>
      <c r="L26" s="33">
        <v>346555</v>
      </c>
      <c r="M26" s="33">
        <v>589000</v>
      </c>
      <c r="N26" s="33">
        <v>748000</v>
      </c>
    </row>
    <row r="27" spans="1:14" s="13" customFormat="1" ht="24" customHeight="1">
      <c r="A27" s="131"/>
      <c r="B27" s="36" t="s">
        <v>304</v>
      </c>
      <c r="C27" s="16"/>
      <c r="D27" s="60">
        <v>8</v>
      </c>
      <c r="E27" s="17"/>
      <c r="F27" s="25">
        <v>1</v>
      </c>
      <c r="G27" s="32"/>
      <c r="H27" s="35">
        <v>6500</v>
      </c>
      <c r="I27" s="57">
        <f>D27*F27*H27</f>
        <v>52000</v>
      </c>
      <c r="J27" s="21"/>
      <c r="K27" s="22">
        <f t="shared" si="0"/>
        <v>52000</v>
      </c>
      <c r="L27" s="33"/>
    </row>
    <row r="28" spans="1:14" s="13" customFormat="1" ht="18" customHeight="1">
      <c r="A28" s="14">
        <v>19</v>
      </c>
      <c r="B28" s="15" t="s">
        <v>305</v>
      </c>
      <c r="C28" s="16" t="s">
        <v>306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307</v>
      </c>
      <c r="C29" s="16"/>
      <c r="D29" s="16">
        <v>1</v>
      </c>
      <c r="E29" s="17"/>
      <c r="F29" s="25">
        <v>1</v>
      </c>
      <c r="G29" s="32"/>
      <c r="H29" s="17"/>
      <c r="I29" s="22">
        <v>65000</v>
      </c>
      <c r="J29" s="22"/>
      <c r="K29" s="22">
        <f t="shared" si="0"/>
        <v>65000</v>
      </c>
      <c r="L29" s="33"/>
    </row>
    <row r="30" spans="1:14" s="13" customFormat="1" ht="18" customHeight="1">
      <c r="A30" s="14">
        <v>21</v>
      </c>
      <c r="B30" s="15" t="s">
        <v>308</v>
      </c>
      <c r="C30" s="16"/>
      <c r="D30" s="16">
        <v>1</v>
      </c>
      <c r="E30" s="17"/>
      <c r="F30" s="25">
        <v>1</v>
      </c>
      <c r="G30" s="32"/>
      <c r="H30" s="17"/>
      <c r="I30" s="22">
        <v>55000</v>
      </c>
      <c r="J30" s="22"/>
      <c r="K30" s="22">
        <f t="shared" si="0"/>
        <v>55000</v>
      </c>
      <c r="L30" s="33"/>
    </row>
    <row r="31" spans="1:14" s="13" customFormat="1" ht="18" customHeight="1">
      <c r="A31" s="14">
        <v>22</v>
      </c>
      <c r="B31" s="37" t="s">
        <v>309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5178538</v>
      </c>
      <c r="L31" s="33"/>
    </row>
    <row r="32" spans="1:14" s="13" customFormat="1" ht="18" customHeight="1">
      <c r="A32" s="14">
        <v>23</v>
      </c>
      <c r="B32" s="15" t="s">
        <v>310</v>
      </c>
      <c r="C32" s="16"/>
      <c r="D32" s="16">
        <v>1</v>
      </c>
      <c r="E32" s="17"/>
      <c r="F32" s="17"/>
      <c r="G32" s="17"/>
      <c r="H32" s="17"/>
      <c r="I32" s="17"/>
      <c r="J32" s="17"/>
      <c r="K32" s="21"/>
      <c r="L32" s="33"/>
    </row>
    <row r="33" spans="1:12" s="13" customFormat="1" ht="18" customHeight="1">
      <c r="A33" s="131">
        <v>24</v>
      </c>
      <c r="B33" s="15" t="s">
        <v>311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2" s="13" customFormat="1" ht="24" customHeight="1">
      <c r="A34" s="131"/>
      <c r="B34" s="36" t="s">
        <v>312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2" s="13" customFormat="1" ht="18" customHeight="1">
      <c r="A35" s="14">
        <v>25</v>
      </c>
      <c r="B35" s="15" t="s">
        <v>313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95000</v>
      </c>
      <c r="L35" s="33"/>
    </row>
    <row r="36" spans="1:12" s="13" customFormat="1" ht="18" customHeight="1">
      <c r="A36" s="14">
        <v>26</v>
      </c>
      <c r="B36" s="15" t="s">
        <v>314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2" s="13" customFormat="1" ht="18" customHeight="1">
      <c r="A37" s="14">
        <v>27</v>
      </c>
      <c r="B37" s="10" t="s">
        <v>315</v>
      </c>
      <c r="C37" s="38"/>
      <c r="D37" s="42"/>
      <c r="E37" s="39"/>
      <c r="F37" s="39"/>
      <c r="G37" s="39"/>
      <c r="H37" s="39"/>
      <c r="I37" s="43">
        <f>SUM(K32:K36)</f>
        <v>95000</v>
      </c>
      <c r="J37" s="44">
        <v>1</v>
      </c>
      <c r="K37" s="43">
        <f>J37*I37</f>
        <v>95000</v>
      </c>
      <c r="L37" s="33"/>
    </row>
    <row r="38" spans="1:12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2" s="13" customFormat="1" ht="18" customHeight="1">
      <c r="A39" s="14">
        <v>29</v>
      </c>
      <c r="B39" s="46" t="s">
        <v>316</v>
      </c>
      <c r="C39" s="38"/>
      <c r="D39" s="38"/>
      <c r="E39" s="47" t="s">
        <v>317</v>
      </c>
      <c r="F39" s="132">
        <f>L40</f>
        <v>20350</v>
      </c>
      <c r="G39" s="133"/>
      <c r="H39" s="39"/>
      <c r="I39" s="41">
        <f>K31</f>
        <v>5178538</v>
      </c>
      <c r="J39" s="48">
        <f>원가!B15</f>
        <v>1</v>
      </c>
      <c r="K39" s="43">
        <f>J39*I39</f>
        <v>5178538</v>
      </c>
      <c r="L39" s="49" t="s">
        <v>317</v>
      </c>
    </row>
    <row r="40" spans="1:12" s="50" customFormat="1" ht="18" customHeight="1">
      <c r="A40" s="14">
        <v>30</v>
      </c>
      <c r="B40" s="10" t="s">
        <v>318</v>
      </c>
      <c r="C40" s="38"/>
      <c r="D40" s="38"/>
      <c r="E40" s="47" t="s">
        <v>319</v>
      </c>
      <c r="F40" s="132">
        <f>K40</f>
        <v>5273538</v>
      </c>
      <c r="G40" s="133"/>
      <c r="H40" s="39" t="s">
        <v>502</v>
      </c>
      <c r="I40" s="48">
        <f>원가!B2</f>
        <v>1</v>
      </c>
      <c r="J40" s="48"/>
      <c r="K40" s="41">
        <f>SUM(K37:K39)/I40</f>
        <v>5273538</v>
      </c>
      <c r="L40" s="49">
        <v>20350</v>
      </c>
    </row>
    <row r="41" spans="1:12" s="50" customFormat="1" ht="18" customHeight="1">
      <c r="L41" s="51"/>
    </row>
    <row r="42" spans="1:12" s="50" customFormat="1" ht="12">
      <c r="D42" s="51"/>
    </row>
    <row r="43" spans="1:12" s="50" customFormat="1" ht="12">
      <c r="L43" s="51"/>
    </row>
    <row r="44" spans="1:12" s="50" customFormat="1" ht="12">
      <c r="L44" s="51"/>
    </row>
    <row r="45" spans="1:12" s="52" customFormat="1" ht="15">
      <c r="L45" s="51"/>
    </row>
    <row r="46" spans="1:12" s="52" customFormat="1" ht="15">
      <c r="L46" s="51"/>
    </row>
    <row r="47" spans="1:12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N47"/>
  <sheetViews>
    <sheetView workbookViewId="0">
      <selection activeCell="H12" sqref="H12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86</v>
      </c>
      <c r="B3" s="6"/>
      <c r="C3" s="6" t="s">
        <v>431</v>
      </c>
      <c r="D3" s="6"/>
      <c r="E3" s="6"/>
      <c r="F3" s="6" t="s">
        <v>432</v>
      </c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433</v>
      </c>
      <c r="B5" s="9" t="s">
        <v>434</v>
      </c>
      <c r="C5" s="9" t="s">
        <v>435</v>
      </c>
      <c r="D5" s="10" t="s">
        <v>436</v>
      </c>
      <c r="E5" s="9" t="s">
        <v>437</v>
      </c>
      <c r="F5" s="9" t="s">
        <v>438</v>
      </c>
      <c r="G5" s="9" t="s">
        <v>439</v>
      </c>
      <c r="H5" s="9" t="s">
        <v>440</v>
      </c>
      <c r="I5" s="9" t="s">
        <v>441</v>
      </c>
      <c r="J5" s="9" t="s">
        <v>442</v>
      </c>
      <c r="K5" s="9" t="s">
        <v>443</v>
      </c>
      <c r="L5" s="11"/>
      <c r="M5" s="12"/>
    </row>
    <row r="6" spans="1:13" s="13" customFormat="1" ht="18" customHeight="1">
      <c r="A6" s="14">
        <v>1</v>
      </c>
      <c r="B6" s="15" t="s">
        <v>444</v>
      </c>
      <c r="C6" s="16" t="str">
        <f>원가!B4</f>
        <v>WCB</v>
      </c>
      <c r="D6" s="16">
        <v>1</v>
      </c>
      <c r="E6" s="17"/>
      <c r="F6" s="18">
        <v>620</v>
      </c>
      <c r="G6" s="19"/>
      <c r="H6" s="20">
        <f>원가!C4</f>
        <v>2600</v>
      </c>
      <c r="I6" s="21">
        <f>D6*F6*H6</f>
        <v>1612000</v>
      </c>
      <c r="J6" s="21">
        <v>400000</v>
      </c>
      <c r="K6" s="22">
        <f t="shared" ref="K6:K30" si="0">I6+J6</f>
        <v>2012000</v>
      </c>
      <c r="L6" s="23"/>
      <c r="M6" s="24"/>
    </row>
    <row r="7" spans="1:13" s="13" customFormat="1" ht="18" customHeight="1">
      <c r="A7" s="14">
        <v>2</v>
      </c>
      <c r="B7" s="15" t="s">
        <v>445</v>
      </c>
      <c r="C7" s="16" t="str">
        <f>원가!B5</f>
        <v>WCB</v>
      </c>
      <c r="D7" s="16">
        <v>1</v>
      </c>
      <c r="E7" s="17"/>
      <c r="F7" s="18">
        <v>232</v>
      </c>
      <c r="G7" s="19"/>
      <c r="H7" s="20">
        <f>원가!C5</f>
        <v>2600</v>
      </c>
      <c r="I7" s="21">
        <f>D7*F7*H7</f>
        <v>603200</v>
      </c>
      <c r="J7" s="21">
        <v>300000</v>
      </c>
      <c r="K7" s="22">
        <f t="shared" si="0"/>
        <v>903200</v>
      </c>
      <c r="L7" s="23"/>
      <c r="M7" s="24"/>
    </row>
    <row r="8" spans="1:13" s="13" customFormat="1" ht="18" customHeight="1">
      <c r="A8" s="14">
        <v>3</v>
      </c>
      <c r="B8" s="15" t="s">
        <v>446</v>
      </c>
      <c r="C8" s="16" t="s">
        <v>447</v>
      </c>
      <c r="D8" s="16">
        <v>1</v>
      </c>
      <c r="E8" s="17"/>
      <c r="F8" s="25">
        <v>1</v>
      </c>
      <c r="G8" s="19"/>
      <c r="H8" s="20"/>
      <c r="I8" s="21">
        <v>15000</v>
      </c>
      <c r="J8" s="21">
        <v>10000</v>
      </c>
      <c r="K8" s="22">
        <f t="shared" si="0"/>
        <v>25000</v>
      </c>
      <c r="L8" s="23"/>
      <c r="M8" s="24"/>
    </row>
    <row r="9" spans="1:13" s="13" customFormat="1" ht="18" customHeight="1">
      <c r="A9" s="14">
        <v>4</v>
      </c>
      <c r="B9" s="15" t="s">
        <v>448</v>
      </c>
      <c r="C9" s="16" t="str">
        <f>원가!B6</f>
        <v>A276T316L</v>
      </c>
      <c r="D9" s="16">
        <v>1</v>
      </c>
      <c r="E9" s="17"/>
      <c r="F9" s="19">
        <v>73</v>
      </c>
      <c r="G9" s="19"/>
      <c r="H9" s="20">
        <f>원가!C6</f>
        <v>8500</v>
      </c>
      <c r="I9" s="21">
        <f t="shared" ref="I9:I25" si="1">D9*F9*H9</f>
        <v>620500</v>
      </c>
      <c r="J9" s="21">
        <v>150000</v>
      </c>
      <c r="K9" s="22">
        <f t="shared" si="0"/>
        <v>770500</v>
      </c>
      <c r="L9" s="23"/>
      <c r="M9" s="24"/>
    </row>
    <row r="10" spans="1:13" s="13" customFormat="1" ht="18" customHeight="1">
      <c r="A10" s="131">
        <v>5</v>
      </c>
      <c r="B10" s="15" t="s">
        <v>69</v>
      </c>
      <c r="C10" s="16" t="str">
        <f>원가!B7</f>
        <v>316L</v>
      </c>
      <c r="D10" s="16">
        <v>1</v>
      </c>
      <c r="E10" s="17"/>
      <c r="F10" s="19">
        <v>24</v>
      </c>
      <c r="G10" s="19"/>
      <c r="H10" s="20">
        <f>원가!C7</f>
        <v>8500</v>
      </c>
      <c r="I10" s="21">
        <f t="shared" si="1"/>
        <v>204000</v>
      </c>
      <c r="J10" s="21">
        <v>80000</v>
      </c>
      <c r="K10" s="22">
        <f t="shared" si="0"/>
        <v>284000</v>
      </c>
      <c r="L10" s="23"/>
      <c r="M10" s="24"/>
    </row>
    <row r="11" spans="1:13" s="13" customFormat="1" ht="18" customHeight="1">
      <c r="A11" s="131"/>
      <c r="B11" s="15" t="s">
        <v>70</v>
      </c>
      <c r="C11" s="16" t="str">
        <f>원가!B8</f>
        <v>316L</v>
      </c>
      <c r="D11" s="16">
        <v>1</v>
      </c>
      <c r="E11" s="28"/>
      <c r="F11" s="19">
        <v>24</v>
      </c>
      <c r="G11" s="29"/>
      <c r="H11" s="20">
        <v>20000</v>
      </c>
      <c r="I11" s="21">
        <f t="shared" si="1"/>
        <v>480000</v>
      </c>
      <c r="J11" s="21">
        <v>80000</v>
      </c>
      <c r="K11" s="22">
        <f t="shared" si="0"/>
        <v>560000</v>
      </c>
      <c r="L11" s="23"/>
      <c r="M11" s="24"/>
    </row>
    <row r="12" spans="1:13" s="13" customFormat="1" ht="18" customHeight="1">
      <c r="A12" s="131">
        <v>6</v>
      </c>
      <c r="B12" s="15" t="s">
        <v>71</v>
      </c>
      <c r="C12" s="16" t="str">
        <f>원가!B9</f>
        <v>B148</v>
      </c>
      <c r="D12" s="16">
        <v>1</v>
      </c>
      <c r="E12" s="17"/>
      <c r="F12" s="19">
        <v>6.75</v>
      </c>
      <c r="G12" s="19"/>
      <c r="H12" s="20">
        <f>원가!C9</f>
        <v>12500</v>
      </c>
      <c r="I12" s="21">
        <f t="shared" si="1"/>
        <v>84375</v>
      </c>
      <c r="J12" s="21">
        <v>24000</v>
      </c>
      <c r="K12" s="22">
        <f t="shared" si="0"/>
        <v>108375</v>
      </c>
      <c r="L12" s="23"/>
      <c r="M12" s="24"/>
    </row>
    <row r="13" spans="1:13" s="13" customFormat="1" ht="18" customHeight="1">
      <c r="A13" s="131"/>
      <c r="B13" s="26" t="s">
        <v>72</v>
      </c>
      <c r="C13" s="16" t="str">
        <f>원가!B10</f>
        <v>B148</v>
      </c>
      <c r="D13" s="16">
        <v>1</v>
      </c>
      <c r="E13" s="17"/>
      <c r="F13" s="19">
        <v>6.75</v>
      </c>
      <c r="G13" s="19"/>
      <c r="H13" s="20">
        <f>원가!C10</f>
        <v>12500</v>
      </c>
      <c r="I13" s="21">
        <f t="shared" si="1"/>
        <v>84375</v>
      </c>
      <c r="J13" s="21">
        <v>24000</v>
      </c>
      <c r="K13" s="22">
        <f t="shared" si="0"/>
        <v>108375</v>
      </c>
      <c r="L13" s="23"/>
      <c r="M13" s="24"/>
    </row>
    <row r="14" spans="1:13" s="13" customFormat="1" ht="18" customHeight="1">
      <c r="A14" s="131">
        <v>7</v>
      </c>
      <c r="B14" s="26" t="s">
        <v>450</v>
      </c>
      <c r="C14" s="27" t="s">
        <v>447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73</v>
      </c>
      <c r="C15" s="27" t="s">
        <v>68</v>
      </c>
      <c r="D15" s="27">
        <v>3</v>
      </c>
      <c r="E15" s="28"/>
      <c r="F15" s="19">
        <v>0.95</v>
      </c>
      <c r="G15" s="29"/>
      <c r="H15" s="30">
        <v>3150</v>
      </c>
      <c r="I15" s="21">
        <f t="shared" si="1"/>
        <v>8977.4999999999982</v>
      </c>
      <c r="J15" s="31">
        <v>4000</v>
      </c>
      <c r="K15" s="22">
        <f t="shared" si="0"/>
        <v>12977.499999999998</v>
      </c>
      <c r="L15" s="23"/>
      <c r="M15" s="24"/>
    </row>
    <row r="16" spans="1:13" s="13" customFormat="1" ht="18" customHeight="1">
      <c r="A16" s="14">
        <v>8</v>
      </c>
      <c r="B16" s="26" t="s">
        <v>451</v>
      </c>
      <c r="C16" s="16" t="str">
        <f>원가!B11</f>
        <v>WCB</v>
      </c>
      <c r="D16" s="16">
        <v>1</v>
      </c>
      <c r="E16" s="17"/>
      <c r="F16" s="19">
        <v>8</v>
      </c>
      <c r="G16" s="19"/>
      <c r="H16" s="20">
        <f>원가!C11</f>
        <v>2600</v>
      </c>
      <c r="I16" s="21">
        <f t="shared" si="1"/>
        <v>20800</v>
      </c>
      <c r="J16" s="21">
        <v>13500</v>
      </c>
      <c r="K16" s="22">
        <f t="shared" si="0"/>
        <v>34300</v>
      </c>
      <c r="L16" s="23"/>
      <c r="M16" s="24"/>
    </row>
    <row r="17" spans="1:14" s="13" customFormat="1" ht="18" customHeight="1">
      <c r="A17" s="14">
        <v>9</v>
      </c>
      <c r="B17" s="26" t="s">
        <v>74</v>
      </c>
      <c r="C17" s="27" t="s">
        <v>75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76</v>
      </c>
      <c r="C18" s="16" t="str">
        <f>원가!B12</f>
        <v>WCB</v>
      </c>
      <c r="D18" s="27">
        <v>1</v>
      </c>
      <c r="E18" s="28"/>
      <c r="F18" s="19">
        <v>8</v>
      </c>
      <c r="G18" s="19"/>
      <c r="H18" s="20">
        <f>원가!C12</f>
        <v>2600</v>
      </c>
      <c r="I18" s="21">
        <f t="shared" si="1"/>
        <v>20800</v>
      </c>
      <c r="J18" s="21">
        <v>15000</v>
      </c>
      <c r="K18" s="22">
        <f t="shared" si="0"/>
        <v>35800</v>
      </c>
      <c r="L18" s="23"/>
      <c r="M18" s="24"/>
    </row>
    <row r="19" spans="1:14" s="13" customFormat="1" ht="18" customHeight="1">
      <c r="A19" s="14">
        <v>11</v>
      </c>
      <c r="B19" s="26" t="s">
        <v>77</v>
      </c>
      <c r="C19" s="16" t="s">
        <v>68</v>
      </c>
      <c r="D19" s="27">
        <v>1</v>
      </c>
      <c r="E19" s="28"/>
      <c r="F19" s="19">
        <v>1.5</v>
      </c>
      <c r="G19" s="19"/>
      <c r="H19" s="20">
        <v>8000</v>
      </c>
      <c r="I19" s="21">
        <f t="shared" si="1"/>
        <v>12000</v>
      </c>
      <c r="J19" s="21">
        <v>5500</v>
      </c>
      <c r="K19" s="22">
        <f t="shared" si="0"/>
        <v>17500</v>
      </c>
      <c r="L19" s="23"/>
      <c r="M19" s="24"/>
    </row>
    <row r="20" spans="1:14" s="13" customFormat="1" ht="18" customHeight="1">
      <c r="A20" s="14">
        <v>12</v>
      </c>
      <c r="B20" s="26" t="s">
        <v>78</v>
      </c>
      <c r="C20" s="27" t="s">
        <v>449</v>
      </c>
      <c r="D20" s="27">
        <v>3</v>
      </c>
      <c r="E20" s="28"/>
      <c r="F20" s="32">
        <v>1.3</v>
      </c>
      <c r="G20" s="32"/>
      <c r="H20" s="20">
        <v>7500</v>
      </c>
      <c r="I20" s="21">
        <f t="shared" si="1"/>
        <v>29250.000000000004</v>
      </c>
      <c r="J20" s="21">
        <v>5000</v>
      </c>
      <c r="K20" s="22">
        <f t="shared" si="0"/>
        <v>34250</v>
      </c>
      <c r="L20" s="33"/>
    </row>
    <row r="21" spans="1:14" s="13" customFormat="1" ht="18" customHeight="1">
      <c r="A21" s="14">
        <v>13</v>
      </c>
      <c r="B21" s="26" t="s">
        <v>79</v>
      </c>
      <c r="C21" s="27" t="s">
        <v>75</v>
      </c>
      <c r="D21" s="60">
        <v>20</v>
      </c>
      <c r="E21" s="28"/>
      <c r="F21" s="25">
        <v>1</v>
      </c>
      <c r="G21" s="32"/>
      <c r="H21" s="20">
        <v>130</v>
      </c>
      <c r="I21" s="21">
        <f t="shared" si="1"/>
        <v>2600</v>
      </c>
      <c r="J21" s="21"/>
      <c r="K21" s="22">
        <f t="shared" si="0"/>
        <v>2600</v>
      </c>
      <c r="L21" s="33"/>
    </row>
    <row r="22" spans="1:14" s="13" customFormat="1" ht="24" customHeight="1">
      <c r="A22" s="14">
        <v>14</v>
      </c>
      <c r="B22" s="34" t="s">
        <v>80</v>
      </c>
      <c r="C22" s="27" t="s">
        <v>75</v>
      </c>
      <c r="D22" s="27">
        <v>6</v>
      </c>
      <c r="E22" s="28"/>
      <c r="F22" s="25">
        <v>1</v>
      </c>
      <c r="G22" s="32"/>
      <c r="H22" s="20">
        <v>3000</v>
      </c>
      <c r="I22" s="21">
        <f t="shared" si="1"/>
        <v>18000</v>
      </c>
      <c r="J22" s="21"/>
      <c r="K22" s="22">
        <f t="shared" si="0"/>
        <v>18000</v>
      </c>
      <c r="L22" s="33"/>
    </row>
    <row r="23" spans="1:14" s="13" customFormat="1" ht="18" customHeight="1">
      <c r="A23" s="14">
        <v>15</v>
      </c>
      <c r="B23" s="26" t="s">
        <v>81</v>
      </c>
      <c r="C23" s="27" t="str">
        <f>원가!B13</f>
        <v>WCB</v>
      </c>
      <c r="D23" s="27">
        <v>1</v>
      </c>
      <c r="E23" s="28"/>
      <c r="F23" s="32">
        <v>30</v>
      </c>
      <c r="G23" s="32"/>
      <c r="H23" s="20">
        <f>원가!C13</f>
        <v>2600</v>
      </c>
      <c r="I23" s="21">
        <f t="shared" si="1"/>
        <v>78000</v>
      </c>
      <c r="J23" s="21">
        <v>25000</v>
      </c>
      <c r="K23" s="22">
        <f t="shared" si="0"/>
        <v>103000</v>
      </c>
      <c r="L23" s="33"/>
    </row>
    <row r="24" spans="1:14" s="13" customFormat="1" ht="18" customHeight="1">
      <c r="A24" s="14">
        <v>16</v>
      </c>
      <c r="B24" s="15" t="s">
        <v>82</v>
      </c>
      <c r="C24" s="16" t="s">
        <v>75</v>
      </c>
      <c r="D24" s="16">
        <v>4</v>
      </c>
      <c r="E24" s="17"/>
      <c r="F24" s="25">
        <v>1</v>
      </c>
      <c r="G24" s="32"/>
      <c r="H24" s="20">
        <v>6000</v>
      </c>
      <c r="I24" s="21">
        <f t="shared" si="1"/>
        <v>24000</v>
      </c>
      <c r="J24" s="21"/>
      <c r="K24" s="22">
        <f t="shared" si="0"/>
        <v>24000</v>
      </c>
      <c r="L24" s="33"/>
    </row>
    <row r="25" spans="1:14" s="13" customFormat="1" ht="18" customHeight="1">
      <c r="A25" s="14">
        <v>17</v>
      </c>
      <c r="B25" s="15" t="s">
        <v>83</v>
      </c>
      <c r="C25" s="16" t="s">
        <v>447</v>
      </c>
      <c r="D25" s="16">
        <v>1</v>
      </c>
      <c r="E25" s="17"/>
      <c r="F25" s="25">
        <v>1</v>
      </c>
      <c r="G25" s="32"/>
      <c r="H25" s="35">
        <v>920</v>
      </c>
      <c r="I25" s="21">
        <f t="shared" si="1"/>
        <v>920</v>
      </c>
      <c r="J25" s="21">
        <v>1000</v>
      </c>
      <c r="K25" s="22">
        <f t="shared" si="0"/>
        <v>1920</v>
      </c>
      <c r="L25" s="33"/>
    </row>
    <row r="26" spans="1:14" s="13" customFormat="1" ht="18" customHeight="1">
      <c r="A26" s="131">
        <v>18</v>
      </c>
      <c r="B26" s="15" t="s">
        <v>452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/>
      <c r="J26" s="97" t="s">
        <v>511</v>
      </c>
      <c r="K26" s="95">
        <f>IF(C26="PIYAKE",L26,IF(C26="10 BAR",M26,IF(C26="20 BAR",N26)))</f>
        <v>748000</v>
      </c>
      <c r="L26" s="33">
        <v>346555</v>
      </c>
      <c r="M26" s="33">
        <v>748000</v>
      </c>
      <c r="N26" s="33">
        <v>1301000</v>
      </c>
    </row>
    <row r="27" spans="1:14" s="13" customFormat="1" ht="24" customHeight="1">
      <c r="A27" s="131"/>
      <c r="B27" s="36" t="s">
        <v>84</v>
      </c>
      <c r="C27" s="16"/>
      <c r="D27" s="60">
        <v>8</v>
      </c>
      <c r="E27" s="17"/>
      <c r="F27" s="25">
        <v>1</v>
      </c>
      <c r="G27" s="32"/>
      <c r="H27" s="35">
        <v>7000</v>
      </c>
      <c r="I27" s="57">
        <f>D27*F27*H27</f>
        <v>56000</v>
      </c>
      <c r="J27" s="21"/>
      <c r="K27" s="22">
        <f t="shared" si="0"/>
        <v>56000</v>
      </c>
      <c r="L27" s="33"/>
    </row>
    <row r="28" spans="1:14" s="13" customFormat="1" ht="18" customHeight="1">
      <c r="A28" s="14">
        <v>19</v>
      </c>
      <c r="B28" s="15" t="s">
        <v>453</v>
      </c>
      <c r="C28" s="16" t="s">
        <v>454</v>
      </c>
      <c r="D28" s="16">
        <v>1</v>
      </c>
      <c r="E28" s="17"/>
      <c r="F28" s="25">
        <v>1</v>
      </c>
      <c r="G28" s="32"/>
      <c r="H28" s="17"/>
      <c r="I28" s="21">
        <v>4000</v>
      </c>
      <c r="J28" s="21">
        <v>4400</v>
      </c>
      <c r="K28" s="22">
        <f t="shared" si="0"/>
        <v>8400</v>
      </c>
      <c r="L28" s="33"/>
    </row>
    <row r="29" spans="1:14" s="13" customFormat="1" ht="18" customHeight="1">
      <c r="A29" s="14">
        <v>20</v>
      </c>
      <c r="B29" s="15" t="s">
        <v>455</v>
      </c>
      <c r="C29" s="16"/>
      <c r="D29" s="16">
        <v>1</v>
      </c>
      <c r="E29" s="17"/>
      <c r="F29" s="25">
        <v>1</v>
      </c>
      <c r="G29" s="32"/>
      <c r="H29" s="17"/>
      <c r="I29" s="22">
        <v>80000</v>
      </c>
      <c r="J29" s="22"/>
      <c r="K29" s="22">
        <f t="shared" si="0"/>
        <v>80000</v>
      </c>
      <c r="L29" s="33"/>
    </row>
    <row r="30" spans="1:14" s="13" customFormat="1" ht="18" customHeight="1">
      <c r="A30" s="14">
        <v>21</v>
      </c>
      <c r="B30" s="15" t="s">
        <v>456</v>
      </c>
      <c r="C30" s="16"/>
      <c r="D30" s="16">
        <v>1</v>
      </c>
      <c r="E30" s="17"/>
      <c r="F30" s="25">
        <v>1</v>
      </c>
      <c r="G30" s="32"/>
      <c r="H30" s="17"/>
      <c r="I30" s="22">
        <v>60000</v>
      </c>
      <c r="J30" s="22"/>
      <c r="K30" s="22">
        <f t="shared" si="0"/>
        <v>60000</v>
      </c>
      <c r="L30" s="33"/>
    </row>
    <row r="31" spans="1:14" s="13" customFormat="1" ht="18" customHeight="1">
      <c r="A31" s="14">
        <v>22</v>
      </c>
      <c r="B31" s="37" t="s">
        <v>457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6019997.5</v>
      </c>
      <c r="L31" s="33"/>
    </row>
    <row r="32" spans="1:14" s="13" customFormat="1" ht="18" customHeight="1">
      <c r="A32" s="14">
        <v>23</v>
      </c>
      <c r="B32" s="15" t="s">
        <v>87</v>
      </c>
      <c r="C32" s="16"/>
      <c r="D32" s="16"/>
      <c r="E32" s="17"/>
      <c r="F32" s="17"/>
      <c r="G32" s="17"/>
      <c r="H32" s="17"/>
      <c r="I32" s="17"/>
      <c r="J32" s="17"/>
      <c r="K32" s="72"/>
      <c r="L32" s="33"/>
    </row>
    <row r="33" spans="1:12" s="13" customFormat="1" ht="18" customHeight="1">
      <c r="A33" s="131">
        <v>24</v>
      </c>
      <c r="B33" s="15" t="s">
        <v>458</v>
      </c>
      <c r="C33" s="16"/>
      <c r="D33" s="16">
        <v>1</v>
      </c>
      <c r="E33" s="17" t="s">
        <v>88</v>
      </c>
      <c r="F33" s="25"/>
      <c r="G33" s="32"/>
      <c r="H33" s="21"/>
      <c r="I33" s="21" t="s">
        <v>471</v>
      </c>
      <c r="J33" s="21"/>
      <c r="K33" s="22"/>
      <c r="L33" s="33"/>
    </row>
    <row r="34" spans="1:12" s="13" customFormat="1" ht="24" customHeight="1">
      <c r="A34" s="131"/>
      <c r="B34" s="36" t="s">
        <v>459</v>
      </c>
      <c r="C34" s="16"/>
      <c r="D34" s="16">
        <v>4</v>
      </c>
      <c r="E34" s="17"/>
      <c r="F34" s="25">
        <v>1</v>
      </c>
      <c r="G34" s="32"/>
      <c r="H34" s="17">
        <v>630</v>
      </c>
      <c r="I34" s="21">
        <f>D34*F34*H34</f>
        <v>2520</v>
      </c>
      <c r="J34" s="21"/>
      <c r="K34" s="22"/>
      <c r="L34" s="33"/>
    </row>
    <row r="35" spans="1:12" s="13" customFormat="1" ht="18" customHeight="1">
      <c r="A35" s="14">
        <v>25</v>
      </c>
      <c r="B35" s="15" t="s">
        <v>460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100000</v>
      </c>
      <c r="L35" s="33"/>
    </row>
    <row r="36" spans="1:12" s="13" customFormat="1" ht="18" customHeight="1">
      <c r="A36" s="14">
        <v>26</v>
      </c>
      <c r="B36" s="15" t="s">
        <v>461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2" s="13" customFormat="1" ht="18" customHeight="1">
      <c r="A37" s="14">
        <v>27</v>
      </c>
      <c r="B37" s="10" t="s">
        <v>462</v>
      </c>
      <c r="C37" s="38"/>
      <c r="D37" s="42"/>
      <c r="E37" s="39"/>
      <c r="F37" s="39"/>
      <c r="G37" s="39"/>
      <c r="H37" s="39"/>
      <c r="I37" s="43">
        <f>SUM(K32:K36)</f>
        <v>100000</v>
      </c>
      <c r="J37" s="44">
        <v>1</v>
      </c>
      <c r="K37" s="43">
        <f>J37*I37</f>
        <v>100000</v>
      </c>
      <c r="L37" s="33"/>
    </row>
    <row r="38" spans="1:12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2" s="13" customFormat="1" ht="18" customHeight="1">
      <c r="A39" s="14">
        <v>29</v>
      </c>
      <c r="B39" s="46" t="s">
        <v>463</v>
      </c>
      <c r="C39" s="38"/>
      <c r="D39" s="38"/>
      <c r="E39" s="47" t="s">
        <v>464</v>
      </c>
      <c r="F39" s="132">
        <f>L40</f>
        <v>0</v>
      </c>
      <c r="G39" s="133"/>
      <c r="H39" s="39"/>
      <c r="I39" s="41">
        <f>K31</f>
        <v>6019997.5</v>
      </c>
      <c r="J39" s="48">
        <f>원가!B15</f>
        <v>1</v>
      </c>
      <c r="K39" s="43">
        <f>J39*I39</f>
        <v>6019997.5</v>
      </c>
      <c r="L39" s="49" t="s">
        <v>464</v>
      </c>
    </row>
    <row r="40" spans="1:12" s="50" customFormat="1" ht="18" customHeight="1">
      <c r="A40" s="14">
        <v>30</v>
      </c>
      <c r="B40" s="10" t="s">
        <v>465</v>
      </c>
      <c r="C40" s="38"/>
      <c r="D40" s="38"/>
      <c r="E40" s="47" t="s">
        <v>466</v>
      </c>
      <c r="F40" s="132">
        <f>K40</f>
        <v>6119997.5</v>
      </c>
      <c r="G40" s="133"/>
      <c r="H40" s="39" t="s">
        <v>502</v>
      </c>
      <c r="I40" s="48">
        <f>원가!B2</f>
        <v>1</v>
      </c>
      <c r="J40" s="48"/>
      <c r="K40" s="41">
        <f>SUM(K37:K39)/I40</f>
        <v>6119997.5</v>
      </c>
      <c r="L40" s="49"/>
    </row>
    <row r="41" spans="1:12" s="50" customFormat="1" ht="18" customHeight="1">
      <c r="L41" s="51"/>
    </row>
    <row r="42" spans="1:12" s="50" customFormat="1" ht="12">
      <c r="D42" s="51"/>
    </row>
    <row r="43" spans="1:12" s="50" customFormat="1" ht="12">
      <c r="L43" s="51"/>
    </row>
    <row r="44" spans="1:12" s="50" customFormat="1" ht="12">
      <c r="L44" s="51"/>
    </row>
    <row r="45" spans="1:12" s="52" customFormat="1" ht="15">
      <c r="L45" s="51"/>
    </row>
    <row r="46" spans="1:12" s="52" customFormat="1" ht="15">
      <c r="L46" s="51"/>
    </row>
    <row r="47" spans="1:12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workbookViewId="0">
      <selection activeCell="H11" sqref="H11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3" max="13" width="10.42578125" bestFit="1" customWidth="1"/>
    <col min="14" max="14" width="12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483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7"/>
      <c r="F6" s="18">
        <v>643</v>
      </c>
      <c r="G6" s="19"/>
      <c r="H6" s="20">
        <f>원가!C4</f>
        <v>2600</v>
      </c>
      <c r="I6" s="21">
        <f>D6*F6*H6</f>
        <v>1671800</v>
      </c>
      <c r="J6" s="21">
        <v>600000</v>
      </c>
      <c r="K6" s="22">
        <f t="shared" ref="K6:K30" si="0">I6+J6</f>
        <v>2271800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8">
        <v>268</v>
      </c>
      <c r="G7" s="19"/>
      <c r="H7" s="20">
        <f>원가!C5</f>
        <v>2600</v>
      </c>
      <c r="I7" s="21">
        <f>D7*F7*H7</f>
        <v>696800</v>
      </c>
      <c r="J7" s="21">
        <v>300000</v>
      </c>
      <c r="K7" s="22">
        <f t="shared" si="0"/>
        <v>996800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26000</v>
      </c>
      <c r="J8" s="21">
        <v>10000</v>
      </c>
      <c r="K8" s="22">
        <f t="shared" si="0"/>
        <v>36000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91</v>
      </c>
      <c r="G9" s="19"/>
      <c r="H9" s="20">
        <f>원가!C6</f>
        <v>8500</v>
      </c>
      <c r="I9" s="21">
        <f t="shared" ref="I9:I18" si="1">D9*F9*H9</f>
        <v>773500</v>
      </c>
      <c r="J9" s="21">
        <v>165000</v>
      </c>
      <c r="K9" s="22">
        <f t="shared" si="0"/>
        <v>938500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40</v>
      </c>
      <c r="G10" s="19"/>
      <c r="H10" s="20">
        <v>20000</v>
      </c>
      <c r="I10" s="21">
        <f t="shared" si="1"/>
        <v>800000</v>
      </c>
      <c r="J10" s="21">
        <v>90000</v>
      </c>
      <c r="K10" s="22">
        <f t="shared" si="0"/>
        <v>890000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40</v>
      </c>
      <c r="G11" s="29"/>
      <c r="H11" s="20">
        <f>원가!C8</f>
        <v>8500</v>
      </c>
      <c r="I11" s="21">
        <f t="shared" si="1"/>
        <v>340000</v>
      </c>
      <c r="J11" s="21">
        <v>90000</v>
      </c>
      <c r="K11" s="22">
        <f t="shared" si="0"/>
        <v>430000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6.8</v>
      </c>
      <c r="G12" s="19"/>
      <c r="H12" s="20">
        <f>원가!C9</f>
        <v>12500</v>
      </c>
      <c r="I12" s="21">
        <f t="shared" si="1"/>
        <v>85000</v>
      </c>
      <c r="J12" s="21">
        <v>10000</v>
      </c>
      <c r="K12" s="22">
        <f t="shared" si="0"/>
        <v>95000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6.8</v>
      </c>
      <c r="G13" s="19"/>
      <c r="H13" s="20">
        <f>원가!C10</f>
        <v>12500</v>
      </c>
      <c r="I13" s="21">
        <f t="shared" si="1"/>
        <v>85000</v>
      </c>
      <c r="J13" s="21">
        <v>10000</v>
      </c>
      <c r="K13" s="22">
        <f t="shared" si="0"/>
        <v>95000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3</v>
      </c>
      <c r="E15" s="28"/>
      <c r="F15" s="25">
        <v>1</v>
      </c>
      <c r="G15" s="29"/>
      <c r="H15" s="30">
        <v>3150</v>
      </c>
      <c r="I15" s="21">
        <f t="shared" si="1"/>
        <v>9450</v>
      </c>
      <c r="J15" s="31">
        <v>9000</v>
      </c>
      <c r="K15" s="22">
        <f t="shared" si="0"/>
        <v>18450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9</v>
      </c>
      <c r="G16" s="19"/>
      <c r="H16" s="20">
        <f>원가!C11</f>
        <v>2600</v>
      </c>
      <c r="I16" s="21">
        <f t="shared" si="1"/>
        <v>23400</v>
      </c>
      <c r="J16" s="21">
        <v>12000</v>
      </c>
      <c r="K16" s="22">
        <f t="shared" si="0"/>
        <v>35400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9</v>
      </c>
      <c r="G18" s="19"/>
      <c r="H18" s="20">
        <f>원가!C12</f>
        <v>2600</v>
      </c>
      <c r="I18" s="21">
        <f t="shared" si="1"/>
        <v>23400</v>
      </c>
      <c r="J18" s="21">
        <v>11000</v>
      </c>
      <c r="K18" s="22">
        <f t="shared" si="0"/>
        <v>34400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>
        <v>2.1</v>
      </c>
      <c r="G19" s="19"/>
      <c r="H19" s="20"/>
      <c r="I19" s="21">
        <v>8750</v>
      </c>
      <c r="J19" s="21">
        <v>6500</v>
      </c>
      <c r="K19" s="22">
        <f t="shared" si="0"/>
        <v>15250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1.3</v>
      </c>
      <c r="G20" s="32"/>
      <c r="H20" s="20"/>
      <c r="I20" s="21">
        <v>3500</v>
      </c>
      <c r="J20" s="21">
        <v>4500</v>
      </c>
      <c r="K20" s="22">
        <f t="shared" si="0"/>
        <v>8000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28</v>
      </c>
      <c r="E21" s="28"/>
      <c r="F21" s="25">
        <v>1</v>
      </c>
      <c r="G21" s="32"/>
      <c r="H21" s="20">
        <v>130</v>
      </c>
      <c r="I21" s="21">
        <f>D21*F21*H21</f>
        <v>3640</v>
      </c>
      <c r="J21" s="21"/>
      <c r="K21" s="22">
        <f t="shared" si="0"/>
        <v>3640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3000</v>
      </c>
      <c r="I22" s="21">
        <f>D22*F22*H22</f>
        <v>18000</v>
      </c>
      <c r="J22" s="21"/>
      <c r="K22" s="22">
        <f t="shared" si="0"/>
        <v>18000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34</v>
      </c>
      <c r="G23" s="32"/>
      <c r="H23" s="20">
        <f>원가!C13</f>
        <v>2600</v>
      </c>
      <c r="I23" s="21">
        <f>D23*F23*H23</f>
        <v>88400</v>
      </c>
      <c r="J23" s="21">
        <v>30000</v>
      </c>
      <c r="K23" s="22">
        <f t="shared" si="0"/>
        <v>118400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6000</v>
      </c>
      <c r="I24" s="21">
        <f>D24*F24*H24</f>
        <v>24000</v>
      </c>
      <c r="J24" s="21"/>
      <c r="K24" s="22">
        <f t="shared" si="0"/>
        <v>24000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1060</v>
      </c>
      <c r="I25" s="21">
        <f>D25*F25*H25</f>
        <v>1060</v>
      </c>
      <c r="J25" s="21">
        <v>1000</v>
      </c>
      <c r="K25" s="22">
        <f t="shared" si="0"/>
        <v>2060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>
        <v>662245</v>
      </c>
      <c r="J26" s="113" t="s">
        <v>511</v>
      </c>
      <c r="K26" s="95">
        <f>IF(C26="PIYAKE",L26,IF(C26="10 BAR",M26,IF(C26="20 BAR",N26)))</f>
        <v>748000</v>
      </c>
      <c r="L26" s="33"/>
      <c r="M26" s="33">
        <v>748000</v>
      </c>
      <c r="N26" s="33">
        <v>1301000</v>
      </c>
    </row>
    <row r="27" spans="1:14" s="13" customFormat="1" ht="24" customHeight="1">
      <c r="A27" s="131"/>
      <c r="B27" s="36" t="s">
        <v>188</v>
      </c>
      <c r="C27" s="16"/>
      <c r="D27" s="60">
        <v>8</v>
      </c>
      <c r="E27" s="17"/>
      <c r="F27" s="25">
        <v>1</v>
      </c>
      <c r="G27" s="32"/>
      <c r="H27" s="35">
        <v>8000</v>
      </c>
      <c r="I27" s="57">
        <f>D27*F27*H27</f>
        <v>64000</v>
      </c>
      <c r="J27" s="21"/>
      <c r="K27" s="22">
        <f t="shared" si="0"/>
        <v>64000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7100</v>
      </c>
      <c r="J28" s="21">
        <v>4400</v>
      </c>
      <c r="K28" s="22">
        <f t="shared" si="0"/>
        <v>11500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80000</v>
      </c>
      <c r="J29" s="22"/>
      <c r="K29" s="22">
        <f t="shared" si="0"/>
        <v>80000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60000</v>
      </c>
      <c r="J30" s="22"/>
      <c r="K30" s="22">
        <f t="shared" si="0"/>
        <v>60000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7006000</v>
      </c>
      <c r="L31" s="33"/>
    </row>
    <row r="32" spans="1:14" s="13" customFormat="1" ht="18" customHeight="1">
      <c r="A32" s="14">
        <v>23</v>
      </c>
      <c r="B32" s="15" t="s">
        <v>264</v>
      </c>
      <c r="C32" s="16"/>
      <c r="D32" s="16">
        <v>2</v>
      </c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110000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110000</v>
      </c>
      <c r="J37" s="44">
        <v>1</v>
      </c>
      <c r="K37" s="43">
        <f>J37*I37</f>
        <v>110000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31260</v>
      </c>
      <c r="G39" s="133"/>
      <c r="H39" s="39"/>
      <c r="I39" s="41">
        <f>K31</f>
        <v>7006000</v>
      </c>
      <c r="J39" s="48">
        <f>원가!B15</f>
        <v>1</v>
      </c>
      <c r="K39" s="43">
        <f>J39*I39</f>
        <v>7006000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7116000</v>
      </c>
      <c r="G40" s="133"/>
      <c r="H40" s="39" t="s">
        <v>502</v>
      </c>
      <c r="I40" s="48">
        <f>원가!B2</f>
        <v>1</v>
      </c>
      <c r="J40" s="48"/>
      <c r="K40" s="41">
        <f>SUM(K37:K39)/I40</f>
        <v>7116000</v>
      </c>
      <c r="L40" s="49">
        <v>31260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N47"/>
  <sheetViews>
    <sheetView workbookViewId="0">
      <selection activeCell="H11" sqref="H11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263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7"/>
      <c r="F6" s="18">
        <v>810</v>
      </c>
      <c r="G6" s="19"/>
      <c r="H6" s="20">
        <f>원가!C4</f>
        <v>2600</v>
      </c>
      <c r="I6" s="21">
        <f>D6*F6*H6</f>
        <v>2106000</v>
      </c>
      <c r="J6" s="21">
        <v>600000</v>
      </c>
      <c r="K6" s="22">
        <f t="shared" ref="K6:K30" si="0">I6+J6</f>
        <v>2706000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7"/>
      <c r="F7" s="18">
        <v>361</v>
      </c>
      <c r="G7" s="19"/>
      <c r="H7" s="20">
        <f>원가!C5</f>
        <v>2600</v>
      </c>
      <c r="I7" s="21">
        <f>D7*F7*H7</f>
        <v>938600</v>
      </c>
      <c r="J7" s="21">
        <v>300000</v>
      </c>
      <c r="K7" s="22">
        <f t="shared" si="0"/>
        <v>1238600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7"/>
      <c r="F8" s="25">
        <v>1</v>
      </c>
      <c r="G8" s="19"/>
      <c r="H8" s="20"/>
      <c r="I8" s="21">
        <v>26000</v>
      </c>
      <c r="J8" s="21">
        <v>10000</v>
      </c>
      <c r="K8" s="22">
        <f t="shared" si="0"/>
        <v>36000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7"/>
      <c r="F9" s="19">
        <v>109</v>
      </c>
      <c r="G9" s="19"/>
      <c r="H9" s="20">
        <f>원가!C6</f>
        <v>8500</v>
      </c>
      <c r="I9" s="21">
        <f t="shared" ref="I9:I18" si="1">D9*F9*H9</f>
        <v>926500</v>
      </c>
      <c r="J9" s="21">
        <v>165000</v>
      </c>
      <c r="K9" s="22">
        <f t="shared" si="0"/>
        <v>1091500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7"/>
      <c r="F10" s="19">
        <v>55</v>
      </c>
      <c r="G10" s="19"/>
      <c r="H10" s="20">
        <v>20000</v>
      </c>
      <c r="I10" s="21">
        <f t="shared" si="1"/>
        <v>1100000</v>
      </c>
      <c r="J10" s="21">
        <v>90000</v>
      </c>
      <c r="K10" s="22">
        <f t="shared" si="0"/>
        <v>1190000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9">
        <v>55</v>
      </c>
      <c r="G11" s="29"/>
      <c r="H11" s="20">
        <f>원가!C8</f>
        <v>8500</v>
      </c>
      <c r="I11" s="21">
        <f t="shared" si="1"/>
        <v>467500</v>
      </c>
      <c r="J11" s="21">
        <v>90000</v>
      </c>
      <c r="K11" s="22">
        <f t="shared" si="0"/>
        <v>557500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7"/>
      <c r="F12" s="19">
        <v>7</v>
      </c>
      <c r="G12" s="19"/>
      <c r="H12" s="20">
        <f>원가!C9</f>
        <v>12500</v>
      </c>
      <c r="I12" s="21">
        <f t="shared" si="1"/>
        <v>87500</v>
      </c>
      <c r="J12" s="21">
        <v>28000</v>
      </c>
      <c r="K12" s="22">
        <f t="shared" si="0"/>
        <v>115500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7"/>
      <c r="F13" s="19">
        <v>7</v>
      </c>
      <c r="G13" s="19"/>
      <c r="H13" s="20">
        <f>원가!C10</f>
        <v>12500</v>
      </c>
      <c r="I13" s="21">
        <f t="shared" si="1"/>
        <v>87500</v>
      </c>
      <c r="J13" s="21">
        <v>28000</v>
      </c>
      <c r="K13" s="22">
        <f t="shared" si="0"/>
        <v>115500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27">
        <v>3</v>
      </c>
      <c r="E15" s="28"/>
      <c r="F15" s="25">
        <v>1</v>
      </c>
      <c r="G15" s="29"/>
      <c r="H15" s="30">
        <v>3150</v>
      </c>
      <c r="I15" s="21">
        <f t="shared" si="1"/>
        <v>9450</v>
      </c>
      <c r="J15" s="31">
        <v>9000</v>
      </c>
      <c r="K15" s="22">
        <f t="shared" si="0"/>
        <v>18450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7"/>
      <c r="F16" s="19">
        <v>14.4</v>
      </c>
      <c r="G16" s="19"/>
      <c r="H16" s="20">
        <f>원가!C11</f>
        <v>2600</v>
      </c>
      <c r="I16" s="21">
        <f t="shared" si="1"/>
        <v>37440</v>
      </c>
      <c r="J16" s="21">
        <v>12000</v>
      </c>
      <c r="K16" s="22">
        <f t="shared" si="0"/>
        <v>49440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8"/>
      <c r="F18" s="19">
        <v>10.8</v>
      </c>
      <c r="G18" s="19"/>
      <c r="H18" s="20">
        <f>원가!C12</f>
        <v>2600</v>
      </c>
      <c r="I18" s="21">
        <f t="shared" si="1"/>
        <v>28080.000000000004</v>
      </c>
      <c r="J18" s="21">
        <v>11000</v>
      </c>
      <c r="K18" s="22">
        <f t="shared" si="0"/>
        <v>39080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8"/>
      <c r="F19" s="19">
        <v>3</v>
      </c>
      <c r="G19" s="19"/>
      <c r="H19" s="20">
        <v>12000</v>
      </c>
      <c r="I19" s="21">
        <f>H19*F19</f>
        <v>36000</v>
      </c>
      <c r="J19" s="21">
        <v>6500</v>
      </c>
      <c r="K19" s="22">
        <f t="shared" si="0"/>
        <v>42500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8"/>
      <c r="F20" s="32">
        <v>1.3</v>
      </c>
      <c r="G20" s="32"/>
      <c r="H20" s="20"/>
      <c r="I20" s="21">
        <v>3500</v>
      </c>
      <c r="J20" s="21">
        <v>4500</v>
      </c>
      <c r="K20" s="22">
        <f t="shared" si="0"/>
        <v>8000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28</v>
      </c>
      <c r="E21" s="28"/>
      <c r="F21" s="25">
        <v>1</v>
      </c>
      <c r="G21" s="32"/>
      <c r="H21" s="20">
        <v>130</v>
      </c>
      <c r="I21" s="21">
        <f>D21*F21*H21</f>
        <v>3640</v>
      </c>
      <c r="J21" s="21"/>
      <c r="K21" s="22">
        <f t="shared" si="0"/>
        <v>3640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8"/>
      <c r="F22" s="25">
        <v>1</v>
      </c>
      <c r="G22" s="32"/>
      <c r="H22" s="20">
        <v>4000</v>
      </c>
      <c r="I22" s="21">
        <f>D22*F22*H22</f>
        <v>24000</v>
      </c>
      <c r="J22" s="21"/>
      <c r="K22" s="22">
        <f t="shared" si="0"/>
        <v>24000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8"/>
      <c r="F23" s="32">
        <v>42</v>
      </c>
      <c r="G23" s="32"/>
      <c r="H23" s="20">
        <f>원가!C13</f>
        <v>2600</v>
      </c>
      <c r="I23" s="21">
        <f>D23*F23*H23</f>
        <v>109200</v>
      </c>
      <c r="J23" s="21">
        <v>30000</v>
      </c>
      <c r="K23" s="22">
        <f t="shared" si="0"/>
        <v>139200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4</v>
      </c>
      <c r="E24" s="17"/>
      <c r="F24" s="25">
        <v>1</v>
      </c>
      <c r="G24" s="32"/>
      <c r="H24" s="20">
        <v>8000</v>
      </c>
      <c r="I24" s="21">
        <f>D24*F24*H24</f>
        <v>32000</v>
      </c>
      <c r="J24" s="21"/>
      <c r="K24" s="22">
        <f t="shared" si="0"/>
        <v>32000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7"/>
      <c r="F25" s="25">
        <v>1</v>
      </c>
      <c r="G25" s="32"/>
      <c r="H25" s="35">
        <v>1060</v>
      </c>
      <c r="I25" s="21">
        <f>D25*F25*H25</f>
        <v>1060</v>
      </c>
      <c r="J25" s="21">
        <v>1000</v>
      </c>
      <c r="K25" s="22">
        <f t="shared" si="0"/>
        <v>2060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7"/>
      <c r="F26" s="32">
        <v>78</v>
      </c>
      <c r="G26" s="32"/>
      <c r="H26" s="35"/>
      <c r="I26" s="21">
        <v>662245</v>
      </c>
      <c r="J26" s="113" t="s">
        <v>511</v>
      </c>
      <c r="K26" s="95">
        <f>IF(C26="PIYAKE",L26,IF(C26="10 BAR",M26,IF(C26="20 BAR",N26)))</f>
        <v>748000</v>
      </c>
      <c r="L26" s="33"/>
      <c r="M26" s="33">
        <v>748000</v>
      </c>
      <c r="N26" s="33">
        <v>1301000</v>
      </c>
    </row>
    <row r="27" spans="1:14" s="13" customFormat="1" ht="24" customHeight="1">
      <c r="A27" s="131"/>
      <c r="B27" s="36" t="s">
        <v>188</v>
      </c>
      <c r="C27" s="16"/>
      <c r="D27" s="60">
        <v>8</v>
      </c>
      <c r="E27" s="17"/>
      <c r="F27" s="25">
        <v>1</v>
      </c>
      <c r="G27" s="32"/>
      <c r="H27" s="35">
        <v>9000</v>
      </c>
      <c r="I27" s="57">
        <f>D27*F27*H27</f>
        <v>72000</v>
      </c>
      <c r="J27" s="21"/>
      <c r="K27" s="22">
        <f t="shared" si="0"/>
        <v>72000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7"/>
      <c r="F28" s="25">
        <v>1</v>
      </c>
      <c r="G28" s="32"/>
      <c r="H28" s="17"/>
      <c r="I28" s="21">
        <v>7100</v>
      </c>
      <c r="J28" s="21">
        <v>4400</v>
      </c>
      <c r="K28" s="22">
        <f t="shared" si="0"/>
        <v>11500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7"/>
      <c r="F29" s="25">
        <v>1</v>
      </c>
      <c r="G29" s="32"/>
      <c r="H29" s="17"/>
      <c r="I29" s="22">
        <v>90000</v>
      </c>
      <c r="J29" s="22"/>
      <c r="K29" s="22">
        <f t="shared" si="0"/>
        <v>90000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7"/>
      <c r="F30" s="25">
        <v>1</v>
      </c>
      <c r="G30" s="32"/>
      <c r="H30" s="17"/>
      <c r="I30" s="22">
        <v>80000</v>
      </c>
      <c r="J30" s="22"/>
      <c r="K30" s="22">
        <f t="shared" si="0"/>
        <v>80000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8422270</v>
      </c>
      <c r="L31" s="33"/>
    </row>
    <row r="32" spans="1:14" s="13" customFormat="1" ht="18" customHeight="1">
      <c r="A32" s="14">
        <v>23</v>
      </c>
      <c r="B32" s="15" t="s">
        <v>264</v>
      </c>
      <c r="C32" s="16"/>
      <c r="D32" s="16">
        <v>2</v>
      </c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120000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120000</v>
      </c>
      <c r="J37" s="44">
        <v>1</v>
      </c>
      <c r="K37" s="43">
        <f>J37*I37</f>
        <v>120000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31260</v>
      </c>
      <c r="G39" s="133"/>
      <c r="H39" s="39"/>
      <c r="I39" s="41">
        <f>K31</f>
        <v>8422270</v>
      </c>
      <c r="J39" s="48">
        <f>원가!B15</f>
        <v>1</v>
      </c>
      <c r="K39" s="43">
        <f>J39*I39</f>
        <v>8422270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8542270</v>
      </c>
      <c r="G40" s="133"/>
      <c r="H40" s="39" t="s">
        <v>502</v>
      </c>
      <c r="I40" s="48">
        <f>원가!B2</f>
        <v>1</v>
      </c>
      <c r="J40" s="48"/>
      <c r="K40" s="41">
        <f>SUM(K37:K39)/I40</f>
        <v>8542270</v>
      </c>
      <c r="L40" s="49">
        <v>31260</v>
      </c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workbookViewId="0">
      <selection activeCell="M26" sqref="M26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" customWidth="1"/>
    <col min="13" max="14" width="12.42578125" bestFit="1" customWidth="1"/>
  </cols>
  <sheetData>
    <row r="1" spans="1:13" s="4" customFormat="1" ht="20.25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482</v>
      </c>
      <c r="B3" s="6"/>
      <c r="C3" s="6" t="s">
        <v>322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323</v>
      </c>
      <c r="B5" s="9" t="s">
        <v>324</v>
      </c>
      <c r="C5" s="9" t="s">
        <v>325</v>
      </c>
      <c r="D5" s="10" t="s">
        <v>326</v>
      </c>
      <c r="E5" s="9" t="s">
        <v>327</v>
      </c>
      <c r="F5" s="9" t="s">
        <v>328</v>
      </c>
      <c r="G5" s="9" t="s">
        <v>329</v>
      </c>
      <c r="H5" s="9" t="s">
        <v>330</v>
      </c>
      <c r="I5" s="9" t="s">
        <v>331</v>
      </c>
      <c r="J5" s="9" t="s">
        <v>332</v>
      </c>
      <c r="K5" s="9" t="s">
        <v>333</v>
      </c>
      <c r="L5" s="11"/>
      <c r="M5" s="12"/>
    </row>
    <row r="6" spans="1:13" s="13" customFormat="1" ht="18" customHeight="1">
      <c r="A6" s="14">
        <v>1</v>
      </c>
      <c r="B6" s="15" t="s">
        <v>334</v>
      </c>
      <c r="C6" s="16" t="str">
        <f>원가!B4</f>
        <v>WCB</v>
      </c>
      <c r="D6" s="16">
        <v>1</v>
      </c>
      <c r="E6" s="17"/>
      <c r="F6" s="18">
        <v>900</v>
      </c>
      <c r="G6" s="19"/>
      <c r="H6" s="20">
        <f>원가!C4</f>
        <v>2600</v>
      </c>
      <c r="I6" s="21">
        <f>D6*F6*H6</f>
        <v>2340000</v>
      </c>
      <c r="J6" s="21">
        <v>460000</v>
      </c>
      <c r="K6" s="22">
        <f t="shared" ref="K6:K30" si="0">I6+J6</f>
        <v>2800000</v>
      </c>
      <c r="L6" s="23"/>
      <c r="M6" s="24"/>
    </row>
    <row r="7" spans="1:13" s="13" customFormat="1" ht="18" customHeight="1">
      <c r="A7" s="14">
        <v>2</v>
      </c>
      <c r="B7" s="15" t="s">
        <v>336</v>
      </c>
      <c r="C7" s="16" t="str">
        <f>원가!B5</f>
        <v>WCB</v>
      </c>
      <c r="D7" s="16">
        <v>1</v>
      </c>
      <c r="E7" s="17"/>
      <c r="F7" s="18">
        <v>380</v>
      </c>
      <c r="G7" s="19"/>
      <c r="H7" s="20">
        <f>원가!C5</f>
        <v>2600</v>
      </c>
      <c r="I7" s="21">
        <f>D7*F7*H7</f>
        <v>988000</v>
      </c>
      <c r="J7" s="21">
        <v>380000</v>
      </c>
      <c r="K7" s="22">
        <f t="shared" si="0"/>
        <v>1368000</v>
      </c>
      <c r="L7" s="23"/>
      <c r="M7" s="24"/>
    </row>
    <row r="8" spans="1:13" s="13" customFormat="1" ht="18" customHeight="1">
      <c r="A8" s="14">
        <v>3</v>
      </c>
      <c r="B8" s="15" t="s">
        <v>337</v>
      </c>
      <c r="C8" s="16" t="s">
        <v>338</v>
      </c>
      <c r="D8" s="16">
        <v>1</v>
      </c>
      <c r="E8" s="17"/>
      <c r="F8" s="25">
        <v>1</v>
      </c>
      <c r="G8" s="19"/>
      <c r="H8" s="20"/>
      <c r="I8" s="21">
        <v>30000</v>
      </c>
      <c r="J8" s="21">
        <v>10000</v>
      </c>
      <c r="K8" s="22">
        <f t="shared" si="0"/>
        <v>40000</v>
      </c>
      <c r="L8" s="23"/>
      <c r="M8" s="24"/>
    </row>
    <row r="9" spans="1:13" s="13" customFormat="1" ht="18" customHeight="1">
      <c r="A9" s="14">
        <v>4</v>
      </c>
      <c r="B9" s="15" t="s">
        <v>339</v>
      </c>
      <c r="C9" s="16" t="str">
        <f>원가!B6</f>
        <v>A276T316L</v>
      </c>
      <c r="D9" s="16">
        <v>1</v>
      </c>
      <c r="E9" s="17"/>
      <c r="F9" s="19">
        <v>127</v>
      </c>
      <c r="G9" s="19"/>
      <c r="H9" s="20">
        <f>원가!C6</f>
        <v>8500</v>
      </c>
      <c r="I9" s="21">
        <f t="shared" ref="I9:I19" si="1">D9*F9*H9</f>
        <v>1079500</v>
      </c>
      <c r="J9" s="21">
        <v>180000</v>
      </c>
      <c r="K9" s="22">
        <f t="shared" si="0"/>
        <v>1259500</v>
      </c>
      <c r="L9" s="23"/>
      <c r="M9" s="24"/>
    </row>
    <row r="10" spans="1:13" s="13" customFormat="1" ht="18" customHeight="1">
      <c r="A10" s="131">
        <v>5</v>
      </c>
      <c r="B10" s="15" t="s">
        <v>340</v>
      </c>
      <c r="C10" s="16" t="str">
        <f>원가!B7</f>
        <v>316L</v>
      </c>
      <c r="D10" s="16">
        <v>1</v>
      </c>
      <c r="E10" s="17"/>
      <c r="F10" s="19">
        <v>49.6</v>
      </c>
      <c r="G10" s="19"/>
      <c r="H10" s="20">
        <f>원가!C7</f>
        <v>8500</v>
      </c>
      <c r="I10" s="21">
        <f t="shared" si="1"/>
        <v>421600</v>
      </c>
      <c r="J10" s="21">
        <v>100000</v>
      </c>
      <c r="K10" s="22">
        <f t="shared" si="0"/>
        <v>521600</v>
      </c>
      <c r="L10" s="23"/>
      <c r="M10" s="24"/>
    </row>
    <row r="11" spans="1:13" s="13" customFormat="1" ht="18" customHeight="1">
      <c r="A11" s="131"/>
      <c r="B11" s="15" t="s">
        <v>342</v>
      </c>
      <c r="C11" s="16" t="str">
        <f>원가!B8</f>
        <v>316L</v>
      </c>
      <c r="D11" s="16">
        <v>1</v>
      </c>
      <c r="E11" s="28"/>
      <c r="F11" s="19">
        <v>56</v>
      </c>
      <c r="G11" s="29"/>
      <c r="H11" s="20">
        <f>원가!C8</f>
        <v>8500</v>
      </c>
      <c r="I11" s="21">
        <f t="shared" si="1"/>
        <v>476000</v>
      </c>
      <c r="J11" s="21">
        <v>100000</v>
      </c>
      <c r="K11" s="22">
        <f t="shared" si="0"/>
        <v>576000</v>
      </c>
      <c r="L11" s="23"/>
      <c r="M11" s="24"/>
    </row>
    <row r="12" spans="1:13" s="13" customFormat="1" ht="18" customHeight="1">
      <c r="A12" s="131">
        <v>6</v>
      </c>
      <c r="B12" s="15" t="s">
        <v>343</v>
      </c>
      <c r="C12" s="16" t="str">
        <f>원가!B9</f>
        <v>B148</v>
      </c>
      <c r="D12" s="16">
        <v>1</v>
      </c>
      <c r="E12" s="17"/>
      <c r="F12" s="19">
        <v>7.5</v>
      </c>
      <c r="G12" s="19"/>
      <c r="H12" s="20">
        <f>원가!C9</f>
        <v>12500</v>
      </c>
      <c r="I12" s="21">
        <f t="shared" si="1"/>
        <v>93750</v>
      </c>
      <c r="J12" s="21">
        <v>15000</v>
      </c>
      <c r="K12" s="22">
        <f t="shared" si="0"/>
        <v>108750</v>
      </c>
      <c r="L12" s="23"/>
      <c r="M12" s="24"/>
    </row>
    <row r="13" spans="1:13" s="13" customFormat="1" ht="18" customHeight="1">
      <c r="A13" s="131"/>
      <c r="B13" s="26" t="s">
        <v>344</v>
      </c>
      <c r="C13" s="16" t="str">
        <f>원가!B10</f>
        <v>B148</v>
      </c>
      <c r="D13" s="16">
        <v>1</v>
      </c>
      <c r="E13" s="17"/>
      <c r="F13" s="19">
        <v>7.5</v>
      </c>
      <c r="G13" s="19"/>
      <c r="H13" s="20">
        <f>원가!C10</f>
        <v>12500</v>
      </c>
      <c r="I13" s="21">
        <f t="shared" si="1"/>
        <v>93750</v>
      </c>
      <c r="J13" s="21">
        <v>15000</v>
      </c>
      <c r="K13" s="22">
        <f t="shared" si="0"/>
        <v>108750</v>
      </c>
      <c r="L13" s="23"/>
      <c r="M13" s="24"/>
    </row>
    <row r="14" spans="1:13" s="13" customFormat="1" ht="18" customHeight="1">
      <c r="A14" s="131">
        <v>7</v>
      </c>
      <c r="B14" s="26" t="s">
        <v>345</v>
      </c>
      <c r="C14" s="27" t="s">
        <v>338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346</v>
      </c>
      <c r="C15" s="27" t="s">
        <v>335</v>
      </c>
      <c r="D15" s="27">
        <v>3</v>
      </c>
      <c r="E15" s="28"/>
      <c r="F15" s="19">
        <v>1.7</v>
      </c>
      <c r="G15" s="29"/>
      <c r="H15" s="30">
        <v>3150</v>
      </c>
      <c r="I15" s="21">
        <f t="shared" si="1"/>
        <v>16064.999999999998</v>
      </c>
      <c r="J15" s="31">
        <v>9000</v>
      </c>
      <c r="K15" s="22">
        <f t="shared" si="0"/>
        <v>25065</v>
      </c>
      <c r="L15" s="23"/>
      <c r="M15" s="24"/>
    </row>
    <row r="16" spans="1:13" s="13" customFormat="1" ht="18" customHeight="1">
      <c r="A16" s="14">
        <v>8</v>
      </c>
      <c r="B16" s="26" t="s">
        <v>347</v>
      </c>
      <c r="C16" s="16" t="str">
        <f>원가!B11</f>
        <v>WCB</v>
      </c>
      <c r="D16" s="16">
        <v>1</v>
      </c>
      <c r="E16" s="17"/>
      <c r="F16" s="19">
        <v>12</v>
      </c>
      <c r="G16" s="19"/>
      <c r="H16" s="20">
        <f>원가!C11</f>
        <v>2600</v>
      </c>
      <c r="I16" s="21">
        <f t="shared" si="1"/>
        <v>31200</v>
      </c>
      <c r="J16" s="21">
        <v>13000</v>
      </c>
      <c r="K16" s="22">
        <f t="shared" si="0"/>
        <v>44200</v>
      </c>
      <c r="L16" s="23"/>
      <c r="M16" s="24"/>
    </row>
    <row r="17" spans="1:14" s="13" customFormat="1" ht="18" customHeight="1">
      <c r="A17" s="14">
        <v>9</v>
      </c>
      <c r="B17" s="26" t="s">
        <v>348</v>
      </c>
      <c r="C17" s="27" t="s">
        <v>349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350</v>
      </c>
      <c r="C18" s="16" t="str">
        <f>원가!B12</f>
        <v>WCB</v>
      </c>
      <c r="D18" s="27">
        <v>1</v>
      </c>
      <c r="E18" s="28"/>
      <c r="F18" s="19">
        <v>11</v>
      </c>
      <c r="G18" s="19"/>
      <c r="H18" s="20">
        <f>원가!C12</f>
        <v>2600</v>
      </c>
      <c r="I18" s="21">
        <f t="shared" si="1"/>
        <v>28600</v>
      </c>
      <c r="J18" s="21">
        <v>12000</v>
      </c>
      <c r="K18" s="22">
        <f t="shared" si="0"/>
        <v>40600</v>
      </c>
      <c r="L18" s="23"/>
      <c r="M18" s="24"/>
    </row>
    <row r="19" spans="1:14" s="13" customFormat="1" ht="18" customHeight="1">
      <c r="A19" s="14">
        <v>11</v>
      </c>
      <c r="B19" s="26" t="s">
        <v>351</v>
      </c>
      <c r="C19" s="16" t="s">
        <v>335</v>
      </c>
      <c r="D19" s="27">
        <v>1</v>
      </c>
      <c r="E19" s="28"/>
      <c r="F19" s="19">
        <v>3.3</v>
      </c>
      <c r="G19" s="19"/>
      <c r="H19" s="20">
        <v>8000</v>
      </c>
      <c r="I19" s="21">
        <f t="shared" si="1"/>
        <v>26400</v>
      </c>
      <c r="J19" s="21"/>
      <c r="K19" s="22">
        <f t="shared" si="0"/>
        <v>26400</v>
      </c>
      <c r="L19" s="23"/>
      <c r="M19" s="24"/>
    </row>
    <row r="20" spans="1:14" s="13" customFormat="1" ht="18" customHeight="1">
      <c r="A20" s="14">
        <v>12</v>
      </c>
      <c r="B20" s="26" t="s">
        <v>352</v>
      </c>
      <c r="C20" s="27" t="s">
        <v>341</v>
      </c>
      <c r="D20" s="27">
        <v>3</v>
      </c>
      <c r="E20" s="28"/>
      <c r="F20" s="32">
        <v>1.45</v>
      </c>
      <c r="G20" s="32"/>
      <c r="H20" s="20"/>
      <c r="I20" s="21">
        <v>3500</v>
      </c>
      <c r="J20" s="21">
        <v>4500</v>
      </c>
      <c r="K20" s="22">
        <f t="shared" si="0"/>
        <v>8000</v>
      </c>
      <c r="L20" s="33"/>
    </row>
    <row r="21" spans="1:14" s="13" customFormat="1" ht="18" customHeight="1">
      <c r="A21" s="14">
        <v>13</v>
      </c>
      <c r="B21" s="26" t="s">
        <v>353</v>
      </c>
      <c r="C21" s="27" t="s">
        <v>349</v>
      </c>
      <c r="D21" s="60">
        <v>28</v>
      </c>
      <c r="E21" s="28"/>
      <c r="F21" s="25">
        <v>1</v>
      </c>
      <c r="G21" s="32"/>
      <c r="H21" s="20">
        <v>130</v>
      </c>
      <c r="I21" s="21">
        <f>D21*F21*H21</f>
        <v>3640</v>
      </c>
      <c r="J21" s="21"/>
      <c r="K21" s="22">
        <f t="shared" si="0"/>
        <v>3640</v>
      </c>
      <c r="L21" s="33"/>
    </row>
    <row r="22" spans="1:14" s="13" customFormat="1" ht="24" customHeight="1">
      <c r="A22" s="14">
        <v>14</v>
      </c>
      <c r="B22" s="34" t="s">
        <v>354</v>
      </c>
      <c r="C22" s="27" t="s">
        <v>349</v>
      </c>
      <c r="D22" s="27">
        <v>6</v>
      </c>
      <c r="E22" s="28"/>
      <c r="F22" s="25">
        <v>1</v>
      </c>
      <c r="G22" s="32"/>
      <c r="H22" s="20">
        <v>4000</v>
      </c>
      <c r="I22" s="21">
        <f>D22*F22*H22</f>
        <v>24000</v>
      </c>
      <c r="J22" s="21"/>
      <c r="K22" s="22">
        <f t="shared" si="0"/>
        <v>24000</v>
      </c>
      <c r="L22" s="33"/>
    </row>
    <row r="23" spans="1:14" s="13" customFormat="1" ht="18" customHeight="1">
      <c r="A23" s="14">
        <v>15</v>
      </c>
      <c r="B23" s="26" t="s">
        <v>355</v>
      </c>
      <c r="C23" s="27" t="str">
        <f>원가!B13</f>
        <v>WCB</v>
      </c>
      <c r="D23" s="27">
        <v>1</v>
      </c>
      <c r="E23" s="28"/>
      <c r="F23" s="32">
        <v>52</v>
      </c>
      <c r="G23" s="32"/>
      <c r="H23" s="20">
        <f>원가!C13</f>
        <v>2600</v>
      </c>
      <c r="I23" s="21">
        <f>D23*F23*H23</f>
        <v>135200</v>
      </c>
      <c r="J23" s="21">
        <v>30000</v>
      </c>
      <c r="K23" s="22">
        <f t="shared" si="0"/>
        <v>165200</v>
      </c>
      <c r="L23" s="33"/>
    </row>
    <row r="24" spans="1:14" s="13" customFormat="1" ht="18" customHeight="1">
      <c r="A24" s="14">
        <v>16</v>
      </c>
      <c r="B24" s="15" t="s">
        <v>356</v>
      </c>
      <c r="C24" s="16" t="s">
        <v>349</v>
      </c>
      <c r="D24" s="16">
        <v>4</v>
      </c>
      <c r="E24" s="17"/>
      <c r="F24" s="25">
        <v>1</v>
      </c>
      <c r="G24" s="32"/>
      <c r="H24" s="20">
        <v>9000</v>
      </c>
      <c r="I24" s="21">
        <f>D24*F24*H24</f>
        <v>36000</v>
      </c>
      <c r="J24" s="21"/>
      <c r="K24" s="22">
        <f t="shared" si="0"/>
        <v>36000</v>
      </c>
      <c r="L24" s="33"/>
    </row>
    <row r="25" spans="1:14" s="13" customFormat="1" ht="18" customHeight="1">
      <c r="A25" s="14">
        <v>17</v>
      </c>
      <c r="B25" s="15" t="s">
        <v>357</v>
      </c>
      <c r="C25" s="16" t="s">
        <v>338</v>
      </c>
      <c r="D25" s="16">
        <v>1</v>
      </c>
      <c r="E25" s="17"/>
      <c r="F25" s="25">
        <v>1</v>
      </c>
      <c r="G25" s="32"/>
      <c r="H25" s="35">
        <v>1080</v>
      </c>
      <c r="I25" s="21">
        <f>D25*F25*H25</f>
        <v>1080</v>
      </c>
      <c r="J25" s="21">
        <v>1000</v>
      </c>
      <c r="K25" s="22">
        <f t="shared" si="0"/>
        <v>2080</v>
      </c>
      <c r="L25" s="33"/>
    </row>
    <row r="26" spans="1:14" s="13" customFormat="1" ht="18" customHeight="1">
      <c r="A26" s="131">
        <v>18</v>
      </c>
      <c r="B26" s="15" t="s">
        <v>358</v>
      </c>
      <c r="C26" s="16" t="str">
        <f>원가!B17</f>
        <v>10 BAR</v>
      </c>
      <c r="D26" s="16">
        <v>1</v>
      </c>
      <c r="E26" s="17"/>
      <c r="F26" s="32">
        <v>305</v>
      </c>
      <c r="G26" s="32"/>
      <c r="H26" s="35"/>
      <c r="I26" s="21">
        <v>662245</v>
      </c>
      <c r="J26" s="113" t="s">
        <v>511</v>
      </c>
      <c r="K26" s="95">
        <f>IF(C26="PIYAKE",L26,IF(C26="10 BAR",M26,IF(C26="20 BAR",N26)))</f>
        <v>1301000</v>
      </c>
      <c r="L26" s="33"/>
      <c r="M26" s="33">
        <v>1301000</v>
      </c>
      <c r="N26" s="33">
        <v>1823000</v>
      </c>
    </row>
    <row r="27" spans="1:14" s="13" customFormat="1" ht="24" customHeight="1">
      <c r="A27" s="131"/>
      <c r="B27" s="36" t="s">
        <v>359</v>
      </c>
      <c r="C27" s="16"/>
      <c r="D27" s="60">
        <v>8</v>
      </c>
      <c r="E27" s="17"/>
      <c r="F27" s="25">
        <v>1</v>
      </c>
      <c r="G27" s="32"/>
      <c r="H27" s="35">
        <v>9000</v>
      </c>
      <c r="I27" s="57">
        <f>D27*F27*H27</f>
        <v>72000</v>
      </c>
      <c r="J27" s="21"/>
      <c r="K27" s="22">
        <f t="shared" si="0"/>
        <v>72000</v>
      </c>
      <c r="L27" s="33"/>
    </row>
    <row r="28" spans="1:14" s="13" customFormat="1" ht="18" customHeight="1">
      <c r="A28" s="14">
        <v>19</v>
      </c>
      <c r="B28" s="15" t="s">
        <v>360</v>
      </c>
      <c r="C28" s="16" t="s">
        <v>361</v>
      </c>
      <c r="D28" s="16">
        <v>1</v>
      </c>
      <c r="E28" s="17"/>
      <c r="F28" s="25">
        <v>1</v>
      </c>
      <c r="G28" s="32"/>
      <c r="H28" s="17"/>
      <c r="I28" s="21">
        <v>7100</v>
      </c>
      <c r="J28" s="21">
        <v>4400</v>
      </c>
      <c r="K28" s="22">
        <f t="shared" si="0"/>
        <v>11500</v>
      </c>
      <c r="L28" s="33"/>
    </row>
    <row r="29" spans="1:14" s="13" customFormat="1" ht="18" customHeight="1">
      <c r="A29" s="14">
        <v>20</v>
      </c>
      <c r="B29" s="15" t="s">
        <v>362</v>
      </c>
      <c r="C29" s="16"/>
      <c r="D29" s="16">
        <v>1</v>
      </c>
      <c r="E29" s="17"/>
      <c r="F29" s="25">
        <v>1</v>
      </c>
      <c r="G29" s="32"/>
      <c r="H29" s="17"/>
      <c r="I29" s="22">
        <v>110000</v>
      </c>
      <c r="J29" s="22"/>
      <c r="K29" s="22">
        <f t="shared" si="0"/>
        <v>110000</v>
      </c>
      <c r="L29" s="33"/>
    </row>
    <row r="30" spans="1:14" s="13" customFormat="1" ht="18" customHeight="1">
      <c r="A30" s="14">
        <v>21</v>
      </c>
      <c r="B30" s="15" t="s">
        <v>363</v>
      </c>
      <c r="C30" s="16"/>
      <c r="D30" s="16">
        <v>1</v>
      </c>
      <c r="E30" s="17"/>
      <c r="F30" s="25">
        <v>1</v>
      </c>
      <c r="G30" s="32"/>
      <c r="H30" s="17"/>
      <c r="I30" s="22">
        <v>95000</v>
      </c>
      <c r="J30" s="22"/>
      <c r="K30" s="22">
        <f t="shared" si="0"/>
        <v>95000</v>
      </c>
      <c r="L30" s="33"/>
    </row>
    <row r="31" spans="1:14" s="13" customFormat="1" ht="18" customHeight="1">
      <c r="A31" s="14">
        <v>22</v>
      </c>
      <c r="B31" s="37" t="s">
        <v>364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8759085</v>
      </c>
      <c r="L31" s="33"/>
    </row>
    <row r="32" spans="1:14" s="13" customFormat="1" ht="18" customHeight="1">
      <c r="A32" s="14">
        <v>23</v>
      </c>
      <c r="B32" s="15" t="s">
        <v>365</v>
      </c>
      <c r="C32" s="16"/>
      <c r="D32" s="16"/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366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367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368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150000</v>
      </c>
      <c r="L35" s="33"/>
    </row>
    <row r="36" spans="1:13" s="13" customFormat="1" ht="18" customHeight="1">
      <c r="A36" s="14">
        <v>26</v>
      </c>
      <c r="B36" s="15" t="s">
        <v>369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370</v>
      </c>
      <c r="C37" s="38"/>
      <c r="D37" s="42"/>
      <c r="E37" s="39"/>
      <c r="F37" s="39"/>
      <c r="G37" s="39"/>
      <c r="H37" s="39"/>
      <c r="I37" s="43">
        <f>SUM(K32:K36)</f>
        <v>150000</v>
      </c>
      <c r="J37" s="44">
        <v>1</v>
      </c>
      <c r="K37" s="43">
        <f>J37*I37</f>
        <v>150000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371</v>
      </c>
      <c r="C39" s="38"/>
      <c r="D39" s="38"/>
      <c r="E39" s="47" t="s">
        <v>372</v>
      </c>
      <c r="F39" s="132">
        <f>L40</f>
        <v>42220</v>
      </c>
      <c r="G39" s="133"/>
      <c r="H39" s="39"/>
      <c r="I39" s="41">
        <f>K31</f>
        <v>8759085</v>
      </c>
      <c r="J39" s="48">
        <f>원가!B15</f>
        <v>1</v>
      </c>
      <c r="K39" s="43">
        <f>J39*I39</f>
        <v>8759085</v>
      </c>
      <c r="L39" s="49" t="s">
        <v>372</v>
      </c>
    </row>
    <row r="40" spans="1:13" s="50" customFormat="1" ht="18" customHeight="1">
      <c r="A40" s="14">
        <v>30</v>
      </c>
      <c r="B40" s="10" t="s">
        <v>373</v>
      </c>
      <c r="C40" s="38"/>
      <c r="D40" s="38"/>
      <c r="E40" s="47" t="s">
        <v>374</v>
      </c>
      <c r="F40" s="132">
        <f>K40</f>
        <v>8909085</v>
      </c>
      <c r="G40" s="133"/>
      <c r="H40" s="39" t="s">
        <v>502</v>
      </c>
      <c r="I40" s="48">
        <f>원가!B2</f>
        <v>1</v>
      </c>
      <c r="J40" s="48"/>
      <c r="K40" s="41">
        <f>SUM(K37:K39)/I40</f>
        <v>8909085</v>
      </c>
      <c r="L40" s="49">
        <v>42220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6"/>
  <dimension ref="A1:N47"/>
  <sheetViews>
    <sheetView topLeftCell="A13"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2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321</v>
      </c>
      <c r="B3" s="6"/>
      <c r="C3" s="6" t="s">
        <v>322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323</v>
      </c>
      <c r="B5" s="9" t="s">
        <v>324</v>
      </c>
      <c r="C5" s="9" t="s">
        <v>325</v>
      </c>
      <c r="D5" s="10" t="s">
        <v>326</v>
      </c>
      <c r="E5" s="9" t="s">
        <v>327</v>
      </c>
      <c r="F5" s="9" t="s">
        <v>328</v>
      </c>
      <c r="G5" s="9" t="s">
        <v>329</v>
      </c>
      <c r="H5" s="9" t="s">
        <v>330</v>
      </c>
      <c r="I5" s="9" t="s">
        <v>331</v>
      </c>
      <c r="J5" s="9" t="s">
        <v>332</v>
      </c>
      <c r="K5" s="9" t="s">
        <v>333</v>
      </c>
      <c r="L5" s="11"/>
      <c r="M5" s="12"/>
    </row>
    <row r="6" spans="1:13" s="13" customFormat="1" ht="18" customHeight="1">
      <c r="A6" s="14">
        <v>1</v>
      </c>
      <c r="B6" s="15" t="s">
        <v>334</v>
      </c>
      <c r="C6" s="16" t="str">
        <f>원가!B4</f>
        <v>WCB</v>
      </c>
      <c r="D6" s="16">
        <v>1</v>
      </c>
      <c r="E6" s="17"/>
      <c r="F6" s="18">
        <v>975</v>
      </c>
      <c r="G6" s="19"/>
      <c r="H6" s="20">
        <f>원가!C4</f>
        <v>2600</v>
      </c>
      <c r="I6" s="21">
        <f>D6*F6*H6</f>
        <v>2535000</v>
      </c>
      <c r="J6" s="21">
        <v>650000</v>
      </c>
      <c r="K6" s="22">
        <f t="shared" ref="K6:K30" si="0">I6+J6</f>
        <v>3185000</v>
      </c>
      <c r="L6" s="23"/>
      <c r="M6" s="24"/>
    </row>
    <row r="7" spans="1:13" s="13" customFormat="1" ht="18" customHeight="1">
      <c r="A7" s="14">
        <v>2</v>
      </c>
      <c r="B7" s="15" t="s">
        <v>336</v>
      </c>
      <c r="C7" s="16" t="str">
        <f>원가!B5</f>
        <v>WCB</v>
      </c>
      <c r="D7" s="16">
        <v>1</v>
      </c>
      <c r="E7" s="17"/>
      <c r="F7" s="18">
        <v>450</v>
      </c>
      <c r="G7" s="19"/>
      <c r="H7" s="20">
        <f>원가!C5</f>
        <v>2600</v>
      </c>
      <c r="I7" s="21">
        <f>D7*F7*H7</f>
        <v>1170000</v>
      </c>
      <c r="J7" s="21">
        <v>380000</v>
      </c>
      <c r="K7" s="22">
        <f t="shared" si="0"/>
        <v>1550000</v>
      </c>
      <c r="L7" s="23"/>
      <c r="M7" s="24"/>
    </row>
    <row r="8" spans="1:13" s="13" customFormat="1" ht="18" customHeight="1">
      <c r="A8" s="14">
        <v>3</v>
      </c>
      <c r="B8" s="15" t="s">
        <v>337</v>
      </c>
      <c r="C8" s="16" t="s">
        <v>338</v>
      </c>
      <c r="D8" s="16">
        <v>1</v>
      </c>
      <c r="E8" s="17"/>
      <c r="F8" s="25">
        <v>1</v>
      </c>
      <c r="G8" s="19"/>
      <c r="H8" s="20"/>
      <c r="I8" s="21">
        <v>30000</v>
      </c>
      <c r="J8" s="21">
        <v>10000</v>
      </c>
      <c r="K8" s="22">
        <f t="shared" si="0"/>
        <v>40000</v>
      </c>
      <c r="L8" s="23"/>
      <c r="M8" s="24"/>
    </row>
    <row r="9" spans="1:13" s="13" customFormat="1" ht="18" customHeight="1">
      <c r="A9" s="14">
        <v>4</v>
      </c>
      <c r="B9" s="15" t="s">
        <v>339</v>
      </c>
      <c r="C9" s="16" t="str">
        <f>원가!B6</f>
        <v>A276T316L</v>
      </c>
      <c r="D9" s="16">
        <v>1</v>
      </c>
      <c r="E9" s="17"/>
      <c r="F9" s="19">
        <v>145.19999999999999</v>
      </c>
      <c r="G9" s="19"/>
      <c r="H9" s="20">
        <f>원가!C6</f>
        <v>8500</v>
      </c>
      <c r="I9" s="21">
        <f t="shared" ref="I9:I19" si="1">D9*F9*H9</f>
        <v>1234200</v>
      </c>
      <c r="J9" s="21">
        <v>180000</v>
      </c>
      <c r="K9" s="22">
        <f t="shared" si="0"/>
        <v>1414200</v>
      </c>
      <c r="L9" s="23"/>
      <c r="M9" s="24"/>
    </row>
    <row r="10" spans="1:13" s="13" customFormat="1" ht="18" customHeight="1">
      <c r="A10" s="131">
        <v>5</v>
      </c>
      <c r="B10" s="15" t="s">
        <v>340</v>
      </c>
      <c r="C10" s="16" t="str">
        <f>원가!B7</f>
        <v>316L</v>
      </c>
      <c r="D10" s="16">
        <v>1</v>
      </c>
      <c r="E10" s="17"/>
      <c r="F10" s="19">
        <v>56</v>
      </c>
      <c r="G10" s="19"/>
      <c r="H10" s="20">
        <f>원가!C7</f>
        <v>8500</v>
      </c>
      <c r="I10" s="21">
        <f t="shared" si="1"/>
        <v>476000</v>
      </c>
      <c r="J10" s="21">
        <v>100000</v>
      </c>
      <c r="K10" s="22">
        <f t="shared" si="0"/>
        <v>576000</v>
      </c>
      <c r="L10" s="23"/>
      <c r="M10" s="24"/>
    </row>
    <row r="11" spans="1:13" s="13" customFormat="1" ht="18" customHeight="1">
      <c r="A11" s="131"/>
      <c r="B11" s="15" t="s">
        <v>342</v>
      </c>
      <c r="C11" s="16" t="str">
        <f>원가!B8</f>
        <v>316L</v>
      </c>
      <c r="D11" s="16">
        <v>1</v>
      </c>
      <c r="E11" s="28"/>
      <c r="F11" s="19">
        <v>56</v>
      </c>
      <c r="G11" s="29"/>
      <c r="H11" s="20">
        <f>원가!C8</f>
        <v>8500</v>
      </c>
      <c r="I11" s="21">
        <f t="shared" si="1"/>
        <v>476000</v>
      </c>
      <c r="J11" s="21">
        <v>100000</v>
      </c>
      <c r="K11" s="22">
        <f t="shared" si="0"/>
        <v>576000</v>
      </c>
      <c r="L11" s="23"/>
      <c r="M11" s="24"/>
    </row>
    <row r="12" spans="1:13" s="13" customFormat="1" ht="18" customHeight="1">
      <c r="A12" s="131">
        <v>6</v>
      </c>
      <c r="B12" s="15" t="s">
        <v>343</v>
      </c>
      <c r="C12" s="16" t="str">
        <f>원가!B9</f>
        <v>B148</v>
      </c>
      <c r="D12" s="16">
        <v>1</v>
      </c>
      <c r="E12" s="17"/>
      <c r="F12" s="19">
        <v>8.9</v>
      </c>
      <c r="G12" s="19"/>
      <c r="H12" s="20">
        <f>원가!C9</f>
        <v>12500</v>
      </c>
      <c r="I12" s="21">
        <f t="shared" si="1"/>
        <v>111250</v>
      </c>
      <c r="J12" s="21">
        <v>15000</v>
      </c>
      <c r="K12" s="22">
        <f t="shared" si="0"/>
        <v>126250</v>
      </c>
      <c r="L12" s="23"/>
      <c r="M12" s="24"/>
    </row>
    <row r="13" spans="1:13" s="13" customFormat="1" ht="18" customHeight="1">
      <c r="A13" s="131"/>
      <c r="B13" s="26" t="s">
        <v>344</v>
      </c>
      <c r="C13" s="16" t="str">
        <f>원가!B10</f>
        <v>B148</v>
      </c>
      <c r="D13" s="16">
        <v>1</v>
      </c>
      <c r="E13" s="17"/>
      <c r="F13" s="19">
        <v>8.9</v>
      </c>
      <c r="G13" s="19"/>
      <c r="H13" s="20">
        <f>원가!C10</f>
        <v>12500</v>
      </c>
      <c r="I13" s="21">
        <f t="shared" si="1"/>
        <v>111250</v>
      </c>
      <c r="J13" s="21">
        <v>15000</v>
      </c>
      <c r="K13" s="22">
        <f t="shared" si="0"/>
        <v>126250</v>
      </c>
      <c r="L13" s="23"/>
      <c r="M13" s="24"/>
    </row>
    <row r="14" spans="1:13" s="13" customFormat="1" ht="18" customHeight="1">
      <c r="A14" s="131">
        <v>7</v>
      </c>
      <c r="B14" s="26" t="s">
        <v>345</v>
      </c>
      <c r="C14" s="27" t="s">
        <v>338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346</v>
      </c>
      <c r="C15" s="27" t="s">
        <v>335</v>
      </c>
      <c r="D15" s="27">
        <v>3</v>
      </c>
      <c r="E15" s="28"/>
      <c r="F15" s="19">
        <v>1.7</v>
      </c>
      <c r="G15" s="29"/>
      <c r="H15" s="30">
        <v>3150</v>
      </c>
      <c r="I15" s="21">
        <f t="shared" si="1"/>
        <v>16064.999999999998</v>
      </c>
      <c r="J15" s="31">
        <v>9000</v>
      </c>
      <c r="K15" s="22">
        <f t="shared" si="0"/>
        <v>25065</v>
      </c>
      <c r="L15" s="23"/>
      <c r="M15" s="24"/>
    </row>
    <row r="16" spans="1:13" s="13" customFormat="1" ht="18" customHeight="1">
      <c r="A16" s="14">
        <v>8</v>
      </c>
      <c r="B16" s="26" t="s">
        <v>347</v>
      </c>
      <c r="C16" s="16" t="str">
        <f>원가!B11</f>
        <v>WCB</v>
      </c>
      <c r="D16" s="16">
        <v>1</v>
      </c>
      <c r="E16" s="17"/>
      <c r="F16" s="19">
        <v>13</v>
      </c>
      <c r="G16" s="19"/>
      <c r="H16" s="20">
        <f>원가!C11</f>
        <v>2600</v>
      </c>
      <c r="I16" s="21">
        <f t="shared" si="1"/>
        <v>33800</v>
      </c>
      <c r="J16" s="21">
        <v>13000</v>
      </c>
      <c r="K16" s="22">
        <f t="shared" si="0"/>
        <v>46800</v>
      </c>
      <c r="L16" s="23"/>
      <c r="M16" s="24"/>
    </row>
    <row r="17" spans="1:14" s="13" customFormat="1" ht="18" customHeight="1">
      <c r="A17" s="14">
        <v>9</v>
      </c>
      <c r="B17" s="26" t="s">
        <v>348</v>
      </c>
      <c r="C17" s="27" t="s">
        <v>349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350</v>
      </c>
      <c r="C18" s="16" t="str">
        <f>원가!B12</f>
        <v>WCB</v>
      </c>
      <c r="D18" s="27">
        <v>1</v>
      </c>
      <c r="E18" s="28"/>
      <c r="F18" s="19">
        <v>11</v>
      </c>
      <c r="G18" s="19"/>
      <c r="H18" s="20">
        <f>원가!C12</f>
        <v>2600</v>
      </c>
      <c r="I18" s="21">
        <f t="shared" si="1"/>
        <v>28600</v>
      </c>
      <c r="J18" s="21">
        <v>12000</v>
      </c>
      <c r="K18" s="22">
        <f t="shared" si="0"/>
        <v>40600</v>
      </c>
      <c r="L18" s="23"/>
      <c r="M18" s="24"/>
    </row>
    <row r="19" spans="1:14" s="13" customFormat="1" ht="18" customHeight="1">
      <c r="A19" s="14">
        <v>11</v>
      </c>
      <c r="B19" s="26" t="s">
        <v>351</v>
      </c>
      <c r="C19" s="16" t="s">
        <v>335</v>
      </c>
      <c r="D19" s="27">
        <v>1</v>
      </c>
      <c r="E19" s="28"/>
      <c r="F19" s="19">
        <v>3.86</v>
      </c>
      <c r="G19" s="19"/>
      <c r="H19" s="20">
        <v>8000</v>
      </c>
      <c r="I19" s="21">
        <f t="shared" si="1"/>
        <v>30880</v>
      </c>
      <c r="J19" s="21"/>
      <c r="K19" s="22">
        <f t="shared" si="0"/>
        <v>30880</v>
      </c>
      <c r="L19" s="23"/>
      <c r="M19" s="24"/>
    </row>
    <row r="20" spans="1:14" s="13" customFormat="1" ht="18" customHeight="1">
      <c r="A20" s="14">
        <v>12</v>
      </c>
      <c r="B20" s="26" t="s">
        <v>352</v>
      </c>
      <c r="C20" s="27" t="s">
        <v>341</v>
      </c>
      <c r="D20" s="27">
        <v>3</v>
      </c>
      <c r="E20" s="28"/>
      <c r="F20" s="32">
        <v>1.45</v>
      </c>
      <c r="G20" s="32"/>
      <c r="H20" s="20"/>
      <c r="I20" s="21">
        <v>3500</v>
      </c>
      <c r="J20" s="21">
        <v>4500</v>
      </c>
      <c r="K20" s="22">
        <f t="shared" si="0"/>
        <v>8000</v>
      </c>
      <c r="L20" s="33"/>
    </row>
    <row r="21" spans="1:14" s="13" customFormat="1" ht="18" customHeight="1">
      <c r="A21" s="14">
        <v>13</v>
      </c>
      <c r="B21" s="26" t="s">
        <v>353</v>
      </c>
      <c r="C21" s="27" t="s">
        <v>349</v>
      </c>
      <c r="D21" s="60">
        <v>28</v>
      </c>
      <c r="E21" s="28"/>
      <c r="F21" s="25">
        <v>1</v>
      </c>
      <c r="G21" s="32"/>
      <c r="H21" s="20">
        <v>130</v>
      </c>
      <c r="I21" s="21">
        <f>D21*F21*H21</f>
        <v>3640</v>
      </c>
      <c r="J21" s="21"/>
      <c r="K21" s="22">
        <f t="shared" si="0"/>
        <v>3640</v>
      </c>
      <c r="L21" s="33"/>
    </row>
    <row r="22" spans="1:14" s="13" customFormat="1" ht="24" customHeight="1">
      <c r="A22" s="14">
        <v>14</v>
      </c>
      <c r="B22" s="34" t="s">
        <v>354</v>
      </c>
      <c r="C22" s="27" t="s">
        <v>349</v>
      </c>
      <c r="D22" s="27">
        <v>6</v>
      </c>
      <c r="E22" s="28"/>
      <c r="F22" s="25">
        <v>1</v>
      </c>
      <c r="G22" s="32"/>
      <c r="H22" s="20">
        <v>5000</v>
      </c>
      <c r="I22" s="21">
        <f>D22*F22*H22</f>
        <v>30000</v>
      </c>
      <c r="J22" s="21"/>
      <c r="K22" s="22">
        <f t="shared" si="0"/>
        <v>30000</v>
      </c>
      <c r="L22" s="33"/>
    </row>
    <row r="23" spans="1:14" s="13" customFormat="1" ht="18" customHeight="1">
      <c r="A23" s="14">
        <v>15</v>
      </c>
      <c r="B23" s="26" t="s">
        <v>355</v>
      </c>
      <c r="C23" s="27" t="str">
        <f>원가!B13</f>
        <v>WCB</v>
      </c>
      <c r="D23" s="27">
        <v>1</v>
      </c>
      <c r="E23" s="28"/>
      <c r="F23" s="32">
        <v>60</v>
      </c>
      <c r="G23" s="32"/>
      <c r="H23" s="20">
        <f>원가!C13</f>
        <v>2600</v>
      </c>
      <c r="I23" s="21">
        <f>D23*F23*H23</f>
        <v>156000</v>
      </c>
      <c r="J23" s="21">
        <v>30000</v>
      </c>
      <c r="K23" s="22">
        <f t="shared" si="0"/>
        <v>186000</v>
      </c>
      <c r="L23" s="33"/>
    </row>
    <row r="24" spans="1:14" s="13" customFormat="1" ht="18" customHeight="1">
      <c r="A24" s="14">
        <v>16</v>
      </c>
      <c r="B24" s="15" t="s">
        <v>356</v>
      </c>
      <c r="C24" s="16" t="s">
        <v>349</v>
      </c>
      <c r="D24" s="16">
        <v>4</v>
      </c>
      <c r="E24" s="17"/>
      <c r="F24" s="25">
        <v>1</v>
      </c>
      <c r="G24" s="32"/>
      <c r="H24" s="20">
        <v>9000</v>
      </c>
      <c r="I24" s="21">
        <f>D24*F24*H24</f>
        <v>36000</v>
      </c>
      <c r="J24" s="21"/>
      <c r="K24" s="22">
        <f t="shared" si="0"/>
        <v>36000</v>
      </c>
      <c r="L24" s="33"/>
    </row>
    <row r="25" spans="1:14" s="13" customFormat="1" ht="18" customHeight="1">
      <c r="A25" s="14">
        <v>17</v>
      </c>
      <c r="B25" s="15" t="s">
        <v>357</v>
      </c>
      <c r="C25" s="16" t="s">
        <v>338</v>
      </c>
      <c r="D25" s="16">
        <v>1</v>
      </c>
      <c r="E25" s="17"/>
      <c r="F25" s="25">
        <v>1</v>
      </c>
      <c r="G25" s="32"/>
      <c r="H25" s="35">
        <v>1080</v>
      </c>
      <c r="I25" s="21">
        <f>D25*F25*H25</f>
        <v>1080</v>
      </c>
      <c r="J25" s="21">
        <v>1000</v>
      </c>
      <c r="K25" s="22">
        <f t="shared" si="0"/>
        <v>2080</v>
      </c>
      <c r="L25" s="33"/>
    </row>
    <row r="26" spans="1:14" s="13" customFormat="1" ht="18" customHeight="1">
      <c r="A26" s="131">
        <v>18</v>
      </c>
      <c r="B26" s="15" t="s">
        <v>358</v>
      </c>
      <c r="C26" s="16" t="str">
        <f>원가!B17</f>
        <v>10 BAR</v>
      </c>
      <c r="D26" s="16">
        <v>1</v>
      </c>
      <c r="E26" s="17"/>
      <c r="F26" s="32">
        <v>305</v>
      </c>
      <c r="G26" s="32"/>
      <c r="H26" s="35"/>
      <c r="I26" s="21">
        <v>662245</v>
      </c>
      <c r="J26" s="113" t="s">
        <v>511</v>
      </c>
      <c r="K26" s="95">
        <f>IF(C26="PIYAKE",L26,IF(C26="10 BAR",M26,IF(C26="20 BAR",N26)))</f>
        <v>1301000</v>
      </c>
      <c r="L26" s="33"/>
      <c r="M26" s="33">
        <v>1301000</v>
      </c>
      <c r="N26" s="33">
        <v>1823000</v>
      </c>
    </row>
    <row r="27" spans="1:14" s="13" customFormat="1" ht="24" customHeight="1">
      <c r="A27" s="131"/>
      <c r="B27" s="36" t="s">
        <v>359</v>
      </c>
      <c r="C27" s="16"/>
      <c r="D27" s="60">
        <v>8</v>
      </c>
      <c r="E27" s="17"/>
      <c r="F27" s="25">
        <v>1</v>
      </c>
      <c r="G27" s="32"/>
      <c r="H27" s="35">
        <v>9500</v>
      </c>
      <c r="I27" s="57">
        <f>D27*F27*H27</f>
        <v>76000</v>
      </c>
      <c r="J27" s="21"/>
      <c r="K27" s="22">
        <f t="shared" si="0"/>
        <v>76000</v>
      </c>
      <c r="L27" s="33"/>
    </row>
    <row r="28" spans="1:14" s="13" customFormat="1" ht="18" customHeight="1">
      <c r="A28" s="14">
        <v>19</v>
      </c>
      <c r="B28" s="15" t="s">
        <v>360</v>
      </c>
      <c r="C28" s="16" t="s">
        <v>361</v>
      </c>
      <c r="D28" s="16">
        <v>1</v>
      </c>
      <c r="E28" s="17"/>
      <c r="F28" s="25">
        <v>1</v>
      </c>
      <c r="G28" s="32"/>
      <c r="H28" s="17"/>
      <c r="I28" s="21">
        <v>7100</v>
      </c>
      <c r="J28" s="21">
        <v>4400</v>
      </c>
      <c r="K28" s="22">
        <f t="shared" si="0"/>
        <v>11500</v>
      </c>
      <c r="L28" s="33"/>
    </row>
    <row r="29" spans="1:14" s="13" customFormat="1" ht="18" customHeight="1">
      <c r="A29" s="14">
        <v>20</v>
      </c>
      <c r="B29" s="15" t="s">
        <v>362</v>
      </c>
      <c r="C29" s="16"/>
      <c r="D29" s="16">
        <v>1</v>
      </c>
      <c r="E29" s="17"/>
      <c r="F29" s="25">
        <v>1</v>
      </c>
      <c r="G29" s="32"/>
      <c r="H29" s="17"/>
      <c r="I29" s="22">
        <v>125000</v>
      </c>
      <c r="J29" s="22"/>
      <c r="K29" s="22">
        <f t="shared" si="0"/>
        <v>125000</v>
      </c>
      <c r="L29" s="33"/>
    </row>
    <row r="30" spans="1:14" s="13" customFormat="1" ht="18" customHeight="1">
      <c r="A30" s="14">
        <v>21</v>
      </c>
      <c r="B30" s="15" t="s">
        <v>363</v>
      </c>
      <c r="C30" s="16"/>
      <c r="D30" s="16">
        <v>1</v>
      </c>
      <c r="E30" s="17"/>
      <c r="F30" s="25">
        <v>1</v>
      </c>
      <c r="G30" s="32"/>
      <c r="H30" s="17"/>
      <c r="I30" s="22">
        <v>100000</v>
      </c>
      <c r="J30" s="22"/>
      <c r="K30" s="22">
        <f t="shared" si="0"/>
        <v>100000</v>
      </c>
      <c r="L30" s="33"/>
    </row>
    <row r="31" spans="1:14" s="13" customFormat="1" ht="18" customHeight="1">
      <c r="A31" s="14">
        <v>22</v>
      </c>
      <c r="B31" s="37" t="s">
        <v>364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9628065</v>
      </c>
      <c r="L31" s="33"/>
    </row>
    <row r="32" spans="1:14" s="13" customFormat="1" ht="18" customHeight="1">
      <c r="A32" s="14">
        <v>23</v>
      </c>
      <c r="B32" s="15" t="s">
        <v>365</v>
      </c>
      <c r="C32" s="16"/>
      <c r="D32" s="16"/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366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367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368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250000</v>
      </c>
      <c r="L35" s="33"/>
    </row>
    <row r="36" spans="1:13" s="13" customFormat="1" ht="18" customHeight="1">
      <c r="A36" s="14">
        <v>26</v>
      </c>
      <c r="B36" s="15" t="s">
        <v>369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370</v>
      </c>
      <c r="C37" s="38"/>
      <c r="D37" s="42"/>
      <c r="E37" s="39"/>
      <c r="F37" s="39"/>
      <c r="G37" s="39"/>
      <c r="H37" s="39"/>
      <c r="I37" s="43">
        <f>SUM(K32:K36)</f>
        <v>250000</v>
      </c>
      <c r="J37" s="44">
        <v>1</v>
      </c>
      <c r="K37" s="43">
        <f>J37*I37</f>
        <v>250000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371</v>
      </c>
      <c r="C39" s="38"/>
      <c r="D39" s="38"/>
      <c r="E39" s="47" t="s">
        <v>372</v>
      </c>
      <c r="F39" s="132">
        <f>L40</f>
        <v>0</v>
      </c>
      <c r="G39" s="133"/>
      <c r="H39" s="39"/>
      <c r="I39" s="41">
        <f>K31</f>
        <v>9628065</v>
      </c>
      <c r="J39" s="48">
        <f>원가!B15</f>
        <v>1</v>
      </c>
      <c r="K39" s="43">
        <f>J39*I39</f>
        <v>9628065</v>
      </c>
      <c r="L39" s="49"/>
    </row>
    <row r="40" spans="1:13" s="50" customFormat="1" ht="18" customHeight="1">
      <c r="A40" s="14">
        <v>30</v>
      </c>
      <c r="B40" s="10" t="s">
        <v>373</v>
      </c>
      <c r="C40" s="38"/>
      <c r="D40" s="38"/>
      <c r="E40" s="47" t="s">
        <v>374</v>
      </c>
      <c r="F40" s="132">
        <f>K40</f>
        <v>9878065</v>
      </c>
      <c r="G40" s="133"/>
      <c r="H40" s="39" t="s">
        <v>502</v>
      </c>
      <c r="I40" s="48">
        <f>원가!B2</f>
        <v>1</v>
      </c>
      <c r="J40" s="48"/>
      <c r="K40" s="41">
        <f>SUM(K37:K39)/I40</f>
        <v>9878065</v>
      </c>
      <c r="L40" s="49"/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A13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28515625" customWidth="1"/>
    <col min="12" max="12" width="10.42578125" bestFit="1" customWidth="1"/>
    <col min="13" max="14" width="12.42578125" bestFit="1" customWidth="1"/>
  </cols>
  <sheetData>
    <row r="1" spans="1:13" s="4" customFormat="1" ht="2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481</v>
      </c>
      <c r="B3" s="6"/>
      <c r="C3" s="6" t="s">
        <v>431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433</v>
      </c>
      <c r="B5" s="9" t="s">
        <v>434</v>
      </c>
      <c r="C5" s="9" t="s">
        <v>435</v>
      </c>
      <c r="D5" s="10" t="s">
        <v>436</v>
      </c>
      <c r="E5" s="9" t="s">
        <v>437</v>
      </c>
      <c r="F5" s="9" t="s">
        <v>438</v>
      </c>
      <c r="G5" s="9" t="s">
        <v>439</v>
      </c>
      <c r="H5" s="9" t="s">
        <v>440</v>
      </c>
      <c r="I5" s="9" t="s">
        <v>441</v>
      </c>
      <c r="J5" s="9" t="s">
        <v>442</v>
      </c>
      <c r="K5" s="9" t="s">
        <v>443</v>
      </c>
      <c r="L5" s="11"/>
      <c r="M5" s="12"/>
    </row>
    <row r="6" spans="1:13" s="13" customFormat="1" ht="18" customHeight="1">
      <c r="A6" s="14">
        <v>1</v>
      </c>
      <c r="B6" s="15" t="s">
        <v>444</v>
      </c>
      <c r="C6" s="16" t="str">
        <f>원가!B4</f>
        <v>WCB</v>
      </c>
      <c r="D6" s="16">
        <v>1</v>
      </c>
      <c r="E6" s="17"/>
      <c r="F6" s="18">
        <v>1018</v>
      </c>
      <c r="G6" s="19"/>
      <c r="H6" s="20">
        <f>원가!C4</f>
        <v>2600</v>
      </c>
      <c r="I6" s="21">
        <f>D6*F6*H6</f>
        <v>2646800</v>
      </c>
      <c r="J6" s="21">
        <v>680000</v>
      </c>
      <c r="K6" s="22">
        <f t="shared" ref="K6:K30" si="0">I6+J6</f>
        <v>3326800</v>
      </c>
      <c r="L6" s="23"/>
      <c r="M6" s="24"/>
    </row>
    <row r="7" spans="1:13" s="13" customFormat="1" ht="18" customHeight="1">
      <c r="A7" s="14">
        <v>2</v>
      </c>
      <c r="B7" s="15" t="s">
        <v>445</v>
      </c>
      <c r="C7" s="16" t="str">
        <f>원가!B5</f>
        <v>WCB</v>
      </c>
      <c r="D7" s="16">
        <v>1</v>
      </c>
      <c r="E7" s="17"/>
      <c r="F7" s="18">
        <v>522</v>
      </c>
      <c r="G7" s="19"/>
      <c r="H7" s="20">
        <f>원가!C5</f>
        <v>2600</v>
      </c>
      <c r="I7" s="21">
        <f>D7*F7*H7</f>
        <v>1357200</v>
      </c>
      <c r="J7" s="21">
        <v>400000</v>
      </c>
      <c r="K7" s="22">
        <f t="shared" si="0"/>
        <v>1757200</v>
      </c>
      <c r="L7" s="23"/>
      <c r="M7" s="24"/>
    </row>
    <row r="8" spans="1:13" s="13" customFormat="1" ht="18" customHeight="1">
      <c r="A8" s="14">
        <v>3</v>
      </c>
      <c r="B8" s="15" t="s">
        <v>446</v>
      </c>
      <c r="C8" s="16" t="s">
        <v>447</v>
      </c>
      <c r="D8" s="16">
        <v>1</v>
      </c>
      <c r="E8" s="17"/>
      <c r="F8" s="25">
        <v>1</v>
      </c>
      <c r="G8" s="19"/>
      <c r="H8" s="20"/>
      <c r="I8" s="21">
        <v>34000</v>
      </c>
      <c r="J8" s="21">
        <v>10000</v>
      </c>
      <c r="K8" s="22">
        <f t="shared" si="0"/>
        <v>44000</v>
      </c>
      <c r="L8" s="23"/>
      <c r="M8" s="24"/>
    </row>
    <row r="9" spans="1:13" s="13" customFormat="1" ht="18" customHeight="1">
      <c r="A9" s="14">
        <v>4</v>
      </c>
      <c r="B9" s="15" t="s">
        <v>448</v>
      </c>
      <c r="C9" s="16" t="str">
        <f>원가!B6</f>
        <v>A276T316L</v>
      </c>
      <c r="D9" s="16">
        <v>1</v>
      </c>
      <c r="E9" s="17"/>
      <c r="F9" s="19">
        <v>159.9</v>
      </c>
      <c r="G9" s="19"/>
      <c r="H9" s="20">
        <f>원가!C6</f>
        <v>8500</v>
      </c>
      <c r="I9" s="21">
        <f t="shared" ref="I9:I19" si="1">D9*F9*H9</f>
        <v>1359150</v>
      </c>
      <c r="J9" s="21">
        <v>180000</v>
      </c>
      <c r="K9" s="22">
        <f t="shared" si="0"/>
        <v>1539150</v>
      </c>
      <c r="L9" s="23"/>
      <c r="M9" s="24"/>
    </row>
    <row r="10" spans="1:13" s="13" customFormat="1" ht="18" customHeight="1">
      <c r="A10" s="131">
        <v>5</v>
      </c>
      <c r="B10" s="15" t="s">
        <v>69</v>
      </c>
      <c r="C10" s="16" t="str">
        <f>원가!B7</f>
        <v>316L</v>
      </c>
      <c r="D10" s="16">
        <v>1</v>
      </c>
      <c r="E10" s="17"/>
      <c r="F10" s="19">
        <v>61.8</v>
      </c>
      <c r="G10" s="19"/>
      <c r="H10" s="20">
        <f>원가!C7</f>
        <v>8500</v>
      </c>
      <c r="I10" s="21">
        <f t="shared" si="1"/>
        <v>525300</v>
      </c>
      <c r="J10" s="21">
        <v>115000</v>
      </c>
      <c r="K10" s="22">
        <f t="shared" si="0"/>
        <v>640300</v>
      </c>
      <c r="L10" s="23"/>
      <c r="M10" s="24"/>
    </row>
    <row r="11" spans="1:13" s="13" customFormat="1" ht="18" customHeight="1">
      <c r="A11" s="131"/>
      <c r="B11" s="15" t="s">
        <v>70</v>
      </c>
      <c r="C11" s="16" t="str">
        <f>원가!B8</f>
        <v>316L</v>
      </c>
      <c r="D11" s="16">
        <v>1</v>
      </c>
      <c r="E11" s="28"/>
      <c r="F11" s="19">
        <v>61.8</v>
      </c>
      <c r="G11" s="29"/>
      <c r="H11" s="20">
        <f>원가!C8</f>
        <v>8500</v>
      </c>
      <c r="I11" s="21">
        <f t="shared" si="1"/>
        <v>525300</v>
      </c>
      <c r="J11" s="21">
        <v>115000</v>
      </c>
      <c r="K11" s="22">
        <f t="shared" si="0"/>
        <v>640300</v>
      </c>
      <c r="L11" s="23"/>
      <c r="M11" s="24"/>
    </row>
    <row r="12" spans="1:13" s="13" customFormat="1" ht="18" customHeight="1">
      <c r="A12" s="131">
        <v>6</v>
      </c>
      <c r="B12" s="15" t="s">
        <v>71</v>
      </c>
      <c r="C12" s="16" t="str">
        <f>원가!B9</f>
        <v>B148</v>
      </c>
      <c r="D12" s="16">
        <v>1</v>
      </c>
      <c r="E12" s="17"/>
      <c r="F12" s="19">
        <v>9.75</v>
      </c>
      <c r="G12" s="19"/>
      <c r="H12" s="20">
        <f>원가!C9</f>
        <v>12500</v>
      </c>
      <c r="I12" s="21">
        <f t="shared" si="1"/>
        <v>121875</v>
      </c>
      <c r="J12" s="21">
        <v>15000</v>
      </c>
      <c r="K12" s="22">
        <f t="shared" si="0"/>
        <v>136875</v>
      </c>
      <c r="L12" s="23"/>
      <c r="M12" s="24"/>
    </row>
    <row r="13" spans="1:13" s="13" customFormat="1" ht="18" customHeight="1">
      <c r="A13" s="131"/>
      <c r="B13" s="26" t="s">
        <v>72</v>
      </c>
      <c r="C13" s="16" t="str">
        <f>원가!B10</f>
        <v>B148</v>
      </c>
      <c r="D13" s="16">
        <v>1</v>
      </c>
      <c r="E13" s="17"/>
      <c r="F13" s="19">
        <v>9.75</v>
      </c>
      <c r="G13" s="19"/>
      <c r="H13" s="20">
        <f>원가!C10</f>
        <v>12500</v>
      </c>
      <c r="I13" s="21">
        <f t="shared" si="1"/>
        <v>121875</v>
      </c>
      <c r="J13" s="21">
        <v>15000</v>
      </c>
      <c r="K13" s="22">
        <f t="shared" si="0"/>
        <v>136875</v>
      </c>
      <c r="L13" s="23"/>
      <c r="M13" s="24"/>
    </row>
    <row r="14" spans="1:13" s="13" customFormat="1" ht="18" customHeight="1">
      <c r="A14" s="131">
        <v>7</v>
      </c>
      <c r="B14" s="26" t="s">
        <v>450</v>
      </c>
      <c r="C14" s="27" t="s">
        <v>447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73</v>
      </c>
      <c r="C15" s="27" t="s">
        <v>68</v>
      </c>
      <c r="D15" s="27">
        <v>3</v>
      </c>
      <c r="E15" s="28"/>
      <c r="F15" s="19">
        <v>1.7</v>
      </c>
      <c r="G15" s="29"/>
      <c r="H15" s="30">
        <v>3150</v>
      </c>
      <c r="I15" s="21">
        <f t="shared" si="1"/>
        <v>16064.999999999998</v>
      </c>
      <c r="J15" s="31">
        <v>9000</v>
      </c>
      <c r="K15" s="22">
        <f t="shared" si="0"/>
        <v>25065</v>
      </c>
      <c r="L15" s="23"/>
      <c r="M15" s="24"/>
    </row>
    <row r="16" spans="1:13" s="13" customFormat="1" ht="18" customHeight="1">
      <c r="A16" s="14">
        <v>8</v>
      </c>
      <c r="B16" s="26" t="s">
        <v>451</v>
      </c>
      <c r="C16" s="16" t="str">
        <f>원가!B11</f>
        <v>WCB</v>
      </c>
      <c r="D16" s="16">
        <v>1</v>
      </c>
      <c r="E16" s="17"/>
      <c r="F16" s="19">
        <v>13</v>
      </c>
      <c r="G16" s="19"/>
      <c r="H16" s="20">
        <f>원가!C11</f>
        <v>2600</v>
      </c>
      <c r="I16" s="21">
        <f t="shared" si="1"/>
        <v>33800</v>
      </c>
      <c r="J16" s="21">
        <v>13000</v>
      </c>
      <c r="K16" s="22">
        <f t="shared" si="0"/>
        <v>46800</v>
      </c>
      <c r="L16" s="23"/>
      <c r="M16" s="24"/>
    </row>
    <row r="17" spans="1:14" s="13" customFormat="1" ht="18" customHeight="1">
      <c r="A17" s="14">
        <v>9</v>
      </c>
      <c r="B17" s="26" t="s">
        <v>74</v>
      </c>
      <c r="C17" s="27" t="s">
        <v>75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76</v>
      </c>
      <c r="C18" s="16" t="str">
        <f>원가!B12</f>
        <v>WCB</v>
      </c>
      <c r="D18" s="27">
        <v>1</v>
      </c>
      <c r="E18" s="28"/>
      <c r="F18" s="19">
        <v>12.5</v>
      </c>
      <c r="G18" s="19"/>
      <c r="H18" s="20">
        <f>원가!C12</f>
        <v>2600</v>
      </c>
      <c r="I18" s="21">
        <f t="shared" si="1"/>
        <v>32500</v>
      </c>
      <c r="J18" s="21">
        <v>12000</v>
      </c>
      <c r="K18" s="22">
        <f t="shared" si="0"/>
        <v>44500</v>
      </c>
      <c r="L18" s="23"/>
      <c r="M18" s="24"/>
    </row>
    <row r="19" spans="1:14" s="13" customFormat="1" ht="18" customHeight="1">
      <c r="A19" s="14">
        <v>11</v>
      </c>
      <c r="B19" s="26" t="s">
        <v>77</v>
      </c>
      <c r="C19" s="16" t="s">
        <v>68</v>
      </c>
      <c r="D19" s="27">
        <v>1</v>
      </c>
      <c r="E19" s="28"/>
      <c r="F19" s="19">
        <v>3.86</v>
      </c>
      <c r="G19" s="19"/>
      <c r="H19" s="20">
        <v>8000</v>
      </c>
      <c r="I19" s="21">
        <f t="shared" si="1"/>
        <v>30880</v>
      </c>
      <c r="J19" s="21"/>
      <c r="K19" s="22">
        <f t="shared" si="0"/>
        <v>30880</v>
      </c>
      <c r="L19" s="23"/>
      <c r="M19" s="24"/>
    </row>
    <row r="20" spans="1:14" s="13" customFormat="1" ht="18" customHeight="1">
      <c r="A20" s="14">
        <v>12</v>
      </c>
      <c r="B20" s="26" t="s">
        <v>78</v>
      </c>
      <c r="C20" s="27" t="s">
        <v>449</v>
      </c>
      <c r="D20" s="27">
        <v>3</v>
      </c>
      <c r="E20" s="28"/>
      <c r="F20" s="32">
        <v>1.45</v>
      </c>
      <c r="G20" s="32"/>
      <c r="H20" s="20"/>
      <c r="I20" s="21">
        <v>3500</v>
      </c>
      <c r="J20" s="21">
        <v>4500</v>
      </c>
      <c r="K20" s="22">
        <f t="shared" si="0"/>
        <v>8000</v>
      </c>
      <c r="L20" s="33"/>
    </row>
    <row r="21" spans="1:14" s="13" customFormat="1" ht="18" customHeight="1">
      <c r="A21" s="14">
        <v>13</v>
      </c>
      <c r="B21" s="26" t="s">
        <v>79</v>
      </c>
      <c r="C21" s="27" t="s">
        <v>75</v>
      </c>
      <c r="D21" s="60">
        <v>28</v>
      </c>
      <c r="E21" s="28"/>
      <c r="F21" s="25">
        <v>1</v>
      </c>
      <c r="G21" s="32"/>
      <c r="H21" s="20">
        <v>130</v>
      </c>
      <c r="I21" s="21">
        <f>D21*F21*H21</f>
        <v>3640</v>
      </c>
      <c r="J21" s="21"/>
      <c r="K21" s="22">
        <f t="shared" si="0"/>
        <v>3640</v>
      </c>
      <c r="L21" s="33"/>
    </row>
    <row r="22" spans="1:14" s="13" customFormat="1" ht="24" customHeight="1">
      <c r="A22" s="14">
        <v>14</v>
      </c>
      <c r="B22" s="34" t="s">
        <v>80</v>
      </c>
      <c r="C22" s="27" t="s">
        <v>75</v>
      </c>
      <c r="D22" s="27">
        <v>6</v>
      </c>
      <c r="E22" s="28"/>
      <c r="F22" s="25">
        <v>1</v>
      </c>
      <c r="G22" s="32"/>
      <c r="H22" s="20">
        <v>6000</v>
      </c>
      <c r="I22" s="21">
        <f>D22*F22*H22</f>
        <v>36000</v>
      </c>
      <c r="J22" s="21"/>
      <c r="K22" s="22">
        <f t="shared" si="0"/>
        <v>36000</v>
      </c>
      <c r="L22" s="33"/>
    </row>
    <row r="23" spans="1:14" s="13" customFormat="1" ht="18" customHeight="1">
      <c r="A23" s="14">
        <v>15</v>
      </c>
      <c r="B23" s="26" t="s">
        <v>81</v>
      </c>
      <c r="C23" s="27" t="str">
        <f>원가!B13</f>
        <v>WCB</v>
      </c>
      <c r="D23" s="27">
        <v>1</v>
      </c>
      <c r="E23" s="28"/>
      <c r="F23" s="32">
        <v>75</v>
      </c>
      <c r="G23" s="32"/>
      <c r="H23" s="20">
        <f>원가!C13</f>
        <v>2600</v>
      </c>
      <c r="I23" s="21">
        <f>D23*F23*H23</f>
        <v>195000</v>
      </c>
      <c r="J23" s="21">
        <v>35000</v>
      </c>
      <c r="K23" s="22">
        <f t="shared" si="0"/>
        <v>230000</v>
      </c>
      <c r="L23" s="33"/>
    </row>
    <row r="24" spans="1:14" s="13" customFormat="1" ht="18" customHeight="1">
      <c r="A24" s="14">
        <v>16</v>
      </c>
      <c r="B24" s="15" t="s">
        <v>82</v>
      </c>
      <c r="C24" s="16" t="s">
        <v>75</v>
      </c>
      <c r="D24" s="16">
        <v>4</v>
      </c>
      <c r="E24" s="17"/>
      <c r="F24" s="25">
        <v>1</v>
      </c>
      <c r="G24" s="32"/>
      <c r="H24" s="20">
        <v>10000</v>
      </c>
      <c r="I24" s="21">
        <f>D24*F24*H24</f>
        <v>40000</v>
      </c>
      <c r="J24" s="21"/>
      <c r="K24" s="22">
        <f t="shared" si="0"/>
        <v>40000</v>
      </c>
      <c r="L24" s="33"/>
    </row>
    <row r="25" spans="1:14" s="13" customFormat="1" ht="18" customHeight="1">
      <c r="A25" s="14">
        <v>17</v>
      </c>
      <c r="B25" s="15" t="s">
        <v>83</v>
      </c>
      <c r="C25" s="16" t="s">
        <v>447</v>
      </c>
      <c r="D25" s="16">
        <v>1</v>
      </c>
      <c r="E25" s="17"/>
      <c r="F25" s="25">
        <v>1</v>
      </c>
      <c r="G25" s="32"/>
      <c r="H25" s="35">
        <v>1080</v>
      </c>
      <c r="I25" s="21">
        <f>D25*F25*H25</f>
        <v>1080</v>
      </c>
      <c r="J25" s="21">
        <v>1000</v>
      </c>
      <c r="K25" s="22">
        <f t="shared" si="0"/>
        <v>2080</v>
      </c>
      <c r="L25" s="33"/>
    </row>
    <row r="26" spans="1:14" s="13" customFormat="1" ht="18" customHeight="1">
      <c r="A26" s="131">
        <v>18</v>
      </c>
      <c r="B26" s="15" t="s">
        <v>452</v>
      </c>
      <c r="C26" s="16" t="str">
        <f>원가!B17</f>
        <v>10 BAR</v>
      </c>
      <c r="D26" s="16">
        <v>1</v>
      </c>
      <c r="E26" s="17"/>
      <c r="F26" s="32">
        <v>305</v>
      </c>
      <c r="G26" s="32"/>
      <c r="H26" s="35"/>
      <c r="I26" s="21"/>
      <c r="J26" s="97" t="s">
        <v>511</v>
      </c>
      <c r="K26" s="95">
        <f>IF(C26="PIYAKE",L26,IF(C26="10 BAR",M26,IF(C26="20 BAR",N26)))</f>
        <v>1301000</v>
      </c>
      <c r="L26" s="33">
        <v>970245</v>
      </c>
      <c r="M26" s="33">
        <v>1301000</v>
      </c>
      <c r="N26" s="33">
        <v>1823000</v>
      </c>
    </row>
    <row r="27" spans="1:14" s="13" customFormat="1" ht="24" customHeight="1">
      <c r="A27" s="131"/>
      <c r="B27" s="36" t="s">
        <v>84</v>
      </c>
      <c r="C27" s="16"/>
      <c r="D27" s="60">
        <v>8</v>
      </c>
      <c r="E27" s="17"/>
      <c r="F27" s="25">
        <v>1</v>
      </c>
      <c r="G27" s="32"/>
      <c r="H27" s="35">
        <v>9500</v>
      </c>
      <c r="I27" s="57">
        <f>D27*F27*H27</f>
        <v>76000</v>
      </c>
      <c r="J27" s="21"/>
      <c r="K27" s="22">
        <f t="shared" si="0"/>
        <v>76000</v>
      </c>
      <c r="L27" s="33"/>
    </row>
    <row r="28" spans="1:14" s="13" customFormat="1" ht="18" customHeight="1">
      <c r="A28" s="14">
        <v>19</v>
      </c>
      <c r="B28" s="15" t="s">
        <v>453</v>
      </c>
      <c r="C28" s="16" t="s">
        <v>454</v>
      </c>
      <c r="D28" s="16">
        <v>1</v>
      </c>
      <c r="E28" s="17"/>
      <c r="F28" s="25">
        <v>1</v>
      </c>
      <c r="G28" s="32"/>
      <c r="H28" s="17"/>
      <c r="I28" s="21">
        <v>7100</v>
      </c>
      <c r="J28" s="21">
        <v>4400</v>
      </c>
      <c r="K28" s="22">
        <f t="shared" si="0"/>
        <v>11500</v>
      </c>
      <c r="L28" s="33"/>
    </row>
    <row r="29" spans="1:14" s="13" customFormat="1" ht="18" customHeight="1">
      <c r="A29" s="14">
        <v>20</v>
      </c>
      <c r="B29" s="15" t="s">
        <v>455</v>
      </c>
      <c r="C29" s="16"/>
      <c r="D29" s="16">
        <v>1</v>
      </c>
      <c r="E29" s="17"/>
      <c r="F29" s="25">
        <v>1</v>
      </c>
      <c r="G29" s="32"/>
      <c r="H29" s="17"/>
      <c r="I29" s="22">
        <v>130000</v>
      </c>
      <c r="J29" s="22"/>
      <c r="K29" s="22">
        <f t="shared" si="0"/>
        <v>130000</v>
      </c>
      <c r="L29" s="33"/>
    </row>
    <row r="30" spans="1:14" s="13" customFormat="1" ht="18" customHeight="1">
      <c r="A30" s="14">
        <v>21</v>
      </c>
      <c r="B30" s="15" t="s">
        <v>456</v>
      </c>
      <c r="C30" s="16"/>
      <c r="D30" s="16">
        <v>1</v>
      </c>
      <c r="E30" s="17"/>
      <c r="F30" s="25">
        <v>1</v>
      </c>
      <c r="G30" s="32"/>
      <c r="H30" s="17"/>
      <c r="I30" s="22">
        <v>100000</v>
      </c>
      <c r="J30" s="22"/>
      <c r="K30" s="22">
        <f t="shared" si="0"/>
        <v>100000</v>
      </c>
      <c r="L30" s="33"/>
    </row>
    <row r="31" spans="1:14" s="13" customFormat="1" ht="18" customHeight="1">
      <c r="A31" s="14">
        <v>22</v>
      </c>
      <c r="B31" s="37" t="s">
        <v>457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10318765</v>
      </c>
      <c r="L31" s="33"/>
    </row>
    <row r="32" spans="1:14" s="13" customFormat="1" ht="18" customHeight="1">
      <c r="A32" s="14">
        <v>23</v>
      </c>
      <c r="B32" s="15" t="s">
        <v>85</v>
      </c>
      <c r="C32" s="16"/>
      <c r="D32" s="16"/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458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459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460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300000</v>
      </c>
      <c r="L35" s="33"/>
    </row>
    <row r="36" spans="1:13" s="13" customFormat="1" ht="18" customHeight="1">
      <c r="A36" s="14">
        <v>26</v>
      </c>
      <c r="B36" s="15" t="s">
        <v>461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462</v>
      </c>
      <c r="C37" s="38"/>
      <c r="D37" s="42"/>
      <c r="E37" s="39"/>
      <c r="F37" s="39"/>
      <c r="G37" s="39"/>
      <c r="H37" s="39"/>
      <c r="I37" s="43">
        <f>SUM(K32:K36)</f>
        <v>300000</v>
      </c>
      <c r="J37" s="44">
        <v>1</v>
      </c>
      <c r="K37" s="43">
        <f>J37*I37</f>
        <v>300000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463</v>
      </c>
      <c r="C39" s="38"/>
      <c r="D39" s="38"/>
      <c r="E39" s="47" t="s">
        <v>464</v>
      </c>
      <c r="F39" s="132">
        <f>L40</f>
        <v>0</v>
      </c>
      <c r="G39" s="133"/>
      <c r="H39" s="39"/>
      <c r="I39" s="41">
        <f>K31</f>
        <v>10318765</v>
      </c>
      <c r="J39" s="48">
        <f>원가!B15</f>
        <v>1</v>
      </c>
      <c r="K39" s="43">
        <f>J39*I39</f>
        <v>10318765</v>
      </c>
      <c r="L39" s="49" t="s">
        <v>464</v>
      </c>
    </row>
    <row r="40" spans="1:13" s="50" customFormat="1" ht="18" customHeight="1">
      <c r="A40" s="14">
        <v>30</v>
      </c>
      <c r="B40" s="10" t="s">
        <v>465</v>
      </c>
      <c r="C40" s="38"/>
      <c r="D40" s="38"/>
      <c r="E40" s="47" t="s">
        <v>466</v>
      </c>
      <c r="F40" s="132">
        <f>K40</f>
        <v>10618765</v>
      </c>
      <c r="G40" s="133"/>
      <c r="H40" s="39" t="s">
        <v>502</v>
      </c>
      <c r="I40" s="48">
        <f>원가!B2</f>
        <v>1</v>
      </c>
      <c r="J40" s="48"/>
      <c r="K40" s="41">
        <f>SUM(K37:K39)/I40</f>
        <v>10618765</v>
      </c>
      <c r="L40" s="49"/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N47"/>
  <sheetViews>
    <sheetView topLeftCell="A13" workbookViewId="0">
      <selection activeCell="N26" sqref="N26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3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89</v>
      </c>
      <c r="B3" s="6"/>
      <c r="C3" s="6" t="s">
        <v>431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433</v>
      </c>
      <c r="B5" s="9" t="s">
        <v>434</v>
      </c>
      <c r="C5" s="9" t="s">
        <v>435</v>
      </c>
      <c r="D5" s="10" t="s">
        <v>436</v>
      </c>
      <c r="E5" s="9" t="s">
        <v>437</v>
      </c>
      <c r="F5" s="9" t="s">
        <v>438</v>
      </c>
      <c r="G5" s="9" t="s">
        <v>439</v>
      </c>
      <c r="H5" s="9" t="s">
        <v>440</v>
      </c>
      <c r="I5" s="9" t="s">
        <v>441</v>
      </c>
      <c r="J5" s="9" t="s">
        <v>442</v>
      </c>
      <c r="K5" s="9" t="s">
        <v>443</v>
      </c>
      <c r="L5" s="11"/>
      <c r="M5" s="12"/>
    </row>
    <row r="6" spans="1:13" s="13" customFormat="1" ht="18" customHeight="1">
      <c r="A6" s="14">
        <v>1</v>
      </c>
      <c r="B6" s="15" t="s">
        <v>444</v>
      </c>
      <c r="C6" s="16" t="str">
        <f>원가!B4</f>
        <v>WCB</v>
      </c>
      <c r="D6" s="16">
        <v>1</v>
      </c>
      <c r="E6" s="17"/>
      <c r="F6" s="18">
        <v>1174</v>
      </c>
      <c r="G6" s="19"/>
      <c r="H6" s="20">
        <f>원가!C4</f>
        <v>2600</v>
      </c>
      <c r="I6" s="21">
        <f>D6*F6*H6</f>
        <v>3052400</v>
      </c>
      <c r="J6" s="21">
        <v>680000</v>
      </c>
      <c r="K6" s="22">
        <f t="shared" ref="K6:K30" si="0">I6+J6</f>
        <v>3732400</v>
      </c>
      <c r="L6" s="23"/>
      <c r="M6" s="24"/>
    </row>
    <row r="7" spans="1:13" s="13" customFormat="1" ht="18" customHeight="1">
      <c r="A7" s="14">
        <v>2</v>
      </c>
      <c r="B7" s="15" t="s">
        <v>445</v>
      </c>
      <c r="C7" s="16" t="str">
        <f>원가!B5</f>
        <v>WCB</v>
      </c>
      <c r="D7" s="16">
        <v>1</v>
      </c>
      <c r="E7" s="17"/>
      <c r="F7" s="18">
        <v>578</v>
      </c>
      <c r="G7" s="19"/>
      <c r="H7" s="20">
        <f>원가!C5</f>
        <v>2600</v>
      </c>
      <c r="I7" s="21">
        <f>D7*F7*H7</f>
        <v>1502800</v>
      </c>
      <c r="J7" s="21">
        <v>400000</v>
      </c>
      <c r="K7" s="22">
        <f t="shared" si="0"/>
        <v>1902800</v>
      </c>
      <c r="L7" s="23"/>
      <c r="M7" s="24"/>
    </row>
    <row r="8" spans="1:13" s="13" customFormat="1" ht="18" customHeight="1">
      <c r="A8" s="14">
        <v>3</v>
      </c>
      <c r="B8" s="15" t="s">
        <v>446</v>
      </c>
      <c r="C8" s="16" t="s">
        <v>447</v>
      </c>
      <c r="D8" s="16">
        <v>1</v>
      </c>
      <c r="E8" s="17"/>
      <c r="F8" s="25">
        <v>1</v>
      </c>
      <c r="G8" s="19"/>
      <c r="H8" s="20"/>
      <c r="I8" s="21">
        <v>34000</v>
      </c>
      <c r="J8" s="21">
        <v>10000</v>
      </c>
      <c r="K8" s="22">
        <f t="shared" si="0"/>
        <v>44000</v>
      </c>
      <c r="L8" s="23"/>
      <c r="M8" s="24"/>
    </row>
    <row r="9" spans="1:13" s="13" customFormat="1" ht="18" customHeight="1">
      <c r="A9" s="14">
        <v>4</v>
      </c>
      <c r="B9" s="15" t="s">
        <v>448</v>
      </c>
      <c r="C9" s="16" t="str">
        <f>원가!B6</f>
        <v>A276T316L</v>
      </c>
      <c r="D9" s="16">
        <v>1</v>
      </c>
      <c r="E9" s="17"/>
      <c r="F9" s="19">
        <v>170</v>
      </c>
      <c r="G9" s="19"/>
      <c r="H9" s="20">
        <f>원가!C6</f>
        <v>8500</v>
      </c>
      <c r="I9" s="21">
        <f t="shared" ref="I9:I19" si="1">D9*F9*H9</f>
        <v>1445000</v>
      </c>
      <c r="J9" s="21">
        <v>180000</v>
      </c>
      <c r="K9" s="22">
        <f t="shared" si="0"/>
        <v>1625000</v>
      </c>
      <c r="L9" s="23"/>
      <c r="M9" s="24"/>
    </row>
    <row r="10" spans="1:13" s="13" customFormat="1" ht="18" customHeight="1">
      <c r="A10" s="131">
        <v>5</v>
      </c>
      <c r="B10" s="15" t="s">
        <v>69</v>
      </c>
      <c r="C10" s="16" t="str">
        <f>원가!B7</f>
        <v>316L</v>
      </c>
      <c r="D10" s="16">
        <v>1</v>
      </c>
      <c r="E10" s="17"/>
      <c r="F10" s="19">
        <v>60</v>
      </c>
      <c r="G10" s="19"/>
      <c r="H10" s="20">
        <f>원가!C7</f>
        <v>8500</v>
      </c>
      <c r="I10" s="21">
        <f t="shared" si="1"/>
        <v>510000</v>
      </c>
      <c r="J10" s="21">
        <v>115000</v>
      </c>
      <c r="K10" s="22">
        <f t="shared" si="0"/>
        <v>625000</v>
      </c>
      <c r="L10" s="23"/>
      <c r="M10" s="24"/>
    </row>
    <row r="11" spans="1:13" s="13" customFormat="1" ht="18" customHeight="1">
      <c r="A11" s="131"/>
      <c r="B11" s="15" t="s">
        <v>70</v>
      </c>
      <c r="C11" s="16" t="str">
        <f>원가!B8</f>
        <v>316L</v>
      </c>
      <c r="D11" s="16">
        <v>1</v>
      </c>
      <c r="E11" s="28"/>
      <c r="F11" s="19">
        <v>60</v>
      </c>
      <c r="G11" s="29"/>
      <c r="H11" s="20">
        <f>원가!C8</f>
        <v>8500</v>
      </c>
      <c r="I11" s="21">
        <f t="shared" si="1"/>
        <v>510000</v>
      </c>
      <c r="J11" s="21">
        <v>115000</v>
      </c>
      <c r="K11" s="22">
        <f t="shared" si="0"/>
        <v>625000</v>
      </c>
      <c r="L11" s="23"/>
      <c r="M11" s="24"/>
    </row>
    <row r="12" spans="1:13" s="13" customFormat="1" ht="18" customHeight="1">
      <c r="A12" s="131">
        <v>6</v>
      </c>
      <c r="B12" s="15" t="s">
        <v>71</v>
      </c>
      <c r="C12" s="16" t="str">
        <f>원가!B9</f>
        <v>B148</v>
      </c>
      <c r="D12" s="16">
        <v>1</v>
      </c>
      <c r="E12" s="17"/>
      <c r="F12" s="19">
        <v>11</v>
      </c>
      <c r="G12" s="19"/>
      <c r="H12" s="20">
        <f>원가!C9</f>
        <v>12500</v>
      </c>
      <c r="I12" s="21">
        <f t="shared" si="1"/>
        <v>137500</v>
      </c>
      <c r="J12" s="21">
        <v>15000</v>
      </c>
      <c r="K12" s="22">
        <f t="shared" si="0"/>
        <v>152500</v>
      </c>
      <c r="L12" s="23"/>
      <c r="M12" s="24"/>
    </row>
    <row r="13" spans="1:13" s="13" customFormat="1" ht="18" customHeight="1">
      <c r="A13" s="131"/>
      <c r="B13" s="26" t="s">
        <v>72</v>
      </c>
      <c r="C13" s="16" t="str">
        <f>원가!B10</f>
        <v>B148</v>
      </c>
      <c r="D13" s="16">
        <v>1</v>
      </c>
      <c r="E13" s="17"/>
      <c r="F13" s="19">
        <v>11</v>
      </c>
      <c r="G13" s="19"/>
      <c r="H13" s="20">
        <f>원가!C10</f>
        <v>12500</v>
      </c>
      <c r="I13" s="21">
        <f t="shared" si="1"/>
        <v>137500</v>
      </c>
      <c r="J13" s="21">
        <v>15000</v>
      </c>
      <c r="K13" s="22">
        <f t="shared" si="0"/>
        <v>152500</v>
      </c>
      <c r="L13" s="23"/>
      <c r="M13" s="24"/>
    </row>
    <row r="14" spans="1:13" s="13" customFormat="1" ht="18" customHeight="1">
      <c r="A14" s="131">
        <v>7</v>
      </c>
      <c r="B14" s="26" t="s">
        <v>450</v>
      </c>
      <c r="C14" s="27" t="s">
        <v>447</v>
      </c>
      <c r="D14" s="27">
        <v>4</v>
      </c>
      <c r="E14" s="28"/>
      <c r="F14" s="25">
        <v>1</v>
      </c>
      <c r="G14" s="29"/>
      <c r="H14" s="30">
        <v>550</v>
      </c>
      <c r="I14" s="21">
        <f t="shared" si="1"/>
        <v>2200</v>
      </c>
      <c r="J14" s="31"/>
      <c r="K14" s="22">
        <f t="shared" si="0"/>
        <v>2200</v>
      </c>
      <c r="L14" s="23"/>
      <c r="M14" s="24"/>
    </row>
    <row r="15" spans="1:13" s="13" customFormat="1" ht="18" customHeight="1">
      <c r="A15" s="131"/>
      <c r="B15" s="15" t="s">
        <v>73</v>
      </c>
      <c r="C15" s="27" t="s">
        <v>68</v>
      </c>
      <c r="D15" s="27">
        <v>3</v>
      </c>
      <c r="E15" s="28"/>
      <c r="F15" s="19">
        <v>1.7</v>
      </c>
      <c r="G15" s="29"/>
      <c r="H15" s="30">
        <v>3150</v>
      </c>
      <c r="I15" s="21">
        <f t="shared" si="1"/>
        <v>16064.999999999998</v>
      </c>
      <c r="J15" s="31">
        <v>9000</v>
      </c>
      <c r="K15" s="22">
        <f t="shared" si="0"/>
        <v>25065</v>
      </c>
      <c r="L15" s="23"/>
      <c r="M15" s="24"/>
    </row>
    <row r="16" spans="1:13" s="13" customFormat="1" ht="18" customHeight="1">
      <c r="A16" s="14">
        <v>8</v>
      </c>
      <c r="B16" s="26" t="s">
        <v>451</v>
      </c>
      <c r="C16" s="16" t="str">
        <f>원가!B11</f>
        <v>WCB</v>
      </c>
      <c r="D16" s="16">
        <v>1</v>
      </c>
      <c r="E16" s="17"/>
      <c r="F16" s="19">
        <v>12</v>
      </c>
      <c r="G16" s="19"/>
      <c r="H16" s="20">
        <f>원가!C11</f>
        <v>2600</v>
      </c>
      <c r="I16" s="21">
        <f t="shared" si="1"/>
        <v>31200</v>
      </c>
      <c r="J16" s="21">
        <v>13000</v>
      </c>
      <c r="K16" s="22">
        <f t="shared" si="0"/>
        <v>44200</v>
      </c>
      <c r="L16" s="23"/>
      <c r="M16" s="24"/>
    </row>
    <row r="17" spans="1:14" s="13" customFormat="1" ht="18" customHeight="1">
      <c r="A17" s="14">
        <v>9</v>
      </c>
      <c r="B17" s="26" t="s">
        <v>74</v>
      </c>
      <c r="C17" s="27" t="s">
        <v>75</v>
      </c>
      <c r="D17" s="27">
        <v>4</v>
      </c>
      <c r="E17" s="28"/>
      <c r="F17" s="25">
        <v>1</v>
      </c>
      <c r="G17" s="19"/>
      <c r="H17" s="20">
        <v>2400</v>
      </c>
      <c r="I17" s="21">
        <f t="shared" si="1"/>
        <v>9600</v>
      </c>
      <c r="J17" s="21"/>
      <c r="K17" s="22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76</v>
      </c>
      <c r="C18" s="16" t="str">
        <f>원가!B12</f>
        <v>WCB</v>
      </c>
      <c r="D18" s="27">
        <v>1</v>
      </c>
      <c r="E18" s="28"/>
      <c r="F18" s="19">
        <v>14.3</v>
      </c>
      <c r="G18" s="19"/>
      <c r="H18" s="20">
        <f>원가!C12</f>
        <v>2600</v>
      </c>
      <c r="I18" s="21">
        <f t="shared" si="1"/>
        <v>37180</v>
      </c>
      <c r="J18" s="21">
        <v>12000</v>
      </c>
      <c r="K18" s="22">
        <f t="shared" si="0"/>
        <v>49180</v>
      </c>
      <c r="L18" s="23"/>
      <c r="M18" s="24"/>
    </row>
    <row r="19" spans="1:14" s="13" customFormat="1" ht="18" customHeight="1">
      <c r="A19" s="14">
        <v>11</v>
      </c>
      <c r="B19" s="26" t="s">
        <v>77</v>
      </c>
      <c r="C19" s="16" t="s">
        <v>68</v>
      </c>
      <c r="D19" s="27">
        <v>1</v>
      </c>
      <c r="E19" s="28"/>
      <c r="F19" s="19">
        <v>3.86</v>
      </c>
      <c r="G19" s="19"/>
      <c r="H19" s="20">
        <v>8000</v>
      </c>
      <c r="I19" s="21">
        <f t="shared" si="1"/>
        <v>30880</v>
      </c>
      <c r="J19" s="21"/>
      <c r="K19" s="22">
        <f t="shared" si="0"/>
        <v>30880</v>
      </c>
      <c r="L19" s="23"/>
      <c r="M19" s="24"/>
    </row>
    <row r="20" spans="1:14" s="13" customFormat="1" ht="18" customHeight="1">
      <c r="A20" s="14">
        <v>12</v>
      </c>
      <c r="B20" s="26" t="s">
        <v>78</v>
      </c>
      <c r="C20" s="27" t="s">
        <v>449</v>
      </c>
      <c r="D20" s="27">
        <v>3</v>
      </c>
      <c r="E20" s="28"/>
      <c r="F20" s="32">
        <v>1.45</v>
      </c>
      <c r="G20" s="32"/>
      <c r="H20" s="20"/>
      <c r="I20" s="21">
        <v>3500</v>
      </c>
      <c r="J20" s="21">
        <v>4500</v>
      </c>
      <c r="K20" s="22">
        <f t="shared" si="0"/>
        <v>8000</v>
      </c>
      <c r="L20" s="33"/>
    </row>
    <row r="21" spans="1:14" s="13" customFormat="1" ht="18" customHeight="1">
      <c r="A21" s="14">
        <v>13</v>
      </c>
      <c r="B21" s="26" t="s">
        <v>79</v>
      </c>
      <c r="C21" s="27" t="s">
        <v>75</v>
      </c>
      <c r="D21" s="60">
        <v>28</v>
      </c>
      <c r="E21" s="28"/>
      <c r="F21" s="25">
        <v>1</v>
      </c>
      <c r="G21" s="32"/>
      <c r="H21" s="20">
        <v>130</v>
      </c>
      <c r="I21" s="21">
        <f>D21*F21*H21</f>
        <v>3640</v>
      </c>
      <c r="J21" s="21"/>
      <c r="K21" s="22">
        <f t="shared" si="0"/>
        <v>3640</v>
      </c>
      <c r="L21" s="33"/>
    </row>
    <row r="22" spans="1:14" s="13" customFormat="1" ht="24" customHeight="1">
      <c r="A22" s="14">
        <v>14</v>
      </c>
      <c r="B22" s="34" t="s">
        <v>80</v>
      </c>
      <c r="C22" s="27" t="s">
        <v>75</v>
      </c>
      <c r="D22" s="27">
        <v>6</v>
      </c>
      <c r="E22" s="28"/>
      <c r="F22" s="25">
        <v>1</v>
      </c>
      <c r="G22" s="32"/>
      <c r="H22" s="20">
        <v>6000</v>
      </c>
      <c r="I22" s="21">
        <f>D22*F22*H22</f>
        <v>36000</v>
      </c>
      <c r="J22" s="21"/>
      <c r="K22" s="22">
        <f t="shared" si="0"/>
        <v>36000</v>
      </c>
      <c r="L22" s="33"/>
    </row>
    <row r="23" spans="1:14" s="13" customFormat="1" ht="18" customHeight="1">
      <c r="A23" s="14">
        <v>15</v>
      </c>
      <c r="B23" s="26" t="s">
        <v>81</v>
      </c>
      <c r="C23" s="27" t="str">
        <f>원가!B13</f>
        <v>WCB</v>
      </c>
      <c r="D23" s="27">
        <v>1</v>
      </c>
      <c r="E23" s="28"/>
      <c r="F23" s="32">
        <v>80</v>
      </c>
      <c r="G23" s="32"/>
      <c r="H23" s="20">
        <f>원가!C13</f>
        <v>2600</v>
      </c>
      <c r="I23" s="21">
        <f>D23*F23*H23</f>
        <v>208000</v>
      </c>
      <c r="J23" s="21">
        <v>35000</v>
      </c>
      <c r="K23" s="22">
        <f t="shared" si="0"/>
        <v>243000</v>
      </c>
      <c r="L23" s="33"/>
    </row>
    <row r="24" spans="1:14" s="13" customFormat="1" ht="18" customHeight="1">
      <c r="A24" s="14">
        <v>16</v>
      </c>
      <c r="B24" s="15" t="s">
        <v>82</v>
      </c>
      <c r="C24" s="16" t="s">
        <v>75</v>
      </c>
      <c r="D24" s="16">
        <v>4</v>
      </c>
      <c r="E24" s="17"/>
      <c r="F24" s="25">
        <v>1</v>
      </c>
      <c r="G24" s="32"/>
      <c r="H24" s="20">
        <v>10000</v>
      </c>
      <c r="I24" s="21">
        <f>D24*F24*H24</f>
        <v>40000</v>
      </c>
      <c r="J24" s="21"/>
      <c r="K24" s="22">
        <f t="shared" si="0"/>
        <v>40000</v>
      </c>
      <c r="L24" s="33"/>
    </row>
    <row r="25" spans="1:14" s="13" customFormat="1" ht="18" customHeight="1">
      <c r="A25" s="14">
        <v>17</v>
      </c>
      <c r="B25" s="15" t="s">
        <v>83</v>
      </c>
      <c r="C25" s="16" t="s">
        <v>447</v>
      </c>
      <c r="D25" s="16">
        <v>1</v>
      </c>
      <c r="E25" s="17"/>
      <c r="F25" s="25">
        <v>1</v>
      </c>
      <c r="G25" s="32"/>
      <c r="H25" s="35">
        <v>1080</v>
      </c>
      <c r="I25" s="21">
        <f>D25*F25*H25</f>
        <v>1080</v>
      </c>
      <c r="J25" s="21">
        <v>1000</v>
      </c>
      <c r="K25" s="22">
        <f t="shared" si="0"/>
        <v>2080</v>
      </c>
      <c r="L25" s="33"/>
    </row>
    <row r="26" spans="1:14" s="13" customFormat="1" ht="18" customHeight="1">
      <c r="A26" s="131">
        <v>18</v>
      </c>
      <c r="B26" s="15" t="s">
        <v>452</v>
      </c>
      <c r="C26" s="16" t="str">
        <f>원가!B17</f>
        <v>10 BAR</v>
      </c>
      <c r="D26" s="16">
        <v>1</v>
      </c>
      <c r="E26" s="17"/>
      <c r="F26" s="32">
        <v>305</v>
      </c>
      <c r="G26" s="32"/>
      <c r="H26" s="35"/>
      <c r="I26" s="21"/>
      <c r="J26" s="97" t="s">
        <v>511</v>
      </c>
      <c r="K26" s="95">
        <f>IF(C26="PIYAKE",L26,IF(C26="10 BAR",M26,IF(C26="20 BAR",N26)))</f>
        <v>1301000</v>
      </c>
      <c r="L26" s="33">
        <v>970245</v>
      </c>
      <c r="M26" s="33">
        <v>1301000</v>
      </c>
      <c r="N26" s="33">
        <v>1823000</v>
      </c>
    </row>
    <row r="27" spans="1:14" s="13" customFormat="1" ht="24" customHeight="1">
      <c r="A27" s="131"/>
      <c r="B27" s="36" t="s">
        <v>84</v>
      </c>
      <c r="C27" s="16"/>
      <c r="D27" s="60">
        <v>8</v>
      </c>
      <c r="E27" s="17"/>
      <c r="F27" s="25">
        <v>1</v>
      </c>
      <c r="G27" s="32"/>
      <c r="H27" s="35">
        <v>13000</v>
      </c>
      <c r="I27" s="57">
        <f>D27*F27*H27</f>
        <v>104000</v>
      </c>
      <c r="J27" s="21"/>
      <c r="K27" s="22">
        <f t="shared" si="0"/>
        <v>104000</v>
      </c>
      <c r="L27" s="33"/>
    </row>
    <row r="28" spans="1:14" s="13" customFormat="1" ht="18" customHeight="1">
      <c r="A28" s="14">
        <v>19</v>
      </c>
      <c r="B28" s="15" t="s">
        <v>453</v>
      </c>
      <c r="C28" s="16" t="s">
        <v>454</v>
      </c>
      <c r="D28" s="16">
        <v>1</v>
      </c>
      <c r="E28" s="17"/>
      <c r="F28" s="25">
        <v>1</v>
      </c>
      <c r="G28" s="32"/>
      <c r="H28" s="17"/>
      <c r="I28" s="21">
        <v>7100</v>
      </c>
      <c r="J28" s="21">
        <v>4400</v>
      </c>
      <c r="K28" s="22">
        <f t="shared" si="0"/>
        <v>11500</v>
      </c>
      <c r="L28" s="33"/>
    </row>
    <row r="29" spans="1:14" s="13" customFormat="1" ht="18" customHeight="1">
      <c r="A29" s="14">
        <v>20</v>
      </c>
      <c r="B29" s="15" t="s">
        <v>455</v>
      </c>
      <c r="C29" s="16"/>
      <c r="D29" s="16">
        <v>1</v>
      </c>
      <c r="E29" s="17"/>
      <c r="F29" s="25">
        <v>1</v>
      </c>
      <c r="G29" s="32"/>
      <c r="H29" s="17"/>
      <c r="I29" s="22">
        <v>150000</v>
      </c>
      <c r="J29" s="22"/>
      <c r="K29" s="22">
        <f t="shared" si="0"/>
        <v>150000</v>
      </c>
      <c r="L29" s="33"/>
    </row>
    <row r="30" spans="1:14" s="13" customFormat="1" ht="18" customHeight="1">
      <c r="A30" s="14">
        <v>21</v>
      </c>
      <c r="B30" s="15" t="s">
        <v>456</v>
      </c>
      <c r="C30" s="16"/>
      <c r="D30" s="16">
        <v>1</v>
      </c>
      <c r="E30" s="17"/>
      <c r="F30" s="25">
        <v>1</v>
      </c>
      <c r="G30" s="32"/>
      <c r="H30" s="17"/>
      <c r="I30" s="22">
        <v>130000</v>
      </c>
      <c r="J30" s="22"/>
      <c r="K30" s="22">
        <f t="shared" si="0"/>
        <v>130000</v>
      </c>
      <c r="L30" s="33"/>
    </row>
    <row r="31" spans="1:14" s="13" customFormat="1" ht="18" customHeight="1">
      <c r="A31" s="14">
        <v>22</v>
      </c>
      <c r="B31" s="37" t="s">
        <v>457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11049545</v>
      </c>
      <c r="L31" s="33"/>
    </row>
    <row r="32" spans="1:14" s="13" customFormat="1" ht="18" customHeight="1">
      <c r="A32" s="14">
        <v>23</v>
      </c>
      <c r="B32" s="15" t="s">
        <v>85</v>
      </c>
      <c r="C32" s="16"/>
      <c r="D32" s="16"/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458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459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460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350000</v>
      </c>
      <c r="L35" s="33"/>
    </row>
    <row r="36" spans="1:13" s="13" customFormat="1" ht="18" customHeight="1">
      <c r="A36" s="14">
        <v>26</v>
      </c>
      <c r="B36" s="15" t="s">
        <v>461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462</v>
      </c>
      <c r="C37" s="38"/>
      <c r="D37" s="42"/>
      <c r="E37" s="39"/>
      <c r="F37" s="39"/>
      <c r="G37" s="39"/>
      <c r="H37" s="39"/>
      <c r="I37" s="43">
        <f>SUM(K32:K36)</f>
        <v>350000</v>
      </c>
      <c r="J37" s="44">
        <v>1</v>
      </c>
      <c r="K37" s="43">
        <f>J37*I37</f>
        <v>350000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463</v>
      </c>
      <c r="C39" s="38"/>
      <c r="D39" s="38"/>
      <c r="E39" s="47" t="s">
        <v>464</v>
      </c>
      <c r="F39" s="132">
        <f>L40</f>
        <v>0</v>
      </c>
      <c r="G39" s="133"/>
      <c r="H39" s="39"/>
      <c r="I39" s="41">
        <f>K31</f>
        <v>11049545</v>
      </c>
      <c r="J39" s="48">
        <f>원가!B15</f>
        <v>1</v>
      </c>
      <c r="K39" s="43">
        <f>J39*I39</f>
        <v>11049545</v>
      </c>
      <c r="L39" s="49" t="s">
        <v>464</v>
      </c>
    </row>
    <row r="40" spans="1:13" s="50" customFormat="1" ht="18" customHeight="1">
      <c r="A40" s="14">
        <v>30</v>
      </c>
      <c r="B40" s="10" t="s">
        <v>465</v>
      </c>
      <c r="C40" s="38"/>
      <c r="D40" s="38"/>
      <c r="E40" s="47" t="s">
        <v>466</v>
      </c>
      <c r="F40" s="132">
        <f>K40</f>
        <v>11399545</v>
      </c>
      <c r="G40" s="133"/>
      <c r="H40" s="39" t="s">
        <v>502</v>
      </c>
      <c r="I40" s="48">
        <f>원가!B2</f>
        <v>1</v>
      </c>
      <c r="J40" s="48"/>
      <c r="K40" s="41">
        <f>SUM(K37:K39)/I40</f>
        <v>11399545</v>
      </c>
      <c r="L40" s="49"/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N47"/>
  <sheetViews>
    <sheetView topLeftCell="A13"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3.42578125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375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15"/>
      <c r="F6" s="70">
        <v>1450</v>
      </c>
      <c r="G6" s="55"/>
      <c r="H6" s="20">
        <f>원가!C4</f>
        <v>2600</v>
      </c>
      <c r="I6" s="57">
        <f>D6*F6*H6</f>
        <v>3770000</v>
      </c>
      <c r="J6" s="57">
        <v>540000</v>
      </c>
      <c r="K6" s="58">
        <f t="shared" ref="K6:K30" si="0">I6+J6</f>
        <v>4310000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15"/>
      <c r="F7" s="70">
        <v>709</v>
      </c>
      <c r="G7" s="55"/>
      <c r="H7" s="20">
        <f>원가!C5</f>
        <v>2600</v>
      </c>
      <c r="I7" s="57">
        <f>D7*F7*H7</f>
        <v>1843400</v>
      </c>
      <c r="J7" s="57">
        <v>300000</v>
      </c>
      <c r="K7" s="58">
        <f t="shared" si="0"/>
        <v>2143400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15"/>
      <c r="F8" s="59" t="s">
        <v>488</v>
      </c>
      <c r="G8" s="55"/>
      <c r="H8" s="20"/>
      <c r="I8" s="57">
        <v>35000</v>
      </c>
      <c r="J8" s="57">
        <v>10000</v>
      </c>
      <c r="K8" s="58">
        <f t="shared" si="0"/>
        <v>45000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15"/>
      <c r="F9" s="55">
        <v>189.4</v>
      </c>
      <c r="G9" s="55"/>
      <c r="H9" s="20">
        <f>원가!C6</f>
        <v>8500</v>
      </c>
      <c r="I9" s="57">
        <f t="shared" ref="I9:I18" si="1">D9*F9*H9</f>
        <v>1609900</v>
      </c>
      <c r="J9" s="57">
        <v>200000</v>
      </c>
      <c r="K9" s="58">
        <f t="shared" si="0"/>
        <v>1809900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65.23</v>
      </c>
      <c r="G10" s="55"/>
      <c r="H10" s="20">
        <f>원가!C7</f>
        <v>8500</v>
      </c>
      <c r="I10" s="57">
        <f t="shared" si="1"/>
        <v>554455</v>
      </c>
      <c r="J10" s="57">
        <v>151000</v>
      </c>
      <c r="K10" s="58">
        <f t="shared" si="0"/>
        <v>705455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29">
        <v>72.930000000000007</v>
      </c>
      <c r="G11" s="29"/>
      <c r="H11" s="20">
        <f>원가!C8</f>
        <v>8500</v>
      </c>
      <c r="I11" s="57">
        <f t="shared" si="1"/>
        <v>619905</v>
      </c>
      <c r="J11" s="57">
        <v>151000</v>
      </c>
      <c r="K11" s="58">
        <f t="shared" si="0"/>
        <v>770905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14.5</v>
      </c>
      <c r="G12" s="55"/>
      <c r="H12" s="20">
        <f>원가!C9</f>
        <v>12500</v>
      </c>
      <c r="I12" s="57">
        <f t="shared" si="1"/>
        <v>181250</v>
      </c>
      <c r="J12" s="57">
        <v>15000</v>
      </c>
      <c r="K12" s="58">
        <f t="shared" si="0"/>
        <v>196250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14.5</v>
      </c>
      <c r="G13" s="55"/>
      <c r="H13" s="20">
        <f>원가!C10</f>
        <v>12500</v>
      </c>
      <c r="I13" s="57">
        <f t="shared" si="1"/>
        <v>181250</v>
      </c>
      <c r="J13" s="57">
        <v>15000</v>
      </c>
      <c r="K13" s="58">
        <f t="shared" si="0"/>
        <v>196250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30">
        <v>550</v>
      </c>
      <c r="I14" s="57">
        <f t="shared" si="1"/>
        <v>2750</v>
      </c>
      <c r="J14" s="63"/>
      <c r="K14" s="58">
        <f t="shared" si="0"/>
        <v>2750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1.6</v>
      </c>
      <c r="G15" s="61"/>
      <c r="H15" s="30">
        <v>3150</v>
      </c>
      <c r="I15" s="57">
        <f t="shared" si="1"/>
        <v>20160</v>
      </c>
      <c r="J15" s="63"/>
      <c r="K15" s="58">
        <f t="shared" si="0"/>
        <v>20160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14</v>
      </c>
      <c r="G16" s="55"/>
      <c r="H16" s="20">
        <f>원가!C11</f>
        <v>2600</v>
      </c>
      <c r="I16" s="57">
        <f t="shared" si="1"/>
        <v>36400</v>
      </c>
      <c r="J16" s="57">
        <v>12000</v>
      </c>
      <c r="K16" s="58">
        <f t="shared" si="0"/>
        <v>48400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20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16</v>
      </c>
      <c r="G18" s="55"/>
      <c r="H18" s="20">
        <f>원가!C12</f>
        <v>2600</v>
      </c>
      <c r="I18" s="57">
        <f t="shared" si="1"/>
        <v>41600</v>
      </c>
      <c r="J18" s="57">
        <v>15000</v>
      </c>
      <c r="K18" s="58">
        <f t="shared" si="0"/>
        <v>56600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4.95</v>
      </c>
      <c r="G19" s="55"/>
      <c r="H19" s="56"/>
      <c r="I19" s="57">
        <v>35980</v>
      </c>
      <c r="J19" s="57"/>
      <c r="K19" s="58">
        <f t="shared" si="0"/>
        <v>35980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4</v>
      </c>
      <c r="E20" s="26"/>
      <c r="F20" s="64">
        <v>2.72</v>
      </c>
      <c r="G20" s="65"/>
      <c r="H20" s="56">
        <v>25050</v>
      </c>
      <c r="I20" s="57">
        <f t="shared" ref="I20:I25" si="2">D20*F20*H20</f>
        <v>272544</v>
      </c>
      <c r="J20" s="57">
        <v>13600</v>
      </c>
      <c r="K20" s="58">
        <f t="shared" si="0"/>
        <v>286144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28</v>
      </c>
      <c r="E21" s="26"/>
      <c r="F21" s="59">
        <v>1</v>
      </c>
      <c r="G21" s="65"/>
      <c r="H21" s="56">
        <v>360</v>
      </c>
      <c r="I21" s="57">
        <f t="shared" si="2"/>
        <v>10080</v>
      </c>
      <c r="J21" s="57"/>
      <c r="K21" s="58">
        <f t="shared" si="0"/>
        <v>10080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27">
        <v>6</v>
      </c>
      <c r="E22" s="26"/>
      <c r="F22" s="59">
        <v>1</v>
      </c>
      <c r="G22" s="65"/>
      <c r="H22" s="56">
        <v>6000</v>
      </c>
      <c r="I22" s="57">
        <f t="shared" si="2"/>
        <v>36000</v>
      </c>
      <c r="J22" s="57"/>
      <c r="K22" s="58">
        <f t="shared" si="0"/>
        <v>36000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95</v>
      </c>
      <c r="G23" s="65"/>
      <c r="H23" s="56">
        <f>원가!C13</f>
        <v>2600</v>
      </c>
      <c r="I23" s="57">
        <f t="shared" si="2"/>
        <v>247000</v>
      </c>
      <c r="J23" s="57">
        <v>38000</v>
      </c>
      <c r="K23" s="58">
        <f t="shared" si="0"/>
        <v>285000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56">
        <v>10000</v>
      </c>
      <c r="I24" s="57">
        <f t="shared" si="2"/>
        <v>60000</v>
      </c>
      <c r="J24" s="57"/>
      <c r="K24" s="58">
        <f t="shared" si="0"/>
        <v>60000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1450</v>
      </c>
      <c r="I25" s="57">
        <f t="shared" si="2"/>
        <v>1450</v>
      </c>
      <c r="J25" s="57"/>
      <c r="K25" s="58">
        <f t="shared" si="0"/>
        <v>1450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305</v>
      </c>
      <c r="G26" s="65"/>
      <c r="H26" s="66"/>
      <c r="I26" s="57"/>
      <c r="J26" s="97" t="s">
        <v>511</v>
      </c>
      <c r="K26" s="96">
        <f>IF(C26="PIYAKE",L26,IF(C26="10 BAR",M26,IF(C26="20 BAR",N26)))</f>
        <v>1301000</v>
      </c>
      <c r="L26" s="33">
        <v>970245</v>
      </c>
      <c r="M26" s="33">
        <v>1301000</v>
      </c>
      <c r="N26" s="33">
        <v>1823000</v>
      </c>
    </row>
    <row r="27" spans="1:14" s="13" customFormat="1" ht="24" customHeight="1">
      <c r="A27" s="131"/>
      <c r="B27" s="36" t="s">
        <v>188</v>
      </c>
      <c r="C27" s="16"/>
      <c r="D27" s="60">
        <v>8</v>
      </c>
      <c r="E27" s="15"/>
      <c r="F27" s="59">
        <v>1</v>
      </c>
      <c r="G27" s="65"/>
      <c r="H27" s="66"/>
      <c r="I27" s="57">
        <f>D27*F27*H27</f>
        <v>0</v>
      </c>
      <c r="J27" s="57"/>
      <c r="K27" s="58">
        <f t="shared" si="0"/>
        <v>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5"/>
      <c r="F28" s="59">
        <v>1</v>
      </c>
      <c r="G28" s="65"/>
      <c r="H28" s="15"/>
      <c r="I28" s="57">
        <v>7100</v>
      </c>
      <c r="J28" s="57">
        <v>4400</v>
      </c>
      <c r="K28" s="58">
        <f t="shared" si="0"/>
        <v>11500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5"/>
      <c r="F29" s="59">
        <v>1</v>
      </c>
      <c r="G29" s="65"/>
      <c r="H29" s="15"/>
      <c r="I29" s="58">
        <v>170000</v>
      </c>
      <c r="J29" s="58"/>
      <c r="K29" s="58">
        <f t="shared" si="0"/>
        <v>170000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5"/>
      <c r="F30" s="59">
        <v>1</v>
      </c>
      <c r="G30" s="65"/>
      <c r="H30" s="15"/>
      <c r="I30" s="58">
        <v>150000</v>
      </c>
      <c r="J30" s="58"/>
      <c r="K30" s="58">
        <f t="shared" si="0"/>
        <v>150000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12661824</v>
      </c>
      <c r="L31" s="33"/>
    </row>
    <row r="32" spans="1:14" s="13" customFormat="1" ht="18" customHeight="1">
      <c r="A32" s="14">
        <v>23</v>
      </c>
      <c r="B32" s="15" t="s">
        <v>376</v>
      </c>
      <c r="C32" s="16"/>
      <c r="D32" s="16">
        <v>2</v>
      </c>
      <c r="E32" s="17"/>
      <c r="F32" s="17"/>
      <c r="G32" s="17"/>
      <c r="H32" s="17"/>
      <c r="I32" s="17"/>
      <c r="J32" s="17"/>
      <c r="K32" s="21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500000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500000</v>
      </c>
      <c r="J37" s="44">
        <v>1</v>
      </c>
      <c r="K37" s="43">
        <f>J37*I37</f>
        <v>500000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69690</v>
      </c>
      <c r="G39" s="133"/>
      <c r="H39" s="39"/>
      <c r="I39" s="41">
        <f>K31</f>
        <v>12661824</v>
      </c>
      <c r="J39" s="48">
        <f>원가!B15</f>
        <v>1</v>
      </c>
      <c r="K39" s="43">
        <f>J39*I39</f>
        <v>12661824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13161824</v>
      </c>
      <c r="G40" s="133"/>
      <c r="H40" s="39" t="s">
        <v>502</v>
      </c>
      <c r="I40" s="48">
        <f>원가!B2</f>
        <v>1</v>
      </c>
      <c r="J40" s="48"/>
      <c r="K40" s="41">
        <f>SUM(K37:K39)/I40</f>
        <v>13161824</v>
      </c>
      <c r="L40" s="49">
        <v>69690</v>
      </c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topLeftCell="A13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" customWidth="1"/>
    <col min="12" max="12" width="10.42578125" bestFit="1" customWidth="1"/>
    <col min="13" max="14" width="12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486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53">
        <v>1745</v>
      </c>
      <c r="F6" s="54">
        <v>1534</v>
      </c>
      <c r="G6" s="55"/>
      <c r="H6" s="56">
        <f>원가!C4</f>
        <v>2600</v>
      </c>
      <c r="I6" s="57">
        <f>D6*F6*H6</f>
        <v>3988400</v>
      </c>
      <c r="J6" s="57">
        <v>850000</v>
      </c>
      <c r="K6" s="58">
        <f t="shared" ref="K6:K30" si="0">I6+J6</f>
        <v>4838400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53">
        <v>818</v>
      </c>
      <c r="F7" s="54">
        <v>800</v>
      </c>
      <c r="G7" s="55"/>
      <c r="H7" s="56">
        <f>원가!C5</f>
        <v>2600</v>
      </c>
      <c r="I7" s="57">
        <f>D7*F7*H7</f>
        <v>2080000</v>
      </c>
      <c r="J7" s="57">
        <v>450000</v>
      </c>
      <c r="K7" s="58">
        <f t="shared" si="0"/>
        <v>2530000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1</v>
      </c>
      <c r="G8" s="55"/>
      <c r="H8" s="56"/>
      <c r="I8" s="57">
        <v>45000</v>
      </c>
      <c r="J8" s="57">
        <v>10000</v>
      </c>
      <c r="K8" s="58">
        <f t="shared" si="0"/>
        <v>55000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182</v>
      </c>
      <c r="G9" s="55"/>
      <c r="H9" s="56">
        <f>원가!C6</f>
        <v>8500</v>
      </c>
      <c r="I9" s="57">
        <f t="shared" ref="I9:I25" si="1">D9*F9*H9</f>
        <v>1547000</v>
      </c>
      <c r="J9" s="57">
        <v>200000</v>
      </c>
      <c r="K9" s="58">
        <f t="shared" si="0"/>
        <v>1747000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77</v>
      </c>
      <c r="G10" s="55"/>
      <c r="H10" s="56">
        <f>원가!C7</f>
        <v>8500</v>
      </c>
      <c r="I10" s="57">
        <f t="shared" si="1"/>
        <v>654500</v>
      </c>
      <c r="J10" s="57">
        <v>226000</v>
      </c>
      <c r="K10" s="58">
        <f t="shared" si="0"/>
        <v>880500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>
        <v>77</v>
      </c>
      <c r="G11" s="29"/>
      <c r="H11" s="56">
        <f>원가!C8</f>
        <v>8500</v>
      </c>
      <c r="I11" s="57">
        <f t="shared" si="1"/>
        <v>654500</v>
      </c>
      <c r="J11" s="57">
        <v>226000</v>
      </c>
      <c r="K11" s="58">
        <f t="shared" si="0"/>
        <v>880500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19</v>
      </c>
      <c r="G12" s="55"/>
      <c r="H12" s="56">
        <f>원가!C9</f>
        <v>12500</v>
      </c>
      <c r="I12" s="57">
        <f t="shared" si="1"/>
        <v>237500</v>
      </c>
      <c r="J12" s="57">
        <v>32000</v>
      </c>
      <c r="K12" s="58">
        <f t="shared" si="0"/>
        <v>269500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14</v>
      </c>
      <c r="G13" s="55"/>
      <c r="H13" s="56">
        <f>원가!C10</f>
        <v>12500</v>
      </c>
      <c r="I13" s="57">
        <f t="shared" si="1"/>
        <v>175000</v>
      </c>
      <c r="J13" s="57">
        <v>32000</v>
      </c>
      <c r="K13" s="58">
        <f t="shared" si="0"/>
        <v>207000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1.6</v>
      </c>
      <c r="G15" s="61"/>
      <c r="H15" s="62">
        <v>11200</v>
      </c>
      <c r="I15" s="57">
        <f t="shared" si="1"/>
        <v>71680</v>
      </c>
      <c r="J15" s="63">
        <v>7500</v>
      </c>
      <c r="K15" s="58">
        <f t="shared" si="0"/>
        <v>79180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14.4</v>
      </c>
      <c r="G16" s="55"/>
      <c r="H16" s="56">
        <f>원가!C11</f>
        <v>2600</v>
      </c>
      <c r="I16" s="57">
        <f t="shared" si="1"/>
        <v>37440</v>
      </c>
      <c r="J16" s="57">
        <v>18000</v>
      </c>
      <c r="K16" s="58">
        <f t="shared" si="0"/>
        <v>55440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26</v>
      </c>
      <c r="G18" s="55"/>
      <c r="H18" s="56">
        <f>원가!C12</f>
        <v>2600</v>
      </c>
      <c r="I18" s="57">
        <f t="shared" si="1"/>
        <v>67600</v>
      </c>
      <c r="J18" s="57">
        <v>20000</v>
      </c>
      <c r="K18" s="58">
        <f t="shared" si="0"/>
        <v>87600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5.32</v>
      </c>
      <c r="G19" s="55"/>
      <c r="H19" s="56">
        <v>8000</v>
      </c>
      <c r="I19" s="57">
        <f t="shared" si="1"/>
        <v>42560</v>
      </c>
      <c r="J19" s="57">
        <v>9200</v>
      </c>
      <c r="K19" s="58">
        <f t="shared" si="0"/>
        <v>51760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4</v>
      </c>
      <c r="E20" s="26"/>
      <c r="F20" s="64">
        <v>2.9</v>
      </c>
      <c r="G20" s="65"/>
      <c r="H20" s="56">
        <v>20590</v>
      </c>
      <c r="I20" s="57">
        <f t="shared" si="1"/>
        <v>238844</v>
      </c>
      <c r="J20" s="57">
        <v>24800</v>
      </c>
      <c r="K20" s="58">
        <f t="shared" si="0"/>
        <v>263644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8000</v>
      </c>
      <c r="I22" s="57">
        <f t="shared" si="1"/>
        <v>64000</v>
      </c>
      <c r="J22" s="57"/>
      <c r="K22" s="58">
        <f t="shared" si="0"/>
        <v>64000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100</v>
      </c>
      <c r="G23" s="65"/>
      <c r="H23" s="56">
        <f>원가!C13</f>
        <v>2600</v>
      </c>
      <c r="I23" s="57">
        <f t="shared" si="1"/>
        <v>260000</v>
      </c>
      <c r="J23" s="57">
        <v>38000</v>
      </c>
      <c r="K23" s="58">
        <f t="shared" si="0"/>
        <v>298000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121">
        <v>11000</v>
      </c>
      <c r="I24" s="57">
        <f t="shared" si="1"/>
        <v>66000</v>
      </c>
      <c r="J24" s="57"/>
      <c r="K24" s="58">
        <f t="shared" si="0"/>
        <v>66000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305</v>
      </c>
      <c r="G26" s="65"/>
      <c r="H26" s="66"/>
      <c r="I26" s="57"/>
      <c r="J26" s="97" t="s">
        <v>511</v>
      </c>
      <c r="K26" s="96">
        <f>IF(C26="PIYAKE",L26,IF(C26="10 BAR",M26,IF(C26="20 BAR",N26)))</f>
        <v>1823000</v>
      </c>
      <c r="L26" s="33">
        <v>970245</v>
      </c>
      <c r="M26" s="33">
        <v>1823000</v>
      </c>
      <c r="N26" s="33">
        <v>3508000</v>
      </c>
    </row>
    <row r="27" spans="1:14" s="13" customFormat="1" ht="24" customHeight="1">
      <c r="A27" s="131"/>
      <c r="B27" s="36" t="s">
        <v>188</v>
      </c>
      <c r="C27" s="16"/>
      <c r="D27" s="60">
        <v>8</v>
      </c>
      <c r="E27" s="15"/>
      <c r="F27" s="59">
        <v>1</v>
      </c>
      <c r="G27" s="65"/>
      <c r="H27" s="66">
        <v>13000</v>
      </c>
      <c r="I27" s="57">
        <f>D27*F27*H27</f>
        <v>104000</v>
      </c>
      <c r="J27" s="57"/>
      <c r="K27" s="58">
        <f t="shared" si="0"/>
        <v>104000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5"/>
      <c r="F28" s="59">
        <v>1</v>
      </c>
      <c r="G28" s="65"/>
      <c r="H28" s="15"/>
      <c r="I28" s="57">
        <v>7100</v>
      </c>
      <c r="J28" s="57">
        <v>4400</v>
      </c>
      <c r="K28" s="58">
        <f t="shared" si="0"/>
        <v>11500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5"/>
      <c r="F29" s="59">
        <v>1</v>
      </c>
      <c r="G29" s="65"/>
      <c r="H29" s="15"/>
      <c r="I29" s="58">
        <v>180000</v>
      </c>
      <c r="J29" s="58"/>
      <c r="K29" s="58">
        <f t="shared" si="0"/>
        <v>180000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5"/>
      <c r="F30" s="59">
        <v>1</v>
      </c>
      <c r="G30" s="65"/>
      <c r="H30" s="15"/>
      <c r="I30" s="58">
        <v>160000</v>
      </c>
      <c r="J30" s="58"/>
      <c r="K30" s="58">
        <f t="shared" si="0"/>
        <v>160000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14686924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500000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500000</v>
      </c>
      <c r="J37" s="44">
        <v>1</v>
      </c>
      <c r="K37" s="43">
        <f>J37*I37</f>
        <v>500000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72440</v>
      </c>
      <c r="G39" s="133"/>
      <c r="H39" s="39"/>
      <c r="I39" s="41">
        <f>K31</f>
        <v>14686924</v>
      </c>
      <c r="J39" s="48">
        <f>원가!B15</f>
        <v>1</v>
      </c>
      <c r="K39" s="43">
        <f>J39*I39</f>
        <v>14686924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15186924</v>
      </c>
      <c r="G40" s="133"/>
      <c r="H40" s="39" t="s">
        <v>502</v>
      </c>
      <c r="I40" s="48">
        <f>원가!B2</f>
        <v>1</v>
      </c>
      <c r="J40" s="48"/>
      <c r="K40" s="41">
        <f>SUM(K37:K39)/I40</f>
        <v>15186924</v>
      </c>
      <c r="L40" s="49">
        <v>72440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6"/>
  <dimension ref="A1:N47"/>
  <sheetViews>
    <sheetView topLeftCell="A16"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3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151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53">
        <v>1954</v>
      </c>
      <c r="F6" s="54">
        <v>1897</v>
      </c>
      <c r="G6" s="55"/>
      <c r="H6" s="56">
        <f>원가!C4</f>
        <v>2600</v>
      </c>
      <c r="I6" s="57">
        <f>D6*F6*H6</f>
        <v>4932200</v>
      </c>
      <c r="J6" s="57">
        <v>900000</v>
      </c>
      <c r="K6" s="58">
        <f t="shared" ref="K6:K30" si="0">I6+J6</f>
        <v>5832200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53">
        <v>916</v>
      </c>
      <c r="F7" s="54">
        <v>975</v>
      </c>
      <c r="G7" s="55"/>
      <c r="H7" s="56">
        <f>원가!C5</f>
        <v>2600</v>
      </c>
      <c r="I7" s="57">
        <f>D7*F7*H7</f>
        <v>2535000</v>
      </c>
      <c r="J7" s="57">
        <v>480000</v>
      </c>
      <c r="K7" s="58">
        <f t="shared" si="0"/>
        <v>3015000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1</v>
      </c>
      <c r="G8" s="55"/>
      <c r="H8" s="56"/>
      <c r="I8" s="57">
        <v>45000</v>
      </c>
      <c r="J8" s="57">
        <v>10000</v>
      </c>
      <c r="K8" s="58">
        <f t="shared" si="0"/>
        <v>55000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215</v>
      </c>
      <c r="G9" s="55"/>
      <c r="H9" s="56">
        <f>원가!C6</f>
        <v>8500</v>
      </c>
      <c r="I9" s="57">
        <f t="shared" ref="I9:I25" si="1">D9*F9*H9</f>
        <v>1827500</v>
      </c>
      <c r="J9" s="57">
        <v>200000</v>
      </c>
      <c r="K9" s="58">
        <f t="shared" si="0"/>
        <v>2027500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103.5</v>
      </c>
      <c r="G10" s="55"/>
      <c r="H10" s="56">
        <f>원가!C7</f>
        <v>8500</v>
      </c>
      <c r="I10" s="57">
        <f t="shared" si="1"/>
        <v>879750</v>
      </c>
      <c r="J10" s="57">
        <v>226000</v>
      </c>
      <c r="K10" s="58">
        <f t="shared" si="0"/>
        <v>1105750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>
        <v>103.5</v>
      </c>
      <c r="G11" s="29"/>
      <c r="H11" s="56">
        <f>원가!C8</f>
        <v>8500</v>
      </c>
      <c r="I11" s="57">
        <f t="shared" si="1"/>
        <v>879750</v>
      </c>
      <c r="J11" s="57">
        <v>226000</v>
      </c>
      <c r="K11" s="58">
        <f t="shared" si="0"/>
        <v>1105750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17</v>
      </c>
      <c r="G12" s="55"/>
      <c r="H12" s="56">
        <f>원가!C9</f>
        <v>12500</v>
      </c>
      <c r="I12" s="57">
        <f t="shared" si="1"/>
        <v>212500</v>
      </c>
      <c r="J12" s="57">
        <v>32000</v>
      </c>
      <c r="K12" s="58">
        <f t="shared" si="0"/>
        <v>244500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16</v>
      </c>
      <c r="G13" s="55"/>
      <c r="H13" s="56">
        <f>원가!C10</f>
        <v>12500</v>
      </c>
      <c r="I13" s="57">
        <f t="shared" si="1"/>
        <v>200000</v>
      </c>
      <c r="J13" s="57">
        <v>32000</v>
      </c>
      <c r="K13" s="58">
        <f t="shared" si="0"/>
        <v>232000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1.6</v>
      </c>
      <c r="G15" s="61"/>
      <c r="H15" s="62">
        <v>11200</v>
      </c>
      <c r="I15" s="57">
        <f t="shared" si="1"/>
        <v>71680</v>
      </c>
      <c r="J15" s="63">
        <v>7500</v>
      </c>
      <c r="K15" s="58">
        <f t="shared" si="0"/>
        <v>79180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14.4</v>
      </c>
      <c r="G16" s="55"/>
      <c r="H16" s="56">
        <f>원가!C11</f>
        <v>2600</v>
      </c>
      <c r="I16" s="57">
        <f t="shared" si="1"/>
        <v>37440</v>
      </c>
      <c r="J16" s="57">
        <v>18000</v>
      </c>
      <c r="K16" s="58">
        <f t="shared" si="0"/>
        <v>55440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18.2</v>
      </c>
      <c r="G18" s="55"/>
      <c r="H18" s="56">
        <f>원가!C12</f>
        <v>2600</v>
      </c>
      <c r="I18" s="57">
        <f t="shared" si="1"/>
        <v>47320</v>
      </c>
      <c r="J18" s="57">
        <v>20000</v>
      </c>
      <c r="K18" s="58">
        <f t="shared" si="0"/>
        <v>67320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5.32</v>
      </c>
      <c r="G19" s="55"/>
      <c r="H19" s="56">
        <v>8000</v>
      </c>
      <c r="I19" s="57">
        <f t="shared" si="1"/>
        <v>42560</v>
      </c>
      <c r="J19" s="57">
        <v>9200</v>
      </c>
      <c r="K19" s="58">
        <f t="shared" si="0"/>
        <v>51760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4</v>
      </c>
      <c r="E20" s="26"/>
      <c r="F20" s="64">
        <v>1</v>
      </c>
      <c r="G20" s="65"/>
      <c r="H20" s="56">
        <v>20590</v>
      </c>
      <c r="I20" s="57">
        <f t="shared" si="1"/>
        <v>82360</v>
      </c>
      <c r="J20" s="57">
        <v>24800</v>
      </c>
      <c r="K20" s="58">
        <f t="shared" si="0"/>
        <v>107160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8000</v>
      </c>
      <c r="I22" s="57">
        <f t="shared" si="1"/>
        <v>64000</v>
      </c>
      <c r="J22" s="57"/>
      <c r="K22" s="58">
        <f t="shared" si="0"/>
        <v>64000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100</v>
      </c>
      <c r="G23" s="65"/>
      <c r="H23" s="56">
        <f>원가!C13</f>
        <v>2600</v>
      </c>
      <c r="I23" s="57">
        <f t="shared" si="1"/>
        <v>260000</v>
      </c>
      <c r="J23" s="57">
        <v>38000</v>
      </c>
      <c r="K23" s="58">
        <f t="shared" si="0"/>
        <v>298000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121">
        <v>11000</v>
      </c>
      <c r="I24" s="57">
        <f t="shared" si="1"/>
        <v>66000</v>
      </c>
      <c r="J24" s="57"/>
      <c r="K24" s="58">
        <f t="shared" si="0"/>
        <v>66000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305</v>
      </c>
      <c r="G26" s="65"/>
      <c r="H26" s="66"/>
      <c r="I26" s="57"/>
      <c r="J26" s="97" t="s">
        <v>511</v>
      </c>
      <c r="K26" s="96">
        <f>IF(C26="PIYAKE",L26,IF(C26="10 BAR",M26,IF(C26="20 BAR",N26)))</f>
        <v>1823000</v>
      </c>
      <c r="L26" s="33">
        <v>970245</v>
      </c>
      <c r="M26" s="33">
        <v>1823000</v>
      </c>
      <c r="N26" s="33">
        <v>3508000</v>
      </c>
    </row>
    <row r="27" spans="1:14" s="13" customFormat="1" ht="24" customHeight="1">
      <c r="A27" s="131"/>
      <c r="B27" s="36" t="s">
        <v>188</v>
      </c>
      <c r="C27" s="16"/>
      <c r="D27" s="60">
        <v>8</v>
      </c>
      <c r="E27" s="15"/>
      <c r="F27" s="59">
        <v>1</v>
      </c>
      <c r="G27" s="65"/>
      <c r="H27" s="66">
        <v>13000</v>
      </c>
      <c r="I27" s="57">
        <f>D27*F27*H27</f>
        <v>104000</v>
      </c>
      <c r="J27" s="57"/>
      <c r="K27" s="58">
        <f t="shared" si="0"/>
        <v>104000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5"/>
      <c r="F28" s="59">
        <v>1</v>
      </c>
      <c r="G28" s="65"/>
      <c r="H28" s="15"/>
      <c r="I28" s="57">
        <v>7100</v>
      </c>
      <c r="J28" s="57">
        <v>4400</v>
      </c>
      <c r="K28" s="58">
        <f t="shared" si="0"/>
        <v>11500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5"/>
      <c r="F29" s="59">
        <v>1</v>
      </c>
      <c r="G29" s="65"/>
      <c r="H29" s="15"/>
      <c r="I29" s="58">
        <v>200000</v>
      </c>
      <c r="J29" s="58"/>
      <c r="K29" s="58">
        <f t="shared" si="0"/>
        <v>200000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5"/>
      <c r="F30" s="59">
        <v>1</v>
      </c>
      <c r="G30" s="65"/>
      <c r="H30" s="15"/>
      <c r="I30" s="58">
        <v>170000</v>
      </c>
      <c r="J30" s="58"/>
      <c r="K30" s="58">
        <f t="shared" si="0"/>
        <v>170000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16749960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600000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600000</v>
      </c>
      <c r="J37" s="44">
        <v>1</v>
      </c>
      <c r="K37" s="43">
        <f>J37*I37</f>
        <v>600000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72440</v>
      </c>
      <c r="G39" s="133"/>
      <c r="H39" s="39"/>
      <c r="I39" s="41">
        <f>K31</f>
        <v>16749960</v>
      </c>
      <c r="J39" s="48">
        <f>원가!B15</f>
        <v>1</v>
      </c>
      <c r="K39" s="43">
        <f>J39*I39</f>
        <v>16749960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17349960</v>
      </c>
      <c r="G40" s="133"/>
      <c r="H40" s="39" t="s">
        <v>502</v>
      </c>
      <c r="I40" s="48">
        <f>원가!B2</f>
        <v>1</v>
      </c>
      <c r="J40" s="48"/>
      <c r="K40" s="41">
        <f>SUM(K37:K39)/I40</f>
        <v>17349960</v>
      </c>
      <c r="L40" s="49">
        <v>72440</v>
      </c>
      <c r="M40" s="13"/>
    </row>
    <row r="41" spans="1:13" s="50" customFormat="1" ht="18" customHeight="1">
      <c r="L41" s="51"/>
    </row>
    <row r="42" spans="1:13" s="50" customFormat="1" ht="12">
      <c r="D42" s="51"/>
    </row>
    <row r="43" spans="1:13" s="50" customFormat="1" ht="12">
      <c r="L43" s="51"/>
    </row>
    <row r="44" spans="1:13" s="50" customFormat="1" ht="12">
      <c r="L44" s="51"/>
    </row>
    <row r="45" spans="1:13" s="52" customFormat="1" ht="15">
      <c r="L45" s="51"/>
    </row>
    <row r="46" spans="1:13" s="52" customFormat="1" ht="15">
      <c r="L46" s="51"/>
    </row>
    <row r="47" spans="1:13" s="52" customFormat="1" ht="15">
      <c r="L47" s="51"/>
    </row>
  </sheetData>
  <mergeCells count="7">
    <mergeCell ref="A10:A11"/>
    <mergeCell ref="A12:A13"/>
    <mergeCell ref="F40:G40"/>
    <mergeCell ref="A14:A15"/>
    <mergeCell ref="A26:A27"/>
    <mergeCell ref="A33:A34"/>
    <mergeCell ref="F39:G39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0"/>
  <sheetViews>
    <sheetView topLeftCell="A16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28515625" customWidth="1"/>
    <col min="12" max="12" width="10.42578125" bestFit="1" customWidth="1"/>
    <col min="13" max="14" width="12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497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53">
        <v>1745</v>
      </c>
      <c r="F6" s="54">
        <v>2360</v>
      </c>
      <c r="G6" s="55"/>
      <c r="H6" s="56">
        <f>원가!C4</f>
        <v>2600</v>
      </c>
      <c r="I6" s="57">
        <f>D6*F6*H6</f>
        <v>6136000</v>
      </c>
      <c r="J6" s="57">
        <v>900000</v>
      </c>
      <c r="K6" s="58">
        <f t="shared" ref="K6:K30" si="0">I6+J6</f>
        <v>7036000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53">
        <v>818</v>
      </c>
      <c r="F7" s="54">
        <v>1150</v>
      </c>
      <c r="G7" s="55"/>
      <c r="H7" s="56">
        <f>원가!C5</f>
        <v>2600</v>
      </c>
      <c r="I7" s="57">
        <f>D7*F7*H7</f>
        <v>2990000</v>
      </c>
      <c r="J7" s="57">
        <v>480000</v>
      </c>
      <c r="K7" s="58">
        <f t="shared" si="0"/>
        <v>3470000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1</v>
      </c>
      <c r="G8" s="55"/>
      <c r="H8" s="56"/>
      <c r="I8" s="57">
        <v>60000</v>
      </c>
      <c r="J8" s="57">
        <v>10000</v>
      </c>
      <c r="K8" s="58">
        <f t="shared" si="0"/>
        <v>70000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270.3</v>
      </c>
      <c r="G9" s="55"/>
      <c r="H9" s="56">
        <f>원가!C6</f>
        <v>8500</v>
      </c>
      <c r="I9" s="57">
        <f t="shared" ref="I9:I25" si="1">D9*F9*H9</f>
        <v>2297550</v>
      </c>
      <c r="J9" s="57">
        <v>200000</v>
      </c>
      <c r="K9" s="58">
        <f t="shared" si="0"/>
        <v>2497550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94.8</v>
      </c>
      <c r="G10" s="55"/>
      <c r="H10" s="56">
        <f>원가!C7</f>
        <v>8500</v>
      </c>
      <c r="I10" s="57">
        <f t="shared" si="1"/>
        <v>805800</v>
      </c>
      <c r="J10" s="57">
        <v>280000</v>
      </c>
      <c r="K10" s="58">
        <f t="shared" si="0"/>
        <v>1085800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>
        <v>94.8</v>
      </c>
      <c r="G11" s="29"/>
      <c r="H11" s="56">
        <f>원가!C8</f>
        <v>8500</v>
      </c>
      <c r="I11" s="57">
        <f t="shared" si="1"/>
        <v>805800</v>
      </c>
      <c r="J11" s="57">
        <v>320000</v>
      </c>
      <c r="K11" s="58">
        <f t="shared" si="0"/>
        <v>1125800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19.5</v>
      </c>
      <c r="G12" s="55"/>
      <c r="H12" s="56">
        <f>원가!C9</f>
        <v>12500</v>
      </c>
      <c r="I12" s="57">
        <f t="shared" si="1"/>
        <v>243750</v>
      </c>
      <c r="J12" s="57">
        <v>32000</v>
      </c>
      <c r="K12" s="58">
        <f t="shared" si="0"/>
        <v>275750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19.5</v>
      </c>
      <c r="G13" s="55"/>
      <c r="H13" s="56">
        <f>원가!C10</f>
        <v>12500</v>
      </c>
      <c r="I13" s="57">
        <f t="shared" si="1"/>
        <v>243750</v>
      </c>
      <c r="J13" s="57">
        <v>32000</v>
      </c>
      <c r="K13" s="58">
        <f t="shared" si="0"/>
        <v>275750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1.6</v>
      </c>
      <c r="G15" s="61"/>
      <c r="H15" s="62">
        <v>11200</v>
      </c>
      <c r="I15" s="57">
        <f t="shared" si="1"/>
        <v>71680</v>
      </c>
      <c r="J15" s="63">
        <v>7500</v>
      </c>
      <c r="K15" s="58">
        <f t="shared" si="0"/>
        <v>79180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14.4</v>
      </c>
      <c r="G16" s="55"/>
      <c r="H16" s="56">
        <f>원가!C11</f>
        <v>2600</v>
      </c>
      <c r="I16" s="57">
        <f t="shared" si="1"/>
        <v>37440</v>
      </c>
      <c r="J16" s="57">
        <v>18000</v>
      </c>
      <c r="K16" s="58">
        <f t="shared" si="0"/>
        <v>55440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43</v>
      </c>
      <c r="G18" s="55"/>
      <c r="H18" s="56">
        <f>원가!C12</f>
        <v>2600</v>
      </c>
      <c r="I18" s="57">
        <f t="shared" si="1"/>
        <v>111800</v>
      </c>
      <c r="J18" s="57">
        <v>20000</v>
      </c>
      <c r="K18" s="58">
        <f t="shared" si="0"/>
        <v>131800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5.32</v>
      </c>
      <c r="G19" s="55"/>
      <c r="H19" s="56">
        <v>8000</v>
      </c>
      <c r="I19" s="57">
        <f t="shared" si="1"/>
        <v>42560</v>
      </c>
      <c r="J19" s="57">
        <v>9200</v>
      </c>
      <c r="K19" s="58">
        <f t="shared" si="0"/>
        <v>51760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4</v>
      </c>
      <c r="E20" s="26"/>
      <c r="F20" s="64">
        <v>1</v>
      </c>
      <c r="G20" s="65"/>
      <c r="H20" s="56">
        <v>20590</v>
      </c>
      <c r="I20" s="57">
        <f t="shared" si="1"/>
        <v>82360</v>
      </c>
      <c r="J20" s="57">
        <v>24800</v>
      </c>
      <c r="K20" s="58">
        <f t="shared" si="0"/>
        <v>107160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8000</v>
      </c>
      <c r="I22" s="57">
        <f t="shared" si="1"/>
        <v>64000</v>
      </c>
      <c r="J22" s="57"/>
      <c r="K22" s="58">
        <f t="shared" si="0"/>
        <v>64000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110</v>
      </c>
      <c r="G23" s="65"/>
      <c r="H23" s="56">
        <f>원가!C13</f>
        <v>2600</v>
      </c>
      <c r="I23" s="57">
        <f t="shared" si="1"/>
        <v>286000</v>
      </c>
      <c r="J23" s="57">
        <v>38000</v>
      </c>
      <c r="K23" s="58">
        <f t="shared" si="0"/>
        <v>324000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121">
        <v>12000</v>
      </c>
      <c r="I24" s="57">
        <f t="shared" si="1"/>
        <v>72000</v>
      </c>
      <c r="J24" s="57"/>
      <c r="K24" s="58">
        <f t="shared" si="0"/>
        <v>72000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1823000</v>
      </c>
      <c r="L26" s="33">
        <v>970245</v>
      </c>
      <c r="M26" s="33">
        <v>1823000</v>
      </c>
      <c r="N26" s="33">
        <v>3508000</v>
      </c>
    </row>
    <row r="27" spans="1:14" s="13" customFormat="1" ht="24" customHeight="1">
      <c r="A27" s="131"/>
      <c r="B27" s="36" t="s">
        <v>188</v>
      </c>
      <c r="C27" s="16"/>
      <c r="D27" s="60">
        <v>8</v>
      </c>
      <c r="E27" s="15"/>
      <c r="F27" s="59">
        <v>1</v>
      </c>
      <c r="G27" s="65"/>
      <c r="H27" s="66">
        <v>13000</v>
      </c>
      <c r="I27" s="57">
        <f>D27*F27*H27</f>
        <v>104000</v>
      </c>
      <c r="J27" s="57"/>
      <c r="K27" s="58">
        <f t="shared" si="0"/>
        <v>104000</v>
      </c>
      <c r="L27" s="33"/>
    </row>
    <row r="28" spans="1:14" s="13" customFormat="1" ht="18" customHeight="1">
      <c r="A28" s="14">
        <v>19</v>
      </c>
      <c r="B28" s="15" t="s">
        <v>189</v>
      </c>
      <c r="C28" s="16" t="s">
        <v>190</v>
      </c>
      <c r="D28" s="16">
        <v>1</v>
      </c>
      <c r="E28" s="15"/>
      <c r="F28" s="59">
        <v>1</v>
      </c>
      <c r="G28" s="65"/>
      <c r="H28" s="15"/>
      <c r="I28" s="57">
        <v>7100</v>
      </c>
      <c r="J28" s="57">
        <v>4400</v>
      </c>
      <c r="K28" s="58">
        <f t="shared" si="0"/>
        <v>11500</v>
      </c>
      <c r="L28" s="33"/>
    </row>
    <row r="29" spans="1:14" s="13" customFormat="1" ht="18" customHeight="1">
      <c r="A29" s="14">
        <v>20</v>
      </c>
      <c r="B29" s="15" t="s">
        <v>191</v>
      </c>
      <c r="C29" s="16"/>
      <c r="D29" s="16">
        <v>1</v>
      </c>
      <c r="E29" s="15"/>
      <c r="F29" s="59">
        <v>1</v>
      </c>
      <c r="G29" s="65"/>
      <c r="H29" s="15"/>
      <c r="I29" s="58">
        <v>200000</v>
      </c>
      <c r="J29" s="58"/>
      <c r="K29" s="58">
        <f t="shared" si="0"/>
        <v>200000</v>
      </c>
      <c r="L29" s="33"/>
    </row>
    <row r="30" spans="1:14" s="13" customFormat="1" ht="18" customHeight="1">
      <c r="A30" s="14">
        <v>21</v>
      </c>
      <c r="B30" s="15" t="s">
        <v>192</v>
      </c>
      <c r="C30" s="16"/>
      <c r="D30" s="16">
        <v>1</v>
      </c>
      <c r="E30" s="15"/>
      <c r="F30" s="59">
        <v>1</v>
      </c>
      <c r="G30" s="65"/>
      <c r="H30" s="15"/>
      <c r="I30" s="58">
        <v>170000</v>
      </c>
      <c r="J30" s="58"/>
      <c r="K30" s="58">
        <f t="shared" si="0"/>
        <v>170000</v>
      </c>
      <c r="L30" s="33"/>
    </row>
    <row r="31" spans="1:14" s="13" customFormat="1" ht="18" customHeight="1">
      <c r="A31" s="14">
        <v>22</v>
      </c>
      <c r="B31" s="37" t="s">
        <v>193</v>
      </c>
      <c r="C31" s="38"/>
      <c r="D31" s="38"/>
      <c r="E31" s="39"/>
      <c r="F31" s="39"/>
      <c r="G31" s="39"/>
      <c r="H31" s="39"/>
      <c r="I31" s="40"/>
      <c r="J31" s="40"/>
      <c r="K31" s="41">
        <f>SUM(K6:K30)</f>
        <v>19065390</v>
      </c>
      <c r="L31" s="33"/>
    </row>
    <row r="32" spans="1:14" s="13" customFormat="1" ht="18" customHeight="1">
      <c r="A32" s="14">
        <v>23</v>
      </c>
      <c r="B32" s="15"/>
      <c r="C32" s="16"/>
      <c r="D32" s="16"/>
      <c r="E32" s="17"/>
      <c r="F32" s="17"/>
      <c r="G32" s="17"/>
      <c r="H32" s="17"/>
      <c r="I32" s="17"/>
      <c r="J32" s="17"/>
      <c r="K32" s="17"/>
      <c r="L32" s="33"/>
    </row>
    <row r="33" spans="1:13" s="13" customFormat="1" ht="18" customHeight="1">
      <c r="A33" s="131">
        <v>24</v>
      </c>
      <c r="B33" s="15" t="s">
        <v>194</v>
      </c>
      <c r="C33" s="16"/>
      <c r="D33" s="16">
        <v>1</v>
      </c>
      <c r="E33" s="17"/>
      <c r="F33" s="25"/>
      <c r="G33" s="32"/>
      <c r="H33" s="21"/>
      <c r="I33" s="21"/>
      <c r="J33" s="21"/>
      <c r="K33" s="22"/>
      <c r="L33" s="33"/>
    </row>
    <row r="34" spans="1:13" s="13" customFormat="1" ht="24" customHeight="1">
      <c r="A34" s="131"/>
      <c r="B34" s="36" t="s">
        <v>195</v>
      </c>
      <c r="C34" s="16"/>
      <c r="D34" s="16">
        <v>4</v>
      </c>
      <c r="E34" s="17"/>
      <c r="F34" s="25"/>
      <c r="G34" s="32"/>
      <c r="H34" s="17"/>
      <c r="I34" s="21"/>
      <c r="J34" s="21"/>
      <c r="K34" s="22"/>
      <c r="L34" s="33"/>
    </row>
    <row r="35" spans="1:13" s="13" customFormat="1" ht="18" customHeight="1">
      <c r="A35" s="14">
        <v>25</v>
      </c>
      <c r="B35" s="15" t="s">
        <v>196</v>
      </c>
      <c r="C35" s="16"/>
      <c r="D35" s="16">
        <v>1</v>
      </c>
      <c r="E35" s="17"/>
      <c r="F35" s="25">
        <v>1</v>
      </c>
      <c r="G35" s="17"/>
      <c r="H35" s="17"/>
      <c r="I35" s="17"/>
      <c r="J35" s="17"/>
      <c r="K35" s="22">
        <v>600000</v>
      </c>
      <c r="L35" s="33"/>
    </row>
    <row r="36" spans="1:13" s="13" customFormat="1" ht="18" customHeight="1">
      <c r="A36" s="14">
        <v>26</v>
      </c>
      <c r="B36" s="15" t="s">
        <v>197</v>
      </c>
      <c r="C36" s="16"/>
      <c r="D36" s="16">
        <v>1</v>
      </c>
      <c r="E36" s="17"/>
      <c r="F36" s="25">
        <v>1</v>
      </c>
      <c r="G36" s="17"/>
      <c r="H36" s="17"/>
      <c r="I36" s="17"/>
      <c r="J36" s="17"/>
      <c r="K36" s="22"/>
      <c r="L36" s="33"/>
    </row>
    <row r="37" spans="1:13" s="13" customFormat="1" ht="18" customHeight="1">
      <c r="A37" s="14">
        <v>27</v>
      </c>
      <c r="B37" s="10" t="s">
        <v>198</v>
      </c>
      <c r="C37" s="38"/>
      <c r="D37" s="42"/>
      <c r="E37" s="39"/>
      <c r="F37" s="39"/>
      <c r="G37" s="39"/>
      <c r="H37" s="39"/>
      <c r="I37" s="43">
        <f>SUM(K32:K36)</f>
        <v>600000</v>
      </c>
      <c r="J37" s="44">
        <v>1</v>
      </c>
      <c r="K37" s="43">
        <f>J37*I37</f>
        <v>600000</v>
      </c>
      <c r="L37" s="33"/>
    </row>
    <row r="38" spans="1:13" s="13" customFormat="1" ht="18" customHeight="1">
      <c r="A38" s="14">
        <v>28</v>
      </c>
      <c r="B38" s="15"/>
      <c r="C38" s="16"/>
      <c r="D38" s="16"/>
      <c r="E38" s="17"/>
      <c r="F38" s="17"/>
      <c r="G38" s="17"/>
      <c r="H38" s="17"/>
      <c r="I38" s="17"/>
      <c r="J38" s="45"/>
      <c r="K38" s="17"/>
      <c r="L38" s="33"/>
    </row>
    <row r="39" spans="1:13" s="13" customFormat="1" ht="18" customHeight="1">
      <c r="A39" s="14">
        <v>29</v>
      </c>
      <c r="B39" s="46" t="s">
        <v>199</v>
      </c>
      <c r="C39" s="38"/>
      <c r="D39" s="38"/>
      <c r="E39" s="47" t="s">
        <v>200</v>
      </c>
      <c r="F39" s="132">
        <f>L40</f>
        <v>72440</v>
      </c>
      <c r="G39" s="133"/>
      <c r="H39" s="39"/>
      <c r="I39" s="41">
        <f>K31</f>
        <v>19065390</v>
      </c>
      <c r="J39" s="48">
        <f>원가!B15</f>
        <v>1</v>
      </c>
      <c r="K39" s="43">
        <f>J39*I39</f>
        <v>19065390</v>
      </c>
      <c r="L39" s="49" t="s">
        <v>200</v>
      </c>
    </row>
    <row r="40" spans="1:13" s="50" customFormat="1" ht="18" customHeight="1">
      <c r="A40" s="14">
        <v>30</v>
      </c>
      <c r="B40" s="10" t="s">
        <v>201</v>
      </c>
      <c r="C40" s="38"/>
      <c r="D40" s="38"/>
      <c r="E40" s="47" t="s">
        <v>202</v>
      </c>
      <c r="F40" s="132">
        <f>K40</f>
        <v>19665390</v>
      </c>
      <c r="G40" s="133"/>
      <c r="H40" s="39" t="s">
        <v>502</v>
      </c>
      <c r="I40" s="48">
        <f>원가!B2</f>
        <v>1</v>
      </c>
      <c r="J40" s="48"/>
      <c r="K40" s="41">
        <f>SUM(K37:K39)/I40</f>
        <v>19665390</v>
      </c>
      <c r="L40" s="49">
        <v>72440</v>
      </c>
      <c r="M40" s="13"/>
    </row>
  </sheetData>
  <mergeCells count="7">
    <mergeCell ref="A33:A34"/>
    <mergeCell ref="F39:G39"/>
    <mergeCell ref="F40:G40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N50"/>
  <sheetViews>
    <sheetView topLeftCell="A10" workbookViewId="0">
      <selection activeCell="M26" sqref="M26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10.5703125" style="4" bestFit="1" customWidth="1"/>
    <col min="9" max="9" width="12.7109375" style="4" customWidth="1"/>
    <col min="10" max="10" width="10" style="4" customWidth="1"/>
    <col min="11" max="11" width="14.7109375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94</v>
      </c>
      <c r="B3" s="6"/>
      <c r="C3" s="6" t="s">
        <v>378</v>
      </c>
      <c r="D3" s="6"/>
      <c r="E3" s="6"/>
      <c r="F3" s="6"/>
      <c r="G3" s="6" t="s">
        <v>95</v>
      </c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379</v>
      </c>
      <c r="B5" s="9" t="s">
        <v>380</v>
      </c>
      <c r="C5" s="9" t="s">
        <v>381</v>
      </c>
      <c r="D5" s="10" t="s">
        <v>382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387</v>
      </c>
      <c r="J5" s="9" t="s">
        <v>388</v>
      </c>
      <c r="K5" s="9" t="s">
        <v>389</v>
      </c>
      <c r="L5" s="11"/>
      <c r="M5" s="12"/>
    </row>
    <row r="6" spans="1:13" s="13" customFormat="1" ht="18" customHeight="1">
      <c r="A6" s="14">
        <v>1</v>
      </c>
      <c r="B6" s="15" t="s">
        <v>390</v>
      </c>
      <c r="C6" s="16" t="str">
        <f>원가!B4</f>
        <v>WCB</v>
      </c>
      <c r="D6" s="16">
        <v>1</v>
      </c>
      <c r="E6" s="27"/>
      <c r="F6" s="54">
        <v>2622</v>
      </c>
      <c r="G6" s="55"/>
      <c r="H6" s="56">
        <f>원가!C4</f>
        <v>2600</v>
      </c>
      <c r="I6" s="57">
        <f>D6*F6*H6</f>
        <v>6817200</v>
      </c>
      <c r="J6" s="57">
        <v>1000000</v>
      </c>
      <c r="K6" s="58">
        <f t="shared" ref="K6:K27" si="0">I6+J6</f>
        <v>7817200</v>
      </c>
      <c r="L6" s="23"/>
      <c r="M6" s="24"/>
    </row>
    <row r="7" spans="1:13" s="13" customFormat="1" ht="18" customHeight="1">
      <c r="A7" s="14">
        <v>2</v>
      </c>
      <c r="B7" s="15" t="s">
        <v>392</v>
      </c>
      <c r="C7" s="16" t="str">
        <f>원가!B5</f>
        <v>WCB</v>
      </c>
      <c r="D7" s="16">
        <v>1</v>
      </c>
      <c r="E7" s="27"/>
      <c r="F7" s="54">
        <v>1326</v>
      </c>
      <c r="G7" s="55"/>
      <c r="H7" s="56">
        <f>원가!C5</f>
        <v>2600</v>
      </c>
      <c r="I7" s="57">
        <f>D7*F7*H7</f>
        <v>3447600</v>
      </c>
      <c r="J7" s="57">
        <v>780000</v>
      </c>
      <c r="K7" s="58">
        <f t="shared" si="0"/>
        <v>4227600</v>
      </c>
      <c r="L7" s="23"/>
      <c r="M7" s="24"/>
    </row>
    <row r="8" spans="1:13" s="13" customFormat="1" ht="18" customHeight="1">
      <c r="A8" s="14">
        <v>3</v>
      </c>
      <c r="B8" s="15" t="s">
        <v>393</v>
      </c>
      <c r="C8" s="16" t="s">
        <v>394</v>
      </c>
      <c r="D8" s="16">
        <v>1</v>
      </c>
      <c r="E8" s="27"/>
      <c r="F8" s="59">
        <v>1</v>
      </c>
      <c r="G8" s="55"/>
      <c r="H8" s="56"/>
      <c r="I8" s="57">
        <v>80000</v>
      </c>
      <c r="J8" s="57">
        <v>10000</v>
      </c>
      <c r="K8" s="58">
        <f t="shared" si="0"/>
        <v>90000</v>
      </c>
      <c r="L8" s="23"/>
      <c r="M8" s="24"/>
    </row>
    <row r="9" spans="1:13" s="13" customFormat="1" ht="18" customHeight="1">
      <c r="A9" s="14">
        <v>4</v>
      </c>
      <c r="B9" s="15" t="s">
        <v>395</v>
      </c>
      <c r="C9" s="16" t="str">
        <f>원가!B6</f>
        <v>A276T316L</v>
      </c>
      <c r="D9" s="16">
        <v>1</v>
      </c>
      <c r="E9" s="27"/>
      <c r="F9" s="55">
        <v>281.7</v>
      </c>
      <c r="G9" s="55"/>
      <c r="H9" s="56">
        <f>원가!C6</f>
        <v>8500</v>
      </c>
      <c r="I9" s="57">
        <f t="shared" ref="I9:I25" si="1">D9*F9*H9</f>
        <v>2394450</v>
      </c>
      <c r="J9" s="57">
        <v>300000</v>
      </c>
      <c r="K9" s="58">
        <f t="shared" si="0"/>
        <v>2694450</v>
      </c>
      <c r="L9" s="23"/>
      <c r="M9" s="24"/>
    </row>
    <row r="10" spans="1:13" s="13" customFormat="1" ht="18" customHeight="1">
      <c r="A10" s="131">
        <v>5</v>
      </c>
      <c r="B10" s="15" t="s">
        <v>396</v>
      </c>
      <c r="C10" s="16" t="str">
        <f>원가!B7</f>
        <v>316L</v>
      </c>
      <c r="D10" s="16">
        <v>1</v>
      </c>
      <c r="E10" s="15"/>
      <c r="F10" s="55">
        <v>118.8</v>
      </c>
      <c r="G10" s="55"/>
      <c r="H10" s="56">
        <f>원가!C7</f>
        <v>8500</v>
      </c>
      <c r="I10" s="57">
        <f t="shared" si="1"/>
        <v>1009800</v>
      </c>
      <c r="J10" s="57">
        <v>360000</v>
      </c>
      <c r="K10" s="58">
        <f t="shared" si="0"/>
        <v>1369800</v>
      </c>
      <c r="L10" s="23"/>
      <c r="M10" s="24"/>
    </row>
    <row r="11" spans="1:13" s="13" customFormat="1" ht="18" customHeight="1">
      <c r="A11" s="131"/>
      <c r="B11" s="15" t="s">
        <v>398</v>
      </c>
      <c r="C11" s="16" t="str">
        <f>원가!B8</f>
        <v>316L</v>
      </c>
      <c r="D11" s="16">
        <v>1</v>
      </c>
      <c r="E11" s="28"/>
      <c r="F11" s="55">
        <v>118.8</v>
      </c>
      <c r="G11" s="29"/>
      <c r="H11" s="56">
        <f>원가!C8</f>
        <v>8500</v>
      </c>
      <c r="I11" s="57">
        <f t="shared" si="1"/>
        <v>1009800</v>
      </c>
      <c r="J11" s="57">
        <v>360000</v>
      </c>
      <c r="K11" s="58">
        <f t="shared" si="0"/>
        <v>1369800</v>
      </c>
      <c r="L11" s="23"/>
      <c r="M11" s="24"/>
    </row>
    <row r="12" spans="1:13" s="13" customFormat="1" ht="18" customHeight="1">
      <c r="A12" s="131">
        <v>6</v>
      </c>
      <c r="B12" s="15" t="s">
        <v>399</v>
      </c>
      <c r="C12" s="16" t="str">
        <f>원가!B9</f>
        <v>B148</v>
      </c>
      <c r="D12" s="16">
        <v>1</v>
      </c>
      <c r="E12" s="15"/>
      <c r="F12" s="55">
        <v>19</v>
      </c>
      <c r="G12" s="55"/>
      <c r="H12" s="56">
        <f>원가!C9</f>
        <v>12500</v>
      </c>
      <c r="I12" s="57">
        <f t="shared" si="1"/>
        <v>237500</v>
      </c>
      <c r="J12" s="57">
        <v>25000</v>
      </c>
      <c r="K12" s="58">
        <f t="shared" si="0"/>
        <v>262500</v>
      </c>
      <c r="L12" s="23"/>
      <c r="M12" s="24"/>
    </row>
    <row r="13" spans="1:13" s="13" customFormat="1" ht="18" customHeight="1">
      <c r="A13" s="131"/>
      <c r="B13" s="26" t="s">
        <v>400</v>
      </c>
      <c r="C13" s="16" t="str">
        <f>원가!B10</f>
        <v>B148</v>
      </c>
      <c r="D13" s="16">
        <v>1</v>
      </c>
      <c r="E13" s="15"/>
      <c r="F13" s="55">
        <v>19</v>
      </c>
      <c r="G13" s="55"/>
      <c r="H13" s="56">
        <f>원가!C10</f>
        <v>12500</v>
      </c>
      <c r="I13" s="57">
        <f t="shared" si="1"/>
        <v>237500</v>
      </c>
      <c r="J13" s="57">
        <v>25000</v>
      </c>
      <c r="K13" s="58">
        <f t="shared" si="0"/>
        <v>262500</v>
      </c>
      <c r="L13" s="23"/>
      <c r="M13" s="24"/>
    </row>
    <row r="14" spans="1:13" s="13" customFormat="1" ht="18" customHeight="1">
      <c r="A14" s="131">
        <v>7</v>
      </c>
      <c r="B14" s="26" t="s">
        <v>401</v>
      </c>
      <c r="C14" s="27" t="s">
        <v>394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402</v>
      </c>
      <c r="C15" s="27" t="s">
        <v>391</v>
      </c>
      <c r="D15" s="60">
        <v>4</v>
      </c>
      <c r="E15" s="26"/>
      <c r="F15" s="55">
        <v>1.5</v>
      </c>
      <c r="G15" s="61"/>
      <c r="H15" s="62">
        <v>11200</v>
      </c>
      <c r="I15" s="57">
        <f t="shared" si="1"/>
        <v>67200</v>
      </c>
      <c r="J15" s="63">
        <v>8000</v>
      </c>
      <c r="K15" s="58">
        <f t="shared" si="0"/>
        <v>75200</v>
      </c>
      <c r="L15" s="23"/>
      <c r="M15" s="24"/>
    </row>
    <row r="16" spans="1:13" s="13" customFormat="1" ht="18" customHeight="1">
      <c r="A16" s="14">
        <v>8</v>
      </c>
      <c r="B16" s="26" t="s">
        <v>403</v>
      </c>
      <c r="C16" s="16" t="str">
        <f>원가!B11</f>
        <v>WCB</v>
      </c>
      <c r="D16" s="16">
        <v>1</v>
      </c>
      <c r="E16" s="15"/>
      <c r="F16" s="55">
        <v>15.5</v>
      </c>
      <c r="G16" s="55"/>
      <c r="H16" s="56">
        <f>원가!C11</f>
        <v>2600</v>
      </c>
      <c r="I16" s="57">
        <f t="shared" si="1"/>
        <v>40300</v>
      </c>
      <c r="J16" s="57">
        <v>20000</v>
      </c>
      <c r="K16" s="58">
        <f t="shared" si="0"/>
        <v>60300</v>
      </c>
      <c r="L16" s="23"/>
      <c r="M16" s="24"/>
    </row>
    <row r="17" spans="1:14" s="13" customFormat="1" ht="18" customHeight="1">
      <c r="A17" s="14">
        <v>9</v>
      </c>
      <c r="B17" s="26" t="s">
        <v>404</v>
      </c>
      <c r="C17" s="27" t="s">
        <v>405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406</v>
      </c>
      <c r="C18" s="16" t="str">
        <f>원가!B12</f>
        <v>WCB</v>
      </c>
      <c r="D18" s="27">
        <v>1</v>
      </c>
      <c r="E18" s="26"/>
      <c r="F18" s="55">
        <v>62</v>
      </c>
      <c r="G18" s="55"/>
      <c r="H18" s="56">
        <f>원가!C12</f>
        <v>2600</v>
      </c>
      <c r="I18" s="57">
        <f t="shared" si="1"/>
        <v>161200</v>
      </c>
      <c r="J18" s="57">
        <v>30000</v>
      </c>
      <c r="K18" s="58">
        <f t="shared" si="0"/>
        <v>191200</v>
      </c>
      <c r="L18" s="23"/>
      <c r="M18" s="24"/>
    </row>
    <row r="19" spans="1:14" s="13" customFormat="1" ht="18" customHeight="1">
      <c r="A19" s="14">
        <v>11</v>
      </c>
      <c r="B19" s="26" t="s">
        <v>407</v>
      </c>
      <c r="C19" s="16" t="s">
        <v>391</v>
      </c>
      <c r="D19" s="27">
        <v>1</v>
      </c>
      <c r="E19" s="26"/>
      <c r="F19" s="55">
        <v>5.4</v>
      </c>
      <c r="G19" s="55"/>
      <c r="H19" s="56">
        <v>8000</v>
      </c>
      <c r="I19" s="57">
        <f t="shared" si="1"/>
        <v>43200</v>
      </c>
      <c r="J19" s="57">
        <v>11000</v>
      </c>
      <c r="K19" s="58">
        <f t="shared" si="0"/>
        <v>54200</v>
      </c>
      <c r="L19" s="23"/>
      <c r="M19" s="24"/>
    </row>
    <row r="20" spans="1:14" s="13" customFormat="1" ht="18" customHeight="1">
      <c r="A20" s="14">
        <v>12</v>
      </c>
      <c r="B20" s="26" t="s">
        <v>408</v>
      </c>
      <c r="C20" s="27" t="s">
        <v>397</v>
      </c>
      <c r="D20" s="27">
        <v>3</v>
      </c>
      <c r="E20" s="26"/>
      <c r="F20" s="65">
        <v>3.95</v>
      </c>
      <c r="G20" s="65"/>
      <c r="H20" s="56">
        <v>7500</v>
      </c>
      <c r="I20" s="57">
        <f t="shared" si="1"/>
        <v>88875.000000000015</v>
      </c>
      <c r="J20" s="57">
        <v>5500</v>
      </c>
      <c r="K20" s="58">
        <f t="shared" si="0"/>
        <v>94375.000000000015</v>
      </c>
      <c r="L20" s="33"/>
    </row>
    <row r="21" spans="1:14" s="13" customFormat="1" ht="18" customHeight="1">
      <c r="A21" s="14">
        <v>13</v>
      </c>
      <c r="B21" s="26" t="s">
        <v>409</v>
      </c>
      <c r="C21" s="27" t="s">
        <v>405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410</v>
      </c>
      <c r="C22" s="27" t="s">
        <v>405</v>
      </c>
      <c r="D22" s="60">
        <v>8</v>
      </c>
      <c r="E22" s="26"/>
      <c r="F22" s="59">
        <v>1</v>
      </c>
      <c r="G22" s="65"/>
      <c r="H22" s="56">
        <v>8000</v>
      </c>
      <c r="I22" s="57">
        <f t="shared" si="1"/>
        <v>64000</v>
      </c>
      <c r="J22" s="57"/>
      <c r="K22" s="58">
        <f t="shared" si="0"/>
        <v>64000</v>
      </c>
      <c r="L22" s="33"/>
    </row>
    <row r="23" spans="1:14" s="13" customFormat="1" ht="18" customHeight="1">
      <c r="A23" s="14">
        <v>15</v>
      </c>
      <c r="B23" s="26" t="s">
        <v>411</v>
      </c>
      <c r="C23" s="27" t="str">
        <f>원가!B13</f>
        <v>WCB</v>
      </c>
      <c r="D23" s="27">
        <v>1</v>
      </c>
      <c r="E23" s="26"/>
      <c r="F23" s="65">
        <v>120</v>
      </c>
      <c r="G23" s="65"/>
      <c r="H23" s="56">
        <f>원가!C13</f>
        <v>2600</v>
      </c>
      <c r="I23" s="57">
        <f t="shared" si="1"/>
        <v>312000</v>
      </c>
      <c r="J23" s="57">
        <v>40000</v>
      </c>
      <c r="K23" s="58">
        <f t="shared" si="0"/>
        <v>352000</v>
      </c>
      <c r="L23" s="33"/>
    </row>
    <row r="24" spans="1:14" s="13" customFormat="1" ht="18" customHeight="1">
      <c r="A24" s="14">
        <v>16</v>
      </c>
      <c r="B24" s="15" t="s">
        <v>412</v>
      </c>
      <c r="C24" s="16" t="s">
        <v>405</v>
      </c>
      <c r="D24" s="16">
        <v>6</v>
      </c>
      <c r="E24" s="15"/>
      <c r="F24" s="59">
        <v>1</v>
      </c>
      <c r="G24" s="65"/>
      <c r="H24" s="121">
        <v>12000</v>
      </c>
      <c r="I24" s="57">
        <f t="shared" si="1"/>
        <v>72000</v>
      </c>
      <c r="J24" s="57"/>
      <c r="K24" s="58">
        <f t="shared" si="0"/>
        <v>72000</v>
      </c>
      <c r="L24" s="33"/>
    </row>
    <row r="25" spans="1:14" s="13" customFormat="1" ht="18" customHeight="1">
      <c r="A25" s="14">
        <v>17</v>
      </c>
      <c r="B25" s="15" t="s">
        <v>413</v>
      </c>
      <c r="C25" s="16" t="s">
        <v>394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414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>
        <v>1101445</v>
      </c>
      <c r="J26" s="114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>
        <v>5200000</v>
      </c>
    </row>
    <row r="27" spans="1:14" s="13" customFormat="1" ht="24" customHeight="1">
      <c r="A27" s="131"/>
      <c r="B27" s="36" t="s">
        <v>415</v>
      </c>
      <c r="C27" s="16"/>
      <c r="D27" s="60">
        <v>12</v>
      </c>
      <c r="E27" s="15"/>
      <c r="F27" s="59">
        <v>1</v>
      </c>
      <c r="G27" s="65"/>
      <c r="H27" s="66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90</v>
      </c>
      <c r="C28" s="38" t="s">
        <v>397</v>
      </c>
      <c r="D28" s="38">
        <v>1</v>
      </c>
      <c r="E28" s="15"/>
      <c r="F28" s="55">
        <v>8.65</v>
      </c>
      <c r="G28" s="65"/>
      <c r="H28" s="66">
        <v>7500</v>
      </c>
      <c r="I28" s="57">
        <f>D28*F28*H28</f>
        <v>64875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91</v>
      </c>
      <c r="C29" s="38" t="s">
        <v>397</v>
      </c>
      <c r="D29" s="38">
        <v>2</v>
      </c>
      <c r="E29" s="15"/>
      <c r="F29" s="55">
        <v>6.5</v>
      </c>
      <c r="G29" s="65"/>
      <c r="H29" s="66">
        <v>7500</v>
      </c>
      <c r="I29" s="57">
        <f>D29*F29*H29</f>
        <v>97500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92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416</v>
      </c>
      <c r="C31" s="16" t="s">
        <v>417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418</v>
      </c>
      <c r="C32" s="16"/>
      <c r="D32" s="16">
        <v>1</v>
      </c>
      <c r="E32" s="15"/>
      <c r="F32" s="59">
        <v>1</v>
      </c>
      <c r="G32" s="65"/>
      <c r="H32" s="15"/>
      <c r="I32" s="58">
        <v>235000</v>
      </c>
      <c r="J32" s="58"/>
      <c r="K32" s="58">
        <f>I32+J32</f>
        <v>235000</v>
      </c>
      <c r="L32" s="33"/>
    </row>
    <row r="33" spans="1:13" s="13" customFormat="1" ht="18" customHeight="1" thickBot="1">
      <c r="A33" s="14">
        <v>21</v>
      </c>
      <c r="B33" s="15" t="s">
        <v>419</v>
      </c>
      <c r="C33" s="16"/>
      <c r="D33" s="16">
        <v>1</v>
      </c>
      <c r="E33" s="15"/>
      <c r="F33" s="59">
        <v>1</v>
      </c>
      <c r="G33" s="65"/>
      <c r="H33" s="15"/>
      <c r="I33" s="58">
        <v>190000</v>
      </c>
      <c r="J33" s="58"/>
      <c r="K33" s="110">
        <f>I33+J33</f>
        <v>190000</v>
      </c>
      <c r="L33" s="33"/>
    </row>
    <row r="34" spans="1:13" s="13" customFormat="1" ht="18" customHeight="1" thickTop="1" thickBot="1">
      <c r="A34" s="14">
        <v>22</v>
      </c>
      <c r="B34" s="37" t="s">
        <v>420</v>
      </c>
      <c r="C34" s="38"/>
      <c r="D34" s="38"/>
      <c r="E34" s="39"/>
      <c r="F34" s="39"/>
      <c r="G34" s="39"/>
      <c r="H34" s="39"/>
      <c r="I34" s="40"/>
      <c r="J34" s="109"/>
      <c r="K34" s="123">
        <f>SUM(K6:K33)</f>
        <v>23194125</v>
      </c>
      <c r="L34" s="33"/>
    </row>
    <row r="35" spans="1:13" s="13" customFormat="1" ht="18" customHeight="1" thickTop="1">
      <c r="A35" s="14">
        <v>23</v>
      </c>
      <c r="B35" s="102" t="s">
        <v>512</v>
      </c>
      <c r="C35" s="16"/>
      <c r="D35" s="16">
        <v>1</v>
      </c>
      <c r="E35" s="17"/>
      <c r="F35" s="17"/>
      <c r="G35" s="17"/>
      <c r="H35" s="17"/>
      <c r="I35" s="17"/>
      <c r="J35" s="17"/>
      <c r="K35" s="124"/>
      <c r="L35" s="107">
        <v>10000000</v>
      </c>
    </row>
    <row r="36" spans="1:13" s="13" customFormat="1" ht="18" customHeight="1">
      <c r="A36" s="131">
        <v>24</v>
      </c>
      <c r="B36" s="102" t="s">
        <v>513</v>
      </c>
      <c r="C36" s="16"/>
      <c r="D36" s="16">
        <v>1</v>
      </c>
      <c r="E36" s="17"/>
      <c r="F36" s="103"/>
      <c r="G36" s="32"/>
      <c r="H36" s="104"/>
      <c r="I36" s="104"/>
      <c r="J36" s="104"/>
      <c r="K36" s="125"/>
      <c r="L36" s="95">
        <v>8100000</v>
      </c>
    </row>
    <row r="37" spans="1:13" s="13" customFormat="1" ht="24" customHeight="1">
      <c r="A37" s="131"/>
      <c r="B37" s="105" t="s">
        <v>514</v>
      </c>
      <c r="C37" s="16"/>
      <c r="D37" s="16">
        <v>1</v>
      </c>
      <c r="E37" s="17"/>
      <c r="F37" s="106"/>
      <c r="G37" s="32"/>
      <c r="H37" s="17"/>
      <c r="I37" s="104"/>
      <c r="J37" s="104"/>
      <c r="K37" s="125"/>
      <c r="L37" s="95">
        <v>43000000</v>
      </c>
    </row>
    <row r="38" spans="1:13" s="13" customFormat="1" ht="18" customHeight="1">
      <c r="A38" s="14">
        <v>25</v>
      </c>
      <c r="B38" s="15" t="s">
        <v>515</v>
      </c>
      <c r="C38" s="16"/>
      <c r="D38" s="16"/>
      <c r="E38" s="17"/>
      <c r="F38" s="106"/>
      <c r="G38" s="17"/>
      <c r="H38" s="17"/>
      <c r="I38" s="17"/>
      <c r="J38" s="17"/>
      <c r="K38" s="125">
        <v>800000</v>
      </c>
      <c r="L38" s="95">
        <v>3000000</v>
      </c>
    </row>
    <row r="39" spans="1:13" s="13" customFormat="1" ht="18" customHeight="1" thickBot="1">
      <c r="A39" s="14">
        <v>26</v>
      </c>
      <c r="B39" s="15" t="s">
        <v>516</v>
      </c>
      <c r="C39" s="16"/>
      <c r="D39" s="16">
        <v>2</v>
      </c>
      <c r="E39" s="17"/>
      <c r="F39" s="106"/>
      <c r="G39" s="17"/>
      <c r="H39" s="21">
        <v>1650000</v>
      </c>
      <c r="I39" s="17"/>
      <c r="J39" s="17"/>
      <c r="K39" s="126"/>
      <c r="L39" s="108">
        <f>I39*E39</f>
        <v>0</v>
      </c>
    </row>
    <row r="40" spans="1:13" s="13" customFormat="1" ht="18" customHeight="1" thickTop="1" thickBot="1">
      <c r="A40" s="14">
        <v>27</v>
      </c>
      <c r="B40" s="10" t="s">
        <v>425</v>
      </c>
      <c r="C40" s="38"/>
      <c r="D40" s="42"/>
      <c r="E40" s="39"/>
      <c r="F40" s="39"/>
      <c r="G40" s="39"/>
      <c r="H40" s="39"/>
      <c r="I40" s="43">
        <f>SUM(K35:K39)</f>
        <v>800000</v>
      </c>
      <c r="J40" s="111">
        <v>1</v>
      </c>
      <c r="K40" s="127">
        <f>J40*I40</f>
        <v>800000</v>
      </c>
      <c r="L40" s="33"/>
    </row>
    <row r="41" spans="1:13" s="13" customFormat="1" ht="18" customHeight="1" thickTop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12"/>
      <c r="L41" s="33"/>
    </row>
    <row r="42" spans="1:13" s="13" customFormat="1" ht="18" customHeight="1">
      <c r="A42" s="14">
        <v>29</v>
      </c>
      <c r="B42" s="46" t="s">
        <v>426</v>
      </c>
      <c r="C42" s="38"/>
      <c r="D42" s="38"/>
      <c r="E42" s="47" t="s">
        <v>427</v>
      </c>
      <c r="F42" s="132">
        <f>L43</f>
        <v>0</v>
      </c>
      <c r="G42" s="133"/>
      <c r="H42" s="39"/>
      <c r="I42" s="41">
        <f>K34</f>
        <v>23194125</v>
      </c>
      <c r="J42" s="48">
        <f>원가!B15</f>
        <v>1</v>
      </c>
      <c r="K42" s="43">
        <f>J42*I42</f>
        <v>23194125</v>
      </c>
      <c r="L42" s="49" t="s">
        <v>427</v>
      </c>
    </row>
    <row r="43" spans="1:13" s="50" customFormat="1" ht="18" customHeight="1">
      <c r="A43" s="14">
        <v>30</v>
      </c>
      <c r="B43" s="10" t="s">
        <v>428</v>
      </c>
      <c r="C43" s="38"/>
      <c r="D43" s="38"/>
      <c r="E43" s="47" t="s">
        <v>429</v>
      </c>
      <c r="F43" s="132">
        <f>K43</f>
        <v>23994125</v>
      </c>
      <c r="G43" s="133"/>
      <c r="H43" s="39" t="s">
        <v>498</v>
      </c>
      <c r="I43" s="39">
        <f>원가!B2</f>
        <v>1</v>
      </c>
      <c r="J43" s="48"/>
      <c r="K43" s="41">
        <f>SUM(K40:K42)/I43</f>
        <v>23994125</v>
      </c>
      <c r="L43" s="49"/>
      <c r="M43" s="13"/>
    </row>
    <row r="44" spans="1:13" s="50" customFormat="1" ht="18" customHeight="1">
      <c r="L44" s="51"/>
    </row>
    <row r="45" spans="1:13" s="50" customFormat="1" ht="12">
      <c r="D45" s="51"/>
    </row>
    <row r="46" spans="1:13" s="50" customFormat="1" ht="12">
      <c r="L46" s="51"/>
    </row>
    <row r="47" spans="1:13" s="50" customFormat="1" ht="12">
      <c r="L47" s="51"/>
    </row>
    <row r="48" spans="1:13" s="52" customFormat="1" ht="15">
      <c r="L48" s="51"/>
    </row>
    <row r="49" spans="12:12" s="52" customFormat="1" ht="15">
      <c r="L49" s="51"/>
    </row>
    <row r="50" spans="12:12" s="52" customFormat="1" ht="15">
      <c r="L50" s="51"/>
    </row>
  </sheetData>
  <mergeCells count="7">
    <mergeCell ref="A10:A11"/>
    <mergeCell ref="A12:A13"/>
    <mergeCell ref="F43:G43"/>
    <mergeCell ref="A14:A15"/>
    <mergeCell ref="A26:A27"/>
    <mergeCell ref="A36:A37"/>
    <mergeCell ref="F42:G42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4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28515625" customWidth="1"/>
    <col min="13" max="14" width="12.42578125" bestFit="1" customWidth="1"/>
  </cols>
  <sheetData>
    <row r="1" spans="1:13" s="4" customFormat="1" ht="2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496</v>
      </c>
      <c r="B3" s="6"/>
      <c r="C3" s="6" t="s">
        <v>378</v>
      </c>
      <c r="D3" s="6"/>
      <c r="E3" s="6"/>
      <c r="F3" s="6"/>
      <c r="G3" s="6" t="s">
        <v>95</v>
      </c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379</v>
      </c>
      <c r="B5" s="9" t="s">
        <v>380</v>
      </c>
      <c r="C5" s="9" t="s">
        <v>381</v>
      </c>
      <c r="D5" s="10" t="s">
        <v>382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387</v>
      </c>
      <c r="J5" s="9" t="s">
        <v>388</v>
      </c>
      <c r="K5" s="9" t="s">
        <v>389</v>
      </c>
      <c r="L5" s="11"/>
      <c r="M5" s="12"/>
    </row>
    <row r="6" spans="1:13" s="13" customFormat="1" ht="18" customHeight="1">
      <c r="A6" s="14">
        <v>1</v>
      </c>
      <c r="B6" s="15" t="s">
        <v>390</v>
      </c>
      <c r="C6" s="16" t="str">
        <f>원가!B4</f>
        <v>WCB</v>
      </c>
      <c r="D6" s="16">
        <v>1</v>
      </c>
      <c r="E6" s="27"/>
      <c r="F6" s="54">
        <v>2830</v>
      </c>
      <c r="G6" s="55"/>
      <c r="H6" s="56">
        <f>원가!C4</f>
        <v>2600</v>
      </c>
      <c r="I6" s="57">
        <f>D6*F6*H6</f>
        <v>7358000</v>
      </c>
      <c r="J6" s="57">
        <v>1000000</v>
      </c>
      <c r="K6" s="58">
        <f t="shared" ref="K6:K27" si="0">I6+J6</f>
        <v>8358000</v>
      </c>
      <c r="L6" s="23"/>
      <c r="M6" s="24"/>
    </row>
    <row r="7" spans="1:13" s="13" customFormat="1" ht="18" customHeight="1">
      <c r="A7" s="14">
        <v>2</v>
      </c>
      <c r="B7" s="15" t="s">
        <v>392</v>
      </c>
      <c r="C7" s="16" t="str">
        <f>원가!B5</f>
        <v>WCB</v>
      </c>
      <c r="D7" s="16">
        <v>1</v>
      </c>
      <c r="E7" s="27"/>
      <c r="F7" s="54">
        <v>1626</v>
      </c>
      <c r="G7" s="55"/>
      <c r="H7" s="56">
        <f>원가!C5</f>
        <v>2600</v>
      </c>
      <c r="I7" s="57">
        <f>D7*F7*H7</f>
        <v>4227600</v>
      </c>
      <c r="J7" s="57">
        <v>780000</v>
      </c>
      <c r="K7" s="58">
        <f t="shared" si="0"/>
        <v>5007600</v>
      </c>
      <c r="L7" s="23"/>
      <c r="M7" s="24"/>
    </row>
    <row r="8" spans="1:13" s="13" customFormat="1" ht="18" customHeight="1">
      <c r="A8" s="14">
        <v>3</v>
      </c>
      <c r="B8" s="15" t="s">
        <v>393</v>
      </c>
      <c r="C8" s="16" t="s">
        <v>394</v>
      </c>
      <c r="D8" s="16">
        <v>1</v>
      </c>
      <c r="E8" s="27"/>
      <c r="F8" s="59">
        <v>1</v>
      </c>
      <c r="G8" s="55"/>
      <c r="H8" s="56"/>
      <c r="I8" s="57">
        <v>80000</v>
      </c>
      <c r="J8" s="57">
        <v>10000</v>
      </c>
      <c r="K8" s="58">
        <f t="shared" si="0"/>
        <v>90000</v>
      </c>
      <c r="L8" s="23"/>
      <c r="M8" s="24"/>
    </row>
    <row r="9" spans="1:13" s="13" customFormat="1" ht="18" customHeight="1">
      <c r="A9" s="14">
        <v>4</v>
      </c>
      <c r="B9" s="15" t="s">
        <v>395</v>
      </c>
      <c r="C9" s="16" t="str">
        <f>원가!B6</f>
        <v>A276T316L</v>
      </c>
      <c r="D9" s="16">
        <v>1</v>
      </c>
      <c r="E9" s="27"/>
      <c r="F9" s="55">
        <v>356</v>
      </c>
      <c r="G9" s="55"/>
      <c r="H9" s="56">
        <f>원가!C6</f>
        <v>8500</v>
      </c>
      <c r="I9" s="57">
        <f t="shared" ref="I9:I25" si="1">D9*F9*H9</f>
        <v>3026000</v>
      </c>
      <c r="J9" s="57">
        <v>300000</v>
      </c>
      <c r="K9" s="58">
        <f t="shared" si="0"/>
        <v>3326000</v>
      </c>
      <c r="L9" s="23"/>
      <c r="M9" s="24"/>
    </row>
    <row r="10" spans="1:13" s="13" customFormat="1" ht="18" customHeight="1">
      <c r="A10" s="131">
        <v>5</v>
      </c>
      <c r="B10" s="15" t="s">
        <v>396</v>
      </c>
      <c r="C10" s="16" t="str">
        <f>원가!B7</f>
        <v>316L</v>
      </c>
      <c r="D10" s="16">
        <v>1</v>
      </c>
      <c r="E10" s="15"/>
      <c r="F10" s="55">
        <v>108</v>
      </c>
      <c r="G10" s="55"/>
      <c r="H10" s="56">
        <f>원가!C7</f>
        <v>8500</v>
      </c>
      <c r="I10" s="57">
        <f t="shared" si="1"/>
        <v>918000</v>
      </c>
      <c r="J10" s="57">
        <v>360000</v>
      </c>
      <c r="K10" s="58">
        <f t="shared" si="0"/>
        <v>1278000</v>
      </c>
      <c r="L10" s="23"/>
      <c r="M10" s="24"/>
    </row>
    <row r="11" spans="1:13" s="13" customFormat="1" ht="18" customHeight="1">
      <c r="A11" s="131"/>
      <c r="B11" s="15" t="s">
        <v>398</v>
      </c>
      <c r="C11" s="16" t="str">
        <f>원가!B8</f>
        <v>316L</v>
      </c>
      <c r="D11" s="16">
        <v>1</v>
      </c>
      <c r="E11" s="28"/>
      <c r="F11" s="55">
        <v>108</v>
      </c>
      <c r="G11" s="29"/>
      <c r="H11" s="56">
        <f>원가!C8</f>
        <v>8500</v>
      </c>
      <c r="I11" s="57">
        <f t="shared" si="1"/>
        <v>918000</v>
      </c>
      <c r="J11" s="57">
        <v>360000</v>
      </c>
      <c r="K11" s="58">
        <f t="shared" si="0"/>
        <v>1278000</v>
      </c>
      <c r="L11" s="23"/>
      <c r="M11" s="24"/>
    </row>
    <row r="12" spans="1:13" s="13" customFormat="1" ht="18" customHeight="1">
      <c r="A12" s="131">
        <v>6</v>
      </c>
      <c r="B12" s="15" t="s">
        <v>399</v>
      </c>
      <c r="C12" s="16" t="str">
        <f>원가!B9</f>
        <v>B148</v>
      </c>
      <c r="D12" s="16">
        <v>1</v>
      </c>
      <c r="E12" s="15"/>
      <c r="F12" s="55">
        <v>24.5</v>
      </c>
      <c r="G12" s="55"/>
      <c r="H12" s="56">
        <f>원가!C9</f>
        <v>12500</v>
      </c>
      <c r="I12" s="57">
        <f t="shared" si="1"/>
        <v>306250</v>
      </c>
      <c r="J12" s="57">
        <v>25000</v>
      </c>
      <c r="K12" s="58">
        <f t="shared" si="0"/>
        <v>331250</v>
      </c>
      <c r="L12" s="23"/>
      <c r="M12" s="24"/>
    </row>
    <row r="13" spans="1:13" s="13" customFormat="1" ht="18" customHeight="1">
      <c r="A13" s="131"/>
      <c r="B13" s="26" t="s">
        <v>400</v>
      </c>
      <c r="C13" s="16" t="str">
        <f>원가!B10</f>
        <v>B148</v>
      </c>
      <c r="D13" s="16">
        <v>1</v>
      </c>
      <c r="E13" s="15"/>
      <c r="F13" s="55">
        <v>24.5</v>
      </c>
      <c r="G13" s="55"/>
      <c r="H13" s="56">
        <f>원가!C10</f>
        <v>12500</v>
      </c>
      <c r="I13" s="57">
        <f t="shared" si="1"/>
        <v>306250</v>
      </c>
      <c r="J13" s="57">
        <v>25000</v>
      </c>
      <c r="K13" s="58">
        <f t="shared" si="0"/>
        <v>331250</v>
      </c>
      <c r="L13" s="23"/>
      <c r="M13" s="24"/>
    </row>
    <row r="14" spans="1:13" s="13" customFormat="1" ht="18" customHeight="1">
      <c r="A14" s="131">
        <v>7</v>
      </c>
      <c r="B14" s="26" t="s">
        <v>401</v>
      </c>
      <c r="C14" s="27" t="s">
        <v>394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402</v>
      </c>
      <c r="C15" s="27" t="s">
        <v>391</v>
      </c>
      <c r="D15" s="60">
        <v>4</v>
      </c>
      <c r="E15" s="26"/>
      <c r="F15" s="55">
        <v>3</v>
      </c>
      <c r="G15" s="61"/>
      <c r="H15" s="62">
        <v>11200</v>
      </c>
      <c r="I15" s="57">
        <f t="shared" si="1"/>
        <v>134400</v>
      </c>
      <c r="J15" s="63">
        <v>8000</v>
      </c>
      <c r="K15" s="58">
        <f t="shared" si="0"/>
        <v>142400</v>
      </c>
      <c r="L15" s="23"/>
      <c r="M15" s="24"/>
    </row>
    <row r="16" spans="1:13" s="13" customFormat="1" ht="18" customHeight="1">
      <c r="A16" s="14">
        <v>8</v>
      </c>
      <c r="B16" s="26" t="s">
        <v>403</v>
      </c>
      <c r="C16" s="16" t="str">
        <f>원가!B11</f>
        <v>WCB</v>
      </c>
      <c r="D16" s="16">
        <v>1</v>
      </c>
      <c r="E16" s="15"/>
      <c r="F16" s="55">
        <v>17</v>
      </c>
      <c r="G16" s="55"/>
      <c r="H16" s="56">
        <f>원가!C11</f>
        <v>2600</v>
      </c>
      <c r="I16" s="57">
        <f t="shared" si="1"/>
        <v>44200</v>
      </c>
      <c r="J16" s="57">
        <v>20000</v>
      </c>
      <c r="K16" s="58">
        <f t="shared" si="0"/>
        <v>64200</v>
      </c>
      <c r="L16" s="23"/>
      <c r="M16" s="24"/>
    </row>
    <row r="17" spans="1:14" s="13" customFormat="1" ht="18" customHeight="1">
      <c r="A17" s="14">
        <v>9</v>
      </c>
      <c r="B17" s="26" t="s">
        <v>404</v>
      </c>
      <c r="C17" s="27" t="s">
        <v>405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406</v>
      </c>
      <c r="C18" s="16" t="str">
        <f>원가!B12</f>
        <v>WCB</v>
      </c>
      <c r="D18" s="27">
        <v>1</v>
      </c>
      <c r="E18" s="26"/>
      <c r="F18" s="55">
        <v>58</v>
      </c>
      <c r="G18" s="55"/>
      <c r="H18" s="56">
        <f>원가!C12</f>
        <v>2600</v>
      </c>
      <c r="I18" s="57">
        <f t="shared" si="1"/>
        <v>150800</v>
      </c>
      <c r="J18" s="57">
        <v>30000</v>
      </c>
      <c r="K18" s="58">
        <f t="shared" si="0"/>
        <v>180800</v>
      </c>
      <c r="L18" s="23"/>
      <c r="M18" s="24"/>
    </row>
    <row r="19" spans="1:14" s="13" customFormat="1" ht="18" customHeight="1">
      <c r="A19" s="14">
        <v>11</v>
      </c>
      <c r="B19" s="26" t="s">
        <v>407</v>
      </c>
      <c r="C19" s="16" t="s">
        <v>391</v>
      </c>
      <c r="D19" s="27">
        <v>1</v>
      </c>
      <c r="E19" s="26"/>
      <c r="F19" s="55">
        <v>5.4</v>
      </c>
      <c r="G19" s="55"/>
      <c r="H19" s="56">
        <v>8000</v>
      </c>
      <c r="I19" s="57">
        <f t="shared" si="1"/>
        <v>43200</v>
      </c>
      <c r="J19" s="57">
        <v>11000</v>
      </c>
      <c r="K19" s="58">
        <f t="shared" si="0"/>
        <v>54200</v>
      </c>
      <c r="L19" s="23"/>
      <c r="M19" s="24"/>
    </row>
    <row r="20" spans="1:14" s="13" customFormat="1" ht="18" customHeight="1">
      <c r="A20" s="14">
        <v>12</v>
      </c>
      <c r="B20" s="26" t="s">
        <v>408</v>
      </c>
      <c r="C20" s="27" t="s">
        <v>397</v>
      </c>
      <c r="D20" s="27">
        <v>3</v>
      </c>
      <c r="E20" s="26"/>
      <c r="F20" s="65">
        <v>3.95</v>
      </c>
      <c r="G20" s="65"/>
      <c r="H20" s="56">
        <v>7500</v>
      </c>
      <c r="I20" s="57">
        <f t="shared" si="1"/>
        <v>88875.000000000015</v>
      </c>
      <c r="J20" s="57">
        <v>5500</v>
      </c>
      <c r="K20" s="58">
        <f t="shared" si="0"/>
        <v>94375.000000000015</v>
      </c>
      <c r="L20" s="33"/>
    </row>
    <row r="21" spans="1:14" s="13" customFormat="1" ht="18" customHeight="1">
      <c r="A21" s="14">
        <v>13</v>
      </c>
      <c r="B21" s="26" t="s">
        <v>409</v>
      </c>
      <c r="C21" s="27" t="s">
        <v>405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410</v>
      </c>
      <c r="C22" s="27" t="s">
        <v>405</v>
      </c>
      <c r="D22" s="60">
        <v>8</v>
      </c>
      <c r="E22" s="26"/>
      <c r="F22" s="59">
        <v>1</v>
      </c>
      <c r="G22" s="65"/>
      <c r="H22" s="56">
        <v>9000</v>
      </c>
      <c r="I22" s="57">
        <f t="shared" si="1"/>
        <v>72000</v>
      </c>
      <c r="J22" s="57"/>
      <c r="K22" s="58">
        <f t="shared" si="0"/>
        <v>72000</v>
      </c>
      <c r="L22" s="33"/>
    </row>
    <row r="23" spans="1:14" s="13" customFormat="1" ht="18" customHeight="1">
      <c r="A23" s="14">
        <v>15</v>
      </c>
      <c r="B23" s="26" t="s">
        <v>411</v>
      </c>
      <c r="C23" s="27" t="str">
        <f>원가!B13</f>
        <v>WCB</v>
      </c>
      <c r="D23" s="27">
        <v>1</v>
      </c>
      <c r="E23" s="26"/>
      <c r="F23" s="65">
        <v>132</v>
      </c>
      <c r="G23" s="65"/>
      <c r="H23" s="56">
        <f>원가!C13</f>
        <v>2600</v>
      </c>
      <c r="I23" s="57">
        <f t="shared" si="1"/>
        <v>343200</v>
      </c>
      <c r="J23" s="57">
        <v>40000</v>
      </c>
      <c r="K23" s="58">
        <f t="shared" si="0"/>
        <v>383200</v>
      </c>
      <c r="L23" s="33"/>
    </row>
    <row r="24" spans="1:14" s="13" customFormat="1" ht="18" customHeight="1">
      <c r="A24" s="14">
        <v>16</v>
      </c>
      <c r="B24" s="15" t="s">
        <v>412</v>
      </c>
      <c r="C24" s="16" t="s">
        <v>405</v>
      </c>
      <c r="D24" s="16">
        <v>6</v>
      </c>
      <c r="E24" s="15"/>
      <c r="F24" s="59">
        <v>1</v>
      </c>
      <c r="G24" s="65"/>
      <c r="H24" s="121">
        <v>13000</v>
      </c>
      <c r="I24" s="57">
        <f t="shared" si="1"/>
        <v>78000</v>
      </c>
      <c r="J24" s="57"/>
      <c r="K24" s="58">
        <f t="shared" si="0"/>
        <v>78000</v>
      </c>
      <c r="L24" s="33"/>
    </row>
    <row r="25" spans="1:14" s="13" customFormat="1" ht="18" customHeight="1">
      <c r="A25" s="14">
        <v>17</v>
      </c>
      <c r="B25" s="15" t="s">
        <v>413</v>
      </c>
      <c r="C25" s="16" t="s">
        <v>394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414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>
        <v>1101445</v>
      </c>
      <c r="J26" s="114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>
        <v>5200000</v>
      </c>
    </row>
    <row r="27" spans="1:14" s="13" customFormat="1" ht="24" customHeight="1">
      <c r="A27" s="131"/>
      <c r="B27" s="36" t="s">
        <v>415</v>
      </c>
      <c r="C27" s="16"/>
      <c r="D27" s="60">
        <v>12</v>
      </c>
      <c r="E27" s="15"/>
      <c r="F27" s="59">
        <v>1</v>
      </c>
      <c r="G27" s="65"/>
      <c r="H27" s="66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90</v>
      </c>
      <c r="C28" s="38" t="s">
        <v>397</v>
      </c>
      <c r="D28" s="38">
        <v>1</v>
      </c>
      <c r="E28" s="15"/>
      <c r="F28" s="55">
        <v>10.65</v>
      </c>
      <c r="G28" s="65"/>
      <c r="H28" s="66">
        <v>7500</v>
      </c>
      <c r="I28" s="57">
        <f>D28*F28*H28</f>
        <v>79875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91</v>
      </c>
      <c r="C29" s="38" t="s">
        <v>397</v>
      </c>
      <c r="D29" s="38">
        <v>2</v>
      </c>
      <c r="E29" s="15"/>
      <c r="F29" s="55">
        <v>6.5</v>
      </c>
      <c r="G29" s="65"/>
      <c r="H29" s="66">
        <v>7500</v>
      </c>
      <c r="I29" s="57">
        <f>D29*F29*H29</f>
        <v>97500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92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416</v>
      </c>
      <c r="C31" s="16" t="s">
        <v>417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418</v>
      </c>
      <c r="C32" s="16"/>
      <c r="D32" s="16">
        <v>1</v>
      </c>
      <c r="E32" s="15"/>
      <c r="F32" s="59">
        <v>1</v>
      </c>
      <c r="G32" s="65"/>
      <c r="H32" s="15"/>
      <c r="I32" s="58">
        <v>235000</v>
      </c>
      <c r="J32" s="58"/>
      <c r="K32" s="58">
        <f>I32+J32</f>
        <v>235000</v>
      </c>
      <c r="L32" s="33"/>
    </row>
    <row r="33" spans="1:13" s="13" customFormat="1" ht="18" customHeight="1">
      <c r="A33" s="14">
        <v>21</v>
      </c>
      <c r="B33" s="15" t="s">
        <v>419</v>
      </c>
      <c r="C33" s="16"/>
      <c r="D33" s="16">
        <v>1</v>
      </c>
      <c r="E33" s="15"/>
      <c r="F33" s="59">
        <v>1</v>
      </c>
      <c r="G33" s="65"/>
      <c r="H33" s="15"/>
      <c r="I33" s="58">
        <v>190000</v>
      </c>
      <c r="J33" s="58"/>
      <c r="K33" s="58">
        <f>I33+J33</f>
        <v>190000</v>
      </c>
      <c r="L33" s="33"/>
    </row>
    <row r="34" spans="1:13" s="13" customFormat="1" ht="18" customHeight="1">
      <c r="A34" s="14">
        <v>22</v>
      </c>
      <c r="B34" s="37" t="s">
        <v>420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25206275</v>
      </c>
      <c r="L34" s="33"/>
    </row>
    <row r="35" spans="1:13" s="13" customFormat="1" ht="18" customHeight="1">
      <c r="A35" s="14">
        <v>23</v>
      </c>
      <c r="B35" s="15" t="s">
        <v>93</v>
      </c>
      <c r="C35" s="16"/>
      <c r="D35" s="16"/>
      <c r="E35" s="17"/>
      <c r="F35" s="17" t="s">
        <v>470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421</v>
      </c>
      <c r="C36" s="16"/>
      <c r="D36" s="16">
        <v>1</v>
      </c>
      <c r="E36" s="17"/>
      <c r="F36" s="19" t="s">
        <v>469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422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423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800000</v>
      </c>
      <c r="L38" s="33"/>
    </row>
    <row r="39" spans="1:13" s="13" customFormat="1" ht="18" customHeight="1">
      <c r="A39" s="14">
        <v>26</v>
      </c>
      <c r="B39" s="15" t="s">
        <v>424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425</v>
      </c>
      <c r="C40" s="38"/>
      <c r="D40" s="42"/>
      <c r="E40" s="39"/>
      <c r="F40" s="39"/>
      <c r="G40" s="39"/>
      <c r="H40" s="39"/>
      <c r="I40" s="43">
        <f>SUM(K35:K39)</f>
        <v>800000</v>
      </c>
      <c r="J40" s="44">
        <v>1</v>
      </c>
      <c r="K40" s="43">
        <f>J40*I40</f>
        <v>800000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426</v>
      </c>
      <c r="C42" s="38"/>
      <c r="D42" s="38"/>
      <c r="E42" s="47" t="s">
        <v>427</v>
      </c>
      <c r="F42" s="132">
        <f>L43</f>
        <v>0</v>
      </c>
      <c r="G42" s="133"/>
      <c r="H42" s="39"/>
      <c r="I42" s="41">
        <f>K34</f>
        <v>25206275</v>
      </c>
      <c r="J42" s="48">
        <f>원가!B15</f>
        <v>1</v>
      </c>
      <c r="K42" s="43">
        <f>J42*I42</f>
        <v>25206275</v>
      </c>
      <c r="L42" s="49" t="s">
        <v>427</v>
      </c>
    </row>
    <row r="43" spans="1:13" s="50" customFormat="1" ht="18" customHeight="1">
      <c r="A43" s="14">
        <v>30</v>
      </c>
      <c r="B43" s="10" t="s">
        <v>428</v>
      </c>
      <c r="C43" s="38"/>
      <c r="D43" s="38"/>
      <c r="E43" s="47" t="s">
        <v>429</v>
      </c>
      <c r="F43" s="132">
        <f>K43</f>
        <v>26006275</v>
      </c>
      <c r="G43" s="133"/>
      <c r="H43" s="39" t="s">
        <v>498</v>
      </c>
      <c r="I43" s="39">
        <f>원가!B2</f>
        <v>1</v>
      </c>
      <c r="J43" s="48"/>
      <c r="K43" s="41">
        <f>SUM(K40:K42)/I43</f>
        <v>26006275</v>
      </c>
      <c r="L43" s="49"/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13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7109375" customWidth="1"/>
    <col min="13" max="14" width="12.42578125" bestFit="1" customWidth="1"/>
  </cols>
  <sheetData>
    <row r="1" spans="1:13" s="4" customFormat="1" ht="2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495</v>
      </c>
      <c r="B3" s="6"/>
      <c r="C3" s="6" t="s">
        <v>378</v>
      </c>
      <c r="D3" s="6"/>
      <c r="E3" s="6"/>
      <c r="F3" s="6"/>
      <c r="G3" s="6" t="s">
        <v>95</v>
      </c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379</v>
      </c>
      <c r="B5" s="9" t="s">
        <v>380</v>
      </c>
      <c r="C5" s="9" t="s">
        <v>381</v>
      </c>
      <c r="D5" s="10" t="s">
        <v>382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387</v>
      </c>
      <c r="J5" s="9" t="s">
        <v>388</v>
      </c>
      <c r="K5" s="9" t="s">
        <v>389</v>
      </c>
      <c r="L5" s="11"/>
      <c r="M5" s="12"/>
    </row>
    <row r="6" spans="1:13" s="13" customFormat="1" ht="18" customHeight="1">
      <c r="A6" s="14">
        <v>1</v>
      </c>
      <c r="B6" s="15" t="s">
        <v>390</v>
      </c>
      <c r="C6" s="16" t="str">
        <f>원가!B4</f>
        <v>WCB</v>
      </c>
      <c r="D6" s="16">
        <v>1</v>
      </c>
      <c r="E6" s="27"/>
      <c r="F6" s="54">
        <v>3100</v>
      </c>
      <c r="G6" s="55"/>
      <c r="H6" s="56">
        <f>원가!C4</f>
        <v>2600</v>
      </c>
      <c r="I6" s="57">
        <f>D6*F6*H6</f>
        <v>8060000</v>
      </c>
      <c r="J6" s="57">
        <v>1000000</v>
      </c>
      <c r="K6" s="58">
        <f t="shared" ref="K6:K29" si="0">I6+J6</f>
        <v>9060000</v>
      </c>
      <c r="L6" s="23"/>
      <c r="M6" s="24"/>
    </row>
    <row r="7" spans="1:13" s="13" customFormat="1" ht="18" customHeight="1">
      <c r="A7" s="14">
        <v>2</v>
      </c>
      <c r="B7" s="15" t="s">
        <v>392</v>
      </c>
      <c r="C7" s="16" t="str">
        <f>원가!B5</f>
        <v>WCB</v>
      </c>
      <c r="D7" s="16">
        <v>1</v>
      </c>
      <c r="E7" s="27"/>
      <c r="F7" s="54">
        <v>1750</v>
      </c>
      <c r="G7" s="55"/>
      <c r="H7" s="56">
        <f>원가!C5</f>
        <v>2600</v>
      </c>
      <c r="I7" s="57">
        <f>D7*F7*H7</f>
        <v>4550000</v>
      </c>
      <c r="J7" s="57">
        <v>780000</v>
      </c>
      <c r="K7" s="58">
        <f t="shared" si="0"/>
        <v>5330000</v>
      </c>
      <c r="L7" s="23"/>
      <c r="M7" s="24"/>
    </row>
    <row r="8" spans="1:13" s="13" customFormat="1" ht="18" customHeight="1">
      <c r="A8" s="14">
        <v>3</v>
      </c>
      <c r="B8" s="15" t="s">
        <v>393</v>
      </c>
      <c r="C8" s="16" t="s">
        <v>394</v>
      </c>
      <c r="D8" s="16">
        <v>1</v>
      </c>
      <c r="E8" s="27"/>
      <c r="F8" s="59">
        <v>1</v>
      </c>
      <c r="G8" s="55"/>
      <c r="H8" s="56"/>
      <c r="I8" s="57">
        <v>80000</v>
      </c>
      <c r="J8" s="57">
        <v>10000</v>
      </c>
      <c r="K8" s="58">
        <f t="shared" si="0"/>
        <v>90000</v>
      </c>
      <c r="L8" s="23"/>
      <c r="M8" s="24"/>
    </row>
    <row r="9" spans="1:13" s="13" customFormat="1" ht="18" customHeight="1">
      <c r="A9" s="14">
        <v>4</v>
      </c>
      <c r="B9" s="15" t="s">
        <v>395</v>
      </c>
      <c r="C9" s="16" t="str">
        <f>원가!B6</f>
        <v>A276T316L</v>
      </c>
      <c r="D9" s="16">
        <v>1</v>
      </c>
      <c r="E9" s="27"/>
      <c r="F9" s="55">
        <v>400</v>
      </c>
      <c r="G9" s="55"/>
      <c r="H9" s="56">
        <f>원가!C6</f>
        <v>8500</v>
      </c>
      <c r="I9" s="57">
        <f t="shared" ref="I9:I25" si="1">D9*F9*H9</f>
        <v>3400000</v>
      </c>
      <c r="J9" s="57">
        <v>300000</v>
      </c>
      <c r="K9" s="58">
        <f t="shared" si="0"/>
        <v>3700000</v>
      </c>
      <c r="L9" s="23"/>
      <c r="M9" s="24"/>
    </row>
    <row r="10" spans="1:13" s="13" customFormat="1" ht="18" customHeight="1">
      <c r="A10" s="131">
        <v>5</v>
      </c>
      <c r="B10" s="15" t="s">
        <v>396</v>
      </c>
      <c r="C10" s="16" t="str">
        <f>원가!B7</f>
        <v>316L</v>
      </c>
      <c r="D10" s="16">
        <v>1</v>
      </c>
      <c r="E10" s="15"/>
      <c r="F10" s="55">
        <v>152.6</v>
      </c>
      <c r="G10" s="55"/>
      <c r="H10" s="56">
        <f>원가!C7</f>
        <v>8500</v>
      </c>
      <c r="I10" s="57">
        <f t="shared" si="1"/>
        <v>1297100</v>
      </c>
      <c r="J10" s="57">
        <v>360000</v>
      </c>
      <c r="K10" s="58">
        <f t="shared" si="0"/>
        <v>1657100</v>
      </c>
      <c r="L10" s="23"/>
      <c r="M10" s="24"/>
    </row>
    <row r="11" spans="1:13" s="13" customFormat="1" ht="18" customHeight="1">
      <c r="A11" s="131"/>
      <c r="B11" s="15" t="s">
        <v>398</v>
      </c>
      <c r="C11" s="16" t="str">
        <f>원가!B8</f>
        <v>316L</v>
      </c>
      <c r="D11" s="16">
        <v>1</v>
      </c>
      <c r="E11" s="28"/>
      <c r="F11" s="55">
        <v>152.6</v>
      </c>
      <c r="G11" s="29"/>
      <c r="H11" s="56">
        <f>원가!C8</f>
        <v>8500</v>
      </c>
      <c r="I11" s="57">
        <f t="shared" si="1"/>
        <v>1297100</v>
      </c>
      <c r="J11" s="57">
        <v>360000</v>
      </c>
      <c r="K11" s="58">
        <f t="shared" si="0"/>
        <v>1657100</v>
      </c>
      <c r="L11" s="23"/>
      <c r="M11" s="24"/>
    </row>
    <row r="12" spans="1:13" s="13" customFormat="1" ht="18" customHeight="1">
      <c r="A12" s="131">
        <v>6</v>
      </c>
      <c r="B12" s="15" t="s">
        <v>399</v>
      </c>
      <c r="C12" s="16" t="str">
        <f>원가!B9</f>
        <v>B148</v>
      </c>
      <c r="D12" s="16">
        <v>1</v>
      </c>
      <c r="E12" s="15"/>
      <c r="F12" s="55">
        <v>19</v>
      </c>
      <c r="G12" s="55"/>
      <c r="H12" s="56">
        <f>원가!C9</f>
        <v>12500</v>
      </c>
      <c r="I12" s="57">
        <f t="shared" si="1"/>
        <v>237500</v>
      </c>
      <c r="J12" s="57">
        <v>25000</v>
      </c>
      <c r="K12" s="58">
        <f t="shared" si="0"/>
        <v>262500</v>
      </c>
      <c r="L12" s="23"/>
      <c r="M12" s="24"/>
    </row>
    <row r="13" spans="1:13" s="13" customFormat="1" ht="18" customHeight="1">
      <c r="A13" s="131"/>
      <c r="B13" s="26" t="s">
        <v>400</v>
      </c>
      <c r="C13" s="16" t="str">
        <f>원가!B10</f>
        <v>B148</v>
      </c>
      <c r="D13" s="16">
        <v>1</v>
      </c>
      <c r="E13" s="15"/>
      <c r="F13" s="55">
        <v>19</v>
      </c>
      <c r="G13" s="55"/>
      <c r="H13" s="56">
        <f>원가!C10</f>
        <v>12500</v>
      </c>
      <c r="I13" s="57">
        <f t="shared" si="1"/>
        <v>237500</v>
      </c>
      <c r="J13" s="57">
        <v>25000</v>
      </c>
      <c r="K13" s="58">
        <f t="shared" si="0"/>
        <v>262500</v>
      </c>
      <c r="L13" s="23"/>
      <c r="M13" s="24"/>
    </row>
    <row r="14" spans="1:13" s="13" customFormat="1" ht="18" customHeight="1">
      <c r="A14" s="131">
        <v>7</v>
      </c>
      <c r="B14" s="26" t="s">
        <v>401</v>
      </c>
      <c r="C14" s="27" t="s">
        <v>394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402</v>
      </c>
      <c r="C15" s="27" t="s">
        <v>391</v>
      </c>
      <c r="D15" s="60">
        <v>4</v>
      </c>
      <c r="E15" s="26"/>
      <c r="F15" s="55">
        <v>1.5</v>
      </c>
      <c r="G15" s="61"/>
      <c r="H15" s="62">
        <v>11200</v>
      </c>
      <c r="I15" s="57">
        <f t="shared" si="1"/>
        <v>67200</v>
      </c>
      <c r="J15" s="63">
        <v>8000</v>
      </c>
      <c r="K15" s="58">
        <f t="shared" si="0"/>
        <v>75200</v>
      </c>
      <c r="L15" s="23"/>
      <c r="M15" s="24"/>
    </row>
    <row r="16" spans="1:13" s="13" customFormat="1" ht="18" customHeight="1">
      <c r="A16" s="14">
        <v>8</v>
      </c>
      <c r="B16" s="26" t="s">
        <v>403</v>
      </c>
      <c r="C16" s="16" t="str">
        <f>원가!B11</f>
        <v>WCB</v>
      </c>
      <c r="D16" s="16">
        <v>1</v>
      </c>
      <c r="E16" s="15"/>
      <c r="F16" s="55">
        <v>15.5</v>
      </c>
      <c r="G16" s="55"/>
      <c r="H16" s="56">
        <f>원가!C11</f>
        <v>2600</v>
      </c>
      <c r="I16" s="57">
        <f t="shared" si="1"/>
        <v>40300</v>
      </c>
      <c r="J16" s="57">
        <v>20000</v>
      </c>
      <c r="K16" s="58">
        <f t="shared" si="0"/>
        <v>60300</v>
      </c>
      <c r="L16" s="23"/>
      <c r="M16" s="24"/>
    </row>
    <row r="17" spans="1:14" s="13" customFormat="1" ht="18" customHeight="1">
      <c r="A17" s="14">
        <v>9</v>
      </c>
      <c r="B17" s="26" t="s">
        <v>404</v>
      </c>
      <c r="C17" s="27" t="s">
        <v>405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406</v>
      </c>
      <c r="C18" s="16" t="str">
        <f>원가!B12</f>
        <v>WCB</v>
      </c>
      <c r="D18" s="27">
        <v>1</v>
      </c>
      <c r="E18" s="26"/>
      <c r="F18" s="55">
        <v>62</v>
      </c>
      <c r="G18" s="55"/>
      <c r="H18" s="56">
        <f>원가!C12</f>
        <v>2600</v>
      </c>
      <c r="I18" s="57">
        <f t="shared" si="1"/>
        <v>161200</v>
      </c>
      <c r="J18" s="57">
        <v>30000</v>
      </c>
      <c r="K18" s="58">
        <f t="shared" si="0"/>
        <v>191200</v>
      </c>
      <c r="L18" s="23"/>
      <c r="M18" s="24"/>
    </row>
    <row r="19" spans="1:14" s="13" customFormat="1" ht="18" customHeight="1">
      <c r="A19" s="14">
        <v>11</v>
      </c>
      <c r="B19" s="26" t="s">
        <v>407</v>
      </c>
      <c r="C19" s="16" t="s">
        <v>391</v>
      </c>
      <c r="D19" s="27">
        <v>1</v>
      </c>
      <c r="E19" s="26"/>
      <c r="F19" s="55">
        <v>5.4</v>
      </c>
      <c r="G19" s="55"/>
      <c r="H19" s="56">
        <v>8000</v>
      </c>
      <c r="I19" s="57">
        <f t="shared" si="1"/>
        <v>43200</v>
      </c>
      <c r="J19" s="57">
        <v>11000</v>
      </c>
      <c r="K19" s="58">
        <f t="shared" si="0"/>
        <v>54200</v>
      </c>
      <c r="L19" s="23"/>
      <c r="M19" s="24"/>
    </row>
    <row r="20" spans="1:14" s="13" customFormat="1" ht="18" customHeight="1">
      <c r="A20" s="14">
        <v>12</v>
      </c>
      <c r="B20" s="26" t="s">
        <v>408</v>
      </c>
      <c r="C20" s="27" t="s">
        <v>397</v>
      </c>
      <c r="D20" s="27">
        <v>3</v>
      </c>
      <c r="E20" s="26"/>
      <c r="F20" s="65">
        <v>4.5</v>
      </c>
      <c r="G20" s="65"/>
      <c r="H20" s="56">
        <v>7500</v>
      </c>
      <c r="I20" s="57">
        <f t="shared" si="1"/>
        <v>101250</v>
      </c>
      <c r="J20" s="57">
        <v>5500</v>
      </c>
      <c r="K20" s="58">
        <f t="shared" si="0"/>
        <v>106750</v>
      </c>
      <c r="L20" s="33"/>
    </row>
    <row r="21" spans="1:14" s="13" customFormat="1" ht="18" customHeight="1">
      <c r="A21" s="14">
        <v>13</v>
      </c>
      <c r="B21" s="26" t="s">
        <v>409</v>
      </c>
      <c r="C21" s="27" t="s">
        <v>405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410</v>
      </c>
      <c r="C22" s="27" t="s">
        <v>405</v>
      </c>
      <c r="D22" s="60">
        <v>8</v>
      </c>
      <c r="E22" s="26"/>
      <c r="F22" s="59">
        <v>1</v>
      </c>
      <c r="G22" s="65"/>
      <c r="H22" s="56">
        <v>9000</v>
      </c>
      <c r="I22" s="57">
        <f t="shared" si="1"/>
        <v>72000</v>
      </c>
      <c r="J22" s="57"/>
      <c r="K22" s="58">
        <f t="shared" si="0"/>
        <v>72000</v>
      </c>
      <c r="L22" s="33"/>
    </row>
    <row r="23" spans="1:14" s="13" customFormat="1" ht="18" customHeight="1">
      <c r="A23" s="14">
        <v>15</v>
      </c>
      <c r="B23" s="26" t="s">
        <v>411</v>
      </c>
      <c r="C23" s="27" t="str">
        <f>원가!B13</f>
        <v>WCB</v>
      </c>
      <c r="D23" s="27">
        <v>1</v>
      </c>
      <c r="E23" s="26"/>
      <c r="F23" s="65">
        <v>135</v>
      </c>
      <c r="G23" s="65"/>
      <c r="H23" s="56">
        <f>원가!C13</f>
        <v>2600</v>
      </c>
      <c r="I23" s="57">
        <f t="shared" si="1"/>
        <v>351000</v>
      </c>
      <c r="J23" s="57">
        <v>40000</v>
      </c>
      <c r="K23" s="58">
        <f t="shared" si="0"/>
        <v>391000</v>
      </c>
      <c r="L23" s="33"/>
    </row>
    <row r="24" spans="1:14" s="13" customFormat="1" ht="18" customHeight="1">
      <c r="A24" s="14">
        <v>16</v>
      </c>
      <c r="B24" s="15" t="s">
        <v>412</v>
      </c>
      <c r="C24" s="16" t="s">
        <v>405</v>
      </c>
      <c r="D24" s="16">
        <v>6</v>
      </c>
      <c r="E24" s="15"/>
      <c r="F24" s="59">
        <v>1</v>
      </c>
      <c r="G24" s="65"/>
      <c r="H24" s="121">
        <v>13000</v>
      </c>
      <c r="I24" s="57">
        <f t="shared" si="1"/>
        <v>78000</v>
      </c>
      <c r="J24" s="57"/>
      <c r="K24" s="58">
        <f t="shared" si="0"/>
        <v>78000</v>
      </c>
      <c r="L24" s="33"/>
    </row>
    <row r="25" spans="1:14" s="13" customFormat="1" ht="18" customHeight="1">
      <c r="A25" s="14">
        <v>17</v>
      </c>
      <c r="B25" s="15" t="s">
        <v>413</v>
      </c>
      <c r="C25" s="16" t="s">
        <v>394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414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>
        <v>1101445</v>
      </c>
      <c r="J26" s="114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>
        <v>5200000</v>
      </c>
    </row>
    <row r="27" spans="1:14" s="13" customFormat="1" ht="24" customHeight="1">
      <c r="A27" s="131"/>
      <c r="B27" s="36" t="s">
        <v>415</v>
      </c>
      <c r="C27" s="16"/>
      <c r="D27" s="60">
        <v>12</v>
      </c>
      <c r="E27" s="15"/>
      <c r="F27" s="59">
        <v>1</v>
      </c>
      <c r="G27" s="65"/>
      <c r="H27" s="66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90</v>
      </c>
      <c r="C28" s="38" t="s">
        <v>397</v>
      </c>
      <c r="D28" s="38">
        <v>1</v>
      </c>
      <c r="E28" s="15"/>
      <c r="F28" s="55">
        <v>12.65</v>
      </c>
      <c r="G28" s="65"/>
      <c r="H28" s="66">
        <v>7500</v>
      </c>
      <c r="I28" s="57">
        <f>D28*F28*H28</f>
        <v>94875</v>
      </c>
      <c r="J28" s="57">
        <v>45000</v>
      </c>
      <c r="K28" s="58">
        <f t="shared" si="0"/>
        <v>139875</v>
      </c>
      <c r="L28" s="33"/>
    </row>
    <row r="29" spans="1:14" s="13" customFormat="1" ht="18" customHeight="1">
      <c r="A29" s="14"/>
      <c r="B29" s="67" t="s">
        <v>91</v>
      </c>
      <c r="C29" s="38" t="s">
        <v>397</v>
      </c>
      <c r="D29" s="38">
        <v>2</v>
      </c>
      <c r="E29" s="15"/>
      <c r="F29" s="55">
        <v>6.5</v>
      </c>
      <c r="G29" s="65"/>
      <c r="H29" s="66">
        <v>7500</v>
      </c>
      <c r="I29" s="57">
        <f>D29*F29*H29</f>
        <v>97500</v>
      </c>
      <c r="J29" s="57">
        <v>9000</v>
      </c>
      <c r="K29" s="58">
        <f t="shared" si="0"/>
        <v>106500</v>
      </c>
      <c r="L29" s="33"/>
    </row>
    <row r="30" spans="1:14" s="13" customFormat="1" ht="24" customHeight="1">
      <c r="A30" s="14"/>
      <c r="B30" s="67" t="s">
        <v>92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416</v>
      </c>
      <c r="C31" s="16" t="s">
        <v>417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418</v>
      </c>
      <c r="C32" s="16"/>
      <c r="D32" s="16">
        <v>1</v>
      </c>
      <c r="E32" s="15"/>
      <c r="F32" s="59">
        <v>1</v>
      </c>
      <c r="G32" s="65"/>
      <c r="H32" s="15"/>
      <c r="I32" s="58">
        <v>250000</v>
      </c>
      <c r="J32" s="58"/>
      <c r="K32" s="58">
        <f>I32+J32</f>
        <v>250000</v>
      </c>
      <c r="L32" s="33"/>
    </row>
    <row r="33" spans="1:13" s="13" customFormat="1" ht="18" customHeight="1">
      <c r="A33" s="14">
        <v>21</v>
      </c>
      <c r="B33" s="15" t="s">
        <v>419</v>
      </c>
      <c r="C33" s="16"/>
      <c r="D33" s="16">
        <v>1</v>
      </c>
      <c r="E33" s="15"/>
      <c r="F33" s="59">
        <v>1</v>
      </c>
      <c r="G33" s="65"/>
      <c r="H33" s="15"/>
      <c r="I33" s="58">
        <v>200000</v>
      </c>
      <c r="J33" s="58"/>
      <c r="K33" s="58">
        <f>I33+J33</f>
        <v>200000</v>
      </c>
      <c r="L33" s="33"/>
    </row>
    <row r="34" spans="1:13" s="13" customFormat="1" ht="18" customHeight="1">
      <c r="A34" s="14">
        <v>22</v>
      </c>
      <c r="B34" s="37" t="s">
        <v>420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27456225</v>
      </c>
      <c r="L34" s="33"/>
    </row>
    <row r="35" spans="1:13" s="13" customFormat="1" ht="18" customHeight="1">
      <c r="A35" s="14">
        <v>23</v>
      </c>
      <c r="B35" s="15" t="s">
        <v>93</v>
      </c>
      <c r="C35" s="16"/>
      <c r="D35" s="16"/>
      <c r="E35" s="17"/>
      <c r="F35" s="17" t="s">
        <v>470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421</v>
      </c>
      <c r="C36" s="16"/>
      <c r="D36" s="16">
        <v>1</v>
      </c>
      <c r="E36" s="17"/>
      <c r="F36" s="19" t="s">
        <v>469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422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423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1000000</v>
      </c>
      <c r="L38" s="33"/>
    </row>
    <row r="39" spans="1:13" s="13" customFormat="1" ht="18" customHeight="1">
      <c r="A39" s="14">
        <v>26</v>
      </c>
      <c r="B39" s="15" t="s">
        <v>424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425</v>
      </c>
      <c r="C40" s="38"/>
      <c r="D40" s="42"/>
      <c r="E40" s="39"/>
      <c r="F40" s="39"/>
      <c r="G40" s="39"/>
      <c r="H40" s="39"/>
      <c r="I40" s="43">
        <f>SUM(K35:K39)</f>
        <v>1000000</v>
      </c>
      <c r="J40" s="44">
        <v>1</v>
      </c>
      <c r="K40" s="43">
        <f>J40*I40</f>
        <v>1000000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426</v>
      </c>
      <c r="C42" s="38"/>
      <c r="D42" s="38"/>
      <c r="E42" s="47" t="s">
        <v>427</v>
      </c>
      <c r="F42" s="132">
        <f>L43</f>
        <v>0</v>
      </c>
      <c r="G42" s="133"/>
      <c r="H42" s="39"/>
      <c r="I42" s="41">
        <f>K34</f>
        <v>27456225</v>
      </c>
      <c r="J42" s="48">
        <f>원가!B15</f>
        <v>1</v>
      </c>
      <c r="K42" s="43">
        <f>J42*I42</f>
        <v>27456225</v>
      </c>
      <c r="L42" s="49" t="s">
        <v>427</v>
      </c>
    </row>
    <row r="43" spans="1:13" s="50" customFormat="1" ht="18" customHeight="1">
      <c r="A43" s="14">
        <v>30</v>
      </c>
      <c r="B43" s="10" t="s">
        <v>428</v>
      </c>
      <c r="C43" s="38"/>
      <c r="D43" s="38"/>
      <c r="E43" s="47" t="s">
        <v>429</v>
      </c>
      <c r="F43" s="132">
        <f>K43</f>
        <v>28456225</v>
      </c>
      <c r="G43" s="133"/>
      <c r="H43" s="39" t="s">
        <v>498</v>
      </c>
      <c r="I43" s="39">
        <f>원가!B2</f>
        <v>1</v>
      </c>
      <c r="J43" s="48"/>
      <c r="K43" s="41">
        <f>SUM(K40:K42)/I43</f>
        <v>28456225</v>
      </c>
      <c r="L43" s="49"/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tabColor rgb="FFFFFF00"/>
  </sheetPr>
  <dimension ref="A1:N50"/>
  <sheetViews>
    <sheetView topLeftCell="A4" workbookViewId="0">
      <selection activeCell="O18" sqref="O18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3.28515625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203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27"/>
      <c r="F6" s="118">
        <v>3000</v>
      </c>
      <c r="G6" s="55"/>
      <c r="H6" s="56">
        <f>원가!C4</f>
        <v>2600</v>
      </c>
      <c r="I6" s="57">
        <f>D6*F6*H6</f>
        <v>7800000</v>
      </c>
      <c r="J6" s="117">
        <v>1200000</v>
      </c>
      <c r="K6" s="58">
        <f t="shared" ref="K6:K27" si="0">I6+J6</f>
        <v>9000000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27"/>
      <c r="F7" s="118">
        <v>1900</v>
      </c>
      <c r="G7" s="55"/>
      <c r="H7" s="56">
        <f>원가!C5</f>
        <v>2600</v>
      </c>
      <c r="I7" s="57">
        <f>D7*F7*H7</f>
        <v>4940000</v>
      </c>
      <c r="J7" s="117">
        <v>600000</v>
      </c>
      <c r="K7" s="58">
        <f t="shared" si="0"/>
        <v>5540000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119">
        <v>1</v>
      </c>
      <c r="G8" s="55"/>
      <c r="H8" s="56"/>
      <c r="I8" s="57">
        <v>220000</v>
      </c>
      <c r="J8" s="57"/>
      <c r="K8" s="58">
        <f t="shared" si="0"/>
        <v>220000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119">
        <v>600</v>
      </c>
      <c r="G9" s="55"/>
      <c r="H9" s="56">
        <v>20000</v>
      </c>
      <c r="I9" s="57">
        <f t="shared" ref="I9:I25" si="1">D9*F9*H9</f>
        <v>12000000</v>
      </c>
      <c r="J9" s="117">
        <v>220000</v>
      </c>
      <c r="K9" s="58">
        <f t="shared" si="0"/>
        <v>12220000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119">
        <v>270</v>
      </c>
      <c r="G10" s="55"/>
      <c r="H10" s="56">
        <v>20000</v>
      </c>
      <c r="I10" s="57">
        <f t="shared" si="1"/>
        <v>5400000</v>
      </c>
      <c r="J10" s="117">
        <v>370000</v>
      </c>
      <c r="K10" s="58">
        <f t="shared" si="0"/>
        <v>5770000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119">
        <v>270</v>
      </c>
      <c r="G11" s="29"/>
      <c r="H11" s="56">
        <f>원가!C8</f>
        <v>8500</v>
      </c>
      <c r="I11" s="57">
        <f t="shared" si="1"/>
        <v>2295000</v>
      </c>
      <c r="J11" s="117">
        <v>350000</v>
      </c>
      <c r="K11" s="58">
        <f t="shared" si="0"/>
        <v>2645000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119">
        <v>17</v>
      </c>
      <c r="G12" s="55"/>
      <c r="H12" s="56">
        <f>원가!C9</f>
        <v>12500</v>
      </c>
      <c r="I12" s="57">
        <f t="shared" si="1"/>
        <v>212500</v>
      </c>
      <c r="J12" s="57">
        <v>25000</v>
      </c>
      <c r="K12" s="58">
        <f t="shared" si="0"/>
        <v>237500</v>
      </c>
      <c r="L12" s="23"/>
      <c r="M12" s="24"/>
    </row>
    <row r="13" spans="1:13" s="13" customFormat="1" ht="17.649999999999999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119">
        <v>17</v>
      </c>
      <c r="G13" s="55"/>
      <c r="H13" s="56">
        <f>원가!C10</f>
        <v>12500</v>
      </c>
      <c r="I13" s="57">
        <f t="shared" si="1"/>
        <v>212500</v>
      </c>
      <c r="J13" s="57">
        <v>25000</v>
      </c>
      <c r="K13" s="58">
        <f t="shared" si="0"/>
        <v>237500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1</v>
      </c>
      <c r="E14" s="26"/>
      <c r="F14" s="59">
        <v>1</v>
      </c>
      <c r="G14" s="61"/>
      <c r="H14" s="62">
        <v>13300</v>
      </c>
      <c r="I14" s="57">
        <f t="shared" si="1"/>
        <v>13300</v>
      </c>
      <c r="J14" s="63"/>
      <c r="K14" s="58">
        <f t="shared" si="0"/>
        <v>13300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1.5</v>
      </c>
      <c r="G15" s="61"/>
      <c r="H15" s="62">
        <v>11200</v>
      </c>
      <c r="I15" s="57">
        <f t="shared" si="1"/>
        <v>67200</v>
      </c>
      <c r="J15" s="63">
        <v>8000</v>
      </c>
      <c r="K15" s="58">
        <f t="shared" si="0"/>
        <v>75200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119">
        <v>18</v>
      </c>
      <c r="G16" s="55"/>
      <c r="H16" s="56">
        <f>원가!C11</f>
        <v>2600</v>
      </c>
      <c r="I16" s="57">
        <f t="shared" si="1"/>
        <v>46800</v>
      </c>
      <c r="J16" s="57">
        <v>22000</v>
      </c>
      <c r="K16" s="58">
        <f t="shared" si="0"/>
        <v>68800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121">
        <v>9000</v>
      </c>
      <c r="I17" s="57">
        <f t="shared" si="1"/>
        <v>36000</v>
      </c>
      <c r="J17" s="57"/>
      <c r="K17" s="58">
        <f t="shared" si="0"/>
        <v>36000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62</v>
      </c>
      <c r="G18" s="55"/>
      <c r="H18" s="56">
        <f>원가!C12</f>
        <v>2600</v>
      </c>
      <c r="I18" s="57">
        <f t="shared" si="1"/>
        <v>161200</v>
      </c>
      <c r="J18" s="57">
        <v>50000</v>
      </c>
      <c r="K18" s="58">
        <f t="shared" si="0"/>
        <v>211200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5.4</v>
      </c>
      <c r="G19" s="55"/>
      <c r="H19" s="121">
        <v>12500</v>
      </c>
      <c r="I19" s="57">
        <f t="shared" si="1"/>
        <v>67500</v>
      </c>
      <c r="J19" s="117">
        <v>15000</v>
      </c>
      <c r="K19" s="58">
        <f t="shared" si="0"/>
        <v>82500</v>
      </c>
      <c r="L19" s="23"/>
      <c r="M19" s="24"/>
    </row>
    <row r="20" spans="1:14" s="13" customFormat="1" ht="18" customHeight="1">
      <c r="A20" s="14">
        <v>12</v>
      </c>
      <c r="B20" s="26" t="s">
        <v>527</v>
      </c>
      <c r="C20" s="27" t="s">
        <v>170</v>
      </c>
      <c r="D20" s="27">
        <v>3</v>
      </c>
      <c r="E20" s="26"/>
      <c r="F20" s="122">
        <v>8.8000000000000007</v>
      </c>
      <c r="G20" s="65"/>
      <c r="H20" s="56">
        <v>7500</v>
      </c>
      <c r="I20" s="57">
        <f t="shared" si="1"/>
        <v>198000.00000000003</v>
      </c>
      <c r="J20" s="57">
        <v>17000</v>
      </c>
      <c r="K20" s="58">
        <f t="shared" si="0"/>
        <v>215000.00000000003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121">
        <v>3500</v>
      </c>
      <c r="I21" s="57">
        <f t="shared" si="1"/>
        <v>140000</v>
      </c>
      <c r="J21" s="57"/>
      <c r="K21" s="58">
        <f t="shared" si="0"/>
        <v>140000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121">
        <v>9000</v>
      </c>
      <c r="I22" s="57">
        <f t="shared" si="1"/>
        <v>72000</v>
      </c>
      <c r="J22" s="57"/>
      <c r="K22" s="58">
        <f t="shared" si="0"/>
        <v>72000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122">
        <v>142</v>
      </c>
      <c r="G23" s="65"/>
      <c r="H23" s="56">
        <f>원가!C13</f>
        <v>2600</v>
      </c>
      <c r="I23" s="57">
        <f t="shared" si="1"/>
        <v>369200</v>
      </c>
      <c r="J23" s="57">
        <v>44000</v>
      </c>
      <c r="K23" s="58">
        <f t="shared" si="0"/>
        <v>413200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121">
        <v>13000</v>
      </c>
      <c r="I24" s="57">
        <f t="shared" si="1"/>
        <v>78000</v>
      </c>
      <c r="J24" s="57"/>
      <c r="K24" s="58">
        <f t="shared" si="0"/>
        <v>78000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>
        <v>1101445</v>
      </c>
      <c r="J26" s="114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>
        <v>5200000</v>
      </c>
    </row>
    <row r="27" spans="1:14" s="13" customFormat="1" ht="24" customHeight="1">
      <c r="A27" s="131"/>
      <c r="B27" s="36" t="s">
        <v>188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204</v>
      </c>
      <c r="C28" s="38" t="s">
        <v>170</v>
      </c>
      <c r="D28" s="38">
        <v>1</v>
      </c>
      <c r="E28" s="15"/>
      <c r="F28" s="55">
        <v>14.73</v>
      </c>
      <c r="G28" s="65"/>
      <c r="H28" s="66">
        <v>7500</v>
      </c>
      <c r="I28" s="57">
        <f>D28*F28*H28</f>
        <v>110475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205</v>
      </c>
      <c r="C29" s="38" t="s">
        <v>170</v>
      </c>
      <c r="D29" s="38">
        <v>2</v>
      </c>
      <c r="E29" s="15"/>
      <c r="F29" s="55">
        <v>6.5</v>
      </c>
      <c r="G29" s="65"/>
      <c r="H29" s="66">
        <v>7500</v>
      </c>
      <c r="I29" s="57">
        <f>D29*F29*H29</f>
        <v>97500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206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189</v>
      </c>
      <c r="C31" s="16" t="s">
        <v>190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191</v>
      </c>
      <c r="C32" s="16"/>
      <c r="D32" s="16">
        <v>1</v>
      </c>
      <c r="E32" s="15"/>
      <c r="F32" s="59">
        <v>1</v>
      </c>
      <c r="G32" s="65"/>
      <c r="H32" s="15"/>
      <c r="I32" s="58">
        <v>250000</v>
      </c>
      <c r="J32" s="58"/>
      <c r="K32" s="58">
        <f>I32+J32</f>
        <v>250000</v>
      </c>
      <c r="L32" s="33"/>
    </row>
    <row r="33" spans="1:13" s="13" customFormat="1" ht="18" customHeight="1">
      <c r="A33" s="14">
        <v>21</v>
      </c>
      <c r="B33" s="15" t="s">
        <v>192</v>
      </c>
      <c r="C33" s="16"/>
      <c r="D33" s="16">
        <v>1</v>
      </c>
      <c r="E33" s="15"/>
      <c r="F33" s="59">
        <v>1</v>
      </c>
      <c r="G33" s="65"/>
      <c r="H33" s="15"/>
      <c r="I33" s="58">
        <v>200000</v>
      </c>
      <c r="J33" s="58"/>
      <c r="K33" s="58">
        <f>I33+J33</f>
        <v>200000</v>
      </c>
      <c r="L33" s="33"/>
    </row>
    <row r="34" spans="1:13" s="13" customFormat="1" ht="18" customHeight="1">
      <c r="A34" s="14">
        <v>22</v>
      </c>
      <c r="B34" s="37" t="s">
        <v>193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41404700</v>
      </c>
      <c r="L34" s="33"/>
    </row>
    <row r="35" spans="1:13" s="13" customFormat="1" ht="18" customHeight="1">
      <c r="A35" s="14">
        <v>23</v>
      </c>
      <c r="B35" s="15" t="s">
        <v>207</v>
      </c>
      <c r="C35" s="16"/>
      <c r="D35" s="16"/>
      <c r="E35" s="17"/>
      <c r="F35" s="17"/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194</v>
      </c>
      <c r="C36" s="16"/>
      <c r="D36" s="16">
        <v>1</v>
      </c>
      <c r="E36" s="17"/>
      <c r="F36" s="19"/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195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196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1000000</v>
      </c>
      <c r="L38" s="33"/>
    </row>
    <row r="39" spans="1:13" s="13" customFormat="1" ht="18" customHeight="1">
      <c r="A39" s="14">
        <v>26</v>
      </c>
      <c r="B39" s="15" t="s">
        <v>197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198</v>
      </c>
      <c r="C40" s="38"/>
      <c r="D40" s="42"/>
      <c r="E40" s="39"/>
      <c r="F40" s="39"/>
      <c r="G40" s="39"/>
      <c r="H40" s="39"/>
      <c r="I40" s="43">
        <f>SUM(K35:K39)</f>
        <v>1000000</v>
      </c>
      <c r="J40" s="44">
        <v>1</v>
      </c>
      <c r="K40" s="43">
        <f>J40*I40</f>
        <v>1000000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199</v>
      </c>
      <c r="C42" s="38"/>
      <c r="D42" s="38"/>
      <c r="E42" s="47" t="s">
        <v>200</v>
      </c>
      <c r="F42" s="132">
        <f>L43</f>
        <v>131840</v>
      </c>
      <c r="G42" s="133"/>
      <c r="H42" s="39"/>
      <c r="I42" s="41">
        <f>K34</f>
        <v>41404700</v>
      </c>
      <c r="J42" s="48">
        <f>원가!B15</f>
        <v>1</v>
      </c>
      <c r="K42" s="43">
        <f>J42*I42</f>
        <v>41404700</v>
      </c>
      <c r="L42" s="49" t="s">
        <v>200</v>
      </c>
    </row>
    <row r="43" spans="1:13" s="50" customFormat="1" ht="18" customHeight="1">
      <c r="A43" s="14">
        <v>30</v>
      </c>
      <c r="B43" s="10" t="s">
        <v>201</v>
      </c>
      <c r="C43" s="38"/>
      <c r="D43" s="38"/>
      <c r="E43" s="47" t="s">
        <v>202</v>
      </c>
      <c r="F43" s="132">
        <f>K43</f>
        <v>42404700</v>
      </c>
      <c r="G43" s="133"/>
      <c r="H43" s="39" t="s">
        <v>498</v>
      </c>
      <c r="I43" s="39">
        <f>원가!B2</f>
        <v>1</v>
      </c>
      <c r="J43" s="48"/>
      <c r="K43" s="41">
        <f>SUM(K40:K42)/I43</f>
        <v>42404700</v>
      </c>
      <c r="L43" s="49">
        <v>131840</v>
      </c>
      <c r="M43" s="13"/>
    </row>
    <row r="44" spans="1:13" s="50" customFormat="1" ht="18" customHeight="1">
      <c r="L44" s="51"/>
    </row>
    <row r="45" spans="1:13" s="50" customFormat="1" ht="12">
      <c r="D45" s="51"/>
    </row>
    <row r="46" spans="1:13" s="50" customFormat="1" ht="12">
      <c r="L46" s="51"/>
    </row>
    <row r="47" spans="1:13" s="50" customFormat="1" ht="12">
      <c r="L47" s="51"/>
    </row>
    <row r="48" spans="1:13" s="52" customFormat="1" ht="15">
      <c r="L48" s="51"/>
    </row>
    <row r="49" spans="12:12" s="52" customFormat="1" ht="15">
      <c r="L49" s="51"/>
    </row>
    <row r="50" spans="12:12" s="52" customFormat="1" ht="15">
      <c r="L50" s="51"/>
    </row>
  </sheetData>
  <mergeCells count="7">
    <mergeCell ref="A10:A11"/>
    <mergeCell ref="A12:A13"/>
    <mergeCell ref="F43:G43"/>
    <mergeCell ref="A14:A15"/>
    <mergeCell ref="A26:A27"/>
    <mergeCell ref="A36:A37"/>
    <mergeCell ref="F42:G42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view="pageBreakPreview" zoomScaleNormal="100" zoomScaleSheetLayoutView="100" workbookViewId="0">
      <selection activeCell="F9" sqref="F9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4.5703125" customWidth="1"/>
    <col min="12" max="12" width="14.85546875" bestFit="1" customWidth="1"/>
    <col min="13" max="13" width="13.8554687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494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27"/>
      <c r="F6" s="54">
        <v>3400</v>
      </c>
      <c r="G6" s="55"/>
      <c r="H6" s="56">
        <f>원가!C4</f>
        <v>2600</v>
      </c>
      <c r="I6" s="57">
        <f>D6*F6*H6</f>
        <v>8840000</v>
      </c>
      <c r="J6" s="57">
        <v>1350000</v>
      </c>
      <c r="K6" s="58">
        <f t="shared" ref="K6:K27" si="0">I6+J6</f>
        <v>10190000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27"/>
      <c r="F7" s="54">
        <v>2100</v>
      </c>
      <c r="G7" s="55"/>
      <c r="H7" s="56">
        <f>원가!C5</f>
        <v>2600</v>
      </c>
      <c r="I7" s="57">
        <f>D7*F7*H7</f>
        <v>5460000</v>
      </c>
      <c r="J7" s="57">
        <v>900000</v>
      </c>
      <c r="K7" s="58">
        <f t="shared" si="0"/>
        <v>6360000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1</v>
      </c>
      <c r="G8" s="55"/>
      <c r="H8" s="56"/>
      <c r="I8" s="57">
        <v>95000</v>
      </c>
      <c r="J8" s="57">
        <v>15000</v>
      </c>
      <c r="K8" s="58">
        <f t="shared" si="0"/>
        <v>110000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340</v>
      </c>
      <c r="G9" s="55"/>
      <c r="H9" s="56">
        <f>원가!C6</f>
        <v>8500</v>
      </c>
      <c r="I9" s="57">
        <f t="shared" ref="I9:I25" si="1">D9*F9*H9</f>
        <v>2890000</v>
      </c>
      <c r="J9" s="57">
        <v>300000</v>
      </c>
      <c r="K9" s="58">
        <f t="shared" si="0"/>
        <v>3190000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177.2</v>
      </c>
      <c r="G10" s="55"/>
      <c r="H10" s="56">
        <f>원가!C7</f>
        <v>8500</v>
      </c>
      <c r="I10" s="57">
        <f t="shared" si="1"/>
        <v>1506200</v>
      </c>
      <c r="J10" s="57">
        <v>381450</v>
      </c>
      <c r="K10" s="58">
        <f t="shared" si="0"/>
        <v>1887650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>
        <v>177.2</v>
      </c>
      <c r="G11" s="29"/>
      <c r="H11" s="56">
        <f>원가!C8</f>
        <v>8500</v>
      </c>
      <c r="I11" s="57">
        <f t="shared" si="1"/>
        <v>1506200</v>
      </c>
      <c r="J11" s="57">
        <v>381450</v>
      </c>
      <c r="K11" s="58">
        <f t="shared" si="0"/>
        <v>1887650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22</v>
      </c>
      <c r="G12" s="55"/>
      <c r="H12" s="56">
        <f>원가!C9</f>
        <v>12500</v>
      </c>
      <c r="I12" s="57">
        <f t="shared" si="1"/>
        <v>275000</v>
      </c>
      <c r="J12" s="57">
        <v>34000</v>
      </c>
      <c r="K12" s="58">
        <f t="shared" si="0"/>
        <v>309000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22</v>
      </c>
      <c r="G13" s="55"/>
      <c r="H13" s="56">
        <f>원가!C10</f>
        <v>12500</v>
      </c>
      <c r="I13" s="57">
        <f t="shared" si="1"/>
        <v>275000</v>
      </c>
      <c r="J13" s="57">
        <v>34000</v>
      </c>
      <c r="K13" s="58">
        <f t="shared" si="0"/>
        <v>309000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2.1</v>
      </c>
      <c r="G15" s="61"/>
      <c r="H15" s="62">
        <v>11200</v>
      </c>
      <c r="I15" s="57">
        <f t="shared" si="1"/>
        <v>94080</v>
      </c>
      <c r="J15" s="63">
        <v>8000</v>
      </c>
      <c r="K15" s="58">
        <f t="shared" si="0"/>
        <v>102080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16</v>
      </c>
      <c r="G16" s="55"/>
      <c r="H16" s="56">
        <f>원가!C11</f>
        <v>2600</v>
      </c>
      <c r="I16" s="57">
        <f t="shared" si="1"/>
        <v>41600</v>
      </c>
      <c r="J16" s="57">
        <v>22000</v>
      </c>
      <c r="K16" s="58">
        <f t="shared" si="0"/>
        <v>63600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64</v>
      </c>
      <c r="G18" s="55"/>
      <c r="H18" s="56">
        <f>원가!C12</f>
        <v>2600</v>
      </c>
      <c r="I18" s="57">
        <f t="shared" si="1"/>
        <v>166400</v>
      </c>
      <c r="J18" s="57">
        <v>50000</v>
      </c>
      <c r="K18" s="58">
        <f t="shared" si="0"/>
        <v>216400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6.3</v>
      </c>
      <c r="G19" s="55"/>
      <c r="H19" s="56">
        <v>8000</v>
      </c>
      <c r="I19" s="57">
        <f t="shared" si="1"/>
        <v>50400</v>
      </c>
      <c r="J19" s="57">
        <v>11000</v>
      </c>
      <c r="K19" s="58">
        <f t="shared" si="0"/>
        <v>61400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4</v>
      </c>
      <c r="E20" s="26"/>
      <c r="F20" s="65">
        <v>7</v>
      </c>
      <c r="G20" s="65"/>
      <c r="H20" s="56">
        <v>7500</v>
      </c>
      <c r="I20" s="57">
        <f t="shared" si="1"/>
        <v>210000</v>
      </c>
      <c r="J20" s="57">
        <v>17000</v>
      </c>
      <c r="K20" s="58">
        <f t="shared" si="0"/>
        <v>227000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9000</v>
      </c>
      <c r="I22" s="57">
        <f t="shared" si="1"/>
        <v>72000</v>
      </c>
      <c r="J22" s="57"/>
      <c r="K22" s="58">
        <f t="shared" si="0"/>
        <v>72000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122">
        <v>145</v>
      </c>
      <c r="G23" s="65"/>
      <c r="H23" s="56">
        <f>원가!C13</f>
        <v>2600</v>
      </c>
      <c r="I23" s="57">
        <f t="shared" si="1"/>
        <v>377000</v>
      </c>
      <c r="J23" s="57">
        <v>44000</v>
      </c>
      <c r="K23" s="58">
        <f t="shared" si="0"/>
        <v>421000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56">
        <v>13000</v>
      </c>
      <c r="I24" s="57">
        <f t="shared" si="1"/>
        <v>78000</v>
      </c>
      <c r="J24" s="57"/>
      <c r="K24" s="58">
        <f t="shared" si="0"/>
        <v>78000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 t="s">
        <v>519</v>
      </c>
    </row>
    <row r="27" spans="1:14" s="13" customFormat="1" ht="24" customHeight="1">
      <c r="A27" s="131"/>
      <c r="B27" s="36" t="s">
        <v>188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204</v>
      </c>
      <c r="C28" s="38" t="s">
        <v>170</v>
      </c>
      <c r="D28" s="38">
        <v>1</v>
      </c>
      <c r="E28" s="15"/>
      <c r="F28" s="55">
        <v>16.920000000000002</v>
      </c>
      <c r="G28" s="65"/>
      <c r="H28" s="66">
        <v>7500</v>
      </c>
      <c r="I28" s="57">
        <f>D28*F28*H28</f>
        <v>126900.00000000001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205</v>
      </c>
      <c r="C29" s="38" t="s">
        <v>170</v>
      </c>
      <c r="D29" s="38">
        <v>2</v>
      </c>
      <c r="E29" s="15"/>
      <c r="F29" s="55">
        <v>8.1</v>
      </c>
      <c r="G29" s="65"/>
      <c r="H29" s="66">
        <v>7500</v>
      </c>
      <c r="I29" s="57">
        <f>D29*F29*H29</f>
        <v>121500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206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189</v>
      </c>
      <c r="C31" s="16" t="s">
        <v>190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191</v>
      </c>
      <c r="C32" s="16"/>
      <c r="D32" s="16">
        <v>1</v>
      </c>
      <c r="E32" s="15"/>
      <c r="F32" s="59">
        <v>1</v>
      </c>
      <c r="G32" s="65"/>
      <c r="H32" s="15"/>
      <c r="I32" s="58">
        <v>300000</v>
      </c>
      <c r="J32" s="58"/>
      <c r="K32" s="58">
        <f>I32+J32</f>
        <v>300000</v>
      </c>
      <c r="L32" s="33"/>
    </row>
    <row r="33" spans="1:13" s="13" customFormat="1" ht="18" customHeight="1">
      <c r="A33" s="14">
        <v>21</v>
      </c>
      <c r="B33" s="15" t="s">
        <v>192</v>
      </c>
      <c r="C33" s="16"/>
      <c r="D33" s="16">
        <v>1</v>
      </c>
      <c r="E33" s="15"/>
      <c r="F33" s="59">
        <v>1</v>
      </c>
      <c r="G33" s="65"/>
      <c r="H33" s="15"/>
      <c r="I33" s="58">
        <v>220000</v>
      </c>
      <c r="J33" s="58"/>
      <c r="K33" s="58">
        <f>I33+J33</f>
        <v>220000</v>
      </c>
      <c r="L33" s="33"/>
    </row>
    <row r="34" spans="1:13" s="13" customFormat="1" ht="18" customHeight="1">
      <c r="A34" s="14">
        <v>22</v>
      </c>
      <c r="B34" s="37" t="s">
        <v>193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29716780</v>
      </c>
      <c r="L34" s="33"/>
    </row>
    <row r="35" spans="1:13" s="13" customFormat="1" ht="18" customHeight="1">
      <c r="A35" s="14">
        <v>23</v>
      </c>
      <c r="B35" s="15" t="s">
        <v>207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194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195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196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1200000</v>
      </c>
      <c r="L38" s="33"/>
    </row>
    <row r="39" spans="1:13" s="13" customFormat="1" ht="18" customHeight="1">
      <c r="A39" s="14">
        <v>26</v>
      </c>
      <c r="B39" s="15" t="s">
        <v>197</v>
      </c>
      <c r="C39" s="16"/>
      <c r="D39" s="16">
        <v>1</v>
      </c>
      <c r="E39" s="17"/>
      <c r="F39" s="25">
        <v>1</v>
      </c>
      <c r="G39" s="17"/>
      <c r="H39" s="17"/>
      <c r="I39" s="21">
        <v>3300000</v>
      </c>
      <c r="J39" s="17"/>
      <c r="K39" s="22"/>
      <c r="L39" s="33"/>
    </row>
    <row r="40" spans="1:13" s="13" customFormat="1" ht="18" customHeight="1">
      <c r="A40" s="14">
        <v>27</v>
      </c>
      <c r="B40" s="10" t="s">
        <v>198</v>
      </c>
      <c r="C40" s="38"/>
      <c r="D40" s="42"/>
      <c r="E40" s="39"/>
      <c r="F40" s="39"/>
      <c r="G40" s="39"/>
      <c r="H40" s="39"/>
      <c r="I40" s="43">
        <f>SUM(K35:K39)</f>
        <v>1200000</v>
      </c>
      <c r="J40" s="44">
        <v>1</v>
      </c>
      <c r="K40" s="43">
        <f>J40*I40</f>
        <v>1200000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199</v>
      </c>
      <c r="C42" s="38"/>
      <c r="D42" s="38"/>
      <c r="E42" s="47" t="s">
        <v>200</v>
      </c>
      <c r="F42" s="132">
        <f>L43</f>
        <v>131840</v>
      </c>
      <c r="G42" s="133"/>
      <c r="H42" s="39"/>
      <c r="I42" s="41">
        <f>K34</f>
        <v>29716780</v>
      </c>
      <c r="J42" s="48">
        <f>원가!B15</f>
        <v>1</v>
      </c>
      <c r="K42" s="43">
        <f>J42*I42</f>
        <v>29716780</v>
      </c>
      <c r="L42" s="49" t="s">
        <v>200</v>
      </c>
    </row>
    <row r="43" spans="1:13" s="50" customFormat="1" ht="18" customHeight="1">
      <c r="A43" s="14">
        <v>30</v>
      </c>
      <c r="B43" s="10" t="s">
        <v>201</v>
      </c>
      <c r="C43" s="38"/>
      <c r="D43" s="38"/>
      <c r="E43" s="47" t="s">
        <v>202</v>
      </c>
      <c r="F43" s="132">
        <f>K43</f>
        <v>30916780</v>
      </c>
      <c r="G43" s="133"/>
      <c r="H43" s="39" t="s">
        <v>498</v>
      </c>
      <c r="I43" s="39">
        <f>원가!B2</f>
        <v>1</v>
      </c>
      <c r="J43" s="48"/>
      <c r="K43" s="41">
        <f>SUM(K40:K42)/I43</f>
        <v>30916780</v>
      </c>
      <c r="L43" s="49">
        <v>131840</v>
      </c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4803149606299213" right="0.74803149606299213" top="0.98425196850393704" bottom="0.98425196850393704" header="0.51181102362204722" footer="0.51181102362204722"/>
  <pageSetup paperSize="9" scale="82" orientation="portrait" r:id="rId1"/>
  <headerFooter alignWithMargins="0"/>
  <colBreaks count="1" manualBreakCount="1">
    <brk id="1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42578125" customWidth="1"/>
    <col min="12" max="12" width="13.5703125" bestFit="1" customWidth="1"/>
    <col min="13" max="13" width="12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493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27"/>
      <c r="F6" s="54">
        <v>3480</v>
      </c>
      <c r="G6" s="55"/>
      <c r="H6" s="56">
        <f>원가!C4</f>
        <v>2600</v>
      </c>
      <c r="I6" s="57">
        <f>D6*F6*H6</f>
        <v>9048000</v>
      </c>
      <c r="J6" s="57">
        <v>1400000</v>
      </c>
      <c r="K6" s="58">
        <f t="shared" ref="K6:K27" si="0">I6+J6</f>
        <v>10448000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27"/>
      <c r="F7" s="54">
        <v>2240</v>
      </c>
      <c r="G7" s="55"/>
      <c r="H7" s="56">
        <f>원가!C5</f>
        <v>2600</v>
      </c>
      <c r="I7" s="57">
        <f>D7*F7*H7</f>
        <v>5824000</v>
      </c>
      <c r="J7" s="57">
        <v>900000</v>
      </c>
      <c r="K7" s="58">
        <f t="shared" si="0"/>
        <v>6724000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3</v>
      </c>
      <c r="G8" s="55"/>
      <c r="H8" s="56"/>
      <c r="I8" s="57">
        <v>95000</v>
      </c>
      <c r="J8" s="57">
        <v>15000</v>
      </c>
      <c r="K8" s="58">
        <f t="shared" si="0"/>
        <v>110000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311.60000000000002</v>
      </c>
      <c r="G9" s="55"/>
      <c r="H9" s="56">
        <f>원가!C6</f>
        <v>8500</v>
      </c>
      <c r="I9" s="57">
        <f t="shared" ref="I9:I25" si="1">D9*F9*H9</f>
        <v>2648600</v>
      </c>
      <c r="J9" s="57">
        <v>300000</v>
      </c>
      <c r="K9" s="58">
        <f t="shared" si="0"/>
        <v>2948600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184.7</v>
      </c>
      <c r="G10" s="55"/>
      <c r="H10" s="56">
        <f>원가!C7</f>
        <v>8500</v>
      </c>
      <c r="I10" s="57">
        <f t="shared" si="1"/>
        <v>1569950</v>
      </c>
      <c r="J10" s="57">
        <v>381450</v>
      </c>
      <c r="K10" s="58">
        <f t="shared" si="0"/>
        <v>1951400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>
        <v>184.7</v>
      </c>
      <c r="G11" s="29"/>
      <c r="H11" s="56">
        <f>원가!C8</f>
        <v>8500</v>
      </c>
      <c r="I11" s="57">
        <f t="shared" si="1"/>
        <v>1569950</v>
      </c>
      <c r="J11" s="57">
        <v>381450</v>
      </c>
      <c r="K11" s="58">
        <f t="shared" si="0"/>
        <v>1951400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25</v>
      </c>
      <c r="G12" s="55"/>
      <c r="H12" s="56">
        <f>원가!C9</f>
        <v>12500</v>
      </c>
      <c r="I12" s="57">
        <f t="shared" si="1"/>
        <v>312500</v>
      </c>
      <c r="J12" s="57">
        <v>34000</v>
      </c>
      <c r="K12" s="58">
        <f t="shared" si="0"/>
        <v>346500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25</v>
      </c>
      <c r="G13" s="55"/>
      <c r="H13" s="56">
        <f>원가!C10</f>
        <v>12500</v>
      </c>
      <c r="I13" s="57">
        <f t="shared" si="1"/>
        <v>312500</v>
      </c>
      <c r="J13" s="57">
        <v>34000</v>
      </c>
      <c r="K13" s="58">
        <f t="shared" si="0"/>
        <v>346500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2.7</v>
      </c>
      <c r="G15" s="61"/>
      <c r="H15" s="62">
        <v>11200</v>
      </c>
      <c r="I15" s="57">
        <f t="shared" si="1"/>
        <v>120960.00000000001</v>
      </c>
      <c r="J15" s="63">
        <v>8000</v>
      </c>
      <c r="K15" s="58">
        <f t="shared" si="0"/>
        <v>128960.00000000001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16.5</v>
      </c>
      <c r="G16" s="55"/>
      <c r="H16" s="56">
        <f>원가!C11</f>
        <v>2600</v>
      </c>
      <c r="I16" s="57">
        <f t="shared" si="1"/>
        <v>42900</v>
      </c>
      <c r="J16" s="57">
        <v>22000</v>
      </c>
      <c r="K16" s="58">
        <f t="shared" si="0"/>
        <v>64900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66</v>
      </c>
      <c r="G18" s="55"/>
      <c r="H18" s="56">
        <f>원가!C12</f>
        <v>2600</v>
      </c>
      <c r="I18" s="57">
        <f t="shared" si="1"/>
        <v>171600</v>
      </c>
      <c r="J18" s="57">
        <v>50000</v>
      </c>
      <c r="K18" s="58">
        <f t="shared" si="0"/>
        <v>221600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7.2</v>
      </c>
      <c r="G19" s="55"/>
      <c r="H19" s="56">
        <v>8000</v>
      </c>
      <c r="I19" s="57">
        <f t="shared" si="1"/>
        <v>57600</v>
      </c>
      <c r="J19" s="57">
        <v>11000</v>
      </c>
      <c r="K19" s="58">
        <f t="shared" si="0"/>
        <v>68600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6"/>
      <c r="F20" s="65">
        <v>4.5999999999999996</v>
      </c>
      <c r="G20" s="65"/>
      <c r="H20" s="56">
        <v>7500</v>
      </c>
      <c r="I20" s="57">
        <f t="shared" si="1"/>
        <v>103499.99999999999</v>
      </c>
      <c r="J20" s="57">
        <v>17000</v>
      </c>
      <c r="K20" s="58">
        <f t="shared" si="0"/>
        <v>120499.99999999999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9500</v>
      </c>
      <c r="I22" s="57">
        <f t="shared" si="1"/>
        <v>76000</v>
      </c>
      <c r="J22" s="57"/>
      <c r="K22" s="58">
        <f t="shared" si="0"/>
        <v>76000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150</v>
      </c>
      <c r="G23" s="65"/>
      <c r="H23" s="56">
        <f>원가!C13</f>
        <v>2600</v>
      </c>
      <c r="I23" s="57">
        <f t="shared" si="1"/>
        <v>390000</v>
      </c>
      <c r="J23" s="57">
        <v>50000</v>
      </c>
      <c r="K23" s="58">
        <f t="shared" si="0"/>
        <v>440000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56">
        <v>15000</v>
      </c>
      <c r="I24" s="57">
        <f t="shared" si="1"/>
        <v>90000</v>
      </c>
      <c r="J24" s="57"/>
      <c r="K24" s="58">
        <f t="shared" si="0"/>
        <v>90000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 t="s">
        <v>519</v>
      </c>
    </row>
    <row r="27" spans="1:14" s="13" customFormat="1" ht="24" customHeight="1">
      <c r="A27" s="131"/>
      <c r="B27" s="36" t="s">
        <v>188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204</v>
      </c>
      <c r="C28" s="38" t="s">
        <v>170</v>
      </c>
      <c r="D28" s="38">
        <v>1</v>
      </c>
      <c r="E28" s="15"/>
      <c r="F28" s="55">
        <v>19.11</v>
      </c>
      <c r="G28" s="65"/>
      <c r="H28" s="66">
        <v>7500</v>
      </c>
      <c r="I28" s="57">
        <f>D28*F28*H28</f>
        <v>143325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205</v>
      </c>
      <c r="C29" s="38" t="s">
        <v>170</v>
      </c>
      <c r="D29" s="38">
        <v>2</v>
      </c>
      <c r="E29" s="15"/>
      <c r="F29" s="55">
        <v>9.6999999999999993</v>
      </c>
      <c r="G29" s="65"/>
      <c r="H29" s="66">
        <v>7500</v>
      </c>
      <c r="I29" s="57">
        <f>D29*F29*H29</f>
        <v>145500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206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189</v>
      </c>
      <c r="C31" s="16" t="s">
        <v>190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191</v>
      </c>
      <c r="C32" s="16"/>
      <c r="D32" s="16">
        <v>1</v>
      </c>
      <c r="E32" s="15"/>
      <c r="F32" s="59">
        <v>1</v>
      </c>
      <c r="G32" s="65"/>
      <c r="H32" s="15"/>
      <c r="I32" s="58">
        <v>350000</v>
      </c>
      <c r="J32" s="58"/>
      <c r="K32" s="58">
        <f>I32+J32</f>
        <v>350000</v>
      </c>
      <c r="L32" s="33"/>
    </row>
    <row r="33" spans="1:13" s="13" customFormat="1" ht="18" customHeight="1">
      <c r="A33" s="14">
        <v>21</v>
      </c>
      <c r="B33" s="15" t="s">
        <v>192</v>
      </c>
      <c r="C33" s="16"/>
      <c r="D33" s="16">
        <v>1</v>
      </c>
      <c r="E33" s="15"/>
      <c r="F33" s="59">
        <v>1</v>
      </c>
      <c r="G33" s="65"/>
      <c r="H33" s="15"/>
      <c r="I33" s="58">
        <v>250000</v>
      </c>
      <c r="J33" s="58"/>
      <c r="K33" s="58">
        <f>I33+J33</f>
        <v>250000</v>
      </c>
      <c r="L33" s="33"/>
    </row>
    <row r="34" spans="1:13" s="13" customFormat="1" ht="18" customHeight="1">
      <c r="A34" s="14">
        <v>22</v>
      </c>
      <c r="B34" s="37" t="s">
        <v>193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30348960</v>
      </c>
      <c r="L34" s="33"/>
    </row>
    <row r="35" spans="1:13" s="13" customFormat="1" ht="18" customHeight="1">
      <c r="A35" s="14">
        <v>23</v>
      </c>
      <c r="B35" s="15" t="s">
        <v>207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194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195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196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1200000</v>
      </c>
      <c r="L38" s="33"/>
    </row>
    <row r="39" spans="1:13" s="13" customFormat="1" ht="18" customHeight="1">
      <c r="A39" s="14">
        <v>26</v>
      </c>
      <c r="B39" s="15" t="s">
        <v>197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198</v>
      </c>
      <c r="C40" s="38"/>
      <c r="D40" s="42"/>
      <c r="E40" s="39"/>
      <c r="F40" s="39"/>
      <c r="G40" s="39"/>
      <c r="H40" s="39"/>
      <c r="I40" s="43">
        <f>SUM(K35:K39)</f>
        <v>1200000</v>
      </c>
      <c r="J40" s="44">
        <v>1</v>
      </c>
      <c r="K40" s="43">
        <f>J40*I40</f>
        <v>1200000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199</v>
      </c>
      <c r="C42" s="38"/>
      <c r="D42" s="38"/>
      <c r="E42" s="47" t="s">
        <v>200</v>
      </c>
      <c r="F42" s="132">
        <f>L43</f>
        <v>131840</v>
      </c>
      <c r="G42" s="133"/>
      <c r="H42" s="39"/>
      <c r="I42" s="41">
        <f>K34</f>
        <v>30348960</v>
      </c>
      <c r="J42" s="48">
        <f>원가!B15</f>
        <v>1</v>
      </c>
      <c r="K42" s="43">
        <f>J42*I42</f>
        <v>30348960</v>
      </c>
      <c r="L42" s="49" t="s">
        <v>200</v>
      </c>
    </row>
    <row r="43" spans="1:13" s="50" customFormat="1" ht="18" customHeight="1">
      <c r="A43" s="14">
        <v>30</v>
      </c>
      <c r="B43" s="10" t="s">
        <v>201</v>
      </c>
      <c r="C43" s="38"/>
      <c r="D43" s="38"/>
      <c r="E43" s="47" t="s">
        <v>202</v>
      </c>
      <c r="F43" s="132">
        <f>K43</f>
        <v>31548960</v>
      </c>
      <c r="G43" s="133"/>
      <c r="H43" s="39" t="s">
        <v>498</v>
      </c>
      <c r="I43" s="39">
        <f>원가!B2</f>
        <v>1</v>
      </c>
      <c r="J43" s="48"/>
      <c r="K43" s="41">
        <f>SUM(K40:K42)/I43</f>
        <v>31548960</v>
      </c>
      <c r="L43" s="49">
        <v>131840</v>
      </c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view="pageBreakPreview" zoomScaleNormal="100" zoomScaleSheetLayoutView="100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.7109375" customWidth="1"/>
    <col min="12" max="12" width="14.85546875" bestFit="1" customWidth="1"/>
    <col min="13" max="13" width="1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492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27"/>
      <c r="F6" s="54">
        <v>3538</v>
      </c>
      <c r="G6" s="55"/>
      <c r="H6" s="56">
        <f>원가!C4</f>
        <v>2600</v>
      </c>
      <c r="I6" s="57">
        <f>D6*F6*H6</f>
        <v>9198800</v>
      </c>
      <c r="J6" s="57">
        <v>1800000</v>
      </c>
      <c r="K6" s="58">
        <f t="shared" ref="K6:K27" si="0">I6+J6</f>
        <v>10998800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27"/>
      <c r="F7" s="54">
        <v>2480</v>
      </c>
      <c r="G7" s="55"/>
      <c r="H7" s="56">
        <f>원가!C5</f>
        <v>2600</v>
      </c>
      <c r="I7" s="57">
        <f>D7*F7*H7</f>
        <v>6448000</v>
      </c>
      <c r="J7" s="57">
        <v>900000</v>
      </c>
      <c r="K7" s="58">
        <f t="shared" si="0"/>
        <v>7348000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1</v>
      </c>
      <c r="G8" s="55"/>
      <c r="H8" s="56"/>
      <c r="I8" s="57">
        <v>110000</v>
      </c>
      <c r="J8" s="57">
        <v>15000</v>
      </c>
      <c r="K8" s="58">
        <f t="shared" si="0"/>
        <v>125000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479</v>
      </c>
      <c r="G9" s="55"/>
      <c r="H9" s="56">
        <f>원가!C6</f>
        <v>8500</v>
      </c>
      <c r="I9" s="57">
        <f t="shared" ref="I9:I25" si="1">D9*F9*H9</f>
        <v>4071500</v>
      </c>
      <c r="J9" s="57">
        <v>300000</v>
      </c>
      <c r="K9" s="58">
        <f t="shared" si="0"/>
        <v>4371500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187</v>
      </c>
      <c r="G10" s="55"/>
      <c r="H10" s="56">
        <f>원가!C7</f>
        <v>8500</v>
      </c>
      <c r="I10" s="57">
        <f t="shared" si="1"/>
        <v>1589500</v>
      </c>
      <c r="J10" s="57">
        <v>381450</v>
      </c>
      <c r="K10" s="58">
        <f t="shared" si="0"/>
        <v>1970950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>
        <v>119.5</v>
      </c>
      <c r="G11" s="29"/>
      <c r="H11" s="56">
        <f>원가!C8</f>
        <v>8500</v>
      </c>
      <c r="I11" s="57">
        <f t="shared" si="1"/>
        <v>1015750</v>
      </c>
      <c r="J11" s="57">
        <v>381450</v>
      </c>
      <c r="K11" s="58">
        <f t="shared" si="0"/>
        <v>1397200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22</v>
      </c>
      <c r="G12" s="55"/>
      <c r="H12" s="56">
        <f>원가!C9</f>
        <v>12500</v>
      </c>
      <c r="I12" s="57">
        <f t="shared" si="1"/>
        <v>275000</v>
      </c>
      <c r="J12" s="57">
        <v>34000</v>
      </c>
      <c r="K12" s="58">
        <f t="shared" si="0"/>
        <v>309000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22</v>
      </c>
      <c r="G13" s="55"/>
      <c r="H13" s="56">
        <f>원가!C10</f>
        <v>12500</v>
      </c>
      <c r="I13" s="57">
        <f t="shared" si="1"/>
        <v>275000</v>
      </c>
      <c r="J13" s="57">
        <v>34000</v>
      </c>
      <c r="K13" s="58">
        <f t="shared" si="0"/>
        <v>309000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3.29</v>
      </c>
      <c r="G15" s="61"/>
      <c r="H15" s="62">
        <v>11200</v>
      </c>
      <c r="I15" s="57">
        <f t="shared" si="1"/>
        <v>147392</v>
      </c>
      <c r="J15" s="63">
        <v>8000</v>
      </c>
      <c r="K15" s="58">
        <f t="shared" si="0"/>
        <v>155392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17</v>
      </c>
      <c r="G16" s="55"/>
      <c r="H16" s="56">
        <f>원가!C11</f>
        <v>2600</v>
      </c>
      <c r="I16" s="57">
        <f t="shared" si="1"/>
        <v>44200</v>
      </c>
      <c r="J16" s="57">
        <v>22000</v>
      </c>
      <c r="K16" s="58">
        <f t="shared" si="0"/>
        <v>66200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68</v>
      </c>
      <c r="G18" s="55"/>
      <c r="H18" s="56">
        <f>원가!C12</f>
        <v>2600</v>
      </c>
      <c r="I18" s="57">
        <f t="shared" si="1"/>
        <v>176800</v>
      </c>
      <c r="J18" s="57">
        <v>50000</v>
      </c>
      <c r="K18" s="58">
        <f t="shared" si="0"/>
        <v>226800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8.1999999999999993</v>
      </c>
      <c r="G19" s="55"/>
      <c r="H19" s="56">
        <v>8000</v>
      </c>
      <c r="I19" s="57">
        <f t="shared" si="1"/>
        <v>65600</v>
      </c>
      <c r="J19" s="57">
        <v>11000</v>
      </c>
      <c r="K19" s="58">
        <f t="shared" si="0"/>
        <v>76600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6"/>
      <c r="F20" s="65">
        <v>4.72</v>
      </c>
      <c r="G20" s="65"/>
      <c r="H20" s="56">
        <v>7500</v>
      </c>
      <c r="I20" s="57">
        <f t="shared" si="1"/>
        <v>106200</v>
      </c>
      <c r="J20" s="57">
        <v>17000</v>
      </c>
      <c r="K20" s="58">
        <f t="shared" si="0"/>
        <v>123200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10000</v>
      </c>
      <c r="I22" s="57">
        <f t="shared" si="1"/>
        <v>80000</v>
      </c>
      <c r="J22" s="57"/>
      <c r="K22" s="58">
        <f t="shared" si="0"/>
        <v>80000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160</v>
      </c>
      <c r="G23" s="65"/>
      <c r="H23" s="56">
        <f>원가!C13</f>
        <v>2600</v>
      </c>
      <c r="I23" s="57">
        <f t="shared" si="1"/>
        <v>416000</v>
      </c>
      <c r="J23" s="57">
        <v>50000</v>
      </c>
      <c r="K23" s="58">
        <f t="shared" si="0"/>
        <v>466000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56">
        <v>15000</v>
      </c>
      <c r="I24" s="57">
        <f t="shared" si="1"/>
        <v>90000</v>
      </c>
      <c r="J24" s="57"/>
      <c r="K24" s="58">
        <f t="shared" si="0"/>
        <v>90000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3508000</v>
      </c>
      <c r="L26" s="33"/>
      <c r="M26" s="33">
        <v>3508000</v>
      </c>
      <c r="N26" s="33" t="s">
        <v>519</v>
      </c>
    </row>
    <row r="27" spans="1:14" s="13" customFormat="1" ht="24" customHeight="1">
      <c r="A27" s="131"/>
      <c r="B27" s="36" t="s">
        <v>188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204</v>
      </c>
      <c r="C28" s="38" t="s">
        <v>170</v>
      </c>
      <c r="D28" s="38">
        <v>1</v>
      </c>
      <c r="E28" s="15"/>
      <c r="F28" s="55">
        <v>21.31</v>
      </c>
      <c r="G28" s="65"/>
      <c r="H28" s="66">
        <v>7500</v>
      </c>
      <c r="I28" s="57">
        <f>D28*F28*H28</f>
        <v>159825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205</v>
      </c>
      <c r="C29" s="38" t="s">
        <v>170</v>
      </c>
      <c r="D29" s="38">
        <v>2</v>
      </c>
      <c r="E29" s="15"/>
      <c r="F29" s="55">
        <v>11.5</v>
      </c>
      <c r="G29" s="65"/>
      <c r="H29" s="66">
        <v>7500</v>
      </c>
      <c r="I29" s="57">
        <f>D29*F29*H29</f>
        <v>172500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206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189</v>
      </c>
      <c r="C31" s="16" t="s">
        <v>190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191</v>
      </c>
      <c r="C32" s="16"/>
      <c r="D32" s="16">
        <v>1</v>
      </c>
      <c r="E32" s="15"/>
      <c r="F32" s="59">
        <v>1</v>
      </c>
      <c r="G32" s="65"/>
      <c r="H32" s="15"/>
      <c r="I32" s="58">
        <v>400000</v>
      </c>
      <c r="J32" s="58"/>
      <c r="K32" s="58">
        <f>I32+J32</f>
        <v>400000</v>
      </c>
      <c r="L32" s="33"/>
    </row>
    <row r="33" spans="1:13" s="13" customFormat="1" ht="18" customHeight="1">
      <c r="A33" s="14">
        <v>21</v>
      </c>
      <c r="B33" s="15" t="s">
        <v>192</v>
      </c>
      <c r="C33" s="16"/>
      <c r="D33" s="16">
        <v>1</v>
      </c>
      <c r="E33" s="15"/>
      <c r="F33" s="59">
        <v>1</v>
      </c>
      <c r="G33" s="65"/>
      <c r="H33" s="15"/>
      <c r="I33" s="58">
        <v>300000</v>
      </c>
      <c r="J33" s="58"/>
      <c r="K33" s="58">
        <f>I33+J33</f>
        <v>300000</v>
      </c>
      <c r="L33" s="33"/>
    </row>
    <row r="34" spans="1:13" s="13" customFormat="1" ht="18" customHeight="1">
      <c r="A34" s="14">
        <v>22</v>
      </c>
      <c r="B34" s="37" t="s">
        <v>193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32525642</v>
      </c>
      <c r="L34" s="33"/>
    </row>
    <row r="35" spans="1:13" s="13" customFormat="1" ht="18" customHeight="1">
      <c r="A35" s="14">
        <v>23</v>
      </c>
      <c r="B35" s="15" t="s">
        <v>207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194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195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196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1500000</v>
      </c>
      <c r="L38" s="33"/>
    </row>
    <row r="39" spans="1:13" s="13" customFormat="1" ht="18" customHeight="1">
      <c r="A39" s="14">
        <v>26</v>
      </c>
      <c r="B39" s="15" t="s">
        <v>197</v>
      </c>
      <c r="C39" s="16"/>
      <c r="D39" s="16">
        <v>1</v>
      </c>
      <c r="E39" s="17"/>
      <c r="F39" s="25">
        <v>1</v>
      </c>
      <c r="G39" s="17"/>
      <c r="H39" s="17"/>
      <c r="I39" s="22">
        <v>3700000</v>
      </c>
      <c r="J39" s="17"/>
      <c r="K39" s="22"/>
      <c r="L39" s="33"/>
    </row>
    <row r="40" spans="1:13" s="13" customFormat="1" ht="18" customHeight="1">
      <c r="A40" s="14">
        <v>27</v>
      </c>
      <c r="B40" s="10" t="s">
        <v>198</v>
      </c>
      <c r="C40" s="38"/>
      <c r="D40" s="42"/>
      <c r="E40" s="39"/>
      <c r="F40" s="39"/>
      <c r="G40" s="39"/>
      <c r="H40" s="39"/>
      <c r="I40" s="43">
        <f>SUM(K35:K39)</f>
        <v>1500000</v>
      </c>
      <c r="J40" s="44">
        <v>1</v>
      </c>
      <c r="K40" s="43">
        <f>J40*I40</f>
        <v>1500000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199</v>
      </c>
      <c r="C42" s="38"/>
      <c r="D42" s="38"/>
      <c r="E42" s="47" t="s">
        <v>200</v>
      </c>
      <c r="F42" s="132">
        <f>L43</f>
        <v>131840</v>
      </c>
      <c r="G42" s="133"/>
      <c r="H42" s="39"/>
      <c r="I42" s="41">
        <f>K34</f>
        <v>32525642</v>
      </c>
      <c r="J42" s="48">
        <f>원가!B15</f>
        <v>1</v>
      </c>
      <c r="K42" s="43">
        <f>J42*I42</f>
        <v>32525642</v>
      </c>
      <c r="L42" s="49" t="s">
        <v>200</v>
      </c>
    </row>
    <row r="43" spans="1:13" s="50" customFormat="1" ht="18" customHeight="1">
      <c r="A43" s="14">
        <v>30</v>
      </c>
      <c r="B43" s="10" t="s">
        <v>201</v>
      </c>
      <c r="C43" s="38"/>
      <c r="D43" s="38"/>
      <c r="E43" s="47" t="s">
        <v>202</v>
      </c>
      <c r="F43" s="132">
        <f>K43</f>
        <v>34025642</v>
      </c>
      <c r="G43" s="133"/>
      <c r="H43" s="39" t="s">
        <v>498</v>
      </c>
      <c r="I43" s="39">
        <f>원가!B2</f>
        <v>1</v>
      </c>
      <c r="J43" s="48"/>
      <c r="K43" s="41">
        <f>SUM(K40:K42)/I43</f>
        <v>34025642</v>
      </c>
      <c r="L43" s="49">
        <v>131840</v>
      </c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pageSetup paperSize="9" scale="66" orientation="portrait" r:id="rId1"/>
  <headerFooter alignWithMargins="0"/>
  <colBreaks count="1" manualBreakCount="1">
    <brk id="11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13" workbookViewId="0">
      <selection activeCell="M26" sqref="M26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28515625" customWidth="1"/>
    <col min="12" max="13" width="12.42578125" bestFit="1" customWidth="1"/>
  </cols>
  <sheetData>
    <row r="1" spans="1:13" s="4" customFormat="1" ht="2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491</v>
      </c>
      <c r="B3" s="6"/>
      <c r="C3" s="6" t="s">
        <v>99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152</v>
      </c>
      <c r="B5" s="9" t="s">
        <v>153</v>
      </c>
      <c r="C5" s="9" t="s">
        <v>154</v>
      </c>
      <c r="D5" s="10" t="s">
        <v>155</v>
      </c>
      <c r="E5" s="9" t="s">
        <v>156</v>
      </c>
      <c r="F5" s="9" t="s">
        <v>157</v>
      </c>
      <c r="G5" s="9" t="s">
        <v>158</v>
      </c>
      <c r="H5" s="9" t="s">
        <v>159</v>
      </c>
      <c r="I5" s="9" t="s">
        <v>160</v>
      </c>
      <c r="J5" s="9" t="s">
        <v>161</v>
      </c>
      <c r="K5" s="9" t="s">
        <v>162</v>
      </c>
      <c r="L5" s="11"/>
      <c r="M5" s="12"/>
    </row>
    <row r="6" spans="1:13" s="13" customFormat="1" ht="18" customHeight="1">
      <c r="A6" s="14">
        <v>1</v>
      </c>
      <c r="B6" s="15" t="s">
        <v>163</v>
      </c>
      <c r="C6" s="16" t="str">
        <f>원가!B4</f>
        <v>WCB</v>
      </c>
      <c r="D6" s="16">
        <v>1</v>
      </c>
      <c r="E6" s="27"/>
      <c r="F6" s="54">
        <v>3566</v>
      </c>
      <c r="G6" s="55"/>
      <c r="H6" s="56">
        <f>원가!C4</f>
        <v>2600</v>
      </c>
      <c r="I6" s="57">
        <f>D6*F6*H6</f>
        <v>9271600</v>
      </c>
      <c r="J6" s="57">
        <v>1800000</v>
      </c>
      <c r="K6" s="58">
        <f t="shared" ref="K6:K27" si="0">I6+J6</f>
        <v>11071600</v>
      </c>
      <c r="L6" s="23"/>
      <c r="M6" s="24"/>
    </row>
    <row r="7" spans="1:13" s="13" customFormat="1" ht="18" customHeight="1">
      <c r="A7" s="14">
        <v>2</v>
      </c>
      <c r="B7" s="15" t="s">
        <v>165</v>
      </c>
      <c r="C7" s="16" t="str">
        <f>원가!B5</f>
        <v>WCB</v>
      </c>
      <c r="D7" s="16">
        <v>1</v>
      </c>
      <c r="E7" s="27"/>
      <c r="F7" s="54">
        <v>2860</v>
      </c>
      <c r="G7" s="55"/>
      <c r="H7" s="56">
        <f>원가!C5</f>
        <v>2600</v>
      </c>
      <c r="I7" s="57">
        <f>D7*F7*H7</f>
        <v>7436000</v>
      </c>
      <c r="J7" s="57">
        <v>900000</v>
      </c>
      <c r="K7" s="58">
        <f t="shared" si="0"/>
        <v>8336000</v>
      </c>
      <c r="L7" s="23"/>
      <c r="M7" s="24"/>
    </row>
    <row r="8" spans="1:13" s="13" customFormat="1" ht="18" customHeight="1">
      <c r="A8" s="14">
        <v>3</v>
      </c>
      <c r="B8" s="15" t="s">
        <v>166</v>
      </c>
      <c r="C8" s="16" t="s">
        <v>167</v>
      </c>
      <c r="D8" s="16">
        <v>1</v>
      </c>
      <c r="E8" s="27"/>
      <c r="F8" s="59">
        <v>1</v>
      </c>
      <c r="G8" s="55"/>
      <c r="H8" s="56"/>
      <c r="I8" s="57">
        <v>110000</v>
      </c>
      <c r="J8" s="57">
        <v>15000</v>
      </c>
      <c r="K8" s="58">
        <f t="shared" si="0"/>
        <v>125000</v>
      </c>
      <c r="L8" s="23"/>
      <c r="M8" s="24"/>
    </row>
    <row r="9" spans="1:13" s="13" customFormat="1" ht="18" customHeight="1">
      <c r="A9" s="14">
        <v>4</v>
      </c>
      <c r="B9" s="15" t="s">
        <v>168</v>
      </c>
      <c r="C9" s="16" t="str">
        <f>원가!B6</f>
        <v>A276T316L</v>
      </c>
      <c r="D9" s="16">
        <v>1</v>
      </c>
      <c r="E9" s="27"/>
      <c r="F9" s="55">
        <v>550</v>
      </c>
      <c r="G9" s="55"/>
      <c r="H9" s="56">
        <f>원가!C6</f>
        <v>8500</v>
      </c>
      <c r="I9" s="57">
        <f t="shared" ref="I9:I25" si="1">D9*F9*H9</f>
        <v>4675000</v>
      </c>
      <c r="J9" s="57">
        <v>300000</v>
      </c>
      <c r="K9" s="58">
        <f t="shared" si="0"/>
        <v>4975000</v>
      </c>
      <c r="L9" s="23"/>
      <c r="M9" s="24"/>
    </row>
    <row r="10" spans="1:13" s="13" customFormat="1" ht="18" customHeight="1">
      <c r="A10" s="131">
        <v>5</v>
      </c>
      <c r="B10" s="15" t="s">
        <v>169</v>
      </c>
      <c r="C10" s="16" t="str">
        <f>원가!B7</f>
        <v>316L</v>
      </c>
      <c r="D10" s="16">
        <v>1</v>
      </c>
      <c r="E10" s="15"/>
      <c r="F10" s="55">
        <v>169.7</v>
      </c>
      <c r="G10" s="55"/>
      <c r="H10" s="56">
        <f>원가!C7</f>
        <v>8500</v>
      </c>
      <c r="I10" s="57">
        <f t="shared" si="1"/>
        <v>1442450</v>
      </c>
      <c r="J10" s="57">
        <v>381450</v>
      </c>
      <c r="K10" s="58">
        <f t="shared" si="0"/>
        <v>1823900</v>
      </c>
      <c r="L10" s="23"/>
      <c r="M10" s="24"/>
    </row>
    <row r="11" spans="1:13" s="13" customFormat="1" ht="18" customHeight="1">
      <c r="A11" s="131"/>
      <c r="B11" s="15" t="s">
        <v>171</v>
      </c>
      <c r="C11" s="16" t="str">
        <f>원가!B8</f>
        <v>316L</v>
      </c>
      <c r="D11" s="16">
        <v>1</v>
      </c>
      <c r="E11" s="28"/>
      <c r="F11" s="55"/>
      <c r="G11" s="29"/>
      <c r="H11" s="56">
        <f>원가!C8</f>
        <v>8500</v>
      </c>
      <c r="I11" s="57">
        <f t="shared" si="1"/>
        <v>0</v>
      </c>
      <c r="J11" s="57">
        <v>381450</v>
      </c>
      <c r="K11" s="58">
        <f t="shared" si="0"/>
        <v>381450</v>
      </c>
      <c r="L11" s="23"/>
      <c r="M11" s="24"/>
    </row>
    <row r="12" spans="1:13" s="13" customFormat="1" ht="18" customHeight="1">
      <c r="A12" s="131">
        <v>6</v>
      </c>
      <c r="B12" s="15" t="s">
        <v>172</v>
      </c>
      <c r="C12" s="16" t="str">
        <f>원가!B9</f>
        <v>B148</v>
      </c>
      <c r="D12" s="16">
        <v>1</v>
      </c>
      <c r="E12" s="15"/>
      <c r="F12" s="55">
        <v>29</v>
      </c>
      <c r="G12" s="55"/>
      <c r="H12" s="56">
        <f>원가!C9</f>
        <v>12500</v>
      </c>
      <c r="I12" s="57">
        <f t="shared" si="1"/>
        <v>362500</v>
      </c>
      <c r="J12" s="57">
        <v>34000</v>
      </c>
      <c r="K12" s="58">
        <f t="shared" si="0"/>
        <v>396500</v>
      </c>
      <c r="L12" s="23"/>
      <c r="M12" s="24"/>
    </row>
    <row r="13" spans="1:13" s="13" customFormat="1" ht="18" customHeight="1">
      <c r="A13" s="131"/>
      <c r="B13" s="26" t="s">
        <v>173</v>
      </c>
      <c r="C13" s="16" t="str">
        <f>원가!B10</f>
        <v>B148</v>
      </c>
      <c r="D13" s="16">
        <v>1</v>
      </c>
      <c r="E13" s="15"/>
      <c r="F13" s="55">
        <v>29</v>
      </c>
      <c r="G13" s="55"/>
      <c r="H13" s="56">
        <f>원가!C10</f>
        <v>12500</v>
      </c>
      <c r="I13" s="57">
        <f t="shared" si="1"/>
        <v>362500</v>
      </c>
      <c r="J13" s="57">
        <v>34000</v>
      </c>
      <c r="K13" s="58">
        <f t="shared" si="0"/>
        <v>396500</v>
      </c>
      <c r="L13" s="23"/>
      <c r="M13" s="24"/>
    </row>
    <row r="14" spans="1:13" s="13" customFormat="1" ht="18" customHeight="1">
      <c r="A14" s="131">
        <v>7</v>
      </c>
      <c r="B14" s="26" t="s">
        <v>174</v>
      </c>
      <c r="C14" s="27" t="s">
        <v>167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175</v>
      </c>
      <c r="C15" s="27" t="s">
        <v>164</v>
      </c>
      <c r="D15" s="60">
        <v>4</v>
      </c>
      <c r="E15" s="26"/>
      <c r="F15" s="55">
        <v>3.29</v>
      </c>
      <c r="G15" s="61"/>
      <c r="H15" s="62">
        <v>11200</v>
      </c>
      <c r="I15" s="57">
        <f t="shared" si="1"/>
        <v>147392</v>
      </c>
      <c r="J15" s="63">
        <v>8000</v>
      </c>
      <c r="K15" s="58">
        <f t="shared" si="0"/>
        <v>155392</v>
      </c>
      <c r="L15" s="23"/>
      <c r="M15" s="24"/>
    </row>
    <row r="16" spans="1:13" s="13" customFormat="1" ht="18" customHeight="1">
      <c r="A16" s="14">
        <v>8</v>
      </c>
      <c r="B16" s="26" t="s">
        <v>176</v>
      </c>
      <c r="C16" s="16" t="str">
        <f>원가!B11</f>
        <v>WCB</v>
      </c>
      <c r="D16" s="16">
        <v>1</v>
      </c>
      <c r="E16" s="15"/>
      <c r="F16" s="55">
        <v>19.8</v>
      </c>
      <c r="G16" s="55"/>
      <c r="H16" s="56">
        <f>원가!C11</f>
        <v>2600</v>
      </c>
      <c r="I16" s="57">
        <f t="shared" si="1"/>
        <v>51480</v>
      </c>
      <c r="J16" s="57">
        <v>22000</v>
      </c>
      <c r="K16" s="58">
        <f t="shared" si="0"/>
        <v>73480</v>
      </c>
      <c r="L16" s="23"/>
      <c r="M16" s="24"/>
    </row>
    <row r="17" spans="1:14" s="13" customFormat="1" ht="18" customHeight="1">
      <c r="A17" s="14">
        <v>9</v>
      </c>
      <c r="B17" s="26" t="s">
        <v>177</v>
      </c>
      <c r="C17" s="27" t="s">
        <v>178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179</v>
      </c>
      <c r="C18" s="16" t="str">
        <f>원가!B12</f>
        <v>WCB</v>
      </c>
      <c r="D18" s="27">
        <v>1</v>
      </c>
      <c r="E18" s="26"/>
      <c r="F18" s="55">
        <v>68</v>
      </c>
      <c r="G18" s="55"/>
      <c r="H18" s="56">
        <f>원가!C12</f>
        <v>2600</v>
      </c>
      <c r="I18" s="57">
        <f t="shared" si="1"/>
        <v>176800</v>
      </c>
      <c r="J18" s="57">
        <v>50000</v>
      </c>
      <c r="K18" s="58">
        <f t="shared" si="0"/>
        <v>226800</v>
      </c>
      <c r="L18" s="23"/>
      <c r="M18" s="24"/>
    </row>
    <row r="19" spans="1:14" s="13" customFormat="1" ht="18" customHeight="1">
      <c r="A19" s="14">
        <v>11</v>
      </c>
      <c r="B19" s="26" t="s">
        <v>180</v>
      </c>
      <c r="C19" s="16" t="s">
        <v>164</v>
      </c>
      <c r="D19" s="27">
        <v>1</v>
      </c>
      <c r="E19" s="26"/>
      <c r="F19" s="55">
        <v>8.1999999999999993</v>
      </c>
      <c r="G19" s="55"/>
      <c r="H19" s="56">
        <v>8000</v>
      </c>
      <c r="I19" s="57">
        <f t="shared" si="1"/>
        <v>65600</v>
      </c>
      <c r="J19" s="57">
        <v>11000</v>
      </c>
      <c r="K19" s="58">
        <f t="shared" si="0"/>
        <v>76600</v>
      </c>
      <c r="L19" s="23"/>
      <c r="M19" s="24"/>
    </row>
    <row r="20" spans="1:14" s="13" customFormat="1" ht="18" customHeight="1">
      <c r="A20" s="14">
        <v>12</v>
      </c>
      <c r="B20" s="26" t="s">
        <v>181</v>
      </c>
      <c r="C20" s="27" t="s">
        <v>170</v>
      </c>
      <c r="D20" s="27">
        <v>3</v>
      </c>
      <c r="E20" s="26"/>
      <c r="F20" s="65">
        <v>4.72</v>
      </c>
      <c r="G20" s="65"/>
      <c r="H20" s="56">
        <v>7500</v>
      </c>
      <c r="I20" s="57">
        <f t="shared" si="1"/>
        <v>106200</v>
      </c>
      <c r="J20" s="57">
        <v>17000</v>
      </c>
      <c r="K20" s="58">
        <f t="shared" si="0"/>
        <v>123200</v>
      </c>
      <c r="L20" s="33"/>
    </row>
    <row r="21" spans="1:14" s="13" customFormat="1" ht="18" customHeight="1">
      <c r="A21" s="14">
        <v>13</v>
      </c>
      <c r="B21" s="26" t="s">
        <v>182</v>
      </c>
      <c r="C21" s="27" t="s">
        <v>178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183</v>
      </c>
      <c r="C22" s="27" t="s">
        <v>178</v>
      </c>
      <c r="D22" s="60">
        <v>8</v>
      </c>
      <c r="E22" s="26"/>
      <c r="F22" s="59">
        <v>1</v>
      </c>
      <c r="G22" s="65"/>
      <c r="H22" s="56">
        <v>10000</v>
      </c>
      <c r="I22" s="57">
        <f t="shared" si="1"/>
        <v>80000</v>
      </c>
      <c r="J22" s="57"/>
      <c r="K22" s="58">
        <f t="shared" si="0"/>
        <v>80000</v>
      </c>
      <c r="L22" s="33"/>
    </row>
    <row r="23" spans="1:14" s="13" customFormat="1" ht="18" customHeight="1">
      <c r="A23" s="14">
        <v>15</v>
      </c>
      <c r="B23" s="26" t="s">
        <v>184</v>
      </c>
      <c r="C23" s="27" t="str">
        <f>원가!B13</f>
        <v>WCB</v>
      </c>
      <c r="D23" s="27">
        <v>1</v>
      </c>
      <c r="E23" s="26"/>
      <c r="F23" s="65">
        <v>165</v>
      </c>
      <c r="G23" s="65"/>
      <c r="H23" s="56">
        <f>원가!C13</f>
        <v>2600</v>
      </c>
      <c r="I23" s="57">
        <f t="shared" si="1"/>
        <v>429000</v>
      </c>
      <c r="J23" s="57">
        <v>50000</v>
      </c>
      <c r="K23" s="58">
        <f t="shared" si="0"/>
        <v>479000</v>
      </c>
      <c r="L23" s="33"/>
    </row>
    <row r="24" spans="1:14" s="13" customFormat="1" ht="18" customHeight="1">
      <c r="A24" s="14">
        <v>16</v>
      </c>
      <c r="B24" s="15" t="s">
        <v>185</v>
      </c>
      <c r="C24" s="16" t="s">
        <v>178</v>
      </c>
      <c r="D24" s="16">
        <v>6</v>
      </c>
      <c r="E24" s="15"/>
      <c r="F24" s="59">
        <v>1</v>
      </c>
      <c r="G24" s="65"/>
      <c r="H24" s="56">
        <v>15000</v>
      </c>
      <c r="I24" s="57">
        <f t="shared" si="1"/>
        <v>90000</v>
      </c>
      <c r="J24" s="57"/>
      <c r="K24" s="58">
        <f t="shared" si="0"/>
        <v>90000</v>
      </c>
      <c r="L24" s="33"/>
    </row>
    <row r="25" spans="1:14" s="13" customFormat="1" ht="18" customHeight="1">
      <c r="A25" s="14">
        <v>17</v>
      </c>
      <c r="B25" s="15" t="s">
        <v>186</v>
      </c>
      <c r="C25" s="16" t="s">
        <v>167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1000</v>
      </c>
      <c r="K25" s="58">
        <f t="shared" si="0"/>
        <v>2400</v>
      </c>
      <c r="L25" s="33"/>
    </row>
    <row r="26" spans="1:14" s="13" customFormat="1" ht="18" customHeight="1">
      <c r="A26" s="131">
        <v>18</v>
      </c>
      <c r="B26" s="15" t="s">
        <v>187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5200000</v>
      </c>
      <c r="L26" s="33">
        <v>1700000</v>
      </c>
      <c r="M26" s="33">
        <v>5200000</v>
      </c>
      <c r="N26" s="33" t="s">
        <v>519</v>
      </c>
    </row>
    <row r="27" spans="1:14" s="13" customFormat="1" ht="24" customHeight="1">
      <c r="A27" s="131"/>
      <c r="B27" s="36" t="s">
        <v>188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204</v>
      </c>
      <c r="C28" s="38" t="s">
        <v>170</v>
      </c>
      <c r="D28" s="38">
        <v>1</v>
      </c>
      <c r="E28" s="15"/>
      <c r="F28" s="55">
        <v>21.3</v>
      </c>
      <c r="G28" s="65"/>
      <c r="H28" s="66">
        <v>7500</v>
      </c>
      <c r="I28" s="57">
        <f>D28*F28*H28</f>
        <v>159750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205</v>
      </c>
      <c r="C29" s="38" t="s">
        <v>170</v>
      </c>
      <c r="D29" s="38">
        <v>2</v>
      </c>
      <c r="E29" s="15"/>
      <c r="F29" s="55">
        <v>11.5</v>
      </c>
      <c r="G29" s="65"/>
      <c r="H29" s="66">
        <v>7500</v>
      </c>
      <c r="I29" s="57">
        <f>D29*F29*H29</f>
        <v>172500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206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189</v>
      </c>
      <c r="C31" s="16" t="s">
        <v>190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191</v>
      </c>
      <c r="C32" s="16"/>
      <c r="D32" s="16">
        <v>1</v>
      </c>
      <c r="E32" s="15"/>
      <c r="F32" s="59">
        <v>1</v>
      </c>
      <c r="G32" s="65"/>
      <c r="H32" s="15"/>
      <c r="I32" s="58">
        <v>400000</v>
      </c>
      <c r="J32" s="58"/>
      <c r="K32" s="58">
        <f>I32+J32</f>
        <v>400000</v>
      </c>
      <c r="L32" s="33"/>
    </row>
    <row r="33" spans="1:13" s="13" customFormat="1" ht="18" customHeight="1">
      <c r="A33" s="14">
        <v>21</v>
      </c>
      <c r="B33" s="15" t="s">
        <v>192</v>
      </c>
      <c r="C33" s="16"/>
      <c r="D33" s="16">
        <v>1</v>
      </c>
      <c r="E33" s="15"/>
      <c r="F33" s="59">
        <v>1</v>
      </c>
      <c r="G33" s="65"/>
      <c r="H33" s="15"/>
      <c r="I33" s="58">
        <v>300000</v>
      </c>
      <c r="J33" s="58"/>
      <c r="K33" s="58">
        <f>I33+J33</f>
        <v>300000</v>
      </c>
      <c r="L33" s="33"/>
    </row>
    <row r="34" spans="1:13" s="13" customFormat="1" ht="18" customHeight="1">
      <c r="A34" s="14">
        <v>22</v>
      </c>
      <c r="B34" s="37" t="s">
        <v>193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34914422</v>
      </c>
      <c r="L34" s="33"/>
    </row>
    <row r="35" spans="1:13" s="13" customFormat="1" ht="18" customHeight="1">
      <c r="A35" s="14">
        <v>23</v>
      </c>
      <c r="B35" s="15" t="s">
        <v>207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194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195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196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1500000</v>
      </c>
      <c r="L38" s="33"/>
    </row>
    <row r="39" spans="1:13" s="13" customFormat="1" ht="18" customHeight="1">
      <c r="A39" s="14">
        <v>26</v>
      </c>
      <c r="B39" s="15" t="s">
        <v>197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198</v>
      </c>
      <c r="C40" s="38"/>
      <c r="D40" s="42"/>
      <c r="E40" s="39"/>
      <c r="F40" s="39"/>
      <c r="G40" s="39"/>
      <c r="H40" s="39"/>
      <c r="I40" s="43">
        <f>SUM(K35:K39)</f>
        <v>1500000</v>
      </c>
      <c r="J40" s="44">
        <v>1</v>
      </c>
      <c r="K40" s="43">
        <f>J40*I40</f>
        <v>1500000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199</v>
      </c>
      <c r="C42" s="38"/>
      <c r="D42" s="38"/>
      <c r="E42" s="47" t="s">
        <v>200</v>
      </c>
      <c r="F42" s="132">
        <f>L43</f>
        <v>131840</v>
      </c>
      <c r="G42" s="133"/>
      <c r="H42" s="39"/>
      <c r="I42" s="41">
        <f>K34</f>
        <v>34914422</v>
      </c>
      <c r="J42" s="48">
        <f>원가!B15</f>
        <v>1</v>
      </c>
      <c r="K42" s="43">
        <f>J42*I42</f>
        <v>34914422</v>
      </c>
      <c r="L42" s="49" t="s">
        <v>200</v>
      </c>
    </row>
    <row r="43" spans="1:13" s="50" customFormat="1" ht="18" customHeight="1">
      <c r="A43" s="14">
        <v>30</v>
      </c>
      <c r="B43" s="10" t="s">
        <v>201</v>
      </c>
      <c r="C43" s="38"/>
      <c r="D43" s="38"/>
      <c r="E43" s="47" t="s">
        <v>202</v>
      </c>
      <c r="F43" s="132">
        <f>K43</f>
        <v>36414422</v>
      </c>
      <c r="G43" s="133"/>
      <c r="H43" s="39" t="s">
        <v>498</v>
      </c>
      <c r="I43" s="39">
        <f>원가!B2</f>
        <v>1</v>
      </c>
      <c r="J43" s="48"/>
      <c r="K43" s="41">
        <f>SUM(K40:K42)/I43</f>
        <v>36414422</v>
      </c>
      <c r="L43" s="49">
        <v>131840</v>
      </c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N49"/>
  <sheetViews>
    <sheetView topLeftCell="A13" workbookViewId="0">
      <selection activeCell="M27" sqref="M27"/>
    </sheetView>
  </sheetViews>
  <sheetFormatPr defaultColWidth="11.42578125" defaultRowHeight="13.5"/>
  <cols>
    <col min="1" max="1" width="4.28515625" style="4" customWidth="1"/>
    <col min="2" max="2" width="18.140625" style="4" customWidth="1"/>
    <col min="3" max="3" width="9.140625" style="4" customWidth="1"/>
    <col min="4" max="4" width="5.7109375" style="4" customWidth="1"/>
    <col min="5" max="5" width="6.28515625" style="4" customWidth="1"/>
    <col min="6" max="6" width="8.140625" style="4" customWidth="1"/>
    <col min="7" max="7" width="7.42578125" style="4" customWidth="1"/>
    <col min="8" max="8" width="8.140625" style="4" customWidth="1"/>
    <col min="9" max="9" width="12.7109375" style="4" customWidth="1"/>
    <col min="10" max="10" width="10" style="4" customWidth="1"/>
    <col min="11" max="11" width="13.28515625" style="4" customWidth="1"/>
    <col min="12" max="12" width="17.5703125" style="7" customWidth="1"/>
    <col min="13" max="13" width="17.5703125" style="4" customWidth="1"/>
    <col min="14" max="14" width="15.5703125" style="4" bestFit="1" customWidth="1"/>
    <col min="15" max="16384" width="11.42578125" style="4"/>
  </cols>
  <sheetData>
    <row r="1" spans="1:13" ht="2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ht="12.2" customHeight="1">
      <c r="A2" s="5"/>
      <c r="B2" s="6"/>
      <c r="C2" s="6"/>
      <c r="E2" s="6"/>
      <c r="F2" s="6"/>
      <c r="G2" s="6"/>
    </row>
    <row r="3" spans="1:13" ht="18.75">
      <c r="A3" s="5" t="s">
        <v>503</v>
      </c>
      <c r="B3" s="6"/>
      <c r="C3" s="6" t="s">
        <v>378</v>
      </c>
      <c r="D3" s="6"/>
      <c r="E3" s="6"/>
      <c r="F3" s="6"/>
      <c r="G3" s="6"/>
      <c r="H3" s="6"/>
      <c r="I3" s="8"/>
      <c r="J3" s="6"/>
      <c r="K3" s="6"/>
    </row>
    <row r="4" spans="1:13" ht="12.2" customHeight="1"/>
    <row r="5" spans="1:13" s="13" customFormat="1" ht="18" customHeight="1">
      <c r="A5" s="9" t="s">
        <v>379</v>
      </c>
      <c r="B5" s="9" t="s">
        <v>380</v>
      </c>
      <c r="C5" s="9" t="s">
        <v>381</v>
      </c>
      <c r="D5" s="10" t="s">
        <v>382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387</v>
      </c>
      <c r="J5" s="9" t="s">
        <v>388</v>
      </c>
      <c r="K5" s="9" t="s">
        <v>389</v>
      </c>
      <c r="L5" s="11"/>
      <c r="M5" s="12"/>
    </row>
    <row r="6" spans="1:13" s="13" customFormat="1" ht="18" customHeight="1">
      <c r="A6" s="14">
        <v>1</v>
      </c>
      <c r="B6" s="15" t="s">
        <v>390</v>
      </c>
      <c r="C6" s="16" t="str">
        <f>원가!B4</f>
        <v>WCB</v>
      </c>
      <c r="D6" s="16">
        <v>1</v>
      </c>
      <c r="E6" s="27"/>
      <c r="F6" s="54">
        <v>4381</v>
      </c>
      <c r="G6" s="55"/>
      <c r="H6" s="56">
        <f>원가!C4</f>
        <v>2600</v>
      </c>
      <c r="I6" s="57">
        <f>D6*F6*H6</f>
        <v>11390600</v>
      </c>
      <c r="J6" s="57">
        <v>2100000</v>
      </c>
      <c r="K6" s="58">
        <f t="shared" ref="K6:K27" si="0">I6+J6</f>
        <v>13490600</v>
      </c>
      <c r="L6" s="23"/>
      <c r="M6" s="24"/>
    </row>
    <row r="7" spans="1:13" s="13" customFormat="1" ht="18" customHeight="1">
      <c r="A7" s="14">
        <v>2</v>
      </c>
      <c r="B7" s="15" t="s">
        <v>392</v>
      </c>
      <c r="C7" s="16" t="str">
        <f>원가!B5</f>
        <v>WCB</v>
      </c>
      <c r="D7" s="16">
        <v>1</v>
      </c>
      <c r="E7" s="27"/>
      <c r="F7" s="54">
        <v>2818</v>
      </c>
      <c r="G7" s="55"/>
      <c r="H7" s="56">
        <f>원가!C5</f>
        <v>2600</v>
      </c>
      <c r="I7" s="57">
        <f>D7*F7*H7</f>
        <v>7326800</v>
      </c>
      <c r="J7" s="57">
        <v>1000000</v>
      </c>
      <c r="K7" s="58">
        <f t="shared" si="0"/>
        <v>8326800</v>
      </c>
      <c r="L7" s="23"/>
      <c r="M7" s="24"/>
    </row>
    <row r="8" spans="1:13" s="13" customFormat="1" ht="18" customHeight="1">
      <c r="A8" s="14">
        <v>3</v>
      </c>
      <c r="B8" s="15" t="s">
        <v>393</v>
      </c>
      <c r="C8" s="16" t="s">
        <v>394</v>
      </c>
      <c r="D8" s="16">
        <v>1</v>
      </c>
      <c r="E8" s="27"/>
      <c r="F8" s="59">
        <v>1</v>
      </c>
      <c r="G8" s="55"/>
      <c r="H8" s="56"/>
      <c r="I8" s="57">
        <v>140000</v>
      </c>
      <c r="J8" s="57">
        <v>15000</v>
      </c>
      <c r="K8" s="58">
        <f t="shared" si="0"/>
        <v>155000</v>
      </c>
      <c r="L8" s="23"/>
      <c r="M8" s="24"/>
    </row>
    <row r="9" spans="1:13" s="13" customFormat="1" ht="18" customHeight="1">
      <c r="A9" s="14">
        <v>4</v>
      </c>
      <c r="B9" s="15" t="s">
        <v>395</v>
      </c>
      <c r="C9" s="16" t="str">
        <f>원가!B6</f>
        <v>A276T316L</v>
      </c>
      <c r="D9" s="16">
        <v>1</v>
      </c>
      <c r="E9" s="27"/>
      <c r="F9" s="55">
        <v>650</v>
      </c>
      <c r="G9" s="55"/>
      <c r="H9" s="56">
        <f>원가!C6</f>
        <v>8500</v>
      </c>
      <c r="I9" s="57">
        <f t="shared" ref="I9:I25" si="1">D9*F9*H9</f>
        <v>5525000</v>
      </c>
      <c r="J9" s="57">
        <v>300000</v>
      </c>
      <c r="K9" s="58">
        <f t="shared" si="0"/>
        <v>5825000</v>
      </c>
      <c r="L9" s="23"/>
      <c r="M9" s="24"/>
    </row>
    <row r="10" spans="1:13" s="13" customFormat="1" ht="18" customHeight="1">
      <c r="A10" s="131">
        <v>5</v>
      </c>
      <c r="B10" s="15" t="s">
        <v>396</v>
      </c>
      <c r="C10" s="16" t="str">
        <f>원가!B7</f>
        <v>316L</v>
      </c>
      <c r="D10" s="16">
        <v>1</v>
      </c>
      <c r="E10" s="15"/>
      <c r="F10" s="55">
        <v>226.6</v>
      </c>
      <c r="G10" s="55"/>
      <c r="H10" s="56">
        <f>원가!C7</f>
        <v>8500</v>
      </c>
      <c r="I10" s="57">
        <f t="shared" si="1"/>
        <v>1926100</v>
      </c>
      <c r="J10" s="57">
        <v>560000</v>
      </c>
      <c r="K10" s="58">
        <f t="shared" si="0"/>
        <v>2486100</v>
      </c>
      <c r="L10" s="23"/>
      <c r="M10" s="24"/>
    </row>
    <row r="11" spans="1:13" s="13" customFormat="1" ht="18" customHeight="1">
      <c r="A11" s="131"/>
      <c r="B11" s="15" t="s">
        <v>398</v>
      </c>
      <c r="C11" s="16" t="str">
        <f>원가!B8</f>
        <v>316L</v>
      </c>
      <c r="D11" s="16">
        <v>1</v>
      </c>
      <c r="E11" s="28"/>
      <c r="F11" s="55"/>
      <c r="G11" s="29"/>
      <c r="H11" s="56">
        <f>원가!C8</f>
        <v>8500</v>
      </c>
      <c r="I11" s="57">
        <f t="shared" si="1"/>
        <v>0</v>
      </c>
      <c r="J11" s="57">
        <v>560000</v>
      </c>
      <c r="K11" s="58">
        <f t="shared" si="0"/>
        <v>560000</v>
      </c>
      <c r="L11" s="23"/>
      <c r="M11" s="24"/>
    </row>
    <row r="12" spans="1:13" s="13" customFormat="1" ht="18" customHeight="1">
      <c r="A12" s="131">
        <v>6</v>
      </c>
      <c r="B12" s="15" t="s">
        <v>399</v>
      </c>
      <c r="C12" s="16" t="str">
        <f>원가!B9</f>
        <v>B148</v>
      </c>
      <c r="D12" s="16">
        <v>1</v>
      </c>
      <c r="E12" s="15"/>
      <c r="F12" s="55">
        <v>29</v>
      </c>
      <c r="G12" s="55"/>
      <c r="H12" s="56">
        <f>원가!C9</f>
        <v>12500</v>
      </c>
      <c r="I12" s="57">
        <f t="shared" si="1"/>
        <v>362500</v>
      </c>
      <c r="J12" s="57">
        <v>40000</v>
      </c>
      <c r="K12" s="58">
        <f t="shared" si="0"/>
        <v>402500</v>
      </c>
      <c r="L12" s="23"/>
      <c r="M12" s="24"/>
    </row>
    <row r="13" spans="1:13" s="13" customFormat="1" ht="18" customHeight="1">
      <c r="A13" s="131"/>
      <c r="B13" s="26" t="s">
        <v>400</v>
      </c>
      <c r="C13" s="16" t="str">
        <f>원가!B10</f>
        <v>B148</v>
      </c>
      <c r="D13" s="16">
        <v>1</v>
      </c>
      <c r="E13" s="15"/>
      <c r="F13" s="55">
        <v>29</v>
      </c>
      <c r="G13" s="55"/>
      <c r="H13" s="56">
        <f>원가!C10</f>
        <v>12500</v>
      </c>
      <c r="I13" s="57">
        <f t="shared" si="1"/>
        <v>362500</v>
      </c>
      <c r="J13" s="57">
        <v>40000</v>
      </c>
      <c r="K13" s="58">
        <f t="shared" si="0"/>
        <v>402500</v>
      </c>
      <c r="L13" s="23"/>
      <c r="M13" s="24"/>
    </row>
    <row r="14" spans="1:13" s="13" customFormat="1" ht="18" customHeight="1">
      <c r="A14" s="131">
        <v>7</v>
      </c>
      <c r="B14" s="26" t="s">
        <v>401</v>
      </c>
      <c r="C14" s="27" t="s">
        <v>394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402</v>
      </c>
      <c r="C15" s="27" t="s">
        <v>391</v>
      </c>
      <c r="D15" s="60">
        <v>4</v>
      </c>
      <c r="E15" s="26"/>
      <c r="F15" s="55">
        <v>3.29</v>
      </c>
      <c r="G15" s="61"/>
      <c r="H15" s="62">
        <v>11200</v>
      </c>
      <c r="I15" s="57">
        <f t="shared" si="1"/>
        <v>147392</v>
      </c>
      <c r="J15" s="63">
        <v>8000</v>
      </c>
      <c r="K15" s="58">
        <f t="shared" si="0"/>
        <v>155392</v>
      </c>
      <c r="L15" s="23"/>
      <c r="M15" s="24"/>
    </row>
    <row r="16" spans="1:13" s="13" customFormat="1" ht="18" customHeight="1">
      <c r="A16" s="14">
        <v>8</v>
      </c>
      <c r="B16" s="26" t="s">
        <v>403</v>
      </c>
      <c r="C16" s="16" t="str">
        <f>원가!B11</f>
        <v>WCB</v>
      </c>
      <c r="D16" s="16">
        <v>1</v>
      </c>
      <c r="E16" s="15"/>
      <c r="F16" s="55">
        <v>22.6</v>
      </c>
      <c r="G16" s="55"/>
      <c r="H16" s="56">
        <f>원가!C11</f>
        <v>2600</v>
      </c>
      <c r="I16" s="57">
        <f t="shared" si="1"/>
        <v>58760.000000000007</v>
      </c>
      <c r="J16" s="57">
        <v>30000</v>
      </c>
      <c r="K16" s="58">
        <f t="shared" si="0"/>
        <v>88760</v>
      </c>
      <c r="L16" s="23"/>
      <c r="M16" s="24"/>
    </row>
    <row r="17" spans="1:14" s="13" customFormat="1" ht="18" customHeight="1">
      <c r="A17" s="14">
        <v>9</v>
      </c>
      <c r="B17" s="26" t="s">
        <v>404</v>
      </c>
      <c r="C17" s="27" t="s">
        <v>405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406</v>
      </c>
      <c r="C18" s="16" t="str">
        <f>원가!B12</f>
        <v>WCB</v>
      </c>
      <c r="D18" s="27">
        <v>1</v>
      </c>
      <c r="E18" s="26"/>
      <c r="F18" s="55">
        <v>68</v>
      </c>
      <c r="G18" s="55"/>
      <c r="H18" s="56">
        <f>원가!C12</f>
        <v>2600</v>
      </c>
      <c r="I18" s="57">
        <f t="shared" si="1"/>
        <v>176800</v>
      </c>
      <c r="J18" s="57">
        <v>50000</v>
      </c>
      <c r="K18" s="58">
        <f t="shared" si="0"/>
        <v>226800</v>
      </c>
      <c r="L18" s="23"/>
      <c r="M18" s="24"/>
    </row>
    <row r="19" spans="1:14" s="13" customFormat="1" ht="18" customHeight="1">
      <c r="A19" s="14">
        <v>11</v>
      </c>
      <c r="B19" s="26" t="s">
        <v>407</v>
      </c>
      <c r="C19" s="16" t="s">
        <v>391</v>
      </c>
      <c r="D19" s="27">
        <v>1</v>
      </c>
      <c r="E19" s="26"/>
      <c r="F19" s="55">
        <v>8.1999999999999993</v>
      </c>
      <c r="G19" s="55"/>
      <c r="H19" s="56">
        <v>8000</v>
      </c>
      <c r="I19" s="57">
        <f t="shared" si="1"/>
        <v>65600</v>
      </c>
      <c r="J19" s="57">
        <v>11000</v>
      </c>
      <c r="K19" s="58">
        <f t="shared" si="0"/>
        <v>76600</v>
      </c>
      <c r="L19" s="23"/>
      <c r="M19" s="24"/>
    </row>
    <row r="20" spans="1:14" s="13" customFormat="1" ht="18" customHeight="1">
      <c r="A20" s="14">
        <v>12</v>
      </c>
      <c r="B20" s="26" t="s">
        <v>408</v>
      </c>
      <c r="C20" s="27" t="s">
        <v>397</v>
      </c>
      <c r="D20" s="27">
        <v>3</v>
      </c>
      <c r="E20" s="26"/>
      <c r="F20" s="65">
        <v>4.72</v>
      </c>
      <c r="G20" s="65"/>
      <c r="H20" s="56">
        <v>7500</v>
      </c>
      <c r="I20" s="57">
        <f t="shared" si="1"/>
        <v>106200</v>
      </c>
      <c r="J20" s="57">
        <v>5500</v>
      </c>
      <c r="K20" s="58">
        <f t="shared" si="0"/>
        <v>111700</v>
      </c>
      <c r="L20" s="33"/>
    </row>
    <row r="21" spans="1:14" s="13" customFormat="1" ht="18" customHeight="1">
      <c r="A21" s="14">
        <v>13</v>
      </c>
      <c r="B21" s="26" t="s">
        <v>409</v>
      </c>
      <c r="C21" s="27" t="s">
        <v>405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410</v>
      </c>
      <c r="C22" s="27" t="s">
        <v>405</v>
      </c>
      <c r="D22" s="60">
        <v>8</v>
      </c>
      <c r="E22" s="26"/>
      <c r="F22" s="59">
        <v>1</v>
      </c>
      <c r="G22" s="65"/>
      <c r="H22" s="56">
        <v>13000</v>
      </c>
      <c r="I22" s="57">
        <f t="shared" si="1"/>
        <v>104000</v>
      </c>
      <c r="J22" s="57"/>
      <c r="K22" s="58">
        <f t="shared" si="0"/>
        <v>104000</v>
      </c>
      <c r="L22" s="33"/>
    </row>
    <row r="23" spans="1:14" s="13" customFormat="1" ht="18" customHeight="1">
      <c r="A23" s="14">
        <v>15</v>
      </c>
      <c r="B23" s="26" t="s">
        <v>411</v>
      </c>
      <c r="C23" s="27" t="str">
        <f>원가!B13</f>
        <v>WCB</v>
      </c>
      <c r="D23" s="27">
        <v>1</v>
      </c>
      <c r="E23" s="26"/>
      <c r="F23" s="65">
        <v>165</v>
      </c>
      <c r="G23" s="65"/>
      <c r="H23" s="56">
        <f>원가!C13</f>
        <v>2600</v>
      </c>
      <c r="I23" s="57">
        <f t="shared" si="1"/>
        <v>429000</v>
      </c>
      <c r="J23" s="57">
        <v>50000</v>
      </c>
      <c r="K23" s="58">
        <f t="shared" si="0"/>
        <v>479000</v>
      </c>
      <c r="L23" s="33"/>
    </row>
    <row r="24" spans="1:14" s="13" customFormat="1" ht="18" customHeight="1">
      <c r="A24" s="14">
        <v>16</v>
      </c>
      <c r="B24" s="15" t="s">
        <v>412</v>
      </c>
      <c r="C24" s="16" t="s">
        <v>405</v>
      </c>
      <c r="D24" s="16">
        <v>6</v>
      </c>
      <c r="E24" s="15"/>
      <c r="F24" s="59">
        <v>1</v>
      </c>
      <c r="G24" s="65"/>
      <c r="H24" s="56">
        <v>16000</v>
      </c>
      <c r="I24" s="57">
        <f t="shared" si="1"/>
        <v>96000</v>
      </c>
      <c r="J24" s="57"/>
      <c r="K24" s="58">
        <f t="shared" si="0"/>
        <v>96000</v>
      </c>
      <c r="L24" s="33"/>
    </row>
    <row r="25" spans="1:14" s="13" customFormat="1" ht="18" customHeight="1">
      <c r="A25" s="14">
        <v>17</v>
      </c>
      <c r="B25" s="15" t="s">
        <v>413</v>
      </c>
      <c r="C25" s="16" t="s">
        <v>394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2000</v>
      </c>
      <c r="K25" s="58">
        <f t="shared" si="0"/>
        <v>3400</v>
      </c>
      <c r="L25" s="33"/>
    </row>
    <row r="26" spans="1:14" s="13" customFormat="1" ht="18" customHeight="1">
      <c r="A26" s="131">
        <v>18</v>
      </c>
      <c r="B26" s="15" t="s">
        <v>414</v>
      </c>
      <c r="C26" s="16" t="str">
        <f>원가!B17</f>
        <v>10 BAR</v>
      </c>
      <c r="D26" s="16">
        <v>1</v>
      </c>
      <c r="E26" s="15"/>
      <c r="F26" s="65"/>
      <c r="G26" s="65"/>
      <c r="H26" s="66"/>
      <c r="I26" s="57"/>
      <c r="J26" s="97" t="s">
        <v>511</v>
      </c>
      <c r="K26" s="94">
        <f>IF(C26="PIYAKE",L26,IF(C26="10 BAR",M26,IF(C26="20 BAR",N26)))</f>
        <v>5200000</v>
      </c>
      <c r="L26" s="33"/>
      <c r="M26" s="33">
        <v>5200000</v>
      </c>
      <c r="N26" s="33" t="s">
        <v>519</v>
      </c>
    </row>
    <row r="27" spans="1:14" s="13" customFormat="1" ht="24" customHeight="1">
      <c r="A27" s="131"/>
      <c r="B27" s="36" t="s">
        <v>415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90</v>
      </c>
      <c r="C28" s="38" t="s">
        <v>397</v>
      </c>
      <c r="D28" s="38">
        <v>1</v>
      </c>
      <c r="E28" s="15"/>
      <c r="F28" s="55">
        <v>21.3</v>
      </c>
      <c r="G28" s="65"/>
      <c r="H28" s="66">
        <v>7500</v>
      </c>
      <c r="I28" s="57">
        <f>D28*F28*H28</f>
        <v>159750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91</v>
      </c>
      <c r="C29" s="38" t="s">
        <v>397</v>
      </c>
      <c r="D29" s="38">
        <v>2</v>
      </c>
      <c r="E29" s="15"/>
      <c r="F29" s="55">
        <v>11.5</v>
      </c>
      <c r="G29" s="65"/>
      <c r="H29" s="66">
        <v>7500</v>
      </c>
      <c r="I29" s="57">
        <f>D29*F29*H29</f>
        <v>172500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92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416</v>
      </c>
      <c r="C31" s="16" t="s">
        <v>417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418</v>
      </c>
      <c r="C32" s="16"/>
      <c r="D32" s="16">
        <v>1</v>
      </c>
      <c r="E32" s="15"/>
      <c r="F32" s="59">
        <v>1</v>
      </c>
      <c r="G32" s="65"/>
      <c r="H32" s="15"/>
      <c r="I32" s="58">
        <v>450000</v>
      </c>
      <c r="J32" s="58"/>
      <c r="K32" s="58">
        <f>I32+J32</f>
        <v>450000</v>
      </c>
      <c r="L32" s="33"/>
    </row>
    <row r="33" spans="1:13" s="13" customFormat="1" ht="18" customHeight="1">
      <c r="A33" s="14">
        <v>21</v>
      </c>
      <c r="B33" s="15" t="s">
        <v>419</v>
      </c>
      <c r="C33" s="16"/>
      <c r="D33" s="16">
        <v>1</v>
      </c>
      <c r="E33" s="15"/>
      <c r="F33" s="59">
        <v>1</v>
      </c>
      <c r="G33" s="65"/>
      <c r="H33" s="15"/>
      <c r="I33" s="58">
        <v>350000</v>
      </c>
      <c r="J33" s="58"/>
      <c r="K33" s="58">
        <f>I33+J33</f>
        <v>350000</v>
      </c>
      <c r="L33" s="33"/>
    </row>
    <row r="34" spans="1:13" s="13" customFormat="1" ht="18" customHeight="1">
      <c r="A34" s="14">
        <v>22</v>
      </c>
      <c r="B34" s="37" t="s">
        <v>420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39191752</v>
      </c>
      <c r="L34" s="33"/>
    </row>
    <row r="35" spans="1:13" s="13" customFormat="1" ht="18" customHeight="1">
      <c r="A35" s="14">
        <v>23</v>
      </c>
      <c r="B35" s="15" t="s">
        <v>93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421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422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423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1600000</v>
      </c>
      <c r="L38" s="33"/>
    </row>
    <row r="39" spans="1:13" s="13" customFormat="1" ht="18" customHeight="1">
      <c r="A39" s="14">
        <v>26</v>
      </c>
      <c r="B39" s="15" t="s">
        <v>424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425</v>
      </c>
      <c r="C40" s="38"/>
      <c r="D40" s="42"/>
      <c r="E40" s="39"/>
      <c r="F40" s="39"/>
      <c r="G40" s="39"/>
      <c r="H40" s="39"/>
      <c r="I40" s="43">
        <f>SUM(K35:K39)</f>
        <v>1600000</v>
      </c>
      <c r="J40" s="44">
        <v>1</v>
      </c>
      <c r="K40" s="43">
        <f>J40*I40</f>
        <v>1600000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426</v>
      </c>
      <c r="C42" s="38"/>
      <c r="D42" s="38"/>
      <c r="E42" s="47" t="s">
        <v>427</v>
      </c>
      <c r="F42" s="132">
        <f>L43</f>
        <v>0</v>
      </c>
      <c r="G42" s="133"/>
      <c r="H42" s="39"/>
      <c r="I42" s="41">
        <f>K34</f>
        <v>39191752</v>
      </c>
      <c r="J42" s="48">
        <f>원가!B15</f>
        <v>1</v>
      </c>
      <c r="K42" s="43">
        <f>J42*I42</f>
        <v>39191752</v>
      </c>
      <c r="L42" s="49" t="s">
        <v>427</v>
      </c>
    </row>
    <row r="43" spans="1:13" s="50" customFormat="1" ht="18" customHeight="1">
      <c r="A43" s="14">
        <v>30</v>
      </c>
      <c r="B43" s="10" t="s">
        <v>428</v>
      </c>
      <c r="C43" s="38"/>
      <c r="D43" s="38"/>
      <c r="E43" s="47" t="s">
        <v>429</v>
      </c>
      <c r="F43" s="132">
        <f>K43</f>
        <v>40791752</v>
      </c>
      <c r="G43" s="133"/>
      <c r="H43" s="39" t="s">
        <v>498</v>
      </c>
      <c r="I43" s="39">
        <f>원가!B2</f>
        <v>1</v>
      </c>
      <c r="J43" s="48"/>
      <c r="K43" s="41">
        <f>SUM(K40:K42)/I43</f>
        <v>40791752</v>
      </c>
      <c r="L43" s="49"/>
      <c r="M43" s="13"/>
    </row>
    <row r="44" spans="1:13" s="50" customFormat="1" ht="18" customHeight="1">
      <c r="L44" s="51"/>
    </row>
    <row r="45" spans="1:13" s="50" customFormat="1" ht="12">
      <c r="D45" s="51"/>
    </row>
    <row r="46" spans="1:13" s="50" customFormat="1" ht="12">
      <c r="L46" s="51"/>
    </row>
    <row r="47" spans="1:13" s="52" customFormat="1" ht="15">
      <c r="L47" s="51"/>
    </row>
    <row r="48" spans="1:13" s="52" customFormat="1" ht="15">
      <c r="L48" s="51"/>
    </row>
    <row r="49" spans="12:12" s="52" customFormat="1" ht="15">
      <c r="L49" s="51"/>
    </row>
  </sheetData>
  <mergeCells count="7">
    <mergeCell ref="A10:A11"/>
    <mergeCell ref="A12:A13"/>
    <mergeCell ref="F43:G43"/>
    <mergeCell ref="A14:A15"/>
    <mergeCell ref="A26:A27"/>
    <mergeCell ref="A36:A37"/>
    <mergeCell ref="F42:G42"/>
  </mergeCells>
  <phoneticPr fontId="23" type="noConversion"/>
  <printOptions horizontalCentered="1"/>
  <pageMargins left="0" right="0" top="0.76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13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3.28515625" customWidth="1"/>
    <col min="12" max="13" width="12.42578125" bestFit="1" customWidth="1"/>
  </cols>
  <sheetData>
    <row r="1" spans="1:13" s="4" customFormat="1" ht="2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490</v>
      </c>
      <c r="B3" s="6"/>
      <c r="C3" s="6" t="s">
        <v>378</v>
      </c>
      <c r="D3" s="6"/>
      <c r="E3" s="6"/>
      <c r="F3" s="6"/>
      <c r="G3" s="6"/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379</v>
      </c>
      <c r="B5" s="9" t="s">
        <v>380</v>
      </c>
      <c r="C5" s="9" t="s">
        <v>381</v>
      </c>
      <c r="D5" s="10" t="s">
        <v>382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387</v>
      </c>
      <c r="J5" s="9" t="s">
        <v>388</v>
      </c>
      <c r="K5" s="9" t="s">
        <v>389</v>
      </c>
      <c r="L5" s="11"/>
      <c r="M5" s="12"/>
    </row>
    <row r="6" spans="1:13" s="13" customFormat="1" ht="18" customHeight="1">
      <c r="A6" s="14">
        <v>1</v>
      </c>
      <c r="B6" s="15" t="s">
        <v>390</v>
      </c>
      <c r="C6" s="16" t="str">
        <f>원가!B4</f>
        <v>WCB</v>
      </c>
      <c r="D6" s="16">
        <v>1</v>
      </c>
      <c r="E6" s="27"/>
      <c r="F6" s="54">
        <v>5680</v>
      </c>
      <c r="G6" s="55"/>
      <c r="H6" s="56">
        <f>원가!C4</f>
        <v>2600</v>
      </c>
      <c r="I6" s="57">
        <f>D6*F6*H6</f>
        <v>14768000</v>
      </c>
      <c r="J6" s="57">
        <v>2300000</v>
      </c>
      <c r="K6" s="58">
        <f t="shared" ref="K6:K27" si="0">I6+J6</f>
        <v>17068000</v>
      </c>
      <c r="L6" s="23"/>
      <c r="M6" s="24"/>
    </row>
    <row r="7" spans="1:13" s="13" customFormat="1" ht="18" customHeight="1">
      <c r="A7" s="14">
        <v>2</v>
      </c>
      <c r="B7" s="15" t="s">
        <v>392</v>
      </c>
      <c r="C7" s="16" t="str">
        <f>원가!B5</f>
        <v>WCB</v>
      </c>
      <c r="D7" s="16">
        <v>1</v>
      </c>
      <c r="E7" s="27"/>
      <c r="F7" s="54">
        <v>3622</v>
      </c>
      <c r="G7" s="55"/>
      <c r="H7" s="56">
        <f>원가!C5</f>
        <v>2600</v>
      </c>
      <c r="I7" s="57">
        <f>D7*F7*H7</f>
        <v>9417200</v>
      </c>
      <c r="J7" s="57">
        <v>1180000</v>
      </c>
      <c r="K7" s="58">
        <f t="shared" si="0"/>
        <v>10597200</v>
      </c>
      <c r="L7" s="23"/>
      <c r="M7" s="24"/>
    </row>
    <row r="8" spans="1:13" s="13" customFormat="1" ht="18" customHeight="1">
      <c r="A8" s="14">
        <v>3</v>
      </c>
      <c r="B8" s="15" t="s">
        <v>393</v>
      </c>
      <c r="C8" s="16" t="s">
        <v>394</v>
      </c>
      <c r="D8" s="16">
        <v>1</v>
      </c>
      <c r="E8" s="27"/>
      <c r="F8" s="59">
        <v>1</v>
      </c>
      <c r="G8" s="55"/>
      <c r="H8" s="56"/>
      <c r="I8" s="57">
        <v>140000</v>
      </c>
      <c r="J8" s="57">
        <v>15000</v>
      </c>
      <c r="K8" s="58">
        <f t="shared" si="0"/>
        <v>155000</v>
      </c>
      <c r="L8" s="23"/>
      <c r="M8" s="24"/>
    </row>
    <row r="9" spans="1:13" s="13" customFormat="1" ht="18" customHeight="1">
      <c r="A9" s="14">
        <v>4</v>
      </c>
      <c r="B9" s="15" t="s">
        <v>395</v>
      </c>
      <c r="C9" s="16" t="str">
        <f>원가!B6</f>
        <v>A276T316L</v>
      </c>
      <c r="D9" s="16">
        <v>1</v>
      </c>
      <c r="E9" s="27"/>
      <c r="F9" s="55">
        <v>650</v>
      </c>
      <c r="G9" s="55"/>
      <c r="H9" s="56">
        <f>원가!C6</f>
        <v>8500</v>
      </c>
      <c r="I9" s="57">
        <f t="shared" ref="I9:I25" si="1">D9*F9*H9</f>
        <v>5525000</v>
      </c>
      <c r="J9" s="57">
        <v>400000</v>
      </c>
      <c r="K9" s="58">
        <f t="shared" si="0"/>
        <v>5925000</v>
      </c>
      <c r="L9" s="23"/>
      <c r="M9" s="24"/>
    </row>
    <row r="10" spans="1:13" s="13" customFormat="1" ht="18" customHeight="1">
      <c r="A10" s="131">
        <v>5</v>
      </c>
      <c r="B10" s="15" t="s">
        <v>396</v>
      </c>
      <c r="C10" s="16" t="str">
        <f>원가!B7</f>
        <v>316L</v>
      </c>
      <c r="D10" s="16">
        <v>1</v>
      </c>
      <c r="E10" s="15"/>
      <c r="F10" s="55">
        <v>244</v>
      </c>
      <c r="G10" s="55"/>
      <c r="H10" s="56">
        <f>원가!C7</f>
        <v>8500</v>
      </c>
      <c r="I10" s="57">
        <f t="shared" si="1"/>
        <v>2074000</v>
      </c>
      <c r="J10" s="57">
        <v>560000</v>
      </c>
      <c r="K10" s="58">
        <f t="shared" si="0"/>
        <v>2634000</v>
      </c>
      <c r="L10" s="23"/>
      <c r="M10" s="24"/>
    </row>
    <row r="11" spans="1:13" s="13" customFormat="1" ht="18" customHeight="1">
      <c r="A11" s="131"/>
      <c r="B11" s="15" t="s">
        <v>398</v>
      </c>
      <c r="C11" s="16" t="str">
        <f>원가!B8</f>
        <v>316L</v>
      </c>
      <c r="D11" s="16">
        <v>1</v>
      </c>
      <c r="E11" s="28"/>
      <c r="F11" s="55">
        <v>244</v>
      </c>
      <c r="G11" s="29"/>
      <c r="H11" s="56">
        <f>원가!C8</f>
        <v>8500</v>
      </c>
      <c r="I11" s="57">
        <f t="shared" si="1"/>
        <v>2074000</v>
      </c>
      <c r="J11" s="57">
        <v>560000</v>
      </c>
      <c r="K11" s="58">
        <f t="shared" si="0"/>
        <v>2634000</v>
      </c>
      <c r="L11" s="23"/>
      <c r="M11" s="24"/>
    </row>
    <row r="12" spans="1:13" s="13" customFormat="1" ht="18" customHeight="1">
      <c r="A12" s="131">
        <v>6</v>
      </c>
      <c r="B12" s="15" t="s">
        <v>399</v>
      </c>
      <c r="C12" s="16" t="str">
        <f>원가!B9</f>
        <v>B148</v>
      </c>
      <c r="D12" s="16">
        <v>1</v>
      </c>
      <c r="E12" s="15"/>
      <c r="F12" s="55">
        <v>29</v>
      </c>
      <c r="G12" s="55"/>
      <c r="H12" s="56">
        <f>원가!C9</f>
        <v>12500</v>
      </c>
      <c r="I12" s="57">
        <f t="shared" si="1"/>
        <v>362500</v>
      </c>
      <c r="J12" s="57">
        <v>40000</v>
      </c>
      <c r="K12" s="58">
        <f t="shared" si="0"/>
        <v>402500</v>
      </c>
      <c r="L12" s="23"/>
      <c r="M12" s="24"/>
    </row>
    <row r="13" spans="1:13" s="13" customFormat="1" ht="18" customHeight="1">
      <c r="A13" s="131"/>
      <c r="B13" s="26" t="s">
        <v>400</v>
      </c>
      <c r="C13" s="16" t="str">
        <f>원가!B10</f>
        <v>B148</v>
      </c>
      <c r="D13" s="16">
        <v>1</v>
      </c>
      <c r="E13" s="15"/>
      <c r="F13" s="55">
        <v>29</v>
      </c>
      <c r="G13" s="55"/>
      <c r="H13" s="56">
        <f>원가!C10</f>
        <v>12500</v>
      </c>
      <c r="I13" s="57">
        <f t="shared" si="1"/>
        <v>362500</v>
      </c>
      <c r="J13" s="57">
        <v>40000</v>
      </c>
      <c r="K13" s="58">
        <f t="shared" si="0"/>
        <v>402500</v>
      </c>
      <c r="L13" s="23"/>
      <c r="M13" s="24"/>
    </row>
    <row r="14" spans="1:13" s="13" customFormat="1" ht="18" customHeight="1">
      <c r="A14" s="131">
        <v>7</v>
      </c>
      <c r="B14" s="26" t="s">
        <v>401</v>
      </c>
      <c r="C14" s="27" t="s">
        <v>394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402</v>
      </c>
      <c r="C15" s="27" t="s">
        <v>391</v>
      </c>
      <c r="D15" s="60">
        <v>4</v>
      </c>
      <c r="E15" s="26"/>
      <c r="F15" s="55">
        <v>3.29</v>
      </c>
      <c r="G15" s="61"/>
      <c r="H15" s="62">
        <v>11200</v>
      </c>
      <c r="I15" s="57">
        <f t="shared" si="1"/>
        <v>147392</v>
      </c>
      <c r="J15" s="63">
        <v>8000</v>
      </c>
      <c r="K15" s="58">
        <f t="shared" si="0"/>
        <v>155392</v>
      </c>
      <c r="L15" s="23"/>
      <c r="M15" s="24"/>
    </row>
    <row r="16" spans="1:13" s="13" customFormat="1" ht="18" customHeight="1">
      <c r="A16" s="14">
        <v>8</v>
      </c>
      <c r="B16" s="26" t="s">
        <v>403</v>
      </c>
      <c r="C16" s="16" t="str">
        <f>원가!B11</f>
        <v>WCB</v>
      </c>
      <c r="D16" s="16">
        <v>1</v>
      </c>
      <c r="E16" s="15"/>
      <c r="F16" s="55">
        <v>26.5</v>
      </c>
      <c r="G16" s="55"/>
      <c r="H16" s="56">
        <f>원가!C11</f>
        <v>2600</v>
      </c>
      <c r="I16" s="57">
        <f t="shared" si="1"/>
        <v>68900</v>
      </c>
      <c r="J16" s="57">
        <v>30000</v>
      </c>
      <c r="K16" s="58">
        <f t="shared" si="0"/>
        <v>98900</v>
      </c>
      <c r="L16" s="23"/>
      <c r="M16" s="24"/>
    </row>
    <row r="17" spans="1:14" s="13" customFormat="1" ht="18" customHeight="1">
      <c r="A17" s="14">
        <v>9</v>
      </c>
      <c r="B17" s="26" t="s">
        <v>404</v>
      </c>
      <c r="C17" s="27" t="s">
        <v>405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406</v>
      </c>
      <c r="C18" s="16" t="str">
        <f>원가!B12</f>
        <v>WCB</v>
      </c>
      <c r="D18" s="27">
        <v>1</v>
      </c>
      <c r="E18" s="26"/>
      <c r="F18" s="55">
        <v>74</v>
      </c>
      <c r="G18" s="55"/>
      <c r="H18" s="56">
        <f>원가!C12</f>
        <v>2600</v>
      </c>
      <c r="I18" s="57">
        <f t="shared" si="1"/>
        <v>192400</v>
      </c>
      <c r="J18" s="57">
        <v>50000</v>
      </c>
      <c r="K18" s="58">
        <f t="shared" si="0"/>
        <v>242400</v>
      </c>
      <c r="L18" s="23"/>
      <c r="M18" s="24"/>
    </row>
    <row r="19" spans="1:14" s="13" customFormat="1" ht="18" customHeight="1">
      <c r="A19" s="14">
        <v>11</v>
      </c>
      <c r="B19" s="26" t="s">
        <v>407</v>
      </c>
      <c r="C19" s="16" t="s">
        <v>391</v>
      </c>
      <c r="D19" s="27">
        <v>1</v>
      </c>
      <c r="E19" s="26"/>
      <c r="F19" s="55">
        <v>8.1999999999999993</v>
      </c>
      <c r="G19" s="55"/>
      <c r="H19" s="56">
        <v>8000</v>
      </c>
      <c r="I19" s="57">
        <f t="shared" si="1"/>
        <v>65600</v>
      </c>
      <c r="J19" s="57">
        <v>11000</v>
      </c>
      <c r="K19" s="58">
        <f t="shared" si="0"/>
        <v>76600</v>
      </c>
      <c r="L19" s="23"/>
      <c r="M19" s="24"/>
    </row>
    <row r="20" spans="1:14" s="13" customFormat="1" ht="18" customHeight="1">
      <c r="A20" s="14">
        <v>12</v>
      </c>
      <c r="B20" s="26" t="s">
        <v>408</v>
      </c>
      <c r="C20" s="27" t="s">
        <v>397</v>
      </c>
      <c r="D20" s="27">
        <v>3</v>
      </c>
      <c r="E20" s="26"/>
      <c r="F20" s="65">
        <v>4.8899999999999997</v>
      </c>
      <c r="G20" s="65"/>
      <c r="H20" s="56">
        <v>7500</v>
      </c>
      <c r="I20" s="57">
        <f t="shared" si="1"/>
        <v>110024.99999999999</v>
      </c>
      <c r="J20" s="57">
        <v>5500</v>
      </c>
      <c r="K20" s="58">
        <f t="shared" si="0"/>
        <v>115524.99999999999</v>
      </c>
      <c r="L20" s="33"/>
    </row>
    <row r="21" spans="1:14" s="13" customFormat="1" ht="18" customHeight="1">
      <c r="A21" s="14">
        <v>13</v>
      </c>
      <c r="B21" s="26" t="s">
        <v>409</v>
      </c>
      <c r="C21" s="27" t="s">
        <v>405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410</v>
      </c>
      <c r="C22" s="27" t="s">
        <v>405</v>
      </c>
      <c r="D22" s="60">
        <v>8</v>
      </c>
      <c r="E22" s="26"/>
      <c r="F22" s="59">
        <v>1</v>
      </c>
      <c r="G22" s="65"/>
      <c r="H22" s="56">
        <v>14000</v>
      </c>
      <c r="I22" s="57">
        <f t="shared" si="1"/>
        <v>112000</v>
      </c>
      <c r="J22" s="57"/>
      <c r="K22" s="58">
        <f t="shared" si="0"/>
        <v>112000</v>
      </c>
      <c r="L22" s="33"/>
    </row>
    <row r="23" spans="1:14" s="13" customFormat="1" ht="18" customHeight="1">
      <c r="A23" s="14">
        <v>15</v>
      </c>
      <c r="B23" s="26" t="s">
        <v>411</v>
      </c>
      <c r="C23" s="27" t="str">
        <f>원가!B13</f>
        <v>WCB</v>
      </c>
      <c r="D23" s="27">
        <v>1</v>
      </c>
      <c r="E23" s="26"/>
      <c r="F23" s="65">
        <v>170</v>
      </c>
      <c r="G23" s="65"/>
      <c r="H23" s="56">
        <f>원가!C13</f>
        <v>2600</v>
      </c>
      <c r="I23" s="57">
        <f t="shared" si="1"/>
        <v>442000</v>
      </c>
      <c r="J23" s="57">
        <v>50000</v>
      </c>
      <c r="K23" s="58">
        <f t="shared" si="0"/>
        <v>492000</v>
      </c>
      <c r="L23" s="33"/>
    </row>
    <row r="24" spans="1:14" s="13" customFormat="1" ht="18" customHeight="1">
      <c r="A24" s="14">
        <v>16</v>
      </c>
      <c r="B24" s="15" t="s">
        <v>412</v>
      </c>
      <c r="C24" s="16" t="s">
        <v>405</v>
      </c>
      <c r="D24" s="16">
        <v>6</v>
      </c>
      <c r="E24" s="15"/>
      <c r="F24" s="59">
        <v>1</v>
      </c>
      <c r="G24" s="65"/>
      <c r="H24" s="121">
        <v>16000</v>
      </c>
      <c r="I24" s="57">
        <f t="shared" si="1"/>
        <v>96000</v>
      </c>
      <c r="J24" s="57"/>
      <c r="K24" s="58">
        <f t="shared" si="0"/>
        <v>96000</v>
      </c>
      <c r="L24" s="33"/>
    </row>
    <row r="25" spans="1:14" s="13" customFormat="1" ht="18" customHeight="1">
      <c r="A25" s="14">
        <v>17</v>
      </c>
      <c r="B25" s="15" t="s">
        <v>413</v>
      </c>
      <c r="C25" s="16" t="s">
        <v>394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2000</v>
      </c>
      <c r="K25" s="58">
        <f t="shared" si="0"/>
        <v>3400</v>
      </c>
      <c r="L25" s="33"/>
    </row>
    <row r="26" spans="1:14" s="13" customFormat="1" ht="18" customHeight="1">
      <c r="A26" s="131">
        <v>18</v>
      </c>
      <c r="B26" s="15" t="s">
        <v>414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5200000</v>
      </c>
      <c r="L26" s="33">
        <v>1700000</v>
      </c>
      <c r="M26" s="33">
        <v>5200000</v>
      </c>
      <c r="N26" s="33" t="s">
        <v>519</v>
      </c>
    </row>
    <row r="27" spans="1:14" s="13" customFormat="1" ht="24" customHeight="1">
      <c r="A27" s="131"/>
      <c r="B27" s="36" t="s">
        <v>415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90</v>
      </c>
      <c r="C28" s="38" t="s">
        <v>397</v>
      </c>
      <c r="D28" s="38">
        <v>1</v>
      </c>
      <c r="E28" s="15"/>
      <c r="F28" s="55">
        <v>21.31</v>
      </c>
      <c r="G28" s="65"/>
      <c r="H28" s="66">
        <v>7500</v>
      </c>
      <c r="I28" s="57">
        <f>D28*F28*H28</f>
        <v>159825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91</v>
      </c>
      <c r="C29" s="38" t="s">
        <v>397</v>
      </c>
      <c r="D29" s="38">
        <v>2</v>
      </c>
      <c r="E29" s="15"/>
      <c r="F29" s="55">
        <v>11.5</v>
      </c>
      <c r="G29" s="65"/>
      <c r="H29" s="66">
        <v>7500</v>
      </c>
      <c r="I29" s="57">
        <f>D29*F29*H29</f>
        <v>172500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92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416</v>
      </c>
      <c r="C31" s="16" t="s">
        <v>417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418</v>
      </c>
      <c r="C32" s="16"/>
      <c r="D32" s="16">
        <v>1</v>
      </c>
      <c r="E32" s="15"/>
      <c r="F32" s="59">
        <v>1</v>
      </c>
      <c r="G32" s="65"/>
      <c r="H32" s="15"/>
      <c r="I32" s="58">
        <v>450000</v>
      </c>
      <c r="J32" s="58"/>
      <c r="K32" s="58">
        <f>I32+J32</f>
        <v>450000</v>
      </c>
      <c r="L32" s="33"/>
    </row>
    <row r="33" spans="1:13" s="13" customFormat="1" ht="18" customHeight="1">
      <c r="A33" s="14">
        <v>21</v>
      </c>
      <c r="B33" s="15" t="s">
        <v>419</v>
      </c>
      <c r="C33" s="16"/>
      <c r="D33" s="16">
        <v>1</v>
      </c>
      <c r="E33" s="15"/>
      <c r="F33" s="59">
        <v>1</v>
      </c>
      <c r="G33" s="65"/>
      <c r="H33" s="15"/>
      <c r="I33" s="58">
        <v>350000</v>
      </c>
      <c r="J33" s="58"/>
      <c r="K33" s="58">
        <f>I33+J33</f>
        <v>350000</v>
      </c>
      <c r="L33" s="33"/>
    </row>
    <row r="34" spans="1:13" s="13" customFormat="1" ht="18" customHeight="1">
      <c r="A34" s="14">
        <v>22</v>
      </c>
      <c r="B34" s="37" t="s">
        <v>420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47412017</v>
      </c>
      <c r="L34" s="33"/>
    </row>
    <row r="35" spans="1:13" s="13" customFormat="1" ht="18" customHeight="1">
      <c r="A35" s="14">
        <v>23</v>
      </c>
      <c r="B35" s="15" t="s">
        <v>93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421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422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423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1800000</v>
      </c>
      <c r="L38" s="33"/>
    </row>
    <row r="39" spans="1:13" s="13" customFormat="1" ht="18" customHeight="1">
      <c r="A39" s="14">
        <v>26</v>
      </c>
      <c r="B39" s="15" t="s">
        <v>424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425</v>
      </c>
      <c r="C40" s="38"/>
      <c r="D40" s="42"/>
      <c r="E40" s="39"/>
      <c r="F40" s="39"/>
      <c r="G40" s="39"/>
      <c r="H40" s="39"/>
      <c r="I40" s="43">
        <f>SUM(K35:K39)</f>
        <v>1800000</v>
      </c>
      <c r="J40" s="44">
        <v>1</v>
      </c>
      <c r="K40" s="43">
        <f>J40*I40</f>
        <v>1800000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426</v>
      </c>
      <c r="C42" s="38"/>
      <c r="D42" s="38"/>
      <c r="E42" s="47" t="s">
        <v>427</v>
      </c>
      <c r="F42" s="132">
        <f>L43</f>
        <v>0</v>
      </c>
      <c r="G42" s="133"/>
      <c r="H42" s="39"/>
      <c r="I42" s="41">
        <f>K34</f>
        <v>47412017</v>
      </c>
      <c r="J42" s="48">
        <f>원가!B15</f>
        <v>1</v>
      </c>
      <c r="K42" s="43">
        <f>J42*I42</f>
        <v>47412017</v>
      </c>
      <c r="L42" s="49" t="s">
        <v>427</v>
      </c>
    </row>
    <row r="43" spans="1:13" s="50" customFormat="1" ht="18" customHeight="1">
      <c r="A43" s="14">
        <v>30</v>
      </c>
      <c r="B43" s="10" t="s">
        <v>428</v>
      </c>
      <c r="C43" s="38"/>
      <c r="D43" s="38"/>
      <c r="E43" s="47" t="s">
        <v>429</v>
      </c>
      <c r="F43" s="132">
        <f>K43</f>
        <v>49212017</v>
      </c>
      <c r="G43" s="133"/>
      <c r="H43" s="39" t="s">
        <v>498</v>
      </c>
      <c r="I43" s="39">
        <f>원가!B2</f>
        <v>1</v>
      </c>
      <c r="J43" s="48"/>
      <c r="K43" s="41">
        <f>SUM(K40:K42)/I43</f>
        <v>49212017</v>
      </c>
      <c r="L43" s="49"/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19" workbookViewId="0">
      <selection activeCell="M27" sqref="M27"/>
    </sheetView>
  </sheetViews>
  <sheetFormatPr defaultRowHeight="12.75"/>
  <cols>
    <col min="1" max="1" width="4.28515625" customWidth="1"/>
    <col min="2" max="2" width="18.140625" customWidth="1"/>
    <col min="4" max="4" width="5.7109375" customWidth="1"/>
    <col min="5" max="5" width="6.28515625" customWidth="1"/>
    <col min="9" max="9" width="12.7109375" customWidth="1"/>
    <col min="11" max="11" width="12.7109375" customWidth="1"/>
    <col min="12" max="12" width="12.42578125" bestFit="1" customWidth="1"/>
    <col min="13" max="13" width="11.85546875" customWidth="1"/>
  </cols>
  <sheetData>
    <row r="1" spans="1:13" s="4" customFormat="1" ht="20.25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</row>
    <row r="2" spans="1:13" s="4" customFormat="1" ht="12.2" customHeight="1">
      <c r="A2" s="5"/>
      <c r="B2" s="6"/>
      <c r="C2" s="6"/>
      <c r="E2" s="6"/>
      <c r="F2" s="6"/>
      <c r="G2" s="6"/>
      <c r="L2" s="7"/>
    </row>
    <row r="3" spans="1:13" s="4" customFormat="1" ht="18.75">
      <c r="A3" s="5" t="s">
        <v>489</v>
      </c>
      <c r="B3" s="6"/>
      <c r="C3" s="6" t="s">
        <v>378</v>
      </c>
      <c r="D3" s="6"/>
      <c r="E3" s="6"/>
      <c r="F3" s="6"/>
      <c r="G3" s="6" t="s">
        <v>96</v>
      </c>
      <c r="H3" s="6"/>
      <c r="I3" s="8"/>
      <c r="J3" s="6"/>
      <c r="K3" s="6"/>
      <c r="L3" s="7"/>
    </row>
    <row r="4" spans="1:13" s="4" customFormat="1" ht="12.2" customHeight="1">
      <c r="L4" s="7"/>
    </row>
    <row r="5" spans="1:13" s="13" customFormat="1" ht="18" customHeight="1">
      <c r="A5" s="9" t="s">
        <v>379</v>
      </c>
      <c r="B5" s="9" t="s">
        <v>380</v>
      </c>
      <c r="C5" s="9" t="s">
        <v>381</v>
      </c>
      <c r="D5" s="10" t="s">
        <v>382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387</v>
      </c>
      <c r="J5" s="9" t="s">
        <v>388</v>
      </c>
      <c r="K5" s="9" t="s">
        <v>389</v>
      </c>
      <c r="L5" s="11"/>
      <c r="M5" s="12"/>
    </row>
    <row r="6" spans="1:13" s="13" customFormat="1" ht="18" customHeight="1">
      <c r="A6" s="14">
        <v>1</v>
      </c>
      <c r="B6" s="15" t="s">
        <v>390</v>
      </c>
      <c r="C6" s="16" t="str">
        <f>원가!B4</f>
        <v>WCB</v>
      </c>
      <c r="D6" s="16">
        <v>1</v>
      </c>
      <c r="E6" s="27"/>
      <c r="F6" s="54">
        <v>6816</v>
      </c>
      <c r="G6" s="55"/>
      <c r="H6" s="56">
        <f>원가!C4</f>
        <v>2600</v>
      </c>
      <c r="I6" s="57">
        <f>D6*F6*H6</f>
        <v>17721600</v>
      </c>
      <c r="J6" s="57">
        <v>2400000</v>
      </c>
      <c r="K6" s="58">
        <f t="shared" ref="K6:K27" si="0">I6+J6</f>
        <v>20121600</v>
      </c>
      <c r="L6" s="23"/>
      <c r="M6" s="24"/>
    </row>
    <row r="7" spans="1:13" s="13" customFormat="1" ht="18" customHeight="1">
      <c r="A7" s="14">
        <v>2</v>
      </c>
      <c r="B7" s="15" t="s">
        <v>392</v>
      </c>
      <c r="C7" s="16" t="str">
        <f>원가!B5</f>
        <v>WCB</v>
      </c>
      <c r="D7" s="16">
        <v>1</v>
      </c>
      <c r="E7" s="27"/>
      <c r="F7" s="54">
        <v>4346</v>
      </c>
      <c r="G7" s="55"/>
      <c r="H7" s="56">
        <f>원가!C5</f>
        <v>2600</v>
      </c>
      <c r="I7" s="57">
        <f>D7*F7*H7</f>
        <v>11299600</v>
      </c>
      <c r="J7" s="57">
        <v>1400000</v>
      </c>
      <c r="K7" s="58">
        <f t="shared" si="0"/>
        <v>12699600</v>
      </c>
      <c r="L7" s="23"/>
      <c r="M7" s="24"/>
    </row>
    <row r="8" spans="1:13" s="13" customFormat="1" ht="18" customHeight="1">
      <c r="A8" s="14">
        <v>3</v>
      </c>
      <c r="B8" s="15" t="s">
        <v>393</v>
      </c>
      <c r="C8" s="16" t="s">
        <v>394</v>
      </c>
      <c r="D8" s="16">
        <v>1</v>
      </c>
      <c r="E8" s="27"/>
      <c r="F8" s="59">
        <v>1</v>
      </c>
      <c r="G8" s="55"/>
      <c r="H8" s="56"/>
      <c r="I8" s="57">
        <v>140000</v>
      </c>
      <c r="J8" s="57">
        <v>15000</v>
      </c>
      <c r="K8" s="58">
        <f t="shared" si="0"/>
        <v>155000</v>
      </c>
      <c r="L8" s="23"/>
      <c r="M8" s="24"/>
    </row>
    <row r="9" spans="1:13" s="13" customFormat="1" ht="18" customHeight="1">
      <c r="A9" s="14">
        <v>4</v>
      </c>
      <c r="B9" s="15" t="s">
        <v>395</v>
      </c>
      <c r="C9" s="16" t="str">
        <f>원가!B6</f>
        <v>A276T316L</v>
      </c>
      <c r="D9" s="16">
        <v>1</v>
      </c>
      <c r="E9" s="27"/>
      <c r="F9" s="55">
        <v>650</v>
      </c>
      <c r="G9" s="55"/>
      <c r="H9" s="56">
        <f>원가!C6</f>
        <v>8500</v>
      </c>
      <c r="I9" s="57">
        <f t="shared" ref="I9:I25" si="1">D9*F9*H9</f>
        <v>5525000</v>
      </c>
      <c r="J9" s="57">
        <v>500000</v>
      </c>
      <c r="K9" s="58">
        <f t="shared" si="0"/>
        <v>6025000</v>
      </c>
      <c r="L9" s="23"/>
      <c r="M9" s="24"/>
    </row>
    <row r="10" spans="1:13" s="13" customFormat="1" ht="18" customHeight="1">
      <c r="A10" s="131">
        <v>5</v>
      </c>
      <c r="B10" s="15" t="s">
        <v>396</v>
      </c>
      <c r="C10" s="16" t="str">
        <f>원가!B7</f>
        <v>316L</v>
      </c>
      <c r="D10" s="16">
        <v>1</v>
      </c>
      <c r="E10" s="15"/>
      <c r="F10" s="55">
        <v>292.8</v>
      </c>
      <c r="G10" s="55"/>
      <c r="H10" s="56">
        <f>원가!C7</f>
        <v>8500</v>
      </c>
      <c r="I10" s="57">
        <f t="shared" si="1"/>
        <v>2488800</v>
      </c>
      <c r="J10" s="57">
        <v>560000</v>
      </c>
      <c r="K10" s="58">
        <f t="shared" si="0"/>
        <v>3048800</v>
      </c>
      <c r="L10" s="23"/>
      <c r="M10" s="24"/>
    </row>
    <row r="11" spans="1:13" s="13" customFormat="1" ht="18" customHeight="1">
      <c r="A11" s="131"/>
      <c r="B11" s="15" t="s">
        <v>398</v>
      </c>
      <c r="C11" s="16" t="str">
        <f>원가!B8</f>
        <v>316L</v>
      </c>
      <c r="D11" s="16">
        <v>1</v>
      </c>
      <c r="E11" s="28"/>
      <c r="F11" s="55">
        <v>292.8</v>
      </c>
      <c r="G11" s="29"/>
      <c r="H11" s="56">
        <f>원가!C8</f>
        <v>8500</v>
      </c>
      <c r="I11" s="57">
        <f t="shared" si="1"/>
        <v>2488800</v>
      </c>
      <c r="J11" s="57">
        <v>560000</v>
      </c>
      <c r="K11" s="58">
        <f t="shared" si="0"/>
        <v>3048800</v>
      </c>
      <c r="L11" s="23"/>
      <c r="M11" s="24"/>
    </row>
    <row r="12" spans="1:13" s="13" customFormat="1" ht="18" customHeight="1">
      <c r="A12" s="131">
        <v>6</v>
      </c>
      <c r="B12" s="15" t="s">
        <v>399</v>
      </c>
      <c r="C12" s="16" t="str">
        <f>원가!B9</f>
        <v>B148</v>
      </c>
      <c r="D12" s="16">
        <v>1</v>
      </c>
      <c r="E12" s="15"/>
      <c r="F12" s="55">
        <v>29</v>
      </c>
      <c r="G12" s="55"/>
      <c r="H12" s="56">
        <f>원가!C9</f>
        <v>12500</v>
      </c>
      <c r="I12" s="57">
        <f t="shared" si="1"/>
        <v>362500</v>
      </c>
      <c r="J12" s="57">
        <v>40000</v>
      </c>
      <c r="K12" s="58">
        <f t="shared" si="0"/>
        <v>402500</v>
      </c>
      <c r="L12" s="23"/>
      <c r="M12" s="24"/>
    </row>
    <row r="13" spans="1:13" s="13" customFormat="1" ht="18" customHeight="1">
      <c r="A13" s="131"/>
      <c r="B13" s="26" t="s">
        <v>400</v>
      </c>
      <c r="C13" s="16" t="str">
        <f>원가!B10</f>
        <v>B148</v>
      </c>
      <c r="D13" s="16">
        <v>1</v>
      </c>
      <c r="E13" s="15"/>
      <c r="F13" s="55">
        <v>29</v>
      </c>
      <c r="G13" s="55"/>
      <c r="H13" s="56">
        <f>원가!C10</f>
        <v>12500</v>
      </c>
      <c r="I13" s="57">
        <f t="shared" si="1"/>
        <v>362500</v>
      </c>
      <c r="J13" s="57">
        <v>40000</v>
      </c>
      <c r="K13" s="58">
        <f t="shared" si="0"/>
        <v>402500</v>
      </c>
      <c r="L13" s="23"/>
      <c r="M13" s="24"/>
    </row>
    <row r="14" spans="1:13" s="13" customFormat="1" ht="18" customHeight="1">
      <c r="A14" s="131">
        <v>7</v>
      </c>
      <c r="B14" s="26" t="s">
        <v>401</v>
      </c>
      <c r="C14" s="27" t="s">
        <v>394</v>
      </c>
      <c r="D14" s="60">
        <v>5</v>
      </c>
      <c r="E14" s="26"/>
      <c r="F14" s="59">
        <v>1</v>
      </c>
      <c r="G14" s="61"/>
      <c r="H14" s="62">
        <v>1700</v>
      </c>
      <c r="I14" s="57">
        <f t="shared" si="1"/>
        <v>8500</v>
      </c>
      <c r="J14" s="63"/>
      <c r="K14" s="58">
        <f t="shared" si="0"/>
        <v>8500</v>
      </c>
      <c r="L14" s="23"/>
      <c r="M14" s="24"/>
    </row>
    <row r="15" spans="1:13" s="13" customFormat="1" ht="18" customHeight="1">
      <c r="A15" s="131"/>
      <c r="B15" s="15" t="s">
        <v>402</v>
      </c>
      <c r="C15" s="27" t="s">
        <v>391</v>
      </c>
      <c r="D15" s="60">
        <v>4</v>
      </c>
      <c r="E15" s="26"/>
      <c r="F15" s="55">
        <v>3.29</v>
      </c>
      <c r="G15" s="61"/>
      <c r="H15" s="62">
        <v>11200</v>
      </c>
      <c r="I15" s="57">
        <f t="shared" si="1"/>
        <v>147392</v>
      </c>
      <c r="J15" s="63">
        <v>8000</v>
      </c>
      <c r="K15" s="58">
        <f t="shared" si="0"/>
        <v>155392</v>
      </c>
      <c r="L15" s="23"/>
      <c r="M15" s="24"/>
    </row>
    <row r="16" spans="1:13" s="13" customFormat="1" ht="18" customHeight="1">
      <c r="A16" s="14">
        <v>8</v>
      </c>
      <c r="B16" s="26" t="s">
        <v>403</v>
      </c>
      <c r="C16" s="16" t="str">
        <f>원가!B11</f>
        <v>WCB</v>
      </c>
      <c r="D16" s="16">
        <v>1</v>
      </c>
      <c r="E16" s="15"/>
      <c r="F16" s="55">
        <v>25.5</v>
      </c>
      <c r="G16" s="55"/>
      <c r="H16" s="56">
        <f>원가!C11</f>
        <v>2600</v>
      </c>
      <c r="I16" s="57">
        <f t="shared" si="1"/>
        <v>66300</v>
      </c>
      <c r="J16" s="57">
        <v>30000</v>
      </c>
      <c r="K16" s="58">
        <f t="shared" si="0"/>
        <v>96300</v>
      </c>
      <c r="L16" s="23"/>
      <c r="M16" s="24"/>
    </row>
    <row r="17" spans="1:14" s="13" customFormat="1" ht="18" customHeight="1">
      <c r="A17" s="14">
        <v>9</v>
      </c>
      <c r="B17" s="26" t="s">
        <v>404</v>
      </c>
      <c r="C17" s="27" t="s">
        <v>405</v>
      </c>
      <c r="D17" s="27">
        <v>4</v>
      </c>
      <c r="E17" s="26"/>
      <c r="F17" s="59">
        <v>1</v>
      </c>
      <c r="G17" s="55"/>
      <c r="H17" s="56">
        <v>2400</v>
      </c>
      <c r="I17" s="57">
        <f t="shared" si="1"/>
        <v>9600</v>
      </c>
      <c r="J17" s="57"/>
      <c r="K17" s="58">
        <f t="shared" si="0"/>
        <v>9600</v>
      </c>
      <c r="L17" s="23"/>
      <c r="M17" s="24"/>
    </row>
    <row r="18" spans="1:14" s="13" customFormat="1" ht="18" customHeight="1">
      <c r="A18" s="14">
        <v>10</v>
      </c>
      <c r="B18" s="26" t="s">
        <v>406</v>
      </c>
      <c r="C18" s="16" t="str">
        <f>원가!B12</f>
        <v>WCB</v>
      </c>
      <c r="D18" s="27">
        <v>1</v>
      </c>
      <c r="E18" s="26"/>
      <c r="F18" s="55">
        <v>68</v>
      </c>
      <c r="G18" s="55"/>
      <c r="H18" s="56">
        <f>원가!C12</f>
        <v>2600</v>
      </c>
      <c r="I18" s="57">
        <f t="shared" si="1"/>
        <v>176800</v>
      </c>
      <c r="J18" s="57">
        <v>50000</v>
      </c>
      <c r="K18" s="58">
        <f t="shared" si="0"/>
        <v>226800</v>
      </c>
      <c r="L18" s="23"/>
      <c r="M18" s="24"/>
    </row>
    <row r="19" spans="1:14" s="13" customFormat="1" ht="18" customHeight="1">
      <c r="A19" s="14">
        <v>11</v>
      </c>
      <c r="B19" s="26" t="s">
        <v>407</v>
      </c>
      <c r="C19" s="16" t="s">
        <v>391</v>
      </c>
      <c r="D19" s="27">
        <v>1</v>
      </c>
      <c r="E19" s="26"/>
      <c r="F19" s="55">
        <v>8.1999999999999993</v>
      </c>
      <c r="G19" s="55"/>
      <c r="H19" s="56">
        <v>8000</v>
      </c>
      <c r="I19" s="57">
        <f t="shared" si="1"/>
        <v>65600</v>
      </c>
      <c r="J19" s="57">
        <v>11000</v>
      </c>
      <c r="K19" s="58">
        <f t="shared" si="0"/>
        <v>76600</v>
      </c>
      <c r="L19" s="23"/>
      <c r="M19" s="24"/>
    </row>
    <row r="20" spans="1:14" s="13" customFormat="1" ht="18" customHeight="1">
      <c r="A20" s="14">
        <v>12</v>
      </c>
      <c r="B20" s="26" t="s">
        <v>408</v>
      </c>
      <c r="C20" s="27" t="s">
        <v>397</v>
      </c>
      <c r="D20" s="27">
        <v>3</v>
      </c>
      <c r="E20" s="26"/>
      <c r="F20" s="65">
        <v>5.0999999999999996</v>
      </c>
      <c r="G20" s="65"/>
      <c r="H20" s="56">
        <v>7500</v>
      </c>
      <c r="I20" s="57">
        <f t="shared" si="1"/>
        <v>114749.99999999999</v>
      </c>
      <c r="J20" s="57">
        <v>5500</v>
      </c>
      <c r="K20" s="58">
        <f t="shared" si="0"/>
        <v>120249.99999999999</v>
      </c>
      <c r="L20" s="33"/>
    </row>
    <row r="21" spans="1:14" s="13" customFormat="1" ht="18" customHeight="1">
      <c r="A21" s="14">
        <v>13</v>
      </c>
      <c r="B21" s="26" t="s">
        <v>409</v>
      </c>
      <c r="C21" s="27" t="s">
        <v>405</v>
      </c>
      <c r="D21" s="60">
        <v>40</v>
      </c>
      <c r="E21" s="26"/>
      <c r="F21" s="59">
        <v>1</v>
      </c>
      <c r="G21" s="65"/>
      <c r="H21" s="56">
        <v>360</v>
      </c>
      <c r="I21" s="57">
        <f t="shared" si="1"/>
        <v>14400</v>
      </c>
      <c r="J21" s="57"/>
      <c r="K21" s="58">
        <f t="shared" si="0"/>
        <v>14400</v>
      </c>
      <c r="L21" s="33"/>
    </row>
    <row r="22" spans="1:14" s="13" customFormat="1" ht="24" customHeight="1">
      <c r="A22" s="14">
        <v>14</v>
      </c>
      <c r="B22" s="34" t="s">
        <v>410</v>
      </c>
      <c r="C22" s="27" t="s">
        <v>405</v>
      </c>
      <c r="D22" s="60">
        <v>8</v>
      </c>
      <c r="E22" s="26"/>
      <c r="F22" s="59">
        <v>1</v>
      </c>
      <c r="G22" s="65"/>
      <c r="H22" s="56">
        <v>14000</v>
      </c>
      <c r="I22" s="57">
        <f t="shared" si="1"/>
        <v>112000</v>
      </c>
      <c r="J22" s="57"/>
      <c r="K22" s="58">
        <f t="shared" si="0"/>
        <v>112000</v>
      </c>
      <c r="L22" s="33"/>
    </row>
    <row r="23" spans="1:14" s="13" customFormat="1" ht="18" customHeight="1">
      <c r="A23" s="14">
        <v>15</v>
      </c>
      <c r="B23" s="26" t="s">
        <v>411</v>
      </c>
      <c r="C23" s="27" t="str">
        <f>원가!B13</f>
        <v>WCB</v>
      </c>
      <c r="D23" s="27">
        <v>1</v>
      </c>
      <c r="E23" s="26"/>
      <c r="F23" s="65">
        <v>170</v>
      </c>
      <c r="G23" s="65"/>
      <c r="H23" s="56">
        <f>원가!C13</f>
        <v>2600</v>
      </c>
      <c r="I23" s="57">
        <f t="shared" si="1"/>
        <v>442000</v>
      </c>
      <c r="J23" s="57">
        <v>50000</v>
      </c>
      <c r="K23" s="58">
        <f t="shared" si="0"/>
        <v>492000</v>
      </c>
      <c r="L23" s="33"/>
    </row>
    <row r="24" spans="1:14" s="13" customFormat="1" ht="18" customHeight="1">
      <c r="A24" s="14">
        <v>16</v>
      </c>
      <c r="B24" s="15" t="s">
        <v>412</v>
      </c>
      <c r="C24" s="16" t="s">
        <v>405</v>
      </c>
      <c r="D24" s="16">
        <v>6</v>
      </c>
      <c r="E24" s="15"/>
      <c r="F24" s="59">
        <v>1</v>
      </c>
      <c r="G24" s="65"/>
      <c r="H24" s="56">
        <v>16000</v>
      </c>
      <c r="I24" s="57">
        <f t="shared" si="1"/>
        <v>96000</v>
      </c>
      <c r="J24" s="57"/>
      <c r="K24" s="58">
        <f t="shared" si="0"/>
        <v>96000</v>
      </c>
      <c r="L24" s="33"/>
    </row>
    <row r="25" spans="1:14" s="13" customFormat="1" ht="18" customHeight="1">
      <c r="A25" s="14">
        <v>17</v>
      </c>
      <c r="B25" s="15" t="s">
        <v>413</v>
      </c>
      <c r="C25" s="16" t="s">
        <v>394</v>
      </c>
      <c r="D25" s="16">
        <v>1</v>
      </c>
      <c r="E25" s="15"/>
      <c r="F25" s="59">
        <v>1</v>
      </c>
      <c r="G25" s="65"/>
      <c r="H25" s="66">
        <v>1400</v>
      </c>
      <c r="I25" s="57">
        <f t="shared" si="1"/>
        <v>1400</v>
      </c>
      <c r="J25" s="57">
        <v>2000</v>
      </c>
      <c r="K25" s="58">
        <f t="shared" si="0"/>
        <v>3400</v>
      </c>
      <c r="L25" s="33"/>
    </row>
    <row r="26" spans="1:14" s="13" customFormat="1" ht="18" customHeight="1">
      <c r="A26" s="131">
        <v>18</v>
      </c>
      <c r="B26" s="15" t="s">
        <v>414</v>
      </c>
      <c r="C26" s="16" t="str">
        <f>원가!B17</f>
        <v>10 BAR</v>
      </c>
      <c r="D26" s="16">
        <v>1</v>
      </c>
      <c r="E26" s="15"/>
      <c r="F26" s="65">
        <v>580</v>
      </c>
      <c r="G26" s="65"/>
      <c r="H26" s="66"/>
      <c r="I26" s="57"/>
      <c r="J26" s="97" t="s">
        <v>511</v>
      </c>
      <c r="K26" s="96">
        <f>IF(C26="PIYAKE",L26,IF(C26="10 BAR",M26,IF(C26="20 BAR",N26)))</f>
        <v>5200000</v>
      </c>
      <c r="L26" s="33">
        <v>1700000</v>
      </c>
      <c r="M26" s="33">
        <v>5200000</v>
      </c>
      <c r="N26" s="33"/>
    </row>
    <row r="27" spans="1:14" s="13" customFormat="1" ht="24" customHeight="1">
      <c r="A27" s="131"/>
      <c r="B27" s="36" t="s">
        <v>415</v>
      </c>
      <c r="C27" s="16"/>
      <c r="D27" s="60">
        <v>12</v>
      </c>
      <c r="E27" s="15"/>
      <c r="F27" s="59">
        <v>1</v>
      </c>
      <c r="G27" s="65"/>
      <c r="H27" s="120">
        <v>13000</v>
      </c>
      <c r="I27" s="57">
        <f>D27*F27*H27</f>
        <v>156000</v>
      </c>
      <c r="J27" s="57"/>
      <c r="K27" s="58">
        <f t="shared" si="0"/>
        <v>156000</v>
      </c>
      <c r="L27" s="33"/>
    </row>
    <row r="28" spans="1:14" s="13" customFormat="1" ht="18" customHeight="1">
      <c r="A28" s="14"/>
      <c r="B28" s="67" t="s">
        <v>90</v>
      </c>
      <c r="C28" s="38" t="s">
        <v>397</v>
      </c>
      <c r="D28" s="38">
        <v>1</v>
      </c>
      <c r="E28" s="15"/>
      <c r="F28" s="55">
        <v>21.31</v>
      </c>
      <c r="G28" s="65"/>
      <c r="H28" s="66">
        <v>7500</v>
      </c>
      <c r="I28" s="57">
        <f>D28*F28*H28</f>
        <v>159825</v>
      </c>
      <c r="J28" s="57">
        <v>45000</v>
      </c>
      <c r="K28" s="58"/>
      <c r="L28" s="33"/>
    </row>
    <row r="29" spans="1:14" s="13" customFormat="1" ht="18" customHeight="1">
      <c r="A29" s="14"/>
      <c r="B29" s="67" t="s">
        <v>91</v>
      </c>
      <c r="C29" s="38" t="s">
        <v>397</v>
      </c>
      <c r="D29" s="38">
        <v>2</v>
      </c>
      <c r="E29" s="15"/>
      <c r="F29" s="55">
        <v>11.5</v>
      </c>
      <c r="G29" s="65"/>
      <c r="H29" s="66">
        <v>7500</v>
      </c>
      <c r="I29" s="57">
        <f>D29*F29*H29</f>
        <v>172500</v>
      </c>
      <c r="J29" s="57">
        <v>9000</v>
      </c>
      <c r="K29" s="58"/>
      <c r="L29" s="33"/>
    </row>
    <row r="30" spans="1:14" s="13" customFormat="1" ht="24" customHeight="1">
      <c r="A30" s="14"/>
      <c r="B30" s="67" t="s">
        <v>92</v>
      </c>
      <c r="C30" s="38"/>
      <c r="D30" s="38">
        <v>4</v>
      </c>
      <c r="E30" s="15"/>
      <c r="F30" s="55"/>
      <c r="G30" s="65"/>
      <c r="H30" s="66"/>
      <c r="I30" s="57"/>
      <c r="J30" s="57"/>
      <c r="K30" s="58"/>
      <c r="L30" s="33"/>
    </row>
    <row r="31" spans="1:14" s="13" customFormat="1" ht="18" customHeight="1">
      <c r="A31" s="14">
        <v>19</v>
      </c>
      <c r="B31" s="15" t="s">
        <v>416</v>
      </c>
      <c r="C31" s="16" t="s">
        <v>417</v>
      </c>
      <c r="D31" s="16">
        <v>1</v>
      </c>
      <c r="E31" s="15"/>
      <c r="F31" s="59">
        <v>1</v>
      </c>
      <c r="G31" s="65"/>
      <c r="H31" s="15"/>
      <c r="I31" s="57">
        <v>8200</v>
      </c>
      <c r="J31" s="57">
        <v>4900</v>
      </c>
      <c r="K31" s="58">
        <f>I31+J31</f>
        <v>13100</v>
      </c>
      <c r="L31" s="33"/>
    </row>
    <row r="32" spans="1:14" s="13" customFormat="1" ht="18" customHeight="1">
      <c r="A32" s="14">
        <v>20</v>
      </c>
      <c r="B32" s="15" t="s">
        <v>418</v>
      </c>
      <c r="C32" s="16"/>
      <c r="D32" s="16">
        <v>1</v>
      </c>
      <c r="E32" s="15"/>
      <c r="F32" s="59">
        <v>1</v>
      </c>
      <c r="G32" s="65"/>
      <c r="H32" s="15"/>
      <c r="I32" s="58">
        <v>500000</v>
      </c>
      <c r="J32" s="58"/>
      <c r="K32" s="58">
        <f>I32+J32</f>
        <v>500000</v>
      </c>
      <c r="L32" s="33"/>
    </row>
    <row r="33" spans="1:13" s="13" customFormat="1" ht="18" customHeight="1">
      <c r="A33" s="14">
        <v>21</v>
      </c>
      <c r="B33" s="15" t="s">
        <v>419</v>
      </c>
      <c r="C33" s="16"/>
      <c r="D33" s="16">
        <v>1</v>
      </c>
      <c r="E33" s="15"/>
      <c r="F33" s="59">
        <v>1</v>
      </c>
      <c r="G33" s="65"/>
      <c r="H33" s="15"/>
      <c r="I33" s="58">
        <v>450000</v>
      </c>
      <c r="J33" s="58"/>
      <c r="K33" s="58">
        <f>I33+J33</f>
        <v>450000</v>
      </c>
      <c r="L33" s="33"/>
    </row>
    <row r="34" spans="1:13" s="13" customFormat="1" ht="18" customHeight="1">
      <c r="A34" s="14">
        <v>22</v>
      </c>
      <c r="B34" s="37" t="s">
        <v>420</v>
      </c>
      <c r="C34" s="38"/>
      <c r="D34" s="38"/>
      <c r="E34" s="39"/>
      <c r="F34" s="39"/>
      <c r="G34" s="39"/>
      <c r="H34" s="39"/>
      <c r="I34" s="40"/>
      <c r="J34" s="40"/>
      <c r="K34" s="41">
        <f>SUM(K6:K33)</f>
        <v>53634142</v>
      </c>
      <c r="L34" s="33"/>
    </row>
    <row r="35" spans="1:13" s="13" customFormat="1" ht="18" customHeight="1">
      <c r="A35" s="14">
        <v>23</v>
      </c>
      <c r="B35" s="15" t="s">
        <v>93</v>
      </c>
      <c r="C35" s="16"/>
      <c r="D35" s="16"/>
      <c r="E35" s="17"/>
      <c r="F35" s="17" t="s">
        <v>467</v>
      </c>
      <c r="G35" s="17"/>
      <c r="H35" s="17"/>
      <c r="I35" s="17"/>
      <c r="J35" s="17"/>
      <c r="K35" s="21"/>
      <c r="L35" s="33"/>
    </row>
    <row r="36" spans="1:13" s="13" customFormat="1" ht="18" customHeight="1">
      <c r="A36" s="131">
        <v>24</v>
      </c>
      <c r="B36" s="15" t="s">
        <v>421</v>
      </c>
      <c r="C36" s="16"/>
      <c r="D36" s="16">
        <v>1</v>
      </c>
      <c r="E36" s="17"/>
      <c r="F36" s="19" t="s">
        <v>468</v>
      </c>
      <c r="G36" s="32"/>
      <c r="H36" s="21"/>
      <c r="I36" s="21"/>
      <c r="J36" s="21"/>
      <c r="K36" s="22"/>
      <c r="L36" s="33"/>
    </row>
    <row r="37" spans="1:13" s="13" customFormat="1" ht="24" customHeight="1">
      <c r="A37" s="131"/>
      <c r="B37" s="36" t="s">
        <v>422</v>
      </c>
      <c r="C37" s="16"/>
      <c r="D37" s="16">
        <v>4</v>
      </c>
      <c r="E37" s="17"/>
      <c r="F37" s="25">
        <v>1</v>
      </c>
      <c r="G37" s="32"/>
      <c r="H37" s="17">
        <v>630</v>
      </c>
      <c r="I37" s="21">
        <f>D37*F37*H37</f>
        <v>2520</v>
      </c>
      <c r="J37" s="21"/>
      <c r="K37" s="22"/>
      <c r="L37" s="33"/>
    </row>
    <row r="38" spans="1:13" s="13" customFormat="1" ht="18" customHeight="1">
      <c r="A38" s="14">
        <v>25</v>
      </c>
      <c r="B38" s="15" t="s">
        <v>423</v>
      </c>
      <c r="C38" s="16"/>
      <c r="D38" s="16">
        <v>1</v>
      </c>
      <c r="E38" s="17"/>
      <c r="F38" s="25">
        <v>1</v>
      </c>
      <c r="G38" s="17"/>
      <c r="H38" s="17"/>
      <c r="I38" s="17"/>
      <c r="J38" s="17"/>
      <c r="K38" s="22">
        <v>2000000</v>
      </c>
      <c r="L38" s="33"/>
    </row>
    <row r="39" spans="1:13" s="13" customFormat="1" ht="18" customHeight="1">
      <c r="A39" s="14">
        <v>26</v>
      </c>
      <c r="B39" s="15" t="s">
        <v>424</v>
      </c>
      <c r="C39" s="16"/>
      <c r="D39" s="16">
        <v>1</v>
      </c>
      <c r="E39" s="17"/>
      <c r="F39" s="25">
        <v>1</v>
      </c>
      <c r="G39" s="17"/>
      <c r="H39" s="17"/>
      <c r="I39" s="17"/>
      <c r="J39" s="17"/>
      <c r="K39" s="22"/>
      <c r="L39" s="33"/>
    </row>
    <row r="40" spans="1:13" s="13" customFormat="1" ht="18" customHeight="1">
      <c r="A40" s="14">
        <v>27</v>
      </c>
      <c r="B40" s="10" t="s">
        <v>425</v>
      </c>
      <c r="C40" s="38"/>
      <c r="D40" s="42"/>
      <c r="E40" s="39"/>
      <c r="F40" s="39"/>
      <c r="G40" s="39"/>
      <c r="H40" s="39"/>
      <c r="I40" s="43">
        <f>SUM(K35:K39)</f>
        <v>2000000</v>
      </c>
      <c r="J40" s="44">
        <v>1</v>
      </c>
      <c r="K40" s="43">
        <f>J40*I40</f>
        <v>2000000</v>
      </c>
      <c r="L40" s="33"/>
    </row>
    <row r="41" spans="1:13" s="13" customFormat="1" ht="18" customHeight="1">
      <c r="A41" s="14">
        <v>28</v>
      </c>
      <c r="B41" s="15"/>
      <c r="C41" s="16"/>
      <c r="D41" s="16"/>
      <c r="E41" s="17"/>
      <c r="F41" s="17"/>
      <c r="G41" s="17"/>
      <c r="H41" s="17"/>
      <c r="I41" s="17"/>
      <c r="J41" s="45"/>
      <c r="K41" s="17"/>
      <c r="L41" s="33"/>
    </row>
    <row r="42" spans="1:13" s="13" customFormat="1" ht="18" customHeight="1">
      <c r="A42" s="14">
        <v>29</v>
      </c>
      <c r="B42" s="46" t="s">
        <v>426</v>
      </c>
      <c r="C42" s="38"/>
      <c r="D42" s="38"/>
      <c r="E42" s="47" t="s">
        <v>427</v>
      </c>
      <c r="F42" s="132">
        <f>L43</f>
        <v>0</v>
      </c>
      <c r="G42" s="133"/>
      <c r="H42" s="39"/>
      <c r="I42" s="41">
        <f>K34</f>
        <v>53634142</v>
      </c>
      <c r="J42" s="48">
        <f>원가!B15</f>
        <v>1</v>
      </c>
      <c r="K42" s="43">
        <f>J42*I42</f>
        <v>53634142</v>
      </c>
      <c r="L42" s="49" t="s">
        <v>427</v>
      </c>
    </row>
    <row r="43" spans="1:13" s="50" customFormat="1" ht="18" customHeight="1">
      <c r="A43" s="14">
        <v>30</v>
      </c>
      <c r="B43" s="10" t="s">
        <v>428</v>
      </c>
      <c r="C43" s="38"/>
      <c r="D43" s="38"/>
      <c r="E43" s="47" t="s">
        <v>429</v>
      </c>
      <c r="F43" s="132">
        <f>K43</f>
        <v>55634142</v>
      </c>
      <c r="G43" s="133"/>
      <c r="H43" s="39" t="s">
        <v>498</v>
      </c>
      <c r="I43" s="39">
        <f>원가!B2</f>
        <v>1</v>
      </c>
      <c r="J43" s="48"/>
      <c r="K43" s="41">
        <f>SUM(K40:K42)/I43</f>
        <v>55634142</v>
      </c>
      <c r="L43" s="49"/>
      <c r="M43" s="13"/>
    </row>
  </sheetData>
  <mergeCells count="7">
    <mergeCell ref="A36:A37"/>
    <mergeCell ref="F42:G42"/>
    <mergeCell ref="F43:G43"/>
    <mergeCell ref="A10:A11"/>
    <mergeCell ref="A12:A13"/>
    <mergeCell ref="A14:A15"/>
    <mergeCell ref="A26:A27"/>
  </mergeCells>
  <phoneticPr fontId="23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2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20</vt:i4>
      </vt:variant>
    </vt:vector>
  </HeadingPairs>
  <TitlesOfParts>
    <vt:vector size="59" baseType="lpstr">
      <vt:lpstr>원가</vt:lpstr>
      <vt:lpstr>100A</vt:lpstr>
      <vt:lpstr>125A</vt:lpstr>
      <vt:lpstr>150A</vt:lpstr>
      <vt:lpstr>200A</vt:lpstr>
      <vt:lpstr>250A</vt:lpstr>
      <vt:lpstr>300A</vt:lpstr>
      <vt:lpstr>350A</vt:lpstr>
      <vt:lpstr>400A</vt:lpstr>
      <vt:lpstr>450A</vt:lpstr>
      <vt:lpstr>500A</vt:lpstr>
      <vt:lpstr>550A</vt:lpstr>
      <vt:lpstr>600A</vt:lpstr>
      <vt:lpstr>650A</vt:lpstr>
      <vt:lpstr>700A</vt:lpstr>
      <vt:lpstr>750A</vt:lpstr>
      <vt:lpstr>800A</vt:lpstr>
      <vt:lpstr>850A</vt:lpstr>
      <vt:lpstr>900A</vt:lpstr>
      <vt:lpstr>950A</vt:lpstr>
      <vt:lpstr>1000A</vt:lpstr>
      <vt:lpstr>1050A</vt:lpstr>
      <vt:lpstr>1100A</vt:lpstr>
      <vt:lpstr>1200A</vt:lpstr>
      <vt:lpstr>1300A</vt:lpstr>
      <vt:lpstr>1400A</vt:lpstr>
      <vt:lpstr>1500A</vt:lpstr>
      <vt:lpstr>1600A</vt:lpstr>
      <vt:lpstr>1650A</vt:lpstr>
      <vt:lpstr>1700A</vt:lpstr>
      <vt:lpstr>1800A</vt:lpstr>
      <vt:lpstr>1900A</vt:lpstr>
      <vt:lpstr>1950A</vt:lpstr>
      <vt:lpstr>2000A</vt:lpstr>
      <vt:lpstr>2100A</vt:lpstr>
      <vt:lpstr>2250A</vt:lpstr>
      <vt:lpstr>2400A</vt:lpstr>
      <vt:lpstr>2500A</vt:lpstr>
      <vt:lpstr>Sheet1</vt:lpstr>
      <vt:lpstr>'1000A'!Print_Area</vt:lpstr>
      <vt:lpstr>'100A'!Print_Area</vt:lpstr>
      <vt:lpstr>'1100A'!Print_Area</vt:lpstr>
      <vt:lpstr>'1200A'!Print_Area</vt:lpstr>
      <vt:lpstr>'1400A'!Print_Area</vt:lpstr>
      <vt:lpstr>'1600A'!Print_Area</vt:lpstr>
      <vt:lpstr>'1800A'!Print_Area</vt:lpstr>
      <vt:lpstr>'1900A'!Print_Area</vt:lpstr>
      <vt:lpstr>'2000A'!Print_Area</vt:lpstr>
      <vt:lpstr>'200A'!Print_Area</vt:lpstr>
      <vt:lpstr>'2250A'!Print_Area</vt:lpstr>
      <vt:lpstr>'250A'!Print_Area</vt:lpstr>
      <vt:lpstr>'350A'!Print_Area</vt:lpstr>
      <vt:lpstr>'450A'!Print_Area</vt:lpstr>
      <vt:lpstr>'650A'!Print_Area</vt:lpstr>
      <vt:lpstr>'700A'!Print_Area</vt:lpstr>
      <vt:lpstr>'750A'!Print_Area</vt:lpstr>
      <vt:lpstr>'800A'!Print_Area</vt:lpstr>
      <vt:lpstr>'900A'!Print_Area</vt:lpstr>
      <vt:lpstr>원가!Print_Area</vt:lpstr>
    </vt:vector>
  </TitlesOfParts>
  <Company>Fisia Italimpianti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Mainella</dc:creator>
  <cp:lastModifiedBy>정성한</cp:lastModifiedBy>
  <cp:lastPrinted>2013-02-25T02:58:04Z</cp:lastPrinted>
  <dcterms:created xsi:type="dcterms:W3CDTF">1999-03-11T11:40:51Z</dcterms:created>
  <dcterms:modified xsi:type="dcterms:W3CDTF">2023-09-11T01:41:46Z</dcterms:modified>
</cp:coreProperties>
</file>