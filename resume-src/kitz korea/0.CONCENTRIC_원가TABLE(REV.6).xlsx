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xr:revisionPtr revIDLastSave="0" documentId="13_ncr:41000001_{DABF126F-257B-6A45-91EF-6E4DBEA444E9}" xr6:coauthVersionLast="47" xr6:coauthVersionMax="47" xr10:uidLastSave="{00000000-0000-0000-0000-000000000000}"/>
  <bookViews>
    <workbookView xWindow="4680" yWindow="1080" windowWidth="23250" windowHeight="9360" tabRatio="923" activeTab="25" xr2:uid="{00000000-000D-0000-FFFF-FFFF00000000}"/>
  </bookViews>
  <sheets>
    <sheet name="COVER" sheetId="1" r:id="rId1"/>
    <sheet name="주조단가" sheetId="83" r:id="rId2"/>
    <sheet name="50A" sheetId="86" r:id="rId3"/>
    <sheet name="65A" sheetId="87" r:id="rId4"/>
    <sheet name="80A" sheetId="88" r:id="rId5"/>
    <sheet name="100A" sheetId="89" r:id="rId6"/>
    <sheet name="125A" sheetId="90" r:id="rId7"/>
    <sheet name="150A" sheetId="91" r:id="rId8"/>
    <sheet name="200A" sheetId="95" r:id="rId9"/>
    <sheet name="250A" sheetId="96" r:id="rId10"/>
    <sheet name="300A" sheetId="97" r:id="rId11"/>
    <sheet name="350A" sheetId="98" r:id="rId12"/>
    <sheet name="400A" sheetId="99" r:id="rId13"/>
    <sheet name="450A" sheetId="100" r:id="rId14"/>
    <sheet name="500A" sheetId="101" r:id="rId15"/>
    <sheet name="550A" sheetId="102" r:id="rId16"/>
    <sheet name="600A" sheetId="103" r:id="rId17"/>
    <sheet name="650A" sheetId="104" r:id="rId18"/>
    <sheet name="700A" sheetId="105" r:id="rId19"/>
    <sheet name="750A" sheetId="106" r:id="rId20"/>
    <sheet name="800A" sheetId="107" r:id="rId21"/>
    <sheet name="850A" sheetId="108" r:id="rId22"/>
    <sheet name="900A" sheetId="109" r:id="rId23"/>
    <sheet name="950A" sheetId="110" r:id="rId24"/>
    <sheet name="1000A" sheetId="111" r:id="rId25"/>
    <sheet name="1050A" sheetId="117" r:id="rId26"/>
    <sheet name="1100A" sheetId="113" r:id="rId27"/>
    <sheet name="1200A" sheetId="115" r:id="rId28"/>
    <sheet name="1650A" sheetId="119" r:id="rId29"/>
    <sheet name="1800A" sheetId="120" r:id="rId30"/>
    <sheet name="SAMPLE" sheetId="84" r:id="rId31"/>
  </sheets>
  <externalReferences>
    <externalReference r:id="rId32"/>
    <externalReference r:id="rId33"/>
  </externalReferences>
  <definedNames>
    <definedName name="__123Graph_A" hidden="1">[1]TTL!$G$31:$AU$31</definedName>
    <definedName name="__123Graph_B" hidden="1">[1]TTL!$G$32:$AU$32</definedName>
    <definedName name="__123Graph_C" hidden="1">[1]TTL!$G$37:$AU$37</definedName>
    <definedName name="__123Graph_D" hidden="1">[1]TTL!$G$38:$AU$38</definedName>
    <definedName name="__123Graph_X" hidden="1">[1]TTL!$G$6:$AU$6</definedName>
    <definedName name="_Fill" localSheetId="25" hidden="1">#REF!</definedName>
    <definedName name="_Fill" localSheetId="26" hidden="1">#REF!</definedName>
    <definedName name="_Fill" localSheetId="27" hidden="1">#REF!</definedName>
    <definedName name="_Fill" localSheetId="28" hidden="1">#REF!</definedName>
    <definedName name="_Fill" localSheetId="29" hidden="1">#REF!</definedName>
    <definedName name="_Fill" hidden="1">#REF!</definedName>
    <definedName name="_xlnm._FilterDatabase" localSheetId="0" hidden="1">COVER!#REF!</definedName>
    <definedName name="_Key1" localSheetId="25" hidden="1">#REF!</definedName>
    <definedName name="_Key1" localSheetId="26" hidden="1">#REF!</definedName>
    <definedName name="_Key1" localSheetId="27" hidden="1">#REF!</definedName>
    <definedName name="_Key1" localSheetId="28" hidden="1">#REF!</definedName>
    <definedName name="_Key1" localSheetId="29" hidden="1">#REF!</definedName>
    <definedName name="_Key1" hidden="1">#REF!</definedName>
    <definedName name="_Key2" localSheetId="25" hidden="1">#REF!</definedName>
    <definedName name="_Key2" localSheetId="26" hidden="1">#REF!</definedName>
    <definedName name="_Key2" localSheetId="27" hidden="1">#REF!</definedName>
    <definedName name="_Key2" localSheetId="28" hidden="1">#REF!</definedName>
    <definedName name="_Key2" localSheetId="29" hidden="1">#REF!</definedName>
    <definedName name="_Key2" hidden="1">#REF!</definedName>
    <definedName name="_Order1" hidden="1">255</definedName>
    <definedName name="_Order2" hidden="1">255</definedName>
    <definedName name="_Regression_Out" localSheetId="25" hidden="1">#REF!</definedName>
    <definedName name="_Regression_Out" localSheetId="26" hidden="1">#REF!</definedName>
    <definedName name="_Regression_Out" localSheetId="27" hidden="1">#REF!</definedName>
    <definedName name="_Regression_Out" localSheetId="28" hidden="1">#REF!</definedName>
    <definedName name="_Regression_Out" localSheetId="29" hidden="1">#REF!</definedName>
    <definedName name="_Regression_Out" hidden="1">#REF!</definedName>
    <definedName name="_Regression_X" localSheetId="25" hidden="1">#REF!</definedName>
    <definedName name="_Regression_X" localSheetId="26" hidden="1">#REF!</definedName>
    <definedName name="_Regression_X" localSheetId="27" hidden="1">#REF!</definedName>
    <definedName name="_Regression_X" localSheetId="28" hidden="1">#REF!</definedName>
    <definedName name="_Regression_X" localSheetId="29" hidden="1">#REF!</definedName>
    <definedName name="_Regression_X" hidden="1">#REF!</definedName>
    <definedName name="_Regression_Y" localSheetId="25" hidden="1">#REF!</definedName>
    <definedName name="_Regression_Y" localSheetId="26" hidden="1">#REF!</definedName>
    <definedName name="_Regression_Y" localSheetId="27" hidden="1">#REF!</definedName>
    <definedName name="_Regression_Y" localSheetId="28" hidden="1">#REF!</definedName>
    <definedName name="_Regression_Y" localSheetId="29" hidden="1">#REF!</definedName>
    <definedName name="_Regression_Y" hidden="1">#REF!</definedName>
    <definedName name="_Sort" localSheetId="25" hidden="1">#REF!</definedName>
    <definedName name="_Sort" localSheetId="26" hidden="1">#REF!</definedName>
    <definedName name="_Sort" localSheetId="27" hidden="1">#REF!</definedName>
    <definedName name="_Sort" localSheetId="28" hidden="1">#REF!</definedName>
    <definedName name="_Sort" localSheetId="29" hidden="1">#REF!</definedName>
    <definedName name="_Sort" hidden="1">#REF!</definedName>
    <definedName name="FFF" hidden="1">{#N/A,#N/A,TRUE,"SUMMARY";#N/A,#N/A,TRUE,"ISBL";#N/A,#N/A,TRUE,"OSBL";#N/A,#N/A,TRUE,"OFFSITE";#N/A,#N/A,TRUE,"STEAM"}</definedName>
    <definedName name="PA" hidden="1">{#N/A,#N/A,TRUE,"FIELDOFF";#N/A,#N/A,TRUE,"SCAFF";#N/A,#N/A,TRUE,"CONSTEQP";#N/A,#N/A,TRUE,"FUELUBE";#N/A,#N/A,TRUE,"CONSUME";#N/A,#N/A,TRUE,"FIELDEXP";#N/A,#N/A,TRUE,"MANPLAN";#N/A,#N/A,TRUE,"EQPLAN"}</definedName>
    <definedName name="_xlnm.Print_Area" localSheetId="24">'1000A'!$A$1:$K$38</definedName>
    <definedName name="_xlnm.Print_Area" localSheetId="5">'100A'!$A$1:$K$38</definedName>
    <definedName name="_xlnm.Print_Area" localSheetId="25">'1050A'!$A$1:$K$38</definedName>
    <definedName name="_xlnm.Print_Area" localSheetId="26">'1100A'!$A$1:$K$38</definedName>
    <definedName name="_xlnm.Print_Area" localSheetId="27">'1200A'!$A$1:$K$38</definedName>
    <definedName name="_xlnm.Print_Area" localSheetId="6">'125A'!$A$1:$K$38</definedName>
    <definedName name="_xlnm.Print_Area" localSheetId="7">'150A'!$A$1:$K$38</definedName>
    <definedName name="_xlnm.Print_Area" localSheetId="28">'1650A'!$A$1:$K$38</definedName>
    <definedName name="_xlnm.Print_Area" localSheetId="29">'1800A'!$A$1:$K$38</definedName>
    <definedName name="_xlnm.Print_Area" localSheetId="8">'200A'!$A$1:$K$38</definedName>
    <definedName name="_xlnm.Print_Area" localSheetId="9">'250A'!$A$1:$K$38</definedName>
    <definedName name="_xlnm.Print_Area" localSheetId="10">'300A'!$A$1:$K$38</definedName>
    <definedName name="_xlnm.Print_Area" localSheetId="11">'350A'!$A$1:$K$38</definedName>
    <definedName name="_xlnm.Print_Area" localSheetId="12">'400A'!$A$1:$K$38</definedName>
    <definedName name="_xlnm.Print_Area" localSheetId="13">'450A'!$A$1:$K$38</definedName>
    <definedName name="_xlnm.Print_Area" localSheetId="14">'500A'!$A$1:$K$38</definedName>
    <definedName name="_xlnm.Print_Area" localSheetId="2">'50A'!$A$1:$K$38</definedName>
    <definedName name="_xlnm.Print_Area" localSheetId="15">'550A'!$A$1:$K$38</definedName>
    <definedName name="_xlnm.Print_Area" localSheetId="16">'600A'!$A$1:$K$38</definedName>
    <definedName name="_xlnm.Print_Area" localSheetId="17">'650A'!$A$1:$K$38</definedName>
    <definedName name="_xlnm.Print_Area" localSheetId="3">'65A'!$A$1:$K$38</definedName>
    <definedName name="_xlnm.Print_Area" localSheetId="18">'700A'!$A$1:$K$38</definedName>
    <definedName name="_xlnm.Print_Area" localSheetId="19">'750A'!$A$1:$K$38</definedName>
    <definedName name="_xlnm.Print_Area" localSheetId="20">'800A'!$A$1:$K$38</definedName>
    <definedName name="_xlnm.Print_Area" localSheetId="4">'80A'!$A$1:$K$38</definedName>
    <definedName name="_xlnm.Print_Area" localSheetId="21">'850A'!$A$1:$K$38</definedName>
    <definedName name="_xlnm.Print_Area" localSheetId="22">'900A'!$A$1:$K$38</definedName>
    <definedName name="_xlnm.Print_Area" localSheetId="23">'950A'!$A$1:$K$39</definedName>
    <definedName name="_xlnm.Print_Area" localSheetId="0">COVER!$A$1:$M$39</definedName>
    <definedName name="_xlnm.Print_Area" localSheetId="30">SAMPLE!$A$1:$K$40</definedName>
    <definedName name="_xlnm.Print_Area" localSheetId="1">주조단가!$A$1:$Z$45</definedName>
    <definedName name="wrn.BIDSUM." hidden="1">{#N/A,#N/A,TRUE,"SUMMARY";#N/A,#N/A,TRUE,"ISBL";#N/A,#N/A,TRUE,"OSBL";#N/A,#N/A,TRUE,"OFFSITE";#N/A,#N/A,TRUE,"STEAM"}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w" hidden="1">{#N/A,#N/A,TRUE,"SUMMARY";#N/A,#N/A,TRUE,"ISBL";#N/A,#N/A,TRUE,"OSBL";#N/A,#N/A,TRUE,"OFFSITE";#N/A,#N/A,TRUE,"STEAM"}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96" l="1"/>
  <c r="F9" i="97"/>
  <c r="K32" i="97"/>
  <c r="H30" i="97"/>
  <c r="I30" i="97"/>
  <c r="C30" i="97"/>
  <c r="C28" i="97"/>
  <c r="H28" i="97"/>
  <c r="I28" i="97"/>
  <c r="H24" i="97"/>
  <c r="I24" i="97"/>
  <c r="H23" i="97"/>
  <c r="I23" i="97"/>
  <c r="C23" i="97"/>
  <c r="C22" i="97"/>
  <c r="I22" i="97"/>
  <c r="K22" i="97"/>
  <c r="K21" i="97"/>
  <c r="C20" i="97"/>
  <c r="H20" i="97"/>
  <c r="I20" i="97"/>
  <c r="K20" i="97"/>
  <c r="C19" i="97"/>
  <c r="H19" i="97"/>
  <c r="I19" i="97"/>
  <c r="K19" i="97"/>
  <c r="H18" i="97"/>
  <c r="I18" i="97"/>
  <c r="K18" i="97"/>
  <c r="C17" i="97"/>
  <c r="C16" i="97"/>
  <c r="C15" i="97"/>
  <c r="H14" i="97"/>
  <c r="I14" i="97"/>
  <c r="K14" i="97"/>
  <c r="V12" i="97"/>
  <c r="C12" i="97"/>
  <c r="H12" i="97"/>
  <c r="I12" i="97"/>
  <c r="K12" i="97"/>
  <c r="H11" i="97"/>
  <c r="I11" i="97"/>
  <c r="K11" i="97"/>
  <c r="C11" i="97"/>
  <c r="C14" i="97"/>
  <c r="C10" i="97"/>
  <c r="H10" i="97"/>
  <c r="I10" i="97"/>
  <c r="K10" i="97"/>
  <c r="V9" i="97"/>
  <c r="O9" i="97"/>
  <c r="H9" i="97"/>
  <c r="I9" i="97"/>
  <c r="K9" i="97"/>
  <c r="C9" i="97"/>
  <c r="M8" i="97"/>
  <c r="H8" i="97"/>
  <c r="I8" i="97"/>
  <c r="K8" i="97"/>
  <c r="C8" i="97"/>
  <c r="H7" i="97"/>
  <c r="I7" i="97"/>
  <c r="K7" i="97"/>
  <c r="C7" i="97"/>
  <c r="H6" i="97"/>
  <c r="C6" i="97"/>
  <c r="P3" i="97"/>
  <c r="K32" i="89"/>
  <c r="H30" i="89"/>
  <c r="I30" i="89"/>
  <c r="C30" i="89"/>
  <c r="C28" i="89"/>
  <c r="H28" i="89"/>
  <c r="I28" i="89"/>
  <c r="H24" i="89"/>
  <c r="I24" i="89"/>
  <c r="H23" i="89"/>
  <c r="I23" i="89"/>
  <c r="C23" i="89"/>
  <c r="C22" i="89"/>
  <c r="I22" i="89"/>
  <c r="K22" i="89"/>
  <c r="C21" i="89"/>
  <c r="H21" i="89"/>
  <c r="I21" i="89"/>
  <c r="K21" i="89"/>
  <c r="C20" i="89"/>
  <c r="H20" i="89"/>
  <c r="I20" i="89"/>
  <c r="K20" i="89"/>
  <c r="C19" i="89"/>
  <c r="H19" i="89"/>
  <c r="I19" i="89"/>
  <c r="K19" i="89"/>
  <c r="T18" i="89"/>
  <c r="H18" i="89"/>
  <c r="I18" i="89"/>
  <c r="K18" i="89"/>
  <c r="C17" i="89"/>
  <c r="C16" i="89"/>
  <c r="C15" i="89"/>
  <c r="H14" i="89"/>
  <c r="I14" i="89"/>
  <c r="K14" i="89"/>
  <c r="V12" i="89"/>
  <c r="C12" i="89"/>
  <c r="H12" i="89"/>
  <c r="I12" i="89"/>
  <c r="K12" i="89"/>
  <c r="H11" i="89"/>
  <c r="I11" i="89"/>
  <c r="K11" i="89"/>
  <c r="C11" i="89"/>
  <c r="C14" i="89"/>
  <c r="C10" i="89"/>
  <c r="H10" i="89"/>
  <c r="I10" i="89"/>
  <c r="K10" i="89"/>
  <c r="V9" i="89"/>
  <c r="H9" i="89"/>
  <c r="I9" i="89"/>
  <c r="K9" i="89"/>
  <c r="C9" i="89"/>
  <c r="H8" i="89"/>
  <c r="I8" i="89"/>
  <c r="K8" i="89"/>
  <c r="C8" i="89"/>
  <c r="H7" i="89"/>
  <c r="I7" i="89"/>
  <c r="K7" i="89"/>
  <c r="C7" i="89"/>
  <c r="H6" i="89"/>
  <c r="M23" i="89"/>
  <c r="C6" i="89"/>
  <c r="N23" i="97"/>
  <c r="N23" i="89"/>
  <c r="I6" i="97"/>
  <c r="K6" i="97"/>
  <c r="M23" i="97"/>
  <c r="I6" i="89"/>
  <c r="K6" i="89"/>
  <c r="K26" i="89"/>
  <c r="K27" i="97"/>
  <c r="K25" i="97"/>
  <c r="K26" i="97"/>
  <c r="K27" i="89"/>
  <c r="H11" i="102"/>
  <c r="K25" i="89"/>
  <c r="K36" i="89"/>
  <c r="K37" i="97"/>
  <c r="K34" i="97"/>
  <c r="K36" i="97"/>
  <c r="K33" i="97"/>
  <c r="K35" i="97"/>
  <c r="K38" i="97"/>
  <c r="K34" i="89"/>
  <c r="K37" i="89"/>
  <c r="K38" i="89"/>
  <c r="K35" i="89"/>
  <c r="T18" i="88"/>
  <c r="N2" i="106"/>
  <c r="O2" i="105"/>
  <c r="O2" i="101"/>
  <c r="V20" i="98"/>
  <c r="V20" i="95"/>
  <c r="N3" i="115"/>
  <c r="N2" i="103"/>
  <c r="P3" i="96"/>
  <c r="U20" i="91"/>
  <c r="K33" i="89"/>
  <c r="J8" i="120"/>
  <c r="H17" i="120"/>
  <c r="C16" i="120"/>
  <c r="H16" i="120"/>
  <c r="J9" i="120"/>
  <c r="F8" i="120"/>
  <c r="J38" i="120"/>
  <c r="J37" i="120"/>
  <c r="J36" i="120"/>
  <c r="H30" i="120"/>
  <c r="I30" i="120"/>
  <c r="K30" i="120"/>
  <c r="C30" i="120"/>
  <c r="C28" i="120"/>
  <c r="H28" i="120"/>
  <c r="I28" i="120"/>
  <c r="K28" i="120"/>
  <c r="H24" i="120"/>
  <c r="I24" i="120"/>
  <c r="K24" i="120"/>
  <c r="C23" i="120"/>
  <c r="C22" i="120"/>
  <c r="I22" i="120"/>
  <c r="K22" i="120"/>
  <c r="I21" i="120"/>
  <c r="K21" i="120"/>
  <c r="C20" i="120"/>
  <c r="H20" i="120"/>
  <c r="I20" i="120"/>
  <c r="K20" i="120"/>
  <c r="C19" i="120"/>
  <c r="H19" i="120"/>
  <c r="I19" i="120"/>
  <c r="K19" i="120"/>
  <c r="F18" i="120"/>
  <c r="H18" i="120"/>
  <c r="I18" i="120"/>
  <c r="J18" i="120"/>
  <c r="K18" i="120"/>
  <c r="I17" i="120"/>
  <c r="K17" i="120"/>
  <c r="I16" i="120"/>
  <c r="K16" i="120"/>
  <c r="M15" i="120"/>
  <c r="C15" i="120"/>
  <c r="I14" i="120"/>
  <c r="K14" i="120"/>
  <c r="I13" i="120"/>
  <c r="K13" i="120"/>
  <c r="I12" i="120"/>
  <c r="K12" i="120"/>
  <c r="Q11" i="120"/>
  <c r="H11" i="120"/>
  <c r="C11" i="120"/>
  <c r="C10" i="120"/>
  <c r="H10" i="120"/>
  <c r="I10" i="120"/>
  <c r="K10" i="120"/>
  <c r="H9" i="120"/>
  <c r="I9" i="120"/>
  <c r="C9" i="120"/>
  <c r="M8" i="120"/>
  <c r="H8" i="120"/>
  <c r="C8" i="120"/>
  <c r="H7" i="120"/>
  <c r="C7" i="120"/>
  <c r="J7" i="120"/>
  <c r="H6" i="120"/>
  <c r="C6" i="120"/>
  <c r="I11" i="120"/>
  <c r="K11" i="120"/>
  <c r="N23" i="120"/>
  <c r="H23" i="120"/>
  <c r="I23" i="120"/>
  <c r="K23" i="120"/>
  <c r="I8" i="120"/>
  <c r="K8" i="120"/>
  <c r="N15" i="120"/>
  <c r="H15" i="120"/>
  <c r="I15" i="120"/>
  <c r="K9" i="120"/>
  <c r="K32" i="120"/>
  <c r="I6" i="120"/>
  <c r="J6" i="120"/>
  <c r="I7" i="120"/>
  <c r="K7" i="120"/>
  <c r="M23" i="120"/>
  <c r="J15" i="120"/>
  <c r="K15" i="120"/>
  <c r="K6" i="120"/>
  <c r="K27" i="120"/>
  <c r="K38" i="120"/>
  <c r="K25" i="120"/>
  <c r="K36" i="120"/>
  <c r="K26" i="120"/>
  <c r="K37" i="120"/>
  <c r="K35" i="120"/>
  <c r="K33" i="120"/>
  <c r="K34" i="120"/>
  <c r="U15" i="119"/>
  <c r="F18" i="119"/>
  <c r="M18" i="119"/>
  <c r="M15" i="119"/>
  <c r="J11" i="119"/>
  <c r="Q11" i="119"/>
  <c r="F11" i="119"/>
  <c r="H17" i="119"/>
  <c r="M8" i="119"/>
  <c r="F9" i="117"/>
  <c r="O11" i="102"/>
  <c r="O11" i="103"/>
  <c r="O11" i="104"/>
  <c r="O11" i="105"/>
  <c r="O11" i="106"/>
  <c r="O11" i="107"/>
  <c r="O11" i="108"/>
  <c r="O11" i="109"/>
  <c r="O11" i="110"/>
  <c r="O11" i="111"/>
  <c r="O11" i="117"/>
  <c r="O11" i="113"/>
  <c r="O11" i="115"/>
  <c r="O11" i="101"/>
  <c r="H18" i="117"/>
  <c r="Q11" i="117"/>
  <c r="F8" i="117"/>
  <c r="J38" i="119"/>
  <c r="J37" i="119"/>
  <c r="J36" i="119"/>
  <c r="H30" i="119"/>
  <c r="I30" i="119"/>
  <c r="K30" i="119"/>
  <c r="C30" i="119"/>
  <c r="C28" i="119"/>
  <c r="H28" i="119"/>
  <c r="I28" i="119"/>
  <c r="K28" i="119"/>
  <c r="H24" i="119"/>
  <c r="I24" i="119"/>
  <c r="K24" i="119"/>
  <c r="C23" i="119"/>
  <c r="C22" i="119"/>
  <c r="I22" i="119"/>
  <c r="K22" i="119"/>
  <c r="I21" i="119"/>
  <c r="K21" i="119"/>
  <c r="C20" i="119"/>
  <c r="H20" i="119"/>
  <c r="I20" i="119"/>
  <c r="K20" i="119"/>
  <c r="C19" i="119"/>
  <c r="H19" i="119"/>
  <c r="I19" i="119"/>
  <c r="K19" i="119"/>
  <c r="H18" i="119"/>
  <c r="I18" i="119"/>
  <c r="J18" i="119"/>
  <c r="K18" i="119"/>
  <c r="I17" i="119"/>
  <c r="K17" i="119"/>
  <c r="C16" i="119"/>
  <c r="H16" i="119"/>
  <c r="I16" i="119"/>
  <c r="K16" i="119"/>
  <c r="C15" i="119"/>
  <c r="I14" i="119"/>
  <c r="K14" i="119"/>
  <c r="I13" i="119"/>
  <c r="K13" i="119"/>
  <c r="I12" i="119"/>
  <c r="K12" i="119"/>
  <c r="H11" i="119"/>
  <c r="I11" i="119"/>
  <c r="K11" i="119"/>
  <c r="C11" i="119"/>
  <c r="C10" i="119"/>
  <c r="H10" i="119"/>
  <c r="I10" i="119"/>
  <c r="K10" i="119"/>
  <c r="H9" i="119"/>
  <c r="I9" i="119"/>
  <c r="C9" i="119"/>
  <c r="H8" i="119"/>
  <c r="C8" i="119"/>
  <c r="H7" i="119"/>
  <c r="I7" i="119"/>
  <c r="C7" i="119"/>
  <c r="H6" i="119"/>
  <c r="C6" i="119"/>
  <c r="I8" i="119"/>
  <c r="N23" i="119"/>
  <c r="H23" i="119"/>
  <c r="I23" i="119"/>
  <c r="K23" i="119"/>
  <c r="M23" i="119"/>
  <c r="N15" i="119"/>
  <c r="H15" i="119"/>
  <c r="I15" i="119"/>
  <c r="J15" i="119"/>
  <c r="J8" i="119"/>
  <c r="J9" i="119"/>
  <c r="K9" i="119"/>
  <c r="J7" i="119"/>
  <c r="K7" i="119"/>
  <c r="K32" i="119"/>
  <c r="I6" i="119"/>
  <c r="J6" i="119"/>
  <c r="K8" i="119"/>
  <c r="K15" i="119"/>
  <c r="K6" i="119"/>
  <c r="K27" i="119"/>
  <c r="K38" i="119"/>
  <c r="K26" i="119"/>
  <c r="K37" i="119"/>
  <c r="K25" i="119"/>
  <c r="K36" i="119"/>
  <c r="P56" i="117"/>
  <c r="P54" i="117"/>
  <c r="P52" i="117"/>
  <c r="P51" i="117"/>
  <c r="P49" i="117"/>
  <c r="P48" i="117"/>
  <c r="H30" i="117"/>
  <c r="I30" i="117"/>
  <c r="C30" i="117"/>
  <c r="C28" i="117"/>
  <c r="H28" i="117"/>
  <c r="I28" i="117"/>
  <c r="H24" i="117"/>
  <c r="I24" i="117"/>
  <c r="C23" i="117"/>
  <c r="C22" i="117"/>
  <c r="I22" i="117"/>
  <c r="K22" i="117"/>
  <c r="I21" i="117"/>
  <c r="K21" i="117"/>
  <c r="C20" i="117"/>
  <c r="H20" i="117"/>
  <c r="I20" i="117"/>
  <c r="K20" i="117"/>
  <c r="C19" i="117"/>
  <c r="H19" i="117"/>
  <c r="I19" i="117"/>
  <c r="K19" i="117"/>
  <c r="I18" i="117"/>
  <c r="K18" i="117"/>
  <c r="H17" i="117"/>
  <c r="I17" i="117"/>
  <c r="K17" i="117"/>
  <c r="C17" i="117"/>
  <c r="C16" i="117"/>
  <c r="H16" i="117"/>
  <c r="I16" i="117"/>
  <c r="K16" i="117"/>
  <c r="C15" i="117"/>
  <c r="I14" i="117"/>
  <c r="K14" i="117"/>
  <c r="H13" i="117"/>
  <c r="I13" i="117"/>
  <c r="K13" i="117"/>
  <c r="C13" i="117"/>
  <c r="H12" i="117"/>
  <c r="I12" i="117"/>
  <c r="K12" i="117"/>
  <c r="H11" i="117"/>
  <c r="I11" i="117"/>
  <c r="C11" i="117"/>
  <c r="C10" i="117"/>
  <c r="H10" i="117"/>
  <c r="I10" i="117"/>
  <c r="K10" i="117"/>
  <c r="H9" i="117"/>
  <c r="I9" i="117"/>
  <c r="C9" i="117"/>
  <c r="H8" i="117"/>
  <c r="C8" i="117"/>
  <c r="H7" i="117"/>
  <c r="I7" i="117"/>
  <c r="C7" i="117"/>
  <c r="H6" i="117"/>
  <c r="I6" i="117"/>
  <c r="C6" i="117"/>
  <c r="K35" i="119"/>
  <c r="K34" i="119"/>
  <c r="K6" i="117"/>
  <c r="K33" i="119"/>
  <c r="K11" i="117"/>
  <c r="K32" i="117"/>
  <c r="M23" i="117"/>
  <c r="N23" i="117"/>
  <c r="H23" i="117"/>
  <c r="I23" i="117"/>
  <c r="N15" i="117"/>
  <c r="H15" i="117"/>
  <c r="I15" i="117"/>
  <c r="K7" i="117"/>
  <c r="O9" i="117"/>
  <c r="P9" i="117"/>
  <c r="K9" i="117"/>
  <c r="I8" i="117"/>
  <c r="C28" i="87"/>
  <c r="C28" i="88"/>
  <c r="C28" i="90"/>
  <c r="C28" i="91"/>
  <c r="C28" i="95"/>
  <c r="C28" i="96"/>
  <c r="C28" i="98"/>
  <c r="C28" i="99"/>
  <c r="C28" i="100"/>
  <c r="C28" i="101"/>
  <c r="C28" i="102"/>
  <c r="C28" i="103"/>
  <c r="C28" i="104"/>
  <c r="C28" i="105"/>
  <c r="C28" i="106"/>
  <c r="C28" i="107"/>
  <c r="C28" i="108"/>
  <c r="C28" i="109"/>
  <c r="C28" i="110"/>
  <c r="C28" i="111"/>
  <c r="C28" i="113"/>
  <c r="C28" i="115"/>
  <c r="C28" i="86"/>
  <c r="K15" i="117"/>
  <c r="K8" i="117"/>
  <c r="H12" i="100"/>
  <c r="H12" i="99"/>
  <c r="K27" i="117"/>
  <c r="K26" i="117"/>
  <c r="K25" i="117"/>
  <c r="H30" i="87"/>
  <c r="H30" i="88"/>
  <c r="H30" i="90"/>
  <c r="H30" i="91"/>
  <c r="H30" i="95"/>
  <c r="H30" i="96"/>
  <c r="H30" i="98"/>
  <c r="H30" i="99"/>
  <c r="H30" i="100"/>
  <c r="H30" i="101"/>
  <c r="H30" i="102"/>
  <c r="H30" i="103"/>
  <c r="H30" i="104"/>
  <c r="H30" i="105"/>
  <c r="H30" i="106"/>
  <c r="H30" i="107"/>
  <c r="H30" i="108"/>
  <c r="H30" i="109"/>
  <c r="H30" i="110"/>
  <c r="H30" i="111"/>
  <c r="H30" i="113"/>
  <c r="H30" i="115"/>
  <c r="H30" i="86"/>
  <c r="K36" i="117"/>
  <c r="J37" i="1"/>
  <c r="K38" i="117"/>
  <c r="L37" i="1"/>
  <c r="K37" i="117"/>
  <c r="K37" i="1"/>
  <c r="K35" i="117"/>
  <c r="I37" i="1"/>
  <c r="K34" i="117"/>
  <c r="H37" i="1"/>
  <c r="K33" i="117"/>
  <c r="G37" i="1"/>
  <c r="M8" i="106"/>
  <c r="M8" i="104"/>
  <c r="M8" i="103"/>
  <c r="M6" i="103"/>
  <c r="M9" i="115"/>
  <c r="N9" i="115"/>
  <c r="O9" i="115"/>
  <c r="P9" i="115"/>
  <c r="M9" i="113"/>
  <c r="N9" i="113"/>
  <c r="O9" i="113"/>
  <c r="P9" i="113"/>
  <c r="M9" i="111"/>
  <c r="N9" i="111"/>
  <c r="O9" i="111"/>
  <c r="P9" i="111"/>
  <c r="M9" i="110"/>
  <c r="N9" i="110"/>
  <c r="O9" i="110"/>
  <c r="P9" i="110"/>
  <c r="M9" i="109"/>
  <c r="N9" i="109"/>
  <c r="O9" i="109"/>
  <c r="P9" i="109"/>
  <c r="M9" i="108"/>
  <c r="N9" i="108"/>
  <c r="O9" i="108"/>
  <c r="P9" i="108"/>
  <c r="M9" i="107"/>
  <c r="N9" i="107"/>
  <c r="O9" i="107"/>
  <c r="P9" i="107"/>
  <c r="M9" i="106"/>
  <c r="N9" i="106"/>
  <c r="O9" i="106"/>
  <c r="M9" i="105"/>
  <c r="N9" i="105"/>
  <c r="O9" i="105"/>
  <c r="M9" i="104"/>
  <c r="N9" i="104"/>
  <c r="O9" i="104"/>
  <c r="O9" i="103"/>
  <c r="P9" i="103"/>
  <c r="V12" i="86"/>
  <c r="V12" i="87"/>
  <c r="V12" i="88"/>
  <c r="V12" i="90"/>
  <c r="V12" i="91"/>
  <c r="V12" i="95"/>
  <c r="V12" i="96"/>
  <c r="V12" i="98"/>
  <c r="V12" i="99"/>
  <c r="V12" i="100"/>
  <c r="V12" i="101"/>
  <c r="V9" i="87"/>
  <c r="V9" i="88"/>
  <c r="V9" i="95"/>
  <c r="V9" i="96"/>
  <c r="V9" i="98"/>
  <c r="V9" i="99"/>
  <c r="V9" i="100"/>
  <c r="V9" i="101"/>
  <c r="V9" i="86"/>
  <c r="M9" i="102"/>
  <c r="V12" i="102"/>
  <c r="O9" i="102"/>
  <c r="O9" i="101"/>
  <c r="O9" i="100"/>
  <c r="O9" i="99"/>
  <c r="X24" i="87"/>
  <c r="X25" i="87"/>
  <c r="X26" i="87"/>
  <c r="X27" i="87"/>
  <c r="X23" i="87"/>
  <c r="I14" i="113"/>
  <c r="K14" i="113"/>
  <c r="H24" i="102"/>
  <c r="H24" i="103"/>
  <c r="H24" i="104"/>
  <c r="H24" i="105"/>
  <c r="H24" i="106"/>
  <c r="H24" i="107"/>
  <c r="H24" i="108"/>
  <c r="H24" i="109"/>
  <c r="H24" i="110"/>
  <c r="H24" i="111"/>
  <c r="H24" i="113"/>
  <c r="H24" i="115"/>
  <c r="H24" i="101"/>
  <c r="I21" i="103"/>
  <c r="K21" i="103"/>
  <c r="I21" i="104"/>
  <c r="K21" i="104"/>
  <c r="I21" i="105"/>
  <c r="K21" i="105"/>
  <c r="I21" i="106"/>
  <c r="K21" i="106"/>
  <c r="I21" i="107"/>
  <c r="K21" i="107"/>
  <c r="I21" i="108"/>
  <c r="K21" i="108"/>
  <c r="I21" i="109"/>
  <c r="K21" i="109"/>
  <c r="I21" i="110"/>
  <c r="K21" i="110"/>
  <c r="I21" i="111"/>
  <c r="K21" i="111"/>
  <c r="I21" i="113"/>
  <c r="K21" i="113"/>
  <c r="I21" i="115"/>
  <c r="K21" i="115"/>
  <c r="I21" i="102"/>
  <c r="K21" i="102"/>
  <c r="I21" i="101"/>
  <c r="K21" i="101"/>
  <c r="C21" i="87"/>
  <c r="H21" i="87"/>
  <c r="I21" i="87"/>
  <c r="C21" i="88"/>
  <c r="H21" i="88"/>
  <c r="I21" i="88"/>
  <c r="C21" i="90"/>
  <c r="H21" i="90"/>
  <c r="I21" i="90"/>
  <c r="C21" i="91"/>
  <c r="H21" i="91"/>
  <c r="I21" i="91"/>
  <c r="C21" i="86"/>
  <c r="H21" i="86"/>
  <c r="I21" i="86"/>
  <c r="H18" i="102"/>
  <c r="H18" i="103"/>
  <c r="H18" i="104"/>
  <c r="H18" i="105"/>
  <c r="H18" i="106"/>
  <c r="H18" i="107"/>
  <c r="H18" i="108"/>
  <c r="H18" i="109"/>
  <c r="H18" i="110"/>
  <c r="H18" i="111"/>
  <c r="H18" i="113"/>
  <c r="H18" i="115"/>
  <c r="H18" i="101"/>
  <c r="K21" i="87"/>
  <c r="K21" i="88"/>
  <c r="K21" i="90"/>
  <c r="K21" i="91"/>
  <c r="K21" i="96"/>
  <c r="K21" i="98"/>
  <c r="K21" i="99"/>
  <c r="K21" i="100"/>
  <c r="K21" i="86"/>
  <c r="H18" i="87"/>
  <c r="H18" i="88"/>
  <c r="H18" i="90"/>
  <c r="H18" i="91"/>
  <c r="H18" i="95"/>
  <c r="H18" i="96"/>
  <c r="H18" i="98"/>
  <c r="H18" i="99"/>
  <c r="H18" i="100"/>
  <c r="H18" i="86"/>
  <c r="H13" i="102"/>
  <c r="I13" i="102"/>
  <c r="K13" i="102"/>
  <c r="H13" i="103"/>
  <c r="I13" i="103"/>
  <c r="K13" i="103"/>
  <c r="H13" i="104"/>
  <c r="I13" i="104"/>
  <c r="K13" i="104"/>
  <c r="H13" i="105"/>
  <c r="I13" i="105"/>
  <c r="K13" i="105"/>
  <c r="H13" i="106"/>
  <c r="I13" i="106"/>
  <c r="K13" i="106"/>
  <c r="H13" i="107"/>
  <c r="I13" i="107"/>
  <c r="K13" i="107"/>
  <c r="H13" i="108"/>
  <c r="I13" i="108"/>
  <c r="K13" i="108"/>
  <c r="H13" i="109"/>
  <c r="I13" i="109"/>
  <c r="K13" i="109"/>
  <c r="H13" i="110"/>
  <c r="I13" i="110"/>
  <c r="K13" i="110"/>
  <c r="H13" i="111"/>
  <c r="I13" i="111"/>
  <c r="K13" i="111"/>
  <c r="H13" i="113"/>
  <c r="I13" i="113"/>
  <c r="K13" i="113"/>
  <c r="H13" i="115"/>
  <c r="I13" i="115"/>
  <c r="K13" i="115"/>
  <c r="H13" i="101"/>
  <c r="I13" i="101"/>
  <c r="K13" i="101"/>
  <c r="C13" i="102"/>
  <c r="C13" i="103"/>
  <c r="C13" i="104"/>
  <c r="C13" i="105"/>
  <c r="C13" i="106"/>
  <c r="C13" i="107"/>
  <c r="C13" i="108"/>
  <c r="C13" i="109"/>
  <c r="C13" i="110"/>
  <c r="C13" i="111"/>
  <c r="C13" i="113"/>
  <c r="C13" i="115"/>
  <c r="C13" i="101"/>
  <c r="C12" i="100"/>
  <c r="C12" i="99"/>
  <c r="H12" i="102"/>
  <c r="H12" i="103"/>
  <c r="H12" i="104"/>
  <c r="H12" i="105"/>
  <c r="H12" i="106"/>
  <c r="H12" i="107"/>
  <c r="H12" i="108"/>
  <c r="H12" i="109"/>
  <c r="H12" i="110"/>
  <c r="H12" i="111"/>
  <c r="H12" i="113"/>
  <c r="H12" i="115"/>
  <c r="H12" i="101"/>
  <c r="C12" i="110"/>
  <c r="H17" i="102"/>
  <c r="I17" i="102"/>
  <c r="K17" i="102"/>
  <c r="H17" i="103"/>
  <c r="I17" i="103"/>
  <c r="K17" i="103"/>
  <c r="H17" i="104"/>
  <c r="I17" i="104"/>
  <c r="K17" i="104"/>
  <c r="H17" i="105"/>
  <c r="I17" i="105"/>
  <c r="K17" i="105"/>
  <c r="H17" i="106"/>
  <c r="I17" i="106"/>
  <c r="K17" i="106"/>
  <c r="H17" i="107"/>
  <c r="I17" i="107"/>
  <c r="K17" i="107"/>
  <c r="H17" i="108"/>
  <c r="I17" i="108"/>
  <c r="K17" i="108"/>
  <c r="H17" i="109"/>
  <c r="I17" i="109"/>
  <c r="K17" i="109"/>
  <c r="H17" i="110"/>
  <c r="I17" i="110"/>
  <c r="K17" i="110"/>
  <c r="H17" i="111"/>
  <c r="I17" i="111"/>
  <c r="K17" i="111"/>
  <c r="H17" i="113"/>
  <c r="I17" i="113"/>
  <c r="K17" i="113"/>
  <c r="H17" i="115"/>
  <c r="I17" i="115"/>
  <c r="K17" i="115"/>
  <c r="H17" i="101"/>
  <c r="I17" i="101"/>
  <c r="K17" i="101"/>
  <c r="M7" i="102"/>
  <c r="M7" i="105"/>
  <c r="M7" i="101"/>
  <c r="H7" i="111"/>
  <c r="I7" i="111"/>
  <c r="H6" i="111"/>
  <c r="I6" i="111"/>
  <c r="F7" i="108"/>
  <c r="F7" i="107"/>
  <c r="F6" i="110"/>
  <c r="F6" i="107"/>
  <c r="H24" i="87"/>
  <c r="H24" i="88"/>
  <c r="H24" i="90"/>
  <c r="H24" i="91"/>
  <c r="H24" i="95"/>
  <c r="H24" i="96"/>
  <c r="H24" i="98"/>
  <c r="H24" i="99"/>
  <c r="H24" i="100"/>
  <c r="H24" i="86"/>
  <c r="H32" i="84"/>
  <c r="H26" i="84"/>
  <c r="I30" i="115"/>
  <c r="C30" i="115"/>
  <c r="I24" i="115"/>
  <c r="C23" i="115"/>
  <c r="C22" i="115"/>
  <c r="I22" i="115"/>
  <c r="K22" i="115"/>
  <c r="C20" i="115"/>
  <c r="H20" i="115"/>
  <c r="I20" i="115"/>
  <c r="K20" i="115"/>
  <c r="C19" i="115"/>
  <c r="H19" i="115"/>
  <c r="I19" i="115"/>
  <c r="K19" i="115"/>
  <c r="I18" i="115"/>
  <c r="K18" i="115"/>
  <c r="C17" i="115"/>
  <c r="C16" i="115"/>
  <c r="H16" i="115"/>
  <c r="I16" i="115"/>
  <c r="K16" i="115"/>
  <c r="C15" i="115"/>
  <c r="I14" i="115"/>
  <c r="K14" i="115"/>
  <c r="I12" i="115"/>
  <c r="K12" i="115"/>
  <c r="H11" i="115"/>
  <c r="I11" i="115"/>
  <c r="C11" i="115"/>
  <c r="C10" i="115"/>
  <c r="H10" i="115"/>
  <c r="I10" i="115"/>
  <c r="K10" i="115"/>
  <c r="H9" i="115"/>
  <c r="F9" i="115"/>
  <c r="C9" i="115"/>
  <c r="H8" i="115"/>
  <c r="C8" i="115"/>
  <c r="H7" i="115"/>
  <c r="C7" i="115"/>
  <c r="H6" i="115"/>
  <c r="C6" i="115"/>
  <c r="P56" i="113"/>
  <c r="P54" i="113"/>
  <c r="P52" i="113"/>
  <c r="P51" i="113"/>
  <c r="P49" i="113"/>
  <c r="P48" i="113"/>
  <c r="I30" i="113"/>
  <c r="C30" i="113"/>
  <c r="I24" i="113"/>
  <c r="C23" i="113"/>
  <c r="C22" i="113"/>
  <c r="I22" i="113"/>
  <c r="K22" i="113"/>
  <c r="C20" i="113"/>
  <c r="H20" i="113"/>
  <c r="I20" i="113"/>
  <c r="K20" i="113"/>
  <c r="C19" i="113"/>
  <c r="H19" i="113"/>
  <c r="I19" i="113"/>
  <c r="K19" i="113"/>
  <c r="I18" i="113"/>
  <c r="K18" i="113"/>
  <c r="C17" i="113"/>
  <c r="C16" i="113"/>
  <c r="H16" i="113"/>
  <c r="I16" i="113"/>
  <c r="K16" i="113"/>
  <c r="C15" i="113"/>
  <c r="I12" i="113"/>
  <c r="K12" i="113"/>
  <c r="H11" i="113"/>
  <c r="I11" i="113"/>
  <c r="C11" i="113"/>
  <c r="C10" i="113"/>
  <c r="H10" i="113"/>
  <c r="I10" i="113"/>
  <c r="K10" i="113"/>
  <c r="H9" i="113"/>
  <c r="F9" i="113"/>
  <c r="C9" i="113"/>
  <c r="H8" i="113"/>
  <c r="C8" i="113"/>
  <c r="H7" i="113"/>
  <c r="I7" i="113"/>
  <c r="C7" i="113"/>
  <c r="H6" i="113"/>
  <c r="C6" i="113"/>
  <c r="I30" i="111"/>
  <c r="C30" i="111"/>
  <c r="I24" i="111"/>
  <c r="C23" i="111"/>
  <c r="C22" i="111"/>
  <c r="I22" i="111"/>
  <c r="K22" i="111"/>
  <c r="C20" i="111"/>
  <c r="H20" i="111"/>
  <c r="I20" i="111"/>
  <c r="K20" i="111"/>
  <c r="C19" i="111"/>
  <c r="H19" i="111"/>
  <c r="I19" i="111"/>
  <c r="K19" i="111"/>
  <c r="I18" i="111"/>
  <c r="K18" i="111"/>
  <c r="C17" i="111"/>
  <c r="C16" i="111"/>
  <c r="H16" i="111"/>
  <c r="I16" i="111"/>
  <c r="K16" i="111"/>
  <c r="C15" i="111"/>
  <c r="I14" i="111"/>
  <c r="K14" i="111"/>
  <c r="I12" i="111"/>
  <c r="K12" i="111"/>
  <c r="H11" i="111"/>
  <c r="I11" i="111"/>
  <c r="C11" i="111"/>
  <c r="C10" i="111"/>
  <c r="H10" i="111"/>
  <c r="I10" i="111"/>
  <c r="K10" i="111"/>
  <c r="H9" i="111"/>
  <c r="F9" i="111"/>
  <c r="C9" i="111"/>
  <c r="H8" i="111"/>
  <c r="C8" i="111"/>
  <c r="C7" i="111"/>
  <c r="C6" i="111"/>
  <c r="I30" i="110"/>
  <c r="C30" i="110"/>
  <c r="I24" i="110"/>
  <c r="C23" i="110"/>
  <c r="C22" i="110"/>
  <c r="I22" i="110"/>
  <c r="K22" i="110"/>
  <c r="C20" i="110"/>
  <c r="H20" i="110"/>
  <c r="I20" i="110"/>
  <c r="K20" i="110"/>
  <c r="C19" i="110"/>
  <c r="H19" i="110"/>
  <c r="I19" i="110"/>
  <c r="K19" i="110"/>
  <c r="I18" i="110"/>
  <c r="K18" i="110"/>
  <c r="C17" i="110"/>
  <c r="C16" i="110"/>
  <c r="H16" i="110"/>
  <c r="I16" i="110"/>
  <c r="K16" i="110"/>
  <c r="C15" i="110"/>
  <c r="I14" i="110"/>
  <c r="K14" i="110"/>
  <c r="I12" i="110"/>
  <c r="K12" i="110"/>
  <c r="H11" i="110"/>
  <c r="I11" i="110"/>
  <c r="C11" i="110"/>
  <c r="C10" i="110"/>
  <c r="H10" i="110"/>
  <c r="I10" i="110"/>
  <c r="K10" i="110"/>
  <c r="H9" i="110"/>
  <c r="F9" i="110"/>
  <c r="C9" i="110"/>
  <c r="H8" i="110"/>
  <c r="C8" i="110"/>
  <c r="H7" i="110"/>
  <c r="C7" i="110"/>
  <c r="H6" i="110"/>
  <c r="I6" i="110"/>
  <c r="C6" i="110"/>
  <c r="I30" i="109"/>
  <c r="C30" i="109"/>
  <c r="I24" i="109"/>
  <c r="C23" i="109"/>
  <c r="C22" i="109"/>
  <c r="I22" i="109"/>
  <c r="K22" i="109"/>
  <c r="C20" i="109"/>
  <c r="H20" i="109"/>
  <c r="I20" i="109"/>
  <c r="K20" i="109"/>
  <c r="C19" i="109"/>
  <c r="H19" i="109"/>
  <c r="I19" i="109"/>
  <c r="K19" i="109"/>
  <c r="I18" i="109"/>
  <c r="K18" i="109"/>
  <c r="C17" i="109"/>
  <c r="C16" i="109"/>
  <c r="H16" i="109"/>
  <c r="I16" i="109"/>
  <c r="K16" i="109"/>
  <c r="C15" i="109"/>
  <c r="I14" i="109"/>
  <c r="K14" i="109"/>
  <c r="I12" i="109"/>
  <c r="K12" i="109"/>
  <c r="H11" i="109"/>
  <c r="I11" i="109"/>
  <c r="C11" i="109"/>
  <c r="C10" i="109"/>
  <c r="H10" i="109"/>
  <c r="I10" i="109"/>
  <c r="K10" i="109"/>
  <c r="H9" i="109"/>
  <c r="F9" i="109"/>
  <c r="C9" i="109"/>
  <c r="H8" i="109"/>
  <c r="C8" i="109"/>
  <c r="H7" i="109"/>
  <c r="C7" i="109"/>
  <c r="H6" i="109"/>
  <c r="C6" i="109"/>
  <c r="M3" i="109"/>
  <c r="M2" i="109"/>
  <c r="I30" i="108"/>
  <c r="C30" i="108"/>
  <c r="I24" i="108"/>
  <c r="C23" i="108"/>
  <c r="C22" i="108"/>
  <c r="I22" i="108"/>
  <c r="K22" i="108"/>
  <c r="C20" i="108"/>
  <c r="H20" i="108"/>
  <c r="I20" i="108"/>
  <c r="K20" i="108"/>
  <c r="C19" i="108"/>
  <c r="H19" i="108"/>
  <c r="I19" i="108"/>
  <c r="K19" i="108"/>
  <c r="I18" i="108"/>
  <c r="K18" i="108"/>
  <c r="C17" i="108"/>
  <c r="C16" i="108"/>
  <c r="H16" i="108"/>
  <c r="I16" i="108"/>
  <c r="K16" i="108"/>
  <c r="C15" i="108"/>
  <c r="I14" i="108"/>
  <c r="K14" i="108"/>
  <c r="I12" i="108"/>
  <c r="K12" i="108"/>
  <c r="H11" i="108"/>
  <c r="I11" i="108"/>
  <c r="C11" i="108"/>
  <c r="C10" i="108"/>
  <c r="H10" i="108"/>
  <c r="I10" i="108"/>
  <c r="K10" i="108"/>
  <c r="H9" i="108"/>
  <c r="F9" i="108"/>
  <c r="C9" i="108"/>
  <c r="H8" i="108"/>
  <c r="C8" i="108"/>
  <c r="H7" i="108"/>
  <c r="I7" i="108"/>
  <c r="C7" i="108"/>
  <c r="H6" i="108"/>
  <c r="C6" i="108"/>
  <c r="I30" i="107"/>
  <c r="C30" i="107"/>
  <c r="I24" i="107"/>
  <c r="C23" i="107"/>
  <c r="C22" i="107"/>
  <c r="I22" i="107"/>
  <c r="K22" i="107"/>
  <c r="C20" i="107"/>
  <c r="H20" i="107"/>
  <c r="I20" i="107"/>
  <c r="K20" i="107"/>
  <c r="C19" i="107"/>
  <c r="H19" i="107"/>
  <c r="I19" i="107"/>
  <c r="K19" i="107"/>
  <c r="I18" i="107"/>
  <c r="K18" i="107"/>
  <c r="C17" i="107"/>
  <c r="C16" i="107"/>
  <c r="H16" i="107"/>
  <c r="I16" i="107"/>
  <c r="K16" i="107"/>
  <c r="C15" i="107"/>
  <c r="I14" i="107"/>
  <c r="K14" i="107"/>
  <c r="I12" i="107"/>
  <c r="K12" i="107"/>
  <c r="H11" i="107"/>
  <c r="I11" i="107"/>
  <c r="C11" i="107"/>
  <c r="C10" i="107"/>
  <c r="H10" i="107"/>
  <c r="I10" i="107"/>
  <c r="K10" i="107"/>
  <c r="H9" i="107"/>
  <c r="F9" i="107"/>
  <c r="C9" i="107"/>
  <c r="H8" i="107"/>
  <c r="C8" i="107"/>
  <c r="H7" i="107"/>
  <c r="I7" i="107"/>
  <c r="C7" i="107"/>
  <c r="H6" i="107"/>
  <c r="C6" i="107"/>
  <c r="I30" i="106"/>
  <c r="C30" i="106"/>
  <c r="I24" i="106"/>
  <c r="C23" i="106"/>
  <c r="C22" i="106"/>
  <c r="I22" i="106"/>
  <c r="K22" i="106"/>
  <c r="C20" i="106"/>
  <c r="H20" i="106"/>
  <c r="I20" i="106"/>
  <c r="K20" i="106"/>
  <c r="C19" i="106"/>
  <c r="H19" i="106"/>
  <c r="I19" i="106"/>
  <c r="K19" i="106"/>
  <c r="I18" i="106"/>
  <c r="K18" i="106"/>
  <c r="C17" i="106"/>
  <c r="C16" i="106"/>
  <c r="H16" i="106"/>
  <c r="I16" i="106"/>
  <c r="K16" i="106"/>
  <c r="C15" i="106"/>
  <c r="I14" i="106"/>
  <c r="K14" i="106"/>
  <c r="I12" i="106"/>
  <c r="K12" i="106"/>
  <c r="H11" i="106"/>
  <c r="I11" i="106"/>
  <c r="C11" i="106"/>
  <c r="C10" i="106"/>
  <c r="H10" i="106"/>
  <c r="I10" i="106"/>
  <c r="K10" i="106"/>
  <c r="H9" i="106"/>
  <c r="F9" i="106"/>
  <c r="C9" i="106"/>
  <c r="H8" i="106"/>
  <c r="C8" i="106"/>
  <c r="H7" i="106"/>
  <c r="I7" i="106"/>
  <c r="C7" i="106"/>
  <c r="H6" i="106"/>
  <c r="C6" i="106"/>
  <c r="I30" i="105"/>
  <c r="C30" i="105"/>
  <c r="I24" i="105"/>
  <c r="C23" i="105"/>
  <c r="C22" i="105"/>
  <c r="I22" i="105"/>
  <c r="K22" i="105"/>
  <c r="C20" i="105"/>
  <c r="H20" i="105"/>
  <c r="I20" i="105"/>
  <c r="K20" i="105"/>
  <c r="C19" i="105"/>
  <c r="H19" i="105"/>
  <c r="I19" i="105"/>
  <c r="K19" i="105"/>
  <c r="I18" i="105"/>
  <c r="K18" i="105"/>
  <c r="C17" i="105"/>
  <c r="C16" i="105"/>
  <c r="H16" i="105"/>
  <c r="I16" i="105"/>
  <c r="K16" i="105"/>
  <c r="C15" i="105"/>
  <c r="I14" i="105"/>
  <c r="K14" i="105"/>
  <c r="I12" i="105"/>
  <c r="K12" i="105"/>
  <c r="H11" i="105"/>
  <c r="I11" i="105"/>
  <c r="C11" i="105"/>
  <c r="C10" i="105"/>
  <c r="H10" i="105"/>
  <c r="I10" i="105"/>
  <c r="K10" i="105"/>
  <c r="H9" i="105"/>
  <c r="F9" i="105"/>
  <c r="C9" i="105"/>
  <c r="H8" i="105"/>
  <c r="C8" i="105"/>
  <c r="H7" i="105"/>
  <c r="I7" i="105"/>
  <c r="C7" i="105"/>
  <c r="H6" i="105"/>
  <c r="C6" i="105"/>
  <c r="I30" i="104"/>
  <c r="C30" i="104"/>
  <c r="I24" i="104"/>
  <c r="C23" i="104"/>
  <c r="C22" i="104"/>
  <c r="I22" i="104"/>
  <c r="K22" i="104"/>
  <c r="C20" i="104"/>
  <c r="H20" i="104"/>
  <c r="I20" i="104"/>
  <c r="K20" i="104"/>
  <c r="C19" i="104"/>
  <c r="H19" i="104"/>
  <c r="I19" i="104"/>
  <c r="K19" i="104"/>
  <c r="I18" i="104"/>
  <c r="K18" i="104"/>
  <c r="C17" i="104"/>
  <c r="C16" i="104"/>
  <c r="H16" i="104"/>
  <c r="I16" i="104"/>
  <c r="K16" i="104"/>
  <c r="C15" i="104"/>
  <c r="I14" i="104"/>
  <c r="K14" i="104"/>
  <c r="I12" i="104"/>
  <c r="K12" i="104"/>
  <c r="H11" i="104"/>
  <c r="I11" i="104"/>
  <c r="C11" i="104"/>
  <c r="C10" i="104"/>
  <c r="H10" i="104"/>
  <c r="I10" i="104"/>
  <c r="K10" i="104"/>
  <c r="H9" i="104"/>
  <c r="F9" i="104"/>
  <c r="C9" i="104"/>
  <c r="H8" i="104"/>
  <c r="C8" i="104"/>
  <c r="H7" i="104"/>
  <c r="C7" i="104"/>
  <c r="H6" i="104"/>
  <c r="I6" i="104"/>
  <c r="C6" i="104"/>
  <c r="I30" i="103"/>
  <c r="C30" i="103"/>
  <c r="I24" i="103"/>
  <c r="C23" i="103"/>
  <c r="C22" i="103"/>
  <c r="I22" i="103"/>
  <c r="K22" i="103"/>
  <c r="C20" i="103"/>
  <c r="H20" i="103"/>
  <c r="I20" i="103"/>
  <c r="K20" i="103"/>
  <c r="C19" i="103"/>
  <c r="H19" i="103"/>
  <c r="I19" i="103"/>
  <c r="K19" i="103"/>
  <c r="I18" i="103"/>
  <c r="K18" i="103"/>
  <c r="C17" i="103"/>
  <c r="C16" i="103"/>
  <c r="H16" i="103"/>
  <c r="I16" i="103"/>
  <c r="K16" i="103"/>
  <c r="C15" i="103"/>
  <c r="I14" i="103"/>
  <c r="K14" i="103"/>
  <c r="I12" i="103"/>
  <c r="K12" i="103"/>
  <c r="H11" i="103"/>
  <c r="I11" i="103"/>
  <c r="C11" i="103"/>
  <c r="C10" i="103"/>
  <c r="H10" i="103"/>
  <c r="I10" i="103"/>
  <c r="K10" i="103"/>
  <c r="H9" i="103"/>
  <c r="F9" i="103"/>
  <c r="C9" i="103"/>
  <c r="H8" i="103"/>
  <c r="C8" i="103"/>
  <c r="H7" i="103"/>
  <c r="C7" i="103"/>
  <c r="H6" i="103"/>
  <c r="I6" i="103"/>
  <c r="C6" i="103"/>
  <c r="I30" i="102"/>
  <c r="C30" i="102"/>
  <c r="I24" i="102"/>
  <c r="C23" i="102"/>
  <c r="C22" i="102"/>
  <c r="I22" i="102"/>
  <c r="K22" i="102"/>
  <c r="C20" i="102"/>
  <c r="H20" i="102"/>
  <c r="I20" i="102"/>
  <c r="K20" i="102"/>
  <c r="C19" i="102"/>
  <c r="H19" i="102"/>
  <c r="I19" i="102"/>
  <c r="K19" i="102"/>
  <c r="I18" i="102"/>
  <c r="K18" i="102"/>
  <c r="C17" i="102"/>
  <c r="C16" i="102"/>
  <c r="H16" i="102"/>
  <c r="I16" i="102"/>
  <c r="K16" i="102"/>
  <c r="C15" i="102"/>
  <c r="I14" i="102"/>
  <c r="K14" i="102"/>
  <c r="I12" i="102"/>
  <c r="K12" i="102"/>
  <c r="I11" i="102"/>
  <c r="C11" i="102"/>
  <c r="C10" i="102"/>
  <c r="H10" i="102"/>
  <c r="I10" i="102"/>
  <c r="K10" i="102"/>
  <c r="H9" i="102"/>
  <c r="F9" i="102"/>
  <c r="C9" i="102"/>
  <c r="H8" i="102"/>
  <c r="C8" i="102"/>
  <c r="H7" i="102"/>
  <c r="I7" i="102"/>
  <c r="C7" i="102"/>
  <c r="H6" i="102"/>
  <c r="C6" i="102"/>
  <c r="I30" i="101"/>
  <c r="C30" i="101"/>
  <c r="I24" i="101"/>
  <c r="C23" i="101"/>
  <c r="C22" i="101"/>
  <c r="I22" i="101"/>
  <c r="K22" i="101"/>
  <c r="C20" i="101"/>
  <c r="H20" i="101"/>
  <c r="I20" i="101"/>
  <c r="K20" i="101"/>
  <c r="C19" i="101"/>
  <c r="H19" i="101"/>
  <c r="I19" i="101"/>
  <c r="K19" i="101"/>
  <c r="I18" i="101"/>
  <c r="K18" i="101"/>
  <c r="C17" i="101"/>
  <c r="C16" i="101"/>
  <c r="H16" i="101"/>
  <c r="I16" i="101"/>
  <c r="K16" i="101"/>
  <c r="C15" i="101"/>
  <c r="I14" i="101"/>
  <c r="K14" i="101"/>
  <c r="I12" i="101"/>
  <c r="K12" i="101"/>
  <c r="H11" i="101"/>
  <c r="I11" i="101"/>
  <c r="C11" i="101"/>
  <c r="C10" i="101"/>
  <c r="H10" i="101"/>
  <c r="I10" i="101"/>
  <c r="K10" i="101"/>
  <c r="H9" i="101"/>
  <c r="F9" i="101"/>
  <c r="C9" i="101"/>
  <c r="H8" i="101"/>
  <c r="C8" i="101"/>
  <c r="H7" i="101"/>
  <c r="I7" i="101"/>
  <c r="C7" i="101"/>
  <c r="H6" i="101"/>
  <c r="C6" i="101"/>
  <c r="I9" i="113"/>
  <c r="K9" i="113"/>
  <c r="I9" i="115"/>
  <c r="K9" i="115"/>
  <c r="H28" i="109"/>
  <c r="I28" i="109"/>
  <c r="K32" i="109"/>
  <c r="H28" i="101"/>
  <c r="I28" i="101"/>
  <c r="K32" i="101"/>
  <c r="H28" i="107"/>
  <c r="I28" i="107"/>
  <c r="K32" i="107"/>
  <c r="H28" i="113"/>
  <c r="I28" i="113"/>
  <c r="K32" i="113"/>
  <c r="H28" i="104"/>
  <c r="I28" i="104"/>
  <c r="K32" i="104"/>
  <c r="H28" i="105"/>
  <c r="I28" i="105"/>
  <c r="K32" i="105"/>
  <c r="H28" i="106"/>
  <c r="I28" i="106"/>
  <c r="K32" i="106"/>
  <c r="H28" i="110"/>
  <c r="I28" i="110"/>
  <c r="K32" i="110"/>
  <c r="H28" i="115"/>
  <c r="I28" i="115"/>
  <c r="K32" i="115"/>
  <c r="H28" i="102"/>
  <c r="I28" i="102"/>
  <c r="K32" i="102"/>
  <c r="H28" i="103"/>
  <c r="I28" i="103"/>
  <c r="K32" i="103"/>
  <c r="H28" i="108"/>
  <c r="I28" i="108"/>
  <c r="K32" i="108"/>
  <c r="H28" i="111"/>
  <c r="I28" i="111"/>
  <c r="K32" i="111"/>
  <c r="M23" i="115"/>
  <c r="N23" i="115"/>
  <c r="H23" i="115"/>
  <c r="I23" i="115"/>
  <c r="I8" i="108"/>
  <c r="N23" i="108"/>
  <c r="H23" i="108"/>
  <c r="I23" i="108"/>
  <c r="M23" i="108"/>
  <c r="N23" i="109"/>
  <c r="H23" i="109"/>
  <c r="I23" i="109"/>
  <c r="M23" i="109"/>
  <c r="N23" i="113"/>
  <c r="H23" i="113"/>
  <c r="I23" i="113"/>
  <c r="M23" i="113"/>
  <c r="N23" i="101"/>
  <c r="H23" i="101"/>
  <c r="I23" i="101"/>
  <c r="M23" i="101"/>
  <c r="I8" i="105"/>
  <c r="N23" i="105"/>
  <c r="H23" i="105"/>
  <c r="I23" i="105"/>
  <c r="M23" i="105"/>
  <c r="I8" i="106"/>
  <c r="N23" i="106"/>
  <c r="H23" i="106"/>
  <c r="I23" i="106"/>
  <c r="M23" i="106"/>
  <c r="N23" i="107"/>
  <c r="H23" i="107"/>
  <c r="I23" i="107"/>
  <c r="M23" i="107"/>
  <c r="I8" i="110"/>
  <c r="N23" i="110"/>
  <c r="H23" i="110"/>
  <c r="I23" i="110"/>
  <c r="M23" i="110"/>
  <c r="N23" i="111"/>
  <c r="H23" i="111"/>
  <c r="I23" i="111"/>
  <c r="M23" i="111"/>
  <c r="N23" i="102"/>
  <c r="H23" i="102"/>
  <c r="I23" i="102"/>
  <c r="M23" i="102"/>
  <c r="M23" i="103"/>
  <c r="N23" i="103"/>
  <c r="H23" i="103"/>
  <c r="I23" i="103"/>
  <c r="N23" i="104"/>
  <c r="H23" i="104"/>
  <c r="I23" i="104"/>
  <c r="M23" i="104"/>
  <c r="K11" i="109"/>
  <c r="K7" i="107"/>
  <c r="N15" i="111"/>
  <c r="H15" i="111"/>
  <c r="I15" i="111"/>
  <c r="N15" i="113"/>
  <c r="H15" i="113"/>
  <c r="I15" i="113"/>
  <c r="N15" i="102"/>
  <c r="H15" i="102"/>
  <c r="I15" i="102"/>
  <c r="N15" i="107"/>
  <c r="H15" i="107"/>
  <c r="I15" i="107"/>
  <c r="N15" i="110"/>
  <c r="H15" i="110"/>
  <c r="I15" i="110"/>
  <c r="N15" i="115"/>
  <c r="H15" i="115"/>
  <c r="I15" i="115"/>
  <c r="N15" i="103"/>
  <c r="H15" i="103"/>
  <c r="I15" i="103"/>
  <c r="N15" i="105"/>
  <c r="H15" i="105"/>
  <c r="I15" i="105"/>
  <c r="N15" i="106"/>
  <c r="H15" i="106"/>
  <c r="I15" i="106"/>
  <c r="N15" i="101"/>
  <c r="H15" i="101"/>
  <c r="I15" i="101"/>
  <c r="N15" i="104"/>
  <c r="H15" i="104"/>
  <c r="I15" i="104"/>
  <c r="N15" i="108"/>
  <c r="H15" i="108"/>
  <c r="I15" i="108"/>
  <c r="N15" i="109"/>
  <c r="H15" i="109"/>
  <c r="I15" i="109"/>
  <c r="K11" i="108"/>
  <c r="K11" i="111"/>
  <c r="K11" i="115"/>
  <c r="K11" i="102"/>
  <c r="K11" i="101"/>
  <c r="K6" i="110"/>
  <c r="I6" i="101"/>
  <c r="I8" i="101"/>
  <c r="I8" i="102"/>
  <c r="I8" i="115"/>
  <c r="K7" i="106"/>
  <c r="K7" i="108"/>
  <c r="I9" i="110"/>
  <c r="K9" i="110"/>
  <c r="K7" i="113"/>
  <c r="I6" i="115"/>
  <c r="I7" i="115"/>
  <c r="K6" i="103"/>
  <c r="K11" i="105"/>
  <c r="I9" i="107"/>
  <c r="K9" i="107"/>
  <c r="I6" i="102"/>
  <c r="I9" i="103"/>
  <c r="K9" i="103"/>
  <c r="I9" i="106"/>
  <c r="K9" i="106"/>
  <c r="K11" i="106"/>
  <c r="K6" i="104"/>
  <c r="K7" i="105"/>
  <c r="I9" i="108"/>
  <c r="K9" i="108"/>
  <c r="K6" i="111"/>
  <c r="I9" i="101"/>
  <c r="K9" i="101"/>
  <c r="I9" i="102"/>
  <c r="K9" i="102"/>
  <c r="I9" i="104"/>
  <c r="K9" i="104"/>
  <c r="I6" i="109"/>
  <c r="K6" i="109"/>
  <c r="K7" i="101"/>
  <c r="K7" i="102"/>
  <c r="I7" i="104"/>
  <c r="I8" i="104"/>
  <c r="I8" i="107"/>
  <c r="I9" i="111"/>
  <c r="K9" i="111"/>
  <c r="I9" i="109"/>
  <c r="K9" i="109"/>
  <c r="K11" i="103"/>
  <c r="K11" i="104"/>
  <c r="K11" i="107"/>
  <c r="K11" i="113"/>
  <c r="I6" i="113"/>
  <c r="I8" i="113"/>
  <c r="I8" i="103"/>
  <c r="I7" i="103"/>
  <c r="I6" i="106"/>
  <c r="I6" i="107"/>
  <c r="I6" i="105"/>
  <c r="I9" i="105"/>
  <c r="K9" i="105"/>
  <c r="I7" i="109"/>
  <c r="I6" i="108"/>
  <c r="K11" i="110"/>
  <c r="I8" i="109"/>
  <c r="I7" i="110"/>
  <c r="I8" i="111"/>
  <c r="I30" i="87"/>
  <c r="I30" i="88"/>
  <c r="I30" i="90"/>
  <c r="I30" i="91"/>
  <c r="I30" i="95"/>
  <c r="I30" i="96"/>
  <c r="I30" i="98"/>
  <c r="I30" i="99"/>
  <c r="I30" i="100"/>
  <c r="I30" i="86"/>
  <c r="I32" i="84"/>
  <c r="K32" i="84"/>
  <c r="K8" i="113"/>
  <c r="K7" i="115"/>
  <c r="K6" i="115"/>
  <c r="K15" i="107"/>
  <c r="K15" i="104"/>
  <c r="K15" i="103"/>
  <c r="K15" i="102"/>
  <c r="K15" i="105"/>
  <c r="K15" i="101"/>
  <c r="K15" i="115"/>
  <c r="K15" i="113"/>
  <c r="K15" i="108"/>
  <c r="K15" i="109"/>
  <c r="K15" i="106"/>
  <c r="K15" i="110"/>
  <c r="K15" i="111"/>
  <c r="K6" i="113"/>
  <c r="K8" i="115"/>
  <c r="K27" i="115"/>
  <c r="K38" i="115"/>
  <c r="L39" i="1"/>
  <c r="K8" i="106"/>
  <c r="K6" i="102"/>
  <c r="K8" i="110"/>
  <c r="K8" i="105"/>
  <c r="K8" i="102"/>
  <c r="K8" i="108"/>
  <c r="K8" i="101"/>
  <c r="K8" i="111"/>
  <c r="K7" i="110"/>
  <c r="K8" i="109"/>
  <c r="K6" i="107"/>
  <c r="K8" i="104"/>
  <c r="K6" i="101"/>
  <c r="K8" i="107"/>
  <c r="K7" i="103"/>
  <c r="K7" i="104"/>
  <c r="K6" i="105"/>
  <c r="K6" i="108"/>
  <c r="K8" i="103"/>
  <c r="K7" i="109"/>
  <c r="K7" i="111"/>
  <c r="K6" i="106"/>
  <c r="C30" i="87"/>
  <c r="C30" i="88"/>
  <c r="C30" i="90"/>
  <c r="C30" i="91"/>
  <c r="C30" i="95"/>
  <c r="C30" i="96"/>
  <c r="C30" i="98"/>
  <c r="C30" i="99"/>
  <c r="C30" i="100"/>
  <c r="C30" i="86"/>
  <c r="C23" i="87"/>
  <c r="C23" i="88"/>
  <c r="C23" i="90"/>
  <c r="C23" i="91"/>
  <c r="C23" i="95"/>
  <c r="C23" i="96"/>
  <c r="C23" i="98"/>
  <c r="C23" i="99"/>
  <c r="C23" i="100"/>
  <c r="C23" i="86"/>
  <c r="C25" i="84"/>
  <c r="L8" i="100"/>
  <c r="L8" i="99"/>
  <c r="L8" i="98"/>
  <c r="M8" i="98"/>
  <c r="K27" i="110"/>
  <c r="K27" i="105"/>
  <c r="K27" i="104"/>
  <c r="K38" i="104"/>
  <c r="L29" i="1"/>
  <c r="K27" i="111"/>
  <c r="K38" i="111"/>
  <c r="L36" i="1"/>
  <c r="K27" i="113"/>
  <c r="K27" i="102"/>
  <c r="K27" i="109"/>
  <c r="K38" i="109"/>
  <c r="L34" i="1"/>
  <c r="K27" i="106"/>
  <c r="K38" i="106"/>
  <c r="K27" i="108"/>
  <c r="K27" i="107"/>
  <c r="K27" i="101"/>
  <c r="K27" i="103"/>
  <c r="K38" i="103"/>
  <c r="K26" i="115"/>
  <c r="K25" i="111"/>
  <c r="K36" i="111"/>
  <c r="J36" i="1"/>
  <c r="K25" i="103"/>
  <c r="K36" i="103"/>
  <c r="K25" i="106"/>
  <c r="K36" i="106"/>
  <c r="K25" i="113"/>
  <c r="K26" i="113"/>
  <c r="K26" i="102"/>
  <c r="K25" i="115"/>
  <c r="K26" i="104"/>
  <c r="K25" i="107"/>
  <c r="K25" i="109"/>
  <c r="K36" i="109"/>
  <c r="J34" i="1"/>
  <c r="K25" i="110"/>
  <c r="K25" i="104"/>
  <c r="K25" i="102"/>
  <c r="K25" i="101"/>
  <c r="K25" i="108"/>
  <c r="K25" i="105"/>
  <c r="K26" i="101"/>
  <c r="K26" i="111"/>
  <c r="K37" i="111"/>
  <c r="K36" i="1"/>
  <c r="K26" i="107"/>
  <c r="K26" i="110"/>
  <c r="K26" i="108"/>
  <c r="K26" i="105"/>
  <c r="K26" i="103"/>
  <c r="K37" i="103"/>
  <c r="K26" i="109"/>
  <c r="K37" i="109"/>
  <c r="K34" i="1"/>
  <c r="K26" i="106"/>
  <c r="K37" i="106"/>
  <c r="M6" i="98"/>
  <c r="I24" i="87"/>
  <c r="I24" i="88"/>
  <c r="I24" i="90"/>
  <c r="I24" i="91"/>
  <c r="I24" i="95"/>
  <c r="I24" i="96"/>
  <c r="I24" i="98"/>
  <c r="I24" i="99"/>
  <c r="I24" i="100"/>
  <c r="I24" i="86"/>
  <c r="I26" i="84"/>
  <c r="K26" i="84"/>
  <c r="K35" i="102"/>
  <c r="I27" i="1"/>
  <c r="K38" i="102"/>
  <c r="L27" i="1"/>
  <c r="K34" i="102"/>
  <c r="H27" i="1"/>
  <c r="K37" i="102"/>
  <c r="K27" i="1"/>
  <c r="K33" i="102"/>
  <c r="G27" i="1"/>
  <c r="K36" i="102"/>
  <c r="J27" i="1"/>
  <c r="K36" i="107"/>
  <c r="J32" i="1"/>
  <c r="K33" i="108"/>
  <c r="G33" i="1"/>
  <c r="K36" i="108"/>
  <c r="J33" i="1"/>
  <c r="K37" i="115"/>
  <c r="K39" i="1"/>
  <c r="K38" i="113"/>
  <c r="L38" i="1"/>
  <c r="K37" i="105"/>
  <c r="K30" i="1"/>
  <c r="K34" i="104"/>
  <c r="H29" i="1"/>
  <c r="K37" i="104"/>
  <c r="K29" i="1"/>
  <c r="K34" i="108"/>
  <c r="H33" i="1"/>
  <c r="K37" i="108"/>
  <c r="K33" i="1"/>
  <c r="K33" i="115"/>
  <c r="G39" i="1"/>
  <c r="K36" i="115"/>
  <c r="J39" i="1"/>
  <c r="K34" i="110"/>
  <c r="H35" i="1"/>
  <c r="K37" i="110"/>
  <c r="K35" i="1"/>
  <c r="K33" i="104"/>
  <c r="G29" i="1"/>
  <c r="K36" i="104"/>
  <c r="K34" i="113"/>
  <c r="H38" i="1"/>
  <c r="K37" i="113"/>
  <c r="K38" i="1"/>
  <c r="K38" i="107"/>
  <c r="L32" i="1"/>
  <c r="K38" i="105"/>
  <c r="L30" i="1"/>
  <c r="K33" i="105"/>
  <c r="G30" i="1"/>
  <c r="K36" i="105"/>
  <c r="J30" i="1"/>
  <c r="K34" i="107"/>
  <c r="H32" i="1"/>
  <c r="K37" i="107"/>
  <c r="K32" i="1"/>
  <c r="K33" i="110"/>
  <c r="G35" i="1"/>
  <c r="K36" i="110"/>
  <c r="J35" i="1"/>
  <c r="K36" i="113"/>
  <c r="J38" i="1"/>
  <c r="K35" i="108"/>
  <c r="I33" i="1"/>
  <c r="K38" i="108"/>
  <c r="L33" i="1"/>
  <c r="K38" i="110"/>
  <c r="L35" i="1"/>
  <c r="K34" i="101"/>
  <c r="H26" i="1"/>
  <c r="K37" i="101"/>
  <c r="K26" i="1"/>
  <c r="K38" i="101"/>
  <c r="L26" i="1"/>
  <c r="K36" i="101"/>
  <c r="J26" i="1"/>
  <c r="K35" i="113"/>
  <c r="I38" i="1"/>
  <c r="K34" i="115"/>
  <c r="H39" i="1"/>
  <c r="K35" i="115"/>
  <c r="I39" i="1"/>
  <c r="K35" i="110"/>
  <c r="I35" i="1"/>
  <c r="K33" i="113"/>
  <c r="G38" i="1"/>
  <c r="K35" i="101"/>
  <c r="I26" i="1"/>
  <c r="K33" i="107"/>
  <c r="G32" i="1"/>
  <c r="J29" i="1"/>
  <c r="K33" i="101"/>
  <c r="G26" i="1"/>
  <c r="K35" i="107"/>
  <c r="I32" i="1"/>
  <c r="K35" i="104"/>
  <c r="I29" i="1"/>
  <c r="K35" i="105"/>
  <c r="I30" i="1"/>
  <c r="K34" i="105"/>
  <c r="H30" i="1"/>
  <c r="J28" i="1"/>
  <c r="K33" i="103"/>
  <c r="G28" i="1"/>
  <c r="K35" i="103"/>
  <c r="I28" i="1"/>
  <c r="L28" i="1"/>
  <c r="K28" i="1"/>
  <c r="K34" i="103"/>
  <c r="H28" i="1"/>
  <c r="K35" i="109"/>
  <c r="I34" i="1"/>
  <c r="J31" i="1"/>
  <c r="K33" i="106"/>
  <c r="G31" i="1"/>
  <c r="K34" i="109"/>
  <c r="H34" i="1"/>
  <c r="K33" i="111"/>
  <c r="G36" i="1"/>
  <c r="L31" i="1"/>
  <c r="K35" i="106"/>
  <c r="I31" i="1"/>
  <c r="K35" i="111"/>
  <c r="I36" i="1"/>
  <c r="K31" i="1"/>
  <c r="K34" i="106"/>
  <c r="H31" i="1"/>
  <c r="K34" i="111"/>
  <c r="H36" i="1"/>
  <c r="K33" i="109"/>
  <c r="G34" i="1"/>
  <c r="M8" i="96"/>
  <c r="I18" i="99"/>
  <c r="K18" i="99"/>
  <c r="F9" i="91"/>
  <c r="F9" i="95"/>
  <c r="F9" i="96"/>
  <c r="F9" i="98"/>
  <c r="F9" i="99"/>
  <c r="F9" i="100"/>
  <c r="F9" i="90"/>
  <c r="F9" i="88"/>
  <c r="F9" i="87"/>
  <c r="F9" i="86"/>
  <c r="F9" i="84"/>
  <c r="P9" i="91"/>
  <c r="V9" i="91"/>
  <c r="O9" i="90"/>
  <c r="O9" i="96"/>
  <c r="H28" i="100"/>
  <c r="C22" i="100"/>
  <c r="I22" i="100"/>
  <c r="K22" i="100"/>
  <c r="C20" i="100"/>
  <c r="C19" i="100"/>
  <c r="H19" i="100"/>
  <c r="I19" i="100"/>
  <c r="K19" i="100"/>
  <c r="I18" i="100"/>
  <c r="K18" i="100"/>
  <c r="C17" i="100"/>
  <c r="C16" i="100"/>
  <c r="C15" i="100"/>
  <c r="H14" i="100"/>
  <c r="I14" i="100"/>
  <c r="K14" i="100"/>
  <c r="I12" i="100"/>
  <c r="K12" i="100"/>
  <c r="H11" i="100"/>
  <c r="I11" i="100"/>
  <c r="K11" i="100"/>
  <c r="C11" i="100"/>
  <c r="C14" i="100"/>
  <c r="C10" i="100"/>
  <c r="H10" i="100"/>
  <c r="I10" i="100"/>
  <c r="K10" i="100"/>
  <c r="H9" i="100"/>
  <c r="I9" i="100"/>
  <c r="C9" i="100"/>
  <c r="H8" i="100"/>
  <c r="I8" i="100"/>
  <c r="C8" i="100"/>
  <c r="H7" i="100"/>
  <c r="C7" i="100"/>
  <c r="H6" i="100"/>
  <c r="C6" i="100"/>
  <c r="H28" i="99"/>
  <c r="C22" i="99"/>
  <c r="I22" i="99"/>
  <c r="K22" i="99"/>
  <c r="C20" i="99"/>
  <c r="C19" i="99"/>
  <c r="H19" i="99"/>
  <c r="I19" i="99"/>
  <c r="K19" i="99"/>
  <c r="C17" i="99"/>
  <c r="C16" i="99"/>
  <c r="C15" i="99"/>
  <c r="H14" i="99"/>
  <c r="I14" i="99"/>
  <c r="K14" i="99"/>
  <c r="I12" i="99"/>
  <c r="K12" i="99"/>
  <c r="H11" i="99"/>
  <c r="I11" i="99"/>
  <c r="K11" i="99"/>
  <c r="C11" i="99"/>
  <c r="C14" i="99"/>
  <c r="C10" i="99"/>
  <c r="H10" i="99"/>
  <c r="I10" i="99"/>
  <c r="K10" i="99"/>
  <c r="H9" i="99"/>
  <c r="I9" i="99"/>
  <c r="C9" i="99"/>
  <c r="H8" i="99"/>
  <c r="I8" i="99"/>
  <c r="C8" i="99"/>
  <c r="H7" i="99"/>
  <c r="C7" i="99"/>
  <c r="H6" i="99"/>
  <c r="C6" i="99"/>
  <c r="H28" i="98"/>
  <c r="C22" i="98"/>
  <c r="I22" i="98"/>
  <c r="K22" i="98"/>
  <c r="C20" i="98"/>
  <c r="C19" i="98"/>
  <c r="H19" i="98"/>
  <c r="I19" i="98"/>
  <c r="K19" i="98"/>
  <c r="I18" i="98"/>
  <c r="K18" i="98"/>
  <c r="C17" i="98"/>
  <c r="C16" i="98"/>
  <c r="C15" i="98"/>
  <c r="H14" i="98"/>
  <c r="I14" i="98"/>
  <c r="K14" i="98"/>
  <c r="C12" i="98"/>
  <c r="H12" i="98"/>
  <c r="I12" i="98"/>
  <c r="K12" i="98"/>
  <c r="H11" i="98"/>
  <c r="I11" i="98"/>
  <c r="K11" i="98"/>
  <c r="C11" i="98"/>
  <c r="C14" i="98"/>
  <c r="C10" i="98"/>
  <c r="H10" i="98"/>
  <c r="I10" i="98"/>
  <c r="K10" i="98"/>
  <c r="H9" i="98"/>
  <c r="I9" i="98"/>
  <c r="C9" i="98"/>
  <c r="H8" i="98"/>
  <c r="I8" i="98"/>
  <c r="C8" i="98"/>
  <c r="H7" i="98"/>
  <c r="C7" i="98"/>
  <c r="H6" i="98"/>
  <c r="C6" i="98"/>
  <c r="H28" i="96"/>
  <c r="I22" i="96"/>
  <c r="K22" i="96"/>
  <c r="C20" i="96"/>
  <c r="H20" i="96"/>
  <c r="C19" i="96"/>
  <c r="H19" i="96"/>
  <c r="I19" i="96"/>
  <c r="K19" i="96"/>
  <c r="I18" i="96"/>
  <c r="K18" i="96"/>
  <c r="C17" i="96"/>
  <c r="C16" i="96"/>
  <c r="C15" i="96"/>
  <c r="H14" i="96"/>
  <c r="I14" i="96"/>
  <c r="K14" i="96"/>
  <c r="C12" i="96"/>
  <c r="H12" i="96"/>
  <c r="I12" i="96"/>
  <c r="K12" i="96"/>
  <c r="H11" i="96"/>
  <c r="I11" i="96"/>
  <c r="C11" i="96"/>
  <c r="C14" i="96"/>
  <c r="C10" i="96"/>
  <c r="H10" i="96"/>
  <c r="I10" i="96"/>
  <c r="K10" i="96"/>
  <c r="H9" i="96"/>
  <c r="I9" i="96"/>
  <c r="C9" i="96"/>
  <c r="H8" i="96"/>
  <c r="I8" i="96"/>
  <c r="C8" i="96"/>
  <c r="H7" i="96"/>
  <c r="C7" i="96"/>
  <c r="H6" i="96"/>
  <c r="C6" i="96"/>
  <c r="H28" i="95"/>
  <c r="C22" i="95"/>
  <c r="I22" i="95"/>
  <c r="K22" i="95"/>
  <c r="C20" i="95"/>
  <c r="H20" i="95"/>
  <c r="C19" i="95"/>
  <c r="H19" i="95"/>
  <c r="I19" i="95"/>
  <c r="K19" i="95"/>
  <c r="I18" i="95"/>
  <c r="K18" i="95"/>
  <c r="C17" i="95"/>
  <c r="C16" i="95"/>
  <c r="C15" i="95"/>
  <c r="H14" i="95"/>
  <c r="I14" i="95"/>
  <c r="K14" i="95"/>
  <c r="C12" i="95"/>
  <c r="H12" i="95"/>
  <c r="I12" i="95"/>
  <c r="K12" i="95"/>
  <c r="H11" i="95"/>
  <c r="I11" i="95"/>
  <c r="C11" i="95"/>
  <c r="C14" i="95"/>
  <c r="C10" i="95"/>
  <c r="H10" i="95"/>
  <c r="I10" i="95"/>
  <c r="K10" i="95"/>
  <c r="H9" i="95"/>
  <c r="I9" i="95"/>
  <c r="C9" i="95"/>
  <c r="H8" i="95"/>
  <c r="I8" i="95"/>
  <c r="C8" i="95"/>
  <c r="H7" i="95"/>
  <c r="C7" i="95"/>
  <c r="H6" i="95"/>
  <c r="C6" i="95"/>
  <c r="H28" i="91"/>
  <c r="C22" i="91"/>
  <c r="I22" i="91"/>
  <c r="K22" i="91"/>
  <c r="C20" i="91"/>
  <c r="H20" i="91"/>
  <c r="C19" i="91"/>
  <c r="H19" i="91"/>
  <c r="I19" i="91"/>
  <c r="K19" i="91"/>
  <c r="I18" i="91"/>
  <c r="K18" i="91"/>
  <c r="C17" i="91"/>
  <c r="C16" i="91"/>
  <c r="C15" i="91"/>
  <c r="H14" i="91"/>
  <c r="I14" i="91"/>
  <c r="K14" i="91"/>
  <c r="C12" i="91"/>
  <c r="H12" i="91"/>
  <c r="I12" i="91"/>
  <c r="K12" i="91"/>
  <c r="H11" i="91"/>
  <c r="I11" i="91"/>
  <c r="K11" i="91"/>
  <c r="C11" i="91"/>
  <c r="C14" i="91"/>
  <c r="C10" i="91"/>
  <c r="H10" i="91"/>
  <c r="I10" i="91"/>
  <c r="K10" i="91"/>
  <c r="H9" i="91"/>
  <c r="I9" i="91"/>
  <c r="C9" i="91"/>
  <c r="H8" i="91"/>
  <c r="I8" i="91"/>
  <c r="C8" i="91"/>
  <c r="H7" i="91"/>
  <c r="C7" i="91"/>
  <c r="H6" i="91"/>
  <c r="C6" i="91"/>
  <c r="H28" i="90"/>
  <c r="C22" i="90"/>
  <c r="I22" i="90"/>
  <c r="K22" i="90"/>
  <c r="C20" i="90"/>
  <c r="H20" i="90"/>
  <c r="C19" i="90"/>
  <c r="H19" i="90"/>
  <c r="I19" i="90"/>
  <c r="K19" i="90"/>
  <c r="I18" i="90"/>
  <c r="K18" i="90"/>
  <c r="C17" i="90"/>
  <c r="C16" i="90"/>
  <c r="C15" i="90"/>
  <c r="H14" i="90"/>
  <c r="I14" i="90"/>
  <c r="K14" i="90"/>
  <c r="C12" i="90"/>
  <c r="H12" i="90"/>
  <c r="I12" i="90"/>
  <c r="K12" i="90"/>
  <c r="H11" i="90"/>
  <c r="I11" i="90"/>
  <c r="K11" i="90"/>
  <c r="C11" i="90"/>
  <c r="C14" i="90"/>
  <c r="C10" i="90"/>
  <c r="H10" i="90"/>
  <c r="I10" i="90"/>
  <c r="K10" i="90"/>
  <c r="H9" i="90"/>
  <c r="I9" i="90"/>
  <c r="C9" i="90"/>
  <c r="H8" i="90"/>
  <c r="I8" i="90"/>
  <c r="C8" i="90"/>
  <c r="H7" i="90"/>
  <c r="C7" i="90"/>
  <c r="H6" i="90"/>
  <c r="C6" i="90"/>
  <c r="I28" i="91"/>
  <c r="K32" i="91"/>
  <c r="I28" i="100"/>
  <c r="K32" i="100"/>
  <c r="I28" i="90"/>
  <c r="K32" i="90"/>
  <c r="I28" i="96"/>
  <c r="K32" i="96"/>
  <c r="I28" i="98"/>
  <c r="K32" i="98"/>
  <c r="I28" i="95"/>
  <c r="K32" i="95"/>
  <c r="I28" i="99"/>
  <c r="K32" i="99"/>
  <c r="N23" i="96"/>
  <c r="M23" i="96"/>
  <c r="N23" i="95"/>
  <c r="M23" i="95"/>
  <c r="N23" i="100"/>
  <c r="M23" i="100"/>
  <c r="N23" i="91"/>
  <c r="M23" i="91"/>
  <c r="N23" i="99"/>
  <c r="M23" i="99"/>
  <c r="N23" i="90"/>
  <c r="M23" i="90"/>
  <c r="N23" i="98"/>
  <c r="M23" i="98"/>
  <c r="I6" i="100"/>
  <c r="I7" i="98"/>
  <c r="I7" i="99"/>
  <c r="I6" i="90"/>
  <c r="K8" i="96"/>
  <c r="H20" i="100"/>
  <c r="I20" i="100"/>
  <c r="K20" i="100"/>
  <c r="H20" i="98"/>
  <c r="I20" i="98"/>
  <c r="K20" i="98"/>
  <c r="H20" i="99"/>
  <c r="I20" i="99"/>
  <c r="K20" i="99"/>
  <c r="I7" i="90"/>
  <c r="K8" i="90"/>
  <c r="I6" i="91"/>
  <c r="I6" i="98"/>
  <c r="I6" i="99"/>
  <c r="I7" i="100"/>
  <c r="I20" i="91"/>
  <c r="K20" i="91"/>
  <c r="I20" i="90"/>
  <c r="K20" i="90"/>
  <c r="I20" i="96"/>
  <c r="K20" i="96"/>
  <c r="I20" i="95"/>
  <c r="K20" i="95"/>
  <c r="K8" i="99"/>
  <c r="K8" i="91"/>
  <c r="K8" i="95"/>
  <c r="K8" i="100"/>
  <c r="K8" i="98"/>
  <c r="K11" i="96"/>
  <c r="K11" i="95"/>
  <c r="K9" i="98"/>
  <c r="K9" i="99"/>
  <c r="K9" i="90"/>
  <c r="K9" i="100"/>
  <c r="K9" i="95"/>
  <c r="K9" i="96"/>
  <c r="I6" i="95"/>
  <c r="I6" i="96"/>
  <c r="I7" i="95"/>
  <c r="I7" i="96"/>
  <c r="K9" i="91"/>
  <c r="I7" i="91"/>
  <c r="K6" i="95"/>
  <c r="K6" i="91"/>
  <c r="K7" i="98"/>
  <c r="K7" i="91"/>
  <c r="H23" i="91"/>
  <c r="I23" i="91"/>
  <c r="H23" i="100"/>
  <c r="I23" i="100"/>
  <c r="H23" i="98"/>
  <c r="I23" i="98"/>
  <c r="H23" i="96"/>
  <c r="I23" i="96"/>
  <c r="H23" i="90"/>
  <c r="I23" i="90"/>
  <c r="K7" i="96"/>
  <c r="H23" i="99"/>
  <c r="I23" i="99"/>
  <c r="H23" i="95"/>
  <c r="I23" i="95"/>
  <c r="K6" i="98"/>
  <c r="K6" i="99"/>
  <c r="K6" i="100"/>
  <c r="K7" i="95"/>
  <c r="K7" i="99"/>
  <c r="K6" i="96"/>
  <c r="K6" i="90"/>
  <c r="K7" i="100"/>
  <c r="K7" i="90"/>
  <c r="H28" i="88"/>
  <c r="C22" i="88"/>
  <c r="I22" i="88"/>
  <c r="K22" i="88"/>
  <c r="C20" i="88"/>
  <c r="C19" i="88"/>
  <c r="H19" i="88"/>
  <c r="I19" i="88"/>
  <c r="K19" i="88"/>
  <c r="I18" i="88"/>
  <c r="K18" i="88"/>
  <c r="C17" i="88"/>
  <c r="C16" i="88"/>
  <c r="C15" i="88"/>
  <c r="H14" i="88"/>
  <c r="I14" i="88"/>
  <c r="K14" i="88"/>
  <c r="C12" i="88"/>
  <c r="H12" i="88"/>
  <c r="I12" i="88"/>
  <c r="K12" i="88"/>
  <c r="H11" i="88"/>
  <c r="I11" i="88"/>
  <c r="K11" i="88"/>
  <c r="C11" i="88"/>
  <c r="C14" i="88"/>
  <c r="C10" i="88"/>
  <c r="H10" i="88"/>
  <c r="I10" i="88"/>
  <c r="K10" i="88"/>
  <c r="H9" i="88"/>
  <c r="I9" i="88"/>
  <c r="C9" i="88"/>
  <c r="H8" i="88"/>
  <c r="I8" i="88"/>
  <c r="C8" i="88"/>
  <c r="H7" i="88"/>
  <c r="C7" i="88"/>
  <c r="H6" i="88"/>
  <c r="I6" i="88"/>
  <c r="C6" i="88"/>
  <c r="F6" i="86"/>
  <c r="H28" i="87"/>
  <c r="C22" i="87"/>
  <c r="I22" i="87"/>
  <c r="K22" i="87"/>
  <c r="C20" i="87"/>
  <c r="C19" i="87"/>
  <c r="H19" i="87"/>
  <c r="I19" i="87"/>
  <c r="K19" i="87"/>
  <c r="I18" i="87"/>
  <c r="K18" i="87"/>
  <c r="C17" i="87"/>
  <c r="C16" i="87"/>
  <c r="C15" i="87"/>
  <c r="H14" i="87"/>
  <c r="I14" i="87"/>
  <c r="K14" i="87"/>
  <c r="C12" i="87"/>
  <c r="H12" i="87"/>
  <c r="I12" i="87"/>
  <c r="K12" i="87"/>
  <c r="H11" i="87"/>
  <c r="I11" i="87"/>
  <c r="K11" i="87"/>
  <c r="C11" i="87"/>
  <c r="C14" i="87"/>
  <c r="C10" i="87"/>
  <c r="H10" i="87"/>
  <c r="I10" i="87"/>
  <c r="K10" i="87"/>
  <c r="H9" i="87"/>
  <c r="I9" i="87"/>
  <c r="C9" i="87"/>
  <c r="H8" i="87"/>
  <c r="I8" i="87"/>
  <c r="C8" i="87"/>
  <c r="H7" i="87"/>
  <c r="C7" i="87"/>
  <c r="H6" i="87"/>
  <c r="I6" i="87"/>
  <c r="C6" i="87"/>
  <c r="H28" i="86"/>
  <c r="I22" i="86"/>
  <c r="K22" i="86"/>
  <c r="C20" i="86"/>
  <c r="C19" i="86"/>
  <c r="H19" i="86"/>
  <c r="I19" i="86"/>
  <c r="K19" i="86"/>
  <c r="I18" i="86"/>
  <c r="K18" i="86"/>
  <c r="C17" i="86"/>
  <c r="C16" i="86"/>
  <c r="C15" i="86"/>
  <c r="H14" i="86"/>
  <c r="I14" i="86"/>
  <c r="K14" i="86"/>
  <c r="C12" i="86"/>
  <c r="H12" i="86"/>
  <c r="I12" i="86"/>
  <c r="K12" i="86"/>
  <c r="H11" i="86"/>
  <c r="I11" i="86"/>
  <c r="K11" i="86"/>
  <c r="C11" i="86"/>
  <c r="C14" i="86"/>
  <c r="C10" i="86"/>
  <c r="H10" i="86"/>
  <c r="I10" i="86"/>
  <c r="K10" i="86"/>
  <c r="H9" i="86"/>
  <c r="I9" i="86"/>
  <c r="C9" i="86"/>
  <c r="H8" i="86"/>
  <c r="I8" i="86"/>
  <c r="C8" i="86"/>
  <c r="H7" i="86"/>
  <c r="C7" i="86"/>
  <c r="H6" i="86"/>
  <c r="C6" i="86"/>
  <c r="J40" i="84"/>
  <c r="J39" i="84"/>
  <c r="J38" i="84"/>
  <c r="C22" i="84"/>
  <c r="C21" i="84"/>
  <c r="C32" i="84"/>
  <c r="C24" i="84"/>
  <c r="I24" i="84"/>
  <c r="K24" i="84"/>
  <c r="K23" i="84"/>
  <c r="I18" i="84"/>
  <c r="K18" i="84"/>
  <c r="I19" i="84"/>
  <c r="K19" i="84"/>
  <c r="C30" i="84"/>
  <c r="H30" i="84"/>
  <c r="I30" i="84"/>
  <c r="K30" i="84"/>
  <c r="K34" i="84"/>
  <c r="C20" i="84"/>
  <c r="C19" i="84"/>
  <c r="C18" i="84"/>
  <c r="C17" i="84"/>
  <c r="C16" i="84"/>
  <c r="C15" i="84"/>
  <c r="C12" i="84"/>
  <c r="H12" i="84"/>
  <c r="I12" i="84"/>
  <c r="K12" i="84"/>
  <c r="H14" i="84"/>
  <c r="I14" i="84"/>
  <c r="K14" i="84"/>
  <c r="J11" i="84"/>
  <c r="N8" i="84"/>
  <c r="C10" i="84"/>
  <c r="J10" i="84"/>
  <c r="K10" i="84"/>
  <c r="C11" i="84"/>
  <c r="C14" i="84"/>
  <c r="C9" i="84"/>
  <c r="J9" i="84"/>
  <c r="C8" i="84"/>
  <c r="C7" i="84"/>
  <c r="C6" i="84"/>
  <c r="H11" i="84"/>
  <c r="I11" i="84"/>
  <c r="H9" i="84"/>
  <c r="I9" i="84"/>
  <c r="H8" i="84"/>
  <c r="I8" i="84"/>
  <c r="H7" i="84"/>
  <c r="H6" i="84"/>
  <c r="K27" i="98"/>
  <c r="I6" i="86"/>
  <c r="K27" i="95"/>
  <c r="K26" i="96"/>
  <c r="K27" i="99"/>
  <c r="K25" i="95"/>
  <c r="K25" i="98"/>
  <c r="K25" i="96"/>
  <c r="K27" i="90"/>
  <c r="K27" i="96"/>
  <c r="K27" i="91"/>
  <c r="K26" i="91"/>
  <c r="K25" i="91"/>
  <c r="K26" i="95"/>
  <c r="K26" i="98"/>
  <c r="K26" i="90"/>
  <c r="K26" i="99"/>
  <c r="K11" i="84"/>
  <c r="K25" i="99"/>
  <c r="K25" i="100"/>
  <c r="K27" i="100"/>
  <c r="K25" i="90"/>
  <c r="K26" i="100"/>
  <c r="I28" i="87"/>
  <c r="K32" i="87"/>
  <c r="I28" i="88"/>
  <c r="K32" i="88"/>
  <c r="I28" i="86"/>
  <c r="K32" i="86"/>
  <c r="N23" i="86"/>
  <c r="M23" i="86"/>
  <c r="K6" i="88"/>
  <c r="N23" i="88"/>
  <c r="M23" i="88"/>
  <c r="K6" i="87"/>
  <c r="M23" i="87"/>
  <c r="N23" i="87"/>
  <c r="N25" i="84"/>
  <c r="M25" i="84"/>
  <c r="J7" i="84"/>
  <c r="I6" i="84"/>
  <c r="K9" i="84"/>
  <c r="I7" i="87"/>
  <c r="J6" i="84"/>
  <c r="I7" i="84"/>
  <c r="K8" i="86"/>
  <c r="H20" i="87"/>
  <c r="I20" i="87"/>
  <c r="K20" i="87"/>
  <c r="K6" i="86"/>
  <c r="I7" i="88"/>
  <c r="H20" i="88"/>
  <c r="I20" i="88"/>
  <c r="K20" i="88"/>
  <c r="H20" i="84"/>
  <c r="I20" i="84"/>
  <c r="K20" i="84"/>
  <c r="I7" i="86"/>
  <c r="H20" i="86"/>
  <c r="I20" i="86"/>
  <c r="K20" i="86"/>
  <c r="K9" i="86"/>
  <c r="K9" i="88"/>
  <c r="K8" i="87"/>
  <c r="K8" i="88"/>
  <c r="J8" i="84"/>
  <c r="K8" i="84"/>
  <c r="K9" i="87"/>
  <c r="J22" i="1"/>
  <c r="K36" i="96"/>
  <c r="J21" i="1"/>
  <c r="L17" i="1"/>
  <c r="K33" i="98"/>
  <c r="G23" i="1"/>
  <c r="K36" i="98"/>
  <c r="J23" i="1"/>
  <c r="J17" i="1"/>
  <c r="K36" i="95"/>
  <c r="J20" i="1"/>
  <c r="K34" i="98"/>
  <c r="H23" i="1"/>
  <c r="K37" i="98"/>
  <c r="K23" i="1"/>
  <c r="H17" i="1"/>
  <c r="K35" i="99"/>
  <c r="I24" i="1"/>
  <c r="K38" i="99"/>
  <c r="L24" i="1"/>
  <c r="K34" i="100"/>
  <c r="H25" i="1"/>
  <c r="K37" i="100"/>
  <c r="K25" i="1"/>
  <c r="K36" i="90"/>
  <c r="J18" i="1"/>
  <c r="K34" i="95"/>
  <c r="H20" i="1"/>
  <c r="K37" i="95"/>
  <c r="K20" i="1"/>
  <c r="I22" i="1"/>
  <c r="L22" i="1"/>
  <c r="K37" i="96"/>
  <c r="K21" i="1"/>
  <c r="K34" i="90"/>
  <c r="H18" i="1"/>
  <c r="K37" i="90"/>
  <c r="K18" i="1"/>
  <c r="K35" i="100"/>
  <c r="I25" i="1"/>
  <c r="K38" i="100"/>
  <c r="L25" i="1"/>
  <c r="K36" i="91"/>
  <c r="J19" i="1"/>
  <c r="H22" i="1"/>
  <c r="K22" i="1"/>
  <c r="K35" i="95"/>
  <c r="I20" i="1"/>
  <c r="K38" i="95"/>
  <c r="L20" i="1"/>
  <c r="K33" i="100"/>
  <c r="G25" i="1"/>
  <c r="K36" i="100"/>
  <c r="J25" i="1"/>
  <c r="K34" i="91"/>
  <c r="H19" i="1"/>
  <c r="K37" i="91"/>
  <c r="K19" i="1"/>
  <c r="K35" i="96"/>
  <c r="I21" i="1"/>
  <c r="K38" i="96"/>
  <c r="L21" i="1"/>
  <c r="K37" i="99"/>
  <c r="K24" i="1"/>
  <c r="K33" i="99"/>
  <c r="G24" i="1"/>
  <c r="K36" i="99"/>
  <c r="J24" i="1"/>
  <c r="K38" i="91"/>
  <c r="L19" i="1"/>
  <c r="K35" i="90"/>
  <c r="I18" i="1"/>
  <c r="K38" i="90"/>
  <c r="L18" i="1"/>
  <c r="K35" i="98"/>
  <c r="I23" i="1"/>
  <c r="K38" i="98"/>
  <c r="L23" i="1"/>
  <c r="I17" i="1"/>
  <c r="K34" i="96"/>
  <c r="H21" i="1"/>
  <c r="K33" i="95"/>
  <c r="G20" i="1"/>
  <c r="K33" i="91"/>
  <c r="G19" i="1"/>
  <c r="K34" i="99"/>
  <c r="H24" i="1"/>
  <c r="G22" i="1"/>
  <c r="K35" i="91"/>
  <c r="I19" i="1"/>
  <c r="K17" i="1"/>
  <c r="K33" i="96"/>
  <c r="G21" i="1"/>
  <c r="K7" i="86"/>
  <c r="G17" i="1"/>
  <c r="H23" i="86"/>
  <c r="I23" i="86"/>
  <c r="H25" i="84"/>
  <c r="I25" i="84"/>
  <c r="K25" i="84"/>
  <c r="H23" i="87"/>
  <c r="I23" i="87"/>
  <c r="H23" i="88"/>
  <c r="I23" i="88"/>
  <c r="K33" i="90"/>
  <c r="G18" i="1"/>
  <c r="K7" i="88"/>
  <c r="K7" i="87"/>
  <c r="K7" i="84"/>
  <c r="K6" i="84"/>
  <c r="K25" i="86"/>
  <c r="K27" i="86"/>
  <c r="K26" i="86"/>
  <c r="K27" i="88"/>
  <c r="K25" i="88"/>
  <c r="K26" i="87"/>
  <c r="K26" i="88"/>
  <c r="K27" i="84"/>
  <c r="K38" i="84"/>
  <c r="K27" i="87"/>
  <c r="K25" i="87"/>
  <c r="K28" i="84"/>
  <c r="K39" i="84"/>
  <c r="K29" i="84"/>
  <c r="K40" i="84"/>
  <c r="K34" i="88"/>
  <c r="H16" i="1"/>
  <c r="K37" i="88"/>
  <c r="K16" i="1"/>
  <c r="K38" i="88"/>
  <c r="L16" i="1"/>
  <c r="K36" i="88"/>
  <c r="J16" i="1"/>
  <c r="K33" i="87"/>
  <c r="G15" i="1"/>
  <c r="K36" i="87"/>
  <c r="J15" i="1"/>
  <c r="K35" i="86"/>
  <c r="I14" i="1"/>
  <c r="K38" i="86"/>
  <c r="L14" i="1"/>
  <c r="K34" i="87"/>
  <c r="H15" i="1"/>
  <c r="K37" i="87"/>
  <c r="K15" i="1"/>
  <c r="K34" i="86"/>
  <c r="H14" i="1"/>
  <c r="K37" i="86"/>
  <c r="K14" i="1"/>
  <c r="K35" i="87"/>
  <c r="I15" i="1"/>
  <c r="K38" i="87"/>
  <c r="L15" i="1"/>
  <c r="K36" i="86"/>
  <c r="J14" i="1"/>
  <c r="K33" i="86"/>
  <c r="G14" i="1"/>
  <c r="K33" i="88"/>
  <c r="G16" i="1"/>
  <c r="K35" i="88"/>
  <c r="I16" i="1"/>
  <c r="K35" i="84"/>
  <c r="K37" i="84"/>
  <c r="K36" i="8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</authors>
  <commentList>
    <comment ref="R5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TEST </t>
        </r>
        <r>
          <rPr>
            <sz val="9"/>
            <color indexed="81"/>
            <rFont val="돋움"/>
            <family val="3"/>
            <charset val="129"/>
          </rPr>
          <t>압력</t>
        </r>
        <r>
          <rPr>
            <sz val="9"/>
            <color indexed="81"/>
            <rFont val="Tahoma"/>
            <family val="2"/>
          </rPr>
          <t xml:space="preserve"> 11BAR </t>
        </r>
        <r>
          <rPr>
            <sz val="9"/>
            <color indexed="81"/>
            <rFont val="돋움"/>
            <family val="3"/>
            <charset val="129"/>
          </rPr>
          <t>초과시</t>
        </r>
        <r>
          <rPr>
            <sz val="9"/>
            <color indexed="81"/>
            <rFont val="Tahoma"/>
            <family val="2"/>
          </rPr>
          <t xml:space="preserve">(150A </t>
        </r>
        <r>
          <rPr>
            <sz val="9"/>
            <color indexed="81"/>
            <rFont val="돋움"/>
            <family val="3"/>
            <charset val="129"/>
          </rPr>
          <t>까지는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>)</t>
        </r>
      </text>
    </comment>
    <comment ref="L9" authorId="0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9" authorId="0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</t>
        </r>
      </text>
    </comment>
    <comment ref="N9" authorId="0" shapeId="0" xr:uid="{00000000-0006-0000-0200-00000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SUS/CA15</t>
        </r>
      </text>
    </comment>
    <comment ref="O9" authorId="0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4A</t>
        </r>
      </text>
    </comment>
    <comment ref="P9" authorId="0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지정
</t>
        </r>
      </text>
    </comment>
    <comment ref="L10" authorId="0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0" authorId="0" shapeId="0" xr:uid="{00000000-0006-0000-0200-00000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0" authorId="0" shapeId="0" xr:uid="{00000000-0006-0000-0200-00000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STEAM SILICONE</t>
        </r>
      </text>
    </comment>
    <comment ref="O10" authorId="0" shapeId="0" xr:uid="{00000000-0006-0000-0200-00000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HYPALON</t>
        </r>
      </text>
    </comment>
    <comment ref="P10" authorId="0" shapeId="0" xr:uid="{00000000-0006-0000-0200-00000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CHLORPRENE</t>
        </r>
      </text>
    </comment>
    <comment ref="M11" authorId="0" shapeId="0" xr:uid="{00000000-0006-0000-0200-00000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비에스텍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완가공비</t>
        </r>
      </text>
    </comment>
    <comment ref="N11" authorId="0" shapeId="0" xr:uid="{00000000-0006-0000-0200-00000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가공비</t>
        </r>
      </text>
    </comment>
    <comment ref="L12" authorId="0" shapeId="0" xr:uid="{00000000-0006-0000-0200-00000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2" authorId="0" shapeId="0" xr:uid="{00000000-0006-0000-0200-00000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2" authorId="0" shapeId="0" xr:uid="{00000000-0006-0000-0200-00001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ACETAL</t>
        </r>
      </text>
    </comment>
    <comment ref="L14" authorId="0" shapeId="0" xr:uid="{00000000-0006-0000-0200-00001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성강정밀</t>
        </r>
        <r>
          <rPr>
            <sz val="9"/>
            <color indexed="81"/>
            <rFont val="Tahoma"/>
            <family val="2"/>
          </rPr>
          <t xml:space="preserve">
304/316/410</t>
        </r>
      </text>
    </comment>
    <comment ref="M18" authorId="0" shapeId="0" xr:uid="{00000000-0006-0000-0200-00001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
A240T304</t>
        </r>
      </text>
    </comment>
    <comment ref="M19" authorId="0" shapeId="0" xr:uid="{00000000-0006-0000-0200-00001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9" authorId="0" shapeId="0" xr:uid="{00000000-0006-0000-0200-00001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M20" authorId="0" shapeId="0" xr:uid="{00000000-0006-0000-0200-00001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20" authorId="0" shapeId="0" xr:uid="{00000000-0006-0000-0200-00001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20" authorId="0" shapeId="0" xr:uid="{00000000-0006-0000-0200-00001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21" authorId="0" shapeId="0" xr:uid="{00000000-0006-0000-0200-00001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</t>
        </r>
      </text>
    </comment>
    <comment ref="M21" authorId="0" shapeId="0" xr:uid="{00000000-0006-0000-0200-00001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SUS304</t>
        </r>
      </text>
    </comment>
    <comment ref="L22" authorId="0" shapeId="0" xr:uid="{00000000-0006-0000-0200-00001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PIYAKE
</t>
        </r>
      </text>
    </comment>
    <comment ref="M22" authorId="0" shapeId="0" xr:uid="{00000000-0006-0000-0200-00001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 BAR</t>
        </r>
      </text>
    </comment>
    <comment ref="N22" authorId="0" shapeId="0" xr:uid="{00000000-0006-0000-0200-00001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O22" authorId="0" shapeId="0" xr:uid="{00000000-0006-0000-0200-00001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L23" authorId="0" shapeId="0" xr:uid="{00000000-0006-0000-0200-00001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M23" authorId="0" shapeId="0" xr:uid="{00000000-0006-0000-0200-00001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*2Coating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520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N23" authorId="0" shapeId="0" xr:uid="{00000000-0006-0000-0200-00002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*3Coating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620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24" authorId="0" shapeId="0" xr:uid="{00000000-0006-0000-0200-00002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L30" authorId="0" shapeId="0" xr:uid="{00000000-0006-0000-0200-00002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30" authorId="0" shapeId="0" xr:uid="{00000000-0006-0000-0200-00002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BARE/LEVER</t>
        </r>
      </text>
    </comment>
    <comment ref="N30" authorId="0" shapeId="0" xr:uid="{00000000-0006-0000-0200-00002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GEAR</t>
        </r>
      </text>
    </comment>
    <comment ref="O30" authorId="0" shapeId="0" xr:uid="{00000000-0006-0000-0200-00002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MOTOR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</authors>
  <commentList>
    <comment ref="R5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TEST </t>
        </r>
        <r>
          <rPr>
            <sz val="9"/>
            <color indexed="81"/>
            <rFont val="돋움"/>
            <family val="3"/>
            <charset val="129"/>
          </rPr>
          <t>압력</t>
        </r>
        <r>
          <rPr>
            <sz val="9"/>
            <color indexed="81"/>
            <rFont val="Tahoma"/>
            <family val="2"/>
          </rPr>
          <t xml:space="preserve"> 11BAR </t>
        </r>
        <r>
          <rPr>
            <sz val="9"/>
            <color indexed="81"/>
            <rFont val="돋움"/>
            <family val="3"/>
            <charset val="129"/>
          </rPr>
          <t>초과시</t>
        </r>
        <r>
          <rPr>
            <sz val="9"/>
            <color indexed="81"/>
            <rFont val="Tahoma"/>
            <family val="2"/>
          </rPr>
          <t xml:space="preserve">(150A </t>
        </r>
        <r>
          <rPr>
            <sz val="9"/>
            <color indexed="81"/>
            <rFont val="돋움"/>
            <family val="3"/>
            <charset val="129"/>
          </rPr>
          <t>까지는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>)</t>
        </r>
      </text>
    </comment>
    <comment ref="L9" authorId="0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9" authorId="0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</t>
        </r>
      </text>
    </comment>
    <comment ref="N9" authorId="0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SUS/CA15</t>
        </r>
      </text>
    </comment>
    <comment ref="O9" authorId="0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4A</t>
        </r>
      </text>
    </comment>
    <comment ref="P9" authorId="0" shapeId="0" xr:uid="{00000000-0006-0000-0300-00000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지정
</t>
        </r>
      </text>
    </comment>
    <comment ref="L10" authorId="0" shapeId="0" xr:uid="{00000000-0006-0000-0300-00000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0" authorId="0" shapeId="0" xr:uid="{00000000-0006-0000-0300-00000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0" authorId="0" shapeId="0" xr:uid="{00000000-0006-0000-0300-00000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STEAM SILICONE</t>
        </r>
      </text>
    </comment>
    <comment ref="O10" authorId="0" shapeId="0" xr:uid="{00000000-0006-0000-0300-00000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HYPALON</t>
        </r>
      </text>
    </comment>
    <comment ref="P10" authorId="0" shapeId="0" xr:uid="{00000000-0006-0000-0300-00000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CHLORPRENE</t>
        </r>
      </text>
    </comment>
    <comment ref="M11" authorId="0" shapeId="0" xr:uid="{00000000-0006-0000-0300-00000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비에스텍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완가공비</t>
        </r>
      </text>
    </comment>
    <comment ref="N11" authorId="0" shapeId="0" xr:uid="{00000000-0006-0000-0300-00000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가공비</t>
        </r>
      </text>
    </comment>
    <comment ref="L12" authorId="0" shapeId="0" xr:uid="{00000000-0006-0000-0300-00000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2" authorId="0" shapeId="0" xr:uid="{00000000-0006-0000-0300-00000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2" authorId="0" shapeId="0" xr:uid="{00000000-0006-0000-0300-00001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ACETAL</t>
        </r>
      </text>
    </comment>
    <comment ref="L14" authorId="0" shapeId="0" xr:uid="{00000000-0006-0000-0300-00001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성강정밀</t>
        </r>
        <r>
          <rPr>
            <sz val="9"/>
            <color indexed="81"/>
            <rFont val="Tahoma"/>
            <family val="2"/>
          </rPr>
          <t xml:space="preserve">
304/316/410</t>
        </r>
      </text>
    </comment>
    <comment ref="M18" authorId="0" shapeId="0" xr:uid="{00000000-0006-0000-0300-00001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
A240T304</t>
        </r>
      </text>
    </comment>
    <comment ref="M20" authorId="0" shapeId="0" xr:uid="{00000000-0006-0000-0300-00001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20" authorId="0" shapeId="0" xr:uid="{00000000-0006-0000-0300-00001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20" authorId="0" shapeId="0" xr:uid="{00000000-0006-0000-0300-00001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21" authorId="0" shapeId="0" xr:uid="{00000000-0006-0000-0300-00001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</t>
        </r>
      </text>
    </comment>
    <comment ref="M21" authorId="0" shapeId="0" xr:uid="{00000000-0006-0000-0300-00001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SUS304</t>
        </r>
      </text>
    </comment>
    <comment ref="L22" authorId="0" shapeId="0" xr:uid="{00000000-0006-0000-0300-00001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PIYAKE
</t>
        </r>
      </text>
    </comment>
    <comment ref="M22" authorId="0" shapeId="0" xr:uid="{00000000-0006-0000-0300-00001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 BAR</t>
        </r>
      </text>
    </comment>
    <comment ref="N22" authorId="0" shapeId="0" xr:uid="{00000000-0006-0000-0300-00001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O22" authorId="0" shapeId="0" xr:uid="{00000000-0006-0000-0300-00001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L23" authorId="0" shapeId="0" xr:uid="{00000000-0006-0000-0300-00001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M23" authorId="0" shapeId="0" xr:uid="{00000000-0006-0000-0300-00001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*2Coating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520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N23" authorId="0" shapeId="0" xr:uid="{00000000-0006-0000-0300-00001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*3Coating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620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24" authorId="0" shapeId="0" xr:uid="{00000000-0006-0000-0300-00001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L30" authorId="0" shapeId="0" xr:uid="{00000000-0006-0000-0300-00002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30" authorId="0" shapeId="0" xr:uid="{00000000-0006-0000-0300-00002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BARE/LEVER</t>
        </r>
      </text>
    </comment>
    <comment ref="N30" authorId="0" shapeId="0" xr:uid="{00000000-0006-0000-0300-00002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GEAR</t>
        </r>
      </text>
    </comment>
    <comment ref="O30" authorId="0" shapeId="0" xr:uid="{00000000-0006-0000-0300-00002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MOTOR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</authors>
  <commentList>
    <comment ref="R5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TEST </t>
        </r>
        <r>
          <rPr>
            <sz val="9"/>
            <color indexed="81"/>
            <rFont val="돋움"/>
            <family val="3"/>
            <charset val="129"/>
          </rPr>
          <t>압력</t>
        </r>
        <r>
          <rPr>
            <sz val="9"/>
            <color indexed="81"/>
            <rFont val="Tahoma"/>
            <family val="2"/>
          </rPr>
          <t xml:space="preserve"> 11BAR </t>
        </r>
        <r>
          <rPr>
            <sz val="9"/>
            <color indexed="81"/>
            <rFont val="돋움"/>
            <family val="3"/>
            <charset val="129"/>
          </rPr>
          <t>초과시</t>
        </r>
        <r>
          <rPr>
            <sz val="9"/>
            <color indexed="81"/>
            <rFont val="Tahoma"/>
            <family val="2"/>
          </rPr>
          <t xml:space="preserve">(150A </t>
        </r>
        <r>
          <rPr>
            <sz val="9"/>
            <color indexed="81"/>
            <rFont val="돋움"/>
            <family val="3"/>
            <charset val="129"/>
          </rPr>
          <t>까지는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>)</t>
        </r>
      </text>
    </comment>
    <comment ref="L9" authorId="0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9" authorId="0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</t>
        </r>
      </text>
    </comment>
    <comment ref="N9" authorId="0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SUS/CA15</t>
        </r>
      </text>
    </comment>
    <comment ref="O9" authorId="0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4A</t>
        </r>
      </text>
    </comment>
    <comment ref="P9" authorId="0" shapeId="0" xr:uid="{00000000-0006-0000-0400-00000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5A</t>
        </r>
      </text>
    </comment>
    <comment ref="L10" authorId="0" shapeId="0" xr:uid="{00000000-0006-0000-0400-00000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0" authorId="0" shapeId="0" xr:uid="{00000000-0006-0000-0400-00000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0" authorId="0" shapeId="0" xr:uid="{00000000-0006-0000-0400-00000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STEAM SILICONE</t>
        </r>
      </text>
    </comment>
    <comment ref="O10" authorId="0" shapeId="0" xr:uid="{00000000-0006-0000-0400-00000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HYPALON</t>
        </r>
      </text>
    </comment>
    <comment ref="P10" authorId="0" shapeId="0" xr:uid="{00000000-0006-0000-0400-00000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CHLORPRENE</t>
        </r>
      </text>
    </comment>
    <comment ref="M11" authorId="0" shapeId="0" xr:uid="{00000000-0006-0000-0400-00000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비에스텍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완가공비</t>
        </r>
      </text>
    </comment>
    <comment ref="N11" authorId="0" shapeId="0" xr:uid="{00000000-0006-0000-0400-00000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가공비</t>
        </r>
      </text>
    </comment>
    <comment ref="L12" authorId="0" shapeId="0" xr:uid="{00000000-0006-0000-0400-00000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2" authorId="0" shapeId="0" xr:uid="{00000000-0006-0000-0400-00000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2" authorId="0" shapeId="0" xr:uid="{00000000-0006-0000-0400-00001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ACETAL</t>
        </r>
      </text>
    </comment>
    <comment ref="L14" authorId="0" shapeId="0" xr:uid="{00000000-0006-0000-0400-00001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성강정밀</t>
        </r>
        <r>
          <rPr>
            <sz val="9"/>
            <color indexed="81"/>
            <rFont val="Tahoma"/>
            <family val="2"/>
          </rPr>
          <t xml:space="preserve">
304/316/410</t>
        </r>
      </text>
    </comment>
    <comment ref="M18" authorId="0" shapeId="0" xr:uid="{00000000-0006-0000-0400-00001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
A240T304</t>
        </r>
      </text>
    </comment>
    <comment ref="M19" authorId="0" shapeId="0" xr:uid="{00000000-0006-0000-0400-00001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9" authorId="0" shapeId="0" xr:uid="{00000000-0006-0000-0400-00001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M20" authorId="0" shapeId="0" xr:uid="{00000000-0006-0000-0400-00001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20" authorId="0" shapeId="0" xr:uid="{00000000-0006-0000-0400-00001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20" authorId="0" shapeId="0" xr:uid="{00000000-0006-0000-0400-00001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21" authorId="0" shapeId="0" xr:uid="{00000000-0006-0000-0400-00001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</t>
        </r>
      </text>
    </comment>
    <comment ref="M21" authorId="0" shapeId="0" xr:uid="{00000000-0006-0000-0400-00001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SUS304</t>
        </r>
      </text>
    </comment>
    <comment ref="L22" authorId="0" shapeId="0" xr:uid="{00000000-0006-0000-0400-00001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PIYAKE
</t>
        </r>
      </text>
    </comment>
    <comment ref="M22" authorId="0" shapeId="0" xr:uid="{00000000-0006-0000-0400-00001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 BAR</t>
        </r>
      </text>
    </comment>
    <comment ref="N22" authorId="0" shapeId="0" xr:uid="{00000000-0006-0000-0400-00001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O22" authorId="0" shapeId="0" xr:uid="{00000000-0006-0000-0400-00001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L23" authorId="0" shapeId="0" xr:uid="{00000000-0006-0000-0400-00001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M23" authorId="0" shapeId="0" xr:uid="{00000000-0006-0000-0400-00001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*2Coating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520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N23" authorId="0" shapeId="0" xr:uid="{00000000-0006-0000-0400-00002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*3Coating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620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24" authorId="0" shapeId="0" xr:uid="{00000000-0006-0000-0400-00002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L30" authorId="0" shapeId="0" xr:uid="{00000000-0006-0000-0400-00002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30" authorId="0" shapeId="0" xr:uid="{00000000-0006-0000-0400-00002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BARE/LEVER</t>
        </r>
      </text>
    </comment>
    <comment ref="N30" authorId="0" shapeId="0" xr:uid="{00000000-0006-0000-0400-00002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GEAR</t>
        </r>
      </text>
    </comment>
    <comment ref="O30" authorId="0" shapeId="0" xr:uid="{00000000-0006-0000-0400-00002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MOTOR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</authors>
  <commentList>
    <comment ref="R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TEST </t>
        </r>
        <r>
          <rPr>
            <sz val="9"/>
            <color indexed="81"/>
            <rFont val="돋움"/>
            <family val="3"/>
            <charset val="129"/>
          </rPr>
          <t>압력</t>
        </r>
        <r>
          <rPr>
            <sz val="9"/>
            <color indexed="81"/>
            <rFont val="Tahoma"/>
            <family val="2"/>
          </rPr>
          <t xml:space="preserve"> 11BAR </t>
        </r>
        <r>
          <rPr>
            <sz val="9"/>
            <color indexed="81"/>
            <rFont val="돋움"/>
            <family val="3"/>
            <charset val="129"/>
          </rPr>
          <t>초과시</t>
        </r>
        <r>
          <rPr>
            <sz val="9"/>
            <color indexed="81"/>
            <rFont val="Tahoma"/>
            <family val="2"/>
          </rPr>
          <t xml:space="preserve">(150A </t>
        </r>
        <r>
          <rPr>
            <sz val="9"/>
            <color indexed="81"/>
            <rFont val="돋움"/>
            <family val="3"/>
            <charset val="129"/>
          </rPr>
          <t>까지는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>)</t>
        </r>
      </text>
    </comment>
    <comment ref="L9" authorId="0" shapeId="0" xr:uid="{00000000-0006-0000-0500-00000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9" authorId="0" shapeId="0" xr:uid="{00000000-0006-0000-0500-00000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</t>
        </r>
      </text>
    </comment>
    <comment ref="N9" authorId="0" shapeId="0" xr:uid="{00000000-0006-0000-0500-00000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SUS/CA15</t>
        </r>
      </text>
    </comment>
    <comment ref="O9" authorId="0" shapeId="0" xr:uid="{00000000-0006-0000-0500-00000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4A</t>
        </r>
      </text>
    </comment>
    <comment ref="P9" authorId="0" shapeId="0" xr:uid="{00000000-0006-0000-0500-00000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5A</t>
        </r>
      </text>
    </comment>
    <comment ref="L10" authorId="0" shapeId="0" xr:uid="{00000000-0006-0000-0500-00000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0" authorId="0" shapeId="0" xr:uid="{00000000-0006-0000-0500-00000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0" authorId="0" shapeId="0" xr:uid="{00000000-0006-0000-0500-00000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STEAM SILICONE</t>
        </r>
      </text>
    </comment>
    <comment ref="O10" authorId="0" shapeId="0" xr:uid="{00000000-0006-0000-0500-00000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HYPALON</t>
        </r>
      </text>
    </comment>
    <comment ref="P10" authorId="0" shapeId="0" xr:uid="{00000000-0006-0000-0500-00000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CHLORPRENE</t>
        </r>
      </text>
    </comment>
    <comment ref="M11" authorId="0" shapeId="0" xr:uid="{00000000-0006-0000-0500-00000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비에스텍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완가공비</t>
        </r>
      </text>
    </comment>
    <comment ref="N11" authorId="0" shapeId="0" xr:uid="{00000000-0006-0000-0500-00000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가공비</t>
        </r>
      </text>
    </comment>
    <comment ref="L12" authorId="0" shapeId="0" xr:uid="{00000000-0006-0000-0500-00000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2" authorId="0" shapeId="0" xr:uid="{00000000-0006-0000-0500-00000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2" authorId="0" shapeId="0" xr:uid="{00000000-0006-0000-0500-00001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ACETAL</t>
        </r>
      </text>
    </comment>
    <comment ref="L14" authorId="0" shapeId="0" xr:uid="{00000000-0006-0000-0500-00001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성강정밀</t>
        </r>
        <r>
          <rPr>
            <sz val="9"/>
            <color indexed="81"/>
            <rFont val="Tahoma"/>
            <family val="2"/>
          </rPr>
          <t xml:space="preserve">
304/316/410</t>
        </r>
      </text>
    </comment>
    <comment ref="M18" authorId="0" shapeId="0" xr:uid="{00000000-0006-0000-0500-00001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
A240T304</t>
        </r>
      </text>
    </comment>
    <comment ref="M19" authorId="0" shapeId="0" xr:uid="{00000000-0006-0000-0500-00001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9" authorId="0" shapeId="0" xr:uid="{00000000-0006-0000-0500-00001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M20" authorId="0" shapeId="0" xr:uid="{00000000-0006-0000-0500-00001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20" authorId="0" shapeId="0" xr:uid="{00000000-0006-0000-0500-00001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20" authorId="0" shapeId="0" xr:uid="{00000000-0006-0000-0500-00001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21" authorId="0" shapeId="0" xr:uid="{00000000-0006-0000-0500-00001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</t>
        </r>
      </text>
    </comment>
    <comment ref="M21" authorId="0" shapeId="0" xr:uid="{00000000-0006-0000-0500-00001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SUS304</t>
        </r>
      </text>
    </comment>
    <comment ref="L22" authorId="0" shapeId="0" xr:uid="{00000000-0006-0000-0500-00001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PIYAKE
</t>
        </r>
      </text>
    </comment>
    <comment ref="M22" authorId="0" shapeId="0" xr:uid="{00000000-0006-0000-0500-00001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 BAR</t>
        </r>
      </text>
    </comment>
    <comment ref="N22" authorId="0" shapeId="0" xr:uid="{00000000-0006-0000-0500-00001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O22" authorId="0" shapeId="0" xr:uid="{00000000-0006-0000-0500-00001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L23" authorId="0" shapeId="0" xr:uid="{00000000-0006-0000-0500-00001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M23" authorId="0" shapeId="0" xr:uid="{00000000-0006-0000-0500-00001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*2Coating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520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N23" authorId="0" shapeId="0" xr:uid="{00000000-0006-0000-0500-00002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*3Coating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620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24" authorId="0" shapeId="0" xr:uid="{00000000-0006-0000-0500-00002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L30" authorId="0" shapeId="0" xr:uid="{00000000-0006-0000-0500-00002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30" authorId="0" shapeId="0" xr:uid="{00000000-0006-0000-0500-00002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BARE/LEVER</t>
        </r>
      </text>
    </comment>
    <comment ref="N30" authorId="0" shapeId="0" xr:uid="{00000000-0006-0000-0500-00002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GEAR</t>
        </r>
      </text>
    </comment>
    <comment ref="O30" authorId="0" shapeId="0" xr:uid="{00000000-0006-0000-0500-00002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MOTOR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</authors>
  <commentList>
    <comment ref="R5" authorId="0" shapeId="0" xr:uid="{00000000-0006-0000-06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TEST </t>
        </r>
        <r>
          <rPr>
            <sz val="9"/>
            <color indexed="81"/>
            <rFont val="돋움"/>
            <family val="3"/>
            <charset val="129"/>
          </rPr>
          <t>압력</t>
        </r>
        <r>
          <rPr>
            <sz val="9"/>
            <color indexed="81"/>
            <rFont val="Tahoma"/>
            <family val="2"/>
          </rPr>
          <t xml:space="preserve"> 11BAR </t>
        </r>
        <r>
          <rPr>
            <sz val="9"/>
            <color indexed="81"/>
            <rFont val="돋움"/>
            <family val="3"/>
            <charset val="129"/>
          </rPr>
          <t>초과시</t>
        </r>
        <r>
          <rPr>
            <sz val="9"/>
            <color indexed="81"/>
            <rFont val="Tahoma"/>
            <family val="2"/>
          </rPr>
          <t xml:space="preserve">(150A </t>
        </r>
        <r>
          <rPr>
            <sz val="9"/>
            <color indexed="81"/>
            <rFont val="돋움"/>
            <family val="3"/>
            <charset val="129"/>
          </rPr>
          <t>까지는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>)</t>
        </r>
      </text>
    </comment>
    <comment ref="L9" authorId="0" shapeId="0" xr:uid="{00000000-0006-0000-0600-00000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9" authorId="0" shapeId="0" xr:uid="{00000000-0006-0000-0600-00000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</t>
        </r>
      </text>
    </comment>
    <comment ref="N9" authorId="0" shapeId="0" xr:uid="{00000000-0006-0000-0600-00000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SUS/CA15</t>
        </r>
      </text>
    </comment>
    <comment ref="O9" authorId="0" shapeId="0" xr:uid="{00000000-0006-0000-0600-00000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4A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L10" authorId="0" shapeId="0" xr:uid="{00000000-0006-0000-0600-00000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0" authorId="0" shapeId="0" xr:uid="{00000000-0006-0000-0600-00000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0" authorId="0" shapeId="0" xr:uid="{00000000-0006-0000-0600-00000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STEAM SILICONE</t>
        </r>
      </text>
    </comment>
    <comment ref="O10" authorId="0" shapeId="0" xr:uid="{00000000-0006-0000-0600-00000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HYPALON</t>
        </r>
      </text>
    </comment>
    <comment ref="P10" authorId="0" shapeId="0" xr:uid="{00000000-0006-0000-0600-00000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CHLORPRENE</t>
        </r>
      </text>
    </comment>
    <comment ref="M11" authorId="0" shapeId="0" xr:uid="{00000000-0006-0000-0600-00000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비에스텍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완가공비</t>
        </r>
      </text>
    </comment>
    <comment ref="N11" authorId="0" shapeId="0" xr:uid="{00000000-0006-0000-0600-00000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가공비</t>
        </r>
      </text>
    </comment>
    <comment ref="L12" authorId="0" shapeId="0" xr:uid="{00000000-0006-0000-0600-00000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2" authorId="0" shapeId="0" xr:uid="{00000000-0006-0000-0600-00000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2" authorId="0" shapeId="0" xr:uid="{00000000-0006-0000-0600-00000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ACETAL</t>
        </r>
      </text>
    </comment>
    <comment ref="L14" authorId="0" shapeId="0" xr:uid="{00000000-0006-0000-0600-00001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성강정밀</t>
        </r>
        <r>
          <rPr>
            <sz val="9"/>
            <color indexed="81"/>
            <rFont val="Tahoma"/>
            <family val="2"/>
          </rPr>
          <t xml:space="preserve">
304/316/410</t>
        </r>
      </text>
    </comment>
    <comment ref="M18" authorId="0" shapeId="0" xr:uid="{00000000-0006-0000-0600-00001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
A240T304</t>
        </r>
      </text>
    </comment>
    <comment ref="M19" authorId="0" shapeId="0" xr:uid="{00000000-0006-0000-0600-00001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9" authorId="0" shapeId="0" xr:uid="{00000000-0006-0000-0600-00001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M20" authorId="0" shapeId="0" xr:uid="{00000000-0006-0000-0600-00001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20" authorId="0" shapeId="0" xr:uid="{00000000-0006-0000-0600-00001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20" authorId="0" shapeId="0" xr:uid="{00000000-0006-0000-0600-00001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21" authorId="0" shapeId="0" xr:uid="{00000000-0006-0000-0600-00001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</t>
        </r>
      </text>
    </comment>
    <comment ref="M21" authorId="0" shapeId="0" xr:uid="{00000000-0006-0000-0600-00001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SUS304</t>
        </r>
      </text>
    </comment>
    <comment ref="L22" authorId="0" shapeId="0" xr:uid="{00000000-0006-0000-0600-00001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PIYAKE
</t>
        </r>
      </text>
    </comment>
    <comment ref="M22" authorId="0" shapeId="0" xr:uid="{00000000-0006-0000-0600-00001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 BAR</t>
        </r>
      </text>
    </comment>
    <comment ref="N22" authorId="0" shapeId="0" xr:uid="{00000000-0006-0000-0600-00001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O22" authorId="0" shapeId="0" xr:uid="{00000000-0006-0000-0600-00001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L23" authorId="0" shapeId="0" xr:uid="{00000000-0006-0000-0600-00001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M23" authorId="0" shapeId="0" xr:uid="{00000000-0006-0000-0600-00001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*2Coating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520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N23" authorId="0" shapeId="0" xr:uid="{00000000-0006-0000-0600-00001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*3Coating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620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24" authorId="0" shapeId="0" xr:uid="{00000000-0006-0000-0600-00002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L30" authorId="0" shapeId="0" xr:uid="{00000000-0006-0000-0600-00002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30" authorId="0" shapeId="0" xr:uid="{00000000-0006-0000-0600-00002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BARE/LEVER</t>
        </r>
      </text>
    </comment>
    <comment ref="N30" authorId="0" shapeId="0" xr:uid="{00000000-0006-0000-0600-00002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GEAR</t>
        </r>
      </text>
    </comment>
    <comment ref="O30" authorId="0" shapeId="0" xr:uid="{00000000-0006-0000-0600-00002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MOTOR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</authors>
  <commentList>
    <comment ref="R5" authorId="0" shapeId="0" xr:uid="{00000000-0006-0000-07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TEST </t>
        </r>
        <r>
          <rPr>
            <sz val="9"/>
            <color indexed="81"/>
            <rFont val="돋움"/>
            <family val="3"/>
            <charset val="129"/>
          </rPr>
          <t>압력</t>
        </r>
        <r>
          <rPr>
            <sz val="9"/>
            <color indexed="81"/>
            <rFont val="Tahoma"/>
            <family val="2"/>
          </rPr>
          <t xml:space="preserve"> 11BAR </t>
        </r>
        <r>
          <rPr>
            <sz val="9"/>
            <color indexed="81"/>
            <rFont val="돋움"/>
            <family val="3"/>
            <charset val="129"/>
          </rPr>
          <t>초과시</t>
        </r>
        <r>
          <rPr>
            <sz val="9"/>
            <color indexed="81"/>
            <rFont val="Tahoma"/>
            <family val="2"/>
          </rPr>
          <t xml:space="preserve">(150A </t>
        </r>
        <r>
          <rPr>
            <sz val="9"/>
            <color indexed="81"/>
            <rFont val="돋움"/>
            <family val="3"/>
            <charset val="129"/>
          </rPr>
          <t>까지는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>)</t>
        </r>
      </text>
    </comment>
    <comment ref="L9" authorId="0" shapeId="0" xr:uid="{00000000-0006-0000-0700-00000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9" authorId="0" shapeId="0" xr:uid="{00000000-0006-0000-0700-00000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</t>
        </r>
      </text>
    </comment>
    <comment ref="N9" authorId="0" shapeId="0" xr:uid="{00000000-0006-0000-0700-00000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SUS/CA15</t>
        </r>
      </text>
    </comment>
    <comment ref="O9" authorId="0" shapeId="0" xr:uid="{00000000-0006-0000-0700-00000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4A</t>
        </r>
      </text>
    </comment>
    <comment ref="P9" authorId="0" shapeId="0" xr:uid="{00000000-0006-0000-0700-00000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5A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L10" authorId="0" shapeId="0" xr:uid="{00000000-0006-0000-0700-00000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0" authorId="0" shapeId="0" xr:uid="{00000000-0006-0000-0700-00000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0" authorId="0" shapeId="0" xr:uid="{00000000-0006-0000-0700-00000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STEAM SILICONE</t>
        </r>
      </text>
    </comment>
    <comment ref="O10" authorId="0" shapeId="0" xr:uid="{00000000-0006-0000-0700-00000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HYPALON</t>
        </r>
      </text>
    </comment>
    <comment ref="P10" authorId="0" shapeId="0" xr:uid="{00000000-0006-0000-0700-00000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CHLORPRENE</t>
        </r>
      </text>
    </comment>
    <comment ref="M11" authorId="0" shapeId="0" xr:uid="{00000000-0006-0000-0700-00000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비에스텍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완가공비</t>
        </r>
      </text>
    </comment>
    <comment ref="N11" authorId="0" shapeId="0" xr:uid="{00000000-0006-0000-0700-00000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가공비</t>
        </r>
      </text>
    </comment>
    <comment ref="L12" authorId="0" shapeId="0" xr:uid="{00000000-0006-0000-0700-00000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2" authorId="0" shapeId="0" xr:uid="{00000000-0006-0000-0700-00000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2" authorId="0" shapeId="0" xr:uid="{00000000-0006-0000-0700-00001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ACETAL</t>
        </r>
      </text>
    </comment>
    <comment ref="L14" authorId="0" shapeId="0" xr:uid="{00000000-0006-0000-0700-00001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성강정밀</t>
        </r>
        <r>
          <rPr>
            <sz val="9"/>
            <color indexed="81"/>
            <rFont val="Tahoma"/>
            <family val="2"/>
          </rPr>
          <t xml:space="preserve">
304/316/410</t>
        </r>
      </text>
    </comment>
    <comment ref="M18" authorId="0" shapeId="0" xr:uid="{00000000-0006-0000-0700-00001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
A240T304</t>
        </r>
      </text>
    </comment>
    <comment ref="M19" authorId="0" shapeId="0" xr:uid="{00000000-0006-0000-0700-00001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9" authorId="0" shapeId="0" xr:uid="{00000000-0006-0000-0700-00001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M20" authorId="0" shapeId="0" xr:uid="{00000000-0006-0000-0700-00001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20" authorId="0" shapeId="0" xr:uid="{00000000-0006-0000-0700-00001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20" authorId="0" shapeId="0" xr:uid="{00000000-0006-0000-0700-00001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21" authorId="0" shapeId="0" xr:uid="{00000000-0006-0000-0700-00001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</t>
        </r>
      </text>
    </comment>
    <comment ref="M21" authorId="0" shapeId="0" xr:uid="{00000000-0006-0000-0700-00001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SUS304</t>
        </r>
      </text>
    </comment>
    <comment ref="L22" authorId="0" shapeId="0" xr:uid="{00000000-0006-0000-0700-00001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PIYAKE
</t>
        </r>
      </text>
    </comment>
    <comment ref="M22" authorId="0" shapeId="0" xr:uid="{00000000-0006-0000-0700-00001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 BAR</t>
        </r>
      </text>
    </comment>
    <comment ref="N22" authorId="0" shapeId="0" xr:uid="{00000000-0006-0000-0700-00001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O22" authorId="0" shapeId="0" xr:uid="{00000000-0006-0000-0700-00001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L23" authorId="0" shapeId="0" xr:uid="{00000000-0006-0000-0700-00001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M23" authorId="0" shapeId="0" xr:uid="{00000000-0006-0000-0700-00001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*2Coating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520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N23" authorId="0" shapeId="0" xr:uid="{00000000-0006-0000-0700-00002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*3Coating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620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24" authorId="0" shapeId="0" xr:uid="{00000000-0006-0000-0700-00002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L30" authorId="0" shapeId="0" xr:uid="{00000000-0006-0000-0700-00002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30" authorId="0" shapeId="0" xr:uid="{00000000-0006-0000-0700-00002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BARE/LEVER</t>
        </r>
      </text>
    </comment>
    <comment ref="N30" authorId="0" shapeId="0" xr:uid="{00000000-0006-0000-0700-00002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GEAR</t>
        </r>
      </text>
    </comment>
    <comment ref="O30" authorId="0" shapeId="0" xr:uid="{00000000-0006-0000-0700-00002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MOTOR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</authors>
  <commentList>
    <comment ref="R5" authorId="0" shapeId="0" xr:uid="{00000000-0006-0000-08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TEST </t>
        </r>
        <r>
          <rPr>
            <sz val="9"/>
            <color indexed="81"/>
            <rFont val="돋움"/>
            <family val="3"/>
            <charset val="129"/>
          </rPr>
          <t>압력</t>
        </r>
        <r>
          <rPr>
            <sz val="9"/>
            <color indexed="81"/>
            <rFont val="Tahoma"/>
            <family val="2"/>
          </rPr>
          <t xml:space="preserve"> 11BAR </t>
        </r>
        <r>
          <rPr>
            <sz val="9"/>
            <color indexed="81"/>
            <rFont val="돋움"/>
            <family val="3"/>
            <charset val="129"/>
          </rPr>
          <t>초과시</t>
        </r>
        <r>
          <rPr>
            <sz val="9"/>
            <color indexed="81"/>
            <rFont val="Tahoma"/>
            <family val="2"/>
          </rPr>
          <t xml:space="preserve">(150A </t>
        </r>
        <r>
          <rPr>
            <sz val="9"/>
            <color indexed="81"/>
            <rFont val="돋움"/>
            <family val="3"/>
            <charset val="129"/>
          </rPr>
          <t>까지는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>)</t>
        </r>
      </text>
    </comment>
    <comment ref="L9" authorId="0" shapeId="0" xr:uid="{00000000-0006-0000-0800-00000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9" authorId="0" shapeId="0" xr:uid="{00000000-0006-0000-0800-00000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</t>
        </r>
      </text>
    </comment>
    <comment ref="N9" authorId="0" shapeId="0" xr:uid="{00000000-0006-0000-0800-00000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SUS/CA15</t>
        </r>
      </text>
    </comment>
    <comment ref="O9" authorId="0" shapeId="0" xr:uid="{00000000-0006-0000-0800-00000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4A</t>
        </r>
      </text>
    </comment>
    <comment ref="P9" authorId="0" shapeId="0" xr:uid="{00000000-0006-0000-0800-00000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5A</t>
        </r>
      </text>
    </comment>
    <comment ref="L10" authorId="0" shapeId="0" xr:uid="{00000000-0006-0000-0800-00000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0" authorId="0" shapeId="0" xr:uid="{00000000-0006-0000-0800-00000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0" authorId="0" shapeId="0" xr:uid="{00000000-0006-0000-0800-00000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STEAM SILICONE</t>
        </r>
      </text>
    </comment>
    <comment ref="O10" authorId="0" shapeId="0" xr:uid="{00000000-0006-0000-0800-00000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HYPALON</t>
        </r>
      </text>
    </comment>
    <comment ref="P10" authorId="0" shapeId="0" xr:uid="{00000000-0006-0000-0800-00000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CHLORPRENE</t>
        </r>
      </text>
    </comment>
    <comment ref="M11" authorId="0" shapeId="0" xr:uid="{00000000-0006-0000-0800-00000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비에스텍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완가공비</t>
        </r>
      </text>
    </comment>
    <comment ref="N11" authorId="0" shapeId="0" xr:uid="{00000000-0006-0000-0800-00000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가공비</t>
        </r>
      </text>
    </comment>
    <comment ref="L12" authorId="0" shapeId="0" xr:uid="{00000000-0006-0000-0800-00000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2" authorId="0" shapeId="0" xr:uid="{00000000-0006-0000-0800-00000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2" authorId="0" shapeId="0" xr:uid="{00000000-0006-0000-0800-00001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ACETAL</t>
        </r>
      </text>
    </comment>
    <comment ref="L14" authorId="0" shapeId="0" xr:uid="{00000000-0006-0000-0800-00001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성강정밀</t>
        </r>
        <r>
          <rPr>
            <sz val="9"/>
            <color indexed="81"/>
            <rFont val="Tahoma"/>
            <family val="2"/>
          </rPr>
          <t xml:space="preserve">
304/316/410</t>
        </r>
      </text>
    </comment>
    <comment ref="M18" authorId="0" shapeId="0" xr:uid="{00000000-0006-0000-0800-00001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
A240T304</t>
        </r>
      </text>
    </comment>
    <comment ref="M19" authorId="0" shapeId="0" xr:uid="{00000000-0006-0000-0800-00001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9" authorId="0" shapeId="0" xr:uid="{00000000-0006-0000-0800-00001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M20" authorId="0" shapeId="0" xr:uid="{00000000-0006-0000-0800-00001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20" authorId="0" shapeId="0" xr:uid="{00000000-0006-0000-0800-00001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20" authorId="0" shapeId="0" xr:uid="{00000000-0006-0000-0800-00001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22" authorId="0" shapeId="0" xr:uid="{00000000-0006-0000-0800-00001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PIYAKE
</t>
        </r>
      </text>
    </comment>
    <comment ref="M22" authorId="0" shapeId="0" xr:uid="{00000000-0006-0000-0800-00001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 BAR</t>
        </r>
      </text>
    </comment>
    <comment ref="N22" authorId="0" shapeId="0" xr:uid="{00000000-0006-0000-0800-00001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O22" authorId="0" shapeId="0" xr:uid="{00000000-0006-0000-0800-00001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L23" authorId="0" shapeId="0" xr:uid="{00000000-0006-0000-0800-00001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M23" authorId="0" shapeId="0" xr:uid="{00000000-0006-0000-0800-00001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*2Coating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520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N23" authorId="0" shapeId="0" xr:uid="{00000000-0006-0000-0800-00001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*3Coating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620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24" authorId="0" shapeId="0" xr:uid="{00000000-0006-0000-0800-00001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L30" authorId="0" shapeId="0" xr:uid="{00000000-0006-0000-0800-00002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30" authorId="0" shapeId="0" xr:uid="{00000000-0006-0000-0800-00002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BARE/LEVER</t>
        </r>
      </text>
    </comment>
    <comment ref="N30" authorId="0" shapeId="0" xr:uid="{00000000-0006-0000-0800-00002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GEAR</t>
        </r>
      </text>
    </comment>
    <comment ref="O30" authorId="0" shapeId="0" xr:uid="{00000000-0006-0000-0800-00002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MOTOR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</authors>
  <commentList>
    <comment ref="R5" authorId="0" shapeId="0" xr:uid="{00000000-0006-0000-09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TEST </t>
        </r>
        <r>
          <rPr>
            <sz val="9"/>
            <color indexed="81"/>
            <rFont val="돋움"/>
            <family val="3"/>
            <charset val="129"/>
          </rPr>
          <t>압력</t>
        </r>
        <r>
          <rPr>
            <sz val="9"/>
            <color indexed="81"/>
            <rFont val="Tahoma"/>
            <family val="2"/>
          </rPr>
          <t xml:space="preserve"> 11BAR </t>
        </r>
        <r>
          <rPr>
            <sz val="9"/>
            <color indexed="81"/>
            <rFont val="돋움"/>
            <family val="3"/>
            <charset val="129"/>
          </rPr>
          <t>초과시</t>
        </r>
        <r>
          <rPr>
            <sz val="9"/>
            <color indexed="81"/>
            <rFont val="Tahoma"/>
            <family val="2"/>
          </rPr>
          <t xml:space="preserve">(150A </t>
        </r>
        <r>
          <rPr>
            <sz val="9"/>
            <color indexed="81"/>
            <rFont val="돋움"/>
            <family val="3"/>
            <charset val="129"/>
          </rPr>
          <t>까지는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>)</t>
        </r>
      </text>
    </comment>
    <comment ref="L6" authorId="0" shapeId="0" xr:uid="{00000000-0006-0000-0900-00000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M8" authorId="0" shapeId="0" xr:uid="{00000000-0006-0000-0900-00000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L9" authorId="0" shapeId="0" xr:uid="{00000000-0006-0000-0900-00000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9" authorId="0" shapeId="0" xr:uid="{00000000-0006-0000-0900-00000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</t>
        </r>
      </text>
    </comment>
    <comment ref="N9" authorId="0" shapeId="0" xr:uid="{00000000-0006-0000-0900-00000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SUS/CA15</t>
        </r>
      </text>
    </comment>
    <comment ref="O9" authorId="0" shapeId="0" xr:uid="{00000000-0006-0000-0900-00000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4A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P9" authorId="0" shapeId="0" xr:uid="{00000000-0006-0000-0900-00000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5A</t>
        </r>
      </text>
    </comment>
    <comment ref="L10" authorId="0" shapeId="0" xr:uid="{00000000-0006-0000-0900-00000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0" authorId="0" shapeId="0" xr:uid="{00000000-0006-0000-0900-00000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0" authorId="0" shapeId="0" xr:uid="{00000000-0006-0000-0900-00000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STEAM SILICONE</t>
        </r>
      </text>
    </comment>
    <comment ref="O10" authorId="0" shapeId="0" xr:uid="{00000000-0006-0000-0900-00000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HYPALON</t>
        </r>
      </text>
    </comment>
    <comment ref="P10" authorId="0" shapeId="0" xr:uid="{00000000-0006-0000-0900-00000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CHLORPRENE</t>
        </r>
      </text>
    </comment>
    <comment ref="M11" authorId="0" shapeId="0" xr:uid="{00000000-0006-0000-0900-00000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비에스텍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완가공비</t>
        </r>
      </text>
    </comment>
    <comment ref="N11" authorId="0" shapeId="0" xr:uid="{00000000-0006-0000-0900-00000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가공비</t>
        </r>
      </text>
    </comment>
    <comment ref="L12" authorId="0" shapeId="0" xr:uid="{00000000-0006-0000-0900-00001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2" authorId="0" shapeId="0" xr:uid="{00000000-0006-0000-0900-00001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2" authorId="0" shapeId="0" xr:uid="{00000000-0006-0000-0900-00001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ACETAL</t>
        </r>
      </text>
    </comment>
    <comment ref="L14" authorId="0" shapeId="0" xr:uid="{00000000-0006-0000-0900-00001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성강정밀</t>
        </r>
        <r>
          <rPr>
            <sz val="9"/>
            <color indexed="81"/>
            <rFont val="Tahoma"/>
            <family val="2"/>
          </rPr>
          <t xml:space="preserve">
304/316/410</t>
        </r>
      </text>
    </comment>
    <comment ref="M18" authorId="0" shapeId="0" xr:uid="{00000000-0006-0000-0900-00001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
A240T304</t>
        </r>
      </text>
    </comment>
    <comment ref="M19" authorId="0" shapeId="0" xr:uid="{00000000-0006-0000-0900-00001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9" authorId="0" shapeId="0" xr:uid="{00000000-0006-0000-0900-00001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M20" authorId="0" shapeId="0" xr:uid="{00000000-0006-0000-0900-00001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20" authorId="0" shapeId="0" xr:uid="{00000000-0006-0000-0900-00001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20" authorId="0" shapeId="0" xr:uid="{00000000-0006-0000-0900-00001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22" authorId="0" shapeId="0" xr:uid="{00000000-0006-0000-0900-00001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PIYAKE
</t>
        </r>
      </text>
    </comment>
    <comment ref="M22" authorId="0" shapeId="0" xr:uid="{00000000-0006-0000-0900-00001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 BAR</t>
        </r>
      </text>
    </comment>
    <comment ref="N22" authorId="0" shapeId="0" xr:uid="{00000000-0006-0000-0900-00001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O22" authorId="0" shapeId="0" xr:uid="{00000000-0006-0000-0900-00001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 BAR</t>
        </r>
      </text>
    </comment>
    <comment ref="L23" authorId="0" shapeId="0" xr:uid="{00000000-0006-0000-0900-00001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M23" authorId="0" shapeId="0" xr:uid="{00000000-0006-0000-0900-00001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*2Coating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520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N23" authorId="0" shapeId="0" xr:uid="{00000000-0006-0000-0900-00002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*3Coating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620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24" authorId="0" shapeId="0" xr:uid="{00000000-0006-0000-0900-00002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L30" authorId="0" shapeId="0" xr:uid="{00000000-0006-0000-0900-00002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30" authorId="0" shapeId="0" xr:uid="{00000000-0006-0000-0900-00002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BARE/LEVER</t>
        </r>
      </text>
    </comment>
    <comment ref="N30" authorId="0" shapeId="0" xr:uid="{00000000-0006-0000-0900-00002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GEAR</t>
        </r>
      </text>
    </comment>
    <comment ref="O30" authorId="0" shapeId="0" xr:uid="{00000000-0006-0000-0900-00002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MOTOR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</authors>
  <commentList>
    <comment ref="R5" authorId="0" shapeId="0" xr:uid="{00000000-0006-0000-0A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TEST </t>
        </r>
        <r>
          <rPr>
            <sz val="9"/>
            <color indexed="81"/>
            <rFont val="돋움"/>
            <family val="3"/>
            <charset val="129"/>
          </rPr>
          <t>압력</t>
        </r>
        <r>
          <rPr>
            <sz val="9"/>
            <color indexed="81"/>
            <rFont val="Tahoma"/>
            <family val="2"/>
          </rPr>
          <t xml:space="preserve"> 11BAR </t>
        </r>
        <r>
          <rPr>
            <sz val="9"/>
            <color indexed="81"/>
            <rFont val="돋움"/>
            <family val="3"/>
            <charset val="129"/>
          </rPr>
          <t>초과시</t>
        </r>
        <r>
          <rPr>
            <sz val="9"/>
            <color indexed="81"/>
            <rFont val="Tahoma"/>
            <family val="2"/>
          </rPr>
          <t xml:space="preserve">(150A </t>
        </r>
        <r>
          <rPr>
            <sz val="9"/>
            <color indexed="81"/>
            <rFont val="돋움"/>
            <family val="3"/>
            <charset val="129"/>
          </rPr>
          <t>까지는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>)</t>
        </r>
      </text>
    </comment>
    <comment ref="L6" authorId="0" shapeId="0" xr:uid="{00000000-0006-0000-0A00-00000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M8" authorId="0" shapeId="0" xr:uid="{00000000-0006-0000-0A00-00000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L9" authorId="0" shapeId="0" xr:uid="{00000000-0006-0000-0A00-00000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9" authorId="0" shapeId="0" xr:uid="{00000000-0006-0000-0A00-00000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</t>
        </r>
      </text>
    </comment>
    <comment ref="N9" authorId="0" shapeId="0" xr:uid="{00000000-0006-0000-0A00-00000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SUS/CA15</t>
        </r>
      </text>
    </comment>
    <comment ref="O9" authorId="0" shapeId="0" xr:uid="{00000000-0006-0000-0A00-00000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4A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P9" authorId="0" shapeId="0" xr:uid="{00000000-0006-0000-0A00-00000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5A</t>
        </r>
      </text>
    </comment>
    <comment ref="L10" authorId="0" shapeId="0" xr:uid="{00000000-0006-0000-0A00-00000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0" authorId="0" shapeId="0" xr:uid="{00000000-0006-0000-0A00-00000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0" authorId="0" shapeId="0" xr:uid="{00000000-0006-0000-0A00-00000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STEAM SILICONE</t>
        </r>
      </text>
    </comment>
    <comment ref="O10" authorId="0" shapeId="0" xr:uid="{00000000-0006-0000-0A00-00000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HYPALON</t>
        </r>
      </text>
    </comment>
    <comment ref="P10" authorId="0" shapeId="0" xr:uid="{00000000-0006-0000-0A00-00000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CHLORPRENE</t>
        </r>
      </text>
    </comment>
    <comment ref="M11" authorId="0" shapeId="0" xr:uid="{00000000-0006-0000-0A00-00000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비에스텍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완가공비</t>
        </r>
      </text>
    </comment>
    <comment ref="N11" authorId="0" shapeId="0" xr:uid="{00000000-0006-0000-0A00-00000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가공비</t>
        </r>
      </text>
    </comment>
    <comment ref="L12" authorId="0" shapeId="0" xr:uid="{00000000-0006-0000-0A00-00001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2" authorId="0" shapeId="0" xr:uid="{00000000-0006-0000-0A00-00001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2" authorId="0" shapeId="0" xr:uid="{00000000-0006-0000-0A00-00001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ACETAL</t>
        </r>
      </text>
    </comment>
    <comment ref="L14" authorId="0" shapeId="0" xr:uid="{00000000-0006-0000-0A00-00001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성강정밀</t>
        </r>
        <r>
          <rPr>
            <sz val="9"/>
            <color indexed="81"/>
            <rFont val="Tahoma"/>
            <family val="2"/>
          </rPr>
          <t xml:space="preserve">
304/316/410</t>
        </r>
      </text>
    </comment>
    <comment ref="M18" authorId="0" shapeId="0" xr:uid="{00000000-0006-0000-0A00-00001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
A240T304</t>
        </r>
      </text>
    </comment>
    <comment ref="M19" authorId="0" shapeId="0" xr:uid="{00000000-0006-0000-0A00-00001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9" authorId="0" shapeId="0" xr:uid="{00000000-0006-0000-0A00-00001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M20" authorId="0" shapeId="0" xr:uid="{00000000-0006-0000-0A00-00001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20" authorId="0" shapeId="0" xr:uid="{00000000-0006-0000-0A00-00001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20" authorId="0" shapeId="0" xr:uid="{00000000-0006-0000-0A00-00001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22" authorId="0" shapeId="0" xr:uid="{00000000-0006-0000-0A00-00001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PIYAKE
</t>
        </r>
      </text>
    </comment>
    <comment ref="M22" authorId="0" shapeId="0" xr:uid="{00000000-0006-0000-0A00-00001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 BAR</t>
        </r>
      </text>
    </comment>
    <comment ref="N22" authorId="0" shapeId="0" xr:uid="{00000000-0006-0000-0A00-00001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O22" authorId="0" shapeId="0" xr:uid="{00000000-0006-0000-0A00-00001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 BAR</t>
        </r>
      </text>
    </comment>
    <comment ref="L23" authorId="0" shapeId="0" xr:uid="{00000000-0006-0000-0A00-00001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M23" authorId="0" shapeId="0" xr:uid="{00000000-0006-0000-0A00-00001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*2Coating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520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N23" authorId="0" shapeId="0" xr:uid="{00000000-0006-0000-0A00-00002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*3Coating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620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24" authorId="0" shapeId="0" xr:uid="{00000000-0006-0000-0A00-00002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L30" authorId="0" shapeId="0" xr:uid="{00000000-0006-0000-0A00-00002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30" authorId="0" shapeId="0" xr:uid="{00000000-0006-0000-0A00-00002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BARE/LEVER</t>
        </r>
      </text>
    </comment>
    <comment ref="N30" authorId="0" shapeId="0" xr:uid="{00000000-0006-0000-0A00-00002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GEAR</t>
        </r>
      </text>
    </comment>
    <comment ref="O30" authorId="0" shapeId="0" xr:uid="{00000000-0006-0000-0A00-00002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MOTOR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</authors>
  <commentList>
    <comment ref="R5" authorId="0" shapeId="0" xr:uid="{00000000-0006-0000-0B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TEST </t>
        </r>
        <r>
          <rPr>
            <sz val="9"/>
            <color indexed="81"/>
            <rFont val="돋움"/>
            <family val="3"/>
            <charset val="129"/>
          </rPr>
          <t>압력</t>
        </r>
        <r>
          <rPr>
            <sz val="9"/>
            <color indexed="81"/>
            <rFont val="Tahoma"/>
            <family val="2"/>
          </rPr>
          <t xml:space="preserve"> 11BAR </t>
        </r>
        <r>
          <rPr>
            <sz val="9"/>
            <color indexed="81"/>
            <rFont val="돋움"/>
            <family val="3"/>
            <charset val="129"/>
          </rPr>
          <t>초과시</t>
        </r>
        <r>
          <rPr>
            <sz val="9"/>
            <color indexed="81"/>
            <rFont val="Tahoma"/>
            <family val="2"/>
          </rPr>
          <t xml:space="preserve">(150A </t>
        </r>
        <r>
          <rPr>
            <sz val="9"/>
            <color indexed="81"/>
            <rFont val="돋움"/>
            <family val="3"/>
            <charset val="129"/>
          </rPr>
          <t>까지는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>)</t>
        </r>
      </text>
    </comment>
    <comment ref="L6" authorId="0" shapeId="0" xr:uid="{00000000-0006-0000-0B00-00000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M6" authorId="0" shapeId="0" xr:uid="{00000000-0006-0000-0B00-00000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L8" authorId="0" shapeId="0" xr:uid="{00000000-0006-0000-0B00-00000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M8" authorId="0" shapeId="0" xr:uid="{00000000-0006-0000-0B00-00000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L9" authorId="0" shapeId="0" xr:uid="{00000000-0006-0000-0B00-00000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9" authorId="0" shapeId="0" xr:uid="{00000000-0006-0000-0B00-00000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</t>
        </r>
      </text>
    </comment>
    <comment ref="N9" authorId="0" shapeId="0" xr:uid="{00000000-0006-0000-0B00-00000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SUS/CA15</t>
        </r>
      </text>
    </comment>
    <comment ref="O9" authorId="0" shapeId="0" xr:uid="{00000000-0006-0000-0B00-00000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4A</t>
        </r>
      </text>
    </comment>
    <comment ref="P9" authorId="0" shapeId="0" xr:uid="{00000000-0006-0000-0B00-00000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5A</t>
        </r>
      </text>
    </comment>
    <comment ref="L10" authorId="0" shapeId="0" xr:uid="{00000000-0006-0000-0B00-00000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0" authorId="0" shapeId="0" xr:uid="{00000000-0006-0000-0B00-00000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0" authorId="0" shapeId="0" xr:uid="{00000000-0006-0000-0B00-00000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STEAM SILICONE</t>
        </r>
      </text>
    </comment>
    <comment ref="O10" authorId="0" shapeId="0" xr:uid="{00000000-0006-0000-0B00-00000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HYPALON</t>
        </r>
      </text>
    </comment>
    <comment ref="P10" authorId="0" shapeId="0" xr:uid="{00000000-0006-0000-0B00-00000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CHLORPRENE</t>
        </r>
      </text>
    </comment>
    <comment ref="M11" authorId="0" shapeId="0" xr:uid="{00000000-0006-0000-0B00-00001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비에스텍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완가공비</t>
        </r>
      </text>
    </comment>
    <comment ref="N11" authorId="0" shapeId="0" xr:uid="{00000000-0006-0000-0B00-00001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가공비</t>
        </r>
      </text>
    </comment>
    <comment ref="L12" authorId="0" shapeId="0" xr:uid="{00000000-0006-0000-0B00-00001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2" authorId="0" shapeId="0" xr:uid="{00000000-0006-0000-0B00-00001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2" authorId="0" shapeId="0" xr:uid="{00000000-0006-0000-0B00-00001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ACETAL</t>
        </r>
      </text>
    </comment>
    <comment ref="L14" authorId="0" shapeId="0" xr:uid="{00000000-0006-0000-0B00-00001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성강정밀</t>
        </r>
        <r>
          <rPr>
            <sz val="9"/>
            <color indexed="81"/>
            <rFont val="Tahoma"/>
            <family val="2"/>
          </rPr>
          <t xml:space="preserve">
304/316/410</t>
        </r>
      </text>
    </comment>
    <comment ref="M18" authorId="0" shapeId="0" xr:uid="{00000000-0006-0000-0B00-00001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
A240T304</t>
        </r>
      </text>
    </comment>
    <comment ref="M19" authorId="0" shapeId="0" xr:uid="{00000000-0006-0000-0B00-00001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9" authorId="0" shapeId="0" xr:uid="{00000000-0006-0000-0B00-00001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M20" authorId="0" shapeId="0" xr:uid="{00000000-0006-0000-0B00-00001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20" authorId="0" shapeId="0" xr:uid="{00000000-0006-0000-0B00-00001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20" authorId="0" shapeId="0" xr:uid="{00000000-0006-0000-0B00-00001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22" authorId="0" shapeId="0" xr:uid="{00000000-0006-0000-0B00-00001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PIYAKE
</t>
        </r>
      </text>
    </comment>
    <comment ref="M22" authorId="0" shapeId="0" xr:uid="{00000000-0006-0000-0B00-00001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 BAR</t>
        </r>
      </text>
    </comment>
    <comment ref="N22" authorId="0" shapeId="0" xr:uid="{00000000-0006-0000-0B00-00001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O22" authorId="0" shapeId="0" xr:uid="{00000000-0006-0000-0B00-00001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 BAR
</t>
        </r>
      </text>
    </comment>
    <comment ref="L23" authorId="0" shapeId="0" xr:uid="{00000000-0006-0000-0B00-00002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M23" authorId="0" shapeId="0" xr:uid="{00000000-0006-0000-0B00-00002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*2Coating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520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N23" authorId="0" shapeId="0" xr:uid="{00000000-0006-0000-0B00-00002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*3Coating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620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24" authorId="0" shapeId="0" xr:uid="{00000000-0006-0000-0B00-00002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L30" authorId="0" shapeId="0" xr:uid="{00000000-0006-0000-0B00-00002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30" authorId="0" shapeId="0" xr:uid="{00000000-0006-0000-0B00-00002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BARE/LEVER</t>
        </r>
      </text>
    </comment>
    <comment ref="N30" authorId="0" shapeId="0" xr:uid="{00000000-0006-0000-0B00-00002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GEAR</t>
        </r>
      </text>
    </comment>
    <comment ref="O30" authorId="0" shapeId="0" xr:uid="{00000000-0006-0000-0B00-00002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MOTOR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</authors>
  <commentList>
    <comment ref="R5" authorId="0" shapeId="0" xr:uid="{00000000-0006-0000-0C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TEST </t>
        </r>
        <r>
          <rPr>
            <sz val="9"/>
            <color indexed="81"/>
            <rFont val="돋움"/>
            <family val="3"/>
            <charset val="129"/>
          </rPr>
          <t>압력</t>
        </r>
        <r>
          <rPr>
            <sz val="9"/>
            <color indexed="81"/>
            <rFont val="Tahoma"/>
            <family val="2"/>
          </rPr>
          <t xml:space="preserve"> 11BAR </t>
        </r>
        <r>
          <rPr>
            <sz val="9"/>
            <color indexed="81"/>
            <rFont val="돋움"/>
            <family val="3"/>
            <charset val="129"/>
          </rPr>
          <t>초과시</t>
        </r>
        <r>
          <rPr>
            <sz val="9"/>
            <color indexed="81"/>
            <rFont val="Tahoma"/>
            <family val="2"/>
          </rPr>
          <t xml:space="preserve">(150A </t>
        </r>
        <r>
          <rPr>
            <sz val="9"/>
            <color indexed="81"/>
            <rFont val="돋움"/>
            <family val="3"/>
            <charset val="129"/>
          </rPr>
          <t>까지는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>)</t>
        </r>
      </text>
    </comment>
    <comment ref="L6" authorId="0" shapeId="0" xr:uid="{00000000-0006-0000-0C00-00000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M6" authorId="0" shapeId="0" xr:uid="{00000000-0006-0000-0C00-00000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L8" authorId="0" shapeId="0" xr:uid="{00000000-0006-0000-0C00-00000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L9" authorId="0" shapeId="0" xr:uid="{00000000-0006-0000-0C00-00000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9" authorId="0" shapeId="0" xr:uid="{00000000-0006-0000-0C00-00000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</t>
        </r>
      </text>
    </comment>
    <comment ref="N9" authorId="0" shapeId="0" xr:uid="{00000000-0006-0000-0C00-00000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SUS/CA15</t>
        </r>
      </text>
    </comment>
    <comment ref="O9" authorId="0" shapeId="0" xr:uid="{00000000-0006-0000-0C00-00000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4A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P9" authorId="0" shapeId="0" xr:uid="{00000000-0006-0000-0C00-00000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5A</t>
        </r>
      </text>
    </comment>
    <comment ref="L10" authorId="0" shapeId="0" xr:uid="{00000000-0006-0000-0C00-00000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0" authorId="0" shapeId="0" xr:uid="{00000000-0006-0000-0C00-00000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0" authorId="0" shapeId="0" xr:uid="{00000000-0006-0000-0C00-00000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STEAM SILICONE</t>
        </r>
      </text>
    </comment>
    <comment ref="O10" authorId="0" shapeId="0" xr:uid="{00000000-0006-0000-0C00-00000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HYPALON</t>
        </r>
      </text>
    </comment>
    <comment ref="P10" authorId="0" shapeId="0" xr:uid="{00000000-0006-0000-0C00-00000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CHLORPRENE</t>
        </r>
      </text>
    </comment>
    <comment ref="M11" authorId="0" shapeId="0" xr:uid="{00000000-0006-0000-0C00-00000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비에스텍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완가공비</t>
        </r>
      </text>
    </comment>
    <comment ref="N11" authorId="0" shapeId="0" xr:uid="{00000000-0006-0000-0C00-00001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가공비</t>
        </r>
      </text>
    </comment>
    <comment ref="L12" authorId="0" shapeId="0" xr:uid="{00000000-0006-0000-0C00-00001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 PACKING(</t>
        </r>
        <r>
          <rPr>
            <sz val="9"/>
            <color indexed="81"/>
            <rFont val="돋움"/>
            <family val="3"/>
            <charset val="129"/>
          </rPr>
          <t>동우오일레스</t>
        </r>
        <r>
          <rPr>
            <sz val="9"/>
            <color indexed="81"/>
            <rFont val="Tahoma"/>
            <family val="2"/>
          </rPr>
          <t>)</t>
        </r>
      </text>
    </comment>
    <comment ref="L14" authorId="0" shapeId="0" xr:uid="{00000000-0006-0000-0C00-00001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성강정밀</t>
        </r>
        <r>
          <rPr>
            <sz val="9"/>
            <color indexed="81"/>
            <rFont val="Tahoma"/>
            <family val="2"/>
          </rPr>
          <t xml:space="preserve">
304/316/410</t>
        </r>
      </text>
    </comment>
    <comment ref="M18" authorId="0" shapeId="0" xr:uid="{00000000-0006-0000-0C00-00001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A240T304</t>
        </r>
      </text>
    </comment>
    <comment ref="M19" authorId="0" shapeId="0" xr:uid="{00000000-0006-0000-0C00-00001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9" authorId="0" shapeId="0" xr:uid="{00000000-0006-0000-0C00-00001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L20" authorId="0" shapeId="0" xr:uid="{00000000-0006-0000-0C00-00001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M20" authorId="0" shapeId="0" xr:uid="{00000000-0006-0000-0C00-00001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20" authorId="0" shapeId="0" xr:uid="{00000000-0006-0000-0C00-00001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20" authorId="0" shapeId="0" xr:uid="{00000000-0006-0000-0C00-00001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22" authorId="0" shapeId="0" xr:uid="{00000000-0006-0000-0C00-00001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PIYAKE
</t>
        </r>
      </text>
    </comment>
    <comment ref="M22" authorId="0" shapeId="0" xr:uid="{00000000-0006-0000-0C00-00001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 BAR</t>
        </r>
      </text>
    </comment>
    <comment ref="N22" authorId="0" shapeId="0" xr:uid="{00000000-0006-0000-0C00-00001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O22" authorId="0" shapeId="0" xr:uid="{00000000-0006-0000-0C00-00001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 BAR
</t>
        </r>
      </text>
    </comment>
    <comment ref="L23" authorId="0" shapeId="0" xr:uid="{00000000-0006-0000-0C00-00001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M23" authorId="0" shapeId="0" xr:uid="{00000000-0006-0000-0C00-00001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*2Coating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520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N23" authorId="0" shapeId="0" xr:uid="{00000000-0006-0000-0C00-00002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*3Coating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620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24" authorId="0" shapeId="0" xr:uid="{00000000-0006-0000-0C00-00002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L30" authorId="0" shapeId="0" xr:uid="{00000000-0006-0000-0C00-00002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30" authorId="0" shapeId="0" xr:uid="{00000000-0006-0000-0C00-00002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BARE/LEVER</t>
        </r>
      </text>
    </comment>
    <comment ref="N30" authorId="0" shapeId="0" xr:uid="{00000000-0006-0000-0C00-00002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GEAR</t>
        </r>
      </text>
    </comment>
    <comment ref="O30" authorId="0" shapeId="0" xr:uid="{00000000-0006-0000-0C00-00002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MOTOR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</authors>
  <commentList>
    <comment ref="R5" authorId="0" shapeId="0" xr:uid="{00000000-0006-0000-0D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TEST </t>
        </r>
        <r>
          <rPr>
            <sz val="9"/>
            <color indexed="81"/>
            <rFont val="돋움"/>
            <family val="3"/>
            <charset val="129"/>
          </rPr>
          <t>압력</t>
        </r>
        <r>
          <rPr>
            <sz val="9"/>
            <color indexed="81"/>
            <rFont val="Tahoma"/>
            <family val="2"/>
          </rPr>
          <t xml:space="preserve"> 11BAR </t>
        </r>
        <r>
          <rPr>
            <sz val="9"/>
            <color indexed="81"/>
            <rFont val="돋움"/>
            <family val="3"/>
            <charset val="129"/>
          </rPr>
          <t>초과시</t>
        </r>
        <r>
          <rPr>
            <sz val="9"/>
            <color indexed="81"/>
            <rFont val="Tahoma"/>
            <family val="2"/>
          </rPr>
          <t xml:space="preserve">(150A </t>
        </r>
        <r>
          <rPr>
            <sz val="9"/>
            <color indexed="81"/>
            <rFont val="돋움"/>
            <family val="3"/>
            <charset val="129"/>
          </rPr>
          <t>까지는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>)</t>
        </r>
      </text>
    </comment>
    <comment ref="L6" authorId="0" shapeId="0" xr:uid="{00000000-0006-0000-0D00-00000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M6" authorId="0" shapeId="0" xr:uid="{00000000-0006-0000-0D00-00000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L8" authorId="0" shapeId="0" xr:uid="{00000000-0006-0000-0D00-00000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L9" authorId="0" shapeId="0" xr:uid="{00000000-0006-0000-0D00-00000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9" authorId="0" shapeId="0" xr:uid="{00000000-0006-0000-0D00-00000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</t>
        </r>
      </text>
    </comment>
    <comment ref="N9" authorId="0" shapeId="0" xr:uid="{00000000-0006-0000-0D00-00000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SUS/CA15</t>
        </r>
      </text>
    </comment>
    <comment ref="O9" authorId="0" shapeId="0" xr:uid="{00000000-0006-0000-0D00-00000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4A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임의지정</t>
        </r>
      </text>
    </comment>
    <comment ref="P9" authorId="0" shapeId="0" xr:uid="{00000000-0006-0000-0D00-00000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5A</t>
        </r>
      </text>
    </comment>
    <comment ref="L10" authorId="0" shapeId="0" xr:uid="{00000000-0006-0000-0D00-00000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0" authorId="0" shapeId="0" xr:uid="{00000000-0006-0000-0D00-00000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0" authorId="0" shapeId="0" xr:uid="{00000000-0006-0000-0D00-00000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STEAM SILICONE</t>
        </r>
      </text>
    </comment>
    <comment ref="O10" authorId="0" shapeId="0" xr:uid="{00000000-0006-0000-0D00-00000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HYPALON</t>
        </r>
      </text>
    </comment>
    <comment ref="P10" authorId="0" shapeId="0" xr:uid="{00000000-0006-0000-0D00-00000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CHLORPRENE</t>
        </r>
      </text>
    </comment>
    <comment ref="M11" authorId="0" shapeId="0" xr:uid="{00000000-0006-0000-0D00-00000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비에스텍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완가공비
</t>
        </r>
        <r>
          <rPr>
            <sz val="9"/>
            <color indexed="81"/>
            <rFont val="Tahoma"/>
            <family val="2"/>
          </rPr>
          <t xml:space="preserve">450A </t>
        </r>
        <r>
          <rPr>
            <sz val="9"/>
            <color indexed="81"/>
            <rFont val="돋움"/>
            <family val="3"/>
            <charset val="129"/>
          </rPr>
          <t>까지는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비에스텍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</t>
        </r>
        <r>
          <rPr>
            <sz val="9"/>
            <color indexed="81"/>
            <rFont val="Tahoma"/>
            <family val="2"/>
          </rPr>
          <t>.</t>
        </r>
      </text>
    </comment>
    <comment ref="N11" authorId="0" shapeId="0" xr:uid="{00000000-0006-0000-0D00-00001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가공비</t>
        </r>
      </text>
    </comment>
    <comment ref="P11" authorId="0" shapeId="0" xr:uid="{00000000-0006-0000-0D00-00001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강남기계</t>
        </r>
        <r>
          <rPr>
            <sz val="9"/>
            <color indexed="81"/>
            <rFont val="Tahoma"/>
            <family val="2"/>
          </rPr>
          <t xml:space="preserve"> S32760
</t>
        </r>
      </text>
    </comment>
    <comment ref="L12" authorId="0" shapeId="0" xr:uid="{00000000-0006-0000-0D00-00001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 PACKING(</t>
        </r>
        <r>
          <rPr>
            <sz val="9"/>
            <color indexed="81"/>
            <rFont val="돋움"/>
            <family val="3"/>
            <charset val="129"/>
          </rPr>
          <t>동우오일레스</t>
        </r>
        <r>
          <rPr>
            <sz val="9"/>
            <color indexed="81"/>
            <rFont val="Tahoma"/>
            <family val="2"/>
          </rPr>
          <t>)</t>
        </r>
      </text>
    </comment>
    <comment ref="L14" authorId="0" shapeId="0" xr:uid="{00000000-0006-0000-0D00-00001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성강정밀</t>
        </r>
        <r>
          <rPr>
            <sz val="9"/>
            <color indexed="81"/>
            <rFont val="Tahoma"/>
            <family val="2"/>
          </rPr>
          <t xml:space="preserve">
304/316/410</t>
        </r>
      </text>
    </comment>
    <comment ref="M18" authorId="0" shapeId="0" xr:uid="{00000000-0006-0000-0D00-00001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A240T304</t>
        </r>
      </text>
    </comment>
    <comment ref="M19" authorId="0" shapeId="0" xr:uid="{00000000-0006-0000-0D00-00001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9" authorId="0" shapeId="0" xr:uid="{00000000-0006-0000-0D00-00001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L20" authorId="0" shapeId="0" xr:uid="{00000000-0006-0000-0D00-00001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M20" authorId="0" shapeId="0" xr:uid="{00000000-0006-0000-0D00-00001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20" authorId="0" shapeId="0" xr:uid="{00000000-0006-0000-0D00-00001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20" authorId="0" shapeId="0" xr:uid="{00000000-0006-0000-0D00-00001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22" authorId="0" shapeId="0" xr:uid="{00000000-0006-0000-0D00-00001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PIYAKE
</t>
        </r>
      </text>
    </comment>
    <comment ref="M22" authorId="0" shapeId="0" xr:uid="{00000000-0006-0000-0D00-00001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 BAR</t>
        </r>
      </text>
    </comment>
    <comment ref="N22" authorId="0" shapeId="0" xr:uid="{00000000-0006-0000-0D00-00001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O22" authorId="0" shapeId="0" xr:uid="{00000000-0006-0000-0D00-00001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 BAR
</t>
        </r>
      </text>
    </comment>
    <comment ref="L23" authorId="0" shapeId="0" xr:uid="{00000000-0006-0000-0D00-00001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M23" authorId="0" shapeId="0" xr:uid="{00000000-0006-0000-0D00-00002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*2Coating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520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N23" authorId="0" shapeId="0" xr:uid="{00000000-0006-0000-0D00-00002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*3Coating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620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24" authorId="0" shapeId="0" xr:uid="{00000000-0006-0000-0D00-00002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L30" authorId="0" shapeId="0" xr:uid="{00000000-0006-0000-0D00-00002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30" authorId="0" shapeId="0" xr:uid="{00000000-0006-0000-0D00-00002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BARE/LEVER</t>
        </r>
      </text>
    </comment>
    <comment ref="N30" authorId="0" shapeId="0" xr:uid="{00000000-0006-0000-0D00-00002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GEAR</t>
        </r>
      </text>
    </comment>
    <comment ref="O30" authorId="0" shapeId="0" xr:uid="{00000000-0006-0000-0D00-00002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MOTOR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</authors>
  <commentList>
    <comment ref="R5" authorId="0" shapeId="0" xr:uid="{00000000-0006-0000-0E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TEST </t>
        </r>
        <r>
          <rPr>
            <sz val="9"/>
            <color indexed="81"/>
            <rFont val="돋움"/>
            <family val="3"/>
            <charset val="129"/>
          </rPr>
          <t>압력</t>
        </r>
        <r>
          <rPr>
            <sz val="9"/>
            <color indexed="81"/>
            <rFont val="Tahoma"/>
            <family val="2"/>
          </rPr>
          <t xml:space="preserve"> 11BAR </t>
        </r>
        <r>
          <rPr>
            <sz val="9"/>
            <color indexed="81"/>
            <rFont val="돋움"/>
            <family val="3"/>
            <charset val="129"/>
          </rPr>
          <t>초과시</t>
        </r>
        <r>
          <rPr>
            <sz val="9"/>
            <color indexed="81"/>
            <rFont val="Tahoma"/>
            <family val="2"/>
          </rPr>
          <t xml:space="preserve">(150A </t>
        </r>
        <r>
          <rPr>
            <sz val="9"/>
            <color indexed="81"/>
            <rFont val="돋움"/>
            <family val="3"/>
            <charset val="129"/>
          </rPr>
          <t>까지는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>)</t>
        </r>
      </text>
    </comment>
    <comment ref="L6" authorId="0" shapeId="0" xr:uid="{00000000-0006-0000-0E00-00000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6" authorId="0" shapeId="0" xr:uid="{00000000-0006-0000-0E00-00000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JIS 10K</t>
        </r>
      </text>
    </comment>
    <comment ref="L7" authorId="0" shapeId="0" xr:uid="{00000000-0006-0000-0E00-00000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7" authorId="0" shapeId="0" xr:uid="{00000000-0006-0000-0E00-00000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JIS 10K</t>
        </r>
      </text>
    </comment>
    <comment ref="L8" authorId="0" shapeId="0" xr:uid="{00000000-0006-0000-0E00-00000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8" authorId="0" shapeId="0" xr:uid="{00000000-0006-0000-0E00-00000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JIS 10K</t>
        </r>
      </text>
    </comment>
    <comment ref="L9" authorId="0" shapeId="0" xr:uid="{00000000-0006-0000-0E00-00000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9" authorId="0" shapeId="0" xr:uid="{00000000-0006-0000-0E00-00000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</t>
        </r>
      </text>
    </comment>
    <comment ref="N9" authorId="0" shapeId="0" xr:uid="{00000000-0006-0000-0E00-00000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SUS/CA15</t>
        </r>
      </text>
    </comment>
    <comment ref="O9" authorId="0" shapeId="0" xr:uid="{00000000-0006-0000-0E00-00000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4A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임의지정</t>
        </r>
      </text>
    </comment>
    <comment ref="L10" authorId="0" shapeId="0" xr:uid="{00000000-0006-0000-0E00-00000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0" authorId="0" shapeId="0" xr:uid="{00000000-0006-0000-0E00-00000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0" authorId="0" shapeId="0" xr:uid="{00000000-0006-0000-0E00-00000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STEAM SILICONE</t>
        </r>
      </text>
    </comment>
    <comment ref="O10" authorId="0" shapeId="0" xr:uid="{00000000-0006-0000-0E00-00000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HYPALON</t>
        </r>
      </text>
    </comment>
    <comment ref="P10" authorId="0" shapeId="0" xr:uid="{00000000-0006-0000-0E00-00001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CHLORPRENE</t>
        </r>
      </text>
    </comment>
    <comment ref="M11" authorId="0" shapeId="0" xr:uid="{00000000-0006-0000-0E00-00001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비에스텍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완가공비</t>
        </r>
      </text>
    </comment>
    <comment ref="N11" authorId="0" shapeId="0" xr:uid="{00000000-0006-0000-0E00-00001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가공비</t>
        </r>
      </text>
    </comment>
    <comment ref="O11" authorId="0" shapeId="0" xr:uid="{00000000-0006-0000-0E00-00001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500A </t>
        </r>
        <r>
          <rPr>
            <sz val="9"/>
            <color indexed="81"/>
            <rFont val="돋움"/>
            <family val="3"/>
            <charset val="129"/>
          </rPr>
          <t>부터는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사내가공</t>
        </r>
      </text>
    </comment>
    <comment ref="P11" authorId="0" shapeId="0" xr:uid="{00000000-0006-0000-0E00-00001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강남기계</t>
        </r>
        <r>
          <rPr>
            <sz val="9"/>
            <color indexed="81"/>
            <rFont val="Tahoma"/>
            <family val="2"/>
          </rPr>
          <t xml:space="preserve"> S32760
</t>
        </r>
      </text>
    </comment>
    <comment ref="L12" authorId="0" shapeId="0" xr:uid="{00000000-0006-0000-0E00-00001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ALBC2 - </t>
        </r>
        <r>
          <rPr>
            <sz val="9"/>
            <color indexed="81"/>
            <rFont val="돋움"/>
            <family val="3"/>
            <charset val="129"/>
          </rPr>
          <t>동우오일레스</t>
        </r>
      </text>
    </comment>
    <comment ref="M15" authorId="0" shapeId="0" xr:uid="{00000000-0006-0000-0E00-00001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</t>
        </r>
      </text>
    </comment>
    <comment ref="N15" authorId="0" shapeId="0" xr:uid="{00000000-0006-0000-0E00-00001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BODY MATERIAL</t>
        </r>
      </text>
    </comment>
    <comment ref="L16" authorId="0" shapeId="0" xr:uid="{00000000-0006-0000-0E00-00001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HEX BOLT</t>
        </r>
      </text>
    </comment>
    <comment ref="M16" authorId="0" shapeId="0" xr:uid="{00000000-0006-0000-0E00-00001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6" authorId="0" shapeId="0" xr:uid="{00000000-0006-0000-0E00-00001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16" authorId="0" shapeId="0" xr:uid="{00000000-0006-0000-0E00-00001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17" authorId="0" shapeId="0" xr:uid="{00000000-0006-0000-0E00-00001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ALBC2</t>
        </r>
      </text>
    </comment>
    <comment ref="M18" authorId="0" shapeId="0" xr:uid="{00000000-0006-0000-0E00-00001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
</t>
        </r>
      </text>
    </comment>
    <comment ref="M19" authorId="0" shapeId="0" xr:uid="{00000000-0006-0000-0E00-00001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9" authorId="0" shapeId="0" xr:uid="{00000000-0006-0000-0E00-00001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M20" authorId="0" shapeId="0" xr:uid="{00000000-0006-0000-0E00-00002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20" authorId="0" shapeId="0" xr:uid="{00000000-0006-0000-0E00-00002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20" authorId="0" shapeId="0" xr:uid="{00000000-0006-0000-0E00-00002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22" authorId="0" shapeId="0" xr:uid="{00000000-0006-0000-0E00-00002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PIYAKE
</t>
        </r>
      </text>
    </comment>
    <comment ref="M22" authorId="0" shapeId="0" xr:uid="{00000000-0006-0000-0E00-00002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 BAR</t>
        </r>
      </text>
    </comment>
    <comment ref="N22" authorId="0" shapeId="0" xr:uid="{00000000-0006-0000-0E00-00002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O22" authorId="0" shapeId="0" xr:uid="{00000000-0006-0000-0E00-00002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L23" authorId="0" shapeId="0" xr:uid="{00000000-0006-0000-0E00-00002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M23" authorId="0" shapeId="0" xr:uid="{00000000-0006-0000-0E00-00002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*2Coating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520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N23" authorId="0" shapeId="0" xr:uid="{00000000-0006-0000-0E00-00002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*3Coating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620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24" authorId="0" shapeId="0" xr:uid="{00000000-0006-0000-0E00-00002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L30" authorId="0" shapeId="0" xr:uid="{00000000-0006-0000-0E00-00002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30" authorId="0" shapeId="0" xr:uid="{00000000-0006-0000-0E00-00002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BARE/LEVER</t>
        </r>
      </text>
    </comment>
    <comment ref="N30" authorId="0" shapeId="0" xr:uid="{00000000-0006-0000-0E00-00002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GEAR</t>
        </r>
      </text>
    </comment>
    <comment ref="O30" authorId="0" shapeId="0" xr:uid="{00000000-0006-0000-0E00-00002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MOTOR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</authors>
  <commentList>
    <comment ref="R5" authorId="0" shapeId="0" xr:uid="{00000000-0006-0000-0F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TEST </t>
        </r>
        <r>
          <rPr>
            <sz val="9"/>
            <color indexed="81"/>
            <rFont val="돋움"/>
            <family val="3"/>
            <charset val="129"/>
          </rPr>
          <t>압력</t>
        </r>
        <r>
          <rPr>
            <sz val="9"/>
            <color indexed="81"/>
            <rFont val="Tahoma"/>
            <family val="2"/>
          </rPr>
          <t xml:space="preserve"> 11BAR </t>
        </r>
        <r>
          <rPr>
            <sz val="9"/>
            <color indexed="81"/>
            <rFont val="돋움"/>
            <family val="3"/>
            <charset val="129"/>
          </rPr>
          <t>초과시</t>
        </r>
        <r>
          <rPr>
            <sz val="9"/>
            <color indexed="81"/>
            <rFont val="Tahoma"/>
            <family val="2"/>
          </rPr>
          <t xml:space="preserve">(150A </t>
        </r>
        <r>
          <rPr>
            <sz val="9"/>
            <color indexed="81"/>
            <rFont val="돋움"/>
            <family val="3"/>
            <charset val="129"/>
          </rPr>
          <t>까지는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>)</t>
        </r>
      </text>
    </comment>
    <comment ref="L6" authorId="0" shapeId="0" xr:uid="{00000000-0006-0000-0F00-00000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6" authorId="0" shapeId="0" xr:uid="{00000000-0006-0000-0F00-00000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L7" authorId="0" shapeId="0" xr:uid="{00000000-0006-0000-0F00-00000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7" authorId="0" shapeId="0" xr:uid="{00000000-0006-0000-0F00-00000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JIS 10K</t>
        </r>
      </text>
    </comment>
    <comment ref="L8" authorId="0" shapeId="0" xr:uid="{00000000-0006-0000-0F00-00000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8" authorId="0" shapeId="0" xr:uid="{00000000-0006-0000-0F00-00000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JIS 10K</t>
        </r>
      </text>
    </comment>
    <comment ref="L9" authorId="0" shapeId="0" xr:uid="{00000000-0006-0000-0F00-00000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9" authorId="0" shapeId="0" xr:uid="{00000000-0006-0000-0F00-00000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</t>
        </r>
      </text>
    </comment>
    <comment ref="N9" authorId="0" shapeId="0" xr:uid="{00000000-0006-0000-0F00-00000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</t>
        </r>
      </text>
    </comment>
    <comment ref="O9" authorId="0" shapeId="0" xr:uid="{00000000-0006-0000-0F00-00000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4A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임의지정</t>
        </r>
      </text>
    </comment>
    <comment ref="L10" authorId="0" shapeId="0" xr:uid="{00000000-0006-0000-0F00-00000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0" authorId="0" shapeId="0" xr:uid="{00000000-0006-0000-0F00-00000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0" authorId="0" shapeId="0" xr:uid="{00000000-0006-0000-0F00-00000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STEAM SILICONE</t>
        </r>
      </text>
    </comment>
    <comment ref="O10" authorId="0" shapeId="0" xr:uid="{00000000-0006-0000-0F00-00000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HYPALON</t>
        </r>
      </text>
    </comment>
    <comment ref="P10" authorId="0" shapeId="0" xr:uid="{00000000-0006-0000-0F00-00001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CHLORPRENE</t>
        </r>
      </text>
    </comment>
    <comment ref="M11" authorId="0" shapeId="0" xr:uid="{00000000-0006-0000-0F00-00001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비에스텍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완가공비</t>
        </r>
      </text>
    </comment>
    <comment ref="N11" authorId="0" shapeId="0" xr:uid="{00000000-0006-0000-0F00-00001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가공비</t>
        </r>
      </text>
    </comment>
    <comment ref="P11" authorId="0" shapeId="0" xr:uid="{00000000-0006-0000-0F00-00001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강남기계</t>
        </r>
        <r>
          <rPr>
            <sz val="9"/>
            <color indexed="81"/>
            <rFont val="Tahoma"/>
            <family val="2"/>
          </rPr>
          <t xml:space="preserve"> S32760
</t>
        </r>
      </text>
    </comment>
    <comment ref="L12" authorId="0" shapeId="0" xr:uid="{00000000-0006-0000-0F00-00001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ALBC2 - </t>
        </r>
        <r>
          <rPr>
            <sz val="9"/>
            <color indexed="81"/>
            <rFont val="돋움"/>
            <family val="3"/>
            <charset val="129"/>
          </rPr>
          <t>동우오일레스</t>
        </r>
      </text>
    </comment>
    <comment ref="M15" authorId="0" shapeId="0" xr:uid="{00000000-0006-0000-0F00-00001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</t>
        </r>
      </text>
    </comment>
    <comment ref="N15" authorId="0" shapeId="0" xr:uid="{00000000-0006-0000-0F00-00001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BODY MATERIAL</t>
        </r>
      </text>
    </comment>
    <comment ref="L16" authorId="0" shapeId="0" xr:uid="{00000000-0006-0000-0F00-00001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HEX BOLT</t>
        </r>
      </text>
    </comment>
    <comment ref="M16" authorId="0" shapeId="0" xr:uid="{00000000-0006-0000-0F00-00001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6" authorId="0" shapeId="0" xr:uid="{00000000-0006-0000-0F00-00001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16" authorId="0" shapeId="0" xr:uid="{00000000-0006-0000-0F00-00001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17" authorId="0" shapeId="0" xr:uid="{00000000-0006-0000-0F00-00001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ALBC2</t>
        </r>
      </text>
    </comment>
    <comment ref="M18" authorId="0" shapeId="0" xr:uid="{00000000-0006-0000-0F00-00001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
</t>
        </r>
      </text>
    </comment>
    <comment ref="M19" authorId="0" shapeId="0" xr:uid="{00000000-0006-0000-0F00-00001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9" authorId="0" shapeId="0" xr:uid="{00000000-0006-0000-0F00-00001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M20" authorId="0" shapeId="0" xr:uid="{00000000-0006-0000-0F00-00001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20" authorId="0" shapeId="0" xr:uid="{00000000-0006-0000-0F00-00002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20" authorId="0" shapeId="0" xr:uid="{00000000-0006-0000-0F00-00002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22" authorId="0" shapeId="0" xr:uid="{00000000-0006-0000-0F00-00002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PIYAKE
</t>
        </r>
      </text>
    </comment>
    <comment ref="M22" authorId="0" shapeId="0" xr:uid="{00000000-0006-0000-0F00-00002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 BAR</t>
        </r>
      </text>
    </comment>
    <comment ref="N22" authorId="0" shapeId="0" xr:uid="{00000000-0006-0000-0F00-00002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O22" authorId="0" shapeId="0" xr:uid="{00000000-0006-0000-0F00-00002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 BAR
</t>
        </r>
      </text>
    </comment>
    <comment ref="L23" authorId="0" shapeId="0" xr:uid="{00000000-0006-0000-0F00-00002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M23" authorId="0" shapeId="0" xr:uid="{00000000-0006-0000-0F00-00002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*2Coating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520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N23" authorId="0" shapeId="0" xr:uid="{00000000-0006-0000-0F00-00002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*3Coating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620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24" authorId="0" shapeId="0" xr:uid="{00000000-0006-0000-0F00-00002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L30" authorId="0" shapeId="0" xr:uid="{00000000-0006-0000-0F00-00002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30" authorId="0" shapeId="0" xr:uid="{00000000-0006-0000-0F00-00002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BARE/LEVER</t>
        </r>
      </text>
    </comment>
    <comment ref="N30" authorId="0" shapeId="0" xr:uid="{00000000-0006-0000-0F00-00002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GEAR</t>
        </r>
      </text>
    </comment>
    <comment ref="O30" authorId="0" shapeId="0" xr:uid="{00000000-0006-0000-0F00-00002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MOTOR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</authors>
  <commentList>
    <comment ref="R5" authorId="0" shapeId="0" xr:uid="{00000000-0006-0000-10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TEST </t>
        </r>
        <r>
          <rPr>
            <sz val="9"/>
            <color indexed="81"/>
            <rFont val="돋움"/>
            <family val="3"/>
            <charset val="129"/>
          </rPr>
          <t>압력</t>
        </r>
        <r>
          <rPr>
            <sz val="9"/>
            <color indexed="81"/>
            <rFont val="Tahoma"/>
            <family val="2"/>
          </rPr>
          <t xml:space="preserve"> 11BAR </t>
        </r>
        <r>
          <rPr>
            <sz val="9"/>
            <color indexed="81"/>
            <rFont val="돋움"/>
            <family val="3"/>
            <charset val="129"/>
          </rPr>
          <t>초과시</t>
        </r>
        <r>
          <rPr>
            <sz val="9"/>
            <color indexed="81"/>
            <rFont val="Tahoma"/>
            <family val="2"/>
          </rPr>
          <t xml:space="preserve">(150A </t>
        </r>
        <r>
          <rPr>
            <sz val="9"/>
            <color indexed="81"/>
            <rFont val="돋움"/>
            <family val="3"/>
            <charset val="129"/>
          </rPr>
          <t>까지는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>)</t>
        </r>
      </text>
    </comment>
    <comment ref="L6" authorId="0" shapeId="0" xr:uid="{00000000-0006-0000-1000-00000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ASME B16.47 SER'A</t>
        </r>
      </text>
    </comment>
    <comment ref="M6" authorId="0" shapeId="0" xr:uid="{00000000-0006-0000-1000-00000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내가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지정</t>
        </r>
      </text>
    </comment>
    <comment ref="L7" authorId="0" shapeId="0" xr:uid="{00000000-0006-0000-1000-00000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JIS 10K </t>
        </r>
      </text>
    </comment>
    <comment ref="M7" authorId="0" shapeId="0" xr:uid="{00000000-0006-0000-1000-00000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JIS 10K</t>
        </r>
      </text>
    </comment>
    <comment ref="L8" authorId="0" shapeId="0" xr:uid="{00000000-0006-0000-1000-00000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ASME B16.47 SER'A</t>
        </r>
      </text>
    </comment>
    <comment ref="M8" authorId="0" shapeId="0" xr:uid="{00000000-0006-0000-1000-00000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내가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지정</t>
        </r>
      </text>
    </comment>
    <comment ref="L9" authorId="0" shapeId="0" xr:uid="{00000000-0006-0000-1000-00000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9" authorId="0" shapeId="0" xr:uid="{00000000-0006-0000-1000-00000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</t>
        </r>
      </text>
    </comment>
    <comment ref="N9" authorId="0" shapeId="0" xr:uid="{00000000-0006-0000-1000-00000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SUS/CA15</t>
        </r>
      </text>
    </comment>
    <comment ref="O9" authorId="0" shapeId="0" xr:uid="{00000000-0006-0000-1000-00000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4A</t>
        </r>
      </text>
    </comment>
    <comment ref="P9" authorId="0" shapeId="0" xr:uid="{00000000-0006-0000-1000-00000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5A</t>
        </r>
      </text>
    </comment>
    <comment ref="L10" authorId="0" shapeId="0" xr:uid="{00000000-0006-0000-1000-00000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0" authorId="0" shapeId="0" xr:uid="{00000000-0006-0000-1000-00000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0" authorId="0" shapeId="0" xr:uid="{00000000-0006-0000-1000-00000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STEAM SILICONE</t>
        </r>
      </text>
    </comment>
    <comment ref="O10" authorId="0" shapeId="0" xr:uid="{00000000-0006-0000-1000-00001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HYPALON</t>
        </r>
      </text>
    </comment>
    <comment ref="P10" authorId="0" shapeId="0" xr:uid="{00000000-0006-0000-1000-00001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CHLORPRENE</t>
        </r>
      </text>
    </comment>
    <comment ref="M11" authorId="0" shapeId="0" xr:uid="{00000000-0006-0000-1000-00001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비에스텍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완가공비</t>
        </r>
      </text>
    </comment>
    <comment ref="N11" authorId="0" shapeId="0" xr:uid="{00000000-0006-0000-1000-00001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가공비</t>
        </r>
      </text>
    </comment>
    <comment ref="L12" authorId="0" shapeId="0" xr:uid="{00000000-0006-0000-1000-00001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ALBC2 - </t>
        </r>
        <r>
          <rPr>
            <sz val="9"/>
            <color indexed="81"/>
            <rFont val="돋움"/>
            <family val="3"/>
            <charset val="129"/>
          </rPr>
          <t>동우오일레스</t>
        </r>
      </text>
    </comment>
    <comment ref="M15" authorId="0" shapeId="0" xr:uid="{00000000-0006-0000-1000-00001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</t>
        </r>
      </text>
    </comment>
    <comment ref="N15" authorId="0" shapeId="0" xr:uid="{00000000-0006-0000-1000-00001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BODY MATERIAL</t>
        </r>
      </text>
    </comment>
    <comment ref="L16" authorId="0" shapeId="0" xr:uid="{00000000-0006-0000-1000-00001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HEX BOLT</t>
        </r>
      </text>
    </comment>
    <comment ref="M16" authorId="0" shapeId="0" xr:uid="{00000000-0006-0000-1000-00001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6" authorId="0" shapeId="0" xr:uid="{00000000-0006-0000-1000-00001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16" authorId="0" shapeId="0" xr:uid="{00000000-0006-0000-1000-00001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17" authorId="0" shapeId="0" xr:uid="{00000000-0006-0000-1000-00001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ALBC2</t>
        </r>
      </text>
    </comment>
    <comment ref="M18" authorId="0" shapeId="0" xr:uid="{00000000-0006-0000-1000-00001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
</t>
        </r>
      </text>
    </comment>
    <comment ref="M19" authorId="0" shapeId="0" xr:uid="{00000000-0006-0000-1000-00001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9" authorId="0" shapeId="0" xr:uid="{00000000-0006-0000-1000-00001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M20" authorId="0" shapeId="0" xr:uid="{00000000-0006-0000-1000-00001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20" authorId="0" shapeId="0" xr:uid="{00000000-0006-0000-1000-00002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20" authorId="0" shapeId="0" xr:uid="{00000000-0006-0000-1000-00002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22" authorId="0" shapeId="0" xr:uid="{00000000-0006-0000-1000-00002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PIYAKE
</t>
        </r>
      </text>
    </comment>
    <comment ref="M22" authorId="0" shapeId="0" xr:uid="{00000000-0006-0000-1000-00002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 BAR</t>
        </r>
      </text>
    </comment>
    <comment ref="N22" authorId="0" shapeId="0" xr:uid="{00000000-0006-0000-1000-00002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O22" authorId="0" shapeId="0" xr:uid="{00000000-0006-0000-1000-00002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L23" authorId="0" shapeId="0" xr:uid="{00000000-0006-0000-1000-00002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M23" authorId="0" shapeId="0" xr:uid="{00000000-0006-0000-1000-00002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*2Coating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520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N23" authorId="0" shapeId="0" xr:uid="{00000000-0006-0000-1000-00002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*3Coating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620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24" authorId="0" shapeId="0" xr:uid="{00000000-0006-0000-1000-00002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L30" authorId="0" shapeId="0" xr:uid="{00000000-0006-0000-1000-00002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30" authorId="0" shapeId="0" xr:uid="{00000000-0006-0000-1000-00002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BARE/LEVER</t>
        </r>
      </text>
    </comment>
    <comment ref="N30" authorId="0" shapeId="0" xr:uid="{00000000-0006-0000-1000-00002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GEAR</t>
        </r>
      </text>
    </comment>
    <comment ref="O30" authorId="0" shapeId="0" xr:uid="{00000000-0006-0000-1000-00002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MOTOR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</authors>
  <commentList>
    <comment ref="R5" authorId="0" shapeId="0" xr:uid="{00000000-0006-0000-11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TEST </t>
        </r>
        <r>
          <rPr>
            <sz val="9"/>
            <color indexed="81"/>
            <rFont val="돋움"/>
            <family val="3"/>
            <charset val="129"/>
          </rPr>
          <t>압력</t>
        </r>
        <r>
          <rPr>
            <sz val="9"/>
            <color indexed="81"/>
            <rFont val="Tahoma"/>
            <family val="2"/>
          </rPr>
          <t xml:space="preserve"> 11BAR </t>
        </r>
        <r>
          <rPr>
            <sz val="9"/>
            <color indexed="81"/>
            <rFont val="돋움"/>
            <family val="3"/>
            <charset val="129"/>
          </rPr>
          <t>초과시</t>
        </r>
        <r>
          <rPr>
            <sz val="9"/>
            <color indexed="81"/>
            <rFont val="Tahoma"/>
            <family val="2"/>
          </rPr>
          <t xml:space="preserve">(150A </t>
        </r>
        <r>
          <rPr>
            <sz val="9"/>
            <color indexed="81"/>
            <rFont val="돋움"/>
            <family val="3"/>
            <charset val="129"/>
          </rPr>
          <t>까지는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>)</t>
        </r>
      </text>
    </comment>
    <comment ref="F6" authorId="0" shapeId="0" xr:uid="{00000000-0006-0000-1100-00000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L6" authorId="0" shapeId="0" xr:uid="{00000000-0006-0000-1100-00000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6" authorId="0" shapeId="0" xr:uid="{00000000-0006-0000-1100-00000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L7" authorId="0" shapeId="0" xr:uid="{00000000-0006-0000-1100-00000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7" authorId="0" shapeId="0" xr:uid="{00000000-0006-0000-1100-00000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JIS 10K</t>
        </r>
      </text>
    </comment>
    <comment ref="L8" authorId="0" shapeId="0" xr:uid="{00000000-0006-0000-1100-00000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ASME B16.47 SER'A</t>
        </r>
      </text>
    </comment>
    <comment ref="M8" authorId="0" shapeId="0" xr:uid="{00000000-0006-0000-1100-00000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내가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지정</t>
        </r>
      </text>
    </comment>
    <comment ref="L9" authorId="0" shapeId="0" xr:uid="{00000000-0006-0000-1100-00000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9" authorId="0" shapeId="0" xr:uid="{00000000-0006-0000-1100-00000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</t>
        </r>
      </text>
    </comment>
    <comment ref="N9" authorId="0" shapeId="0" xr:uid="{00000000-0006-0000-1100-00000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SUS/CA15</t>
        </r>
      </text>
    </comment>
    <comment ref="O9" authorId="0" shapeId="0" xr:uid="{00000000-0006-0000-1100-00000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4A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L10" authorId="0" shapeId="0" xr:uid="{00000000-0006-0000-1100-00000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0" authorId="0" shapeId="0" xr:uid="{00000000-0006-0000-1100-00000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0" authorId="0" shapeId="0" xr:uid="{00000000-0006-0000-1100-00000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STEAM SILICONE</t>
        </r>
      </text>
    </comment>
    <comment ref="O10" authorId="0" shapeId="0" xr:uid="{00000000-0006-0000-1100-00001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HYPALON</t>
        </r>
      </text>
    </comment>
    <comment ref="P10" authorId="0" shapeId="0" xr:uid="{00000000-0006-0000-1100-00001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CHLORPRENE</t>
        </r>
      </text>
    </comment>
    <comment ref="M11" authorId="0" shapeId="0" xr:uid="{00000000-0006-0000-1100-00001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비에스텍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완가공비</t>
        </r>
      </text>
    </comment>
    <comment ref="N11" authorId="0" shapeId="0" xr:uid="{00000000-0006-0000-1100-00001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가공비</t>
        </r>
      </text>
    </comment>
    <comment ref="P11" authorId="0" shapeId="0" xr:uid="{00000000-0006-0000-1100-00001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강남기계</t>
        </r>
        <r>
          <rPr>
            <sz val="9"/>
            <color indexed="81"/>
            <rFont val="Tahoma"/>
            <family val="2"/>
          </rPr>
          <t xml:space="preserve"> S32760
</t>
        </r>
      </text>
    </comment>
    <comment ref="L12" authorId="0" shapeId="0" xr:uid="{00000000-0006-0000-1100-00001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ALBC2 - </t>
        </r>
        <r>
          <rPr>
            <sz val="9"/>
            <color indexed="81"/>
            <rFont val="돋움"/>
            <family val="3"/>
            <charset val="129"/>
          </rPr>
          <t>동우오일레스</t>
        </r>
      </text>
    </comment>
    <comment ref="M15" authorId="0" shapeId="0" xr:uid="{00000000-0006-0000-1100-00001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</t>
        </r>
      </text>
    </comment>
    <comment ref="N15" authorId="0" shapeId="0" xr:uid="{00000000-0006-0000-1100-00001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BODY MATERIAL</t>
        </r>
      </text>
    </comment>
    <comment ref="L16" authorId="0" shapeId="0" xr:uid="{00000000-0006-0000-1100-00001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HEX BOLT</t>
        </r>
      </text>
    </comment>
    <comment ref="M16" authorId="0" shapeId="0" xr:uid="{00000000-0006-0000-1100-00001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6" authorId="0" shapeId="0" xr:uid="{00000000-0006-0000-1100-00001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16" authorId="0" shapeId="0" xr:uid="{00000000-0006-0000-1100-00001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17" authorId="0" shapeId="0" xr:uid="{00000000-0006-0000-1100-00001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ALBC2</t>
        </r>
      </text>
    </comment>
    <comment ref="M18" authorId="0" shapeId="0" xr:uid="{00000000-0006-0000-1100-00001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
</t>
        </r>
      </text>
    </comment>
    <comment ref="M19" authorId="0" shapeId="0" xr:uid="{00000000-0006-0000-1100-00001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9" authorId="0" shapeId="0" xr:uid="{00000000-0006-0000-1100-00001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M20" authorId="0" shapeId="0" xr:uid="{00000000-0006-0000-1100-00002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20" authorId="0" shapeId="0" xr:uid="{00000000-0006-0000-1100-00002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20" authorId="0" shapeId="0" xr:uid="{00000000-0006-0000-1100-00002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22" authorId="0" shapeId="0" xr:uid="{00000000-0006-0000-1100-00002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PIYAKE
</t>
        </r>
      </text>
    </comment>
    <comment ref="M22" authorId="0" shapeId="0" xr:uid="{00000000-0006-0000-1100-00002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 BAR</t>
        </r>
      </text>
    </comment>
    <comment ref="N22" authorId="0" shapeId="0" xr:uid="{00000000-0006-0000-1100-00002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O22" authorId="0" shapeId="0" xr:uid="{00000000-0006-0000-1100-00002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 BAR
</t>
        </r>
      </text>
    </comment>
    <comment ref="L23" authorId="0" shapeId="0" xr:uid="{00000000-0006-0000-1100-00002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M23" authorId="0" shapeId="0" xr:uid="{00000000-0006-0000-1100-00002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*2Coating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520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N23" authorId="0" shapeId="0" xr:uid="{00000000-0006-0000-1100-00002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*3Coating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620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24" authorId="0" shapeId="0" xr:uid="{00000000-0006-0000-1100-00002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L30" authorId="0" shapeId="0" xr:uid="{00000000-0006-0000-1100-00002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30" authorId="0" shapeId="0" xr:uid="{00000000-0006-0000-1100-00002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BARE/LEVER</t>
        </r>
      </text>
    </comment>
    <comment ref="N30" authorId="0" shapeId="0" xr:uid="{00000000-0006-0000-1100-00002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GEAR</t>
        </r>
      </text>
    </comment>
    <comment ref="O30" authorId="0" shapeId="0" xr:uid="{00000000-0006-0000-1100-00002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MOTOR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</authors>
  <commentList>
    <comment ref="R5" authorId="0" shapeId="0" xr:uid="{00000000-0006-0000-12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TEST </t>
        </r>
        <r>
          <rPr>
            <sz val="9"/>
            <color indexed="81"/>
            <rFont val="돋움"/>
            <family val="3"/>
            <charset val="129"/>
          </rPr>
          <t>압력</t>
        </r>
        <r>
          <rPr>
            <sz val="9"/>
            <color indexed="81"/>
            <rFont val="Tahoma"/>
            <family val="2"/>
          </rPr>
          <t xml:space="preserve"> 11BAR </t>
        </r>
        <r>
          <rPr>
            <sz val="9"/>
            <color indexed="81"/>
            <rFont val="돋움"/>
            <family val="3"/>
            <charset val="129"/>
          </rPr>
          <t>초과시</t>
        </r>
        <r>
          <rPr>
            <sz val="9"/>
            <color indexed="81"/>
            <rFont val="Tahoma"/>
            <family val="2"/>
          </rPr>
          <t xml:space="preserve">(150A </t>
        </r>
        <r>
          <rPr>
            <sz val="9"/>
            <color indexed="81"/>
            <rFont val="돋움"/>
            <family val="3"/>
            <charset val="129"/>
          </rPr>
          <t>까지는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>)</t>
        </r>
      </text>
    </comment>
    <comment ref="M6" authorId="0" shapeId="0" xr:uid="{00000000-0006-0000-1200-00000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L7" authorId="0" shapeId="0" xr:uid="{00000000-0006-0000-1200-00000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L8" authorId="0" shapeId="0" xr:uid="{00000000-0006-0000-1200-00000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AWWA C207 CL.B</t>
        </r>
      </text>
    </comment>
    <comment ref="M8" authorId="0" shapeId="0" xr:uid="{00000000-0006-0000-1200-00000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JIS 10K</t>
        </r>
      </text>
    </comment>
    <comment ref="L9" authorId="0" shapeId="0" xr:uid="{00000000-0006-0000-1200-00000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9" authorId="0" shapeId="0" xr:uid="{00000000-0006-0000-1200-00000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</t>
        </r>
      </text>
    </comment>
    <comment ref="N9" authorId="0" shapeId="0" xr:uid="{00000000-0006-0000-1200-00000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SUS/CA15</t>
        </r>
      </text>
    </comment>
    <comment ref="O9" authorId="0" shapeId="0" xr:uid="{00000000-0006-0000-1200-00000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4A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L10" authorId="0" shapeId="0" xr:uid="{00000000-0006-0000-1200-00000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0" authorId="0" shapeId="0" xr:uid="{00000000-0006-0000-1200-00000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0" authorId="0" shapeId="0" xr:uid="{00000000-0006-0000-1200-00000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STEAM SILICONE</t>
        </r>
      </text>
    </comment>
    <comment ref="O10" authorId="0" shapeId="0" xr:uid="{00000000-0006-0000-1200-00000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HYPALON</t>
        </r>
      </text>
    </comment>
    <comment ref="P10" authorId="0" shapeId="0" xr:uid="{00000000-0006-0000-1200-00000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CHLORPRENE</t>
        </r>
      </text>
    </comment>
    <comment ref="M11" authorId="0" shapeId="0" xr:uid="{00000000-0006-0000-1200-00000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비에스텍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완가공비</t>
        </r>
      </text>
    </comment>
    <comment ref="N11" authorId="0" shapeId="0" xr:uid="{00000000-0006-0000-1200-00001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가공비</t>
        </r>
      </text>
    </comment>
    <comment ref="P11" authorId="0" shapeId="0" xr:uid="{00000000-0006-0000-1200-00001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강남기계</t>
        </r>
        <r>
          <rPr>
            <sz val="9"/>
            <color indexed="81"/>
            <rFont val="Tahoma"/>
            <family val="2"/>
          </rPr>
          <t xml:space="preserve"> S32760
</t>
        </r>
      </text>
    </comment>
    <comment ref="L12" authorId="0" shapeId="0" xr:uid="{00000000-0006-0000-1200-00001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ALBC2 - </t>
        </r>
        <r>
          <rPr>
            <sz val="9"/>
            <color indexed="81"/>
            <rFont val="돋움"/>
            <family val="3"/>
            <charset val="129"/>
          </rPr>
          <t>동우오일레스</t>
        </r>
      </text>
    </comment>
    <comment ref="M15" authorId="0" shapeId="0" xr:uid="{00000000-0006-0000-1200-00001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</t>
        </r>
      </text>
    </comment>
    <comment ref="N15" authorId="0" shapeId="0" xr:uid="{00000000-0006-0000-1200-00001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BODY MATERIAL</t>
        </r>
      </text>
    </comment>
    <comment ref="L16" authorId="0" shapeId="0" xr:uid="{00000000-0006-0000-1200-00001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HEX BOLT</t>
        </r>
      </text>
    </comment>
    <comment ref="M16" authorId="0" shapeId="0" xr:uid="{00000000-0006-0000-1200-00001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6" authorId="0" shapeId="0" xr:uid="{00000000-0006-0000-1200-00001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16" authorId="0" shapeId="0" xr:uid="{00000000-0006-0000-1200-00001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17" authorId="0" shapeId="0" xr:uid="{00000000-0006-0000-1200-00001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ALBC2</t>
        </r>
      </text>
    </comment>
    <comment ref="M18" authorId="0" shapeId="0" xr:uid="{00000000-0006-0000-1200-00001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
</t>
        </r>
      </text>
    </comment>
    <comment ref="M19" authorId="0" shapeId="0" xr:uid="{00000000-0006-0000-1200-00001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9" authorId="0" shapeId="0" xr:uid="{00000000-0006-0000-1200-00001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M20" authorId="0" shapeId="0" xr:uid="{00000000-0006-0000-1200-00001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20" authorId="0" shapeId="0" xr:uid="{00000000-0006-0000-1200-00001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20" authorId="0" shapeId="0" xr:uid="{00000000-0006-0000-1200-00001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22" authorId="0" shapeId="0" xr:uid="{00000000-0006-0000-1200-00002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PIYAKE
</t>
        </r>
      </text>
    </comment>
    <comment ref="M22" authorId="0" shapeId="0" xr:uid="{00000000-0006-0000-1200-00002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 BAR</t>
        </r>
      </text>
    </comment>
    <comment ref="N22" authorId="0" shapeId="0" xr:uid="{00000000-0006-0000-1200-00002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O22" authorId="0" shapeId="0" xr:uid="{00000000-0006-0000-1200-00002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L23" authorId="0" shapeId="0" xr:uid="{00000000-0006-0000-1200-00002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M23" authorId="0" shapeId="0" xr:uid="{00000000-0006-0000-1200-00002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*2Coating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520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N23" authorId="0" shapeId="0" xr:uid="{00000000-0006-0000-1200-00002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*3Coating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620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24" authorId="0" shapeId="0" xr:uid="{00000000-0006-0000-1200-00002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L30" authorId="0" shapeId="0" xr:uid="{00000000-0006-0000-1200-00002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30" authorId="0" shapeId="0" xr:uid="{00000000-0006-0000-1200-00002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BARE/LEVER</t>
        </r>
      </text>
    </comment>
    <comment ref="N30" authorId="0" shapeId="0" xr:uid="{00000000-0006-0000-1200-00002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GEAR</t>
        </r>
      </text>
    </comment>
    <comment ref="O30" authorId="0" shapeId="0" xr:uid="{00000000-0006-0000-1200-00002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MOTOR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</authors>
  <commentList>
    <comment ref="R5" authorId="0" shapeId="0" xr:uid="{00000000-0006-0000-13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750A </t>
        </r>
        <r>
          <rPr>
            <sz val="9"/>
            <color indexed="81"/>
            <rFont val="돋움"/>
            <family val="3"/>
            <charset val="129"/>
          </rPr>
          <t>이상은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중공형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</text>
    </comment>
    <comment ref="L6" authorId="0" shapeId="0" xr:uid="{00000000-0006-0000-1300-00000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6" authorId="0" shapeId="0" xr:uid="{00000000-0006-0000-1300-00000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L7" authorId="0" shapeId="0" xr:uid="{00000000-0006-0000-1300-00000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7" authorId="0" shapeId="0" xr:uid="{00000000-0006-0000-1300-00000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JIS 10K</t>
        </r>
      </text>
    </comment>
    <comment ref="L8" authorId="0" shapeId="0" xr:uid="{00000000-0006-0000-1300-00000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8" authorId="0" shapeId="0" xr:uid="{00000000-0006-0000-1300-00000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L9" authorId="0" shapeId="0" xr:uid="{00000000-0006-0000-1300-00000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9" authorId="0" shapeId="0" xr:uid="{00000000-0006-0000-1300-00000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</t>
        </r>
      </text>
    </comment>
    <comment ref="N9" authorId="0" shapeId="0" xr:uid="{00000000-0006-0000-1300-00000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SUS/CA15</t>
        </r>
      </text>
    </comment>
    <comment ref="O9" authorId="0" shapeId="0" xr:uid="{00000000-0006-0000-1300-00000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4A</t>
        </r>
      </text>
    </comment>
    <comment ref="L10" authorId="0" shapeId="0" xr:uid="{00000000-0006-0000-1300-00000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0" authorId="0" shapeId="0" xr:uid="{00000000-0006-0000-1300-00000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0" authorId="0" shapeId="0" xr:uid="{00000000-0006-0000-1300-00000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STEAM SILICONE</t>
        </r>
      </text>
    </comment>
    <comment ref="O10" authorId="0" shapeId="0" xr:uid="{00000000-0006-0000-1300-00000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HYPALON</t>
        </r>
      </text>
    </comment>
    <comment ref="P10" authorId="0" shapeId="0" xr:uid="{00000000-0006-0000-1300-00001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CHLORPRENE</t>
        </r>
      </text>
    </comment>
    <comment ref="M11" authorId="0" shapeId="0" xr:uid="{00000000-0006-0000-1300-00001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비에스텍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완가공비</t>
        </r>
      </text>
    </comment>
    <comment ref="N11" authorId="0" shapeId="0" xr:uid="{00000000-0006-0000-1300-00001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가공비</t>
        </r>
      </text>
    </comment>
    <comment ref="P11" authorId="0" shapeId="0" xr:uid="{00000000-0006-0000-1300-00001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강남기계</t>
        </r>
        <r>
          <rPr>
            <sz val="9"/>
            <color indexed="81"/>
            <rFont val="Tahoma"/>
            <family val="2"/>
          </rPr>
          <t xml:space="preserve"> S32760
</t>
        </r>
      </text>
    </comment>
    <comment ref="L12" authorId="0" shapeId="0" xr:uid="{00000000-0006-0000-1300-00001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ALBC2 - </t>
        </r>
        <r>
          <rPr>
            <sz val="9"/>
            <color indexed="81"/>
            <rFont val="돋움"/>
            <family val="3"/>
            <charset val="129"/>
          </rPr>
          <t>동우오일레스</t>
        </r>
      </text>
    </comment>
    <comment ref="L15" authorId="0" shapeId="0" xr:uid="{00000000-0006-0000-1300-00001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</t>
        </r>
      </text>
    </comment>
    <comment ref="M15" authorId="0" shapeId="0" xr:uid="{00000000-0006-0000-1300-00001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</t>
        </r>
      </text>
    </comment>
    <comment ref="N15" authorId="0" shapeId="0" xr:uid="{00000000-0006-0000-1300-00001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BODY MATERIAL</t>
        </r>
      </text>
    </comment>
    <comment ref="L16" authorId="0" shapeId="0" xr:uid="{00000000-0006-0000-1300-00001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HEX BOLT</t>
        </r>
      </text>
    </comment>
    <comment ref="M16" authorId="0" shapeId="0" xr:uid="{00000000-0006-0000-1300-00001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6" authorId="0" shapeId="0" xr:uid="{00000000-0006-0000-1300-00001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16" authorId="0" shapeId="0" xr:uid="{00000000-0006-0000-1300-00001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17" authorId="0" shapeId="0" xr:uid="{00000000-0006-0000-1300-00001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ALBC2</t>
        </r>
      </text>
    </comment>
    <comment ref="L18" authorId="0" shapeId="0" xr:uid="{00000000-0006-0000-1300-00001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
</t>
        </r>
      </text>
    </comment>
    <comment ref="M18" authorId="0" shapeId="0" xr:uid="{00000000-0006-0000-1300-00001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
</t>
        </r>
      </text>
    </comment>
    <comment ref="M19" authorId="0" shapeId="0" xr:uid="{00000000-0006-0000-1300-00001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9" authorId="0" shapeId="0" xr:uid="{00000000-0006-0000-1300-00002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M20" authorId="0" shapeId="0" xr:uid="{00000000-0006-0000-1300-00002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20" authorId="0" shapeId="0" xr:uid="{00000000-0006-0000-1300-00002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20" authorId="0" shapeId="0" xr:uid="{00000000-0006-0000-1300-00002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22" authorId="0" shapeId="0" xr:uid="{00000000-0006-0000-1300-00002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PIYAKE
</t>
        </r>
      </text>
    </comment>
    <comment ref="M22" authorId="0" shapeId="0" xr:uid="{00000000-0006-0000-1300-00002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 BAR</t>
        </r>
      </text>
    </comment>
    <comment ref="N22" authorId="0" shapeId="0" xr:uid="{00000000-0006-0000-1300-00002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O22" authorId="0" shapeId="0" xr:uid="{00000000-0006-0000-1300-00002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L23" authorId="0" shapeId="0" xr:uid="{00000000-0006-0000-1300-00002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M23" authorId="0" shapeId="0" xr:uid="{00000000-0006-0000-1300-00002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*2Coating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520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N23" authorId="0" shapeId="0" xr:uid="{00000000-0006-0000-1300-00002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*3Coating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620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24" authorId="0" shapeId="0" xr:uid="{00000000-0006-0000-1300-00002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L30" authorId="0" shapeId="0" xr:uid="{00000000-0006-0000-1300-00002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30" authorId="0" shapeId="0" xr:uid="{00000000-0006-0000-1300-00002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BARE/LEVER</t>
        </r>
      </text>
    </comment>
    <comment ref="N30" authorId="0" shapeId="0" xr:uid="{00000000-0006-0000-1300-00002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GEAR</t>
        </r>
      </text>
    </comment>
    <comment ref="O30" authorId="0" shapeId="0" xr:uid="{00000000-0006-0000-1300-00002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MOTOR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</authors>
  <commentList>
    <comment ref="R5" authorId="0" shapeId="0" xr:uid="{00000000-0006-0000-14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750A </t>
        </r>
        <r>
          <rPr>
            <sz val="9"/>
            <color indexed="81"/>
            <rFont val="돋움"/>
            <family val="3"/>
            <charset val="129"/>
          </rPr>
          <t>이상은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중공형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</text>
    </comment>
    <comment ref="F6" authorId="0" shapeId="0" xr:uid="{00000000-0006-0000-1400-00000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L6" authorId="0" shapeId="0" xr:uid="{00000000-0006-0000-1400-00000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6" authorId="0" shapeId="0" xr:uid="{00000000-0006-0000-1400-00000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F7" authorId="0" shapeId="0" xr:uid="{00000000-0006-0000-1400-00000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BD180090 SRS911 800A FF</t>
        </r>
      </text>
    </comment>
    <comment ref="L7" authorId="0" shapeId="0" xr:uid="{00000000-0006-0000-1400-00000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7" authorId="0" shapeId="0" xr:uid="{00000000-0006-0000-1400-00000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L8" authorId="0" shapeId="0" xr:uid="{00000000-0006-0000-1400-00000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JIS 10K</t>
        </r>
      </text>
    </comment>
    <comment ref="M8" authorId="0" shapeId="0" xr:uid="{00000000-0006-0000-1400-00000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L9" authorId="0" shapeId="0" xr:uid="{00000000-0006-0000-1400-00000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9" authorId="0" shapeId="0" xr:uid="{00000000-0006-0000-1400-00000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</t>
        </r>
      </text>
    </comment>
    <comment ref="N9" authorId="0" shapeId="0" xr:uid="{00000000-0006-0000-1400-00000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SUS/CA15</t>
        </r>
      </text>
    </comment>
    <comment ref="O9" authorId="0" shapeId="0" xr:uid="{00000000-0006-0000-1400-00000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4A</t>
        </r>
      </text>
    </comment>
    <comment ref="P9" authorId="0" shapeId="0" xr:uid="{00000000-0006-0000-1400-00000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5A</t>
        </r>
      </text>
    </comment>
    <comment ref="L10" authorId="0" shapeId="0" xr:uid="{00000000-0006-0000-1400-00000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0" authorId="0" shapeId="0" xr:uid="{00000000-0006-0000-1400-00001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0" authorId="0" shapeId="0" xr:uid="{00000000-0006-0000-1400-00001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STEAM SILICONE</t>
        </r>
      </text>
    </comment>
    <comment ref="O10" authorId="0" shapeId="0" xr:uid="{00000000-0006-0000-1400-00001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HYPALON</t>
        </r>
      </text>
    </comment>
    <comment ref="P10" authorId="0" shapeId="0" xr:uid="{00000000-0006-0000-1400-00001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CHLORPRENE</t>
        </r>
      </text>
    </comment>
    <comment ref="M11" authorId="0" shapeId="0" xr:uid="{00000000-0006-0000-1400-00001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비에스텍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완가공비</t>
        </r>
      </text>
    </comment>
    <comment ref="N11" authorId="0" shapeId="0" xr:uid="{00000000-0006-0000-1400-00001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가공비</t>
        </r>
      </text>
    </comment>
    <comment ref="P11" authorId="0" shapeId="0" xr:uid="{00000000-0006-0000-1400-00001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L12" authorId="0" shapeId="0" xr:uid="{00000000-0006-0000-1400-00001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ALBC2 - </t>
        </r>
        <r>
          <rPr>
            <sz val="9"/>
            <color indexed="81"/>
            <rFont val="돋움"/>
            <family val="3"/>
            <charset val="129"/>
          </rPr>
          <t>동우오일레스</t>
        </r>
      </text>
    </comment>
    <comment ref="L15" authorId="0" shapeId="0" xr:uid="{00000000-0006-0000-1400-00001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</t>
        </r>
      </text>
    </comment>
    <comment ref="M15" authorId="0" shapeId="0" xr:uid="{00000000-0006-0000-1400-00001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</t>
        </r>
      </text>
    </comment>
    <comment ref="N15" authorId="0" shapeId="0" xr:uid="{00000000-0006-0000-1400-00001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BODY MATERIAL</t>
        </r>
      </text>
    </comment>
    <comment ref="L16" authorId="0" shapeId="0" xr:uid="{00000000-0006-0000-1400-00001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HEX BOLT</t>
        </r>
      </text>
    </comment>
    <comment ref="M16" authorId="0" shapeId="0" xr:uid="{00000000-0006-0000-1400-00001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6" authorId="0" shapeId="0" xr:uid="{00000000-0006-0000-1400-00001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16" authorId="0" shapeId="0" xr:uid="{00000000-0006-0000-1400-00001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17" authorId="0" shapeId="0" xr:uid="{00000000-0006-0000-1400-00001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ALBC2</t>
        </r>
      </text>
    </comment>
    <comment ref="L18" authorId="0" shapeId="0" xr:uid="{00000000-0006-0000-1400-00002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
</t>
        </r>
      </text>
    </comment>
    <comment ref="M18" authorId="0" shapeId="0" xr:uid="{00000000-0006-0000-1400-00002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
</t>
        </r>
      </text>
    </comment>
    <comment ref="M19" authorId="0" shapeId="0" xr:uid="{00000000-0006-0000-1400-00002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9" authorId="0" shapeId="0" xr:uid="{00000000-0006-0000-1400-00002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M20" authorId="0" shapeId="0" xr:uid="{00000000-0006-0000-1400-00002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20" authorId="0" shapeId="0" xr:uid="{00000000-0006-0000-1400-00002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20" authorId="0" shapeId="0" xr:uid="{00000000-0006-0000-1400-00002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22" authorId="0" shapeId="0" xr:uid="{00000000-0006-0000-1400-00002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PIYAKE
</t>
        </r>
      </text>
    </comment>
    <comment ref="M22" authorId="0" shapeId="0" xr:uid="{00000000-0006-0000-1400-00002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 BAR</t>
        </r>
      </text>
    </comment>
    <comment ref="N22" authorId="0" shapeId="0" xr:uid="{00000000-0006-0000-1400-00002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O22" authorId="0" shapeId="0" xr:uid="{00000000-0006-0000-1400-00002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L23" authorId="0" shapeId="0" xr:uid="{00000000-0006-0000-1400-00002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M23" authorId="0" shapeId="0" xr:uid="{00000000-0006-0000-1400-00002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*2Coating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520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N23" authorId="0" shapeId="0" xr:uid="{00000000-0006-0000-1400-00002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*3Coating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620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24" authorId="0" shapeId="0" xr:uid="{00000000-0006-0000-1400-00002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L30" authorId="0" shapeId="0" xr:uid="{00000000-0006-0000-1400-00002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30" authorId="0" shapeId="0" xr:uid="{00000000-0006-0000-1400-00003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BARE/LEVER</t>
        </r>
      </text>
    </comment>
    <comment ref="N30" authorId="0" shapeId="0" xr:uid="{00000000-0006-0000-1400-00003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GEAR</t>
        </r>
      </text>
    </comment>
    <comment ref="O30" authorId="0" shapeId="0" xr:uid="{00000000-0006-0000-1400-00003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MOTOR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</authors>
  <commentList>
    <comment ref="R5" authorId="0" shapeId="0" xr:uid="{00000000-0006-0000-15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750A </t>
        </r>
        <r>
          <rPr>
            <sz val="9"/>
            <color indexed="81"/>
            <rFont val="돋움"/>
            <family val="3"/>
            <charset val="129"/>
          </rPr>
          <t>이상은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중공형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</text>
    </comment>
    <comment ref="L6" authorId="0" shapeId="0" xr:uid="{00000000-0006-0000-1500-00000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6" authorId="0" shapeId="0" xr:uid="{00000000-0006-0000-1500-00000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L7" authorId="0" shapeId="0" xr:uid="{00000000-0006-0000-1500-00000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7" authorId="0" shapeId="0" xr:uid="{00000000-0006-0000-1500-00000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L8" authorId="0" shapeId="0" xr:uid="{00000000-0006-0000-1500-00000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8" authorId="0" shapeId="0" xr:uid="{00000000-0006-0000-1500-00000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L9" authorId="0" shapeId="0" xr:uid="{00000000-0006-0000-1500-00000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9" authorId="0" shapeId="0" xr:uid="{00000000-0006-0000-1500-00000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</t>
        </r>
      </text>
    </comment>
    <comment ref="N9" authorId="0" shapeId="0" xr:uid="{00000000-0006-0000-1500-00000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SUS/CA15</t>
        </r>
      </text>
    </comment>
    <comment ref="O9" authorId="0" shapeId="0" xr:uid="{00000000-0006-0000-1500-00000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4A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P9" authorId="0" shapeId="0" xr:uid="{00000000-0006-0000-1500-00000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5A</t>
        </r>
      </text>
    </comment>
    <comment ref="L10" authorId="0" shapeId="0" xr:uid="{00000000-0006-0000-1500-00000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0" authorId="0" shapeId="0" xr:uid="{00000000-0006-0000-1500-00000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0" authorId="0" shapeId="0" xr:uid="{00000000-0006-0000-1500-00000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STEAM SILICONE</t>
        </r>
      </text>
    </comment>
    <comment ref="O10" authorId="0" shapeId="0" xr:uid="{00000000-0006-0000-1500-00001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HYPALON</t>
        </r>
      </text>
    </comment>
    <comment ref="P10" authorId="0" shapeId="0" xr:uid="{00000000-0006-0000-1500-00001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CHLORPRENE</t>
        </r>
      </text>
    </comment>
    <comment ref="M11" authorId="0" shapeId="0" xr:uid="{00000000-0006-0000-1500-00001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비에스텍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완가공비</t>
        </r>
      </text>
    </comment>
    <comment ref="N11" authorId="0" shapeId="0" xr:uid="{00000000-0006-0000-1500-00001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가공비</t>
        </r>
      </text>
    </comment>
    <comment ref="P11" authorId="0" shapeId="0" xr:uid="{00000000-0006-0000-1500-00001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L12" authorId="0" shapeId="0" xr:uid="{00000000-0006-0000-1500-00001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ALBC2 - </t>
        </r>
        <r>
          <rPr>
            <sz val="9"/>
            <color indexed="81"/>
            <rFont val="돋움"/>
            <family val="3"/>
            <charset val="129"/>
          </rPr>
          <t>동우오일레스</t>
        </r>
      </text>
    </comment>
    <comment ref="L15" authorId="0" shapeId="0" xr:uid="{00000000-0006-0000-1500-00001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</t>
        </r>
      </text>
    </comment>
    <comment ref="M15" authorId="0" shapeId="0" xr:uid="{00000000-0006-0000-1500-00001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</t>
        </r>
      </text>
    </comment>
    <comment ref="N15" authorId="0" shapeId="0" xr:uid="{00000000-0006-0000-1500-00001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BODY MATERIAL</t>
        </r>
      </text>
    </comment>
    <comment ref="L16" authorId="0" shapeId="0" xr:uid="{00000000-0006-0000-1500-00001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HEX BOLT</t>
        </r>
      </text>
    </comment>
    <comment ref="M16" authorId="0" shapeId="0" xr:uid="{00000000-0006-0000-1500-00001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6" authorId="0" shapeId="0" xr:uid="{00000000-0006-0000-1500-00001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16" authorId="0" shapeId="0" xr:uid="{00000000-0006-0000-1500-00001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17" authorId="0" shapeId="0" xr:uid="{00000000-0006-0000-1500-00001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ALBC2</t>
        </r>
      </text>
    </comment>
    <comment ref="L18" authorId="0" shapeId="0" xr:uid="{00000000-0006-0000-1500-00001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
</t>
        </r>
      </text>
    </comment>
    <comment ref="M18" authorId="0" shapeId="0" xr:uid="{00000000-0006-0000-1500-00001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
</t>
        </r>
      </text>
    </comment>
    <comment ref="M19" authorId="0" shapeId="0" xr:uid="{00000000-0006-0000-1500-00002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9" authorId="0" shapeId="0" xr:uid="{00000000-0006-0000-1500-00002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M20" authorId="0" shapeId="0" xr:uid="{00000000-0006-0000-1500-00002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20" authorId="0" shapeId="0" xr:uid="{00000000-0006-0000-1500-00002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20" authorId="0" shapeId="0" xr:uid="{00000000-0006-0000-1500-00002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22" authorId="0" shapeId="0" xr:uid="{00000000-0006-0000-1500-00002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PIYAKE
</t>
        </r>
      </text>
    </comment>
    <comment ref="M22" authorId="0" shapeId="0" xr:uid="{00000000-0006-0000-1500-00002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 BAR</t>
        </r>
      </text>
    </comment>
    <comment ref="N22" authorId="0" shapeId="0" xr:uid="{00000000-0006-0000-1500-00002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O22" authorId="0" shapeId="0" xr:uid="{00000000-0006-0000-1500-00002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 BAR
</t>
        </r>
      </text>
    </comment>
    <comment ref="L23" authorId="0" shapeId="0" xr:uid="{00000000-0006-0000-1500-00002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M23" authorId="0" shapeId="0" xr:uid="{00000000-0006-0000-1500-00002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*2Coating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520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N23" authorId="0" shapeId="0" xr:uid="{00000000-0006-0000-1500-00002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*3Coating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620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24" authorId="0" shapeId="0" xr:uid="{00000000-0006-0000-1500-00002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L30" authorId="0" shapeId="0" xr:uid="{00000000-0006-0000-1500-00002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30" authorId="0" shapeId="0" xr:uid="{00000000-0006-0000-1500-00002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BARE/LEVER</t>
        </r>
      </text>
    </comment>
    <comment ref="N30" authorId="0" shapeId="0" xr:uid="{00000000-0006-0000-1500-00002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GEAR</t>
        </r>
      </text>
    </comment>
    <comment ref="O30" authorId="0" shapeId="0" xr:uid="{00000000-0006-0000-1500-00003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MOTOR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</authors>
  <commentList>
    <comment ref="R5" authorId="0" shapeId="0" xr:uid="{00000000-0006-0000-16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750A </t>
        </r>
        <r>
          <rPr>
            <sz val="9"/>
            <color indexed="81"/>
            <rFont val="돋움"/>
            <family val="3"/>
            <charset val="129"/>
          </rPr>
          <t>이상은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중공형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</text>
    </comment>
    <comment ref="L6" authorId="0" shapeId="0" xr:uid="{00000000-0006-0000-1600-00000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6" authorId="0" shapeId="0" xr:uid="{00000000-0006-0000-1600-00000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L7" authorId="0" shapeId="0" xr:uid="{00000000-0006-0000-1600-00000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7" authorId="0" shapeId="0" xr:uid="{00000000-0006-0000-1600-00000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L8" authorId="0" shapeId="0" xr:uid="{00000000-0006-0000-1600-00000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8" authorId="0" shapeId="0" xr:uid="{00000000-0006-0000-1600-00000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L9" authorId="0" shapeId="0" xr:uid="{00000000-0006-0000-1600-00000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9" authorId="0" shapeId="0" xr:uid="{00000000-0006-0000-1600-00000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</t>
        </r>
      </text>
    </comment>
    <comment ref="N9" authorId="0" shapeId="0" xr:uid="{00000000-0006-0000-1600-00000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SUS/CA15</t>
        </r>
      </text>
    </comment>
    <comment ref="O9" authorId="0" shapeId="0" xr:uid="{00000000-0006-0000-1600-00000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4A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P9" authorId="0" shapeId="0" xr:uid="{00000000-0006-0000-1600-00000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5A</t>
        </r>
      </text>
    </comment>
    <comment ref="L10" authorId="0" shapeId="0" xr:uid="{00000000-0006-0000-1600-00000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0" authorId="0" shapeId="0" xr:uid="{00000000-0006-0000-1600-00000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0" authorId="0" shapeId="0" xr:uid="{00000000-0006-0000-1600-00000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STEAM SILICONE</t>
        </r>
      </text>
    </comment>
    <comment ref="O10" authorId="0" shapeId="0" xr:uid="{00000000-0006-0000-1600-00001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HYPALON</t>
        </r>
      </text>
    </comment>
    <comment ref="P10" authorId="0" shapeId="0" xr:uid="{00000000-0006-0000-1600-00001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CHLORPRENE</t>
        </r>
      </text>
    </comment>
    <comment ref="M11" authorId="0" shapeId="0" xr:uid="{00000000-0006-0000-1600-00001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비에스텍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완가공비</t>
        </r>
      </text>
    </comment>
    <comment ref="N11" authorId="0" shapeId="0" xr:uid="{00000000-0006-0000-1600-00001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가공비</t>
        </r>
      </text>
    </comment>
    <comment ref="P11" authorId="0" shapeId="0" xr:uid="{00000000-0006-0000-1600-00001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L12" authorId="0" shapeId="0" xr:uid="{00000000-0006-0000-1600-00001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ALBC2 - </t>
        </r>
        <r>
          <rPr>
            <sz val="9"/>
            <color indexed="81"/>
            <rFont val="돋움"/>
            <family val="3"/>
            <charset val="129"/>
          </rPr>
          <t>동우오일레스</t>
        </r>
      </text>
    </comment>
    <comment ref="L15" authorId="0" shapeId="0" xr:uid="{00000000-0006-0000-1600-00001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</t>
        </r>
      </text>
    </comment>
    <comment ref="M15" authorId="0" shapeId="0" xr:uid="{00000000-0006-0000-1600-00001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</t>
        </r>
      </text>
    </comment>
    <comment ref="N15" authorId="0" shapeId="0" xr:uid="{00000000-0006-0000-1600-00001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BODY MATERIAL</t>
        </r>
      </text>
    </comment>
    <comment ref="L16" authorId="0" shapeId="0" xr:uid="{00000000-0006-0000-1600-00001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HEX BOLT</t>
        </r>
      </text>
    </comment>
    <comment ref="M16" authorId="0" shapeId="0" xr:uid="{00000000-0006-0000-1600-00001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6" authorId="0" shapeId="0" xr:uid="{00000000-0006-0000-1600-00001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16" authorId="0" shapeId="0" xr:uid="{00000000-0006-0000-1600-00001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17" authorId="0" shapeId="0" xr:uid="{00000000-0006-0000-1600-00001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ALBC2</t>
        </r>
      </text>
    </comment>
    <comment ref="L18" authorId="0" shapeId="0" xr:uid="{00000000-0006-0000-1600-00001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
</t>
        </r>
      </text>
    </comment>
    <comment ref="M18" authorId="0" shapeId="0" xr:uid="{00000000-0006-0000-1600-00001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
</t>
        </r>
      </text>
    </comment>
    <comment ref="M19" authorId="0" shapeId="0" xr:uid="{00000000-0006-0000-1600-00002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9" authorId="0" shapeId="0" xr:uid="{00000000-0006-0000-1600-00002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M20" authorId="0" shapeId="0" xr:uid="{00000000-0006-0000-1600-00002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20" authorId="0" shapeId="0" xr:uid="{00000000-0006-0000-1600-00002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20" authorId="0" shapeId="0" xr:uid="{00000000-0006-0000-1600-00002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22" authorId="0" shapeId="0" xr:uid="{00000000-0006-0000-1600-00002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PIYAKE
</t>
        </r>
      </text>
    </comment>
    <comment ref="M22" authorId="0" shapeId="0" xr:uid="{00000000-0006-0000-1600-00002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 BAR</t>
        </r>
      </text>
    </comment>
    <comment ref="N22" authorId="0" shapeId="0" xr:uid="{00000000-0006-0000-1600-00002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O22" authorId="0" shapeId="0" xr:uid="{00000000-0006-0000-1600-00002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L23" authorId="0" shapeId="0" xr:uid="{00000000-0006-0000-1600-00002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M23" authorId="0" shapeId="0" xr:uid="{00000000-0006-0000-1600-00002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*2Coating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520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N23" authorId="0" shapeId="0" xr:uid="{00000000-0006-0000-1600-00002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*3Coating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620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24" authorId="0" shapeId="0" xr:uid="{00000000-0006-0000-1600-00002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L30" authorId="0" shapeId="0" xr:uid="{00000000-0006-0000-1600-00002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30" authorId="0" shapeId="0" xr:uid="{00000000-0006-0000-1600-00002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BARE/LEVER</t>
        </r>
      </text>
    </comment>
    <comment ref="N30" authorId="0" shapeId="0" xr:uid="{00000000-0006-0000-1600-00002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GEAR</t>
        </r>
      </text>
    </comment>
    <comment ref="O30" authorId="0" shapeId="0" xr:uid="{00000000-0006-0000-1600-00003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MOTOR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</authors>
  <commentList>
    <comment ref="R5" authorId="0" shapeId="0" xr:uid="{00000000-0006-0000-17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750A </t>
        </r>
        <r>
          <rPr>
            <sz val="9"/>
            <color indexed="81"/>
            <rFont val="돋움"/>
            <family val="3"/>
            <charset val="129"/>
          </rPr>
          <t>이상은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중공형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</text>
    </comment>
    <comment ref="L6" authorId="0" shapeId="0" xr:uid="{00000000-0006-0000-1700-00000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6" authorId="0" shapeId="0" xr:uid="{00000000-0006-0000-1700-00000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L7" authorId="0" shapeId="0" xr:uid="{00000000-0006-0000-1700-00000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7" authorId="0" shapeId="0" xr:uid="{00000000-0006-0000-1700-00000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L8" authorId="0" shapeId="0" xr:uid="{00000000-0006-0000-1700-00000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8" authorId="0" shapeId="0" xr:uid="{00000000-0006-0000-1700-00000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L9" authorId="0" shapeId="0" xr:uid="{00000000-0006-0000-1700-00000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9" authorId="0" shapeId="0" xr:uid="{00000000-0006-0000-1700-00000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</t>
        </r>
      </text>
    </comment>
    <comment ref="N9" authorId="0" shapeId="0" xr:uid="{00000000-0006-0000-1700-00000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SUS/CA15</t>
        </r>
      </text>
    </comment>
    <comment ref="O9" authorId="0" shapeId="0" xr:uid="{00000000-0006-0000-1700-00000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4A</t>
        </r>
      </text>
    </comment>
    <comment ref="P9" authorId="0" shapeId="0" xr:uid="{00000000-0006-0000-1700-00000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5A</t>
        </r>
      </text>
    </comment>
    <comment ref="L10" authorId="0" shapeId="0" xr:uid="{00000000-0006-0000-1700-00000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0" authorId="0" shapeId="0" xr:uid="{00000000-0006-0000-1700-00000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0" authorId="0" shapeId="0" xr:uid="{00000000-0006-0000-1700-00000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STEAM SILICONE</t>
        </r>
      </text>
    </comment>
    <comment ref="O10" authorId="0" shapeId="0" xr:uid="{00000000-0006-0000-1700-00001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HYPALON</t>
        </r>
      </text>
    </comment>
    <comment ref="P10" authorId="0" shapeId="0" xr:uid="{00000000-0006-0000-1700-00001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CHLORPRENE</t>
        </r>
      </text>
    </comment>
    <comment ref="M11" authorId="0" shapeId="0" xr:uid="{00000000-0006-0000-1700-00001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비에스텍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완가공비</t>
        </r>
      </text>
    </comment>
    <comment ref="N11" authorId="0" shapeId="0" xr:uid="{00000000-0006-0000-1700-00001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가공비</t>
        </r>
      </text>
    </comment>
    <comment ref="P11" authorId="0" shapeId="0" xr:uid="{00000000-0006-0000-1700-00001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L12" authorId="0" shapeId="0" xr:uid="{00000000-0006-0000-1700-00001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ALBC2 - </t>
        </r>
        <r>
          <rPr>
            <sz val="9"/>
            <color indexed="81"/>
            <rFont val="돋움"/>
            <family val="3"/>
            <charset val="129"/>
          </rPr>
          <t>동우오일레스</t>
        </r>
      </text>
    </comment>
    <comment ref="L15" authorId="0" shapeId="0" xr:uid="{00000000-0006-0000-1700-00001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</t>
        </r>
      </text>
    </comment>
    <comment ref="M15" authorId="0" shapeId="0" xr:uid="{00000000-0006-0000-1700-00001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</t>
        </r>
      </text>
    </comment>
    <comment ref="N15" authorId="0" shapeId="0" xr:uid="{00000000-0006-0000-1700-00001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BODY MATERIAL</t>
        </r>
      </text>
    </comment>
    <comment ref="L16" authorId="0" shapeId="0" xr:uid="{00000000-0006-0000-1700-00001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HEX BOLT</t>
        </r>
      </text>
    </comment>
    <comment ref="M16" authorId="0" shapeId="0" xr:uid="{00000000-0006-0000-1700-00001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6" authorId="0" shapeId="0" xr:uid="{00000000-0006-0000-1700-00001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16" authorId="0" shapeId="0" xr:uid="{00000000-0006-0000-1700-00001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17" authorId="0" shapeId="0" xr:uid="{00000000-0006-0000-1700-00001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ALBC2</t>
        </r>
      </text>
    </comment>
    <comment ref="L18" authorId="0" shapeId="0" xr:uid="{00000000-0006-0000-1700-00001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
</t>
        </r>
      </text>
    </comment>
    <comment ref="M18" authorId="0" shapeId="0" xr:uid="{00000000-0006-0000-1700-00001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
</t>
        </r>
      </text>
    </comment>
    <comment ref="M19" authorId="0" shapeId="0" xr:uid="{00000000-0006-0000-1700-00002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9" authorId="0" shapeId="0" xr:uid="{00000000-0006-0000-1700-00002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M20" authorId="0" shapeId="0" xr:uid="{00000000-0006-0000-1700-00002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20" authorId="0" shapeId="0" xr:uid="{00000000-0006-0000-1700-00002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20" authorId="0" shapeId="0" xr:uid="{00000000-0006-0000-1700-00002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22" authorId="0" shapeId="0" xr:uid="{00000000-0006-0000-1700-00002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PIYAKE
</t>
        </r>
      </text>
    </comment>
    <comment ref="M22" authorId="0" shapeId="0" xr:uid="{00000000-0006-0000-1700-00002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 BAR</t>
        </r>
      </text>
    </comment>
    <comment ref="N22" authorId="0" shapeId="0" xr:uid="{00000000-0006-0000-1700-00002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O22" authorId="0" shapeId="0" xr:uid="{00000000-0006-0000-1700-00002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L23" authorId="0" shapeId="0" xr:uid="{00000000-0006-0000-1700-00002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M23" authorId="0" shapeId="0" xr:uid="{00000000-0006-0000-1700-00002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*2Coating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520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N23" authorId="0" shapeId="0" xr:uid="{00000000-0006-0000-1700-00002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*3Coating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620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24" authorId="0" shapeId="0" xr:uid="{00000000-0006-0000-1700-00002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L30" authorId="0" shapeId="0" xr:uid="{00000000-0006-0000-1700-00002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30" authorId="0" shapeId="0" xr:uid="{00000000-0006-0000-1700-00002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BARE/LEVER</t>
        </r>
      </text>
    </comment>
    <comment ref="N30" authorId="0" shapeId="0" xr:uid="{00000000-0006-0000-1700-00002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GEAR</t>
        </r>
      </text>
    </comment>
    <comment ref="O30" authorId="0" shapeId="0" xr:uid="{00000000-0006-0000-1700-00003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MOTOR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</authors>
  <commentList>
    <comment ref="R5" authorId="0" shapeId="0" xr:uid="{00000000-0006-0000-18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750A </t>
        </r>
        <r>
          <rPr>
            <sz val="9"/>
            <color indexed="81"/>
            <rFont val="돋움"/>
            <family val="3"/>
            <charset val="129"/>
          </rPr>
          <t>이상은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중공형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</text>
    </comment>
    <comment ref="L6" authorId="0" shapeId="0" xr:uid="{00000000-0006-0000-1800-00000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6" authorId="0" shapeId="0" xr:uid="{00000000-0006-0000-1800-00000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L7" authorId="0" shapeId="0" xr:uid="{00000000-0006-0000-1800-00000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7" authorId="0" shapeId="0" xr:uid="{00000000-0006-0000-1800-00000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JIS 5K</t>
        </r>
      </text>
    </comment>
    <comment ref="L8" authorId="0" shapeId="0" xr:uid="{00000000-0006-0000-1800-00000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8" authorId="0" shapeId="0" xr:uid="{00000000-0006-0000-1800-00000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L9" authorId="0" shapeId="0" xr:uid="{00000000-0006-0000-1800-00000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9" authorId="0" shapeId="0" xr:uid="{00000000-0006-0000-1800-00000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</t>
        </r>
      </text>
    </comment>
    <comment ref="N9" authorId="0" shapeId="0" xr:uid="{00000000-0006-0000-1800-00000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SUS/CA15</t>
        </r>
      </text>
    </comment>
    <comment ref="O9" authorId="0" shapeId="0" xr:uid="{00000000-0006-0000-1800-00000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4A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L10" authorId="0" shapeId="0" xr:uid="{00000000-0006-0000-1800-00000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0" authorId="0" shapeId="0" xr:uid="{00000000-0006-0000-1800-00000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0" authorId="0" shapeId="0" xr:uid="{00000000-0006-0000-1800-00000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STEAM SILICONE</t>
        </r>
      </text>
    </comment>
    <comment ref="O10" authorId="0" shapeId="0" xr:uid="{00000000-0006-0000-1800-00000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HYPALON</t>
        </r>
      </text>
    </comment>
    <comment ref="P10" authorId="0" shapeId="0" xr:uid="{00000000-0006-0000-1800-00001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CHLORPRENE</t>
        </r>
      </text>
    </comment>
    <comment ref="M11" authorId="0" shapeId="0" xr:uid="{00000000-0006-0000-1800-00001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비에스텍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완가공비</t>
        </r>
      </text>
    </comment>
    <comment ref="N11" authorId="0" shapeId="0" xr:uid="{00000000-0006-0000-1800-00001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가공비</t>
        </r>
      </text>
    </comment>
    <comment ref="P11" authorId="0" shapeId="0" xr:uid="{00000000-0006-0000-1800-00001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L12" authorId="0" shapeId="0" xr:uid="{00000000-0006-0000-1800-00001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ALBC2 - </t>
        </r>
        <r>
          <rPr>
            <sz val="9"/>
            <color indexed="81"/>
            <rFont val="돋움"/>
            <family val="3"/>
            <charset val="129"/>
          </rPr>
          <t>동우오일레스</t>
        </r>
      </text>
    </comment>
    <comment ref="L15" authorId="0" shapeId="0" xr:uid="{00000000-0006-0000-1800-00001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</t>
        </r>
      </text>
    </comment>
    <comment ref="M15" authorId="0" shapeId="0" xr:uid="{00000000-0006-0000-1800-00001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</t>
        </r>
      </text>
    </comment>
    <comment ref="N15" authorId="0" shapeId="0" xr:uid="{00000000-0006-0000-1800-00001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BODY MATERIAL</t>
        </r>
      </text>
    </comment>
    <comment ref="L16" authorId="0" shapeId="0" xr:uid="{00000000-0006-0000-1800-00001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HEX BOLT</t>
        </r>
      </text>
    </comment>
    <comment ref="M16" authorId="0" shapeId="0" xr:uid="{00000000-0006-0000-1800-00001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6" authorId="0" shapeId="0" xr:uid="{00000000-0006-0000-1800-00001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16" authorId="0" shapeId="0" xr:uid="{00000000-0006-0000-1800-00001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17" authorId="0" shapeId="0" xr:uid="{00000000-0006-0000-1800-00001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ALBC2</t>
        </r>
      </text>
    </comment>
    <comment ref="L18" authorId="0" shapeId="0" xr:uid="{00000000-0006-0000-1800-00001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
</t>
        </r>
      </text>
    </comment>
    <comment ref="M18" authorId="0" shapeId="0" xr:uid="{00000000-0006-0000-1800-00001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
</t>
        </r>
      </text>
    </comment>
    <comment ref="M19" authorId="0" shapeId="0" xr:uid="{00000000-0006-0000-1800-00001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9" authorId="0" shapeId="0" xr:uid="{00000000-0006-0000-1800-00002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M20" authorId="0" shapeId="0" xr:uid="{00000000-0006-0000-1800-00002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20" authorId="0" shapeId="0" xr:uid="{00000000-0006-0000-1800-00002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20" authorId="0" shapeId="0" xr:uid="{00000000-0006-0000-1800-00002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22" authorId="0" shapeId="0" xr:uid="{00000000-0006-0000-1800-00002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PIYAKE
</t>
        </r>
      </text>
    </comment>
    <comment ref="M22" authorId="0" shapeId="0" xr:uid="{00000000-0006-0000-1800-00002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 BAR</t>
        </r>
      </text>
    </comment>
    <comment ref="N22" authorId="0" shapeId="0" xr:uid="{00000000-0006-0000-1800-00002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O22" authorId="0" shapeId="0" xr:uid="{00000000-0006-0000-1800-00002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L23" authorId="0" shapeId="0" xr:uid="{00000000-0006-0000-1800-00002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M23" authorId="0" shapeId="0" xr:uid="{00000000-0006-0000-1800-00002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*2Coating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520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N23" authorId="0" shapeId="0" xr:uid="{00000000-0006-0000-1800-00002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*3Coating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620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24" authorId="0" shapeId="0" xr:uid="{00000000-0006-0000-1800-00002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L30" authorId="0" shapeId="0" xr:uid="{00000000-0006-0000-1800-00002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30" authorId="0" shapeId="0" xr:uid="{00000000-0006-0000-1800-00002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BARE/LEVER</t>
        </r>
      </text>
    </comment>
    <comment ref="N30" authorId="0" shapeId="0" xr:uid="{00000000-0006-0000-1800-00002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GEAR</t>
        </r>
      </text>
    </comment>
    <comment ref="O30" authorId="0" shapeId="0" xr:uid="{00000000-0006-0000-1800-00002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MOTOR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</authors>
  <commentList>
    <comment ref="R5" authorId="0" shapeId="0" xr:uid="{00000000-0006-0000-19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750A </t>
        </r>
        <r>
          <rPr>
            <sz val="9"/>
            <color indexed="81"/>
            <rFont val="돋움"/>
            <family val="3"/>
            <charset val="129"/>
          </rPr>
          <t>이상은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중공형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</text>
    </comment>
    <comment ref="L8" authorId="0" shapeId="0" xr:uid="{00000000-0006-0000-1900-00000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8" authorId="0" shapeId="0" xr:uid="{00000000-0006-0000-1900-00000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L9" authorId="0" shapeId="0" xr:uid="{00000000-0006-0000-1900-00000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9" authorId="0" shapeId="0" xr:uid="{00000000-0006-0000-1900-00000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N9" authorId="0" shapeId="0" xr:uid="{00000000-0006-0000-1900-00000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O9" authorId="0" shapeId="0" xr:uid="{00000000-0006-0000-1900-00000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4A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임의지정</t>
        </r>
      </text>
    </comment>
    <comment ref="P9" authorId="0" shapeId="0" xr:uid="{00000000-0006-0000-1900-00000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5A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지정
</t>
        </r>
      </text>
    </comment>
    <comment ref="L10" authorId="0" shapeId="0" xr:uid="{00000000-0006-0000-1900-00000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0" authorId="0" shapeId="0" xr:uid="{00000000-0006-0000-1900-00000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0" authorId="0" shapeId="0" xr:uid="{00000000-0006-0000-1900-00000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STEAM SILICONE</t>
        </r>
      </text>
    </comment>
    <comment ref="O10" authorId="0" shapeId="0" xr:uid="{00000000-0006-0000-1900-00000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HYPALON</t>
        </r>
      </text>
    </comment>
    <comment ref="P10" authorId="0" shapeId="0" xr:uid="{00000000-0006-0000-1900-00000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CHLORPRENE</t>
        </r>
      </text>
    </comment>
    <comment ref="M11" authorId="0" shapeId="0" xr:uid="{00000000-0006-0000-1900-00000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비에스텍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완가공비</t>
        </r>
      </text>
    </comment>
    <comment ref="N11" authorId="0" shapeId="0" xr:uid="{00000000-0006-0000-1900-00000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가공비</t>
        </r>
      </text>
    </comment>
    <comment ref="P11" authorId="0" shapeId="0" xr:uid="{00000000-0006-0000-1900-00001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L12" authorId="0" shapeId="0" xr:uid="{00000000-0006-0000-1900-00001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ALBC2 - </t>
        </r>
        <r>
          <rPr>
            <sz val="9"/>
            <color indexed="81"/>
            <rFont val="돋움"/>
            <family val="3"/>
            <charset val="129"/>
          </rPr>
          <t>동우오일레스</t>
        </r>
      </text>
    </comment>
    <comment ref="L15" authorId="0" shapeId="0" xr:uid="{00000000-0006-0000-1900-00001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</t>
        </r>
      </text>
    </comment>
    <comment ref="M15" authorId="0" shapeId="0" xr:uid="{00000000-0006-0000-1900-00001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</t>
        </r>
      </text>
    </comment>
    <comment ref="N15" authorId="0" shapeId="0" xr:uid="{00000000-0006-0000-1900-00001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BODY MATERIAL</t>
        </r>
      </text>
    </comment>
    <comment ref="L16" authorId="0" shapeId="0" xr:uid="{00000000-0006-0000-1900-00001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HEX BOLT</t>
        </r>
      </text>
    </comment>
    <comment ref="M16" authorId="0" shapeId="0" xr:uid="{00000000-0006-0000-1900-00001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6" authorId="0" shapeId="0" xr:uid="{00000000-0006-0000-1900-00001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16" authorId="0" shapeId="0" xr:uid="{00000000-0006-0000-1900-00001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17" authorId="0" shapeId="0" xr:uid="{00000000-0006-0000-1900-00001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ALBC2</t>
        </r>
      </text>
    </comment>
    <comment ref="L18" authorId="0" shapeId="0" xr:uid="{00000000-0006-0000-1900-00001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
</t>
        </r>
      </text>
    </comment>
    <comment ref="M18" authorId="0" shapeId="0" xr:uid="{00000000-0006-0000-1900-00001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
</t>
        </r>
      </text>
    </comment>
    <comment ref="M19" authorId="0" shapeId="0" xr:uid="{00000000-0006-0000-1900-00001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9" authorId="0" shapeId="0" xr:uid="{00000000-0006-0000-1900-00001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M20" authorId="0" shapeId="0" xr:uid="{00000000-0006-0000-1900-00001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20" authorId="0" shapeId="0" xr:uid="{00000000-0006-0000-1900-00001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20" authorId="0" shapeId="0" xr:uid="{00000000-0006-0000-1900-00002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22" authorId="0" shapeId="0" xr:uid="{00000000-0006-0000-1900-00002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PIYAKE
</t>
        </r>
      </text>
    </comment>
    <comment ref="M22" authorId="0" shapeId="0" xr:uid="{00000000-0006-0000-1900-00002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 BAR</t>
        </r>
      </text>
    </comment>
    <comment ref="N22" authorId="0" shapeId="0" xr:uid="{00000000-0006-0000-1900-00002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O22" authorId="0" shapeId="0" xr:uid="{00000000-0006-0000-1900-00002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L23" authorId="0" shapeId="0" xr:uid="{00000000-0006-0000-1900-00002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M23" authorId="0" shapeId="0" xr:uid="{00000000-0006-0000-1900-00002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*2Coating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520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N23" authorId="0" shapeId="0" xr:uid="{00000000-0006-0000-1900-00002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*3Coating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620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24" authorId="0" shapeId="0" xr:uid="{00000000-0006-0000-1900-00002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L30" authorId="0" shapeId="0" xr:uid="{00000000-0006-0000-1900-00002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30" authorId="0" shapeId="0" xr:uid="{00000000-0006-0000-1900-00002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BARE/LEVER</t>
        </r>
      </text>
    </comment>
    <comment ref="N30" authorId="0" shapeId="0" xr:uid="{00000000-0006-0000-1900-00002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GEAR</t>
        </r>
      </text>
    </comment>
    <comment ref="O30" authorId="0" shapeId="0" xr:uid="{00000000-0006-0000-1900-00002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MOTOR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</authors>
  <commentList>
    <comment ref="R5" authorId="0" shapeId="0" xr:uid="{00000000-0006-0000-1A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750A </t>
        </r>
        <r>
          <rPr>
            <sz val="9"/>
            <color indexed="81"/>
            <rFont val="돋움"/>
            <family val="3"/>
            <charset val="129"/>
          </rPr>
          <t>이상은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중공형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</text>
    </comment>
    <comment ref="L8" authorId="0" shapeId="0" xr:uid="{00000000-0006-0000-1A00-00000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8" authorId="0" shapeId="0" xr:uid="{00000000-0006-0000-1A00-00000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L9" authorId="0" shapeId="0" xr:uid="{00000000-0006-0000-1A00-00000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9" authorId="0" shapeId="0" xr:uid="{00000000-0006-0000-1A00-00000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</t>
        </r>
      </text>
    </comment>
    <comment ref="N9" authorId="0" shapeId="0" xr:uid="{00000000-0006-0000-1A00-00000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SUS/CA15</t>
        </r>
      </text>
    </comment>
    <comment ref="O9" authorId="0" shapeId="0" xr:uid="{00000000-0006-0000-1A00-00000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4A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임의지정</t>
        </r>
      </text>
    </comment>
    <comment ref="P9" authorId="0" shapeId="0" xr:uid="{00000000-0006-0000-1A00-00000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5A</t>
        </r>
      </text>
    </comment>
    <comment ref="L10" authorId="0" shapeId="0" xr:uid="{00000000-0006-0000-1A00-00000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0" authorId="0" shapeId="0" xr:uid="{00000000-0006-0000-1A00-00000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0" authorId="0" shapeId="0" xr:uid="{00000000-0006-0000-1A00-00000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STEAM SILICONE</t>
        </r>
      </text>
    </comment>
    <comment ref="O10" authorId="0" shapeId="0" xr:uid="{00000000-0006-0000-1A00-00000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HYPALON</t>
        </r>
      </text>
    </comment>
    <comment ref="P10" authorId="0" shapeId="0" xr:uid="{00000000-0006-0000-1A00-00000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CHLORPRENE</t>
        </r>
      </text>
    </comment>
    <comment ref="M11" authorId="0" shapeId="0" xr:uid="{00000000-0006-0000-1A00-00000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비에스텍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완가공비</t>
        </r>
      </text>
    </comment>
    <comment ref="N11" authorId="0" shapeId="0" xr:uid="{00000000-0006-0000-1A00-00000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가공비</t>
        </r>
      </text>
    </comment>
    <comment ref="P11" authorId="0" shapeId="0" xr:uid="{00000000-0006-0000-1A00-00001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L12" authorId="0" shapeId="0" xr:uid="{00000000-0006-0000-1A00-00001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ALBC2 - </t>
        </r>
        <r>
          <rPr>
            <sz val="9"/>
            <color indexed="81"/>
            <rFont val="돋움"/>
            <family val="3"/>
            <charset val="129"/>
          </rPr>
          <t>동우오일레스</t>
        </r>
      </text>
    </comment>
    <comment ref="L15" authorId="0" shapeId="0" xr:uid="{00000000-0006-0000-1A00-00001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</t>
        </r>
      </text>
    </comment>
    <comment ref="M15" authorId="0" shapeId="0" xr:uid="{00000000-0006-0000-1A00-00001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</t>
        </r>
      </text>
    </comment>
    <comment ref="N15" authorId="0" shapeId="0" xr:uid="{00000000-0006-0000-1A00-00001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BODY MATERIAL</t>
        </r>
      </text>
    </comment>
    <comment ref="L16" authorId="0" shapeId="0" xr:uid="{00000000-0006-0000-1A00-00001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HEX BOLT</t>
        </r>
      </text>
    </comment>
    <comment ref="M16" authorId="0" shapeId="0" xr:uid="{00000000-0006-0000-1A00-00001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6" authorId="0" shapeId="0" xr:uid="{00000000-0006-0000-1A00-00001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16" authorId="0" shapeId="0" xr:uid="{00000000-0006-0000-1A00-00001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17" authorId="0" shapeId="0" xr:uid="{00000000-0006-0000-1A00-00001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ALBC2</t>
        </r>
      </text>
    </comment>
    <comment ref="L18" authorId="0" shapeId="0" xr:uid="{00000000-0006-0000-1A00-00001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
</t>
        </r>
      </text>
    </comment>
    <comment ref="M18" authorId="0" shapeId="0" xr:uid="{00000000-0006-0000-1A00-00001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
</t>
        </r>
      </text>
    </comment>
    <comment ref="M19" authorId="0" shapeId="0" xr:uid="{00000000-0006-0000-1A00-00001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9" authorId="0" shapeId="0" xr:uid="{00000000-0006-0000-1A00-00001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M20" authorId="0" shapeId="0" xr:uid="{00000000-0006-0000-1A00-00001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20" authorId="0" shapeId="0" xr:uid="{00000000-0006-0000-1A00-00001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20" authorId="0" shapeId="0" xr:uid="{00000000-0006-0000-1A00-00002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22" authorId="0" shapeId="0" xr:uid="{00000000-0006-0000-1A00-00002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PIYAKE
</t>
        </r>
      </text>
    </comment>
    <comment ref="M22" authorId="0" shapeId="0" xr:uid="{00000000-0006-0000-1A00-00002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 BAR</t>
        </r>
      </text>
    </comment>
    <comment ref="N22" authorId="0" shapeId="0" xr:uid="{00000000-0006-0000-1A00-00002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O22" authorId="0" shapeId="0" xr:uid="{00000000-0006-0000-1A00-00002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 BAR
</t>
        </r>
      </text>
    </comment>
    <comment ref="L23" authorId="0" shapeId="0" xr:uid="{00000000-0006-0000-1A00-00002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M23" authorId="0" shapeId="0" xr:uid="{00000000-0006-0000-1A00-00002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*2Coating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520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N23" authorId="0" shapeId="0" xr:uid="{00000000-0006-0000-1A00-00002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*3Coating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620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24" authorId="0" shapeId="0" xr:uid="{00000000-0006-0000-1A00-00002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L30" authorId="0" shapeId="0" xr:uid="{00000000-0006-0000-1A00-00002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30" authorId="0" shapeId="0" xr:uid="{00000000-0006-0000-1A00-00002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BARE/LEVER</t>
        </r>
      </text>
    </comment>
    <comment ref="N30" authorId="0" shapeId="0" xr:uid="{00000000-0006-0000-1A00-00002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GEAR</t>
        </r>
      </text>
    </comment>
    <comment ref="O30" authorId="0" shapeId="0" xr:uid="{00000000-0006-0000-1A00-00002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MOTOR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</authors>
  <commentList>
    <comment ref="R5" authorId="0" shapeId="0" xr:uid="{00000000-0006-0000-1B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750A </t>
        </r>
        <r>
          <rPr>
            <sz val="9"/>
            <color indexed="81"/>
            <rFont val="돋움"/>
            <family val="3"/>
            <charset val="129"/>
          </rPr>
          <t>이상은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중공형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</text>
    </comment>
    <comment ref="L8" authorId="0" shapeId="0" xr:uid="{00000000-0006-0000-1B00-00000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8" authorId="0" shapeId="0" xr:uid="{00000000-0006-0000-1B00-00000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L9" authorId="0" shapeId="0" xr:uid="{00000000-0006-0000-1B00-00000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9" authorId="0" shapeId="0" xr:uid="{00000000-0006-0000-1B00-00000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</t>
        </r>
      </text>
    </comment>
    <comment ref="N9" authorId="0" shapeId="0" xr:uid="{00000000-0006-0000-1B00-00000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SUS/CA15</t>
        </r>
      </text>
    </comment>
    <comment ref="O9" authorId="0" shapeId="0" xr:uid="{00000000-0006-0000-1B00-00000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4A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임의지정</t>
        </r>
      </text>
    </comment>
    <comment ref="P9" authorId="0" shapeId="0" xr:uid="{00000000-0006-0000-1B00-00000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5A</t>
        </r>
      </text>
    </comment>
    <comment ref="L10" authorId="0" shapeId="0" xr:uid="{00000000-0006-0000-1B00-00000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0" authorId="0" shapeId="0" xr:uid="{00000000-0006-0000-1B00-00000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0" authorId="0" shapeId="0" xr:uid="{00000000-0006-0000-1B00-00000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STEAM SILICONE</t>
        </r>
      </text>
    </comment>
    <comment ref="O10" authorId="0" shapeId="0" xr:uid="{00000000-0006-0000-1B00-00000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HYPALON</t>
        </r>
      </text>
    </comment>
    <comment ref="P10" authorId="0" shapeId="0" xr:uid="{00000000-0006-0000-1B00-00000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CHLORPRENE</t>
        </r>
      </text>
    </comment>
    <comment ref="M11" authorId="0" shapeId="0" xr:uid="{00000000-0006-0000-1B00-00000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비에스텍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완가공비</t>
        </r>
      </text>
    </comment>
    <comment ref="N11" authorId="0" shapeId="0" xr:uid="{00000000-0006-0000-1B00-00000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가공비</t>
        </r>
      </text>
    </comment>
    <comment ref="P11" authorId="0" shapeId="0" xr:uid="{00000000-0006-0000-1B00-00001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L12" authorId="0" shapeId="0" xr:uid="{00000000-0006-0000-1B00-00001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ALBC2 - </t>
        </r>
        <r>
          <rPr>
            <sz val="9"/>
            <color indexed="81"/>
            <rFont val="돋움"/>
            <family val="3"/>
            <charset val="129"/>
          </rPr>
          <t>동우오일레스</t>
        </r>
      </text>
    </comment>
    <comment ref="L15" authorId="0" shapeId="0" xr:uid="{00000000-0006-0000-1B00-00001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</t>
        </r>
      </text>
    </comment>
    <comment ref="M15" authorId="0" shapeId="0" xr:uid="{00000000-0006-0000-1B00-00001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</t>
        </r>
      </text>
    </comment>
    <comment ref="N15" authorId="0" shapeId="0" xr:uid="{00000000-0006-0000-1B00-00001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BODY MATERIAL</t>
        </r>
      </text>
    </comment>
    <comment ref="L16" authorId="0" shapeId="0" xr:uid="{00000000-0006-0000-1B00-00001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HEX BOLT</t>
        </r>
      </text>
    </comment>
    <comment ref="M16" authorId="0" shapeId="0" xr:uid="{00000000-0006-0000-1B00-00001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6" authorId="0" shapeId="0" xr:uid="{00000000-0006-0000-1B00-00001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16" authorId="0" shapeId="0" xr:uid="{00000000-0006-0000-1B00-00001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17" authorId="0" shapeId="0" xr:uid="{00000000-0006-0000-1B00-00001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ALBC2</t>
        </r>
      </text>
    </comment>
    <comment ref="L18" authorId="0" shapeId="0" xr:uid="{00000000-0006-0000-1B00-00001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
</t>
        </r>
      </text>
    </comment>
    <comment ref="M18" authorId="0" shapeId="0" xr:uid="{00000000-0006-0000-1B00-00001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
</t>
        </r>
      </text>
    </comment>
    <comment ref="M19" authorId="0" shapeId="0" xr:uid="{00000000-0006-0000-1B00-00001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9" authorId="0" shapeId="0" xr:uid="{00000000-0006-0000-1B00-00001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M20" authorId="0" shapeId="0" xr:uid="{00000000-0006-0000-1B00-00001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20" authorId="0" shapeId="0" xr:uid="{00000000-0006-0000-1B00-00001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20" authorId="0" shapeId="0" xr:uid="{00000000-0006-0000-1B00-00002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22" authorId="0" shapeId="0" xr:uid="{00000000-0006-0000-1B00-00002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PIYAKE
</t>
        </r>
      </text>
    </comment>
    <comment ref="M22" authorId="0" shapeId="0" xr:uid="{00000000-0006-0000-1B00-00002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 BAR</t>
        </r>
      </text>
    </comment>
    <comment ref="N22" authorId="0" shapeId="0" xr:uid="{00000000-0006-0000-1B00-00002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O22" authorId="0" shapeId="0" xr:uid="{00000000-0006-0000-1B00-00002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L23" authorId="0" shapeId="0" xr:uid="{00000000-0006-0000-1B00-00002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M23" authorId="0" shapeId="0" xr:uid="{00000000-0006-0000-1B00-00002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*2Coating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520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N23" authorId="0" shapeId="0" xr:uid="{00000000-0006-0000-1B00-00002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*3Coating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620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24" authorId="0" shapeId="0" xr:uid="{00000000-0006-0000-1B00-00002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L30" authorId="0" shapeId="0" xr:uid="{00000000-0006-0000-1B00-00002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30" authorId="0" shapeId="0" xr:uid="{00000000-0006-0000-1B00-00002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BARE/LEVER</t>
        </r>
      </text>
    </comment>
    <comment ref="N30" authorId="0" shapeId="0" xr:uid="{00000000-0006-0000-1B00-00002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GEAR</t>
        </r>
      </text>
    </comment>
    <comment ref="O30" authorId="0" shapeId="0" xr:uid="{00000000-0006-0000-1B00-00002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MOTOR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</authors>
  <commentList>
    <comment ref="R5" authorId="0" shapeId="0" xr:uid="{00000000-0006-0000-1C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750A </t>
        </r>
        <r>
          <rPr>
            <sz val="9"/>
            <color indexed="81"/>
            <rFont val="돋움"/>
            <family val="3"/>
            <charset val="129"/>
          </rPr>
          <t>이상은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중공형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</text>
    </comment>
    <comment ref="L8" authorId="0" shapeId="0" xr:uid="{00000000-0006-0000-1C00-00000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기존단가</t>
        </r>
      </text>
    </comment>
    <comment ref="M8" authorId="0" shapeId="0" xr:uid="{00000000-0006-0000-1C00-00000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L9" authorId="0" shapeId="0" xr:uid="{00000000-0006-0000-1C00-00000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9" authorId="0" shapeId="0" xr:uid="{00000000-0006-0000-1C00-00000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</t>
        </r>
      </text>
    </comment>
    <comment ref="N9" authorId="0" shapeId="0" xr:uid="{00000000-0006-0000-1C00-00000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SUS/CA15</t>
        </r>
      </text>
    </comment>
    <comment ref="O9" authorId="0" shapeId="0" xr:uid="{00000000-0006-0000-1C00-00000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4A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임의지정</t>
        </r>
      </text>
    </comment>
    <comment ref="P9" authorId="0" shapeId="0" xr:uid="{00000000-0006-0000-1C00-00000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5A</t>
        </r>
      </text>
    </comment>
    <comment ref="L10" authorId="0" shapeId="0" xr:uid="{00000000-0006-0000-1C00-00000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0" authorId="0" shapeId="0" xr:uid="{00000000-0006-0000-1C00-00000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0" authorId="0" shapeId="0" xr:uid="{00000000-0006-0000-1C00-00000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STEAM SILICONE</t>
        </r>
      </text>
    </comment>
    <comment ref="O10" authorId="0" shapeId="0" xr:uid="{00000000-0006-0000-1C00-00000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HYPALON</t>
        </r>
      </text>
    </comment>
    <comment ref="P10" authorId="0" shapeId="0" xr:uid="{00000000-0006-0000-1C00-00000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CHLORPRENE</t>
        </r>
      </text>
    </comment>
    <comment ref="M11" authorId="0" shapeId="0" xr:uid="{00000000-0006-0000-1C00-00000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비에스텍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완가공비</t>
        </r>
      </text>
    </comment>
    <comment ref="N11" authorId="0" shapeId="0" xr:uid="{00000000-0006-0000-1C00-00000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가공비</t>
        </r>
      </text>
    </comment>
    <comment ref="P11" authorId="0" shapeId="0" xr:uid="{00000000-0006-0000-1C00-00001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L15" authorId="0" shapeId="0" xr:uid="{00000000-0006-0000-1C00-00001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</t>
        </r>
      </text>
    </comment>
    <comment ref="M15" authorId="0" shapeId="0" xr:uid="{00000000-0006-0000-1C00-00001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</t>
        </r>
      </text>
    </comment>
    <comment ref="N15" authorId="0" shapeId="0" xr:uid="{00000000-0006-0000-1C00-00001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BODY MATERIAL</t>
        </r>
      </text>
    </comment>
    <comment ref="L16" authorId="0" shapeId="0" xr:uid="{00000000-0006-0000-1C00-00001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HEX BOLT</t>
        </r>
      </text>
    </comment>
    <comment ref="M16" authorId="0" shapeId="0" xr:uid="{00000000-0006-0000-1C00-00001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6" authorId="0" shapeId="0" xr:uid="{00000000-0006-0000-1C00-00001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16" authorId="0" shapeId="0" xr:uid="{00000000-0006-0000-1C00-00001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17" authorId="0" shapeId="0" xr:uid="{00000000-0006-0000-1C00-00001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ALBC2</t>
        </r>
      </text>
    </comment>
    <comment ref="L18" authorId="0" shapeId="0" xr:uid="{00000000-0006-0000-1C00-00001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
</t>
        </r>
      </text>
    </comment>
    <comment ref="M18" authorId="0" shapeId="0" xr:uid="{00000000-0006-0000-1C00-00001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
</t>
        </r>
      </text>
    </comment>
    <comment ref="M19" authorId="0" shapeId="0" xr:uid="{00000000-0006-0000-1C00-00001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9" authorId="0" shapeId="0" xr:uid="{00000000-0006-0000-1C00-00001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M20" authorId="0" shapeId="0" xr:uid="{00000000-0006-0000-1C00-00001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20" authorId="0" shapeId="0" xr:uid="{00000000-0006-0000-1C00-00001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L22" authorId="0" shapeId="0" xr:uid="{00000000-0006-0000-1C00-00001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PIYAKE
</t>
        </r>
      </text>
    </comment>
    <comment ref="M22" authorId="0" shapeId="0" xr:uid="{00000000-0006-0000-1C00-00002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 BAR</t>
        </r>
      </text>
    </comment>
    <comment ref="N22" authorId="0" shapeId="0" xr:uid="{00000000-0006-0000-1C00-00002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O22" authorId="0" shapeId="0" xr:uid="{00000000-0006-0000-1C00-00002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 BAR
</t>
        </r>
      </text>
    </comment>
    <comment ref="L23" authorId="0" shapeId="0" xr:uid="{00000000-0006-0000-1C00-00002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M23" authorId="0" shapeId="0" xr:uid="{00000000-0006-0000-1C00-00002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*2Coating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520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N23" authorId="0" shapeId="0" xr:uid="{00000000-0006-0000-1C00-00002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*3Coating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620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24" authorId="0" shapeId="0" xr:uid="{00000000-0006-0000-1C00-00002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L30" authorId="0" shapeId="0" xr:uid="{00000000-0006-0000-1C00-00002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30" authorId="0" shapeId="0" xr:uid="{00000000-0006-0000-1C00-00002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GEAR</t>
        </r>
      </text>
    </comment>
    <comment ref="N30" authorId="0" shapeId="0" xr:uid="{00000000-0006-0000-1C00-00002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GEAR</t>
        </r>
      </text>
    </comment>
    <comment ref="O30" authorId="0" shapeId="0" xr:uid="{00000000-0006-0000-1C00-00002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MOTOR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</authors>
  <commentList>
    <comment ref="R5" authorId="0" shapeId="0" xr:uid="{00000000-0006-0000-1D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750A </t>
        </r>
        <r>
          <rPr>
            <sz val="9"/>
            <color indexed="81"/>
            <rFont val="돋움"/>
            <family val="3"/>
            <charset val="129"/>
          </rPr>
          <t>이상은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중공형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</text>
    </comment>
    <comment ref="L8" authorId="0" shapeId="0" xr:uid="{00000000-0006-0000-1D00-00000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기존단가</t>
        </r>
      </text>
    </comment>
    <comment ref="M8" authorId="0" shapeId="0" xr:uid="{00000000-0006-0000-1D00-00000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L9" authorId="0" shapeId="0" xr:uid="{00000000-0006-0000-1D00-00000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9" authorId="0" shapeId="0" xr:uid="{00000000-0006-0000-1D00-00000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</t>
        </r>
      </text>
    </comment>
    <comment ref="N9" authorId="0" shapeId="0" xr:uid="{00000000-0006-0000-1D00-00000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SUS/CA15</t>
        </r>
      </text>
    </comment>
    <comment ref="O9" authorId="0" shapeId="0" xr:uid="{00000000-0006-0000-1D00-00000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4A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임의지정</t>
        </r>
      </text>
    </comment>
    <comment ref="P9" authorId="0" shapeId="0" xr:uid="{00000000-0006-0000-1D00-00000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A890 5A</t>
        </r>
      </text>
    </comment>
    <comment ref="L10" authorId="0" shapeId="0" xr:uid="{00000000-0006-0000-1D00-00000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0" authorId="0" shapeId="0" xr:uid="{00000000-0006-0000-1D00-00000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0" authorId="0" shapeId="0" xr:uid="{00000000-0006-0000-1D00-00000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STEAM SILICONE</t>
        </r>
      </text>
    </comment>
    <comment ref="O10" authorId="0" shapeId="0" xr:uid="{00000000-0006-0000-1D00-00000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HYPALON</t>
        </r>
      </text>
    </comment>
    <comment ref="P10" authorId="0" shapeId="0" xr:uid="{00000000-0006-0000-1D00-00000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CHLORPRENE</t>
        </r>
      </text>
    </comment>
    <comment ref="M11" authorId="0" shapeId="0" xr:uid="{00000000-0006-0000-1D00-00000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비에스텍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완가공비</t>
        </r>
      </text>
    </comment>
    <comment ref="N11" authorId="0" shapeId="0" xr:uid="{00000000-0006-0000-1D00-00000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가공비</t>
        </r>
      </text>
    </comment>
    <comment ref="P11" authorId="0" shapeId="0" xr:uid="{00000000-0006-0000-1D00-00001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L15" authorId="0" shapeId="0" xr:uid="{00000000-0006-0000-1D00-00001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</t>
        </r>
      </text>
    </comment>
    <comment ref="M15" authorId="0" shapeId="0" xr:uid="{00000000-0006-0000-1D00-00001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</t>
        </r>
      </text>
    </comment>
    <comment ref="N15" authorId="0" shapeId="0" xr:uid="{00000000-0006-0000-1D00-00001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BODY MATERIAL</t>
        </r>
      </text>
    </comment>
    <comment ref="L16" authorId="0" shapeId="0" xr:uid="{00000000-0006-0000-1D00-00001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HEX BOLT</t>
        </r>
      </text>
    </comment>
    <comment ref="M16" authorId="0" shapeId="0" xr:uid="{00000000-0006-0000-1D00-00001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6" authorId="0" shapeId="0" xr:uid="{00000000-0006-0000-1D00-00001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16" authorId="0" shapeId="0" xr:uid="{00000000-0006-0000-1D00-00001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17" authorId="0" shapeId="0" xr:uid="{00000000-0006-0000-1D00-00001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ALBC2</t>
        </r>
      </text>
    </comment>
    <comment ref="L18" authorId="0" shapeId="0" xr:uid="{00000000-0006-0000-1D00-00001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
</t>
        </r>
      </text>
    </comment>
    <comment ref="M18" authorId="0" shapeId="0" xr:uid="{00000000-0006-0000-1D00-00001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SS400
</t>
        </r>
      </text>
    </comment>
    <comment ref="M19" authorId="0" shapeId="0" xr:uid="{00000000-0006-0000-1D00-00001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19" authorId="0" shapeId="0" xr:uid="{00000000-0006-0000-1D00-00001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M20" authorId="0" shapeId="0" xr:uid="{00000000-0006-0000-1D00-00001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20" authorId="0" shapeId="0" xr:uid="{00000000-0006-0000-1D00-00001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L22" authorId="0" shapeId="0" xr:uid="{00000000-0006-0000-1D00-00001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PIYAKE
</t>
        </r>
      </text>
    </comment>
    <comment ref="M22" authorId="0" shapeId="0" xr:uid="{00000000-0006-0000-1D00-00002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 BAR</t>
        </r>
      </text>
    </comment>
    <comment ref="N22" authorId="0" shapeId="0" xr:uid="{00000000-0006-0000-1D00-00002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O22" authorId="0" shapeId="0" xr:uid="{00000000-0006-0000-1D00-00002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 BAR
</t>
        </r>
      </text>
    </comment>
    <comment ref="L23" authorId="0" shapeId="0" xr:uid="{00000000-0006-0000-1D00-00002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M23" authorId="0" shapeId="0" xr:uid="{00000000-0006-0000-1D00-00002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*2Coating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520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N23" authorId="0" shapeId="0" xr:uid="{00000000-0006-0000-1D00-00002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*3Coating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620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24" authorId="0" shapeId="0" xr:uid="{00000000-0006-0000-1D00-00002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L30" authorId="0" shapeId="0" xr:uid="{00000000-0006-0000-1D00-00002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30" authorId="0" shapeId="0" xr:uid="{00000000-0006-0000-1D00-00002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GEAR</t>
        </r>
      </text>
    </comment>
    <comment ref="N30" authorId="0" shapeId="0" xr:uid="{00000000-0006-0000-1D00-00002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GEAR</t>
        </r>
      </text>
    </comment>
    <comment ref="O30" authorId="0" shapeId="0" xr:uid="{00000000-0006-0000-1D00-00002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MOTOR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이승민</author>
  </authors>
  <commentList>
    <comment ref="R5" authorId="0" shapeId="0" xr:uid="{00000000-0006-0000-1E00-00000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TEST </t>
        </r>
        <r>
          <rPr>
            <sz val="9"/>
            <color indexed="81"/>
            <rFont val="돋움"/>
            <family val="3"/>
            <charset val="129"/>
          </rPr>
          <t>압력</t>
        </r>
        <r>
          <rPr>
            <sz val="9"/>
            <color indexed="81"/>
            <rFont val="Tahoma"/>
            <family val="2"/>
          </rPr>
          <t xml:space="preserve"> 11BAR </t>
        </r>
        <r>
          <rPr>
            <sz val="9"/>
            <color indexed="81"/>
            <rFont val="돋움"/>
            <family val="3"/>
            <charset val="129"/>
          </rPr>
          <t>초과시</t>
        </r>
        <r>
          <rPr>
            <sz val="9"/>
            <color indexed="81"/>
            <rFont val="Tahoma"/>
            <family val="2"/>
          </rPr>
          <t xml:space="preserve">(150A </t>
        </r>
        <r>
          <rPr>
            <sz val="9"/>
            <color indexed="81"/>
            <rFont val="돋움"/>
            <family val="3"/>
            <charset val="129"/>
          </rPr>
          <t>까지는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>)</t>
        </r>
      </text>
    </comment>
    <comment ref="N7" authorId="0" shapeId="0" xr:uid="{00000000-0006-0000-1E00-00000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 xml:space="preserve">:
190712 
</t>
        </r>
        <r>
          <rPr>
            <b/>
            <sz val="9"/>
            <color indexed="81"/>
            <rFont val="돋움"/>
            <family val="3"/>
            <charset val="129"/>
          </rPr>
          <t>견적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산정</t>
        </r>
      </text>
    </comment>
    <comment ref="N8" authorId="0" shapeId="0" xr:uid="{00000000-0006-0000-1E00-00000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 xml:space="preserve">:
190712 
</t>
        </r>
        <r>
          <rPr>
            <b/>
            <sz val="9"/>
            <color indexed="81"/>
            <rFont val="돋움"/>
            <family val="3"/>
            <charset val="129"/>
          </rPr>
          <t>견적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산정</t>
        </r>
      </text>
    </comment>
    <comment ref="J9" authorId="0" shapeId="0" xr:uid="{00000000-0006-0000-1E00-00000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연마비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</text>
    </comment>
    <comment ref="L10" authorId="0" shapeId="0" xr:uid="{00000000-0006-0000-1E00-00000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0" authorId="0" shapeId="0" xr:uid="{00000000-0006-0000-1E00-00000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0" authorId="0" shapeId="0" xr:uid="{00000000-0006-0000-1E00-00000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SILICONE</t>
        </r>
      </text>
    </comment>
    <comment ref="O10" authorId="0" shapeId="0" xr:uid="{00000000-0006-0000-1E00-00000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HYPALON</t>
        </r>
      </text>
    </comment>
    <comment ref="P10" authorId="0" shapeId="0" xr:uid="{00000000-0006-0000-1E00-00000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CHLORPRENE</t>
        </r>
      </text>
    </comment>
    <comment ref="M11" authorId="0" shapeId="0" xr:uid="{00000000-0006-0000-1E00-00000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비에스텍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완가공비</t>
        </r>
      </text>
    </comment>
    <comment ref="L12" authorId="0" shapeId="0" xr:uid="{00000000-0006-0000-1E00-00000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NBR/EPDM</t>
        </r>
      </text>
    </comment>
    <comment ref="M12" authorId="0" shapeId="0" xr:uid="{00000000-0006-0000-1E00-00000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VITON</t>
        </r>
      </text>
    </comment>
    <comment ref="N12" authorId="0" shapeId="0" xr:uid="{00000000-0006-0000-1E00-00000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ACETAL</t>
        </r>
      </text>
    </comment>
    <comment ref="L14" authorId="0" shapeId="0" xr:uid="{00000000-0006-0000-1E00-00000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성강정밀</t>
        </r>
        <r>
          <rPr>
            <sz val="9"/>
            <color indexed="81"/>
            <rFont val="Tahoma"/>
            <family val="2"/>
          </rPr>
          <t xml:space="preserve">
304/316/410</t>
        </r>
      </text>
    </comment>
    <comment ref="L20" authorId="0" shapeId="0" xr:uid="{00000000-0006-0000-1E00-00000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</t>
        </r>
      </text>
    </comment>
    <comment ref="M20" authorId="0" shapeId="0" xr:uid="{00000000-0006-0000-1E00-000010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</t>
        </r>
      </text>
    </comment>
    <comment ref="N20" authorId="0" shapeId="0" xr:uid="{00000000-0006-0000-1E00-000011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B8M</t>
        </r>
      </text>
    </comment>
    <comment ref="O20" authorId="0" shapeId="0" xr:uid="{00000000-0006-0000-1E00-000012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B7(</t>
        </r>
        <r>
          <rPr>
            <sz val="9"/>
            <color indexed="81"/>
            <rFont val="돋움"/>
            <family val="3"/>
            <charset val="129"/>
          </rPr>
          <t>다크로</t>
        </r>
        <r>
          <rPr>
            <sz val="9"/>
            <color indexed="81"/>
            <rFont val="Tahoma"/>
            <family val="2"/>
          </rPr>
          <t>)</t>
        </r>
      </text>
    </comment>
    <comment ref="L24" authorId="0" shapeId="0" xr:uid="{00000000-0006-0000-1E00-000013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PIYAKE
</t>
        </r>
      </text>
    </comment>
    <comment ref="M24" authorId="0" shapeId="0" xr:uid="{00000000-0006-0000-1E00-000014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10 BAR</t>
        </r>
      </text>
    </comment>
    <comment ref="N24" authorId="0" shapeId="0" xr:uid="{00000000-0006-0000-1E00-000015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16 BAR</t>
        </r>
      </text>
    </comment>
    <comment ref="O24" authorId="0" shapeId="0" xr:uid="{00000000-0006-0000-1E00-000016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20 BAR
</t>
        </r>
      </text>
    </comment>
    <comment ref="L25" authorId="0" shapeId="0" xr:uid="{00000000-0006-0000-1E00-000017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M25" authorId="0" shapeId="0" xr:uid="{00000000-0006-0000-1E00-000018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*2Coating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520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N25" authorId="0" shapeId="0" xr:uid="{00000000-0006-0000-1E00-000019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Coating </t>
        </r>
        <r>
          <rPr>
            <sz val="9"/>
            <color indexed="81"/>
            <rFont val="돋움"/>
            <family val="3"/>
            <charset val="129"/>
          </rPr>
          <t xml:space="preserve">단가
</t>
        </r>
        <r>
          <rPr>
            <sz val="9"/>
            <color indexed="81"/>
            <rFont val="Tahoma"/>
            <family val="2"/>
          </rPr>
          <t xml:space="preserve">*3Coating =
Body </t>
        </r>
        <r>
          <rPr>
            <sz val="9"/>
            <color indexed="81"/>
            <rFont val="돋움"/>
            <family val="3"/>
            <charset val="129"/>
          </rPr>
          <t>중량</t>
        </r>
        <r>
          <rPr>
            <sz val="9"/>
            <color indexed="81"/>
            <rFont val="Tahoma"/>
            <family val="2"/>
          </rPr>
          <t xml:space="preserve"> X 620</t>
        </r>
        <r>
          <rPr>
            <sz val="9"/>
            <color indexed="81"/>
            <rFont val="돋움"/>
            <family val="3"/>
            <charset val="129"/>
          </rPr>
          <t>원</t>
        </r>
      </text>
    </comment>
    <comment ref="L26" authorId="0" shapeId="0" xr:uid="{00000000-0006-0000-1E00-00001A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</t>
        </r>
        <r>
          <rPr>
            <sz val="9"/>
            <color indexed="81"/>
            <rFont val="Tahoma"/>
            <family val="2"/>
          </rPr>
          <t xml:space="preserve"> Table </t>
        </r>
        <r>
          <rPr>
            <sz val="9"/>
            <color indexed="81"/>
            <rFont val="돋움"/>
            <family val="3"/>
            <charset val="129"/>
          </rPr>
          <t>단가</t>
        </r>
      </text>
    </comment>
    <comment ref="B32" authorId="0" shapeId="0" xr:uid="{00000000-0006-0000-1E00-00001B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수출포장</t>
        </r>
        <r>
          <rPr>
            <sz val="9"/>
            <color indexed="81"/>
            <rFont val="Tahoma"/>
            <family val="2"/>
          </rPr>
          <t>)</t>
        </r>
      </text>
    </comment>
    <comment ref="L32" authorId="0" shapeId="0" xr:uid="{00000000-0006-0000-1E00-00001C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기존단가</t>
        </r>
      </text>
    </comment>
    <comment ref="M32" authorId="0" shapeId="0" xr:uid="{00000000-0006-0000-1E00-00001D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BARE/LEVER</t>
        </r>
      </text>
    </comment>
    <comment ref="N32" authorId="0" shapeId="0" xr:uid="{00000000-0006-0000-1E00-00001E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GEAR</t>
        </r>
      </text>
    </comment>
    <comment ref="O32" authorId="0" shapeId="0" xr:uid="{00000000-0006-0000-1E00-00001F000000}">
      <text>
        <r>
          <rPr>
            <b/>
            <sz val="9"/>
            <color indexed="81"/>
            <rFont val="돋움"/>
            <family val="3"/>
            <charset val="129"/>
          </rPr>
          <t>이승민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MOTOR
</t>
        </r>
      </text>
    </comment>
  </commentList>
</comments>
</file>

<file path=xl/sharedStrings.xml><?xml version="1.0" encoding="utf-8"?>
<sst xmlns="http://schemas.openxmlformats.org/spreadsheetml/2006/main" count="2987" uniqueCount="550">
  <si>
    <t>VITON</t>
    <phoneticPr fontId="7" type="noConversion"/>
  </si>
  <si>
    <t>NO.</t>
    <phoneticPr fontId="7" type="noConversion"/>
  </si>
  <si>
    <t>DISC</t>
    <phoneticPr fontId="7" type="noConversion"/>
  </si>
  <si>
    <t>SEAT</t>
    <phoneticPr fontId="7" type="noConversion"/>
  </si>
  <si>
    <t>DISC BOLT(PIN)</t>
    <phoneticPr fontId="7" type="noConversion"/>
  </si>
  <si>
    <t>LEVER</t>
    <phoneticPr fontId="7" type="noConversion"/>
  </si>
  <si>
    <t>GEAR BOX</t>
    <phoneticPr fontId="7" type="noConversion"/>
  </si>
  <si>
    <t>PAINT</t>
    <phoneticPr fontId="7" type="noConversion"/>
  </si>
  <si>
    <t>SIZE</t>
  </si>
  <si>
    <t>DISC</t>
  </si>
  <si>
    <t>STEM</t>
    <phoneticPr fontId="7" type="noConversion"/>
  </si>
  <si>
    <t>BARE</t>
    <phoneticPr fontId="7" type="noConversion"/>
  </si>
  <si>
    <t>GEAR</t>
    <phoneticPr fontId="7" type="noConversion"/>
  </si>
  <si>
    <t>50A</t>
    <phoneticPr fontId="6" type="noConversion"/>
  </si>
  <si>
    <t>65A</t>
    <phoneticPr fontId="6" type="noConversion"/>
  </si>
  <si>
    <t>80A</t>
    <phoneticPr fontId="6" type="noConversion"/>
  </si>
  <si>
    <t>100A</t>
    <phoneticPr fontId="6" type="noConversion"/>
  </si>
  <si>
    <t>125A</t>
    <phoneticPr fontId="6" type="noConversion"/>
  </si>
  <si>
    <t>250A</t>
    <phoneticPr fontId="6" type="noConversion"/>
  </si>
  <si>
    <t>300A</t>
    <phoneticPr fontId="6" type="noConversion"/>
  </si>
  <si>
    <t>350A</t>
    <phoneticPr fontId="6" type="noConversion"/>
  </si>
  <si>
    <t>400A</t>
    <phoneticPr fontId="6" type="noConversion"/>
  </si>
  <si>
    <t>450A</t>
    <phoneticPr fontId="6" type="noConversion"/>
  </si>
  <si>
    <t>500A</t>
    <phoneticPr fontId="6" type="noConversion"/>
  </si>
  <si>
    <t>550A</t>
    <phoneticPr fontId="6" type="noConversion"/>
  </si>
  <si>
    <t>600A</t>
    <phoneticPr fontId="6" type="noConversion"/>
  </si>
  <si>
    <t>650A</t>
    <phoneticPr fontId="6" type="noConversion"/>
  </si>
  <si>
    <t>700A</t>
    <phoneticPr fontId="6" type="noConversion"/>
  </si>
  <si>
    <t>750A</t>
    <phoneticPr fontId="6" type="noConversion"/>
  </si>
  <si>
    <t>800A</t>
    <phoneticPr fontId="6" type="noConversion"/>
  </si>
  <si>
    <t>850A</t>
    <phoneticPr fontId="6" type="noConversion"/>
  </si>
  <si>
    <t>900A</t>
    <phoneticPr fontId="6" type="noConversion"/>
  </si>
  <si>
    <t>950A</t>
    <phoneticPr fontId="6" type="noConversion"/>
  </si>
  <si>
    <t>1000A</t>
    <phoneticPr fontId="6" type="noConversion"/>
  </si>
  <si>
    <t>1050A</t>
    <phoneticPr fontId="6" type="noConversion"/>
  </si>
  <si>
    <t>1100A</t>
    <phoneticPr fontId="6" type="noConversion"/>
  </si>
  <si>
    <t>1200A</t>
    <phoneticPr fontId="6" type="noConversion"/>
  </si>
  <si>
    <t>MATERIAL</t>
    <phoneticPr fontId="6" type="noConversion"/>
  </si>
  <si>
    <t>SUS</t>
    <phoneticPr fontId="7" type="noConversion"/>
  </si>
  <si>
    <t>EPDM</t>
    <phoneticPr fontId="7" type="noConversion"/>
  </si>
  <si>
    <t>B8M</t>
    <phoneticPr fontId="7" type="noConversion"/>
  </si>
  <si>
    <t>FACTOR</t>
    <phoneticPr fontId="7" type="noConversion"/>
  </si>
  <si>
    <t>A351 CN7M</t>
    <phoneticPr fontId="38" type="noConversion"/>
  </si>
  <si>
    <t>제흥금속</t>
    <phoneticPr fontId="38" type="noConversion"/>
  </si>
  <si>
    <t>HTF</t>
    <phoneticPr fontId="38" type="noConversion"/>
  </si>
  <si>
    <t>품질문제로 품질부 거래 holding</t>
    <phoneticPr fontId="38" type="noConversion"/>
  </si>
  <si>
    <t>101KG 이상</t>
    <phoneticPr fontId="38" type="noConversion"/>
  </si>
  <si>
    <t>영광스틸</t>
    <phoneticPr fontId="38" type="noConversion"/>
  </si>
  <si>
    <t>단가인상요청 미반영 거래 반납</t>
    <phoneticPr fontId="38" type="noConversion"/>
  </si>
  <si>
    <t>21KG 이상</t>
    <phoneticPr fontId="38" type="noConversion"/>
  </si>
  <si>
    <t>20KG 이하</t>
    <phoneticPr fontId="38" type="noConversion"/>
  </si>
  <si>
    <t>대림산업</t>
    <phoneticPr fontId="38" type="noConversion"/>
  </si>
  <si>
    <t>2018년 10월 rev.</t>
    <phoneticPr fontId="38" type="noConversion"/>
  </si>
  <si>
    <t>200KG이상</t>
    <phoneticPr fontId="38" type="noConversion"/>
  </si>
  <si>
    <t>대신금속</t>
    <phoneticPr fontId="38" type="noConversion"/>
  </si>
  <si>
    <t>2018년 11월 rev.</t>
    <phoneticPr fontId="38" type="noConversion"/>
  </si>
  <si>
    <t>300KG미만</t>
    <phoneticPr fontId="38" type="noConversion"/>
  </si>
  <si>
    <t>300KG이상</t>
    <phoneticPr fontId="38" type="noConversion"/>
  </si>
  <si>
    <t>주원특수강</t>
    <phoneticPr fontId="38" type="noConversion"/>
  </si>
  <si>
    <t>100kg 이하는 별도 견적</t>
    <phoneticPr fontId="38" type="noConversion"/>
  </si>
  <si>
    <t>100~300KG</t>
    <phoneticPr fontId="38" type="noConversion"/>
  </si>
  <si>
    <t>금화STEEL</t>
    <phoneticPr fontId="38" type="noConversion"/>
  </si>
  <si>
    <t>마천캐스트</t>
    <phoneticPr fontId="38" type="noConversion"/>
  </si>
  <si>
    <t>2019-01-21 단가인상요청
(1950원-&gt;2100원)</t>
    <phoneticPr fontId="38" type="noConversion"/>
  </si>
  <si>
    <t>DN500~1000</t>
    <phoneticPr fontId="38" type="noConversion"/>
  </si>
  <si>
    <t>업체/재질별 주조 단가 (2019-05-21)</t>
    <phoneticPr fontId="38" type="noConversion"/>
  </si>
  <si>
    <t>업체</t>
    <phoneticPr fontId="38" type="noConversion"/>
  </si>
  <si>
    <t>REV</t>
    <phoneticPr fontId="38" type="noConversion"/>
  </si>
  <si>
    <t>관리CAPA.</t>
    <phoneticPr fontId="38" type="noConversion"/>
  </si>
  <si>
    <t>A216 WCB</t>
    <phoneticPr fontId="38" type="noConversion"/>
  </si>
  <si>
    <t>A217 WC9</t>
    <phoneticPr fontId="38" type="noConversion"/>
  </si>
  <si>
    <t>A217 WC1</t>
    <phoneticPr fontId="38" type="noConversion"/>
  </si>
  <si>
    <t>A352 LCC</t>
    <phoneticPr fontId="38" type="noConversion"/>
  </si>
  <si>
    <t>A217 WC6</t>
    <phoneticPr fontId="38" type="noConversion"/>
  </si>
  <si>
    <t>A217 CA15</t>
    <phoneticPr fontId="38" type="noConversion"/>
  </si>
  <si>
    <t>A351 CG8M</t>
    <phoneticPr fontId="38" type="noConversion"/>
  </si>
  <si>
    <t>A351 CG3M</t>
    <phoneticPr fontId="38" type="noConversion"/>
  </si>
  <si>
    <t>A351 CF8</t>
    <phoneticPr fontId="38" type="noConversion"/>
  </si>
  <si>
    <t>A351 CF8M</t>
    <phoneticPr fontId="38" type="noConversion"/>
  </si>
  <si>
    <t>A351 CF3M</t>
    <phoneticPr fontId="38" type="noConversion"/>
  </si>
  <si>
    <t>A890 4A</t>
    <phoneticPr fontId="38" type="noConversion"/>
  </si>
  <si>
    <t>A890 5A</t>
    <phoneticPr fontId="38" type="noConversion"/>
  </si>
  <si>
    <t>A890 6A</t>
    <phoneticPr fontId="38" type="noConversion"/>
  </si>
  <si>
    <t>A351 CF3</t>
    <phoneticPr fontId="38" type="noConversion"/>
  </si>
  <si>
    <t>A351 CF8C</t>
    <phoneticPr fontId="38" type="noConversion"/>
  </si>
  <si>
    <t>CW6MC</t>
    <phoneticPr fontId="38" type="noConversion"/>
  </si>
  <si>
    <t>INCOLOY
25-6Mo</t>
    <phoneticPr fontId="38" type="noConversion"/>
  </si>
  <si>
    <t>MONEL
K500</t>
    <phoneticPr fontId="38" type="noConversion"/>
  </si>
  <si>
    <t>ALBC3</t>
    <phoneticPr fontId="38" type="noConversion"/>
  </si>
  <si>
    <t>B148</t>
    <phoneticPr fontId="38" type="noConversion"/>
  </si>
  <si>
    <t>A536</t>
    <phoneticPr fontId="38" type="noConversion"/>
  </si>
  <si>
    <t>폐업(2018년5월)</t>
    <phoneticPr fontId="38" type="noConversion"/>
  </si>
  <si>
    <t>50KG이상</t>
    <phoneticPr fontId="38" type="noConversion"/>
  </si>
  <si>
    <t>100KG 이하</t>
    <phoneticPr fontId="38" type="noConversion"/>
  </si>
  <si>
    <t>2018년 6월 거래 개시</t>
    <phoneticPr fontId="38" type="noConversion"/>
  </si>
  <si>
    <t>광명금속</t>
    <phoneticPr fontId="38" type="noConversion"/>
  </si>
  <si>
    <t>신규 개발진행 업체</t>
    <phoneticPr fontId="38" type="noConversion"/>
  </si>
  <si>
    <t>~20KG</t>
    <phoneticPr fontId="38" type="noConversion"/>
  </si>
  <si>
    <t>21~50KG</t>
    <phoneticPr fontId="38" type="noConversion"/>
  </si>
  <si>
    <t>50KG~</t>
    <phoneticPr fontId="38" type="noConversion"/>
  </si>
  <si>
    <t>디에스케스텍</t>
    <phoneticPr fontId="38" type="noConversion"/>
  </si>
  <si>
    <t>대원테크</t>
    <phoneticPr fontId="38" type="noConversion"/>
  </si>
  <si>
    <t>정밀주조업체</t>
    <phoneticPr fontId="38" type="noConversion"/>
  </si>
  <si>
    <t>SY메탈</t>
    <phoneticPr fontId="38" type="noConversion"/>
  </si>
  <si>
    <t>삼성금속</t>
    <phoneticPr fontId="38" type="noConversion"/>
  </si>
  <si>
    <t>진우 ENG</t>
    <phoneticPr fontId="38" type="noConversion"/>
  </si>
  <si>
    <t>REV.1(17-01-24)
NEGO금액 
ALBC,B148 -150원-</t>
    <phoneticPr fontId="38" type="noConversion"/>
  </si>
  <si>
    <t>DN350이하</t>
    <phoneticPr fontId="38" type="noConversion"/>
  </si>
  <si>
    <t>DN400이상</t>
    <phoneticPr fontId="38" type="noConversion"/>
  </si>
  <si>
    <t>DN2200 이하</t>
    <phoneticPr fontId="38" type="noConversion"/>
  </si>
  <si>
    <t>DN2200 초과</t>
    <phoneticPr fontId="38" type="noConversion"/>
  </si>
  <si>
    <t>화성금속</t>
    <phoneticPr fontId="38" type="noConversion"/>
  </si>
  <si>
    <t>1500이상</t>
    <phoneticPr fontId="38" type="noConversion"/>
  </si>
  <si>
    <t>신우공업</t>
    <phoneticPr fontId="38" type="noConversion"/>
  </si>
  <si>
    <t>450A이하</t>
    <phoneticPr fontId="38" type="noConversion"/>
  </si>
  <si>
    <t>500A이상</t>
    <phoneticPr fontId="38" type="noConversion"/>
  </si>
  <si>
    <t>800KG이상</t>
    <phoneticPr fontId="38" type="noConversion"/>
  </si>
  <si>
    <t>NOTE</t>
    <phoneticPr fontId="38" type="noConversion"/>
  </si>
  <si>
    <t>주강 선급품 기존 단가에서 +100원/KG 추가됨</t>
    <phoneticPr fontId="38" type="noConversion"/>
  </si>
  <si>
    <t>중공형 DISC는 용접비 +400원/KG 추가됨 (SY메탈 DN1000미만 +2000원/KG , DN1000이상 +1500원/KG)</t>
    <phoneticPr fontId="38" type="noConversion"/>
  </si>
  <si>
    <t>영광 STEEL 주강 -100원 SUS -200원 NEGO(2017-01-12)</t>
    <phoneticPr fontId="38" type="noConversion"/>
  </si>
  <si>
    <t>신우공업 - DN500이상 -70원, 800KG이상 -20원(2017-01-24)</t>
    <phoneticPr fontId="38" type="noConversion"/>
  </si>
  <si>
    <t>진우 ENG - ALBC,B148 150원(2017-01-24)</t>
    <phoneticPr fontId="38" type="noConversion"/>
  </si>
  <si>
    <t>신우공업 - DN450이하 -50원 NEGO(2017-10-10)</t>
    <phoneticPr fontId="38" type="noConversion"/>
  </si>
  <si>
    <t>HTF,대원 - 단가적용(2017-10-10)</t>
    <phoneticPr fontId="38" type="noConversion"/>
  </si>
  <si>
    <t>주원특수강 전체 단가 인상 적용(2018년 6월 14일)</t>
    <phoneticPr fontId="38" type="noConversion"/>
  </si>
  <si>
    <t>광명금속 신규 추가(2018년 11월 15일)</t>
    <phoneticPr fontId="38" type="noConversion"/>
  </si>
  <si>
    <t>광명금속 단가 NEGO 적용(2019년 5월 21일)</t>
    <phoneticPr fontId="38" type="noConversion"/>
  </si>
  <si>
    <t>DESCRIPTION</t>
    <phoneticPr fontId="6" type="noConversion"/>
  </si>
  <si>
    <t>PRICE</t>
    <phoneticPr fontId="6" type="noConversion"/>
  </si>
  <si>
    <t>BODY(WAFER)</t>
    <phoneticPr fontId="7" type="noConversion"/>
  </si>
  <si>
    <t>BODY(LUG)</t>
    <phoneticPr fontId="7" type="noConversion"/>
  </si>
  <si>
    <t>BODY(FLANGE)</t>
    <phoneticPr fontId="7" type="noConversion"/>
  </si>
  <si>
    <t>OPERATION</t>
    <phoneticPr fontId="7" type="noConversion"/>
  </si>
  <si>
    <t>BODY MATERIAL</t>
    <phoneticPr fontId="7" type="noConversion"/>
  </si>
  <si>
    <t>DISC MATERIAL</t>
    <phoneticPr fontId="7" type="noConversion"/>
  </si>
  <si>
    <t>A276T304</t>
    <phoneticPr fontId="7" type="noConversion"/>
  </si>
  <si>
    <t>A564T630</t>
    <phoneticPr fontId="7" type="noConversion"/>
  </si>
  <si>
    <t>A479T410</t>
    <phoneticPr fontId="7" type="noConversion"/>
  </si>
  <si>
    <t>UNS S31803</t>
    <phoneticPr fontId="7" type="noConversion"/>
  </si>
  <si>
    <t>UNS S32750</t>
    <phoneticPr fontId="7" type="noConversion"/>
  </si>
  <si>
    <t>SEAT
MATERIAL</t>
    <phoneticPr fontId="38" type="noConversion"/>
  </si>
  <si>
    <t>STEM
MATERIAL</t>
    <phoneticPr fontId="38" type="noConversion"/>
  </si>
  <si>
    <t>COLLAR</t>
    <phoneticPr fontId="38" type="noConversion"/>
  </si>
  <si>
    <t>END COVER</t>
    <phoneticPr fontId="38" type="noConversion"/>
  </si>
  <si>
    <t>OPERATION</t>
    <phoneticPr fontId="38" type="noConversion"/>
  </si>
  <si>
    <t>SS400</t>
  </si>
  <si>
    <t>A536 Gr65-45-12</t>
    <phoneticPr fontId="38" type="noConversion"/>
  </si>
  <si>
    <t>A276T304L</t>
    <phoneticPr fontId="38" type="noConversion"/>
  </si>
  <si>
    <t>B8M</t>
  </si>
  <si>
    <t>MOTOR</t>
    <phoneticPr fontId="7" type="noConversion"/>
  </si>
  <si>
    <t>A276T316</t>
    <phoneticPr fontId="7" type="noConversion"/>
  </si>
  <si>
    <t>A276T316L</t>
    <phoneticPr fontId="38" type="noConversion"/>
  </si>
  <si>
    <t>MONEL K-400</t>
    <phoneticPr fontId="38" type="noConversion"/>
  </si>
  <si>
    <t>MONEL K-500</t>
    <phoneticPr fontId="38" type="noConversion"/>
  </si>
  <si>
    <t>INCONEL 625</t>
    <phoneticPr fontId="38" type="noConversion"/>
  </si>
  <si>
    <t>PRESSURE</t>
    <phoneticPr fontId="7" type="noConversion"/>
  </si>
  <si>
    <t>PRESSURE</t>
    <phoneticPr fontId="38" type="noConversion"/>
  </si>
  <si>
    <t>10 BAR</t>
    <phoneticPr fontId="7" type="noConversion"/>
  </si>
  <si>
    <t>16 BAR</t>
    <phoneticPr fontId="7" type="noConversion"/>
  </si>
  <si>
    <t>20 BAR</t>
    <phoneticPr fontId="7" type="noConversion"/>
  </si>
  <si>
    <t>NBR</t>
    <phoneticPr fontId="7" type="noConversion"/>
  </si>
  <si>
    <t>END COVER</t>
    <phoneticPr fontId="7" type="noConversion"/>
  </si>
  <si>
    <t>BUSH</t>
    <phoneticPr fontId="7" type="noConversion"/>
  </si>
  <si>
    <r>
      <rPr>
        <b/>
        <sz val="9"/>
        <rFont val="굴림"/>
        <family val="3"/>
        <charset val="129"/>
      </rPr>
      <t>부품명</t>
    </r>
    <phoneticPr fontId="7" type="noConversion"/>
  </si>
  <si>
    <r>
      <rPr>
        <b/>
        <sz val="9"/>
        <rFont val="굴림"/>
        <family val="3"/>
        <charset val="129"/>
      </rPr>
      <t>재질</t>
    </r>
    <phoneticPr fontId="7" type="noConversion"/>
  </si>
  <si>
    <r>
      <rPr>
        <b/>
        <sz val="9"/>
        <rFont val="굴림"/>
        <family val="3"/>
        <charset val="129"/>
      </rPr>
      <t>수량</t>
    </r>
    <phoneticPr fontId="7" type="noConversion"/>
  </si>
  <si>
    <r>
      <rPr>
        <b/>
        <sz val="9"/>
        <rFont val="굴림"/>
        <family val="3"/>
        <charset val="129"/>
      </rPr>
      <t>규격</t>
    </r>
    <phoneticPr fontId="7" type="noConversion"/>
  </si>
  <si>
    <r>
      <rPr>
        <b/>
        <sz val="9"/>
        <rFont val="굴림"/>
        <family val="3"/>
        <charset val="129"/>
      </rPr>
      <t>단중</t>
    </r>
    <phoneticPr fontId="7" type="noConversion"/>
  </si>
  <si>
    <r>
      <rPr>
        <b/>
        <sz val="9"/>
        <rFont val="굴림"/>
        <family val="3"/>
        <charset val="129"/>
      </rPr>
      <t>업체</t>
    </r>
    <phoneticPr fontId="7" type="noConversion"/>
  </si>
  <si>
    <r>
      <rPr>
        <b/>
        <sz val="9"/>
        <rFont val="굴림"/>
        <family val="3"/>
        <charset val="129"/>
      </rPr>
      <t>단가</t>
    </r>
    <phoneticPr fontId="7" type="noConversion"/>
  </si>
  <si>
    <r>
      <rPr>
        <b/>
        <sz val="9"/>
        <rFont val="굴림"/>
        <family val="3"/>
        <charset val="129"/>
      </rPr>
      <t>소계</t>
    </r>
    <phoneticPr fontId="7" type="noConversion"/>
  </si>
  <si>
    <r>
      <rPr>
        <b/>
        <sz val="9"/>
        <rFont val="굴림"/>
        <family val="3"/>
        <charset val="129"/>
      </rPr>
      <t>가공비</t>
    </r>
    <phoneticPr fontId="7" type="noConversion"/>
  </si>
  <si>
    <r>
      <rPr>
        <b/>
        <sz val="9"/>
        <rFont val="굴림"/>
        <family val="3"/>
        <charset val="129"/>
      </rPr>
      <t>합계</t>
    </r>
    <phoneticPr fontId="7" type="noConversion"/>
  </si>
  <si>
    <r>
      <rPr>
        <sz val="9"/>
        <rFont val="굴림"/>
        <family val="3"/>
        <charset val="129"/>
      </rPr>
      <t>조립</t>
    </r>
    <r>
      <rPr>
        <sz val="9"/>
        <rFont val="Arial"/>
        <family val="2"/>
      </rPr>
      <t>.</t>
    </r>
    <r>
      <rPr>
        <sz val="9"/>
        <rFont val="굴림"/>
        <family val="3"/>
        <charset val="129"/>
      </rPr>
      <t>검사</t>
    </r>
    <phoneticPr fontId="7" type="noConversion"/>
  </si>
  <si>
    <r>
      <rPr>
        <b/>
        <sz val="9"/>
        <rFont val="굴림"/>
        <family val="3"/>
        <charset val="129"/>
      </rPr>
      <t>밸브합산</t>
    </r>
    <r>
      <rPr>
        <i/>
        <sz val="9"/>
        <rFont val="Arial"/>
        <family val="2"/>
      </rPr>
      <t>(BEAR)</t>
    </r>
    <phoneticPr fontId="7" type="noConversion"/>
  </si>
  <si>
    <r>
      <rPr>
        <b/>
        <sz val="9"/>
        <rFont val="굴림"/>
        <family val="3"/>
        <charset val="129"/>
      </rPr>
      <t>밸브합산</t>
    </r>
    <r>
      <rPr>
        <i/>
        <sz val="9"/>
        <rFont val="Arial"/>
        <family val="2"/>
      </rPr>
      <t>(LEVER)</t>
    </r>
    <phoneticPr fontId="7" type="noConversion"/>
  </si>
  <si>
    <r>
      <rPr>
        <b/>
        <sz val="9"/>
        <rFont val="굴림"/>
        <family val="3"/>
        <charset val="129"/>
      </rPr>
      <t>밸브합산</t>
    </r>
    <r>
      <rPr>
        <i/>
        <sz val="9"/>
        <rFont val="Arial"/>
        <family val="2"/>
      </rPr>
      <t>(GEAR)</t>
    </r>
    <phoneticPr fontId="7" type="noConversion"/>
  </si>
  <si>
    <r>
      <rPr>
        <sz val="9"/>
        <rFont val="굴림"/>
        <family val="3"/>
        <charset val="129"/>
      </rPr>
      <t>포장비용</t>
    </r>
    <phoneticPr fontId="7" type="noConversion"/>
  </si>
  <si>
    <r>
      <rPr>
        <b/>
        <sz val="9"/>
        <rFont val="굴림"/>
        <family val="3"/>
        <charset val="129"/>
      </rPr>
      <t>밸브외</t>
    </r>
    <r>
      <rPr>
        <b/>
        <sz val="9"/>
        <rFont val="Arial"/>
        <family val="2"/>
      </rPr>
      <t xml:space="preserve"> </t>
    </r>
    <r>
      <rPr>
        <b/>
        <sz val="9"/>
        <rFont val="굴림"/>
        <family val="3"/>
        <charset val="129"/>
      </rPr>
      <t>사급품</t>
    </r>
    <r>
      <rPr>
        <b/>
        <sz val="9"/>
        <rFont val="Arial"/>
        <family val="2"/>
      </rPr>
      <t xml:space="preserve"> </t>
    </r>
    <r>
      <rPr>
        <b/>
        <sz val="9"/>
        <rFont val="굴림"/>
        <family val="3"/>
        <charset val="129"/>
      </rPr>
      <t>비용</t>
    </r>
    <r>
      <rPr>
        <b/>
        <sz val="9"/>
        <rFont val="Arial"/>
        <family val="2"/>
      </rPr>
      <t xml:space="preserve"> </t>
    </r>
    <r>
      <rPr>
        <b/>
        <sz val="9"/>
        <rFont val="굴림"/>
        <family val="3"/>
        <charset val="129"/>
      </rPr>
      <t>연산</t>
    </r>
    <phoneticPr fontId="7" type="noConversion"/>
  </si>
  <si>
    <t>RUBBER LINING</t>
    <phoneticPr fontId="7" type="noConversion"/>
  </si>
  <si>
    <r>
      <t>BODY</t>
    </r>
    <r>
      <rPr>
        <b/>
        <sz val="9"/>
        <rFont val="Arial"/>
        <family val="2"/>
      </rPr>
      <t>(WAFER)</t>
    </r>
    <phoneticPr fontId="7" type="noConversion"/>
  </si>
  <si>
    <r>
      <t>BODY</t>
    </r>
    <r>
      <rPr>
        <b/>
        <sz val="9"/>
        <rFont val="Arial"/>
        <family val="2"/>
      </rPr>
      <t>(LUG)</t>
    </r>
    <phoneticPr fontId="7" type="noConversion"/>
  </si>
  <si>
    <r>
      <t>BODY</t>
    </r>
    <r>
      <rPr>
        <b/>
        <sz val="9"/>
        <rFont val="Arial"/>
        <family val="2"/>
      </rPr>
      <t>(FLANGE)</t>
    </r>
    <phoneticPr fontId="7" type="noConversion"/>
  </si>
  <si>
    <t>PACKING+GLAND</t>
    <phoneticPr fontId="7" type="noConversion"/>
  </si>
  <si>
    <t>END COVE BOLT</t>
    <phoneticPr fontId="7" type="noConversion"/>
  </si>
  <si>
    <t>COLLAR(TOP COVER)</t>
    <phoneticPr fontId="7" type="noConversion"/>
  </si>
  <si>
    <t>TOP RETANIER</t>
    <phoneticPr fontId="7" type="noConversion"/>
  </si>
  <si>
    <t>GEAR BOX BOLT</t>
    <phoneticPr fontId="7" type="noConversion"/>
  </si>
  <si>
    <t>TOP RETANIER BOLT</t>
    <phoneticPr fontId="7" type="noConversion"/>
  </si>
  <si>
    <r>
      <t xml:space="preserve">CONCENTRIC BFV </t>
    </r>
    <r>
      <rPr>
        <b/>
        <sz val="18"/>
        <rFont val="견명조"/>
        <family val="1"/>
        <charset val="129"/>
      </rPr>
      <t>원가</t>
    </r>
    <r>
      <rPr>
        <b/>
        <sz val="18"/>
        <rFont val="Arial"/>
        <family val="2"/>
      </rPr>
      <t xml:space="preserve"> </t>
    </r>
    <r>
      <rPr>
        <b/>
        <sz val="18"/>
        <rFont val="견명조"/>
        <family val="1"/>
        <charset val="129"/>
      </rPr>
      <t>分析表</t>
    </r>
    <phoneticPr fontId="7" type="noConversion"/>
  </si>
  <si>
    <t>SIZE</t>
    <phoneticPr fontId="7" type="noConversion"/>
  </si>
  <si>
    <t>RATING</t>
    <phoneticPr fontId="7" type="noConversion"/>
  </si>
  <si>
    <t>#150</t>
    <phoneticPr fontId="7" type="noConversion"/>
  </si>
  <si>
    <t>FLANGE DRILLING</t>
    <phoneticPr fontId="7" type="noConversion"/>
  </si>
  <si>
    <t>ASME B16.5</t>
    <phoneticPr fontId="7" type="noConversion"/>
  </si>
  <si>
    <t>50A</t>
    <phoneticPr fontId="7" type="noConversion"/>
  </si>
  <si>
    <t>FACE TO FACE</t>
    <phoneticPr fontId="7" type="noConversion"/>
  </si>
  <si>
    <t>FC/FCD</t>
    <phoneticPr fontId="7" type="noConversion"/>
  </si>
  <si>
    <t>SC/WCB
(ALBC)</t>
    <phoneticPr fontId="7" type="noConversion"/>
  </si>
  <si>
    <t>A890 4A</t>
    <phoneticPr fontId="7" type="noConversion"/>
  </si>
  <si>
    <t>A890 5A</t>
    <phoneticPr fontId="7" type="noConversion"/>
  </si>
  <si>
    <t>N/A</t>
    <phoneticPr fontId="7" type="noConversion"/>
  </si>
  <si>
    <t>STEM(ONE STEM)</t>
    <phoneticPr fontId="7" type="noConversion"/>
  </si>
  <si>
    <t>Ø14X208L</t>
    <phoneticPr fontId="7" type="noConversion"/>
  </si>
  <si>
    <t>PACKING
(350A&amp;Below)</t>
    <phoneticPr fontId="38" type="noConversion"/>
  </si>
  <si>
    <t>PACKING
(400A&amp;Above)</t>
    <phoneticPr fontId="38" type="noConversion"/>
  </si>
  <si>
    <t>외주가공비 / 단가표(EPC)</t>
    <phoneticPr fontId="7" type="noConversion"/>
  </si>
  <si>
    <t>ISO575 SER'20(43MM)</t>
    <phoneticPr fontId="7" type="noConversion"/>
  </si>
  <si>
    <t>VITON</t>
    <phoneticPr fontId="38" type="noConversion"/>
  </si>
  <si>
    <t>ALBC2</t>
  </si>
  <si>
    <t>ALBC2</t>
    <phoneticPr fontId="7" type="noConversion"/>
  </si>
  <si>
    <t>SS400</t>
    <phoneticPr fontId="38" type="noConversion"/>
  </si>
  <si>
    <t>BODY MATERIAL</t>
    <phoneticPr fontId="38" type="noConversion"/>
  </si>
  <si>
    <t>BUSH
(Only 500A&amp;above)</t>
    <phoneticPr fontId="38" type="noConversion"/>
  </si>
  <si>
    <t>SSPC</t>
  </si>
  <si>
    <t>SSPC</t>
    <phoneticPr fontId="38" type="noConversion"/>
  </si>
  <si>
    <t>END COVER BOLT</t>
    <phoneticPr fontId="7" type="noConversion"/>
  </si>
  <si>
    <t>END COVER BOLT</t>
    <phoneticPr fontId="38" type="noConversion"/>
  </si>
  <si>
    <t>B8</t>
    <phoneticPr fontId="38" type="noConversion"/>
  </si>
  <si>
    <t>B8M</t>
    <phoneticPr fontId="38" type="noConversion"/>
  </si>
  <si>
    <t>COLLAR</t>
    <phoneticPr fontId="7" type="noConversion"/>
  </si>
  <si>
    <t>ALBC2</t>
    <phoneticPr fontId="38" type="noConversion"/>
  </si>
  <si>
    <t>TOP RETAINER</t>
    <phoneticPr fontId="38" type="noConversion"/>
  </si>
  <si>
    <t>A240T316</t>
    <phoneticPr fontId="38" type="noConversion"/>
  </si>
  <si>
    <t>TOP RETAINER</t>
    <phoneticPr fontId="7" type="noConversion"/>
  </si>
  <si>
    <t>TOP RETAINER BOLT</t>
    <phoneticPr fontId="7" type="noConversion"/>
  </si>
  <si>
    <t>A240T304</t>
    <phoneticPr fontId="38" type="noConversion"/>
  </si>
  <si>
    <t>TOP RETAINER BOLT</t>
    <phoneticPr fontId="38" type="noConversion"/>
  </si>
  <si>
    <t>REMARK</t>
    <phoneticPr fontId="7" type="noConversion"/>
  </si>
  <si>
    <r>
      <t>PACKING</t>
    </r>
    <r>
      <rPr>
        <sz val="11"/>
        <color indexed="10"/>
        <rFont val="Arial"/>
        <family val="2"/>
      </rPr>
      <t>(350A&amp;below)</t>
    </r>
    <phoneticPr fontId="7" type="noConversion"/>
  </si>
  <si>
    <r>
      <t>PACKING</t>
    </r>
    <r>
      <rPr>
        <sz val="11"/>
        <color indexed="10"/>
        <rFont val="Arial"/>
        <family val="2"/>
      </rPr>
      <t>(400A&amp;above)</t>
    </r>
    <phoneticPr fontId="7" type="noConversion"/>
  </si>
  <si>
    <r>
      <t>BUSH</t>
    </r>
    <r>
      <rPr>
        <sz val="11"/>
        <color indexed="10"/>
        <rFont val="Arial"/>
        <family val="2"/>
      </rPr>
      <t>(Only 500A&amp;above)</t>
    </r>
    <phoneticPr fontId="7" type="noConversion"/>
  </si>
  <si>
    <r>
      <t xml:space="preserve">350A </t>
    </r>
    <r>
      <rPr>
        <sz val="11"/>
        <color indexed="10"/>
        <rFont val="돋움"/>
        <family val="3"/>
        <charset val="129"/>
      </rPr>
      <t>이하</t>
    </r>
    <phoneticPr fontId="7" type="noConversion"/>
  </si>
  <si>
    <r>
      <t xml:space="preserve">400A </t>
    </r>
    <r>
      <rPr>
        <sz val="11"/>
        <color indexed="10"/>
        <rFont val="돋움"/>
        <family val="3"/>
        <charset val="129"/>
      </rPr>
      <t>이상</t>
    </r>
    <phoneticPr fontId="7" type="noConversion"/>
  </si>
  <si>
    <r>
      <t xml:space="preserve">500A </t>
    </r>
    <r>
      <rPr>
        <sz val="11"/>
        <color indexed="10"/>
        <rFont val="돋움"/>
        <family val="3"/>
        <charset val="129"/>
      </rPr>
      <t>이상</t>
    </r>
    <phoneticPr fontId="7" type="noConversion"/>
  </si>
  <si>
    <t>GEAR BOX BOLT</t>
    <phoneticPr fontId="38" type="noConversion"/>
  </si>
  <si>
    <t>STEM CR PLATING</t>
    <phoneticPr fontId="7" type="noConversion"/>
  </si>
  <si>
    <t>TOP COVER</t>
    <phoneticPr fontId="7" type="noConversion"/>
  </si>
  <si>
    <t>TOP COVER BOLT</t>
    <phoneticPr fontId="7" type="noConversion"/>
  </si>
  <si>
    <t>=IF(C15="SS400",1100,IF(C15="BODY MATERIAL",H6))</t>
    <phoneticPr fontId="7" type="noConversion"/>
  </si>
  <si>
    <t>TOP COVER</t>
    <phoneticPr fontId="38" type="noConversion"/>
  </si>
  <si>
    <t>TOP COVER BOLT</t>
    <phoneticPr fontId="38" type="noConversion"/>
  </si>
  <si>
    <t>STEM CR PLATING</t>
    <phoneticPr fontId="38" type="noConversion"/>
  </si>
  <si>
    <t>REQUIRED</t>
    <phoneticPr fontId="38" type="noConversion"/>
  </si>
  <si>
    <r>
      <t xml:space="preserve">350A </t>
    </r>
    <r>
      <rPr>
        <sz val="9"/>
        <rFont val="돋움"/>
        <family val="3"/>
        <charset val="129"/>
      </rPr>
      <t>까지</t>
    </r>
    <r>
      <rPr>
        <sz val="9"/>
        <rFont val="Arial"/>
        <family val="2"/>
      </rPr>
      <t xml:space="preserve"> 1300</t>
    </r>
    <r>
      <rPr>
        <sz val="9"/>
        <rFont val="돋움"/>
        <family val="3"/>
        <charset val="129"/>
      </rPr>
      <t>원</t>
    </r>
    <phoneticPr fontId="7" type="noConversion"/>
  </si>
  <si>
    <r>
      <t>400A 2500</t>
    </r>
    <r>
      <rPr>
        <sz val="9"/>
        <rFont val="돋움"/>
        <family val="3"/>
        <charset val="129"/>
      </rPr>
      <t>원</t>
    </r>
    <phoneticPr fontId="7" type="noConversion"/>
  </si>
  <si>
    <r>
      <t>450A 2700</t>
    </r>
    <r>
      <rPr>
        <sz val="9"/>
        <rFont val="돋움"/>
        <family val="3"/>
        <charset val="129"/>
      </rPr>
      <t>원</t>
    </r>
    <phoneticPr fontId="7" type="noConversion"/>
  </si>
  <si>
    <t>"A"</t>
    <phoneticPr fontId="7" type="noConversion"/>
  </si>
  <si>
    <t>"B"</t>
    <phoneticPr fontId="7" type="noConversion"/>
  </si>
  <si>
    <t>(A+B)XFACTOR</t>
    <phoneticPr fontId="7" type="noConversion"/>
  </si>
  <si>
    <r>
      <rPr>
        <b/>
        <sz val="9"/>
        <rFont val="굴림"/>
        <family val="3"/>
        <charset val="129"/>
      </rPr>
      <t>견적금액</t>
    </r>
    <r>
      <rPr>
        <b/>
        <sz val="9"/>
        <rFont val="Arial"/>
        <family val="2"/>
      </rPr>
      <t xml:space="preserve"> - LEVER</t>
    </r>
    <phoneticPr fontId="7" type="noConversion"/>
  </si>
  <si>
    <r>
      <t xml:space="preserve">VALVE </t>
    </r>
    <r>
      <rPr>
        <b/>
        <sz val="9"/>
        <rFont val="돋움"/>
        <family val="3"/>
        <charset val="129"/>
      </rPr>
      <t>원가</t>
    </r>
    <r>
      <rPr>
        <b/>
        <sz val="9"/>
        <rFont val="Arial"/>
        <family val="2"/>
      </rPr>
      <t xml:space="preserve"> - BEAR</t>
    </r>
    <phoneticPr fontId="7" type="noConversion"/>
  </si>
  <si>
    <r>
      <rPr>
        <b/>
        <sz val="9"/>
        <rFont val="굴림"/>
        <family val="3"/>
        <charset val="129"/>
      </rPr>
      <t>견적금액</t>
    </r>
    <r>
      <rPr>
        <b/>
        <sz val="9"/>
        <rFont val="Arial"/>
        <family val="2"/>
      </rPr>
      <t xml:space="preserve"> - BEAR</t>
    </r>
    <phoneticPr fontId="7" type="noConversion"/>
  </si>
  <si>
    <r>
      <rPr>
        <b/>
        <sz val="9"/>
        <rFont val="굴림"/>
        <family val="3"/>
        <charset val="129"/>
      </rPr>
      <t>견적금액</t>
    </r>
    <r>
      <rPr>
        <b/>
        <sz val="9"/>
        <rFont val="Arial"/>
        <family val="2"/>
      </rPr>
      <t xml:space="preserve"> - GEAR</t>
    </r>
    <phoneticPr fontId="7" type="noConversion"/>
  </si>
  <si>
    <r>
      <t xml:space="preserve">VALVE </t>
    </r>
    <r>
      <rPr>
        <b/>
        <sz val="9"/>
        <rFont val="돋움"/>
        <family val="3"/>
        <charset val="129"/>
      </rPr>
      <t>원가</t>
    </r>
    <r>
      <rPr>
        <b/>
        <sz val="9"/>
        <rFont val="Arial"/>
        <family val="2"/>
      </rPr>
      <t xml:space="preserve"> - LEVER</t>
    </r>
    <phoneticPr fontId="7" type="noConversion"/>
  </si>
  <si>
    <r>
      <t xml:space="preserve">VALVE </t>
    </r>
    <r>
      <rPr>
        <b/>
        <sz val="9"/>
        <rFont val="돋움"/>
        <family val="3"/>
        <charset val="129"/>
      </rPr>
      <t>원가</t>
    </r>
    <r>
      <rPr>
        <b/>
        <sz val="9"/>
        <rFont val="Arial"/>
        <family val="2"/>
      </rPr>
      <t xml:space="preserve"> - GEAR</t>
    </r>
    <phoneticPr fontId="7" type="noConversion"/>
  </si>
  <si>
    <t>(A+B)</t>
    <phoneticPr fontId="7" type="noConversion"/>
  </si>
  <si>
    <t>65A</t>
    <phoneticPr fontId="7" type="noConversion"/>
  </si>
  <si>
    <t>ISO575 SER'20(46MM)</t>
    <phoneticPr fontId="7" type="noConversion"/>
  </si>
  <si>
    <r>
      <t>B7(</t>
    </r>
    <r>
      <rPr>
        <sz val="11"/>
        <color indexed="10"/>
        <rFont val="돋움"/>
        <family val="3"/>
        <charset val="129"/>
      </rPr>
      <t>다크로</t>
    </r>
    <r>
      <rPr>
        <sz val="11"/>
        <color indexed="10"/>
        <rFont val="Arial"/>
        <family val="2"/>
      </rPr>
      <t>)</t>
    </r>
    <phoneticPr fontId="38" type="noConversion"/>
  </si>
  <si>
    <r>
      <t>B7(</t>
    </r>
    <r>
      <rPr>
        <sz val="11"/>
        <color indexed="10"/>
        <rFont val="돋움"/>
        <family val="3"/>
        <charset val="129"/>
      </rPr>
      <t>다크로</t>
    </r>
    <r>
      <rPr>
        <sz val="11"/>
        <color indexed="10"/>
        <rFont val="Arial"/>
        <family val="2"/>
      </rPr>
      <t>)</t>
    </r>
    <phoneticPr fontId="7" type="noConversion"/>
  </si>
  <si>
    <t>Ø14X221L</t>
    <phoneticPr fontId="7" type="noConversion"/>
  </si>
  <si>
    <t>B148 C95800</t>
    <phoneticPr fontId="7" type="noConversion"/>
  </si>
  <si>
    <t>Ø16X248L</t>
    <phoneticPr fontId="7" type="noConversion"/>
  </si>
  <si>
    <r>
      <t xml:space="preserve">DISC </t>
    </r>
    <r>
      <rPr>
        <sz val="9"/>
        <rFont val="돋움"/>
        <family val="3"/>
        <charset val="129"/>
      </rPr>
      <t>중량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일반</t>
    </r>
    <r>
      <rPr>
        <sz val="9"/>
        <rFont val="Arial"/>
        <family val="2"/>
      </rPr>
      <t>)</t>
    </r>
    <phoneticPr fontId="7" type="noConversion"/>
  </si>
  <si>
    <r>
      <t xml:space="preserve">DISC </t>
    </r>
    <r>
      <rPr>
        <b/>
        <sz val="9"/>
        <rFont val="돋움"/>
        <family val="3"/>
        <charset val="129"/>
      </rPr>
      <t>중량</t>
    </r>
    <r>
      <rPr>
        <b/>
        <sz val="9"/>
        <rFont val="Arial"/>
        <family val="2"/>
      </rPr>
      <t>(</t>
    </r>
    <r>
      <rPr>
        <b/>
        <sz val="9"/>
        <rFont val="돋움"/>
        <family val="3"/>
        <charset val="129"/>
      </rPr>
      <t>고압</t>
    </r>
    <r>
      <rPr>
        <b/>
        <sz val="9"/>
        <rFont val="Arial"/>
        <family val="2"/>
      </rPr>
      <t>)</t>
    </r>
    <phoneticPr fontId="7" type="noConversion"/>
  </si>
  <si>
    <t>Ø19X308L</t>
    <phoneticPr fontId="7" type="noConversion"/>
  </si>
  <si>
    <t>Ø19X340L</t>
    <phoneticPr fontId="7" type="noConversion"/>
  </si>
  <si>
    <t>Ø22X405L</t>
    <phoneticPr fontId="7" type="noConversion"/>
  </si>
  <si>
    <t>Ø25X507L</t>
    <phoneticPr fontId="7" type="noConversion"/>
  </si>
  <si>
    <t>Ø32X620L</t>
    <phoneticPr fontId="7" type="noConversion"/>
  </si>
  <si>
    <t>Ø38X710L</t>
    <phoneticPr fontId="7" type="noConversion"/>
  </si>
  <si>
    <t>Ø38X770L</t>
    <phoneticPr fontId="7" type="noConversion"/>
  </si>
  <si>
    <r>
      <rPr>
        <sz val="11"/>
        <color rgb="FFFF0000"/>
        <rFont val="돋움"/>
        <family val="3"/>
        <charset val="129"/>
      </rPr>
      <t>금액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변동</t>
    </r>
    <r>
      <rPr>
        <sz val="11"/>
        <color rgb="FFFF0000"/>
        <rFont val="Arial"/>
        <family val="2"/>
      </rPr>
      <t xml:space="preserve"> X</t>
    </r>
    <phoneticPr fontId="7" type="noConversion"/>
  </si>
  <si>
    <t>M8X20</t>
    <phoneticPr fontId="7" type="noConversion"/>
  </si>
  <si>
    <t>M16X40</t>
    <phoneticPr fontId="7" type="noConversion"/>
  </si>
  <si>
    <t>ISO575 SER'20(56MM)</t>
    <phoneticPr fontId="7" type="noConversion"/>
  </si>
  <si>
    <t>ISO575 SER'20(60MM)</t>
    <phoneticPr fontId="7" type="noConversion"/>
  </si>
  <si>
    <t>ISO575 SER'20(68MM)</t>
    <phoneticPr fontId="7" type="noConversion"/>
  </si>
  <si>
    <t>ISO575 SER'20(78MM)</t>
    <phoneticPr fontId="7" type="noConversion"/>
  </si>
  <si>
    <t>ISO575 SER'20(102MM)</t>
    <phoneticPr fontId="7" type="noConversion"/>
  </si>
  <si>
    <t>ISO575 SER'20(114MM)</t>
    <phoneticPr fontId="7" type="noConversion"/>
  </si>
  <si>
    <t>BODY=STEM</t>
    <phoneticPr fontId="7" type="noConversion"/>
  </si>
  <si>
    <r>
      <t xml:space="preserve">450A </t>
    </r>
    <r>
      <rPr>
        <sz val="11"/>
        <color rgb="FFFF0000"/>
        <rFont val="돋움"/>
        <family val="3"/>
        <charset val="129"/>
      </rPr>
      <t>이하만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적용</t>
    </r>
    <phoneticPr fontId="7" type="noConversion"/>
  </si>
  <si>
    <r>
      <t>(</t>
    </r>
    <r>
      <rPr>
        <sz val="11"/>
        <color rgb="FFFF0000"/>
        <rFont val="돋움"/>
        <family val="3"/>
        <charset val="129"/>
      </rPr>
      <t>밸브</t>
    </r>
    <r>
      <rPr>
        <sz val="11"/>
        <color rgb="FFFF0000"/>
        <rFont val="Arial"/>
        <family val="2"/>
      </rPr>
      <t>+</t>
    </r>
    <r>
      <rPr>
        <sz val="11"/>
        <color rgb="FFFF0000"/>
        <rFont val="돋움"/>
        <family val="3"/>
        <charset val="129"/>
      </rPr>
      <t>사급비용</t>
    </r>
    <r>
      <rPr>
        <sz val="11"/>
        <color rgb="FFFF0000"/>
        <rFont val="Arial"/>
        <family val="2"/>
      </rPr>
      <t>) X FACTOR</t>
    </r>
    <phoneticPr fontId="7" type="noConversion"/>
  </si>
  <si>
    <t>VALVE MARGIN</t>
    <phoneticPr fontId="7" type="noConversion"/>
  </si>
  <si>
    <t>APPLICATION</t>
    <phoneticPr fontId="7" type="noConversion"/>
  </si>
  <si>
    <t>PAINTING</t>
    <phoneticPr fontId="7" type="noConversion"/>
  </si>
  <si>
    <r>
      <rPr>
        <sz val="11"/>
        <color rgb="FFFF0000"/>
        <rFont val="돋움"/>
        <family val="3"/>
        <charset val="129"/>
      </rPr>
      <t>기존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단가</t>
    </r>
    <phoneticPr fontId="7" type="noConversion"/>
  </si>
  <si>
    <t>=IF(COVER!B10="APPLICATION",0,IF(COVER!B10="N/A",L25))</t>
    <phoneticPr fontId="7" type="noConversion"/>
  </si>
  <si>
    <t>=IF(AND(H6&gt;0),IF(C6="A536 Gr65-45-12",L6,IF(C6="A216 WCB",M6,IF(C6="A395 Gr65-15-15",L6))))</t>
    <phoneticPr fontId="7" type="noConversion"/>
  </si>
  <si>
    <r>
      <rPr>
        <sz val="11"/>
        <color rgb="FFFF0000"/>
        <rFont val="돋움"/>
        <family val="3"/>
        <charset val="129"/>
      </rPr>
      <t>외주</t>
    </r>
    <r>
      <rPr>
        <sz val="11"/>
        <color rgb="FFFF0000"/>
        <rFont val="Arial"/>
        <family val="2"/>
      </rPr>
      <t xml:space="preserve"> 2COATING</t>
    </r>
    <phoneticPr fontId="7" type="noConversion"/>
  </si>
  <si>
    <r>
      <rPr>
        <sz val="11"/>
        <color rgb="FFFF0000"/>
        <rFont val="돋움"/>
        <family val="3"/>
        <charset val="129"/>
      </rPr>
      <t>외주</t>
    </r>
    <r>
      <rPr>
        <sz val="11"/>
        <color rgb="FFFF0000"/>
        <rFont val="Arial"/>
        <family val="2"/>
      </rPr>
      <t xml:space="preserve"> 3COATING</t>
    </r>
    <phoneticPr fontId="7" type="noConversion"/>
  </si>
  <si>
    <t>150A</t>
    <phoneticPr fontId="6" type="noConversion"/>
  </si>
  <si>
    <t>200A</t>
    <phoneticPr fontId="6" type="noConversion"/>
  </si>
  <si>
    <r>
      <rPr>
        <sz val="11"/>
        <color rgb="FFFF0000"/>
        <rFont val="돋움"/>
        <family val="3"/>
        <charset val="129"/>
      </rPr>
      <t>기존단가</t>
    </r>
    <r>
      <rPr>
        <sz val="11"/>
        <color rgb="FFFF0000"/>
        <rFont val="Arial"/>
        <family val="2"/>
      </rPr>
      <t xml:space="preserve"> /</t>
    </r>
    <r>
      <rPr>
        <sz val="11"/>
        <color rgb="FFFF0000"/>
        <rFont val="돋움"/>
        <family val="3"/>
        <charset val="129"/>
      </rPr>
      <t>외주</t>
    </r>
    <r>
      <rPr>
        <sz val="11"/>
        <color rgb="FFFF0000"/>
        <rFont val="Arial"/>
        <family val="2"/>
      </rPr>
      <t xml:space="preserve"> 2 COATING or
 3 COATING</t>
    </r>
    <phoneticPr fontId="7" type="noConversion"/>
  </si>
  <si>
    <t>500A</t>
    <phoneticPr fontId="7" type="noConversion"/>
  </si>
  <si>
    <t>550A</t>
    <phoneticPr fontId="7" type="noConversion"/>
  </si>
  <si>
    <t>600A</t>
    <phoneticPr fontId="7" type="noConversion"/>
  </si>
  <si>
    <t>650A</t>
    <phoneticPr fontId="7" type="noConversion"/>
  </si>
  <si>
    <t>700A</t>
    <phoneticPr fontId="7" type="noConversion"/>
  </si>
  <si>
    <t>750A</t>
    <phoneticPr fontId="7" type="noConversion"/>
  </si>
  <si>
    <t>800A</t>
    <phoneticPr fontId="7" type="noConversion"/>
  </si>
  <si>
    <t>850A</t>
    <phoneticPr fontId="7" type="noConversion"/>
  </si>
  <si>
    <t>900A</t>
    <phoneticPr fontId="7" type="noConversion"/>
  </si>
  <si>
    <t>950A</t>
    <phoneticPr fontId="7" type="noConversion"/>
  </si>
  <si>
    <t>1000A</t>
    <phoneticPr fontId="7" type="noConversion"/>
  </si>
  <si>
    <t>1100A</t>
    <phoneticPr fontId="7" type="noConversion"/>
  </si>
  <si>
    <t>1200A</t>
    <phoneticPr fontId="7" type="noConversion"/>
  </si>
  <si>
    <t>ASME B16.47 SER'A</t>
    <phoneticPr fontId="7" type="noConversion"/>
  </si>
  <si>
    <t>ISO5752 SER'20(127MM)</t>
    <phoneticPr fontId="7" type="noConversion"/>
  </si>
  <si>
    <t>ISO5752 SER'20(154MM)</t>
    <phoneticPr fontId="7" type="noConversion"/>
  </si>
  <si>
    <t>ISO5752 SER'20(165MM)</t>
    <phoneticPr fontId="7" type="noConversion"/>
  </si>
  <si>
    <t>ISO5752 SER'20(190MM)</t>
    <phoneticPr fontId="7" type="noConversion"/>
  </si>
  <si>
    <t>MFG STD(200MM)</t>
    <phoneticPr fontId="7" type="noConversion"/>
  </si>
  <si>
    <t>ISO5752 SER'20(203MM)</t>
    <phoneticPr fontId="7" type="noConversion"/>
  </si>
  <si>
    <t>MFG STD(203MM)</t>
    <phoneticPr fontId="7" type="noConversion"/>
  </si>
  <si>
    <t>ISO5752 SER'20(216MM)</t>
    <phoneticPr fontId="7" type="noConversion"/>
  </si>
  <si>
    <t>ISO5752 SER'20(254MM)</t>
    <phoneticPr fontId="7" type="noConversion"/>
  </si>
  <si>
    <t>MFG STD(254MM)</t>
    <phoneticPr fontId="7" type="noConversion"/>
  </si>
  <si>
    <t>80A</t>
    <phoneticPr fontId="7" type="noConversion"/>
  </si>
  <si>
    <t>125A</t>
    <phoneticPr fontId="7" type="noConversion"/>
  </si>
  <si>
    <t>150A</t>
    <phoneticPr fontId="7" type="noConversion"/>
  </si>
  <si>
    <t>200A</t>
    <phoneticPr fontId="7" type="noConversion"/>
  </si>
  <si>
    <t>250A</t>
    <phoneticPr fontId="7" type="noConversion"/>
  </si>
  <si>
    <t>300A</t>
    <phoneticPr fontId="7" type="noConversion"/>
  </si>
  <si>
    <t>350A</t>
    <phoneticPr fontId="7" type="noConversion"/>
  </si>
  <si>
    <t>400A</t>
    <phoneticPr fontId="7" type="noConversion"/>
  </si>
  <si>
    <t>450A</t>
    <phoneticPr fontId="7" type="noConversion"/>
  </si>
  <si>
    <r>
      <rPr>
        <sz val="9"/>
        <rFont val="돋움"/>
        <family val="3"/>
        <charset val="129"/>
      </rPr>
      <t>이전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단가</t>
    </r>
    <r>
      <rPr>
        <sz val="9"/>
        <rFont val="Arial"/>
        <family val="2"/>
      </rPr>
      <t xml:space="preserve"> Table </t>
    </r>
    <r>
      <rPr>
        <sz val="9"/>
        <rFont val="돋움"/>
        <family val="3"/>
        <charset val="129"/>
      </rPr>
      <t>중량</t>
    </r>
    <phoneticPr fontId="7" type="noConversion"/>
  </si>
  <si>
    <r>
      <t>이전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단가</t>
    </r>
    <r>
      <rPr>
        <sz val="9"/>
        <rFont val="Arial"/>
        <family val="2"/>
      </rPr>
      <t xml:space="preserve"> Table </t>
    </r>
    <r>
      <rPr>
        <sz val="9"/>
        <rFont val="돋움"/>
        <family val="3"/>
        <charset val="129"/>
      </rPr>
      <t>중량</t>
    </r>
    <phoneticPr fontId="7" type="noConversion"/>
  </si>
  <si>
    <t>O.D(MM)</t>
    <phoneticPr fontId="7" type="noConversion"/>
  </si>
  <si>
    <t>STEM(DOUBLE STEM)-KEY</t>
    <phoneticPr fontId="7" type="noConversion"/>
  </si>
  <si>
    <t>Ø45X382L&amp;222L</t>
    <phoneticPr fontId="7" type="noConversion"/>
  </si>
  <si>
    <t>Ø55X410L&amp;245</t>
    <phoneticPr fontId="7" type="noConversion"/>
  </si>
  <si>
    <t>Ø55X424.5L&amp;254.5L</t>
    <phoneticPr fontId="7" type="noConversion"/>
  </si>
  <si>
    <t>Ø60X439.5L&amp;244.5L</t>
    <phoneticPr fontId="7" type="noConversion"/>
  </si>
  <si>
    <t>Ø65X494.5L&amp;304.5L</t>
    <phoneticPr fontId="7" type="noConversion"/>
  </si>
  <si>
    <t>Ø75X541.5L&amp;Ø85X331.5L</t>
    <phoneticPr fontId="7" type="noConversion"/>
  </si>
  <si>
    <t>Ø75X561.5L&amp;361.5L</t>
    <phoneticPr fontId="7" type="noConversion"/>
  </si>
  <si>
    <t>Ø90X580.5L&amp;375.5L</t>
    <phoneticPr fontId="7" type="noConversion"/>
  </si>
  <si>
    <t>Ø90X585.5L&amp;Ø95X395.5L</t>
    <phoneticPr fontId="7" type="noConversion"/>
  </si>
  <si>
    <t>Ø110X681.5L&amp;Ø110X472.5L</t>
    <phoneticPr fontId="7" type="noConversion"/>
  </si>
  <si>
    <t>Ø120X746L&amp;Ø120X536L</t>
    <phoneticPr fontId="7" type="noConversion"/>
  </si>
  <si>
    <t>Ø60X476.5L&amp;Ø65X256.5L</t>
    <phoneticPr fontId="7" type="noConversion"/>
  </si>
  <si>
    <t>Ø75X538L&amp;Ø80X338L</t>
    <phoneticPr fontId="7" type="noConversion"/>
  </si>
  <si>
    <r>
      <t xml:space="preserve">450A </t>
    </r>
    <r>
      <rPr>
        <sz val="11"/>
        <color indexed="10"/>
        <rFont val="돋움"/>
        <family val="3"/>
        <charset val="129"/>
      </rPr>
      <t>이하</t>
    </r>
    <r>
      <rPr>
        <sz val="11"/>
        <color indexed="10"/>
        <rFont val="Arial"/>
        <family val="2"/>
      </rPr>
      <t xml:space="preserve">-T304 /500A </t>
    </r>
    <r>
      <rPr>
        <sz val="11"/>
        <color indexed="10"/>
        <rFont val="돋움"/>
        <family val="3"/>
        <charset val="129"/>
      </rPr>
      <t>이상</t>
    </r>
    <r>
      <rPr>
        <sz val="11"/>
        <color indexed="10"/>
        <rFont val="Arial"/>
        <family val="2"/>
      </rPr>
      <t>-SS400</t>
    </r>
    <phoneticPr fontId="7" type="noConversion"/>
  </si>
  <si>
    <t>PACKING GLAND</t>
    <phoneticPr fontId="7" type="noConversion"/>
  </si>
  <si>
    <t>DOWEL PIN</t>
    <phoneticPr fontId="7" type="noConversion"/>
  </si>
  <si>
    <t>DISC &amp; STEM KEY</t>
    <phoneticPr fontId="7" type="noConversion"/>
  </si>
  <si>
    <t>SS41</t>
    <phoneticPr fontId="7" type="noConversion"/>
  </si>
  <si>
    <t>A240T304</t>
    <phoneticPr fontId="7" type="noConversion"/>
  </si>
  <si>
    <t>SS400</t>
    <phoneticPr fontId="7" type="noConversion"/>
  </si>
  <si>
    <t>Ø89X10T</t>
  </si>
  <si>
    <t>Ø89X10T</t>
    <phoneticPr fontId="7" type="noConversion"/>
  </si>
  <si>
    <t>Ø95X20T</t>
    <phoneticPr fontId="7" type="noConversion"/>
  </si>
  <si>
    <t>Ø104X10T</t>
    <phoneticPr fontId="7" type="noConversion"/>
  </si>
  <si>
    <t>Ø110X20T</t>
    <phoneticPr fontId="7" type="noConversion"/>
  </si>
  <si>
    <t>Ø114X10T</t>
    <phoneticPr fontId="7" type="noConversion"/>
  </si>
  <si>
    <t>Ø125X20T</t>
    <phoneticPr fontId="7" type="noConversion"/>
  </si>
  <si>
    <t>Ø130X20T</t>
    <phoneticPr fontId="7" type="noConversion"/>
  </si>
  <si>
    <t>Ø139X12T</t>
    <phoneticPr fontId="7" type="noConversion"/>
  </si>
  <si>
    <t>Ø140X20T</t>
    <phoneticPr fontId="7" type="noConversion"/>
  </si>
  <si>
    <t>Ø149X12T</t>
    <phoneticPr fontId="7" type="noConversion"/>
  </si>
  <si>
    <t>Ø150X20T</t>
    <phoneticPr fontId="7" type="noConversion"/>
  </si>
  <si>
    <t>Ø170X20T</t>
    <phoneticPr fontId="7" type="noConversion"/>
  </si>
  <si>
    <t>Ø164X12T</t>
    <phoneticPr fontId="7" type="noConversion"/>
  </si>
  <si>
    <t>Ø175X20T</t>
    <phoneticPr fontId="7" type="noConversion"/>
  </si>
  <si>
    <t>Ø180X20T</t>
    <phoneticPr fontId="7" type="noConversion"/>
  </si>
  <si>
    <t>Ø179X12T</t>
    <phoneticPr fontId="7" type="noConversion"/>
  </si>
  <si>
    <t>Ø210X20T</t>
    <phoneticPr fontId="7" type="noConversion"/>
  </si>
  <si>
    <t>Ø189X12T</t>
    <phoneticPr fontId="7" type="noConversion"/>
  </si>
  <si>
    <t>Ø230X25T</t>
    <phoneticPr fontId="7" type="noConversion"/>
  </si>
  <si>
    <r>
      <rPr>
        <sz val="9"/>
        <color rgb="FFFFFF00"/>
        <rFont val="돋움"/>
        <family val="3"/>
        <charset val="129"/>
      </rPr>
      <t>임의</t>
    </r>
    <r>
      <rPr>
        <sz val="9"/>
        <color rgb="FFFFFF00"/>
        <rFont val="Arial"/>
        <family val="2"/>
      </rPr>
      <t xml:space="preserve"> </t>
    </r>
    <r>
      <rPr>
        <sz val="9"/>
        <color rgb="FFFFFF00"/>
        <rFont val="돋움"/>
        <family val="3"/>
        <charset val="129"/>
      </rPr>
      <t>지정</t>
    </r>
    <phoneticPr fontId="7" type="noConversion"/>
  </si>
  <si>
    <t>Ø54X1.5T</t>
    <phoneticPr fontId="7" type="noConversion"/>
  </si>
  <si>
    <t>Ø57X1.5T</t>
    <phoneticPr fontId="7" type="noConversion"/>
  </si>
  <si>
    <t>Ø70.5X2T</t>
    <phoneticPr fontId="7" type="noConversion"/>
  </si>
  <si>
    <t>Ø78.5X3T</t>
    <phoneticPr fontId="7" type="noConversion"/>
  </si>
  <si>
    <t>완가공</t>
    <phoneticPr fontId="7" type="noConversion"/>
  </si>
  <si>
    <t>M6X15L</t>
    <phoneticPr fontId="7" type="noConversion"/>
  </si>
  <si>
    <t>WRENCH BOLT</t>
    <phoneticPr fontId="7" type="noConversion"/>
  </si>
  <si>
    <t>M8X20L</t>
    <phoneticPr fontId="7" type="noConversion"/>
  </si>
  <si>
    <t>M10X35L</t>
  </si>
  <si>
    <t>M10X35L</t>
    <phoneticPr fontId="7" type="noConversion"/>
  </si>
  <si>
    <t>HEX BOLT</t>
    <phoneticPr fontId="7" type="noConversion"/>
  </si>
  <si>
    <t>END COVER (WITH O-RING)</t>
    <phoneticPr fontId="7" type="noConversion"/>
  </si>
  <si>
    <t>M8X30L</t>
    <phoneticPr fontId="7" type="noConversion"/>
  </si>
  <si>
    <t>M10X30L</t>
    <phoneticPr fontId="7" type="noConversion"/>
  </si>
  <si>
    <t>LEVER - SS400 or SUS</t>
    <phoneticPr fontId="7" type="noConversion"/>
  </si>
  <si>
    <t>SUS304</t>
    <phoneticPr fontId="7" type="noConversion"/>
  </si>
  <si>
    <t>M20X48L</t>
    <phoneticPr fontId="7" type="noConversion"/>
  </si>
  <si>
    <t>M20X55L</t>
    <phoneticPr fontId="7" type="noConversion"/>
  </si>
  <si>
    <t>M16X55L</t>
    <phoneticPr fontId="7" type="noConversion"/>
  </si>
  <si>
    <t>M16X60L</t>
    <phoneticPr fontId="7" type="noConversion"/>
  </si>
  <si>
    <t>M16X70L</t>
    <phoneticPr fontId="7" type="noConversion"/>
  </si>
  <si>
    <t>M12X35L</t>
    <phoneticPr fontId="7" type="noConversion"/>
  </si>
  <si>
    <t>M20X75L</t>
    <phoneticPr fontId="7" type="noConversion"/>
  </si>
  <si>
    <t>M12X40L</t>
    <phoneticPr fontId="7" type="noConversion"/>
  </si>
  <si>
    <t>M20X90L</t>
    <phoneticPr fontId="7" type="noConversion"/>
  </si>
  <si>
    <t>Ø16</t>
    <phoneticPr fontId="7" type="noConversion"/>
  </si>
  <si>
    <t>Ø20</t>
    <phoneticPr fontId="7" type="noConversion"/>
  </si>
  <si>
    <t>Ø18</t>
    <phoneticPr fontId="7" type="noConversion"/>
  </si>
  <si>
    <t>PNEU</t>
    <phoneticPr fontId="7" type="noConversion"/>
  </si>
  <si>
    <t>N/A</t>
  </si>
  <si>
    <t>BODY MATERIAL</t>
  </si>
  <si>
    <r>
      <rPr>
        <sz val="11"/>
        <color rgb="FFFF0000"/>
        <rFont val="돋움"/>
        <family val="3"/>
        <charset val="129"/>
      </rPr>
      <t>밸브</t>
    </r>
    <r>
      <rPr>
        <sz val="11"/>
        <color rgb="FFFF0000"/>
        <rFont val="Arial"/>
        <family val="2"/>
      </rPr>
      <t>(</t>
    </r>
    <r>
      <rPr>
        <sz val="11"/>
        <color rgb="FFFF0000"/>
        <rFont val="돋움"/>
        <family val="3"/>
        <charset val="129"/>
      </rPr>
      <t>조립</t>
    </r>
    <r>
      <rPr>
        <sz val="11"/>
        <color rgb="FFFF0000"/>
        <rFont val="Arial"/>
        <family val="2"/>
      </rPr>
      <t>&amp;</t>
    </r>
    <r>
      <rPr>
        <sz val="11"/>
        <color rgb="FFFF0000"/>
        <rFont val="돋움"/>
        <family val="3"/>
        <charset val="129"/>
      </rPr>
      <t>검사</t>
    </r>
    <r>
      <rPr>
        <sz val="11"/>
        <color rgb="FFFF0000"/>
        <rFont val="Arial"/>
        <family val="2"/>
      </rPr>
      <t xml:space="preserve">,PAINT </t>
    </r>
    <r>
      <rPr>
        <sz val="11"/>
        <color rgb="FFFF0000"/>
        <rFont val="돋움"/>
        <family val="3"/>
        <charset val="129"/>
      </rPr>
      <t>비용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제외</t>
    </r>
    <r>
      <rPr>
        <sz val="11"/>
        <color rgb="FFFF0000"/>
        <rFont val="Arial"/>
        <family val="2"/>
      </rPr>
      <t>) X FACTOR</t>
    </r>
    <phoneticPr fontId="7" type="noConversion"/>
  </si>
  <si>
    <r>
      <t xml:space="preserve">FACTOR </t>
    </r>
    <r>
      <rPr>
        <b/>
        <sz val="9"/>
        <rFont val="굴림"/>
        <family val="3"/>
        <charset val="129"/>
      </rPr>
      <t>금액</t>
    </r>
    <r>
      <rPr>
        <b/>
        <sz val="9"/>
        <rFont val="Arial"/>
        <family val="2"/>
      </rPr>
      <t xml:space="preserve"> - BEAR</t>
    </r>
    <phoneticPr fontId="7" type="noConversion"/>
  </si>
  <si>
    <r>
      <t xml:space="preserve">FACTOR </t>
    </r>
    <r>
      <rPr>
        <b/>
        <sz val="9"/>
        <rFont val="굴림"/>
        <family val="3"/>
        <charset val="129"/>
      </rPr>
      <t>금액</t>
    </r>
    <r>
      <rPr>
        <b/>
        <sz val="9"/>
        <rFont val="Arial"/>
        <family val="2"/>
      </rPr>
      <t xml:space="preserve"> - LEVER</t>
    </r>
    <phoneticPr fontId="7" type="noConversion"/>
  </si>
  <si>
    <r>
      <t xml:space="preserve">FACTOR </t>
    </r>
    <r>
      <rPr>
        <b/>
        <sz val="9"/>
        <rFont val="굴림"/>
        <family val="3"/>
        <charset val="129"/>
      </rPr>
      <t>금액</t>
    </r>
    <r>
      <rPr>
        <b/>
        <sz val="9"/>
        <rFont val="Arial"/>
        <family val="2"/>
      </rPr>
      <t xml:space="preserve"> - GEAR</t>
    </r>
    <phoneticPr fontId="7" type="noConversion"/>
  </si>
  <si>
    <t>NBR</t>
  </si>
  <si>
    <t>PAINTING/COATING</t>
    <phoneticPr fontId="7" type="noConversion"/>
  </si>
  <si>
    <t>SUS304</t>
  </si>
  <si>
    <t>1050A</t>
    <phoneticPr fontId="7" type="noConversion"/>
  </si>
  <si>
    <t>MFG STD(216MM)</t>
    <phoneticPr fontId="7" type="noConversion"/>
  </si>
  <si>
    <t>MFG STD(280MM)</t>
    <phoneticPr fontId="7" type="noConversion"/>
  </si>
  <si>
    <t>AWWA C207 CL'D</t>
    <phoneticPr fontId="7" type="noConversion"/>
  </si>
  <si>
    <r>
      <rPr>
        <sz val="9"/>
        <rFont val="돋움"/>
        <family val="3"/>
        <charset val="129"/>
      </rPr>
      <t>임의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지정</t>
    </r>
    <phoneticPr fontId="7" type="noConversion"/>
  </si>
  <si>
    <t>Ø90X632L&amp;Ø95X397L</t>
    <phoneticPr fontId="7" type="noConversion"/>
  </si>
  <si>
    <t>1650A</t>
    <phoneticPr fontId="7" type="noConversion"/>
  </si>
  <si>
    <t>생산의뢰번호 BD130238 / BD190009</t>
    <phoneticPr fontId="7" type="noConversion"/>
  </si>
  <si>
    <t>A536+A536+R/L+EPDM+S31803</t>
    <phoneticPr fontId="7" type="noConversion"/>
  </si>
  <si>
    <t>M10X20L</t>
    <phoneticPr fontId="7" type="noConversion"/>
  </si>
  <si>
    <t>STUD BOLT</t>
    <phoneticPr fontId="7" type="noConversion"/>
  </si>
  <si>
    <t>M30X130L</t>
    <phoneticPr fontId="7" type="noConversion"/>
  </si>
  <si>
    <t>#500AL</t>
    <phoneticPr fontId="7" type="noConversion"/>
  </si>
  <si>
    <t>B148 C59400</t>
    <phoneticPr fontId="7" type="noConversion"/>
  </si>
  <si>
    <t>Ø145X894.5L&amp;Ø140X642L</t>
    <phoneticPr fontId="7" type="noConversion"/>
  </si>
  <si>
    <t>Ø25</t>
    <phoneticPr fontId="7" type="noConversion"/>
  </si>
  <si>
    <r>
      <t xml:space="preserve">B148 C95400 </t>
    </r>
    <r>
      <rPr>
        <b/>
        <sz val="9"/>
        <color rgb="FFFF0000"/>
        <rFont val="Arial Unicode MS"/>
        <family val="2"/>
        <charset val="129"/>
      </rPr>
      <t>적용</t>
    </r>
    <phoneticPr fontId="7" type="noConversion"/>
  </si>
  <si>
    <r>
      <t xml:space="preserve">#500AL </t>
    </r>
    <r>
      <rPr>
        <b/>
        <sz val="9"/>
        <color rgb="FFFF0000"/>
        <rFont val="Arial Unicode MS"/>
        <family val="2"/>
        <charset val="129"/>
      </rPr>
      <t>적용</t>
    </r>
    <phoneticPr fontId="7" type="noConversion"/>
  </si>
  <si>
    <r>
      <rPr>
        <sz val="9"/>
        <color rgb="FFFFFF00"/>
        <rFont val="Arial Unicode MS"/>
        <family val="2"/>
        <charset val="129"/>
      </rPr>
      <t>금액</t>
    </r>
    <r>
      <rPr>
        <sz val="9"/>
        <color rgb="FFFFFF00"/>
        <rFont val="Arial"/>
        <family val="2"/>
      </rPr>
      <t xml:space="preserve"> </t>
    </r>
    <r>
      <rPr>
        <sz val="9"/>
        <color rgb="FFFFFF00"/>
        <rFont val="Arial Unicode MS"/>
        <family val="2"/>
        <charset val="129"/>
      </rPr>
      <t>변경 없음</t>
    </r>
    <phoneticPr fontId="7" type="noConversion"/>
  </si>
  <si>
    <t>입고 중량</t>
    <phoneticPr fontId="7" type="noConversion"/>
  </si>
  <si>
    <r>
      <t xml:space="preserve">GEAR BOX MODEL </t>
    </r>
    <r>
      <rPr>
        <sz val="9"/>
        <color rgb="FFFFFF00"/>
        <rFont val="Arial Unicode MS"/>
        <family val="2"/>
        <charset val="129"/>
      </rPr>
      <t>확인 필요</t>
    </r>
    <phoneticPr fontId="7" type="noConversion"/>
  </si>
  <si>
    <t>63MM</t>
    <phoneticPr fontId="7" type="noConversion"/>
  </si>
  <si>
    <t>THICKNESS(MM)</t>
    <phoneticPr fontId="7" type="noConversion"/>
  </si>
  <si>
    <t>AWWA CL'D
(41MM)</t>
    <phoneticPr fontId="7" type="noConversion"/>
  </si>
  <si>
    <t>AWWA CL'D
(44.5MM)</t>
    <phoneticPr fontId="7" type="noConversion"/>
  </si>
  <si>
    <t>AWWA CL'D
(47.625MM)</t>
    <phoneticPr fontId="7" type="noConversion"/>
  </si>
  <si>
    <t>A395 Gr65-45-15</t>
    <phoneticPr fontId="38" type="noConversion"/>
  </si>
  <si>
    <t>REQUIRED</t>
  </si>
  <si>
    <t>BODY 입고 중량(A216 WCB)</t>
    <phoneticPr fontId="7" type="noConversion"/>
  </si>
  <si>
    <t>생산의뢰번호</t>
    <phoneticPr fontId="7" type="noConversion"/>
  </si>
  <si>
    <t>면간</t>
    <phoneticPr fontId="7" type="noConversion"/>
  </si>
  <si>
    <t>두께(T)</t>
    <phoneticPr fontId="7" type="noConversion"/>
  </si>
  <si>
    <t>BODY 실중량</t>
    <phoneticPr fontId="7" type="noConversion"/>
  </si>
  <si>
    <t>BE140082</t>
  </si>
  <si>
    <t>BE160084</t>
  </si>
  <si>
    <t>DISC 입고 중량</t>
    <phoneticPr fontId="7" type="noConversion"/>
  </si>
  <si>
    <t>재질</t>
    <phoneticPr fontId="7" type="noConversion"/>
  </si>
  <si>
    <t>DISC TYPE</t>
    <phoneticPr fontId="7" type="noConversion"/>
  </si>
  <si>
    <t>DISC 중량</t>
    <phoneticPr fontId="7" type="noConversion"/>
  </si>
  <si>
    <t>BD150091</t>
  </si>
  <si>
    <t>CA15</t>
  </si>
  <si>
    <t>중공</t>
  </si>
  <si>
    <t>CF8</t>
  </si>
  <si>
    <t>B148</t>
  </si>
  <si>
    <t>66.75MM</t>
    <phoneticPr fontId="7" type="noConversion"/>
  </si>
  <si>
    <t>191111 원가 TABLE 상에 빨간색 글씨는 임의 지정</t>
    <phoneticPr fontId="7" type="noConversion"/>
  </si>
  <si>
    <r>
      <rPr>
        <sz val="9"/>
        <color rgb="FFFF0000"/>
        <rFont val="굴림"/>
        <family val="3"/>
        <charset val="129"/>
      </rPr>
      <t>조립</t>
    </r>
    <r>
      <rPr>
        <sz val="9"/>
        <color rgb="FFFF0000"/>
        <rFont val="Arial"/>
        <family val="2"/>
      </rPr>
      <t>.</t>
    </r>
    <r>
      <rPr>
        <sz val="9"/>
        <color rgb="FFFF0000"/>
        <rFont val="굴림"/>
        <family val="3"/>
        <charset val="129"/>
      </rPr>
      <t>검사</t>
    </r>
    <phoneticPr fontId="7" type="noConversion"/>
  </si>
  <si>
    <t>기존 단가</t>
  </si>
  <si>
    <t>MOTOR</t>
  </si>
  <si>
    <t>EPDM</t>
  </si>
  <si>
    <r>
      <t>FACTORY COST(0.7) -</t>
    </r>
    <r>
      <rPr>
        <sz val="11"/>
        <rFont val="돋움"/>
        <family val="3"/>
        <charset val="129"/>
      </rPr>
      <t>가공</t>
    </r>
    <r>
      <rPr>
        <sz val="11"/>
        <rFont val="Arial"/>
        <family val="2"/>
      </rPr>
      <t>,</t>
    </r>
    <r>
      <rPr>
        <sz val="11"/>
        <rFont val="돋움"/>
        <family val="3"/>
        <charset val="129"/>
      </rPr>
      <t>도장</t>
    </r>
    <r>
      <rPr>
        <sz val="11"/>
        <rFont val="Arial"/>
        <family val="2"/>
      </rPr>
      <t>,</t>
    </r>
    <r>
      <rPr>
        <sz val="11"/>
        <rFont val="돋움"/>
        <family val="3"/>
        <charset val="129"/>
      </rPr>
      <t>포장</t>
    </r>
    <r>
      <rPr>
        <sz val="11"/>
        <rFont val="Arial"/>
        <family val="2"/>
      </rPr>
      <t>,</t>
    </r>
    <r>
      <rPr>
        <sz val="11"/>
        <rFont val="돋움"/>
        <family val="3"/>
        <charset val="129"/>
      </rPr>
      <t>인건비</t>
    </r>
    <phoneticPr fontId="7" type="noConversion"/>
  </si>
  <si>
    <r>
      <t xml:space="preserve">16BAR </t>
    </r>
    <r>
      <rPr>
        <sz val="11"/>
        <color rgb="FFFF0000"/>
        <rFont val="돋움"/>
        <family val="3"/>
        <charset val="129"/>
      </rPr>
      <t>기준</t>
    </r>
    <r>
      <rPr>
        <sz val="11"/>
        <color rgb="FFFF0000"/>
        <rFont val="Arial"/>
        <family val="2"/>
      </rPr>
      <t xml:space="preserve">(DISC </t>
    </r>
    <r>
      <rPr>
        <sz val="11"/>
        <color rgb="FFFF0000"/>
        <rFont val="돋움"/>
        <family val="3"/>
        <charset val="129"/>
      </rPr>
      <t>중량</t>
    </r>
    <r>
      <rPr>
        <sz val="11"/>
        <color rgb="FFFF0000"/>
        <rFont val="Arial"/>
        <family val="2"/>
      </rPr>
      <t>)</t>
    </r>
    <phoneticPr fontId="7" type="noConversion"/>
  </si>
  <si>
    <r>
      <rPr>
        <sz val="11"/>
        <rFont val="돋움"/>
        <family val="3"/>
        <charset val="129"/>
      </rPr>
      <t>구매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원가</t>
    </r>
    <phoneticPr fontId="6" type="noConversion"/>
  </si>
  <si>
    <t>10 BAR</t>
  </si>
  <si>
    <t>A536 Gr65-45-12</t>
  </si>
  <si>
    <t>A351 CF8M</t>
  </si>
  <si>
    <t>A564T630</t>
  </si>
  <si>
    <t>100A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</si>
</sst>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* #,##0.00_ ;_ * \-#,##0.00_ ;_ * &quot;-&quot;??_ ;_ @_ "/>
    <numFmt numFmtId="178" formatCode="&quot;₩&quot;#,##0;[Red]&quot;₩&quot;&quot;₩&quot;&quot;₩&quot;&quot;₩&quot;&quot;₩&quot;&quot;₩&quot;\-&quot;₩&quot;#,##0"/>
    <numFmt numFmtId="179" formatCode="_-* #,##0.0_-;\-* #,##0.0_-;_-* &quot;-&quot;_-;_-@_-"/>
    <numFmt numFmtId="180" formatCode="_ &quot;₩&quot;* #,##0_ ;_ &quot;₩&quot;* \-#,##0_ ;_ &quot;₩&quot;* &quot;-&quot;_ ;_ @_ "/>
    <numFmt numFmtId="181" formatCode="_-* #,##0.00_-;\-* #,##0.00_-;_-* &quot;-&quot;_-;_-@_-"/>
    <numFmt numFmtId="182" formatCode="#,###&quot; / MM &quot;"/>
    <numFmt numFmtId="183" formatCode="&quot;$&quot;#,##0.00;\-&quot;$&quot;#,##0.00"/>
    <numFmt numFmtId="184" formatCode="&quot;$&quot;#,##0;[Red]\-&quot;$&quot;#,##0"/>
    <numFmt numFmtId="185" formatCode="&quot;$&quot;#,##0.00;[Red]\-&quot;$&quot;#,##0.00"/>
    <numFmt numFmtId="186" formatCode="0.00_)"/>
    <numFmt numFmtId="187" formatCode="_([$€-2]* #,##0.00_);_([$€-2]* \(#,##0.00\);_([$€-2]* &quot;-&quot;??_)"/>
    <numFmt numFmtId="188" formatCode="0.0_ "/>
    <numFmt numFmtId="189" formatCode="#,##0_ "/>
    <numFmt numFmtId="190" formatCode="#,##0.00_ "/>
    <numFmt numFmtId="191" formatCode="#,##0.0_ "/>
    <numFmt numFmtId="192" formatCode="_-* #,##0.0_-;\-* #,##0.0_-;_-* &quot;-&quot;?_-;_-@_-"/>
  </numFmts>
  <fonts count="67">
    <font>
      <sz val="11"/>
      <name val="돋움"/>
      <family val="3"/>
      <charset val="129"/>
    </font>
    <font>
      <sz val="11"/>
      <name val="돋움"/>
      <family val="3"/>
      <charset val="129"/>
    </font>
    <font>
      <sz val="12"/>
      <name val="뼻뮝"/>
      <family val="3"/>
      <charset val="129"/>
    </font>
    <font>
      <sz val="10"/>
      <name val="Arial"/>
      <family val="2"/>
    </font>
    <font>
      <sz val="10"/>
      <name val="明朝"/>
      <family val="1"/>
      <charset val="128"/>
    </font>
    <font>
      <sz val="12"/>
      <name val="¹UAAA¼"/>
      <family val="3"/>
      <charset val="129"/>
    </font>
    <font>
      <sz val="12"/>
      <name val="바탕체"/>
      <family val="1"/>
      <charset val="129"/>
    </font>
    <font>
      <sz val="8"/>
      <name val="돋움"/>
      <family val="3"/>
      <charset val="129"/>
    </font>
    <font>
      <sz val="9"/>
      <name val="굴림"/>
      <family val="3"/>
      <charset val="129"/>
    </font>
    <font>
      <sz val="11"/>
      <name val="Arial"/>
      <family val="2"/>
    </font>
    <font>
      <sz val="11"/>
      <name val="돋움"/>
      <family val="3"/>
      <charset val="129"/>
    </font>
    <font>
      <sz val="12"/>
      <name val="Tms Rmn"/>
      <family val="1"/>
    </font>
    <font>
      <sz val="1"/>
      <color indexed="8"/>
      <name val="Courier"/>
      <family val="3"/>
    </font>
    <font>
      <sz val="10"/>
      <name val="MS Sans Serif"/>
      <family val="2"/>
    </font>
    <font>
      <sz val="10"/>
      <color indexed="2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i/>
      <sz val="12"/>
      <color indexed="10"/>
      <name val="Courier New"/>
      <family val="3"/>
    </font>
    <font>
      <sz val="7"/>
      <name val="Small Fonts"/>
      <family val="2"/>
    </font>
    <font>
      <b/>
      <i/>
      <sz val="16"/>
      <name val="Helv"/>
      <family val="2"/>
    </font>
    <font>
      <b/>
      <sz val="12"/>
      <color indexed="8"/>
      <name val="ConGEsansBol67"/>
      <family val="1"/>
    </font>
    <font>
      <sz val="18"/>
      <color indexed="12"/>
      <name val="MS Sans Serif"/>
      <family val="2"/>
    </font>
    <font>
      <b/>
      <sz val="9"/>
      <name val="돋움"/>
      <family val="3"/>
      <charset val="129"/>
    </font>
    <font>
      <b/>
      <sz val="9"/>
      <name val="굴림"/>
      <family val="3"/>
      <charset val="129"/>
    </font>
    <font>
      <sz val="9"/>
      <name val="Times New Roman"/>
      <family val="1"/>
    </font>
    <font>
      <sz val="1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6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  <font>
      <sz val="9"/>
      <name val="돋움"/>
      <family val="3"/>
      <charset val="129"/>
    </font>
    <font>
      <sz val="9"/>
      <color indexed="9"/>
      <name val="Arial"/>
      <family val="2"/>
    </font>
    <font>
      <sz val="8"/>
      <name val="맑은 고딕"/>
      <family val="3"/>
      <charset val="129"/>
    </font>
    <font>
      <i/>
      <sz val="9"/>
      <name val="Arial"/>
      <family val="2"/>
    </font>
    <font>
      <b/>
      <sz val="18"/>
      <name val="Arial"/>
      <family val="2"/>
    </font>
    <font>
      <b/>
      <sz val="18"/>
      <name val="견명조"/>
      <family val="1"/>
      <charset val="129"/>
    </font>
    <font>
      <sz val="11"/>
      <color indexed="10"/>
      <name val="Arial"/>
      <family val="2"/>
    </font>
    <font>
      <sz val="11"/>
      <color indexed="10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8"/>
      <color theme="1"/>
      <name val="Arial"/>
      <family val="2"/>
    </font>
    <font>
      <sz val="11"/>
      <color rgb="FFFF0000"/>
      <name val="Arial"/>
      <family val="2"/>
    </font>
    <font>
      <b/>
      <sz val="9"/>
      <color rgb="FFFFFF00"/>
      <name val="Arial"/>
      <family val="2"/>
    </font>
    <font>
      <b/>
      <sz val="18"/>
      <color theme="1"/>
      <name val="맑은 고딕"/>
      <family val="3"/>
      <charset val="129"/>
      <scheme val="minor"/>
    </font>
    <font>
      <b/>
      <sz val="9"/>
      <color rgb="FFFFFF00"/>
      <name val="돋움"/>
      <family val="3"/>
      <charset val="129"/>
    </font>
    <font>
      <b/>
      <sz val="9"/>
      <color rgb="FFFF0000"/>
      <name val="Arial"/>
      <family val="2"/>
    </font>
    <font>
      <sz val="11"/>
      <color rgb="FFFF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9"/>
      <color rgb="FFFF0000"/>
      <name val="Arial"/>
      <family val="2"/>
    </font>
    <font>
      <sz val="9"/>
      <color rgb="FFFFFF00"/>
      <name val="Arial"/>
      <family val="2"/>
    </font>
    <font>
      <sz val="9"/>
      <color rgb="FFFFFF00"/>
      <name val="돋움"/>
      <family val="3"/>
      <charset val="129"/>
    </font>
    <font>
      <sz val="9"/>
      <color rgb="FFFF0000"/>
      <name val="돋움"/>
      <family val="3"/>
      <charset val="129"/>
    </font>
    <font>
      <b/>
      <sz val="9"/>
      <color indexed="10"/>
      <name val="Arial"/>
      <family val="2"/>
    </font>
    <font>
      <sz val="11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b/>
      <sz val="16"/>
      <color rgb="FFFF0000"/>
      <name val="맑은 고딕"/>
      <family val="3"/>
      <charset val="129"/>
      <scheme val="major"/>
    </font>
    <font>
      <b/>
      <sz val="9"/>
      <color rgb="FFFF0000"/>
      <name val="Arial Unicode MS"/>
      <family val="2"/>
      <charset val="129"/>
    </font>
    <font>
      <sz val="9"/>
      <color rgb="FFFFFF00"/>
      <name val="Arial Unicode MS"/>
      <family val="2"/>
      <charset val="129"/>
    </font>
    <font>
      <sz val="9"/>
      <color rgb="FFFFFF00"/>
      <name val="Arial"/>
      <family val="2"/>
      <charset val="129"/>
    </font>
    <font>
      <b/>
      <sz val="8"/>
      <name val="Arial"/>
      <family val="2"/>
    </font>
    <font>
      <sz val="9"/>
      <color rgb="FFFF0000"/>
      <name val="굴림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BED03"/>
        <bgColor indexed="64"/>
      </patternFill>
    </fill>
    <fill>
      <patternFill patternType="solid">
        <fgColor rgb="FFFEF8CE"/>
        <bgColor indexed="64"/>
      </patternFill>
    </fill>
    <fill>
      <patternFill patternType="solid">
        <fgColor rgb="FFE98BFF"/>
        <bgColor indexed="64"/>
      </patternFill>
    </fill>
    <fill>
      <patternFill patternType="solid">
        <fgColor rgb="FF00B0F0"/>
        <bgColor indexed="64"/>
      </patternFill>
    </fill>
  </fills>
  <borders count="6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FF0000"/>
      </left>
      <right style="hair">
        <color rgb="FFFF0000"/>
      </right>
      <top style="thick">
        <color rgb="FFFF0000"/>
      </top>
      <bottom style="thick">
        <color rgb="FFFF0000"/>
      </bottom>
      <diagonal/>
    </border>
    <border>
      <left style="hair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hair">
        <color rgb="FFFF0000"/>
      </left>
      <right style="hair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44">
    <xf numFmtId="0" fontId="0" fillId="0" borderId="0"/>
    <xf numFmtId="0" fontId="11" fillId="0" borderId="0" applyNumberFormat="0" applyFill="0" applyBorder="0" applyAlignment="0" applyProtection="0"/>
    <xf numFmtId="0" fontId="5" fillId="0" borderId="0"/>
    <xf numFmtId="0" fontId="12" fillId="0" borderId="0">
      <protection locked="0"/>
    </xf>
    <xf numFmtId="38" fontId="13" fillId="0" borderId="0" applyFont="0" applyFill="0" applyBorder="0" applyAlignment="0" applyProtection="0"/>
    <xf numFmtId="177" fontId="3" fillId="0" borderId="0" applyFont="0" applyFill="0" applyBorder="0" applyAlignment="0" applyProtection="0"/>
    <xf numFmtId="3" fontId="14" fillId="0" borderId="0" applyFont="0" applyFill="0" applyBorder="0" applyAlignment="0" applyProtection="0"/>
    <xf numFmtId="183" fontId="3" fillId="0" borderId="0" applyFill="0" applyBorder="0" applyAlignment="0" applyProtection="0"/>
    <xf numFmtId="182" fontId="6" fillId="0" borderId="0" applyFont="0" applyFill="0" applyBorder="0" applyAlignment="0" applyProtection="0"/>
    <xf numFmtId="178" fontId="3" fillId="0" borderId="0" applyFont="0" applyFill="0" applyBorder="0" applyAlignment="0" applyProtection="0"/>
    <xf numFmtId="180" fontId="9" fillId="0" borderId="0" applyFont="0" applyFill="0" applyBorder="0" applyAlignment="0" applyProtection="0"/>
    <xf numFmtId="0" fontId="14" fillId="0" borderId="0" applyFont="0" applyFill="0" applyBorder="0" applyAlignment="0" applyProtection="0"/>
    <xf numFmtId="187" fontId="3" fillId="0" borderId="0" applyFont="0" applyFill="0" applyBorder="0" applyAlignment="0" applyProtection="0"/>
    <xf numFmtId="2" fontId="14" fillId="0" borderId="0" applyFont="0" applyFill="0" applyBorder="0" applyAlignment="0" applyProtection="0"/>
    <xf numFmtId="38" fontId="15" fillId="2" borderId="0" applyNumberFormat="0" applyBorder="0" applyAlignment="0" applyProtection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0" fontId="15" fillId="3" borderId="3" applyNumberFormat="0" applyBorder="0" applyAlignment="0" applyProtection="0"/>
    <xf numFmtId="0" fontId="19" fillId="0" borderId="4" applyNumberFormat="0" applyBorder="0" applyAlignment="0"/>
    <xf numFmtId="38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37" fontId="20" fillId="0" borderId="0"/>
    <xf numFmtId="0" fontId="3" fillId="0" borderId="0" applyNumberFormat="0" applyFill="0" applyBorder="0" applyAlignment="0" applyProtection="0"/>
    <xf numFmtId="186" fontId="21" fillId="0" borderId="0"/>
    <xf numFmtId="0" fontId="3" fillId="0" borderId="0"/>
    <xf numFmtId="10" fontId="3" fillId="0" borderId="0" applyFill="0" applyBorder="0" applyAlignment="0" applyProtection="0"/>
    <xf numFmtId="10" fontId="3" fillId="0" borderId="0" applyFont="0" applyFill="0" applyBorder="0" applyAlignment="0" applyProtection="0"/>
    <xf numFmtId="9" fontId="13" fillId="0" borderId="5" applyNumberFormat="0" applyBorder="0"/>
    <xf numFmtId="0" fontId="22" fillId="0" borderId="0" applyProtection="0"/>
    <xf numFmtId="0" fontId="23" fillId="2" borderId="0">
      <alignment horizontal="centerContinuous"/>
    </xf>
    <xf numFmtId="0" fontId="14" fillId="0" borderId="6" applyNumberFormat="0" applyFont="0" applyFill="0" applyAlignment="0" applyProtection="0"/>
    <xf numFmtId="0" fontId="2" fillId="0" borderId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0" fontId="10" fillId="0" borderId="0">
      <alignment vertical="center"/>
    </xf>
    <xf numFmtId="0" fontId="3" fillId="0" borderId="0"/>
    <xf numFmtId="0" fontId="4" fillId="0" borderId="0"/>
    <xf numFmtId="0" fontId="10" fillId="0" borderId="0"/>
  </cellStyleXfs>
  <cellXfs count="352">
    <xf numFmtId="0" fontId="0" fillId="0" borderId="0" xfId="0"/>
    <xf numFmtId="0" fontId="3" fillId="0" borderId="0" xfId="41" applyFont="1" applyAlignment="1">
      <alignment vertical="center"/>
    </xf>
    <xf numFmtId="0" fontId="10" fillId="0" borderId="0" xfId="43" applyAlignment="1">
      <alignment vertical="center"/>
    </xf>
    <xf numFmtId="0" fontId="8" fillId="0" borderId="0" xfId="43" applyFont="1" applyAlignment="1">
      <alignment vertical="center"/>
    </xf>
    <xf numFmtId="0" fontId="26" fillId="0" borderId="0" xfId="43" applyFont="1" applyAlignment="1">
      <alignment vertical="center"/>
    </xf>
    <xf numFmtId="0" fontId="27" fillId="0" borderId="0" xfId="43" applyFont="1" applyAlignment="1">
      <alignment vertical="center"/>
    </xf>
    <xf numFmtId="0" fontId="9" fillId="0" borderId="0" xfId="0" applyFont="1" applyAlignment="1">
      <alignment horizontal="center"/>
    </xf>
    <xf numFmtId="0" fontId="32" fillId="0" borderId="0" xfId="43" applyFont="1" applyAlignment="1">
      <alignment horizontal="center" vertical="center"/>
    </xf>
    <xf numFmtId="0" fontId="9" fillId="0" borderId="0" xfId="43" applyFont="1" applyAlignment="1">
      <alignment vertical="center"/>
    </xf>
    <xf numFmtId="0" fontId="33" fillId="4" borderId="3" xfId="43" applyFont="1" applyFill="1" applyBorder="1" applyAlignment="1">
      <alignment horizontal="center" vertical="center"/>
    </xf>
    <xf numFmtId="0" fontId="34" fillId="0" borderId="0" xfId="43" applyFont="1" applyAlignment="1">
      <alignment vertical="center"/>
    </xf>
    <xf numFmtId="0" fontId="35" fillId="4" borderId="3" xfId="43" applyFont="1" applyFill="1" applyBorder="1" applyAlignment="1">
      <alignment horizontal="center" vertical="center"/>
    </xf>
    <xf numFmtId="0" fontId="34" fillId="0" borderId="3" xfId="43" applyFont="1" applyBorder="1" applyAlignment="1">
      <alignment vertical="center" shrinkToFit="1"/>
    </xf>
    <xf numFmtId="0" fontId="34" fillId="0" borderId="3" xfId="43" applyFont="1" applyBorder="1" applyAlignment="1">
      <alignment horizontal="center" vertical="center" shrinkToFit="1"/>
    </xf>
    <xf numFmtId="0" fontId="34" fillId="4" borderId="3" xfId="43" applyFont="1" applyFill="1" applyBorder="1" applyAlignment="1">
      <alignment horizontal="center" vertical="center" shrinkToFit="1"/>
    </xf>
    <xf numFmtId="0" fontId="34" fillId="4" borderId="3" xfId="43" applyFont="1" applyFill="1" applyBorder="1" applyAlignment="1">
      <alignment vertical="center"/>
    </xf>
    <xf numFmtId="41" fontId="33" fillId="4" borderId="3" xfId="43" applyNumberFormat="1" applyFont="1" applyFill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34" fillId="0" borderId="3" xfId="43" applyFont="1" applyBorder="1" applyAlignment="1">
      <alignment horizontal="center" vertical="center"/>
    </xf>
    <xf numFmtId="0" fontId="34" fillId="0" borderId="3" xfId="43" applyFont="1" applyBorder="1" applyAlignment="1">
      <alignment vertical="center"/>
    </xf>
    <xf numFmtId="41" fontId="34" fillId="0" borderId="3" xfId="36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44" fillId="0" borderId="9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189" fontId="0" fillId="0" borderId="16" xfId="0" applyNumberFormat="1" applyFill="1" applyBorder="1" applyAlignment="1">
      <alignment horizontal="center" vertical="center"/>
    </xf>
    <xf numFmtId="189" fontId="0" fillId="0" borderId="17" xfId="0" applyNumberFormat="1" applyFill="1" applyBorder="1" applyAlignment="1">
      <alignment horizontal="center" vertical="center"/>
    </xf>
    <xf numFmtId="189" fontId="0" fillId="0" borderId="18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89" fontId="0" fillId="0" borderId="3" xfId="0" applyNumberFormat="1" applyFill="1" applyBorder="1" applyAlignment="1">
      <alignment horizontal="center" vertical="center"/>
    </xf>
    <xf numFmtId="189" fontId="0" fillId="0" borderId="19" xfId="0" applyNumberFormat="1" applyFill="1" applyBorder="1" applyAlignment="1">
      <alignment horizontal="center" vertical="center"/>
    </xf>
    <xf numFmtId="189" fontId="0" fillId="0" borderId="20" xfId="0" applyNumberFormat="1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44" fillId="0" borderId="24" xfId="0" applyFont="1" applyFill="1" applyBorder="1" applyAlignment="1">
      <alignment horizontal="center" vertical="center" wrapText="1" shrinkToFit="1"/>
    </xf>
    <xf numFmtId="0" fontId="0" fillId="8" borderId="25" xfId="0" applyFill="1" applyBorder="1" applyAlignment="1">
      <alignment horizontal="center" vertical="center"/>
    </xf>
    <xf numFmtId="0" fontId="44" fillId="8" borderId="26" xfId="0" applyFont="1" applyFill="1" applyBorder="1" applyAlignment="1">
      <alignment horizontal="center" vertical="center" wrapText="1" shrinkToFit="1"/>
    </xf>
    <xf numFmtId="189" fontId="0" fillId="0" borderId="27" xfId="0" applyNumberFormat="1" applyFill="1" applyBorder="1" applyAlignment="1">
      <alignment horizontal="center" vertical="center"/>
    </xf>
    <xf numFmtId="189" fontId="0" fillId="0" borderId="28" xfId="0" applyNumberForma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189" fontId="0" fillId="0" borderId="30" xfId="0" applyNumberFormat="1" applyFill="1" applyBorder="1" applyAlignment="1">
      <alignment horizontal="center" vertical="center"/>
    </xf>
    <xf numFmtId="189" fontId="0" fillId="0" borderId="31" xfId="0" applyNumberFormat="1" applyFill="1" applyBorder="1" applyAlignment="1">
      <alignment horizontal="center" vertical="center"/>
    </xf>
    <xf numFmtId="0" fontId="44" fillId="0" borderId="26" xfId="0" applyFont="1" applyBorder="1" applyAlignment="1">
      <alignment horizontal="center" vertical="center" wrapText="1" shrinkToFit="1"/>
    </xf>
    <xf numFmtId="0" fontId="0" fillId="0" borderId="27" xfId="0" applyFill="1" applyBorder="1" applyAlignment="1">
      <alignment horizontal="center" vertical="center"/>
    </xf>
    <xf numFmtId="189" fontId="0" fillId="0" borderId="32" xfId="0" applyNumberFormat="1" applyFill="1" applyBorder="1" applyAlignment="1">
      <alignment horizontal="center" vertical="center"/>
    </xf>
    <xf numFmtId="0" fontId="0" fillId="8" borderId="29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45" fillId="0" borderId="0" xfId="0" applyFont="1" applyAlignment="1">
      <alignment vertical="center"/>
    </xf>
    <xf numFmtId="0" fontId="0" fillId="7" borderId="9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9" borderId="33" xfId="0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41" fontId="9" fillId="4" borderId="3" xfId="36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41" applyNumberFormat="1" applyFont="1" applyAlignment="1">
      <alignment vertical="center"/>
    </xf>
    <xf numFmtId="0" fontId="9" fillId="0" borderId="0" xfId="41" applyFont="1" applyAlignment="1">
      <alignment vertical="center"/>
    </xf>
    <xf numFmtId="0" fontId="9" fillId="0" borderId="0" xfId="41" applyFont="1" applyBorder="1" applyAlignment="1">
      <alignment vertical="center"/>
    </xf>
    <xf numFmtId="0" fontId="9" fillId="6" borderId="0" xfId="41" applyNumberFormat="1" applyFont="1" applyFill="1" applyAlignment="1">
      <alignment vertical="center"/>
    </xf>
    <xf numFmtId="0" fontId="9" fillId="10" borderId="7" xfId="0" applyFont="1" applyFill="1" applyBorder="1" applyAlignment="1">
      <alignment horizontal="center" vertical="center"/>
    </xf>
    <xf numFmtId="0" fontId="9" fillId="9" borderId="33" xfId="0" applyNumberFormat="1" applyFont="1" applyFill="1" applyBorder="1" applyAlignment="1">
      <alignment horizontal="left" vertical="center"/>
    </xf>
    <xf numFmtId="0" fontId="9" fillId="9" borderId="33" xfId="0" applyNumberFormat="1" applyFont="1" applyFill="1" applyBorder="1" applyAlignment="1">
      <alignment horizontal="center" vertical="center"/>
    </xf>
    <xf numFmtId="0" fontId="4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 wrapText="1"/>
    </xf>
    <xf numFmtId="0" fontId="47" fillId="0" borderId="7" xfId="0" applyFont="1" applyFill="1" applyBorder="1" applyAlignment="1">
      <alignment horizontal="center" vertical="center"/>
    </xf>
    <xf numFmtId="0" fontId="47" fillId="0" borderId="7" xfId="0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vertical="center"/>
    </xf>
    <xf numFmtId="41" fontId="33" fillId="0" borderId="0" xfId="36" applyFont="1" applyAlignment="1">
      <alignment horizontal="center" vertical="center"/>
    </xf>
    <xf numFmtId="0" fontId="9" fillId="0" borderId="0" xfId="43" applyFont="1" applyAlignment="1">
      <alignment horizontal="center" vertical="center"/>
    </xf>
    <xf numFmtId="0" fontId="33" fillId="4" borderId="19" xfId="43" applyFont="1" applyFill="1" applyBorder="1" applyAlignment="1">
      <alignment horizontal="center" vertical="center"/>
    </xf>
    <xf numFmtId="0" fontId="33" fillId="4" borderId="3" xfId="43" applyFont="1" applyFill="1" applyBorder="1" applyAlignment="1">
      <alignment vertical="center"/>
    </xf>
    <xf numFmtId="41" fontId="33" fillId="0" borderId="3" xfId="36" applyFont="1" applyBorder="1" applyAlignment="1">
      <alignment horizontal="center" vertical="center"/>
    </xf>
    <xf numFmtId="41" fontId="34" fillId="0" borderId="3" xfId="43" applyNumberFormat="1" applyFont="1" applyBorder="1" applyAlignment="1">
      <alignment horizontal="right" vertical="center"/>
    </xf>
    <xf numFmtId="41" fontId="34" fillId="0" borderId="3" xfId="43" applyNumberFormat="1" applyFont="1" applyBorder="1" applyAlignment="1">
      <alignment vertical="center"/>
    </xf>
    <xf numFmtId="179" fontId="37" fillId="0" borderId="3" xfId="36" applyNumberFormat="1" applyFont="1" applyBorder="1" applyAlignment="1">
      <alignment vertical="center"/>
    </xf>
    <xf numFmtId="41" fontId="34" fillId="7" borderId="3" xfId="36" applyFont="1" applyFill="1" applyBorder="1" applyAlignment="1">
      <alignment vertical="center"/>
    </xf>
    <xf numFmtId="41" fontId="33" fillId="7" borderId="3" xfId="36" applyFont="1" applyFill="1" applyBorder="1" applyAlignment="1">
      <alignment horizontal="center" vertical="center"/>
    </xf>
    <xf numFmtId="179" fontId="34" fillId="0" borderId="3" xfId="43" applyNumberFormat="1" applyFont="1" applyBorder="1" applyAlignment="1">
      <alignment vertical="center"/>
    </xf>
    <xf numFmtId="0" fontId="33" fillId="4" borderId="3" xfId="43" applyFont="1" applyFill="1" applyBorder="1" applyAlignment="1">
      <alignment horizontal="left" vertical="center" shrinkToFit="1"/>
    </xf>
    <xf numFmtId="41" fontId="34" fillId="4" borderId="3" xfId="36" applyFont="1" applyFill="1" applyBorder="1" applyAlignment="1">
      <alignment vertical="center"/>
    </xf>
    <xf numFmtId="181" fontId="34" fillId="4" borderId="3" xfId="36" applyNumberFormat="1" applyFont="1" applyFill="1" applyBorder="1" applyAlignment="1">
      <alignment horizontal="center" vertical="center" shrinkToFit="1"/>
    </xf>
    <xf numFmtId="41" fontId="33" fillId="4" borderId="3" xfId="36" applyFont="1" applyFill="1" applyBorder="1" applyAlignment="1">
      <alignment vertical="center"/>
    </xf>
    <xf numFmtId="188" fontId="34" fillId="4" borderId="3" xfId="43" applyNumberFormat="1" applyFont="1" applyFill="1" applyBorder="1" applyAlignment="1">
      <alignment horizontal="center" vertical="center"/>
    </xf>
    <xf numFmtId="0" fontId="33" fillId="5" borderId="3" xfId="43" applyFont="1" applyFill="1" applyBorder="1" applyAlignment="1">
      <alignment vertical="center"/>
    </xf>
    <xf numFmtId="0" fontId="34" fillId="5" borderId="3" xfId="43" applyFont="1" applyFill="1" applyBorder="1" applyAlignment="1">
      <alignment horizontal="center" vertical="center" shrinkToFit="1"/>
    </xf>
    <xf numFmtId="0" fontId="34" fillId="5" borderId="3" xfId="43" applyFont="1" applyFill="1" applyBorder="1" applyAlignment="1">
      <alignment horizontal="center" vertical="center"/>
    </xf>
    <xf numFmtId="41" fontId="34" fillId="5" borderId="3" xfId="43" applyNumberFormat="1" applyFont="1" applyFill="1" applyBorder="1" applyAlignment="1">
      <alignment vertical="center" shrinkToFit="1"/>
    </xf>
    <xf numFmtId="0" fontId="34" fillId="5" borderId="3" xfId="43" applyFont="1" applyFill="1" applyBorder="1" applyAlignment="1">
      <alignment vertical="center"/>
    </xf>
    <xf numFmtId="41" fontId="33" fillId="5" borderId="3" xfId="43" applyNumberFormat="1" applyFont="1" applyFill="1" applyBorder="1" applyAlignment="1">
      <alignment vertical="center"/>
    </xf>
    <xf numFmtId="0" fontId="34" fillId="0" borderId="0" xfId="43" applyFont="1" applyAlignment="1">
      <alignment horizontal="center" vertical="center"/>
    </xf>
    <xf numFmtId="41" fontId="33" fillId="0" borderId="0" xfId="36" applyFont="1" applyAlignment="1">
      <alignment vertical="center"/>
    </xf>
    <xf numFmtId="0" fontId="34" fillId="7" borderId="3" xfId="43" applyFont="1" applyFill="1" applyBorder="1" applyAlignment="1">
      <alignment horizontal="center" vertical="center" shrinkToFit="1"/>
    </xf>
    <xf numFmtId="41" fontId="34" fillId="7" borderId="3" xfId="43" applyNumberFormat="1" applyFont="1" applyFill="1" applyBorder="1" applyAlignment="1">
      <alignment vertical="center"/>
    </xf>
    <xf numFmtId="179" fontId="34" fillId="7" borderId="3" xfId="36" applyNumberFormat="1" applyFont="1" applyFill="1" applyBorder="1" applyAlignment="1">
      <alignment vertical="center"/>
    </xf>
    <xf numFmtId="0" fontId="47" fillId="0" borderId="38" xfId="0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/>
    </xf>
    <xf numFmtId="0" fontId="33" fillId="0" borderId="0" xfId="43" applyFont="1" applyAlignment="1">
      <alignment vertical="center"/>
    </xf>
    <xf numFmtId="0" fontId="33" fillId="0" borderId="0" xfId="43" applyFont="1" applyAlignment="1">
      <alignment horizontal="center" vertical="center"/>
    </xf>
    <xf numFmtId="0" fontId="33" fillId="7" borderId="45" xfId="43" applyFont="1" applyFill="1" applyBorder="1" applyAlignment="1">
      <alignment horizontal="center" vertical="center"/>
    </xf>
    <xf numFmtId="0" fontId="33" fillId="7" borderId="46" xfId="43" applyFont="1" applyFill="1" applyBorder="1" applyAlignment="1">
      <alignment horizontal="center" vertical="center"/>
    </xf>
    <xf numFmtId="0" fontId="33" fillId="7" borderId="46" xfId="43" applyFont="1" applyFill="1" applyBorder="1" applyAlignment="1">
      <alignment horizontal="center" vertical="center"/>
    </xf>
    <xf numFmtId="0" fontId="33" fillId="7" borderId="45" xfId="43" applyFont="1" applyFill="1" applyBorder="1" applyAlignment="1">
      <alignment horizontal="center" vertical="center"/>
    </xf>
    <xf numFmtId="41" fontId="33" fillId="0" borderId="3" xfId="36" applyFont="1" applyBorder="1" applyAlignment="1">
      <alignment horizontal="center" vertical="center" wrapText="1"/>
    </xf>
    <xf numFmtId="41" fontId="48" fillId="0" borderId="3" xfId="36" applyFont="1" applyBorder="1" applyAlignment="1">
      <alignment horizontal="center" vertical="center"/>
    </xf>
    <xf numFmtId="0" fontId="33" fillId="10" borderId="3" xfId="43" applyFont="1" applyFill="1" applyBorder="1" applyAlignment="1">
      <alignment horizontal="center" vertical="center"/>
    </xf>
    <xf numFmtId="0" fontId="34" fillId="7" borderId="19" xfId="43" applyFont="1" applyFill="1" applyBorder="1" applyAlignment="1">
      <alignment horizontal="left" vertical="center" shrinkToFit="1"/>
    </xf>
    <xf numFmtId="0" fontId="34" fillId="7" borderId="3" xfId="0" applyFont="1" applyFill="1" applyBorder="1" applyAlignment="1">
      <alignment horizontal="center" vertical="center"/>
    </xf>
    <xf numFmtId="0" fontId="34" fillId="7" borderId="23" xfId="43" applyFont="1" applyFill="1" applyBorder="1" applyAlignment="1">
      <alignment horizontal="center" vertical="center" shrinkToFit="1"/>
    </xf>
    <xf numFmtId="0" fontId="34" fillId="7" borderId="3" xfId="43" applyFont="1" applyFill="1" applyBorder="1" applyAlignment="1">
      <alignment vertical="center"/>
    </xf>
    <xf numFmtId="41" fontId="34" fillId="7" borderId="3" xfId="43" applyNumberFormat="1" applyFont="1" applyFill="1" applyBorder="1" applyAlignment="1">
      <alignment horizontal="right" vertical="center"/>
    </xf>
    <xf numFmtId="41" fontId="34" fillId="7" borderId="36" xfId="36" applyFont="1" applyFill="1" applyBorder="1" applyAlignment="1">
      <alignment vertical="center"/>
    </xf>
    <xf numFmtId="189" fontId="34" fillId="7" borderId="3" xfId="41" applyNumberFormat="1" applyFont="1" applyFill="1" applyBorder="1" applyAlignment="1">
      <alignment horizontal="right" vertical="center"/>
    </xf>
    <xf numFmtId="41" fontId="34" fillId="7" borderId="23" xfId="43" applyNumberFormat="1" applyFont="1" applyFill="1" applyBorder="1" applyAlignment="1">
      <alignment vertical="center"/>
    </xf>
    <xf numFmtId="0" fontId="34" fillId="7" borderId="37" xfId="43" applyFont="1" applyFill="1" applyBorder="1" applyAlignment="1">
      <alignment horizontal="left" vertical="center" shrinkToFit="1"/>
    </xf>
    <xf numFmtId="0" fontId="34" fillId="7" borderId="3" xfId="43" applyFont="1" applyFill="1" applyBorder="1" applyAlignment="1">
      <alignment vertical="center" shrinkToFit="1"/>
    </xf>
    <xf numFmtId="0" fontId="34" fillId="7" borderId="17" xfId="43" applyFont="1" applyFill="1" applyBorder="1" applyAlignment="1">
      <alignment horizontal="center" vertical="center" shrinkToFit="1"/>
    </xf>
    <xf numFmtId="179" fontId="37" fillId="7" borderId="3" xfId="36" applyNumberFormat="1" applyFont="1" applyFill="1" applyBorder="1" applyAlignment="1">
      <alignment vertical="center"/>
    </xf>
    <xf numFmtId="0" fontId="0" fillId="0" borderId="0" xfId="0" applyFont="1" applyAlignment="1">
      <alignment horizontal="center"/>
    </xf>
    <xf numFmtId="190" fontId="34" fillId="7" borderId="3" xfId="36" applyNumberFormat="1" applyFont="1" applyFill="1" applyBorder="1" applyAlignment="1">
      <alignment vertical="center"/>
    </xf>
    <xf numFmtId="181" fontId="34" fillId="7" borderId="3" xfId="36" applyNumberFormat="1" applyFont="1" applyFill="1" applyBorder="1" applyAlignment="1">
      <alignment vertical="center"/>
    </xf>
    <xf numFmtId="0" fontId="9" fillId="0" borderId="26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34" fillId="0" borderId="0" xfId="43" quotePrefix="1" applyFont="1" applyAlignment="1">
      <alignment vertical="center"/>
    </xf>
    <xf numFmtId="0" fontId="9" fillId="11" borderId="7" xfId="0" applyNumberFormat="1" applyFont="1" applyFill="1" applyBorder="1" applyAlignment="1">
      <alignment horizontal="center" vertical="center"/>
    </xf>
    <xf numFmtId="0" fontId="47" fillId="11" borderId="7" xfId="0" applyNumberFormat="1" applyFont="1" applyFill="1" applyBorder="1" applyAlignment="1">
      <alignment horizontal="center" vertical="center"/>
    </xf>
    <xf numFmtId="0" fontId="47" fillId="11" borderId="7" xfId="0" applyNumberFormat="1" applyFont="1" applyFill="1" applyBorder="1" applyAlignment="1">
      <alignment horizontal="center" vertical="center" wrapText="1"/>
    </xf>
    <xf numFmtId="0" fontId="34" fillId="0" borderId="0" xfId="43" applyFont="1" applyAlignment="1">
      <alignment horizontal="left" vertical="center"/>
    </xf>
    <xf numFmtId="179" fontId="34" fillId="7" borderId="3" xfId="43" applyNumberFormat="1" applyFont="1" applyFill="1" applyBorder="1" applyAlignment="1">
      <alignment vertical="center"/>
    </xf>
    <xf numFmtId="0" fontId="33" fillId="12" borderId="3" xfId="43" applyFont="1" applyFill="1" applyBorder="1" applyAlignment="1">
      <alignment vertical="center"/>
    </xf>
    <xf numFmtId="0" fontId="34" fillId="12" borderId="3" xfId="43" applyFont="1" applyFill="1" applyBorder="1" applyAlignment="1">
      <alignment horizontal="center" vertical="center" shrinkToFit="1"/>
    </xf>
    <xf numFmtId="181" fontId="34" fillId="12" borderId="3" xfId="36" applyNumberFormat="1" applyFont="1" applyFill="1" applyBorder="1" applyAlignment="1">
      <alignment horizontal="center" vertical="center" shrinkToFit="1"/>
    </xf>
    <xf numFmtId="0" fontId="34" fillId="12" borderId="3" xfId="43" applyFont="1" applyFill="1" applyBorder="1" applyAlignment="1">
      <alignment vertical="center"/>
    </xf>
    <xf numFmtId="41" fontId="33" fillId="12" borderId="3" xfId="36" applyFont="1" applyFill="1" applyBorder="1" applyAlignment="1">
      <alignment vertical="center"/>
    </xf>
    <xf numFmtId="188" fontId="34" fillId="12" borderId="3" xfId="43" applyNumberFormat="1" applyFont="1" applyFill="1" applyBorder="1" applyAlignment="1">
      <alignment horizontal="center" vertical="center"/>
    </xf>
    <xf numFmtId="0" fontId="9" fillId="10" borderId="33" xfId="0" applyNumberFormat="1" applyFont="1" applyFill="1" applyBorder="1" applyAlignment="1">
      <alignment horizontal="left" vertical="center"/>
    </xf>
    <xf numFmtId="0" fontId="9" fillId="5" borderId="33" xfId="0" applyNumberFormat="1" applyFont="1" applyFill="1" applyBorder="1" applyAlignment="1">
      <alignment horizontal="left" vertical="center"/>
    </xf>
    <xf numFmtId="41" fontId="9" fillId="10" borderId="33" xfId="36" applyFont="1" applyFill="1" applyBorder="1" applyAlignment="1">
      <alignment horizontal="center" vertical="center"/>
    </xf>
    <xf numFmtId="41" fontId="9" fillId="10" borderId="39" xfId="36" applyFont="1" applyFill="1" applyBorder="1" applyAlignment="1">
      <alignment horizontal="center" vertical="center"/>
    </xf>
    <xf numFmtId="41" fontId="33" fillId="0" borderId="0" xfId="36" applyFont="1" applyAlignment="1">
      <alignment horizontal="center" vertical="center"/>
    </xf>
    <xf numFmtId="0" fontId="33" fillId="0" borderId="0" xfId="43" applyFont="1" applyAlignment="1">
      <alignment horizontal="center" vertical="center"/>
    </xf>
    <xf numFmtId="0" fontId="33" fillId="7" borderId="46" xfId="43" applyFont="1" applyFill="1" applyBorder="1" applyAlignment="1">
      <alignment horizontal="center" vertical="center"/>
    </xf>
    <xf numFmtId="0" fontId="33" fillId="7" borderId="45" xfId="43" applyFont="1" applyFill="1" applyBorder="1" applyAlignment="1">
      <alignment horizontal="center" vertical="center"/>
    </xf>
    <xf numFmtId="41" fontId="48" fillId="0" borderId="3" xfId="36" applyFont="1" applyBorder="1" applyAlignment="1">
      <alignment horizontal="center" vertical="center"/>
    </xf>
    <xf numFmtId="0" fontId="35" fillId="4" borderId="3" xfId="43" applyFont="1" applyFill="1" applyBorder="1" applyAlignment="1">
      <alignment horizontal="center" vertical="center"/>
    </xf>
    <xf numFmtId="41" fontId="51" fillId="0" borderId="3" xfId="36" applyFont="1" applyBorder="1" applyAlignment="1">
      <alignment horizontal="center" vertical="center"/>
    </xf>
    <xf numFmtId="0" fontId="34" fillId="0" borderId="3" xfId="43" quotePrefix="1" applyFont="1" applyBorder="1" applyAlignment="1">
      <alignment vertical="center"/>
    </xf>
    <xf numFmtId="0" fontId="34" fillId="0" borderId="3" xfId="43" applyFont="1" applyBorder="1" applyAlignment="1">
      <alignment horizontal="left" vertical="center"/>
    </xf>
    <xf numFmtId="0" fontId="9" fillId="9" borderId="7" xfId="0" applyNumberFormat="1" applyFont="1" applyFill="1" applyBorder="1" applyAlignment="1">
      <alignment horizontal="center" vertical="center"/>
    </xf>
    <xf numFmtId="41" fontId="53" fillId="0" borderId="3" xfId="36" applyFont="1" applyBorder="1" applyAlignment="1">
      <alignment horizontal="center" vertical="center"/>
    </xf>
    <xf numFmtId="41" fontId="33" fillId="0" borderId="48" xfId="36" applyFont="1" applyBorder="1" applyAlignment="1">
      <alignment horizontal="center" vertical="center"/>
    </xf>
    <xf numFmtId="41" fontId="33" fillId="0" borderId="49" xfId="36" applyFont="1" applyBorder="1" applyAlignment="1">
      <alignment horizontal="center" vertical="center"/>
    </xf>
    <xf numFmtId="0" fontId="47" fillId="9" borderId="33" xfId="0" applyNumberFormat="1" applyFont="1" applyFill="1" applyBorder="1" applyAlignment="1">
      <alignment horizontal="center" vertical="center"/>
    </xf>
    <xf numFmtId="0" fontId="9" fillId="7" borderId="34" xfId="0" applyFont="1" applyFill="1" applyBorder="1" applyAlignment="1">
      <alignment horizontal="center" vertical="center"/>
    </xf>
    <xf numFmtId="0" fontId="9" fillId="11" borderId="33" xfId="0" applyNumberFormat="1" applyFont="1" applyFill="1" applyBorder="1" applyAlignment="1">
      <alignment horizontal="center" vertical="center"/>
    </xf>
    <xf numFmtId="41" fontId="47" fillId="11" borderId="50" xfId="36" applyFont="1" applyFill="1" applyBorder="1" applyAlignment="1">
      <alignment horizontal="center" vertical="center"/>
    </xf>
    <xf numFmtId="41" fontId="47" fillId="11" borderId="51" xfId="36" applyFont="1" applyFill="1" applyBorder="1" applyAlignment="1">
      <alignment horizontal="center" vertical="center"/>
    </xf>
    <xf numFmtId="0" fontId="9" fillId="5" borderId="52" xfId="0" applyFont="1" applyFill="1" applyBorder="1" applyAlignment="1">
      <alignment horizontal="left" vertical="center"/>
    </xf>
    <xf numFmtId="0" fontId="9" fillId="5" borderId="54" xfId="0" applyFont="1" applyFill="1" applyBorder="1" applyAlignment="1">
      <alignment horizontal="left" vertical="center"/>
    </xf>
    <xf numFmtId="41" fontId="47" fillId="11" borderId="55" xfId="36" applyFont="1" applyFill="1" applyBorder="1" applyAlignment="1">
      <alignment horizontal="center" vertical="center"/>
    </xf>
    <xf numFmtId="0" fontId="9" fillId="5" borderId="39" xfId="0" applyNumberFormat="1" applyFont="1" applyFill="1" applyBorder="1" applyAlignment="1">
      <alignment horizontal="left" vertical="center"/>
    </xf>
    <xf numFmtId="41" fontId="9" fillId="11" borderId="53" xfId="36" applyFont="1" applyFill="1" applyBorder="1" applyAlignment="1">
      <alignment horizontal="center" vertical="center"/>
    </xf>
    <xf numFmtId="41" fontId="48" fillId="0" borderId="3" xfId="36" applyFont="1" applyBorder="1" applyAlignment="1">
      <alignment horizontal="center" vertical="center"/>
    </xf>
    <xf numFmtId="41" fontId="48" fillId="0" borderId="3" xfId="36" applyFont="1" applyBorder="1" applyAlignment="1">
      <alignment horizontal="center" vertical="center"/>
    </xf>
    <xf numFmtId="41" fontId="33" fillId="0" borderId="3" xfId="36" quotePrefix="1" applyFont="1" applyBorder="1" applyAlignment="1">
      <alignment horizontal="left" vertical="center"/>
    </xf>
    <xf numFmtId="0" fontId="33" fillId="7" borderId="46" xfId="43" applyFont="1" applyFill="1" applyBorder="1" applyAlignment="1">
      <alignment horizontal="center" vertical="center"/>
    </xf>
    <xf numFmtId="0" fontId="33" fillId="7" borderId="45" xfId="43" applyFont="1" applyFill="1" applyBorder="1" applyAlignment="1">
      <alignment horizontal="center" vertical="center"/>
    </xf>
    <xf numFmtId="41" fontId="48" fillId="0" borderId="3" xfId="36" applyFont="1" applyBorder="1" applyAlignment="1">
      <alignment horizontal="center" vertical="center"/>
    </xf>
    <xf numFmtId="0" fontId="35" fillId="4" borderId="3" xfId="43" applyFont="1" applyFill="1" applyBorder="1" applyAlignment="1">
      <alignment horizontal="center" vertical="center"/>
    </xf>
    <xf numFmtId="0" fontId="33" fillId="7" borderId="46" xfId="43" applyFont="1" applyFill="1" applyBorder="1" applyAlignment="1">
      <alignment horizontal="left" vertical="center" shrinkToFit="1"/>
    </xf>
    <xf numFmtId="0" fontId="51" fillId="7" borderId="46" xfId="43" applyFont="1" applyFill="1" applyBorder="1" applyAlignment="1">
      <alignment horizontal="center" vertical="center"/>
    </xf>
    <xf numFmtId="0" fontId="33" fillId="7" borderId="46" xfId="43" applyFont="1" applyFill="1" applyBorder="1" applyAlignment="1">
      <alignment horizontal="center" vertical="center"/>
    </xf>
    <xf numFmtId="41" fontId="48" fillId="0" borderId="3" xfId="36" applyFont="1" applyBorder="1" applyAlignment="1">
      <alignment horizontal="center" vertical="center"/>
    </xf>
    <xf numFmtId="0" fontId="36" fillId="0" borderId="0" xfId="43" applyFont="1" applyAlignment="1">
      <alignment vertical="center"/>
    </xf>
    <xf numFmtId="41" fontId="48" fillId="0" borderId="3" xfId="36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  <xf numFmtId="43" fontId="9" fillId="0" borderId="0" xfId="0" applyNumberFormat="1" applyFont="1" applyFill="1" applyBorder="1" applyAlignment="1">
      <alignment horizontal="center"/>
    </xf>
    <xf numFmtId="0" fontId="33" fillId="10" borderId="17" xfId="43" applyFont="1" applyFill="1" applyBorder="1" applyAlignment="1">
      <alignment horizontal="center" vertical="center"/>
    </xf>
    <xf numFmtId="0" fontId="33" fillId="4" borderId="17" xfId="43" applyFont="1" applyFill="1" applyBorder="1" applyAlignment="1">
      <alignment horizontal="center" vertical="center"/>
    </xf>
    <xf numFmtId="0" fontId="33" fillId="7" borderId="57" xfId="43" applyFont="1" applyFill="1" applyBorder="1" applyAlignment="1">
      <alignment horizontal="center" vertical="center"/>
    </xf>
    <xf numFmtId="41" fontId="51" fillId="0" borderId="3" xfId="36" applyFont="1" applyBorder="1" applyAlignment="1">
      <alignment vertical="center"/>
    </xf>
    <xf numFmtId="41" fontId="33" fillId="0" borderId="3" xfId="36" applyFont="1" applyBorder="1" applyAlignment="1">
      <alignment vertical="center"/>
    </xf>
    <xf numFmtId="43" fontId="34" fillId="0" borderId="0" xfId="43" applyNumberFormat="1" applyFont="1" applyAlignment="1">
      <alignment vertical="center"/>
    </xf>
    <xf numFmtId="0" fontId="55" fillId="0" borderId="3" xfId="43" applyFont="1" applyBorder="1" applyAlignment="1">
      <alignment horizontal="center" vertical="center"/>
    </xf>
    <xf numFmtId="0" fontId="54" fillId="0" borderId="3" xfId="43" applyFont="1" applyBorder="1" applyAlignment="1">
      <alignment vertical="center"/>
    </xf>
    <xf numFmtId="0" fontId="57" fillId="0" borderId="3" xfId="43" applyFont="1" applyBorder="1" applyAlignment="1">
      <alignment horizontal="center" vertical="center"/>
    </xf>
    <xf numFmtId="0" fontId="54" fillId="0" borderId="3" xfId="43" applyFont="1" applyBorder="1" applyAlignment="1">
      <alignment horizontal="center" vertical="center"/>
    </xf>
    <xf numFmtId="0" fontId="54" fillId="0" borderId="3" xfId="43" quotePrefix="1" applyFont="1" applyBorder="1" applyAlignment="1">
      <alignment horizontal="center" vertical="center"/>
    </xf>
    <xf numFmtId="41" fontId="48" fillId="0" borderId="3" xfId="36" applyFont="1" applyBorder="1" applyAlignment="1">
      <alignment horizontal="center" vertical="center"/>
    </xf>
    <xf numFmtId="0" fontId="35" fillId="4" borderId="3" xfId="43" applyFont="1" applyFill="1" applyBorder="1" applyAlignment="1">
      <alignment horizontal="center" vertical="center"/>
    </xf>
    <xf numFmtId="0" fontId="9" fillId="10" borderId="7" xfId="0" applyNumberFormat="1" applyFont="1" applyFill="1" applyBorder="1" applyAlignment="1">
      <alignment horizontal="center" vertical="center"/>
    </xf>
    <xf numFmtId="41" fontId="48" fillId="0" borderId="3" xfId="36" applyFont="1" applyBorder="1" applyAlignment="1">
      <alignment horizontal="center" vertical="center"/>
    </xf>
    <xf numFmtId="41" fontId="51" fillId="7" borderId="3" xfId="36" applyFont="1" applyFill="1" applyBorder="1" applyAlignment="1">
      <alignment horizontal="center" vertical="center"/>
    </xf>
    <xf numFmtId="41" fontId="48" fillId="0" borderId="3" xfId="36" applyFont="1" applyBorder="1" applyAlignment="1">
      <alignment horizontal="center" vertical="center"/>
    </xf>
    <xf numFmtId="41" fontId="9" fillId="0" borderId="0" xfId="36" applyFont="1" applyAlignment="1">
      <alignment horizontal="center"/>
    </xf>
    <xf numFmtId="41" fontId="0" fillId="0" borderId="0" xfId="36" applyFont="1" applyAlignment="1">
      <alignment horizontal="center"/>
    </xf>
    <xf numFmtId="0" fontId="34" fillId="0" borderId="3" xfId="43" applyFont="1" applyFill="1" applyBorder="1" applyAlignment="1">
      <alignment horizontal="center" vertical="center" shrinkToFit="1"/>
    </xf>
    <xf numFmtId="0" fontId="34" fillId="0" borderId="3" xfId="43" applyFont="1" applyFill="1" applyBorder="1" applyAlignment="1">
      <alignment vertical="center"/>
    </xf>
    <xf numFmtId="0" fontId="33" fillId="13" borderId="3" xfId="43" applyFont="1" applyFill="1" applyBorder="1" applyAlignment="1">
      <alignment vertical="center"/>
    </xf>
    <xf numFmtId="0" fontId="34" fillId="13" borderId="3" xfId="43" applyFont="1" applyFill="1" applyBorder="1" applyAlignment="1">
      <alignment horizontal="center" vertical="center" shrinkToFit="1"/>
    </xf>
    <xf numFmtId="181" fontId="34" fillId="13" borderId="3" xfId="36" applyNumberFormat="1" applyFont="1" applyFill="1" applyBorder="1" applyAlignment="1">
      <alignment horizontal="center" vertical="center" shrinkToFit="1"/>
    </xf>
    <xf numFmtId="0" fontId="34" fillId="13" borderId="3" xfId="43" applyFont="1" applyFill="1" applyBorder="1" applyAlignment="1">
      <alignment vertical="center"/>
    </xf>
    <xf numFmtId="41" fontId="33" fillId="13" borderId="3" xfId="36" applyFont="1" applyFill="1" applyBorder="1" applyAlignment="1">
      <alignment vertical="center"/>
    </xf>
    <xf numFmtId="188" fontId="34" fillId="13" borderId="3" xfId="43" applyNumberFormat="1" applyFont="1" applyFill="1" applyBorder="1" applyAlignment="1">
      <alignment horizontal="center" vertical="center"/>
    </xf>
    <xf numFmtId="0" fontId="51" fillId="5" borderId="3" xfId="43" applyFont="1" applyFill="1" applyBorder="1" applyAlignment="1">
      <alignment horizontal="center" vertical="center"/>
    </xf>
    <xf numFmtId="0" fontId="58" fillId="5" borderId="3" xfId="43" applyFont="1" applyFill="1" applyBorder="1" applyAlignment="1">
      <alignment horizontal="center" vertical="center"/>
    </xf>
    <xf numFmtId="0" fontId="34" fillId="0" borderId="19" xfId="43" applyFont="1" applyFill="1" applyBorder="1" applyAlignment="1">
      <alignment horizontal="left" vertical="center" shrinkToFit="1"/>
    </xf>
    <xf numFmtId="0" fontId="34" fillId="0" borderId="3" xfId="0" applyFont="1" applyFill="1" applyBorder="1" applyAlignment="1">
      <alignment horizontal="center" vertical="center"/>
    </xf>
    <xf numFmtId="0" fontId="34" fillId="0" borderId="23" xfId="43" applyFont="1" applyFill="1" applyBorder="1" applyAlignment="1">
      <alignment horizontal="center" vertical="center" shrinkToFit="1"/>
    </xf>
    <xf numFmtId="179" fontId="34" fillId="0" borderId="3" xfId="36" applyNumberFormat="1" applyFont="1" applyFill="1" applyBorder="1" applyAlignment="1">
      <alignment vertical="center"/>
    </xf>
    <xf numFmtId="41" fontId="34" fillId="0" borderId="3" xfId="43" applyNumberFormat="1" applyFont="1" applyFill="1" applyBorder="1" applyAlignment="1">
      <alignment horizontal="right" vertical="center"/>
    </xf>
    <xf numFmtId="41" fontId="34" fillId="0" borderId="36" xfId="36" applyFont="1" applyFill="1" applyBorder="1" applyAlignment="1">
      <alignment vertical="center"/>
    </xf>
    <xf numFmtId="189" fontId="34" fillId="0" borderId="3" xfId="41" applyNumberFormat="1" applyFont="1" applyFill="1" applyBorder="1" applyAlignment="1">
      <alignment horizontal="right" vertical="center"/>
    </xf>
    <xf numFmtId="41" fontId="34" fillId="0" borderId="23" xfId="43" applyNumberFormat="1" applyFont="1" applyFill="1" applyBorder="1" applyAlignment="1">
      <alignment vertical="center"/>
    </xf>
    <xf numFmtId="0" fontId="34" fillId="0" borderId="37" xfId="43" applyFont="1" applyFill="1" applyBorder="1" applyAlignment="1">
      <alignment horizontal="left" vertical="center" shrinkToFit="1"/>
    </xf>
    <xf numFmtId="41" fontId="34" fillId="0" borderId="3" xfId="36" applyFont="1" applyFill="1" applyBorder="1" applyAlignment="1">
      <alignment vertical="center"/>
    </xf>
    <xf numFmtId="41" fontId="34" fillId="0" borderId="3" xfId="43" applyNumberFormat="1" applyFont="1" applyFill="1" applyBorder="1" applyAlignment="1">
      <alignment vertical="center"/>
    </xf>
    <xf numFmtId="0" fontId="34" fillId="0" borderId="3" xfId="43" applyFont="1" applyFill="1" applyBorder="1" applyAlignment="1">
      <alignment vertical="center" shrinkToFit="1"/>
    </xf>
    <xf numFmtId="0" fontId="34" fillId="0" borderId="17" xfId="43" applyFont="1" applyFill="1" applyBorder="1" applyAlignment="1">
      <alignment horizontal="center" vertical="center" shrinkToFit="1"/>
    </xf>
    <xf numFmtId="190" fontId="34" fillId="0" borderId="3" xfId="36" applyNumberFormat="1" applyFont="1" applyFill="1" applyBorder="1" applyAlignment="1">
      <alignment vertical="center"/>
    </xf>
    <xf numFmtId="181" fontId="34" fillId="0" borderId="3" xfId="36" applyNumberFormat="1" applyFont="1" applyFill="1" applyBorder="1" applyAlignment="1">
      <alignment vertical="center"/>
    </xf>
    <xf numFmtId="179" fontId="37" fillId="0" borderId="3" xfId="36" applyNumberFormat="1" applyFont="1" applyFill="1" applyBorder="1" applyAlignment="1">
      <alignment vertical="center"/>
    </xf>
    <xf numFmtId="41" fontId="34" fillId="0" borderId="3" xfId="36" applyFont="1" applyFill="1" applyBorder="1" applyAlignment="1">
      <alignment horizontal="center" vertical="center"/>
    </xf>
    <xf numFmtId="41" fontId="33" fillId="0" borderId="3" xfId="36" applyFont="1" applyFill="1" applyBorder="1" applyAlignment="1">
      <alignment horizontal="center" vertical="center"/>
    </xf>
    <xf numFmtId="179" fontId="34" fillId="0" borderId="3" xfId="43" applyNumberFormat="1" applyFont="1" applyFill="1" applyBorder="1" applyAlignment="1">
      <alignment vertical="center"/>
    </xf>
    <xf numFmtId="191" fontId="34" fillId="0" borderId="3" xfId="36" applyNumberFormat="1" applyFont="1" applyFill="1" applyBorder="1" applyAlignment="1">
      <alignment vertical="center"/>
    </xf>
    <xf numFmtId="0" fontId="34" fillId="10" borderId="19" xfId="43" applyFont="1" applyFill="1" applyBorder="1" applyAlignment="1">
      <alignment horizontal="left" vertical="center" shrinkToFit="1"/>
    </xf>
    <xf numFmtId="0" fontId="34" fillId="10" borderId="3" xfId="0" applyFont="1" applyFill="1" applyBorder="1" applyAlignment="1">
      <alignment horizontal="center" vertical="center"/>
    </xf>
    <xf numFmtId="0" fontId="34" fillId="10" borderId="23" xfId="43" applyFont="1" applyFill="1" applyBorder="1" applyAlignment="1">
      <alignment horizontal="center" vertical="center" shrinkToFit="1"/>
    </xf>
    <xf numFmtId="0" fontId="34" fillId="10" borderId="3" xfId="43" applyFont="1" applyFill="1" applyBorder="1" applyAlignment="1">
      <alignment vertical="center"/>
    </xf>
    <xf numFmtId="179" fontId="34" fillId="10" borderId="3" xfId="36" applyNumberFormat="1" applyFont="1" applyFill="1" applyBorder="1" applyAlignment="1">
      <alignment horizontal="center" vertical="center"/>
    </xf>
    <xf numFmtId="179" fontId="34" fillId="10" borderId="3" xfId="36" applyNumberFormat="1" applyFont="1" applyFill="1" applyBorder="1" applyAlignment="1">
      <alignment vertical="center"/>
    </xf>
    <xf numFmtId="41" fontId="34" fillId="10" borderId="3" xfId="43" applyNumberFormat="1" applyFont="1" applyFill="1" applyBorder="1" applyAlignment="1">
      <alignment horizontal="right" vertical="center"/>
    </xf>
    <xf numFmtId="41" fontId="34" fillId="10" borderId="36" xfId="36" applyFont="1" applyFill="1" applyBorder="1" applyAlignment="1">
      <alignment vertical="center"/>
    </xf>
    <xf numFmtId="189" fontId="34" fillId="10" borderId="3" xfId="41" applyNumberFormat="1" applyFont="1" applyFill="1" applyBorder="1" applyAlignment="1">
      <alignment horizontal="right" vertical="center"/>
    </xf>
    <xf numFmtId="41" fontId="34" fillId="10" borderId="23" xfId="43" applyNumberFormat="1" applyFont="1" applyFill="1" applyBorder="1" applyAlignment="1">
      <alignment vertical="center"/>
    </xf>
    <xf numFmtId="0" fontId="9" fillId="0" borderId="5" xfId="0" applyFont="1" applyFill="1" applyBorder="1" applyAlignment="1">
      <alignment vertical="center"/>
    </xf>
    <xf numFmtId="0" fontId="9" fillId="0" borderId="5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47" fillId="0" borderId="0" xfId="0" applyNumberFormat="1" applyFont="1" applyFill="1" applyBorder="1" applyAlignment="1">
      <alignment horizontal="center" vertical="center"/>
    </xf>
    <xf numFmtId="0" fontId="47" fillId="0" borderId="0" xfId="0" applyNumberFormat="1" applyFont="1" applyFill="1" applyBorder="1" applyAlignment="1">
      <alignment horizontal="center" vertical="center" wrapText="1"/>
    </xf>
    <xf numFmtId="0" fontId="9" fillId="5" borderId="58" xfId="0" applyFont="1" applyFill="1" applyBorder="1" applyAlignment="1">
      <alignment horizontal="left" vertical="center"/>
    </xf>
    <xf numFmtId="0" fontId="9" fillId="5" borderId="59" xfId="0" applyFont="1" applyFill="1" applyBorder="1" applyAlignment="1">
      <alignment horizontal="left" vertical="center"/>
    </xf>
    <xf numFmtId="0" fontId="9" fillId="5" borderId="39" xfId="41" applyNumberFormat="1" applyFont="1" applyFill="1" applyBorder="1" applyAlignment="1">
      <alignment horizontal="left" vertical="center"/>
    </xf>
    <xf numFmtId="41" fontId="47" fillId="11" borderId="53" xfId="36" applyFont="1" applyFill="1" applyBorder="1" applyAlignment="1">
      <alignment horizontal="center" vertical="center"/>
    </xf>
    <xf numFmtId="0" fontId="33" fillId="7" borderId="46" xfId="43" applyFont="1" applyFill="1" applyBorder="1" applyAlignment="1">
      <alignment horizontal="center" vertical="center"/>
    </xf>
    <xf numFmtId="0" fontId="33" fillId="7" borderId="45" xfId="43" applyFont="1" applyFill="1" applyBorder="1" applyAlignment="1">
      <alignment horizontal="center" vertical="center"/>
    </xf>
    <xf numFmtId="41" fontId="48" fillId="0" borderId="3" xfId="36" applyFont="1" applyBorder="1" applyAlignment="1">
      <alignment horizontal="center" vertical="center"/>
    </xf>
    <xf numFmtId="41" fontId="48" fillId="0" borderId="3" xfId="36" applyFont="1" applyBorder="1" applyAlignment="1">
      <alignment horizontal="center" vertical="center"/>
    </xf>
    <xf numFmtId="192" fontId="34" fillId="0" borderId="0" xfId="43" applyNumberFormat="1" applyFont="1" applyAlignment="1">
      <alignment vertical="center"/>
    </xf>
    <xf numFmtId="0" fontId="34" fillId="0" borderId="3" xfId="43" quotePrefix="1" applyFont="1" applyBorder="1" applyAlignment="1">
      <alignment horizontal="center" vertical="center"/>
    </xf>
    <xf numFmtId="0" fontId="59" fillId="0" borderId="0" xfId="43" applyFont="1" applyAlignment="1">
      <alignment horizontal="center" vertical="center"/>
    </xf>
    <xf numFmtId="41" fontId="60" fillId="0" borderId="0" xfId="36" applyFont="1" applyAlignment="1">
      <alignment horizontal="left" vertical="center"/>
    </xf>
    <xf numFmtId="0" fontId="61" fillId="0" borderId="0" xfId="43" applyFont="1" applyAlignment="1">
      <alignment horizontal="center" vertical="center"/>
    </xf>
    <xf numFmtId="41" fontId="54" fillId="0" borderId="3" xfId="36" applyFont="1" applyBorder="1" applyAlignment="1">
      <alignment vertical="center"/>
    </xf>
    <xf numFmtId="41" fontId="62" fillId="0" borderId="3" xfId="36" applyFont="1" applyBorder="1" applyAlignment="1">
      <alignment horizontal="center" vertical="center"/>
    </xf>
    <xf numFmtId="0" fontId="64" fillId="0" borderId="3" xfId="43" applyFont="1" applyBorder="1" applyAlignment="1">
      <alignment horizontal="center" vertical="center"/>
    </xf>
    <xf numFmtId="0" fontId="55" fillId="0" borderId="0" xfId="43" applyFont="1" applyAlignment="1">
      <alignment vertical="center"/>
    </xf>
    <xf numFmtId="0" fontId="63" fillId="0" borderId="0" xfId="43" applyFont="1" applyAlignment="1">
      <alignment vertical="center"/>
    </xf>
    <xf numFmtId="0" fontId="55" fillId="0" borderId="0" xfId="43" applyFont="1" applyAlignment="1">
      <alignment horizontal="center" vertical="center"/>
    </xf>
    <xf numFmtId="43" fontId="33" fillId="0" borderId="3" xfId="36" applyNumberFormat="1" applyFont="1" applyBorder="1" applyAlignment="1">
      <alignment horizontal="center" vertical="center"/>
    </xf>
    <xf numFmtId="0" fontId="55" fillId="0" borderId="3" xfId="43" applyFont="1" applyBorder="1" applyAlignment="1">
      <alignment horizontal="left" vertical="center"/>
    </xf>
    <xf numFmtId="0" fontId="33" fillId="7" borderId="46" xfId="43" applyFont="1" applyFill="1" applyBorder="1" applyAlignment="1">
      <alignment horizontal="center" vertical="center" shrinkToFit="1"/>
    </xf>
    <xf numFmtId="0" fontId="65" fillId="7" borderId="46" xfId="43" applyFont="1" applyFill="1" applyBorder="1" applyAlignment="1">
      <alignment horizontal="center" vertical="center" wrapText="1" shrinkToFit="1"/>
    </xf>
    <xf numFmtId="0" fontId="9" fillId="5" borderId="62" xfId="41" applyNumberFormat="1" applyFont="1" applyFill="1" applyBorder="1" applyAlignment="1">
      <alignment horizontal="left" vertical="center"/>
    </xf>
    <xf numFmtId="41" fontId="9" fillId="10" borderId="62" xfId="36" applyFont="1" applyFill="1" applyBorder="1" applyAlignment="1">
      <alignment horizontal="center" vertical="center"/>
    </xf>
    <xf numFmtId="0" fontId="9" fillId="5" borderId="7" xfId="41" applyNumberFormat="1" applyFont="1" applyFill="1" applyBorder="1" applyAlignment="1">
      <alignment horizontal="left" vertical="center"/>
    </xf>
    <xf numFmtId="41" fontId="9" fillId="10" borderId="7" xfId="36" applyFont="1" applyFill="1" applyBorder="1" applyAlignment="1">
      <alignment horizontal="center" vertical="center"/>
    </xf>
    <xf numFmtId="0" fontId="33" fillId="7" borderId="46" xfId="43" applyFont="1" applyFill="1" applyBorder="1" applyAlignment="1">
      <alignment horizontal="center" vertical="center"/>
    </xf>
    <xf numFmtId="0" fontId="33" fillId="7" borderId="45" xfId="43" applyFont="1" applyFill="1" applyBorder="1" applyAlignment="1">
      <alignment horizontal="center" vertical="center"/>
    </xf>
    <xf numFmtId="41" fontId="48" fillId="0" borderId="3" xfId="36" applyFont="1" applyBorder="1" applyAlignment="1">
      <alignment horizontal="center" vertical="center"/>
    </xf>
    <xf numFmtId="0" fontId="59" fillId="0" borderId="63" xfId="43" applyFont="1" applyBorder="1" applyAlignment="1">
      <alignment vertical="center"/>
    </xf>
    <xf numFmtId="0" fontId="59" fillId="0" borderId="63" xfId="43" applyFont="1" applyBorder="1" applyAlignment="1">
      <alignment horizontal="center" vertical="center"/>
    </xf>
    <xf numFmtId="41" fontId="59" fillId="7" borderId="63" xfId="36" applyFont="1" applyFill="1" applyBorder="1" applyAlignment="1">
      <alignment horizontal="center" vertical="center"/>
    </xf>
    <xf numFmtId="0" fontId="59" fillId="0" borderId="0" xfId="43" applyFont="1" applyAlignment="1">
      <alignment vertical="center"/>
    </xf>
    <xf numFmtId="0" fontId="59" fillId="7" borderId="63" xfId="43" applyFont="1" applyFill="1" applyBorder="1" applyAlignment="1">
      <alignment horizontal="center" vertical="center"/>
    </xf>
    <xf numFmtId="0" fontId="34" fillId="0" borderId="63" xfId="43" applyFont="1" applyBorder="1" applyAlignment="1">
      <alignment horizontal="center" vertical="center"/>
    </xf>
    <xf numFmtId="0" fontId="54" fillId="0" borderId="3" xfId="43" applyFont="1" applyFill="1" applyBorder="1" applyAlignment="1">
      <alignment vertical="center" shrinkToFit="1"/>
    </xf>
    <xf numFmtId="0" fontId="54" fillId="0" borderId="3" xfId="43" applyFont="1" applyFill="1" applyBorder="1" applyAlignment="1">
      <alignment horizontal="center" vertical="center" shrinkToFit="1"/>
    </xf>
    <xf numFmtId="0" fontId="54" fillId="0" borderId="3" xfId="43" applyFont="1" applyFill="1" applyBorder="1" applyAlignment="1">
      <alignment vertical="center"/>
    </xf>
    <xf numFmtId="190" fontId="54" fillId="0" borderId="3" xfId="36" applyNumberFormat="1" applyFont="1" applyFill="1" applyBorder="1" applyAlignment="1">
      <alignment vertical="center"/>
    </xf>
    <xf numFmtId="179" fontId="54" fillId="0" borderId="3" xfId="36" applyNumberFormat="1" applyFont="1" applyFill="1" applyBorder="1" applyAlignment="1">
      <alignment vertical="center"/>
    </xf>
    <xf numFmtId="189" fontId="54" fillId="0" borderId="3" xfId="41" applyNumberFormat="1" applyFont="1" applyFill="1" applyBorder="1" applyAlignment="1">
      <alignment horizontal="right" vertical="center"/>
    </xf>
    <xf numFmtId="41" fontId="54" fillId="0" borderId="3" xfId="36" applyFont="1" applyFill="1" applyBorder="1" applyAlignment="1">
      <alignment vertical="center"/>
    </xf>
    <xf numFmtId="41" fontId="54" fillId="0" borderId="3" xfId="43" applyNumberFormat="1" applyFont="1" applyFill="1" applyBorder="1" applyAlignment="1">
      <alignment vertical="center"/>
    </xf>
    <xf numFmtId="191" fontId="54" fillId="0" borderId="3" xfId="36" applyNumberFormat="1" applyFont="1" applyFill="1" applyBorder="1" applyAlignment="1">
      <alignment vertical="center"/>
    </xf>
    <xf numFmtId="181" fontId="54" fillId="0" borderId="3" xfId="36" applyNumberFormat="1" applyFont="1" applyFill="1" applyBorder="1" applyAlignment="1">
      <alignment vertical="center"/>
    </xf>
    <xf numFmtId="41" fontId="54" fillId="0" borderId="3" xfId="43" applyNumberFormat="1" applyFont="1" applyFill="1" applyBorder="1" applyAlignment="1">
      <alignment horizontal="right" vertical="center"/>
    </xf>
    <xf numFmtId="41" fontId="34" fillId="0" borderId="0" xfId="43" applyNumberFormat="1" applyFont="1" applyAlignment="1">
      <alignment vertical="center"/>
    </xf>
    <xf numFmtId="0" fontId="54" fillId="4" borderId="3" xfId="43" applyFont="1" applyFill="1" applyBorder="1" applyAlignment="1">
      <alignment horizontal="center" vertical="center"/>
    </xf>
    <xf numFmtId="41" fontId="51" fillId="0" borderId="3" xfId="36" applyFont="1" applyFill="1" applyBorder="1" applyAlignment="1">
      <alignment horizontal="center" vertical="center"/>
    </xf>
    <xf numFmtId="179" fontId="54" fillId="0" borderId="3" xfId="43" applyNumberFormat="1" applyFont="1" applyFill="1" applyBorder="1" applyAlignment="1">
      <alignment vertical="center"/>
    </xf>
    <xf numFmtId="0" fontId="33" fillId="7" borderId="46" xfId="43" applyFont="1" applyFill="1" applyBorder="1" applyAlignment="1">
      <alignment horizontal="center" vertical="center"/>
    </xf>
    <xf numFmtId="0" fontId="33" fillId="7" borderId="45" xfId="43" applyFont="1" applyFill="1" applyBorder="1" applyAlignment="1">
      <alignment horizontal="center" vertical="center"/>
    </xf>
    <xf numFmtId="41" fontId="48" fillId="0" borderId="3" xfId="36" applyFont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47" fillId="7" borderId="56" xfId="0" applyNumberFormat="1" applyFont="1" applyFill="1" applyBorder="1" applyAlignment="1">
      <alignment horizontal="left" vertical="center" wrapText="1"/>
    </xf>
    <xf numFmtId="0" fontId="47" fillId="7" borderId="13" xfId="0" applyNumberFormat="1" applyFont="1" applyFill="1" applyBorder="1" applyAlignment="1">
      <alignment horizontal="left" vertical="center" wrapText="1"/>
    </xf>
    <xf numFmtId="0" fontId="49" fillId="0" borderId="0" xfId="0" applyFont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44" fillId="0" borderId="19" xfId="0" applyFont="1" applyFill="1" applyBorder="1" applyAlignment="1">
      <alignment horizontal="center" vertical="center" wrapText="1" shrinkToFit="1"/>
    </xf>
    <xf numFmtId="0" fontId="44" fillId="0" borderId="17" xfId="0" applyFont="1" applyFill="1" applyBorder="1" applyAlignment="1">
      <alignment horizontal="center" vertical="center" wrapText="1" shrinkToFit="1"/>
    </xf>
    <xf numFmtId="189" fontId="0" fillId="0" borderId="19" xfId="0" applyNumberFormat="1" applyFill="1" applyBorder="1" applyAlignment="1">
      <alignment horizontal="center" vertical="center"/>
    </xf>
    <xf numFmtId="189" fontId="0" fillId="0" borderId="17" xfId="0" applyNumberFormat="1" applyFill="1" applyBorder="1" applyAlignment="1">
      <alignment horizontal="center" vertical="center"/>
    </xf>
    <xf numFmtId="0" fontId="44" fillId="0" borderId="27" xfId="0" applyFont="1" applyFill="1" applyBorder="1" applyAlignment="1">
      <alignment horizontal="center" vertical="center" wrapText="1" shrinkToFit="1"/>
    </xf>
    <xf numFmtId="0" fontId="44" fillId="0" borderId="40" xfId="0" applyFont="1" applyBorder="1" applyAlignment="1">
      <alignment horizontal="center" vertical="center" wrapText="1" shrinkToFit="1"/>
    </xf>
    <xf numFmtId="0" fontId="44" fillId="8" borderId="19" xfId="0" applyFont="1" applyFill="1" applyBorder="1" applyAlignment="1">
      <alignment horizontal="center" vertical="center" wrapText="1"/>
    </xf>
    <xf numFmtId="0" fontId="44" fillId="8" borderId="27" xfId="0" applyFont="1" applyFill="1" applyBorder="1" applyAlignment="1">
      <alignment horizontal="center" vertical="center" wrapText="1"/>
    </xf>
    <xf numFmtId="0" fontId="44" fillId="8" borderId="40" xfId="0" applyFont="1" applyFill="1" applyBorder="1" applyAlignment="1">
      <alignment horizontal="center" vertical="center" wrapText="1"/>
    </xf>
    <xf numFmtId="0" fontId="44" fillId="8" borderId="19" xfId="0" applyFont="1" applyFill="1" applyBorder="1" applyAlignment="1">
      <alignment horizontal="center" vertical="center" wrapText="1" shrinkToFit="1"/>
    </xf>
    <xf numFmtId="0" fontId="44" fillId="8" borderId="17" xfId="0" applyFont="1" applyFill="1" applyBorder="1" applyAlignment="1">
      <alignment horizontal="center" vertical="center" wrapText="1" shrinkToFit="1"/>
    </xf>
    <xf numFmtId="0" fontId="0" fillId="0" borderId="19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41" fontId="51" fillId="0" borderId="36" xfId="36" applyFont="1" applyBorder="1" applyAlignment="1">
      <alignment horizontal="center" vertical="center"/>
    </xf>
    <xf numFmtId="41" fontId="51" fillId="0" borderId="2" xfId="36" applyFont="1" applyBorder="1" applyAlignment="1">
      <alignment horizontal="center" vertical="center"/>
    </xf>
    <xf numFmtId="41" fontId="51" fillId="0" borderId="23" xfId="36" applyFont="1" applyBorder="1" applyAlignment="1">
      <alignment horizontal="center" vertical="center"/>
    </xf>
    <xf numFmtId="0" fontId="40" fillId="7" borderId="42" xfId="43" applyFont="1" applyFill="1" applyBorder="1" applyAlignment="1">
      <alignment horizontal="center" vertical="center"/>
    </xf>
    <xf numFmtId="0" fontId="40" fillId="7" borderId="43" xfId="43" applyFont="1" applyFill="1" applyBorder="1" applyAlignment="1">
      <alignment horizontal="center" vertical="center"/>
    </xf>
    <xf numFmtId="0" fontId="40" fillId="7" borderId="44" xfId="43" applyFont="1" applyFill="1" applyBorder="1" applyAlignment="1">
      <alignment horizontal="center" vertical="center"/>
    </xf>
    <xf numFmtId="0" fontId="33" fillId="7" borderId="47" xfId="43" applyFont="1" applyFill="1" applyBorder="1" applyAlignment="1">
      <alignment horizontal="center" vertical="center"/>
    </xf>
    <xf numFmtId="0" fontId="33" fillId="7" borderId="46" xfId="43" applyFont="1" applyFill="1" applyBorder="1" applyAlignment="1">
      <alignment horizontal="center" vertical="center"/>
    </xf>
    <xf numFmtId="0" fontId="33" fillId="7" borderId="45" xfId="43" applyFont="1" applyFill="1" applyBorder="1" applyAlignment="1">
      <alignment horizontal="center" vertical="center"/>
    </xf>
    <xf numFmtId="41" fontId="50" fillId="0" borderId="23" xfId="36" applyFont="1" applyBorder="1" applyAlignment="1">
      <alignment horizontal="center" vertical="center"/>
    </xf>
    <xf numFmtId="41" fontId="48" fillId="0" borderId="3" xfId="36" applyFont="1" applyBorder="1" applyAlignment="1">
      <alignment horizontal="center" vertical="center"/>
    </xf>
    <xf numFmtId="41" fontId="33" fillId="0" borderId="36" xfId="36" applyFont="1" applyBorder="1" applyAlignment="1">
      <alignment horizontal="center" vertical="center"/>
    </xf>
    <xf numFmtId="41" fontId="33" fillId="0" borderId="2" xfId="36" applyFont="1" applyBorder="1" applyAlignment="1">
      <alignment horizontal="center" vertical="center"/>
    </xf>
    <xf numFmtId="41" fontId="33" fillId="0" borderId="23" xfId="36" applyFont="1" applyBorder="1" applyAlignment="1">
      <alignment horizontal="center" vertical="center"/>
    </xf>
    <xf numFmtId="0" fontId="33" fillId="7" borderId="60" xfId="43" applyFont="1" applyFill="1" applyBorder="1" applyAlignment="1">
      <alignment horizontal="center" vertical="center"/>
    </xf>
    <xf numFmtId="0" fontId="33" fillId="7" borderId="61" xfId="43" applyFont="1" applyFill="1" applyBorder="1" applyAlignment="1">
      <alignment horizontal="center" vertical="center"/>
    </xf>
    <xf numFmtId="0" fontId="59" fillId="14" borderId="63" xfId="43" applyFont="1" applyFill="1" applyBorder="1" applyAlignment="1">
      <alignment horizontal="center" vertical="center"/>
    </xf>
    <xf numFmtId="14" fontId="59" fillId="14" borderId="63" xfId="43" applyNumberFormat="1" applyFont="1" applyFill="1" applyBorder="1" applyAlignment="1">
      <alignment horizontal="center" vertical="center"/>
    </xf>
    <xf numFmtId="41" fontId="50" fillId="0" borderId="3" xfId="36" applyFont="1" applyBorder="1" applyAlignment="1">
      <alignment horizontal="center" vertical="center"/>
    </xf>
  </cellXfs>
  <cellStyles count="44">
    <cellStyle name="Body" xfId="1" xr:uid="{00000000-0005-0000-0000-000000000000}"/>
    <cellStyle name="C￥AØ_¿μ¾÷CoE² " xfId="2" xr:uid="{00000000-0005-0000-0000-000001000000}"/>
    <cellStyle name="Comma" xfId="3" xr:uid="{00000000-0005-0000-0000-000002000000}"/>
    <cellStyle name="Comma [0]" xfId="4" xr:uid="{00000000-0005-0000-0000-000003000000}"/>
    <cellStyle name="Comma_ SG&amp;A Bridge " xfId="5" xr:uid="{00000000-0005-0000-0000-000004000000}"/>
    <cellStyle name="Comma0" xfId="6" xr:uid="{00000000-0005-0000-0000-000005000000}"/>
    <cellStyle name="Currency" xfId="7" xr:uid="{00000000-0005-0000-0000-000006000000}"/>
    <cellStyle name="Currency [0]" xfId="8" xr:uid="{00000000-0005-0000-0000-000007000000}"/>
    <cellStyle name="Currency_ SG&amp;A Bridge " xfId="9" xr:uid="{00000000-0005-0000-0000-000008000000}"/>
    <cellStyle name="Currency0" xfId="10" xr:uid="{00000000-0005-0000-0000-000009000000}"/>
    <cellStyle name="Date" xfId="11" xr:uid="{00000000-0005-0000-0000-00000A000000}"/>
    <cellStyle name="Euro" xfId="12" xr:uid="{00000000-0005-0000-0000-00000B000000}"/>
    <cellStyle name="Fixed" xfId="13" xr:uid="{00000000-0005-0000-0000-00000C000000}"/>
    <cellStyle name="Grey" xfId="14" xr:uid="{00000000-0005-0000-0000-00000D000000}"/>
    <cellStyle name="Header1" xfId="15" xr:uid="{00000000-0005-0000-0000-00000E000000}"/>
    <cellStyle name="Header2" xfId="16" xr:uid="{00000000-0005-0000-0000-00000F000000}"/>
    <cellStyle name="Heading 1" xfId="17" xr:uid="{00000000-0005-0000-0000-000010000000}"/>
    <cellStyle name="Heading 2" xfId="18" xr:uid="{00000000-0005-0000-0000-000011000000}"/>
    <cellStyle name="Input [yellow]" xfId="19" xr:uid="{00000000-0005-0000-0000-000012000000}"/>
    <cellStyle name="KIB" xfId="20" xr:uid="{00000000-0005-0000-0000-000013000000}"/>
    <cellStyle name="Milliers [0]_AR1194" xfId="21" xr:uid="{00000000-0005-0000-0000-000014000000}"/>
    <cellStyle name="Milliers_AR1194" xfId="22" xr:uid="{00000000-0005-0000-0000-000015000000}"/>
    <cellStyle name="Monétaire [0]_AR1194" xfId="23" xr:uid="{00000000-0005-0000-0000-000016000000}"/>
    <cellStyle name="Monétaire_AR1194" xfId="24" xr:uid="{00000000-0005-0000-0000-000017000000}"/>
    <cellStyle name="no dec" xfId="25" xr:uid="{00000000-0005-0000-0000-000018000000}"/>
    <cellStyle name="normal" xfId="26" xr:uid="{00000000-0005-0000-0000-000019000000}"/>
    <cellStyle name="Normal - Style1" xfId="27" xr:uid="{00000000-0005-0000-0000-00001A000000}"/>
    <cellStyle name="Normal_ SG&amp;A Bridge " xfId="28" xr:uid="{00000000-0005-0000-0000-00001B000000}"/>
    <cellStyle name="Percent" xfId="29" xr:uid="{00000000-0005-0000-0000-00001C000000}"/>
    <cellStyle name="Percent [2]" xfId="30" xr:uid="{00000000-0005-0000-0000-00001D000000}"/>
    <cellStyle name="PERCENTAGE" xfId="31" xr:uid="{00000000-0005-0000-0000-00001E000000}"/>
    <cellStyle name="Red Title" xfId="32" xr:uid="{00000000-0005-0000-0000-00001F000000}"/>
    <cellStyle name="Title" xfId="33" xr:uid="{00000000-0005-0000-0000-000020000000}"/>
    <cellStyle name="Total" xfId="34" xr:uid="{00000000-0005-0000-0000-000021000000}"/>
    <cellStyle name="뷭?_BOOKSHIP" xfId="35" xr:uid="{00000000-0005-0000-0000-000022000000}"/>
    <cellStyle name="쉼표 [0]" xfId="36" builtinId="6"/>
    <cellStyle name="쉼표 [0] 2" xfId="37" xr:uid="{00000000-0005-0000-0000-000024000000}"/>
    <cellStyle name="콤마 [0]_#16" xfId="38" xr:uid="{00000000-0005-0000-0000-000025000000}"/>
    <cellStyle name="콤마_#16" xfId="39" xr:uid="{00000000-0005-0000-0000-000026000000}"/>
    <cellStyle name="표준" xfId="0" builtinId="0"/>
    <cellStyle name="표준 2" xfId="40" xr:uid="{00000000-0005-0000-0000-000028000000}"/>
    <cellStyle name="표준_계장MOV BM" xfId="41" xr:uid="{00000000-0005-0000-0000-000029000000}"/>
    <cellStyle name="標準_物性値_1" xfId="42" xr:uid="{00000000-0005-0000-0000-00002A000000}"/>
    <cellStyle name="표준_원가분석-RASLAFFAN-AB2" xfId="43" xr:uid="{00000000-0005-0000-0000-00002B000000}"/>
  </cellStyles>
  <dxfs count="0"/>
  <tableStyles count="0" defaultTableStyle="TableStyleMedium9" defaultPivotStyle="PivotStyleLight16"/>
  <colors>
    <mruColors>
      <color rgb="FFE98BFF"/>
      <color rgb="FFCC00FF"/>
      <color rgb="FFD0FC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theme" Target="theme/theme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externalLink" Target="externalLinks/externalLink2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externalLink" Target="externalLinks/externalLink1.xml" /><Relationship Id="rId37" Type="http://schemas.openxmlformats.org/officeDocument/2006/relationships/calcChain" Target="calcChain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haredStrings" Target="sharedString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styles" Target="style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119743</xdr:colOff>
      <xdr:row>6</xdr:row>
      <xdr:rowOff>0</xdr:rowOff>
    </xdr:to>
    <xdr:sp macro="" textlink="">
      <xdr:nvSpPr>
        <xdr:cNvPr id="2196" name="AutoShape 2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980229" cy="1045029"/>
        </a:xfrm>
        <a:prstGeom prst="ribbon2">
          <a:avLst>
            <a:gd name="adj1" fmla="val 12500"/>
            <a:gd name="adj2" fmla="val 50000"/>
          </a:avLst>
        </a:prstGeom>
        <a:solidFill>
          <a:srgbClr val="FFFFCC">
            <a:alpha val="61960"/>
          </a:srgbClr>
        </a:solidFill>
        <a:ln w="9525">
          <a:solidFill>
            <a:srgbClr val="800080"/>
          </a:solidFill>
          <a:prstDash val="lgDash"/>
          <a:round/>
          <a:headEnd/>
          <a:tailEnd/>
        </a:ln>
      </xdr:spPr>
    </xdr:sp>
    <xdr:clientData/>
  </xdr:twoCellAnchor>
  <xdr:twoCellAnchor>
    <xdr:from>
      <xdr:col>2</xdr:col>
      <xdr:colOff>1094094</xdr:colOff>
      <xdr:row>0</xdr:row>
      <xdr:rowOff>121285</xdr:rowOff>
    </xdr:from>
    <xdr:to>
      <xdr:col>8</xdr:col>
      <xdr:colOff>738947</xdr:colOff>
      <xdr:row>4</xdr:row>
      <xdr:rowOff>99253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4163865" y="121285"/>
          <a:ext cx="7515225" cy="674654"/>
        </a:xfrm>
        <a:prstGeom prst="flowChartProcess">
          <a:avLst/>
        </a:prstGeom>
        <a:solidFill>
          <a:srgbClr val="FFFFCC">
            <a:alpha val="70000"/>
          </a:srgbClr>
        </a:solidFill>
        <a:ln>
          <a:noFill/>
        </a:ln>
      </xdr:spPr>
      <xdr:txBody>
        <a:bodyPr vertOverflow="clip" wrap="square" lIns="54864" tIns="32004" rIns="54864" bIns="0" anchor="t" upright="1"/>
        <a:lstStyle/>
        <a:p>
          <a:pPr algn="ctr" rtl="0">
            <a:lnSpc>
              <a:spcPts val="2200"/>
            </a:lnSpc>
            <a:defRPr sz="1000"/>
          </a:pPr>
          <a:r>
            <a:rPr lang="en-US" altLang="ko-KR" sz="1800" b="1" i="0" u="none" strike="noStrike" baseline="0">
              <a:solidFill>
                <a:srgbClr val="808000"/>
              </a:solidFill>
              <a:latin typeface="돋움"/>
              <a:ea typeface="돋움"/>
            </a:rPr>
            <a:t>2021 Concentric Valve</a:t>
          </a:r>
        </a:p>
        <a:p>
          <a:pPr algn="ctr" rtl="0">
            <a:lnSpc>
              <a:spcPts val="2200"/>
            </a:lnSpc>
            <a:defRPr sz="1000"/>
          </a:pPr>
          <a:r>
            <a:rPr lang="en-US" altLang="ko-KR" sz="1800" b="1" i="0" u="none" strike="noStrike" baseline="0">
              <a:solidFill>
                <a:srgbClr val="808000"/>
              </a:solidFill>
              <a:latin typeface="돋움"/>
              <a:ea typeface="돋움"/>
            </a:rPr>
            <a:t>#150 </a:t>
          </a:r>
          <a:r>
            <a:rPr lang="ko-KR" altLang="en-US" sz="1800" b="1" i="0" u="none" strike="noStrike" baseline="0">
              <a:solidFill>
                <a:srgbClr val="808000"/>
              </a:solidFill>
              <a:latin typeface="돋움"/>
              <a:ea typeface="돋움"/>
            </a:rPr>
            <a:t>원가분석표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EKI&#51060;&#51333;&#47749;/&#49900;&#44221;&#49453;/My%20Documents/Jebel%20Ali%20KII/MOBIL.xls" TargetMode="External" 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0.CONCENTRIC_&#50896;&#44032;TABLE(REV.4)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L"/>
      <sheetName val="기능공"/>
      <sheetName val="기능공 (3)"/>
      <sheetName val="연도별 자금"/>
      <sheetName val="월별자금"/>
      <sheetName val="기능공 (2)"/>
      <sheetName val="LOAD"/>
      <sheetName val="100A"/>
      <sheetName val="125A"/>
      <sheetName val="150A"/>
      <sheetName val="200A"/>
      <sheetName val="250A"/>
      <sheetName val="300A"/>
      <sheetName val="350A"/>
      <sheetName val="400A"/>
      <sheetName val="450A"/>
      <sheetName val="500A"/>
      <sheetName val="550A"/>
      <sheetName val="600A"/>
      <sheetName val="650A"/>
      <sheetName val="700A"/>
      <sheetName val="750A"/>
      <sheetName val="800A"/>
      <sheetName val="850A"/>
      <sheetName val="900A"/>
      <sheetName val="950A"/>
      <sheetName val="1000A"/>
      <sheetName val="1050A"/>
      <sheetName val="1100A"/>
      <sheetName val="1200A"/>
      <sheetName val="1300A"/>
      <sheetName val="1400A"/>
      <sheetName val="1500A"/>
      <sheetName val="1600A"/>
      <sheetName val="1700A"/>
      <sheetName val="1800A"/>
      <sheetName val="1900A"/>
      <sheetName val="1950A"/>
      <sheetName val="2000A"/>
      <sheetName val="2100A"/>
      <sheetName val="2250A"/>
      <sheetName val="2500A"/>
      <sheetName val="h-013211-2"/>
      <sheetName val="A7"/>
      <sheetName val="MOBIL"/>
      <sheetName val="Reference"/>
      <sheetName val="Eq. Mobilization"/>
      <sheetName val="COVER"/>
      <sheetName val="영업2"/>
      <sheetName val="영업3"/>
      <sheetName val="Sheet1"/>
      <sheetName val="DRUM"/>
      <sheetName val="대비표"/>
      <sheetName val="집계표(OPTION)"/>
      <sheetName val="Sheet2"/>
      <sheetName val="물량"/>
      <sheetName val="은행"/>
      <sheetName val="ENE-CAL"/>
      <sheetName val="실행(ALT1)"/>
      <sheetName val="토목주소"/>
      <sheetName val="프랜트면허"/>
      <sheetName val="잡철물"/>
      <sheetName val="시화점실행"/>
      <sheetName val="CAL1"/>
      <sheetName val="배명(단가)"/>
      <sheetName val="CB"/>
      <sheetName val="집계표"/>
      <sheetName val="Labour Norms"/>
      <sheetName val="Hot Pipe Rem Rep New"/>
      <sheetName val="Cold Pipe Rem Rep New"/>
    </sheetNames>
    <sheetDataSet>
      <sheetData sheetId="0" refreshError="1">
        <row r="6">
          <cell r="G6">
            <v>1</v>
          </cell>
          <cell r="H6">
            <v>2</v>
          </cell>
          <cell r="I6">
            <v>3</v>
          </cell>
          <cell r="J6">
            <v>4</v>
          </cell>
          <cell r="K6">
            <v>5</v>
          </cell>
          <cell r="L6">
            <v>6</v>
          </cell>
          <cell r="M6">
            <v>7</v>
          </cell>
          <cell r="N6">
            <v>8</v>
          </cell>
          <cell r="O6">
            <v>9</v>
          </cell>
          <cell r="P6">
            <v>10</v>
          </cell>
          <cell r="Q6">
            <v>11</v>
          </cell>
          <cell r="R6">
            <v>12</v>
          </cell>
          <cell r="S6">
            <v>13</v>
          </cell>
          <cell r="T6">
            <v>14</v>
          </cell>
          <cell r="U6">
            <v>15</v>
          </cell>
          <cell r="V6">
            <v>16</v>
          </cell>
          <cell r="W6">
            <v>17</v>
          </cell>
          <cell r="X6">
            <v>18</v>
          </cell>
          <cell r="Y6">
            <v>19</v>
          </cell>
          <cell r="Z6">
            <v>20</v>
          </cell>
          <cell r="AA6">
            <v>21</v>
          </cell>
          <cell r="AB6">
            <v>22</v>
          </cell>
          <cell r="AC6">
            <v>23</v>
          </cell>
          <cell r="AD6">
            <v>24</v>
          </cell>
          <cell r="AE6">
            <v>25</v>
          </cell>
          <cell r="AF6">
            <v>26</v>
          </cell>
          <cell r="AG6">
            <v>27</v>
          </cell>
          <cell r="AH6">
            <v>28</v>
          </cell>
          <cell r="AI6">
            <v>29</v>
          </cell>
          <cell r="AJ6">
            <v>30</v>
          </cell>
          <cell r="AK6">
            <v>31</v>
          </cell>
          <cell r="AL6">
            <v>32</v>
          </cell>
          <cell r="AM6">
            <v>33</v>
          </cell>
          <cell r="AN6">
            <v>34</v>
          </cell>
          <cell r="AO6">
            <v>35</v>
          </cell>
          <cell r="AP6">
            <v>36</v>
          </cell>
          <cell r="AQ6">
            <v>37</v>
          </cell>
          <cell r="AR6">
            <v>38</v>
          </cell>
          <cell r="AS6">
            <v>39</v>
          </cell>
          <cell r="AT6">
            <v>40</v>
          </cell>
          <cell r="AU6">
            <v>41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주조단가"/>
      <sheetName val="50A"/>
      <sheetName val="65A"/>
      <sheetName val="80A"/>
      <sheetName val="100A"/>
      <sheetName val="125A"/>
      <sheetName val="150A"/>
      <sheetName val="200A"/>
      <sheetName val="250A"/>
      <sheetName val="300A"/>
      <sheetName val="350A"/>
      <sheetName val="400A"/>
      <sheetName val="450A"/>
      <sheetName val="500A"/>
      <sheetName val="550A"/>
      <sheetName val="600A"/>
      <sheetName val="650A"/>
      <sheetName val="700A"/>
      <sheetName val="750A"/>
      <sheetName val="800A"/>
      <sheetName val="850A"/>
      <sheetName val="900A"/>
      <sheetName val="950A"/>
      <sheetName val="1000A"/>
      <sheetName val="1050A"/>
      <sheetName val="1100A"/>
      <sheetName val="1200A"/>
      <sheetName val="1650A"/>
      <sheetName val="1800A"/>
      <sheetName val="SAMPLE"/>
    </sheetNames>
    <sheetDataSet>
      <sheetData sheetId="0">
        <row r="34">
          <cell r="B34" t="str">
            <v>16 BAR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 /><Relationship Id="rId2" Type="http://schemas.openxmlformats.org/officeDocument/2006/relationships/vmlDrawing" Target="../drawings/vmlDrawing2.vml" /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 /><Relationship Id="rId2" Type="http://schemas.openxmlformats.org/officeDocument/2006/relationships/vmlDrawing" Target="../drawings/vmlDrawing3.vml" /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 /><Relationship Id="rId2" Type="http://schemas.openxmlformats.org/officeDocument/2006/relationships/vmlDrawing" Target="../drawings/vmlDrawing4.vml" /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 /><Relationship Id="rId2" Type="http://schemas.openxmlformats.org/officeDocument/2006/relationships/vmlDrawing" Target="../drawings/vmlDrawing5.vml" /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 /><Relationship Id="rId2" Type="http://schemas.openxmlformats.org/officeDocument/2006/relationships/vmlDrawing" Target="../drawings/vmlDrawing6.vml" /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 /><Relationship Id="rId2" Type="http://schemas.openxmlformats.org/officeDocument/2006/relationships/vmlDrawing" Target="../drawings/vmlDrawing7.vml" /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 /><Relationship Id="rId2" Type="http://schemas.openxmlformats.org/officeDocument/2006/relationships/vmlDrawing" Target="../drawings/vmlDrawing8.vml" /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 /><Relationship Id="rId2" Type="http://schemas.openxmlformats.org/officeDocument/2006/relationships/vmlDrawing" Target="../drawings/vmlDrawing9.vml" /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 /><Relationship Id="rId2" Type="http://schemas.openxmlformats.org/officeDocument/2006/relationships/vmlDrawing" Target="../drawings/vmlDrawing10.vml" /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 /><Relationship Id="rId2" Type="http://schemas.openxmlformats.org/officeDocument/2006/relationships/vmlDrawing" Target="../drawings/vmlDrawing11.vml" /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 /><Relationship Id="rId2" Type="http://schemas.openxmlformats.org/officeDocument/2006/relationships/vmlDrawing" Target="../drawings/vmlDrawing12.vml" /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 /><Relationship Id="rId2" Type="http://schemas.openxmlformats.org/officeDocument/2006/relationships/vmlDrawing" Target="../drawings/vmlDrawing13.vml" /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 /><Relationship Id="rId2" Type="http://schemas.openxmlformats.org/officeDocument/2006/relationships/vmlDrawing" Target="../drawings/vmlDrawing14.vml" /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 /><Relationship Id="rId2" Type="http://schemas.openxmlformats.org/officeDocument/2006/relationships/vmlDrawing" Target="../drawings/vmlDrawing15.vml" /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 /><Relationship Id="rId2" Type="http://schemas.openxmlformats.org/officeDocument/2006/relationships/vmlDrawing" Target="../drawings/vmlDrawing16.vml" /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 /><Relationship Id="rId2" Type="http://schemas.openxmlformats.org/officeDocument/2006/relationships/vmlDrawing" Target="../drawings/vmlDrawing17.vml" /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 /><Relationship Id="rId2" Type="http://schemas.openxmlformats.org/officeDocument/2006/relationships/vmlDrawing" Target="../drawings/vmlDrawing18.vml" /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 /><Relationship Id="rId2" Type="http://schemas.openxmlformats.org/officeDocument/2006/relationships/vmlDrawing" Target="../drawings/vmlDrawing19.vml" /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 /><Relationship Id="rId2" Type="http://schemas.openxmlformats.org/officeDocument/2006/relationships/vmlDrawing" Target="../drawings/vmlDrawing20.vml" /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 /><Relationship Id="rId2" Type="http://schemas.openxmlformats.org/officeDocument/2006/relationships/vmlDrawing" Target="../drawings/vmlDrawing21.vml" /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 /><Relationship Id="rId2" Type="http://schemas.openxmlformats.org/officeDocument/2006/relationships/vmlDrawing" Target="../drawings/vmlDrawing22.vml" /><Relationship Id="rId1" Type="http://schemas.openxmlformats.org/officeDocument/2006/relationships/printerSettings" Target="../printerSettings/printerSettings24.bin" 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 /><Relationship Id="rId2" Type="http://schemas.openxmlformats.org/officeDocument/2006/relationships/vmlDrawing" Target="../drawings/vmlDrawing23.vml" /><Relationship Id="rId1" Type="http://schemas.openxmlformats.org/officeDocument/2006/relationships/printerSettings" Target="../printerSettings/printerSettings25.bin" 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 /><Relationship Id="rId2" Type="http://schemas.openxmlformats.org/officeDocument/2006/relationships/vmlDrawing" Target="../drawings/vmlDrawing24.vml" /><Relationship Id="rId1" Type="http://schemas.openxmlformats.org/officeDocument/2006/relationships/printerSettings" Target="../printerSettings/printerSettings26.bin" 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 /><Relationship Id="rId2" Type="http://schemas.openxmlformats.org/officeDocument/2006/relationships/vmlDrawing" Target="../drawings/vmlDrawing25.vml" /><Relationship Id="rId1" Type="http://schemas.openxmlformats.org/officeDocument/2006/relationships/printerSettings" Target="../printerSettings/printerSettings27.bin" 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 /><Relationship Id="rId2" Type="http://schemas.openxmlformats.org/officeDocument/2006/relationships/vmlDrawing" Target="../drawings/vmlDrawing26.vml" /><Relationship Id="rId1" Type="http://schemas.openxmlformats.org/officeDocument/2006/relationships/printerSettings" Target="../printerSettings/printerSettings28.bin" 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 /><Relationship Id="rId2" Type="http://schemas.openxmlformats.org/officeDocument/2006/relationships/vmlDrawing" Target="../drawings/vmlDrawing27.vml" /><Relationship Id="rId1" Type="http://schemas.openxmlformats.org/officeDocument/2006/relationships/printerSettings" Target="../printerSettings/printerSettings29.bin" 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 /><Relationship Id="rId2" Type="http://schemas.openxmlformats.org/officeDocument/2006/relationships/vmlDrawing" Target="../drawings/vmlDrawing28.vml" /><Relationship Id="rId1" Type="http://schemas.openxmlformats.org/officeDocument/2006/relationships/printerSettings" Target="../printerSettings/printerSettings30.bin" 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 /><Relationship Id="rId2" Type="http://schemas.openxmlformats.org/officeDocument/2006/relationships/vmlDrawing" Target="../drawings/vmlDrawing29.vml" /><Relationship Id="rId1" Type="http://schemas.openxmlformats.org/officeDocument/2006/relationships/printerSettings" Target="../printerSettings/printerSettings3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U48"/>
  <sheetViews>
    <sheetView showGridLines="0" view="pageBreakPreview" zoomScale="85" zoomScaleNormal="100" zoomScaleSheetLayoutView="85" workbookViewId="0">
      <selection activeCell="G13" sqref="G13"/>
    </sheetView>
  </sheetViews>
  <sheetFormatPr defaultColWidth="8.88671875" defaultRowHeight="13.5"/>
  <cols>
    <col min="1" max="1" width="23.38671875" style="72" bestFit="1" customWidth="1"/>
    <col min="2" max="2" width="16.72265625" style="72" customWidth="1"/>
    <col min="3" max="3" width="16.72265625" style="73" customWidth="1"/>
    <col min="4" max="4" width="28.41796875" style="73" customWidth="1"/>
    <col min="5" max="5" width="9.703125" style="73" bestFit="1" customWidth="1"/>
    <col min="6" max="12" width="16.13671875" style="73" customWidth="1"/>
    <col min="13" max="14" width="8.88671875" style="1"/>
    <col min="15" max="15" width="12.16015625" style="1" bestFit="1" customWidth="1"/>
    <col min="16" max="21" width="12.27734375" style="1" bestFit="1" customWidth="1"/>
    <col min="22" max="16384" width="8.88671875" style="1"/>
  </cols>
  <sheetData>
    <row r="1" spans="1:21" s="6" customFormat="1"/>
    <row r="2" spans="1:21" s="6" customFormat="1"/>
    <row r="3" spans="1:21" s="6" customFormat="1"/>
    <row r="4" spans="1:21" s="6" customFormat="1"/>
    <row r="5" spans="1:21" s="6" customFormat="1"/>
    <row r="6" spans="1:21" s="6" customFormat="1"/>
    <row r="7" spans="1:21" s="6" customFormat="1"/>
    <row r="8" spans="1:21" s="6" customFormat="1" ht="14.25" thickBot="1"/>
    <row r="9" spans="1:21" s="6" customFormat="1" ht="25.15" customHeight="1" thickBot="1">
      <c r="A9" s="65" t="s">
        <v>286</v>
      </c>
      <c r="B9" s="76" t="s">
        <v>404</v>
      </c>
      <c r="C9" s="314" t="s">
        <v>406</v>
      </c>
      <c r="D9" s="315"/>
    </row>
    <row r="10" spans="1:21" s="6" customFormat="1" ht="25.15" customHeight="1" thickBot="1">
      <c r="A10" s="65" t="s">
        <v>41</v>
      </c>
      <c r="B10" s="76">
        <v>1.3</v>
      </c>
      <c r="C10" s="314" t="s">
        <v>285</v>
      </c>
      <c r="D10" s="315"/>
    </row>
    <row r="11" spans="1:21" s="6" customFormat="1" ht="25.15" customHeight="1" thickBot="1"/>
    <row r="12" spans="1:21" s="6" customFormat="1" ht="25.15" customHeight="1" thickBot="1">
      <c r="A12" s="171" t="s">
        <v>128</v>
      </c>
      <c r="B12" s="171" t="s">
        <v>37</v>
      </c>
      <c r="C12" s="171" t="s">
        <v>129</v>
      </c>
      <c r="D12" s="171" t="s">
        <v>229</v>
      </c>
      <c r="E12" s="67"/>
      <c r="F12" s="68"/>
      <c r="G12" s="313" t="s">
        <v>465</v>
      </c>
      <c r="H12" s="313"/>
      <c r="I12" s="313"/>
      <c r="J12" s="313" t="s">
        <v>463</v>
      </c>
      <c r="K12" s="313"/>
      <c r="L12" s="313"/>
    </row>
    <row r="13" spans="1:21" s="6" customFormat="1" ht="25.15" customHeight="1" thickTop="1" thickBot="1">
      <c r="A13" s="259" t="s">
        <v>130</v>
      </c>
      <c r="B13" s="282"/>
      <c r="C13" s="283"/>
      <c r="D13" s="173"/>
      <c r="E13" s="67"/>
      <c r="F13" s="17" t="s">
        <v>8</v>
      </c>
      <c r="G13" s="17" t="s">
        <v>11</v>
      </c>
      <c r="H13" s="17" t="s">
        <v>5</v>
      </c>
      <c r="I13" s="17" t="s">
        <v>12</v>
      </c>
      <c r="J13" s="17" t="s">
        <v>11</v>
      </c>
      <c r="K13" s="17" t="s">
        <v>5</v>
      </c>
      <c r="L13" s="17" t="s">
        <v>12</v>
      </c>
    </row>
    <row r="14" spans="1:21" s="6" customFormat="1" ht="25.15" customHeight="1" thickBot="1">
      <c r="A14" s="260" t="s">
        <v>131</v>
      </c>
      <c r="B14" s="284" t="s">
        <v>467</v>
      </c>
      <c r="C14" s="285">
        <v>3500</v>
      </c>
      <c r="D14" s="174"/>
      <c r="E14" s="139"/>
      <c r="F14" s="69" t="s">
        <v>13</v>
      </c>
      <c r="G14" s="70">
        <f>'50A'!$K$33</f>
        <v>31245</v>
      </c>
      <c r="H14" s="70">
        <f>'50A'!$K$34</f>
        <v>47245</v>
      </c>
      <c r="I14" s="70">
        <f>'50A'!$K$35</f>
        <v>129245</v>
      </c>
      <c r="J14" s="70">
        <f>'50A'!$K$36</f>
        <v>44635.71428571429</v>
      </c>
      <c r="K14" s="70">
        <f>'50A'!$K$37</f>
        <v>67492.857142857145</v>
      </c>
      <c r="L14" s="70">
        <f>'50A'!$K$38</f>
        <v>184635.71428571429</v>
      </c>
      <c r="P14" s="212"/>
      <c r="Q14" s="212"/>
      <c r="R14" s="212"/>
      <c r="S14" s="212"/>
      <c r="T14" s="212"/>
      <c r="U14" s="212"/>
    </row>
    <row r="15" spans="1:21" s="6" customFormat="1" ht="25.15" customHeight="1" thickBot="1">
      <c r="A15" s="175" t="s">
        <v>132</v>
      </c>
      <c r="B15" s="261"/>
      <c r="C15" s="156"/>
      <c r="D15" s="262"/>
      <c r="E15" s="140"/>
      <c r="F15" s="69" t="s">
        <v>14</v>
      </c>
      <c r="G15" s="70">
        <f>'65A'!$K$33</f>
        <v>36390</v>
      </c>
      <c r="H15" s="70">
        <f>'65A'!$K$34</f>
        <v>52390</v>
      </c>
      <c r="I15" s="70">
        <f>'65A'!$K$35</f>
        <v>134390</v>
      </c>
      <c r="J15" s="70">
        <f>'65A'!$K$36</f>
        <v>51985.71428571429</v>
      </c>
      <c r="K15" s="70">
        <f>'65A'!$K$37</f>
        <v>74842.857142857145</v>
      </c>
      <c r="L15" s="70">
        <f>'65A'!$K$38</f>
        <v>191985.71428571429</v>
      </c>
      <c r="P15" s="212"/>
      <c r="Q15" s="212"/>
      <c r="R15" s="212"/>
      <c r="S15" s="212"/>
      <c r="T15" s="212"/>
      <c r="U15" s="212"/>
    </row>
    <row r="16" spans="1:21" s="6" customFormat="1" ht="25.15" customHeight="1" thickTop="1" thickBot="1">
      <c r="A16" s="176" t="s">
        <v>9</v>
      </c>
      <c r="B16" s="154" t="s">
        <v>468</v>
      </c>
      <c r="C16" s="155">
        <v>12000</v>
      </c>
      <c r="D16" s="177"/>
      <c r="E16" s="140"/>
      <c r="F16" s="17" t="s">
        <v>15</v>
      </c>
      <c r="G16" s="70">
        <f>'80A'!$K$33</f>
        <v>39370</v>
      </c>
      <c r="H16" s="70">
        <f>'80A'!$K$34</f>
        <v>55370</v>
      </c>
      <c r="I16" s="70">
        <f>'80A'!$K$35</f>
        <v>137370</v>
      </c>
      <c r="J16" s="70">
        <f>'80A'!$K$36</f>
        <v>56242.857142857145</v>
      </c>
      <c r="K16" s="70">
        <f>'80A'!$K$37</f>
        <v>79100</v>
      </c>
      <c r="L16" s="70">
        <f>'80A'!$K$38</f>
        <v>196242.85714285716</v>
      </c>
      <c r="P16" s="212"/>
      <c r="Q16" s="212"/>
      <c r="R16" s="212"/>
      <c r="S16" s="212"/>
      <c r="T16" s="212"/>
      <c r="U16" s="212"/>
    </row>
    <row r="17" spans="1:21" s="6" customFormat="1" ht="25.15" customHeight="1" thickBot="1">
      <c r="A17" s="175" t="s">
        <v>10</v>
      </c>
      <c r="B17" s="178" t="s">
        <v>469</v>
      </c>
      <c r="C17" s="156">
        <v>10000</v>
      </c>
      <c r="D17" s="179"/>
      <c r="E17" s="67"/>
      <c r="F17" s="17" t="s">
        <v>16</v>
      </c>
      <c r="G17" s="70">
        <f>'100A'!$K$33</f>
        <v>70370</v>
      </c>
      <c r="H17" s="70">
        <f>'100A'!$K$34</f>
        <v>86370</v>
      </c>
      <c r="I17" s="70">
        <f>'100A'!$K$35</f>
        <v>168370</v>
      </c>
      <c r="J17" s="70">
        <f>'100A'!$K$36</f>
        <v>100528.57142857143</v>
      </c>
      <c r="K17" s="70">
        <f>'100A'!$K$37</f>
        <v>123385.71428571429</v>
      </c>
      <c r="L17" s="70">
        <f>'100A'!$K$38</f>
        <v>240528.57142857145</v>
      </c>
      <c r="P17" s="212"/>
      <c r="Q17" s="212"/>
      <c r="R17" s="212"/>
      <c r="S17" s="212"/>
      <c r="T17" s="212"/>
      <c r="U17" s="212"/>
    </row>
    <row r="18" spans="1:21" s="6" customFormat="1" ht="25.15" customHeight="1" thickTop="1" thickBot="1">
      <c r="A18" s="66" t="s">
        <v>3</v>
      </c>
      <c r="B18" s="153" t="s">
        <v>462</v>
      </c>
      <c r="C18" s="78"/>
      <c r="D18" s="172"/>
      <c r="E18" s="67"/>
      <c r="F18" s="17" t="s">
        <v>17</v>
      </c>
      <c r="G18" s="70">
        <f>'125A'!$K$33</f>
        <v>78270</v>
      </c>
      <c r="H18" s="70">
        <f>'125A'!$K$34</f>
        <v>95270</v>
      </c>
      <c r="I18" s="70">
        <f>'125A'!$K$35</f>
        <v>176270</v>
      </c>
      <c r="J18" s="70">
        <f>'125A'!$K$36</f>
        <v>111814.28571428572</v>
      </c>
      <c r="K18" s="70">
        <f>'125A'!$K$37</f>
        <v>136100</v>
      </c>
      <c r="L18" s="70">
        <f>'125A'!$K$38</f>
        <v>251814.28571428574</v>
      </c>
      <c r="P18" s="212"/>
      <c r="Q18" s="212"/>
      <c r="R18" s="212"/>
      <c r="S18" s="212"/>
      <c r="T18" s="212"/>
      <c r="U18" s="212"/>
    </row>
    <row r="19" spans="1:21" s="6" customFormat="1" ht="25.15" customHeight="1" thickBot="1">
      <c r="A19" s="66" t="s">
        <v>230</v>
      </c>
      <c r="B19" s="153" t="s">
        <v>410</v>
      </c>
      <c r="C19" s="78"/>
      <c r="D19" s="143" t="s">
        <v>233</v>
      </c>
      <c r="E19" s="67"/>
      <c r="F19" s="17" t="s">
        <v>294</v>
      </c>
      <c r="G19" s="70">
        <f>'150A'!$K33</f>
        <v>99355</v>
      </c>
      <c r="H19" s="70">
        <f>'150A'!$K34</f>
        <v>116355</v>
      </c>
      <c r="I19" s="70">
        <f>'150A'!$K35</f>
        <v>197355</v>
      </c>
      <c r="J19" s="70">
        <f>'150A'!$K36</f>
        <v>141935.71428571429</v>
      </c>
      <c r="K19" s="70">
        <f>'150A'!$K37</f>
        <v>166221.42857142858</v>
      </c>
      <c r="L19" s="70">
        <f>'150A'!$K38</f>
        <v>281935.71428571432</v>
      </c>
      <c r="P19" s="212"/>
      <c r="Q19" s="212"/>
      <c r="R19" s="212"/>
      <c r="S19" s="212"/>
      <c r="T19" s="212"/>
      <c r="U19" s="212"/>
    </row>
    <row r="20" spans="1:21" s="6" customFormat="1" ht="25.15" customHeight="1" thickBot="1">
      <c r="A20" s="85" t="s">
        <v>231</v>
      </c>
      <c r="B20" s="77" t="s">
        <v>210</v>
      </c>
      <c r="C20" s="170" t="s">
        <v>274</v>
      </c>
      <c r="D20" s="143" t="s">
        <v>234</v>
      </c>
      <c r="E20" s="67"/>
      <c r="F20" s="17" t="s">
        <v>295</v>
      </c>
      <c r="G20" s="70">
        <f>'200A'!$K$33</f>
        <v>146778</v>
      </c>
      <c r="H20" s="70">
        <f>'200A'!$K$34</f>
        <v>146778</v>
      </c>
      <c r="I20" s="70">
        <f>'200A'!$K$35</f>
        <v>244778</v>
      </c>
      <c r="J20" s="70">
        <f>'200A'!$K$36</f>
        <v>209682.85714285716</v>
      </c>
      <c r="K20" s="70">
        <f>'200A'!$K$37</f>
        <v>209682.85714285716</v>
      </c>
      <c r="L20" s="70">
        <f>'200A'!$K$38</f>
        <v>349682.85714285716</v>
      </c>
      <c r="P20" s="212"/>
      <c r="Q20" s="212"/>
      <c r="R20" s="212"/>
      <c r="S20" s="212"/>
      <c r="T20" s="212"/>
      <c r="U20" s="212"/>
    </row>
    <row r="21" spans="1:21" s="6" customFormat="1" ht="25.15" customHeight="1" thickBot="1">
      <c r="A21" s="85" t="s">
        <v>232</v>
      </c>
      <c r="B21" s="77" t="s">
        <v>215</v>
      </c>
      <c r="C21" s="170" t="s">
        <v>274</v>
      </c>
      <c r="D21" s="143" t="s">
        <v>235</v>
      </c>
      <c r="E21" s="67"/>
      <c r="F21" s="17" t="s">
        <v>18</v>
      </c>
      <c r="G21" s="70">
        <f>'250A'!$K$33</f>
        <v>226750</v>
      </c>
      <c r="H21" s="70">
        <f>'250A'!$K$34</f>
        <v>226750</v>
      </c>
      <c r="I21" s="70">
        <f>'250A'!$K$35</f>
        <v>349750</v>
      </c>
      <c r="J21" s="70">
        <f>'250A'!$K$36</f>
        <v>323928.57142857142</v>
      </c>
      <c r="K21" s="70">
        <f>'250A'!$K$37</f>
        <v>323928.57142857142</v>
      </c>
      <c r="L21" s="70">
        <f>'250A'!$K$38</f>
        <v>499642.85714285716</v>
      </c>
      <c r="M21" s="136"/>
      <c r="P21" s="213"/>
      <c r="Q21" s="212"/>
      <c r="R21" s="212"/>
      <c r="S21" s="212"/>
      <c r="T21" s="212"/>
      <c r="U21" s="212"/>
    </row>
    <row r="22" spans="1:21" s="6" customFormat="1" ht="25.15" customHeight="1" thickBot="1">
      <c r="A22" s="85" t="s">
        <v>162</v>
      </c>
      <c r="B22" s="153" t="s">
        <v>405</v>
      </c>
      <c r="C22" s="170"/>
      <c r="D22" s="143" t="s">
        <v>235</v>
      </c>
      <c r="E22" s="67"/>
      <c r="F22" s="17" t="s">
        <v>19</v>
      </c>
      <c r="G22" s="70">
        <f>'300A'!$K$33</f>
        <v>337350</v>
      </c>
      <c r="H22" s="70">
        <f>'300A'!$K$34</f>
        <v>337350</v>
      </c>
      <c r="I22" s="70">
        <f>'300A'!$K$35</f>
        <v>460350</v>
      </c>
      <c r="J22" s="70">
        <f>'300A'!$K$36</f>
        <v>481928.57142857148</v>
      </c>
      <c r="K22" s="70">
        <f>'300A'!$K$37</f>
        <v>481928.57142857148</v>
      </c>
      <c r="L22" s="70">
        <f>'300A'!$K$38</f>
        <v>657642.85714285716</v>
      </c>
      <c r="P22" s="212"/>
      <c r="Q22" s="212"/>
      <c r="R22" s="212"/>
      <c r="S22" s="212"/>
      <c r="T22" s="212"/>
      <c r="U22" s="212"/>
    </row>
    <row r="23" spans="1:21" s="6" customFormat="1" ht="25.15" customHeight="1" thickBot="1">
      <c r="A23" s="85" t="s">
        <v>217</v>
      </c>
      <c r="B23" s="153" t="s">
        <v>149</v>
      </c>
      <c r="C23" s="78"/>
      <c r="D23" s="143" t="s">
        <v>235</v>
      </c>
      <c r="E23" s="67"/>
      <c r="F23" s="17" t="s">
        <v>20</v>
      </c>
      <c r="G23" s="70">
        <f>'350A'!$K$33</f>
        <v>404530</v>
      </c>
      <c r="H23" s="70">
        <f>'350A'!$K$34</f>
        <v>404530</v>
      </c>
      <c r="I23" s="70">
        <f>'350A'!$K$35</f>
        <v>527530</v>
      </c>
      <c r="J23" s="70">
        <f>'350A'!$K$36</f>
        <v>577900</v>
      </c>
      <c r="K23" s="70">
        <f>'350A'!$K$37</f>
        <v>577900</v>
      </c>
      <c r="L23" s="70">
        <f>'350A'!$K$38</f>
        <v>753614.2857142858</v>
      </c>
      <c r="P23" s="212"/>
      <c r="Q23" s="212"/>
      <c r="R23" s="212"/>
      <c r="S23" s="212"/>
      <c r="T23" s="212"/>
      <c r="U23" s="212"/>
    </row>
    <row r="24" spans="1:21" s="6" customFormat="1" ht="25.15" customHeight="1" thickBot="1">
      <c r="A24" s="85" t="s">
        <v>221</v>
      </c>
      <c r="B24" s="77" t="s">
        <v>210</v>
      </c>
      <c r="C24" s="170" t="s">
        <v>274</v>
      </c>
      <c r="D24" s="143"/>
      <c r="E24" s="67"/>
      <c r="F24" s="17" t="s">
        <v>21</v>
      </c>
      <c r="G24" s="70">
        <f>'400A'!$K$33</f>
        <v>692580</v>
      </c>
      <c r="H24" s="70">
        <f>'400A'!$K$34</f>
        <v>692580</v>
      </c>
      <c r="I24" s="70">
        <f>'400A'!$K$35</f>
        <v>917580</v>
      </c>
      <c r="J24" s="70">
        <f>'400A'!$K$36</f>
        <v>989400.00000000012</v>
      </c>
      <c r="K24" s="70">
        <f>'400A'!$K$37</f>
        <v>989400.00000000012</v>
      </c>
      <c r="L24" s="70">
        <f>'400A'!$K$38</f>
        <v>1310828.5714285716</v>
      </c>
      <c r="P24" s="212"/>
      <c r="Q24" s="212"/>
      <c r="R24" s="212"/>
      <c r="S24" s="212"/>
      <c r="T24" s="212"/>
      <c r="U24" s="212"/>
    </row>
    <row r="25" spans="1:21" s="6" customFormat="1" ht="25.15" customHeight="1" thickBot="1">
      <c r="A25" s="85" t="s">
        <v>225</v>
      </c>
      <c r="B25" s="77" t="s">
        <v>146</v>
      </c>
      <c r="C25" s="170" t="s">
        <v>274</v>
      </c>
      <c r="D25" s="144" t="s">
        <v>347</v>
      </c>
      <c r="E25" s="67"/>
      <c r="F25" s="17" t="s">
        <v>22</v>
      </c>
      <c r="G25" s="70">
        <f>'450A'!$K$33</f>
        <v>861080</v>
      </c>
      <c r="H25" s="70">
        <f>'450A'!$K$34</f>
        <v>861080</v>
      </c>
      <c r="I25" s="70">
        <f>'450A'!$K$35</f>
        <v>1086080</v>
      </c>
      <c r="J25" s="70">
        <f>'450A'!$K$36</f>
        <v>1230114.2857142857</v>
      </c>
      <c r="K25" s="70">
        <f>'450A'!$K$37</f>
        <v>1230114.2857142857</v>
      </c>
      <c r="L25" s="70">
        <f>'450A'!$K$38</f>
        <v>1551542.8571428573</v>
      </c>
      <c r="P25" s="212"/>
      <c r="Q25" s="212"/>
      <c r="R25" s="212"/>
      <c r="S25" s="212"/>
      <c r="T25" s="212"/>
      <c r="U25" s="212"/>
    </row>
    <row r="26" spans="1:21" s="6" customFormat="1" ht="25.15" customHeight="1" thickBot="1">
      <c r="A26" s="85" t="s">
        <v>226</v>
      </c>
      <c r="B26" s="77" t="s">
        <v>149</v>
      </c>
      <c r="C26" s="170" t="s">
        <v>274</v>
      </c>
      <c r="D26" s="142"/>
      <c r="E26" s="67"/>
      <c r="F26" s="17" t="s">
        <v>23</v>
      </c>
      <c r="G26" s="70">
        <f>'500A'!$K$33</f>
        <v>1136610</v>
      </c>
      <c r="H26" s="70">
        <f>'500A'!$K$34</f>
        <v>1136610</v>
      </c>
      <c r="I26" s="70">
        <f>'500A'!$K$35</f>
        <v>1441610</v>
      </c>
      <c r="J26" s="70">
        <f>'500A'!$K$36</f>
        <v>1623728.5714285716</v>
      </c>
      <c r="K26" s="70">
        <f>'500A'!$K$37</f>
        <v>1623728.5714285716</v>
      </c>
      <c r="L26" s="70">
        <f>'500A'!$K$38</f>
        <v>2059442.8571428573</v>
      </c>
      <c r="P26" s="212"/>
      <c r="Q26" s="212"/>
      <c r="R26" s="212"/>
      <c r="S26" s="212"/>
      <c r="T26" s="212"/>
      <c r="U26" s="212"/>
    </row>
    <row r="27" spans="1:21" s="6" customFormat="1" ht="25.15" customHeight="1" thickBot="1">
      <c r="A27" s="85" t="s">
        <v>188</v>
      </c>
      <c r="B27" s="153" t="s">
        <v>149</v>
      </c>
      <c r="C27" s="78"/>
      <c r="D27" s="142"/>
      <c r="E27" s="67"/>
      <c r="F27" s="17" t="s">
        <v>24</v>
      </c>
      <c r="G27" s="70">
        <f>'550A'!$K$33</f>
        <v>1483485</v>
      </c>
      <c r="H27" s="70">
        <f>'550A'!$K$34</f>
        <v>1483485</v>
      </c>
      <c r="I27" s="70">
        <f>'550A'!$K$35</f>
        <v>1788485</v>
      </c>
      <c r="J27" s="70">
        <f>'550A'!$K$36</f>
        <v>2119264.2857142859</v>
      </c>
      <c r="K27" s="70">
        <f>'550A'!$K$37</f>
        <v>2119264.2857142859</v>
      </c>
      <c r="L27" s="70">
        <f>'550A'!$K$38</f>
        <v>2554978.5714285714</v>
      </c>
      <c r="P27" s="212"/>
      <c r="Q27" s="212"/>
      <c r="R27" s="212"/>
      <c r="S27" s="212"/>
      <c r="T27" s="212"/>
      <c r="U27" s="212"/>
    </row>
    <row r="28" spans="1:21" s="6" customFormat="1" ht="25.15" customHeight="1" thickBot="1">
      <c r="A28" s="85" t="s">
        <v>237</v>
      </c>
      <c r="B28" s="153" t="s">
        <v>440</v>
      </c>
      <c r="C28" s="170" t="s">
        <v>283</v>
      </c>
      <c r="D28" s="144" t="s">
        <v>284</v>
      </c>
      <c r="E28" s="67"/>
      <c r="F28" s="17" t="s">
        <v>25</v>
      </c>
      <c r="G28" s="70">
        <f>'600A'!$K$33</f>
        <v>1881100</v>
      </c>
      <c r="H28" s="70">
        <f>'600A'!$K$34</f>
        <v>1881100</v>
      </c>
      <c r="I28" s="70">
        <f>'600A'!$K$35</f>
        <v>2236100</v>
      </c>
      <c r="J28" s="70">
        <f>'600A'!$K$36</f>
        <v>2687285.7142857146</v>
      </c>
      <c r="K28" s="70">
        <f>'600A'!$K$37</f>
        <v>2687285.7142857146</v>
      </c>
      <c r="L28" s="70">
        <f>'600A'!$K$38</f>
        <v>3194428.5714285718</v>
      </c>
      <c r="P28" s="212"/>
      <c r="Q28" s="212"/>
      <c r="R28" s="212"/>
      <c r="S28" s="212"/>
      <c r="T28" s="212"/>
      <c r="U28" s="212"/>
    </row>
    <row r="29" spans="1:21" s="6" customFormat="1" ht="25.15" customHeight="1">
      <c r="A29" s="254"/>
      <c r="C29" s="255"/>
      <c r="D29" s="255"/>
      <c r="E29" s="67"/>
      <c r="F29" s="17" t="s">
        <v>26</v>
      </c>
      <c r="G29" s="70">
        <f>'650A'!$K$33</f>
        <v>2270835</v>
      </c>
      <c r="H29" s="70">
        <f>'650A'!$K$34</f>
        <v>2270835</v>
      </c>
      <c r="I29" s="70">
        <f>'650A'!$K$35</f>
        <v>2625835</v>
      </c>
      <c r="J29" s="70">
        <f>'650A'!$K$36</f>
        <v>3244050</v>
      </c>
      <c r="K29" s="70">
        <f>'650A'!$K$37</f>
        <v>3244050</v>
      </c>
      <c r="L29" s="70">
        <f>'650A'!$K$38</f>
        <v>3751192.8571428573</v>
      </c>
      <c r="P29" s="212"/>
      <c r="Q29" s="212"/>
      <c r="R29" s="212"/>
      <c r="S29" s="212"/>
      <c r="T29" s="212"/>
      <c r="U29" s="212"/>
    </row>
    <row r="30" spans="1:21" s="6" customFormat="1" ht="25.15" customHeight="1">
      <c r="A30" s="256"/>
      <c r="C30" s="257"/>
      <c r="D30" s="258"/>
      <c r="E30" s="67"/>
      <c r="F30" s="17" t="s">
        <v>27</v>
      </c>
      <c r="G30" s="70">
        <f>'700A'!$K$33</f>
        <v>2746710</v>
      </c>
      <c r="H30" s="70">
        <f>'700A'!$K$34</f>
        <v>2746710</v>
      </c>
      <c r="I30" s="70">
        <f>'700A'!$K$35</f>
        <v>3335710</v>
      </c>
      <c r="J30" s="70">
        <f>'700A'!$K$36</f>
        <v>3923871.4285714286</v>
      </c>
      <c r="K30" s="70">
        <f>'700A'!$K$37</f>
        <v>3923871.4285714286</v>
      </c>
      <c r="L30" s="70">
        <f>'700A'!$K$38</f>
        <v>4765300</v>
      </c>
      <c r="P30" s="212"/>
      <c r="Q30" s="212"/>
      <c r="R30" s="212"/>
      <c r="S30" s="212"/>
      <c r="T30" s="212"/>
      <c r="U30" s="212"/>
    </row>
    <row r="31" spans="1:21" s="6" customFormat="1" ht="25.15" customHeight="1" thickBot="1">
      <c r="A31" s="67"/>
      <c r="B31" s="67"/>
      <c r="C31" s="67"/>
      <c r="D31" s="67"/>
      <c r="E31" s="67"/>
      <c r="F31" s="17" t="s">
        <v>28</v>
      </c>
      <c r="G31" s="70">
        <f>'750A'!$K$33</f>
        <v>3621695</v>
      </c>
      <c r="H31" s="70">
        <f>'750A'!$K$34</f>
        <v>3621695</v>
      </c>
      <c r="I31" s="70">
        <f>'750A'!$K$35</f>
        <v>4210695</v>
      </c>
      <c r="J31" s="70">
        <f>'750A'!$K$36</f>
        <v>5173850</v>
      </c>
      <c r="K31" s="70">
        <f>'750A'!$K$37</f>
        <v>5173850</v>
      </c>
      <c r="L31" s="70">
        <f>'750A'!$K$38</f>
        <v>6015278.5714285718</v>
      </c>
      <c r="P31" s="212"/>
      <c r="Q31" s="212"/>
      <c r="R31" s="212"/>
      <c r="S31" s="212"/>
      <c r="T31" s="212"/>
      <c r="U31" s="212"/>
    </row>
    <row r="32" spans="1:21" s="6" customFormat="1" ht="25.15" customHeight="1" thickBot="1">
      <c r="A32" s="65" t="s">
        <v>288</v>
      </c>
      <c r="B32" s="76" t="s">
        <v>460</v>
      </c>
      <c r="C32" s="166"/>
      <c r="D32" s="144" t="s">
        <v>296</v>
      </c>
      <c r="E32" s="67"/>
      <c r="F32" s="17" t="s">
        <v>29</v>
      </c>
      <c r="G32" s="70">
        <f>'800A'!$K$33</f>
        <v>4457135</v>
      </c>
      <c r="H32" s="70">
        <f>'800A'!$K$34</f>
        <v>4457135</v>
      </c>
      <c r="I32" s="70">
        <f>'800A'!$K$35</f>
        <v>5046135</v>
      </c>
      <c r="J32" s="70">
        <f>'800A'!$K$36</f>
        <v>6367335.7142857146</v>
      </c>
      <c r="K32" s="70">
        <f>'800A'!$K$37</f>
        <v>6367335.7142857146</v>
      </c>
      <c r="L32" s="70">
        <f>'800A'!$K$38</f>
        <v>7208764.2857142864</v>
      </c>
      <c r="P32" s="212"/>
      <c r="Q32" s="212"/>
      <c r="R32" s="212"/>
      <c r="S32" s="212"/>
      <c r="T32" s="212"/>
      <c r="U32" s="212"/>
    </row>
    <row r="33" spans="1:21" s="6" customFormat="1" ht="25.15" customHeight="1" thickBot="1">
      <c r="A33" s="67"/>
      <c r="B33" s="67"/>
      <c r="C33" s="67"/>
      <c r="D33" s="67"/>
      <c r="E33" s="67"/>
      <c r="F33" s="17" t="s">
        <v>30</v>
      </c>
      <c r="G33" s="70">
        <f>'850A'!$K$33</f>
        <v>5143855</v>
      </c>
      <c r="H33" s="70">
        <f>'850A'!$K$34</f>
        <v>5143855</v>
      </c>
      <c r="I33" s="70">
        <f>'850A'!$K$35</f>
        <v>5732855</v>
      </c>
      <c r="J33" s="70">
        <f>'850A'!$K$36</f>
        <v>7348364.2857142864</v>
      </c>
      <c r="K33" s="70">
        <f>'850A'!$K$37</f>
        <v>7348364.2857142864</v>
      </c>
      <c r="L33" s="70">
        <f>'850A'!$K$38</f>
        <v>8189792.8571428573</v>
      </c>
      <c r="P33" s="212"/>
      <c r="Q33" s="212"/>
      <c r="R33" s="212"/>
      <c r="S33" s="212"/>
      <c r="T33" s="212"/>
      <c r="U33" s="212"/>
    </row>
    <row r="34" spans="1:21" s="6" customFormat="1" ht="25.15" customHeight="1" thickBot="1">
      <c r="A34" s="65" t="s">
        <v>156</v>
      </c>
      <c r="B34" s="76" t="s">
        <v>466</v>
      </c>
      <c r="C34" s="166"/>
      <c r="D34" s="144" t="s">
        <v>464</v>
      </c>
      <c r="E34" s="67"/>
      <c r="F34" s="17" t="s">
        <v>31</v>
      </c>
      <c r="G34" s="70">
        <f>'900A'!$K$33</f>
        <v>5517700</v>
      </c>
      <c r="H34" s="70">
        <f>'900A'!$K$34</f>
        <v>5517700</v>
      </c>
      <c r="I34" s="70">
        <f>'900A'!$K$35</f>
        <v>6265700</v>
      </c>
      <c r="J34" s="70">
        <f>'900A'!$K$36</f>
        <v>7882428.5714285718</v>
      </c>
      <c r="K34" s="70">
        <f>'900A'!$K$37</f>
        <v>7882428.5714285718</v>
      </c>
      <c r="L34" s="70">
        <f>'900A'!$K$38</f>
        <v>8951000</v>
      </c>
      <c r="P34" s="212"/>
      <c r="Q34" s="212"/>
      <c r="R34" s="212"/>
      <c r="S34" s="212"/>
      <c r="T34" s="212"/>
      <c r="U34" s="212"/>
    </row>
    <row r="35" spans="1:21" s="6" customFormat="1" ht="25.15" customHeight="1" thickBot="1">
      <c r="A35" s="65" t="s">
        <v>133</v>
      </c>
      <c r="B35" s="76" t="s">
        <v>461</v>
      </c>
      <c r="C35" s="208" t="s">
        <v>412</v>
      </c>
      <c r="D35" s="144" t="s">
        <v>389</v>
      </c>
      <c r="E35" s="67"/>
      <c r="F35" s="17" t="s">
        <v>32</v>
      </c>
      <c r="G35" s="70">
        <f>'950A'!$K$33</f>
        <v>5970890</v>
      </c>
      <c r="H35" s="70">
        <f>'950A'!$K$34</f>
        <v>5970890</v>
      </c>
      <c r="I35" s="70">
        <f>'950A'!$K$35</f>
        <v>6718890</v>
      </c>
      <c r="J35" s="70">
        <f>'950A'!$K$36</f>
        <v>8529842.8571428582</v>
      </c>
      <c r="K35" s="70">
        <f>'950A'!$K$37</f>
        <v>8529842.8571428582</v>
      </c>
      <c r="L35" s="70">
        <f>'950A'!$K$38</f>
        <v>9598414.2857142854</v>
      </c>
      <c r="P35" s="212"/>
      <c r="Q35" s="212"/>
      <c r="R35" s="212"/>
      <c r="S35" s="212"/>
      <c r="T35" s="212"/>
      <c r="U35" s="212"/>
    </row>
    <row r="36" spans="1:21" s="6" customFormat="1" ht="25.15" customHeight="1">
      <c r="A36" s="67"/>
      <c r="B36" s="67"/>
      <c r="C36" s="71"/>
      <c r="D36" s="67"/>
      <c r="E36" s="67"/>
      <c r="F36" s="17" t="s">
        <v>33</v>
      </c>
      <c r="G36" s="70">
        <f>'1000A'!$K$33</f>
        <v>4656610</v>
      </c>
      <c r="H36" s="70">
        <f>'1000A'!$K$34</f>
        <v>4656610</v>
      </c>
      <c r="I36" s="70">
        <f>'1000A'!$K$35</f>
        <v>5404610</v>
      </c>
      <c r="J36" s="70">
        <f>'1000A'!$K$36</f>
        <v>6652300</v>
      </c>
      <c r="K36" s="70">
        <f>'1000A'!$K$37</f>
        <v>6652300</v>
      </c>
      <c r="L36" s="70">
        <f>'1000A'!$K$38</f>
        <v>7720871.4285714291</v>
      </c>
      <c r="P36" s="212"/>
      <c r="Q36" s="212"/>
      <c r="R36" s="212"/>
      <c r="S36" s="212"/>
      <c r="T36" s="212"/>
      <c r="U36" s="212"/>
    </row>
    <row r="37" spans="1:21" s="6" customFormat="1" ht="25.15" customHeight="1">
      <c r="A37" s="67"/>
      <c r="B37" s="67"/>
      <c r="C37" s="71"/>
      <c r="D37" s="71"/>
      <c r="E37" s="67"/>
      <c r="F37" s="17" t="s">
        <v>34</v>
      </c>
      <c r="G37" s="70">
        <f>'1050A'!$K$33</f>
        <v>4815230</v>
      </c>
      <c r="H37" s="70">
        <f>'1050A'!$K$34</f>
        <v>4815230</v>
      </c>
      <c r="I37" s="70">
        <f>'1050A'!$K$35</f>
        <v>5563230</v>
      </c>
      <c r="J37" s="70">
        <f>'1050A'!$K$36</f>
        <v>6878900</v>
      </c>
      <c r="K37" s="70">
        <f>'1050A'!$K$37</f>
        <v>6878900</v>
      </c>
      <c r="L37" s="70">
        <f>'1050A'!$K$38</f>
        <v>7947471.4285714291</v>
      </c>
      <c r="P37" s="212"/>
      <c r="Q37" s="212"/>
      <c r="R37" s="212"/>
      <c r="S37" s="212"/>
      <c r="T37" s="212"/>
      <c r="U37" s="212"/>
    </row>
    <row r="38" spans="1:21" s="6" customFormat="1" ht="25.15" customHeight="1">
      <c r="A38" s="67"/>
      <c r="B38" s="67"/>
      <c r="C38" s="71"/>
      <c r="D38" s="71"/>
      <c r="E38" s="67"/>
      <c r="F38" s="17" t="s">
        <v>35</v>
      </c>
      <c r="G38" s="70">
        <f>'1100A'!$K$33</f>
        <v>5571580</v>
      </c>
      <c r="H38" s="70">
        <f>'1100A'!$K$34</f>
        <v>5571580</v>
      </c>
      <c r="I38" s="70">
        <f>'1100A'!$K$35</f>
        <v>6319580</v>
      </c>
      <c r="J38" s="70">
        <f>'1100A'!$K$36</f>
        <v>7959400.0000000009</v>
      </c>
      <c r="K38" s="70">
        <f>'1100A'!$K$37</f>
        <v>7959400.0000000009</v>
      </c>
      <c r="L38" s="70">
        <f>'1100A'!K$38</f>
        <v>9027971.4285714291</v>
      </c>
      <c r="P38" s="212"/>
      <c r="Q38" s="212"/>
      <c r="R38" s="212"/>
      <c r="S38" s="212"/>
      <c r="T38" s="212"/>
      <c r="U38" s="212"/>
    </row>
    <row r="39" spans="1:21" s="6" customFormat="1" ht="25.15" customHeight="1">
      <c r="A39" s="67"/>
      <c r="B39" s="67"/>
      <c r="C39" s="71"/>
      <c r="D39" s="71"/>
      <c r="E39" s="67"/>
      <c r="F39" s="17" t="s">
        <v>36</v>
      </c>
      <c r="G39" s="70">
        <f>'1200A'!K$33</f>
        <v>7394810</v>
      </c>
      <c r="H39" s="70">
        <f>'1200A'!$K$34</f>
        <v>7394810</v>
      </c>
      <c r="I39" s="70">
        <f>'1200A'!$K$35</f>
        <v>8695810</v>
      </c>
      <c r="J39" s="70">
        <f>'1200A'!$K$36</f>
        <v>10564014.285714287</v>
      </c>
      <c r="K39" s="70">
        <f>'1200A'!$K$37</f>
        <v>10564014.285714287</v>
      </c>
      <c r="L39" s="70">
        <f>'1200A'!K$38</f>
        <v>12422585.714285715</v>
      </c>
      <c r="P39" s="212"/>
      <c r="Q39" s="212"/>
      <c r="S39" s="212"/>
      <c r="T39" s="212"/>
      <c r="U39" s="212"/>
    </row>
    <row r="40" spans="1:21">
      <c r="F40" s="193"/>
      <c r="G40" s="194"/>
      <c r="H40" s="194"/>
      <c r="I40" s="194"/>
      <c r="J40" s="194"/>
      <c r="K40" s="194"/>
      <c r="L40" s="194"/>
    </row>
    <row r="41" spans="1:21">
      <c r="F41" s="74"/>
      <c r="G41" s="74"/>
      <c r="H41" s="74"/>
      <c r="I41" s="74"/>
      <c r="J41" s="74"/>
      <c r="K41" s="74"/>
      <c r="L41" s="74"/>
    </row>
    <row r="42" spans="1:21">
      <c r="A42" s="75"/>
      <c r="B42" s="75"/>
    </row>
    <row r="43" spans="1:21">
      <c r="A43" s="75"/>
      <c r="B43" s="75"/>
    </row>
    <row r="44" spans="1:21">
      <c r="A44" s="75"/>
      <c r="B44" s="75"/>
    </row>
    <row r="45" spans="1:21">
      <c r="A45" s="75"/>
      <c r="B45" s="75"/>
    </row>
    <row r="46" spans="1:21">
      <c r="A46" s="75"/>
      <c r="B46" s="75"/>
    </row>
    <row r="47" spans="1:21">
      <c r="A47" s="75"/>
      <c r="B47" s="75"/>
    </row>
    <row r="48" spans="1:21">
      <c r="A48" s="75"/>
      <c r="B48" s="75"/>
    </row>
  </sheetData>
  <mergeCells count="4">
    <mergeCell ref="G12:I12"/>
    <mergeCell ref="J12:L12"/>
    <mergeCell ref="C10:D10"/>
    <mergeCell ref="C9:D9"/>
  </mergeCells>
  <phoneticPr fontId="7" type="noConversion"/>
  <printOptions horizontalCentered="1" gridLinesSet="0"/>
  <pageMargins left="0.22" right="0.21" top="0.32" bottom="0.3" header="0.17" footer="0.15748031496062992"/>
  <pageSetup paperSize="9" scale="57" fitToHeight="0" orientation="landscape" horizontalDpi="300" verticalDpi="300" r:id="rId1"/>
  <headerFooter alignWithMargins="0"/>
  <ignoredErrors>
    <ignoredError sqref="H14 H16 H18:H19 H23:H25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 xr:uid="{00000000-0002-0000-0000-000000000000}">
          <x14:formula1>
            <xm:f>주조단가!$AC$4:$AC$10</xm:f>
          </x14:formula1>
          <xm:sqref>B16</xm:sqref>
        </x14:dataValidation>
        <x14:dataValidation type="list" allowBlank="1" showInputMessage="1" showErrorMessage="1" xr:uid="{00000000-0002-0000-0000-000001000000}">
          <x14:formula1>
            <xm:f>주조단가!$AE$4:$AE$14</xm:f>
          </x14:formula1>
          <xm:sqref>B17</xm:sqref>
        </x14:dataValidation>
        <x14:dataValidation type="list" allowBlank="1" showInputMessage="1" showErrorMessage="1" xr:uid="{00000000-0002-0000-0000-000002000000}">
          <x14:formula1>
            <xm:f>주조단가!$AD$4:$AD$6</xm:f>
          </x14:formula1>
          <xm:sqref>B18</xm:sqref>
        </x14:dataValidation>
        <x14:dataValidation type="list" allowBlank="1" showInputMessage="1" showErrorMessage="1" xr:uid="{00000000-0002-0000-0000-000003000000}">
          <x14:formula1>
            <xm:f>주조단가!$AF$4:$AF$6</xm:f>
          </x14:formula1>
          <xm:sqref>B19</xm:sqref>
        </x14:dataValidation>
        <x14:dataValidation type="list" allowBlank="1" showInputMessage="1" showErrorMessage="1" xr:uid="{00000000-0002-0000-0000-000004000000}">
          <x14:formula1>
            <xm:f>주조단가!$AG$4</xm:f>
          </x14:formula1>
          <xm:sqref>B20</xm:sqref>
        </x14:dataValidation>
        <x14:dataValidation type="list" allowBlank="1" showInputMessage="1" showErrorMessage="1" xr:uid="{00000000-0002-0000-0000-000005000000}">
          <x14:formula1>
            <xm:f>주조단가!$AH$4</xm:f>
          </x14:formula1>
          <xm:sqref>B21</xm:sqref>
        </x14:dataValidation>
        <x14:dataValidation type="list" allowBlank="1" showInputMessage="1" showErrorMessage="1" xr:uid="{00000000-0002-0000-0000-000006000000}">
          <x14:formula1>
            <xm:f>주조단가!$AI$4:$AI$5</xm:f>
          </x14:formula1>
          <xm:sqref>B22</xm:sqref>
        </x14:dataValidation>
        <x14:dataValidation type="list" allowBlank="1" showInputMessage="1" showErrorMessage="1" xr:uid="{00000000-0002-0000-0000-000007000000}">
          <x14:formula1>
            <xm:f>주조단가!$AJ$4:$AJ$6</xm:f>
          </x14:formula1>
          <xm:sqref>B23</xm:sqref>
        </x14:dataValidation>
        <x14:dataValidation type="list" allowBlank="1" showInputMessage="1" showErrorMessage="1" xr:uid="{00000000-0002-0000-0000-000008000000}">
          <x14:formula1>
            <xm:f>주조단가!$AK$4</xm:f>
          </x14:formula1>
          <xm:sqref>B24</xm:sqref>
        </x14:dataValidation>
        <x14:dataValidation type="list" allowBlank="1" showInputMessage="1" showErrorMessage="1" xr:uid="{00000000-0002-0000-0000-000009000000}">
          <x14:formula1>
            <xm:f>주조단가!$AL$4:$AL$6</xm:f>
          </x14:formula1>
          <xm:sqref>B25</xm:sqref>
        </x14:dataValidation>
        <x14:dataValidation type="list" allowBlank="1" showInputMessage="1" showErrorMessage="1" xr:uid="{00000000-0002-0000-0000-00000A000000}">
          <x14:formula1>
            <xm:f>주조단가!$AM$4:$AM$5</xm:f>
          </x14:formula1>
          <xm:sqref>B26</xm:sqref>
        </x14:dataValidation>
        <x14:dataValidation type="list" allowBlank="1" showInputMessage="1" showErrorMessage="1" xr:uid="{00000000-0002-0000-0000-00000B000000}">
          <x14:formula1>
            <xm:f>주조단가!$AN$4:$AN$6</xm:f>
          </x14:formula1>
          <xm:sqref>B27</xm:sqref>
        </x14:dataValidation>
        <x14:dataValidation type="list" allowBlank="1" showInputMessage="1" showErrorMessage="1" xr:uid="{00000000-0002-0000-0000-00000C000000}">
          <x14:formula1>
            <xm:f>주조단가!$AQ$4:$AQ$5</xm:f>
          </x14:formula1>
          <xm:sqref>B28</xm:sqref>
        </x14:dataValidation>
        <x14:dataValidation type="list" allowBlank="1" showInputMessage="1" showErrorMessage="1" xr:uid="{00000000-0002-0000-0000-00000D000000}">
          <x14:formula1>
            <xm:f>주조단가!$AR$4:$AR$6</xm:f>
          </x14:formula1>
          <xm:sqref>B34</xm:sqref>
        </x14:dataValidation>
        <x14:dataValidation type="list" allowBlank="1" showInputMessage="1" showErrorMessage="1" xr:uid="{00000000-0002-0000-0000-00000E000000}">
          <x14:formula1>
            <xm:f>주조단가!$AS$4:$AS$7</xm:f>
          </x14:formula1>
          <xm:sqref>B35</xm:sqref>
        </x14:dataValidation>
        <x14:dataValidation type="list" allowBlank="1" showInputMessage="1" showErrorMessage="1" xr:uid="{00000000-0002-0000-0000-00000F000000}">
          <x14:formula1>
            <xm:f>주조단가!$AB$4:$AB$6</xm:f>
          </x14:formula1>
          <xm:sqref>B13:B15</xm:sqref>
        </x14:dataValidation>
        <x14:dataValidation type="list" allowBlank="1" showInputMessage="1" showErrorMessage="1" xr:uid="{00000000-0002-0000-0000-000010000000}">
          <x14:formula1>
            <xm:f>주조단가!$AU$4:$AU$5</xm:f>
          </x14:formula1>
          <xm:sqref>B9</xm:sqref>
        </x14:dataValidation>
        <x14:dataValidation type="list" allowBlank="1" showInputMessage="1" showErrorMessage="1" xr:uid="{00000000-0002-0000-0000-000011000000}">
          <x14:formula1>
            <xm:f>주조단가!$AW$4:$AW$6</xm:f>
          </x14:formula1>
          <xm:sqref>B32</xm:sqref>
        </x14:dataValidation>
        <x14:dataValidation type="list" allowBlank="1" showInputMessage="1" showErrorMessage="1" xr:uid="{00000000-0002-0000-0000-000012000000}">
          <x14:formula1>
            <xm:f>주조단가!$AS$9:$AS$10</xm:f>
          </x14:formula1>
          <xm:sqref>C35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AW45"/>
  <sheetViews>
    <sheetView view="pageBreakPreview" zoomScale="85" zoomScaleNormal="55" zoomScaleSheetLayoutView="85" workbookViewId="0">
      <selection activeCell="B10" sqref="B10:B11"/>
    </sheetView>
  </sheetViews>
  <sheetFormatPr defaultRowHeight="13.5"/>
  <cols>
    <col min="1" max="1" width="11.80859375" style="21" customWidth="1"/>
    <col min="2" max="2" width="30.40625" style="21" customWidth="1"/>
    <col min="3" max="3" width="12.39453125" style="21" customWidth="1"/>
    <col min="4" max="4" width="11.34375" style="21" bestFit="1" customWidth="1"/>
    <col min="5" max="6" width="11.2265625" style="21" bestFit="1" customWidth="1"/>
    <col min="7" max="7" width="10.640625" style="21" bestFit="1" customWidth="1"/>
    <col min="8" max="8" width="11.2265625" style="21" bestFit="1" customWidth="1"/>
    <col min="9" max="9" width="11.80859375" style="21" bestFit="1" customWidth="1"/>
    <col min="10" max="11" width="12.62890625" style="21" bestFit="1" customWidth="1"/>
    <col min="12" max="12" width="10.2890625" style="21" bestFit="1" customWidth="1"/>
    <col min="13" max="14" width="12.16015625" style="21" bestFit="1" customWidth="1"/>
    <col min="15" max="16" width="9.9375" style="21" customWidth="1"/>
    <col min="17" max="17" width="8.06640625" style="21" customWidth="1"/>
    <col min="18" max="18" width="10.2890625" style="21" bestFit="1" customWidth="1"/>
    <col min="19" max="19" width="11.92578125" style="21" bestFit="1" customWidth="1"/>
    <col min="20" max="21" width="8.06640625" style="21" customWidth="1"/>
    <col min="22" max="22" width="12.16015625" style="21" bestFit="1" customWidth="1"/>
    <col min="23" max="25" width="8.06640625" style="21" customWidth="1"/>
    <col min="26" max="26" width="8.65234375" style="21" customWidth="1"/>
    <col min="28" max="45" width="26.77734375" style="80" customWidth="1"/>
    <col min="47" max="47" width="26.77734375" style="80" customWidth="1"/>
    <col min="49" max="49" width="26.77734375" style="80" customWidth="1"/>
  </cols>
  <sheetData>
    <row r="1" spans="1:49" s="62" customFormat="1" ht="33" customHeight="1">
      <c r="A1" s="316" t="s">
        <v>65</v>
      </c>
      <c r="B1" s="316"/>
      <c r="C1" s="316"/>
      <c r="D1" s="316"/>
      <c r="E1" s="316"/>
      <c r="F1" s="316"/>
      <c r="G1" s="316"/>
      <c r="H1" s="316"/>
      <c r="I1" s="316"/>
      <c r="J1" s="316"/>
      <c r="K1" s="316"/>
      <c r="L1" s="316"/>
      <c r="M1" s="316"/>
      <c r="N1" s="316"/>
      <c r="O1" s="316"/>
      <c r="P1" s="316"/>
      <c r="Q1" s="316"/>
      <c r="R1" s="316"/>
      <c r="S1" s="316"/>
      <c r="T1" s="316"/>
      <c r="U1" s="316"/>
      <c r="V1" s="316"/>
      <c r="W1" s="316"/>
      <c r="X1" s="316"/>
      <c r="Y1" s="316"/>
      <c r="Z1" s="316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U1" s="79"/>
      <c r="AW1" s="79"/>
    </row>
    <row r="2" spans="1:49" s="21" customFormat="1" ht="33" customHeight="1" thickBot="1">
      <c r="AB2" s="67">
        <v>1</v>
      </c>
      <c r="AC2" s="67">
        <v>2</v>
      </c>
      <c r="AD2" s="67">
        <v>3</v>
      </c>
      <c r="AE2" s="67">
        <v>4</v>
      </c>
      <c r="AF2" s="67">
        <v>5</v>
      </c>
      <c r="AG2" s="67">
        <v>6</v>
      </c>
      <c r="AH2" s="67">
        <v>7</v>
      </c>
      <c r="AI2" s="67">
        <v>8</v>
      </c>
      <c r="AJ2" s="67">
        <v>9</v>
      </c>
      <c r="AK2" s="67">
        <v>10</v>
      </c>
      <c r="AL2" s="67">
        <v>11</v>
      </c>
      <c r="AM2" s="67">
        <v>12</v>
      </c>
      <c r="AN2" s="67">
        <v>13</v>
      </c>
      <c r="AO2" s="67">
        <v>14</v>
      </c>
      <c r="AP2" s="67">
        <v>15</v>
      </c>
      <c r="AQ2" s="67"/>
      <c r="AR2" s="67">
        <v>17</v>
      </c>
      <c r="AS2" s="67">
        <v>18</v>
      </c>
      <c r="AU2" s="67">
        <v>19</v>
      </c>
      <c r="AW2" s="67">
        <v>20</v>
      </c>
    </row>
    <row r="3" spans="1:49" s="61" customFormat="1" ht="53.45" customHeight="1" thickBot="1">
      <c r="A3" s="22" t="s">
        <v>66</v>
      </c>
      <c r="B3" s="22" t="s">
        <v>67</v>
      </c>
      <c r="C3" s="23" t="s">
        <v>68</v>
      </c>
      <c r="D3" s="63" t="s">
        <v>69</v>
      </c>
      <c r="E3" s="24" t="s">
        <v>70</v>
      </c>
      <c r="F3" s="24" t="s">
        <v>71</v>
      </c>
      <c r="G3" s="24" t="s">
        <v>72</v>
      </c>
      <c r="H3" s="24" t="s">
        <v>73</v>
      </c>
      <c r="I3" s="24" t="s">
        <v>74</v>
      </c>
      <c r="J3" s="24" t="s">
        <v>75</v>
      </c>
      <c r="K3" s="24" t="s">
        <v>76</v>
      </c>
      <c r="L3" s="63" t="s">
        <v>77</v>
      </c>
      <c r="M3" s="63" t="s">
        <v>78</v>
      </c>
      <c r="N3" s="63" t="s">
        <v>79</v>
      </c>
      <c r="O3" s="63" t="s">
        <v>80</v>
      </c>
      <c r="P3" s="63" t="s">
        <v>81</v>
      </c>
      <c r="Q3" s="24" t="s">
        <v>82</v>
      </c>
      <c r="R3" s="63" t="s">
        <v>83</v>
      </c>
      <c r="S3" s="25" t="s">
        <v>84</v>
      </c>
      <c r="T3" s="26" t="s">
        <v>85</v>
      </c>
      <c r="U3" s="27" t="s">
        <v>86</v>
      </c>
      <c r="V3" s="28" t="s">
        <v>42</v>
      </c>
      <c r="W3" s="29" t="s">
        <v>87</v>
      </c>
      <c r="X3" s="23" t="s">
        <v>88</v>
      </c>
      <c r="Y3" s="28" t="s">
        <v>89</v>
      </c>
      <c r="Z3" s="64" t="s">
        <v>90</v>
      </c>
      <c r="AB3" s="81" t="s">
        <v>134</v>
      </c>
      <c r="AC3" s="81" t="s">
        <v>135</v>
      </c>
      <c r="AD3" s="82" t="s">
        <v>141</v>
      </c>
      <c r="AE3" s="82" t="s">
        <v>142</v>
      </c>
      <c r="AF3" s="82" t="s">
        <v>205</v>
      </c>
      <c r="AG3" s="82" t="s">
        <v>206</v>
      </c>
      <c r="AH3" s="82" t="s">
        <v>214</v>
      </c>
      <c r="AI3" s="82" t="s">
        <v>144</v>
      </c>
      <c r="AJ3" s="81" t="s">
        <v>218</v>
      </c>
      <c r="AK3" s="82" t="s">
        <v>143</v>
      </c>
      <c r="AL3" s="81" t="s">
        <v>223</v>
      </c>
      <c r="AM3" s="81" t="s">
        <v>228</v>
      </c>
      <c r="AN3" s="81" t="s">
        <v>236</v>
      </c>
      <c r="AO3" s="81" t="s">
        <v>241</v>
      </c>
      <c r="AP3" s="81" t="s">
        <v>242</v>
      </c>
      <c r="AQ3" s="81" t="s">
        <v>243</v>
      </c>
      <c r="AR3" s="81" t="s">
        <v>157</v>
      </c>
      <c r="AS3" s="81" t="s">
        <v>145</v>
      </c>
      <c r="AU3" s="81" t="s">
        <v>286</v>
      </c>
      <c r="AW3" s="81" t="s">
        <v>411</v>
      </c>
    </row>
    <row r="4" spans="1:49" s="61" customFormat="1" ht="25.15" customHeight="1" thickBot="1">
      <c r="A4" s="30" t="s">
        <v>43</v>
      </c>
      <c r="B4" s="31" t="s">
        <v>91</v>
      </c>
      <c r="C4" s="32" t="s">
        <v>92</v>
      </c>
      <c r="D4" s="33">
        <v>2700</v>
      </c>
      <c r="E4" s="33">
        <v>4200</v>
      </c>
      <c r="F4" s="33"/>
      <c r="G4" s="33">
        <v>2900</v>
      </c>
      <c r="H4" s="33">
        <v>3900</v>
      </c>
      <c r="I4" s="33"/>
      <c r="J4" s="33"/>
      <c r="K4" s="33"/>
      <c r="L4" s="33">
        <v>6000</v>
      </c>
      <c r="M4" s="33">
        <v>7500</v>
      </c>
      <c r="N4" s="33">
        <v>8500</v>
      </c>
      <c r="O4" s="33"/>
      <c r="P4" s="33"/>
      <c r="Q4" s="33"/>
      <c r="R4" s="33"/>
      <c r="S4" s="33"/>
      <c r="T4" s="34"/>
      <c r="U4" s="34"/>
      <c r="V4" s="34"/>
      <c r="W4" s="34"/>
      <c r="X4" s="33"/>
      <c r="Y4" s="33"/>
      <c r="Z4" s="35"/>
      <c r="AB4" s="83" t="s">
        <v>69</v>
      </c>
      <c r="AC4" s="83" t="s">
        <v>77</v>
      </c>
      <c r="AD4" s="83" t="s">
        <v>161</v>
      </c>
      <c r="AE4" s="83" t="s">
        <v>136</v>
      </c>
      <c r="AF4" s="83" t="s">
        <v>161</v>
      </c>
      <c r="AG4" s="83" t="s">
        <v>211</v>
      </c>
      <c r="AH4" s="83" t="s">
        <v>216</v>
      </c>
      <c r="AI4" s="83" t="s">
        <v>212</v>
      </c>
      <c r="AJ4" s="83" t="s">
        <v>219</v>
      </c>
      <c r="AK4" s="83" t="s">
        <v>222</v>
      </c>
      <c r="AL4" s="83" t="s">
        <v>212</v>
      </c>
      <c r="AM4" s="83" t="s">
        <v>219</v>
      </c>
      <c r="AN4" s="83" t="s">
        <v>219</v>
      </c>
      <c r="AO4" s="83" t="s">
        <v>212</v>
      </c>
      <c r="AP4" s="83" t="s">
        <v>219</v>
      </c>
      <c r="AQ4" s="83" t="s">
        <v>244</v>
      </c>
      <c r="AR4" s="83" t="s">
        <v>158</v>
      </c>
      <c r="AS4" s="83" t="s">
        <v>11</v>
      </c>
      <c r="AU4" s="83" t="s">
        <v>287</v>
      </c>
      <c r="AW4" s="83" t="s">
        <v>289</v>
      </c>
    </row>
    <row r="5" spans="1:49" s="61" customFormat="1" ht="27.75" customHeight="1" thickBot="1">
      <c r="A5" s="317" t="s">
        <v>44</v>
      </c>
      <c r="B5" s="319" t="s">
        <v>45</v>
      </c>
      <c r="C5" s="36" t="s">
        <v>46</v>
      </c>
      <c r="D5" s="37">
        <v>2600</v>
      </c>
      <c r="E5" s="37"/>
      <c r="F5" s="37"/>
      <c r="G5" s="37"/>
      <c r="H5" s="37"/>
      <c r="I5" s="37"/>
      <c r="J5" s="37"/>
      <c r="K5" s="37"/>
      <c r="L5" s="321">
        <v>5800</v>
      </c>
      <c r="M5" s="321">
        <v>7300</v>
      </c>
      <c r="N5" s="321">
        <v>8300</v>
      </c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9"/>
      <c r="AB5" s="83" t="s">
        <v>147</v>
      </c>
      <c r="AC5" s="83" t="s">
        <v>78</v>
      </c>
      <c r="AD5" s="83" t="s">
        <v>39</v>
      </c>
      <c r="AE5" s="113" t="s">
        <v>148</v>
      </c>
      <c r="AF5" s="83" t="s">
        <v>39</v>
      </c>
      <c r="AG5" s="83"/>
      <c r="AH5" s="83"/>
      <c r="AI5" s="83" t="s">
        <v>213</v>
      </c>
      <c r="AJ5" s="83" t="s">
        <v>220</v>
      </c>
      <c r="AK5" s="83"/>
      <c r="AL5" s="83" t="s">
        <v>227</v>
      </c>
      <c r="AM5" s="83" t="s">
        <v>220</v>
      </c>
      <c r="AN5" s="83" t="s">
        <v>220</v>
      </c>
      <c r="AO5" s="83" t="s">
        <v>69</v>
      </c>
      <c r="AP5" s="83" t="s">
        <v>40</v>
      </c>
      <c r="AQ5" s="83" t="s">
        <v>202</v>
      </c>
      <c r="AR5" s="83" t="s">
        <v>159</v>
      </c>
      <c r="AS5" s="83" t="s">
        <v>5</v>
      </c>
      <c r="AU5" s="83" t="s">
        <v>202</v>
      </c>
      <c r="AW5" s="83" t="s">
        <v>292</v>
      </c>
    </row>
    <row r="6" spans="1:49" s="61" customFormat="1" ht="27.75" customHeight="1" thickBot="1">
      <c r="A6" s="318"/>
      <c r="B6" s="320"/>
      <c r="C6" s="36" t="s">
        <v>93</v>
      </c>
      <c r="D6" s="37">
        <v>2800</v>
      </c>
      <c r="E6" s="37"/>
      <c r="F6" s="37"/>
      <c r="G6" s="37"/>
      <c r="H6" s="37"/>
      <c r="I6" s="37"/>
      <c r="J6" s="37"/>
      <c r="K6" s="37"/>
      <c r="L6" s="322"/>
      <c r="M6" s="322">
        <v>7300</v>
      </c>
      <c r="N6" s="322">
        <v>8300</v>
      </c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9"/>
      <c r="AB6" s="83" t="s">
        <v>439</v>
      </c>
      <c r="AC6" s="83" t="s">
        <v>83</v>
      </c>
      <c r="AD6" s="83" t="s">
        <v>0</v>
      </c>
      <c r="AE6" s="83" t="s">
        <v>151</v>
      </c>
      <c r="AF6" s="83" t="s">
        <v>209</v>
      </c>
      <c r="AG6" s="83"/>
      <c r="AH6" s="83"/>
      <c r="AI6" s="83"/>
      <c r="AJ6" s="83" t="s">
        <v>260</v>
      </c>
      <c r="AK6" s="83"/>
      <c r="AL6" s="83" t="s">
        <v>224</v>
      </c>
      <c r="AM6" s="83"/>
      <c r="AN6" s="83" t="s">
        <v>261</v>
      </c>
      <c r="AO6" s="83" t="s">
        <v>78</v>
      </c>
      <c r="AP6" s="83" t="s">
        <v>261</v>
      </c>
      <c r="AQ6" s="83"/>
      <c r="AR6" s="83" t="s">
        <v>160</v>
      </c>
      <c r="AS6" s="83" t="s">
        <v>12</v>
      </c>
      <c r="AU6" s="83"/>
      <c r="AW6" s="83" t="s">
        <v>293</v>
      </c>
    </row>
    <row r="7" spans="1:49" s="61" customFormat="1" ht="25.15" customHeight="1" thickBot="1">
      <c r="A7" s="41" t="s">
        <v>47</v>
      </c>
      <c r="B7" s="328" t="s">
        <v>48</v>
      </c>
      <c r="C7" s="36" t="s">
        <v>49</v>
      </c>
      <c r="D7" s="37">
        <v>2700</v>
      </c>
      <c r="E7" s="37"/>
      <c r="F7" s="37"/>
      <c r="G7" s="37"/>
      <c r="H7" s="37"/>
      <c r="I7" s="37"/>
      <c r="J7" s="37"/>
      <c r="K7" s="37"/>
      <c r="L7" s="37">
        <v>5800</v>
      </c>
      <c r="M7" s="37">
        <v>7700</v>
      </c>
      <c r="N7" s="37">
        <v>8700</v>
      </c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9"/>
      <c r="AB7" s="83"/>
      <c r="AC7" s="83" t="s">
        <v>79</v>
      </c>
      <c r="AD7" s="83"/>
      <c r="AE7" s="114" t="s">
        <v>152</v>
      </c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 t="s">
        <v>150</v>
      </c>
      <c r="AU7" s="83"/>
      <c r="AW7" s="83"/>
    </row>
    <row r="8" spans="1:49" s="61" customFormat="1" ht="49.7" customHeight="1" thickBot="1">
      <c r="A8" s="41" t="s">
        <v>47</v>
      </c>
      <c r="B8" s="329"/>
      <c r="C8" s="36" t="s">
        <v>50</v>
      </c>
      <c r="D8" s="37">
        <v>2900</v>
      </c>
      <c r="E8" s="37"/>
      <c r="F8" s="37"/>
      <c r="G8" s="37"/>
      <c r="H8" s="37"/>
      <c r="I8" s="37">
        <v>5000</v>
      </c>
      <c r="J8" s="37"/>
      <c r="K8" s="37"/>
      <c r="L8" s="37">
        <v>6000</v>
      </c>
      <c r="M8" s="37">
        <v>8000</v>
      </c>
      <c r="N8" s="37">
        <v>9000</v>
      </c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9"/>
      <c r="AB8" s="83"/>
      <c r="AC8" s="83" t="s">
        <v>263</v>
      </c>
      <c r="AD8" s="83"/>
      <c r="AE8" s="83" t="s">
        <v>137</v>
      </c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 t="s">
        <v>403</v>
      </c>
      <c r="AU8" s="83"/>
      <c r="AW8" s="83"/>
    </row>
    <row r="9" spans="1:49" s="61" customFormat="1" ht="25.15" customHeight="1" thickBot="1">
      <c r="A9" s="42" t="s">
        <v>51</v>
      </c>
      <c r="B9" s="43" t="s">
        <v>52</v>
      </c>
      <c r="C9" s="36" t="s">
        <v>53</v>
      </c>
      <c r="D9" s="37">
        <v>2600</v>
      </c>
      <c r="E9" s="37">
        <v>4200</v>
      </c>
      <c r="F9" s="37"/>
      <c r="G9" s="37">
        <v>2800</v>
      </c>
      <c r="H9" s="37">
        <v>3600</v>
      </c>
      <c r="I9" s="37">
        <v>5000</v>
      </c>
      <c r="J9" s="37">
        <v>8300</v>
      </c>
      <c r="K9" s="37">
        <v>8500</v>
      </c>
      <c r="L9" s="37">
        <v>5800</v>
      </c>
      <c r="M9" s="37">
        <v>7000</v>
      </c>
      <c r="N9" s="37">
        <v>8000</v>
      </c>
      <c r="O9" s="37">
        <v>9000</v>
      </c>
      <c r="P9" s="37">
        <v>11000</v>
      </c>
      <c r="Q9" s="37">
        <v>12000</v>
      </c>
      <c r="R9" s="37">
        <v>6300</v>
      </c>
      <c r="S9" s="37"/>
      <c r="T9" s="37">
        <v>35000</v>
      </c>
      <c r="U9" s="37"/>
      <c r="V9" s="37">
        <v>17000</v>
      </c>
      <c r="W9" s="37">
        <v>35000</v>
      </c>
      <c r="X9" s="37"/>
      <c r="Y9" s="37"/>
      <c r="Z9" s="39"/>
      <c r="AB9" s="83"/>
      <c r="AC9" s="83" t="s">
        <v>200</v>
      </c>
      <c r="AD9" s="83"/>
      <c r="AE9" s="83" t="s">
        <v>138</v>
      </c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3" t="s">
        <v>353</v>
      </c>
      <c r="AU9" s="81"/>
      <c r="AW9" s="81"/>
    </row>
    <row r="10" spans="1:49" s="61" customFormat="1" ht="25.15" customHeight="1" thickBot="1">
      <c r="A10" s="42" t="s">
        <v>54</v>
      </c>
      <c r="B10" s="330" t="s">
        <v>55</v>
      </c>
      <c r="C10" s="36" t="s">
        <v>56</v>
      </c>
      <c r="D10" s="37">
        <v>2750</v>
      </c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9"/>
      <c r="AB10" s="83"/>
      <c r="AC10" s="83" t="s">
        <v>201</v>
      </c>
      <c r="AD10" s="83"/>
      <c r="AE10" s="83" t="s">
        <v>139</v>
      </c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3" t="s">
        <v>390</v>
      </c>
      <c r="AU10" s="81"/>
      <c r="AW10" s="81"/>
    </row>
    <row r="11" spans="1:49" s="61" customFormat="1" ht="25.15" customHeight="1" thickBot="1">
      <c r="A11" s="42" t="s">
        <v>54</v>
      </c>
      <c r="B11" s="331"/>
      <c r="C11" s="36" t="s">
        <v>57</v>
      </c>
      <c r="D11" s="37">
        <v>2700</v>
      </c>
      <c r="E11" s="37">
        <v>4000</v>
      </c>
      <c r="F11" s="37">
        <v>3000</v>
      </c>
      <c r="G11" s="37">
        <v>2800</v>
      </c>
      <c r="H11" s="37">
        <v>3700</v>
      </c>
      <c r="I11" s="37">
        <v>4800</v>
      </c>
      <c r="J11" s="37">
        <v>7800</v>
      </c>
      <c r="K11" s="37">
        <v>8800</v>
      </c>
      <c r="L11" s="37">
        <v>6000</v>
      </c>
      <c r="M11" s="37">
        <v>7600</v>
      </c>
      <c r="N11" s="37">
        <v>8600</v>
      </c>
      <c r="O11" s="37">
        <v>10500</v>
      </c>
      <c r="P11" s="37">
        <v>11500</v>
      </c>
      <c r="Q11" s="37">
        <v>12500</v>
      </c>
      <c r="R11" s="37">
        <v>6500</v>
      </c>
      <c r="S11" s="37">
        <v>7000</v>
      </c>
      <c r="T11" s="37">
        <v>36000</v>
      </c>
      <c r="U11" s="37">
        <v>25000</v>
      </c>
      <c r="V11" s="37">
        <v>18000</v>
      </c>
      <c r="W11" s="37">
        <v>38000</v>
      </c>
      <c r="X11" s="37"/>
      <c r="Y11" s="37"/>
      <c r="Z11" s="39"/>
      <c r="AB11" s="83"/>
      <c r="AC11" s="83"/>
      <c r="AD11" s="83"/>
      <c r="AE11" s="83" t="s">
        <v>140</v>
      </c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U11" s="81"/>
      <c r="AW11" s="81"/>
    </row>
    <row r="12" spans="1:49" s="61" customFormat="1" ht="25.15" customHeight="1" thickBot="1">
      <c r="A12" s="42" t="s">
        <v>58</v>
      </c>
      <c r="B12" s="43" t="s">
        <v>59</v>
      </c>
      <c r="C12" s="36" t="s">
        <v>60</v>
      </c>
      <c r="D12" s="37">
        <v>2800</v>
      </c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9"/>
      <c r="AB12" s="83"/>
      <c r="AC12" s="83"/>
      <c r="AD12" s="83"/>
      <c r="AE12" s="84" t="s">
        <v>153</v>
      </c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U12" s="81"/>
      <c r="AW12" s="81"/>
    </row>
    <row r="13" spans="1:49" s="61" customFormat="1" ht="25.15" customHeight="1" thickBot="1">
      <c r="A13" s="42" t="s">
        <v>58</v>
      </c>
      <c r="B13" s="43"/>
      <c r="C13" s="36" t="s">
        <v>57</v>
      </c>
      <c r="D13" s="37">
        <v>2750</v>
      </c>
      <c r="E13" s="37">
        <v>4150</v>
      </c>
      <c r="F13" s="37"/>
      <c r="G13" s="37">
        <v>2900</v>
      </c>
      <c r="H13" s="37">
        <v>3750</v>
      </c>
      <c r="I13" s="37">
        <v>4950</v>
      </c>
      <c r="J13" s="37"/>
      <c r="K13" s="37"/>
      <c r="L13" s="37">
        <v>6100</v>
      </c>
      <c r="M13" s="37">
        <v>7400</v>
      </c>
      <c r="N13" s="37">
        <v>8200</v>
      </c>
      <c r="O13" s="37">
        <v>9000</v>
      </c>
      <c r="P13" s="37">
        <v>11000</v>
      </c>
      <c r="Q13" s="37">
        <v>12000</v>
      </c>
      <c r="R13" s="37">
        <v>6600</v>
      </c>
      <c r="S13" s="37"/>
      <c r="T13" s="37"/>
      <c r="U13" s="37"/>
      <c r="V13" s="37"/>
      <c r="W13" s="37"/>
      <c r="X13" s="37"/>
      <c r="Y13" s="37"/>
      <c r="Z13" s="39"/>
      <c r="AB13" s="83"/>
      <c r="AC13" s="83"/>
      <c r="AD13" s="83"/>
      <c r="AE13" s="84" t="s">
        <v>154</v>
      </c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U13" s="81"/>
      <c r="AW13" s="81"/>
    </row>
    <row r="14" spans="1:49" s="61" customFormat="1" ht="27.75" customHeight="1" thickBot="1">
      <c r="A14" s="40" t="s">
        <v>61</v>
      </c>
      <c r="B14" s="45" t="s">
        <v>94</v>
      </c>
      <c r="C14" s="36"/>
      <c r="D14" s="37">
        <v>3500</v>
      </c>
      <c r="E14" s="37"/>
      <c r="F14" s="37"/>
      <c r="G14" s="37"/>
      <c r="H14" s="37"/>
      <c r="I14" s="37"/>
      <c r="J14" s="37"/>
      <c r="K14" s="37"/>
      <c r="L14" s="34">
        <v>6300</v>
      </c>
      <c r="M14" s="34">
        <v>8300</v>
      </c>
      <c r="N14" s="34">
        <v>9300</v>
      </c>
      <c r="O14" s="37"/>
      <c r="P14" s="37">
        <v>18000</v>
      </c>
      <c r="Q14" s="37"/>
      <c r="R14" s="37">
        <v>7300</v>
      </c>
      <c r="S14" s="37"/>
      <c r="T14" s="37"/>
      <c r="U14" s="37"/>
      <c r="V14" s="37"/>
      <c r="W14" s="37"/>
      <c r="X14" s="37"/>
      <c r="Y14" s="37"/>
      <c r="Z14" s="39"/>
      <c r="AB14" s="83"/>
      <c r="AC14" s="83"/>
      <c r="AD14" s="83"/>
      <c r="AE14" s="83" t="s">
        <v>155</v>
      </c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U14" s="81"/>
      <c r="AW14" s="81"/>
    </row>
    <row r="15" spans="1:49" s="61" customFormat="1" ht="27.75" customHeight="1" thickBot="1">
      <c r="A15" s="317" t="s">
        <v>95</v>
      </c>
      <c r="B15" s="319" t="s">
        <v>96</v>
      </c>
      <c r="C15" s="45" t="s">
        <v>97</v>
      </c>
      <c r="D15" s="37">
        <v>4000</v>
      </c>
      <c r="E15" s="37"/>
      <c r="F15" s="37"/>
      <c r="G15" s="37"/>
      <c r="H15" s="37"/>
      <c r="I15" s="37"/>
      <c r="J15" s="37"/>
      <c r="K15" s="37"/>
      <c r="L15" s="34">
        <v>6900</v>
      </c>
      <c r="M15" s="34">
        <v>8600</v>
      </c>
      <c r="N15" s="34">
        <v>9600</v>
      </c>
      <c r="O15" s="37">
        <v>11500</v>
      </c>
      <c r="P15" s="37">
        <v>15000</v>
      </c>
      <c r="Q15" s="37"/>
      <c r="R15" s="37">
        <v>7900</v>
      </c>
      <c r="S15" s="37"/>
      <c r="T15" s="37"/>
      <c r="U15" s="37"/>
      <c r="V15" s="37"/>
      <c r="W15" s="37"/>
      <c r="X15" s="37"/>
      <c r="Y15" s="37"/>
      <c r="Z15" s="39"/>
      <c r="AB15" s="83"/>
      <c r="AC15" s="83"/>
      <c r="AD15" s="83"/>
      <c r="AE15" s="83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U15" s="81"/>
      <c r="AW15" s="81"/>
    </row>
    <row r="16" spans="1:49" s="61" customFormat="1" ht="27.75" customHeight="1" thickBot="1">
      <c r="A16" s="332"/>
      <c r="B16" s="323"/>
      <c r="C16" s="45" t="s">
        <v>98</v>
      </c>
      <c r="D16" s="37">
        <v>3700</v>
      </c>
      <c r="E16" s="37"/>
      <c r="F16" s="37"/>
      <c r="G16" s="37"/>
      <c r="H16" s="37"/>
      <c r="I16" s="37"/>
      <c r="J16" s="37"/>
      <c r="K16" s="37"/>
      <c r="L16" s="34">
        <v>6700</v>
      </c>
      <c r="M16" s="34">
        <v>8200</v>
      </c>
      <c r="N16" s="34">
        <v>9200</v>
      </c>
      <c r="O16" s="37">
        <v>11500</v>
      </c>
      <c r="P16" s="37">
        <v>15000</v>
      </c>
      <c r="Q16" s="37"/>
      <c r="R16" s="37">
        <v>7700</v>
      </c>
      <c r="S16" s="37"/>
      <c r="T16" s="37"/>
      <c r="U16" s="37"/>
      <c r="V16" s="37"/>
      <c r="W16" s="37"/>
      <c r="X16" s="37"/>
      <c r="Y16" s="37"/>
      <c r="Z16" s="39"/>
      <c r="AB16" s="83"/>
      <c r="AC16" s="83"/>
      <c r="AD16" s="83"/>
      <c r="AE16" s="83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U16" s="81"/>
      <c r="AW16" s="81"/>
    </row>
    <row r="17" spans="1:49" s="61" customFormat="1" ht="27.75" customHeight="1" thickBot="1">
      <c r="A17" s="318"/>
      <c r="B17" s="320"/>
      <c r="C17" s="45" t="s">
        <v>99</v>
      </c>
      <c r="D17" s="37">
        <v>3300</v>
      </c>
      <c r="E17" s="37"/>
      <c r="F17" s="37"/>
      <c r="G17" s="37"/>
      <c r="H17" s="37"/>
      <c r="I17" s="37"/>
      <c r="J17" s="37"/>
      <c r="K17" s="37"/>
      <c r="L17" s="34">
        <v>6500</v>
      </c>
      <c r="M17" s="34">
        <v>8000</v>
      </c>
      <c r="N17" s="34">
        <v>9000</v>
      </c>
      <c r="O17" s="37">
        <v>11500</v>
      </c>
      <c r="P17" s="37">
        <v>15000</v>
      </c>
      <c r="Q17" s="37"/>
      <c r="R17" s="37">
        <v>7500</v>
      </c>
      <c r="S17" s="37"/>
      <c r="T17" s="37"/>
      <c r="U17" s="37"/>
      <c r="V17" s="37"/>
      <c r="W17" s="37"/>
      <c r="X17" s="37"/>
      <c r="Y17" s="37"/>
      <c r="Z17" s="39"/>
      <c r="AB17" s="83"/>
      <c r="AC17" s="83"/>
      <c r="AD17" s="83"/>
      <c r="AE17" s="83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U17" s="81"/>
      <c r="AW17" s="81"/>
    </row>
    <row r="18" spans="1:49" s="61" customFormat="1" ht="27.75" customHeight="1" thickBot="1">
      <c r="A18" s="317" t="s">
        <v>100</v>
      </c>
      <c r="B18" s="319" t="s">
        <v>96</v>
      </c>
      <c r="C18" s="45" t="s">
        <v>97</v>
      </c>
      <c r="D18" s="37">
        <v>3800</v>
      </c>
      <c r="E18" s="37"/>
      <c r="F18" s="37"/>
      <c r="G18" s="37"/>
      <c r="H18" s="37"/>
      <c r="I18" s="37"/>
      <c r="J18" s="37"/>
      <c r="K18" s="37"/>
      <c r="L18" s="34">
        <v>6700</v>
      </c>
      <c r="M18" s="34">
        <v>8200</v>
      </c>
      <c r="N18" s="34">
        <v>8900</v>
      </c>
      <c r="O18" s="37">
        <v>11500</v>
      </c>
      <c r="P18" s="37">
        <v>16000</v>
      </c>
      <c r="Q18" s="37"/>
      <c r="R18" s="37">
        <v>7200</v>
      </c>
      <c r="S18" s="37"/>
      <c r="T18" s="37"/>
      <c r="U18" s="37"/>
      <c r="V18" s="37"/>
      <c r="W18" s="37"/>
      <c r="X18" s="37"/>
      <c r="Y18" s="37"/>
      <c r="Z18" s="39"/>
      <c r="AB18" s="83"/>
      <c r="AC18" s="83"/>
      <c r="AD18" s="83"/>
      <c r="AE18" s="83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U18" s="81"/>
      <c r="AW18" s="81"/>
    </row>
    <row r="19" spans="1:49" s="61" customFormat="1" ht="25.15" customHeight="1" thickBot="1">
      <c r="A19" s="332"/>
      <c r="B19" s="323"/>
      <c r="C19" s="45" t="s">
        <v>98</v>
      </c>
      <c r="D19" s="37">
        <v>3300</v>
      </c>
      <c r="E19" s="37"/>
      <c r="F19" s="37"/>
      <c r="G19" s="37"/>
      <c r="H19" s="37"/>
      <c r="I19" s="37"/>
      <c r="J19" s="37"/>
      <c r="K19" s="37"/>
      <c r="L19" s="34">
        <v>6400</v>
      </c>
      <c r="M19" s="34">
        <v>8200</v>
      </c>
      <c r="N19" s="34">
        <v>8900</v>
      </c>
      <c r="O19" s="37">
        <v>11500</v>
      </c>
      <c r="P19" s="37">
        <v>16000</v>
      </c>
      <c r="Q19" s="37"/>
      <c r="R19" s="37">
        <v>7200</v>
      </c>
      <c r="S19" s="37"/>
      <c r="T19" s="37"/>
      <c r="U19" s="37"/>
      <c r="V19" s="37"/>
      <c r="W19" s="37"/>
      <c r="X19" s="37"/>
      <c r="Y19" s="37"/>
      <c r="Z19" s="39"/>
      <c r="AB19" s="84"/>
      <c r="AC19" s="84"/>
      <c r="AD19" s="84"/>
      <c r="AE19" s="84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U19" s="82"/>
      <c r="AW19" s="82"/>
    </row>
    <row r="20" spans="1:49" s="61" customFormat="1" ht="25.15" customHeight="1" thickBot="1">
      <c r="A20" s="318"/>
      <c r="B20" s="320"/>
      <c r="C20" s="45" t="s">
        <v>99</v>
      </c>
      <c r="D20" s="37">
        <v>3300</v>
      </c>
      <c r="E20" s="37"/>
      <c r="F20" s="37"/>
      <c r="G20" s="37"/>
      <c r="H20" s="37"/>
      <c r="I20" s="37"/>
      <c r="J20" s="37"/>
      <c r="K20" s="37"/>
      <c r="L20" s="34">
        <v>6400</v>
      </c>
      <c r="M20" s="34">
        <v>8000</v>
      </c>
      <c r="N20" s="34">
        <v>8700</v>
      </c>
      <c r="O20" s="37">
        <v>11500</v>
      </c>
      <c r="P20" s="37">
        <v>16000</v>
      </c>
      <c r="Q20" s="37"/>
      <c r="R20" s="37">
        <v>7200</v>
      </c>
      <c r="S20" s="37"/>
      <c r="T20" s="37"/>
      <c r="U20" s="37"/>
      <c r="V20" s="37"/>
      <c r="W20" s="37"/>
      <c r="X20" s="37"/>
      <c r="Y20" s="37"/>
      <c r="Z20" s="39"/>
      <c r="AB20" s="84"/>
      <c r="AC20" s="84"/>
      <c r="AD20" s="84"/>
      <c r="AE20" s="84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2"/>
      <c r="AQ20" s="82"/>
      <c r="AR20" s="82"/>
      <c r="AS20" s="82"/>
      <c r="AU20" s="82"/>
      <c r="AW20" s="82"/>
    </row>
    <row r="21" spans="1:49" s="61" customFormat="1" ht="25.15" customHeight="1" thickBot="1">
      <c r="A21" s="46" t="s">
        <v>101</v>
      </c>
      <c r="B21" s="47" t="s">
        <v>102</v>
      </c>
      <c r="C21" s="44"/>
      <c r="D21" s="38"/>
      <c r="E21" s="38"/>
      <c r="F21" s="38"/>
      <c r="G21" s="38"/>
      <c r="H21" s="38"/>
      <c r="I21" s="38"/>
      <c r="J21" s="38"/>
      <c r="K21" s="38"/>
      <c r="L21" s="48">
        <v>12600</v>
      </c>
      <c r="M21" s="48">
        <v>16200</v>
      </c>
      <c r="N21" s="48">
        <v>18500</v>
      </c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49"/>
      <c r="AB21" s="84"/>
      <c r="AC21" s="84"/>
      <c r="AD21" s="84"/>
      <c r="AE21" s="84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U21" s="82"/>
      <c r="AW21" s="82"/>
    </row>
    <row r="22" spans="1:49" s="61" customFormat="1" ht="25.15" customHeight="1" thickBot="1">
      <c r="A22" s="50" t="s">
        <v>103</v>
      </c>
      <c r="B22" s="51"/>
      <c r="C22" s="32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>
        <v>11300</v>
      </c>
      <c r="Y22" s="33">
        <v>11700</v>
      </c>
      <c r="Z22" s="35"/>
      <c r="AB22" s="84"/>
      <c r="AC22" s="84"/>
      <c r="AD22" s="84"/>
      <c r="AE22" s="84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U22" s="82"/>
      <c r="AW22" s="82"/>
    </row>
    <row r="23" spans="1:49" s="61" customFormat="1" ht="25.15" customHeight="1" thickBot="1">
      <c r="A23" s="41" t="s">
        <v>104</v>
      </c>
      <c r="B23" s="52"/>
      <c r="C23" s="36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>
        <v>11000</v>
      </c>
      <c r="Y23" s="37">
        <v>11300</v>
      </c>
      <c r="Z23" s="39"/>
      <c r="AB23" s="84"/>
      <c r="AC23" s="84"/>
      <c r="AD23" s="84"/>
      <c r="AE23" s="84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U23" s="82"/>
      <c r="AW23" s="82"/>
    </row>
    <row r="24" spans="1:49" s="61" customFormat="1" ht="25.15" customHeight="1" thickBot="1">
      <c r="A24" s="42" t="s">
        <v>105</v>
      </c>
      <c r="B24" s="319" t="s">
        <v>106</v>
      </c>
      <c r="C24" s="36" t="s">
        <v>107</v>
      </c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>
        <v>12150</v>
      </c>
      <c r="Y24" s="37">
        <v>12650</v>
      </c>
      <c r="Z24" s="39"/>
      <c r="AB24" s="84"/>
      <c r="AC24" s="84"/>
      <c r="AD24" s="84"/>
      <c r="AE24" s="84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U24" s="82"/>
      <c r="AW24" s="82"/>
    </row>
    <row r="25" spans="1:49" s="61" customFormat="1" ht="25.15" customHeight="1" thickBot="1">
      <c r="A25" s="42" t="s">
        <v>105</v>
      </c>
      <c r="B25" s="323"/>
      <c r="C25" s="36" t="s">
        <v>108</v>
      </c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>
        <v>11650</v>
      </c>
      <c r="Y25" s="37">
        <v>12250</v>
      </c>
      <c r="Z25" s="39"/>
      <c r="AB25" s="84"/>
      <c r="AC25" s="84"/>
      <c r="AD25" s="84"/>
      <c r="AE25" s="84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U25" s="82"/>
      <c r="AW25" s="82"/>
    </row>
    <row r="26" spans="1:49" s="61" customFormat="1" ht="25.15" customHeight="1" thickBot="1">
      <c r="A26" s="53" t="s">
        <v>105</v>
      </c>
      <c r="B26" s="324"/>
      <c r="C26" s="54" t="s">
        <v>53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>
        <v>10950</v>
      </c>
      <c r="Y26" s="55">
        <v>11350</v>
      </c>
      <c r="Z26" s="56"/>
      <c r="AB26" s="84"/>
      <c r="AC26" s="84"/>
      <c r="AD26" s="84"/>
      <c r="AE26" s="84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U26" s="82"/>
      <c r="AW26" s="82"/>
    </row>
    <row r="27" spans="1:49" s="61" customFormat="1" ht="35.450000000000003" customHeight="1" thickBot="1">
      <c r="A27" s="42" t="s">
        <v>62</v>
      </c>
      <c r="B27" s="57" t="s">
        <v>63</v>
      </c>
      <c r="C27" s="58" t="s">
        <v>64</v>
      </c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59">
        <v>2100</v>
      </c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U27" s="82"/>
      <c r="AW27" s="82"/>
    </row>
    <row r="28" spans="1:49" s="61" customFormat="1" ht="25.15" customHeight="1" thickBot="1">
      <c r="A28" s="42" t="s">
        <v>62</v>
      </c>
      <c r="B28" s="43"/>
      <c r="C28" s="36" t="s">
        <v>109</v>
      </c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9">
        <v>1880</v>
      </c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U28" s="82"/>
      <c r="AW28" s="82"/>
    </row>
    <row r="29" spans="1:49" s="61" customFormat="1" ht="25.15" customHeight="1" thickBot="1">
      <c r="A29" s="42" t="s">
        <v>62</v>
      </c>
      <c r="B29" s="43"/>
      <c r="C29" s="36" t="s">
        <v>110</v>
      </c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9">
        <v>1900</v>
      </c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U29" s="82"/>
      <c r="AW29" s="82"/>
    </row>
    <row r="30" spans="1:49" s="61" customFormat="1" ht="21.2" customHeight="1" thickBot="1">
      <c r="A30" s="41" t="s">
        <v>111</v>
      </c>
      <c r="B30" s="52"/>
      <c r="C30" s="36" t="s">
        <v>112</v>
      </c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9">
        <v>2000</v>
      </c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U30" s="82"/>
      <c r="AW30" s="82"/>
    </row>
    <row r="31" spans="1:49" s="21" customFormat="1" ht="21.2" customHeight="1" thickBot="1">
      <c r="A31" s="41" t="s">
        <v>113</v>
      </c>
      <c r="B31" s="325" t="s">
        <v>48</v>
      </c>
      <c r="C31" s="36" t="s">
        <v>114</v>
      </c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9">
        <v>2050</v>
      </c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U31" s="82"/>
      <c r="AW31" s="82"/>
    </row>
    <row r="32" spans="1:49" s="21" customFormat="1" ht="21.2" customHeight="1" thickBot="1">
      <c r="A32" s="41" t="s">
        <v>113</v>
      </c>
      <c r="B32" s="326"/>
      <c r="C32" s="36" t="s">
        <v>115</v>
      </c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9">
        <v>1880</v>
      </c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U32" s="82"/>
      <c r="AW32" s="82"/>
    </row>
    <row r="33" spans="1:49" s="21" customFormat="1" ht="21.2" customHeight="1" thickBot="1">
      <c r="A33" s="60" t="s">
        <v>113</v>
      </c>
      <c r="B33" s="327"/>
      <c r="C33" s="54" t="s">
        <v>116</v>
      </c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6">
        <v>1880</v>
      </c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U33" s="82"/>
      <c r="AW33" s="82"/>
    </row>
    <row r="34" spans="1:49" s="21" customFormat="1" ht="21.2" customHeight="1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U34" s="80"/>
      <c r="AW34" s="80"/>
    </row>
    <row r="35" spans="1:49" s="21" customFormat="1">
      <c r="A35" s="21" t="s">
        <v>117</v>
      </c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U35" s="80"/>
      <c r="AW35" s="80"/>
    </row>
    <row r="36" spans="1:49" s="21" customFormat="1">
      <c r="A36" s="21" t="s">
        <v>118</v>
      </c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U36" s="80"/>
      <c r="AW36" s="80"/>
    </row>
    <row r="37" spans="1:49" s="21" customFormat="1">
      <c r="A37" s="21" t="s">
        <v>119</v>
      </c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U37" s="80"/>
      <c r="AW37" s="80"/>
    </row>
    <row r="38" spans="1:49" s="21" customFormat="1">
      <c r="A38" s="21" t="s">
        <v>120</v>
      </c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U38" s="80"/>
      <c r="AW38" s="80"/>
    </row>
    <row r="39" spans="1:49" s="21" customFormat="1">
      <c r="A39" s="21" t="s">
        <v>121</v>
      </c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U39" s="80"/>
      <c r="AW39" s="80"/>
    </row>
    <row r="40" spans="1:49" s="21" customFormat="1">
      <c r="A40" s="21" t="s">
        <v>122</v>
      </c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U40" s="80"/>
      <c r="AW40" s="80"/>
    </row>
    <row r="41" spans="1:49" s="21" customFormat="1">
      <c r="A41" s="21" t="s">
        <v>123</v>
      </c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U41" s="80"/>
      <c r="AW41" s="80"/>
    </row>
    <row r="42" spans="1:49" s="21" customFormat="1">
      <c r="A42" s="21" t="s">
        <v>124</v>
      </c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U42" s="80"/>
      <c r="AW42" s="80"/>
    </row>
    <row r="43" spans="1:49" s="21" customFormat="1">
      <c r="A43" s="21" t="s">
        <v>125</v>
      </c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U43" s="80"/>
      <c r="AW43" s="80"/>
    </row>
    <row r="44" spans="1:49" s="21" customFormat="1">
      <c r="A44" s="21" t="s">
        <v>126</v>
      </c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/>
      <c r="AS44" s="80"/>
      <c r="AU44" s="80"/>
      <c r="AW44" s="80"/>
    </row>
    <row r="45" spans="1:49" s="21" customFormat="1">
      <c r="A45" s="21" t="s">
        <v>127</v>
      </c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U45" s="80"/>
      <c r="AW45" s="80"/>
    </row>
  </sheetData>
  <mergeCells count="14">
    <mergeCell ref="B24:B26"/>
    <mergeCell ref="B31:B33"/>
    <mergeCell ref="B7:B8"/>
    <mergeCell ref="B10:B11"/>
    <mergeCell ref="A15:A17"/>
    <mergeCell ref="B15:B17"/>
    <mergeCell ref="A18:A20"/>
    <mergeCell ref="B18:B20"/>
    <mergeCell ref="A1:Z1"/>
    <mergeCell ref="A5:A6"/>
    <mergeCell ref="B5:B6"/>
    <mergeCell ref="L5:L6"/>
    <mergeCell ref="M5:M6"/>
    <mergeCell ref="N5:N6"/>
  </mergeCells>
  <phoneticPr fontId="7" type="noConversion"/>
  <pageMargins left="0.7" right="0.7" top="0.75" bottom="0.75" header="0.3" footer="0.3"/>
  <pageSetup paperSize="9" scale="2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AE52"/>
  <sheetViews>
    <sheetView view="pageBreakPreview" topLeftCell="B5" zoomScale="90" zoomScaleNormal="100" zoomScaleSheetLayoutView="90" workbookViewId="0">
      <selection activeCell="G13" sqref="G13"/>
    </sheetView>
  </sheetViews>
  <sheetFormatPr defaultColWidth="8.88671875" defaultRowHeight="13.5"/>
  <cols>
    <col min="1" max="1" width="5.26171875" style="10" customWidth="1"/>
    <col min="2" max="2" width="20.23046875" style="10" bestFit="1" customWidth="1"/>
    <col min="3" max="3" width="14.3828125" style="10" bestFit="1" customWidth="1"/>
    <col min="4" max="4" width="3.7421875" style="10" customWidth="1"/>
    <col min="5" max="5" width="8.30078125" style="10" customWidth="1"/>
    <col min="6" max="6" width="6.1953125" style="10" customWidth="1"/>
    <col min="7" max="7" width="5.73046875" style="10" customWidth="1"/>
    <col min="8" max="8" width="7.25" style="10" customWidth="1"/>
    <col min="9" max="9" width="10.9921875" style="10" customWidth="1"/>
    <col min="10" max="10" width="12.74609375" style="10" bestFit="1" customWidth="1"/>
    <col min="11" max="11" width="18.125" style="10" bestFit="1" customWidth="1"/>
    <col min="12" max="12" width="14.265625" style="86" bestFit="1" customWidth="1"/>
    <col min="13" max="13" width="13.796875" style="87" customWidth="1"/>
    <col min="14" max="14" width="12.16015625" style="87" bestFit="1" customWidth="1"/>
    <col min="15" max="15" width="11.2265625" style="87" customWidth="1"/>
    <col min="16" max="16" width="12.16015625" style="8" bestFit="1" customWidth="1"/>
    <col min="17" max="18" width="15.43359375" style="8" bestFit="1" customWidth="1"/>
    <col min="19" max="31" width="8.88671875" style="8"/>
    <col min="32" max="16384" width="8.88671875" style="2"/>
  </cols>
  <sheetData>
    <row r="1" spans="1:31" ht="24" thickTop="1" thickBot="1">
      <c r="A1" s="336" t="s">
        <v>190</v>
      </c>
      <c r="B1" s="337"/>
      <c r="C1" s="337"/>
      <c r="D1" s="337"/>
      <c r="E1" s="337"/>
      <c r="F1" s="337"/>
      <c r="G1" s="337"/>
      <c r="H1" s="337"/>
      <c r="I1" s="337"/>
      <c r="J1" s="337"/>
      <c r="K1" s="338"/>
      <c r="M1" s="7"/>
    </row>
    <row r="2" spans="1:31" ht="14.45" customHeight="1" thickTop="1" thickBot="1">
      <c r="A2" s="116"/>
      <c r="B2" s="116"/>
      <c r="C2" s="115"/>
      <c r="E2" s="115"/>
      <c r="F2" s="115"/>
      <c r="G2" s="115"/>
    </row>
    <row r="3" spans="1:31" ht="15" thickTop="1" thickBot="1">
      <c r="A3" s="120" t="s">
        <v>191</v>
      </c>
      <c r="B3" s="119" t="s">
        <v>196</v>
      </c>
      <c r="C3" s="120" t="s">
        <v>192</v>
      </c>
      <c r="D3" s="339" t="s">
        <v>193</v>
      </c>
      <c r="E3" s="340"/>
      <c r="F3" s="341" t="s">
        <v>194</v>
      </c>
      <c r="G3" s="339"/>
      <c r="H3" s="339"/>
      <c r="I3" s="119" t="s">
        <v>195</v>
      </c>
      <c r="J3" s="120" t="s">
        <v>197</v>
      </c>
      <c r="K3" s="119" t="s">
        <v>208</v>
      </c>
    </row>
    <row r="4" spans="1:31" ht="19.149999999999999" customHeight="1" thickTop="1" thickBot="1">
      <c r="J4" s="197" t="s">
        <v>332</v>
      </c>
      <c r="K4" s="189">
        <v>150</v>
      </c>
      <c r="L4" s="342" t="s">
        <v>207</v>
      </c>
      <c r="M4" s="343"/>
      <c r="N4" s="343"/>
      <c r="O4" s="343"/>
      <c r="P4" s="343"/>
      <c r="Q4" s="168"/>
      <c r="R4" s="169"/>
    </row>
    <row r="5" spans="1:31" s="3" customFormat="1" ht="25.15" customHeight="1" thickTop="1">
      <c r="A5" s="9" t="s">
        <v>1</v>
      </c>
      <c r="B5" s="9" t="s">
        <v>164</v>
      </c>
      <c r="C5" s="88" t="s">
        <v>165</v>
      </c>
      <c r="D5" s="89" t="s">
        <v>166</v>
      </c>
      <c r="E5" s="9" t="s">
        <v>167</v>
      </c>
      <c r="F5" s="9" t="s">
        <v>168</v>
      </c>
      <c r="G5" s="9" t="s">
        <v>169</v>
      </c>
      <c r="H5" s="9" t="s">
        <v>170</v>
      </c>
      <c r="I5" s="123" t="s">
        <v>171</v>
      </c>
      <c r="J5" s="195" t="s">
        <v>172</v>
      </c>
      <c r="K5" s="196" t="s">
        <v>173</v>
      </c>
      <c r="L5" s="90" t="s">
        <v>198</v>
      </c>
      <c r="M5" s="121" t="s">
        <v>199</v>
      </c>
      <c r="N5" s="90" t="s">
        <v>38</v>
      </c>
      <c r="O5" s="90" t="s">
        <v>200</v>
      </c>
      <c r="P5" s="90" t="s">
        <v>201</v>
      </c>
      <c r="Q5" s="90" t="s">
        <v>265</v>
      </c>
      <c r="R5" s="90" t="s">
        <v>266</v>
      </c>
      <c r="S5" s="10"/>
      <c r="T5" s="10" t="s">
        <v>330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s="3" customFormat="1" ht="18" customHeight="1">
      <c r="A6" s="11">
        <v>1</v>
      </c>
      <c r="B6" s="224" t="s">
        <v>181</v>
      </c>
      <c r="C6" s="225">
        <f>COVER!B13</f>
        <v>0</v>
      </c>
      <c r="D6" s="226">
        <v>1</v>
      </c>
      <c r="E6" s="215"/>
      <c r="F6" s="227">
        <f>(5+3.5)/2</f>
        <v>4.25</v>
      </c>
      <c r="G6" s="227"/>
      <c r="H6" s="228">
        <f>COVER!C13</f>
        <v>0</v>
      </c>
      <c r="I6" s="229">
        <f>D6*F6*H6</f>
        <v>0</v>
      </c>
      <c r="J6" s="230"/>
      <c r="K6" s="231">
        <f t="shared" ref="K6:K12" si="0">I6+J6</f>
        <v>0</v>
      </c>
      <c r="L6" s="163">
        <v>10000</v>
      </c>
      <c r="M6" s="163">
        <v>15000</v>
      </c>
      <c r="N6" s="163">
        <v>30000</v>
      </c>
      <c r="O6" s="90"/>
      <c r="P6" s="90"/>
      <c r="Q6" s="19"/>
      <c r="R6" s="19"/>
      <c r="S6" s="10"/>
      <c r="T6" s="10">
        <v>3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s="3" customFormat="1" ht="18" customHeight="1">
      <c r="A7" s="11">
        <v>1</v>
      </c>
      <c r="B7" s="224" t="s">
        <v>182</v>
      </c>
      <c r="C7" s="225" t="str">
        <f>COVER!B14</f>
        <v>A536 Gr65-45-12</v>
      </c>
      <c r="D7" s="226">
        <v>1</v>
      </c>
      <c r="E7" s="215"/>
      <c r="F7" s="227">
        <v>5.5</v>
      </c>
      <c r="G7" s="227"/>
      <c r="H7" s="228">
        <f>COVER!C14</f>
        <v>3500</v>
      </c>
      <c r="I7" s="229">
        <f>D7*F7*H7</f>
        <v>19250</v>
      </c>
      <c r="J7" s="230"/>
      <c r="K7" s="231">
        <f t="shared" si="0"/>
        <v>19250</v>
      </c>
      <c r="L7" s="163">
        <v>14000</v>
      </c>
      <c r="M7" s="163">
        <v>21000</v>
      </c>
      <c r="N7" s="122"/>
      <c r="O7" s="90"/>
      <c r="P7" s="90"/>
      <c r="Q7" s="19"/>
      <c r="R7" s="19"/>
      <c r="S7" s="10"/>
      <c r="T7" s="10">
        <v>5.5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s="3" customFormat="1" ht="18" customHeight="1">
      <c r="A8" s="11">
        <v>1</v>
      </c>
      <c r="B8" s="224" t="s">
        <v>183</v>
      </c>
      <c r="C8" s="225">
        <f>COVER!B15</f>
        <v>0</v>
      </c>
      <c r="D8" s="226">
        <v>1</v>
      </c>
      <c r="E8" s="215"/>
      <c r="F8" s="227">
        <v>9</v>
      </c>
      <c r="G8" s="227"/>
      <c r="H8" s="228">
        <f>COVER!C15</f>
        <v>0</v>
      </c>
      <c r="I8" s="229">
        <f>D8*F8*H8</f>
        <v>0</v>
      </c>
      <c r="J8" s="230"/>
      <c r="K8" s="231">
        <f t="shared" si="0"/>
        <v>0</v>
      </c>
      <c r="L8" s="163">
        <v>17000</v>
      </c>
      <c r="M8" s="163">
        <v>25500</v>
      </c>
      <c r="N8" s="122"/>
      <c r="O8" s="90"/>
      <c r="P8" s="90"/>
      <c r="Q8" s="19"/>
      <c r="R8" s="19"/>
      <c r="S8" s="10"/>
      <c r="T8" s="10">
        <v>7.5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s="3" customFormat="1" ht="18" customHeight="1">
      <c r="A9" s="11">
        <v>2</v>
      </c>
      <c r="B9" s="232" t="s">
        <v>2</v>
      </c>
      <c r="C9" s="225" t="str">
        <f>COVER!B16</f>
        <v>A351 CF8M</v>
      </c>
      <c r="D9" s="226">
        <v>1</v>
      </c>
      <c r="E9" s="215"/>
      <c r="F9" s="227">
        <f>IF(COVER!B34="10 BAR",Q9,IF(COVER!B34="16 BAR",R9,IF(COVER!B34="20 BAR",R9)))</f>
        <v>0.3</v>
      </c>
      <c r="G9" s="227"/>
      <c r="H9" s="228">
        <f>COVER!C16</f>
        <v>12000</v>
      </c>
      <c r="I9" s="233">
        <f>D9*F9*H9</f>
        <v>3600</v>
      </c>
      <c r="J9" s="230"/>
      <c r="K9" s="234">
        <f t="shared" si="0"/>
        <v>3600</v>
      </c>
      <c r="L9" s="163">
        <v>3260</v>
      </c>
      <c r="M9" s="163">
        <v>3500</v>
      </c>
      <c r="N9" s="163">
        <v>3500</v>
      </c>
      <c r="O9" s="163">
        <v>9000</v>
      </c>
      <c r="P9" s="122">
        <v>12300</v>
      </c>
      <c r="Q9" s="19">
        <v>0.3</v>
      </c>
      <c r="R9" s="19">
        <v>0.3</v>
      </c>
      <c r="S9" s="10"/>
      <c r="T9" s="10">
        <v>0.3</v>
      </c>
      <c r="U9" s="10"/>
      <c r="V9" s="10">
        <f>P9/M9</f>
        <v>3.5142857142857142</v>
      </c>
      <c r="W9" s="10"/>
      <c r="X9" s="10"/>
      <c r="Y9" s="10"/>
      <c r="Z9" s="10"/>
      <c r="AA9" s="10"/>
      <c r="AB9" s="10"/>
      <c r="AC9" s="10"/>
      <c r="AD9" s="10"/>
      <c r="AE9" s="10"/>
    </row>
    <row r="10" spans="1:31" s="3" customFormat="1" ht="18" customHeight="1">
      <c r="A10" s="207">
        <v>3</v>
      </c>
      <c r="B10" s="235" t="s">
        <v>3</v>
      </c>
      <c r="C10" s="236" t="str">
        <f>COVER!B18</f>
        <v>EPDM</v>
      </c>
      <c r="D10" s="214">
        <v>1</v>
      </c>
      <c r="E10" s="215"/>
      <c r="F10" s="227">
        <v>1</v>
      </c>
      <c r="G10" s="227"/>
      <c r="H10" s="228">
        <f>IF(C10="NBR",L10,IF(C10="EPDM",L10,IF(C10="VITON",M10)))</f>
        <v>805</v>
      </c>
      <c r="I10" s="233">
        <f>H10*F10*D10</f>
        <v>805</v>
      </c>
      <c r="J10" s="230"/>
      <c r="K10" s="234">
        <f t="shared" si="0"/>
        <v>805</v>
      </c>
      <c r="L10" s="163">
        <v>805</v>
      </c>
      <c r="M10" s="163">
        <v>9500</v>
      </c>
      <c r="N10" s="163">
        <v>6000</v>
      </c>
      <c r="O10" s="163" t="s">
        <v>202</v>
      </c>
      <c r="P10" s="163" t="s">
        <v>202</v>
      </c>
      <c r="Q10" s="19"/>
      <c r="R10" s="1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s="3" customFormat="1" ht="18" customHeight="1">
      <c r="A11" s="207">
        <v>4</v>
      </c>
      <c r="B11" s="235" t="s">
        <v>203</v>
      </c>
      <c r="C11" s="214" t="str">
        <f>COVER!B17</f>
        <v>A564T630</v>
      </c>
      <c r="D11" s="214">
        <v>1</v>
      </c>
      <c r="E11" s="215"/>
      <c r="F11" s="237">
        <v>0.26</v>
      </c>
      <c r="G11" s="238"/>
      <c r="H11" s="228">
        <f>COVER!C17</f>
        <v>10000</v>
      </c>
      <c r="I11" s="233">
        <f>D11*F11*H11</f>
        <v>2600</v>
      </c>
      <c r="J11" s="233"/>
      <c r="K11" s="234">
        <f t="shared" si="0"/>
        <v>2600</v>
      </c>
      <c r="L11" s="163" t="s">
        <v>204</v>
      </c>
      <c r="M11" s="163">
        <v>3000</v>
      </c>
      <c r="N11" s="90">
        <v>1000</v>
      </c>
      <c r="O11" s="90"/>
      <c r="P11" s="90"/>
      <c r="Q11" s="18">
        <v>0.26</v>
      </c>
      <c r="R11" s="18"/>
      <c r="S11" s="108"/>
      <c r="T11" s="10">
        <v>0.3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s="3" customFormat="1" ht="18" customHeight="1">
      <c r="A12" s="207">
        <v>5</v>
      </c>
      <c r="B12" s="235" t="s">
        <v>184</v>
      </c>
      <c r="C12" s="214" t="str">
        <f>COVER!B19</f>
        <v>NBR</v>
      </c>
      <c r="D12" s="214">
        <v>1</v>
      </c>
      <c r="E12" s="215"/>
      <c r="F12" s="237">
        <v>1</v>
      </c>
      <c r="G12" s="227"/>
      <c r="H12" s="230">
        <f>IF(C12="NBR",L12+N12,IF(C12="EPDM",L12+N12,IF(C12="VITON",M12+N12)))</f>
        <v>290</v>
      </c>
      <c r="I12" s="233">
        <f>D12*F12*H12</f>
        <v>290</v>
      </c>
      <c r="J12" s="233"/>
      <c r="K12" s="234">
        <f t="shared" si="0"/>
        <v>290</v>
      </c>
      <c r="L12" s="163">
        <v>120</v>
      </c>
      <c r="M12" s="163">
        <v>970</v>
      </c>
      <c r="N12" s="163">
        <v>170</v>
      </c>
      <c r="O12" s="90"/>
      <c r="P12" s="90"/>
      <c r="Q12" s="19"/>
      <c r="R12" s="19"/>
      <c r="S12" s="10"/>
      <c r="T12" s="10"/>
      <c r="U12" s="10"/>
      <c r="V12" s="10">
        <f>M9/L9</f>
        <v>1.0736196319018405</v>
      </c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s="3" customFormat="1" ht="18" customHeight="1">
      <c r="A13" s="207">
        <v>6</v>
      </c>
      <c r="B13" s="235" t="s">
        <v>163</v>
      </c>
      <c r="C13" s="214"/>
      <c r="D13" s="214">
        <v>0</v>
      </c>
      <c r="E13" s="215"/>
      <c r="F13" s="227"/>
      <c r="G13" s="227"/>
      <c r="H13" s="228"/>
      <c r="I13" s="233"/>
      <c r="J13" s="233"/>
      <c r="K13" s="234"/>
      <c r="L13" s="333" t="s">
        <v>202</v>
      </c>
      <c r="M13" s="334"/>
      <c r="N13" s="334"/>
      <c r="O13" s="334"/>
      <c r="P13" s="335"/>
      <c r="Q13" s="19"/>
      <c r="R13" s="19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s="3" customFormat="1" ht="18" customHeight="1">
      <c r="A14" s="207">
        <v>7</v>
      </c>
      <c r="B14" s="235" t="s">
        <v>4</v>
      </c>
      <c r="C14" s="214" t="str">
        <f>C11</f>
        <v>A564T630</v>
      </c>
      <c r="D14" s="214">
        <v>1</v>
      </c>
      <c r="E14" s="215"/>
      <c r="F14" s="237">
        <v>1</v>
      </c>
      <c r="G14" s="227"/>
      <c r="H14" s="228">
        <f>L14</f>
        <v>1400</v>
      </c>
      <c r="I14" s="233">
        <f>D14*F14*H14</f>
        <v>1400</v>
      </c>
      <c r="J14" s="233"/>
      <c r="K14" s="234">
        <f>I14+J14</f>
        <v>1400</v>
      </c>
      <c r="L14" s="163">
        <v>1400</v>
      </c>
      <c r="M14" s="163"/>
      <c r="N14" s="163"/>
      <c r="O14" s="163"/>
      <c r="P14" s="163"/>
      <c r="Q14" s="19"/>
      <c r="R14" s="19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s="3" customFormat="1" ht="18" customHeight="1">
      <c r="A15" s="207">
        <v>8</v>
      </c>
      <c r="B15" s="235" t="s">
        <v>386</v>
      </c>
      <c r="C15" s="214" t="str">
        <f>COVER!B22</f>
        <v>BODY MATERIAL</v>
      </c>
      <c r="D15" s="214">
        <v>0</v>
      </c>
      <c r="E15" s="215"/>
      <c r="F15" s="215"/>
      <c r="G15" s="227"/>
      <c r="H15" s="228"/>
      <c r="I15" s="233"/>
      <c r="J15" s="233"/>
      <c r="K15" s="234"/>
      <c r="L15" s="333" t="s">
        <v>202</v>
      </c>
      <c r="M15" s="334"/>
      <c r="N15" s="334"/>
      <c r="O15" s="334"/>
      <c r="P15" s="335"/>
      <c r="Q15" s="164"/>
      <c r="R15" s="164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s="3" customFormat="1" ht="18" customHeight="1">
      <c r="A16" s="207">
        <v>9</v>
      </c>
      <c r="B16" s="235" t="s">
        <v>217</v>
      </c>
      <c r="C16" s="214" t="str">
        <f>COVER!B23</f>
        <v>B8M</v>
      </c>
      <c r="D16" s="214">
        <v>0</v>
      </c>
      <c r="E16" s="215"/>
      <c r="F16" s="239"/>
      <c r="G16" s="227"/>
      <c r="H16" s="228"/>
      <c r="I16" s="233"/>
      <c r="J16" s="233"/>
      <c r="K16" s="234"/>
      <c r="L16" s="333" t="s">
        <v>202</v>
      </c>
      <c r="M16" s="334"/>
      <c r="N16" s="334"/>
      <c r="O16" s="334"/>
      <c r="P16" s="335"/>
      <c r="Q16" s="19"/>
      <c r="R16" s="19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s="3" customFormat="1" ht="18" customHeight="1">
      <c r="A17" s="207">
        <v>10</v>
      </c>
      <c r="B17" s="235" t="s">
        <v>221</v>
      </c>
      <c r="C17" s="214" t="str">
        <f>COVER!B24</f>
        <v>ALBC2</v>
      </c>
      <c r="D17" s="214">
        <v>0</v>
      </c>
      <c r="E17" s="215"/>
      <c r="F17" s="239"/>
      <c r="G17" s="227"/>
      <c r="H17" s="228"/>
      <c r="I17" s="233"/>
      <c r="J17" s="233"/>
      <c r="K17" s="234"/>
      <c r="L17" s="333" t="s">
        <v>202</v>
      </c>
      <c r="M17" s="334"/>
      <c r="N17" s="334"/>
      <c r="O17" s="334"/>
      <c r="P17" s="335"/>
      <c r="Q17" s="202"/>
      <c r="R17" s="19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s="3" customFormat="1" ht="18" customHeight="1">
      <c r="A18" s="207">
        <v>11</v>
      </c>
      <c r="B18" s="235" t="s">
        <v>187</v>
      </c>
      <c r="C18" s="214" t="s">
        <v>352</v>
      </c>
      <c r="D18" s="214">
        <v>1</v>
      </c>
      <c r="E18" s="215"/>
      <c r="F18" s="239"/>
      <c r="G18" s="227"/>
      <c r="H18" s="228">
        <f>M18</f>
        <v>1300</v>
      </c>
      <c r="I18" s="233">
        <f>H18*D18</f>
        <v>1300</v>
      </c>
      <c r="J18" s="233"/>
      <c r="K18" s="234">
        <f t="shared" ref="K18:K22" si="1">I18+J18</f>
        <v>1300</v>
      </c>
      <c r="L18" s="163" t="s">
        <v>375</v>
      </c>
      <c r="M18" s="163">
        <v>1300</v>
      </c>
      <c r="N18" s="163"/>
      <c r="O18" s="163"/>
      <c r="P18" s="163"/>
      <c r="Q18" s="203" t="s">
        <v>379</v>
      </c>
      <c r="R18" s="165"/>
      <c r="S18" s="145"/>
      <c r="T18" s="145"/>
      <c r="U18" s="145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s="3" customFormat="1" ht="18" customHeight="1">
      <c r="A19" s="207">
        <v>12</v>
      </c>
      <c r="B19" s="235" t="s">
        <v>189</v>
      </c>
      <c r="C19" s="214" t="str">
        <f>COVER!B26</f>
        <v>B8M</v>
      </c>
      <c r="D19" s="214">
        <v>2</v>
      </c>
      <c r="E19" s="215"/>
      <c r="F19" s="239"/>
      <c r="G19" s="227"/>
      <c r="H19" s="230">
        <f>IF(C19="B8",M19,IF(C19="B8M",N19))</f>
        <v>200</v>
      </c>
      <c r="I19" s="240">
        <f>H19*D19</f>
        <v>400</v>
      </c>
      <c r="J19" s="233"/>
      <c r="K19" s="234">
        <f t="shared" si="1"/>
        <v>400</v>
      </c>
      <c r="L19" s="163"/>
      <c r="M19" s="163">
        <v>200</v>
      </c>
      <c r="N19" s="163">
        <v>200</v>
      </c>
      <c r="O19" s="163"/>
      <c r="P19" s="163"/>
      <c r="Q19" s="204" t="s">
        <v>381</v>
      </c>
      <c r="R19" s="19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s="3" customFormat="1" ht="18" customHeight="1">
      <c r="A20" s="207">
        <v>13</v>
      </c>
      <c r="B20" s="235" t="s">
        <v>188</v>
      </c>
      <c r="C20" s="214" t="str">
        <f>COVER!B27</f>
        <v>B8M</v>
      </c>
      <c r="D20" s="214">
        <v>4</v>
      </c>
      <c r="E20" s="215"/>
      <c r="F20" s="239"/>
      <c r="G20" s="227"/>
      <c r="H20" s="228">
        <f>IF(C20="B8",M20,IF(C20="B8M",N20,IF(C20="B7(다크로)",O20)))</f>
        <v>400</v>
      </c>
      <c r="I20" s="233">
        <f>H20*D20</f>
        <v>1600</v>
      </c>
      <c r="J20" s="233"/>
      <c r="K20" s="234">
        <f t="shared" si="1"/>
        <v>1600</v>
      </c>
      <c r="L20" s="163" t="s">
        <v>387</v>
      </c>
      <c r="M20" s="163">
        <v>350</v>
      </c>
      <c r="N20" s="163">
        <v>400</v>
      </c>
      <c r="O20" s="163">
        <v>300</v>
      </c>
      <c r="P20" s="163"/>
      <c r="Q20" s="204" t="s">
        <v>385</v>
      </c>
      <c r="R20" s="19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s="3" customFormat="1" ht="18" customHeight="1">
      <c r="A21" s="207">
        <v>14</v>
      </c>
      <c r="B21" s="235" t="s">
        <v>5</v>
      </c>
      <c r="C21" s="214" t="str">
        <f>COVER!C35</f>
        <v>SUS304</v>
      </c>
      <c r="D21" s="214">
        <v>1</v>
      </c>
      <c r="E21" s="215"/>
      <c r="F21" s="239"/>
      <c r="G21" s="227"/>
      <c r="H21" s="228">
        <f>IF(C21="SS400",L21,IF(C21="SUS304",M21))</f>
        <v>16000</v>
      </c>
      <c r="I21" s="233">
        <f>H21*D21</f>
        <v>16000</v>
      </c>
      <c r="J21" s="241"/>
      <c r="K21" s="234">
        <f t="shared" si="1"/>
        <v>16000</v>
      </c>
      <c r="L21" s="206">
        <v>5400</v>
      </c>
      <c r="M21" s="206">
        <v>16000</v>
      </c>
      <c r="N21" s="163"/>
      <c r="O21" s="163"/>
      <c r="P21" s="163"/>
      <c r="Q21" s="19"/>
      <c r="R21" s="19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s="3" customFormat="1" ht="18" customHeight="1">
      <c r="A22" s="207">
        <v>15</v>
      </c>
      <c r="B22" s="235" t="s">
        <v>6</v>
      </c>
      <c r="C22" s="214" t="s">
        <v>158</v>
      </c>
      <c r="D22" s="214">
        <v>1</v>
      </c>
      <c r="E22" s="215"/>
      <c r="F22" s="239"/>
      <c r="G22" s="242"/>
      <c r="H22" s="228"/>
      <c r="I22" s="233">
        <f>IF(C22="10 BAR",M22,IF(C22="16 BAR",N22,IF(C22="20 BAR",O22)))</f>
        <v>98000</v>
      </c>
      <c r="J22" s="241"/>
      <c r="K22" s="234">
        <f t="shared" si="1"/>
        <v>98000</v>
      </c>
      <c r="L22" s="163"/>
      <c r="M22" s="163">
        <v>98000</v>
      </c>
      <c r="N22" s="163">
        <v>98000</v>
      </c>
      <c r="O22" s="163">
        <v>98000</v>
      </c>
      <c r="P22" s="163"/>
      <c r="Q22" s="19"/>
      <c r="R22" s="19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s="3" customFormat="1" ht="18" customHeight="1">
      <c r="A23" s="207">
        <v>16</v>
      </c>
      <c r="B23" s="235" t="s">
        <v>7</v>
      </c>
      <c r="C23" s="214" t="str">
        <f>COVER!B32</f>
        <v>기존 단가</v>
      </c>
      <c r="D23" s="214">
        <v>1</v>
      </c>
      <c r="E23" s="215"/>
      <c r="F23" s="239"/>
      <c r="G23" s="242"/>
      <c r="H23" s="228">
        <f>IF(COVER!B9="APPLICATION",0,IF(COVER!B32="기존 단가",L23,IF(COVER!B32="외주 2COATING",M23,IF(COVER!B32="외주 3COATING",N23))))</f>
        <v>5000</v>
      </c>
      <c r="I23" s="233">
        <f>H23</f>
        <v>5000</v>
      </c>
      <c r="J23" s="233"/>
      <c r="K23" s="234"/>
      <c r="L23" s="163">
        <v>5000</v>
      </c>
      <c r="M23" s="163">
        <f>IF(H6&gt;0,F6*520,IF(H7&gt;0,F7*520,IF(H8&gt;0,F8*520)))</f>
        <v>2860</v>
      </c>
      <c r="N23" s="163">
        <f>IF(H6&gt;0,F6*620,IF(H7&gt;0,F7*620,IF(H8&gt;0,F8*620)))</f>
        <v>3410</v>
      </c>
      <c r="O23" s="90"/>
      <c r="P23" s="182"/>
      <c r="Q23" s="19"/>
      <c r="R23" s="19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s="3" customFormat="1" ht="18" customHeight="1">
      <c r="A24" s="207">
        <v>17</v>
      </c>
      <c r="B24" s="235" t="s">
        <v>174</v>
      </c>
      <c r="C24" s="214"/>
      <c r="D24" s="214">
        <v>1</v>
      </c>
      <c r="E24" s="215"/>
      <c r="F24" s="239"/>
      <c r="G24" s="242"/>
      <c r="H24" s="228">
        <f>IF(COVER!B9="APPLICATION",0,IF(COVER!B9="N/A",L24))</f>
        <v>5000</v>
      </c>
      <c r="I24" s="233">
        <f>H24</f>
        <v>5000</v>
      </c>
      <c r="J24" s="234"/>
      <c r="K24" s="234"/>
      <c r="L24" s="211">
        <v>5000</v>
      </c>
      <c r="M24" s="90"/>
      <c r="N24" s="90"/>
      <c r="O24" s="90"/>
      <c r="P24" s="90"/>
      <c r="Q24" s="19"/>
      <c r="R24" s="19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s="3" customFormat="1" ht="18" customHeight="1">
      <c r="A25" s="207">
        <v>18</v>
      </c>
      <c r="B25" s="97" t="s">
        <v>175</v>
      </c>
      <c r="C25" s="14"/>
      <c r="D25" s="14"/>
      <c r="E25" s="15"/>
      <c r="F25" s="15"/>
      <c r="G25" s="15"/>
      <c r="H25" s="15"/>
      <c r="I25" s="98"/>
      <c r="J25" s="98"/>
      <c r="K25" s="16">
        <f>SUM(K6:K20)+SUM(K23:K24)</f>
        <v>31245</v>
      </c>
      <c r="L25" s="122" t="s">
        <v>248</v>
      </c>
      <c r="M25" s="90"/>
      <c r="N25" s="90"/>
      <c r="O25" s="90"/>
      <c r="P25" s="90"/>
      <c r="Q25" s="19"/>
      <c r="R25" s="19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s="3" customFormat="1" ht="18" customHeight="1">
      <c r="A26" s="207">
        <v>18</v>
      </c>
      <c r="B26" s="97" t="s">
        <v>176</v>
      </c>
      <c r="C26" s="14"/>
      <c r="D26" s="14"/>
      <c r="E26" s="15"/>
      <c r="F26" s="15"/>
      <c r="G26" s="15"/>
      <c r="H26" s="15"/>
      <c r="I26" s="98"/>
      <c r="J26" s="98"/>
      <c r="K26" s="16">
        <f>SUM(K6:K21)+SUM(K23:K24)</f>
        <v>47245</v>
      </c>
      <c r="L26" s="122" t="s">
        <v>248</v>
      </c>
      <c r="M26" s="90"/>
      <c r="N26" s="90"/>
      <c r="O26" s="90"/>
      <c r="P26" s="90"/>
      <c r="Q26" s="19"/>
      <c r="R26" s="19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s="3" customFormat="1" ht="18" customHeight="1">
      <c r="A27" s="207">
        <v>18</v>
      </c>
      <c r="B27" s="97" t="s">
        <v>177</v>
      </c>
      <c r="C27" s="14"/>
      <c r="D27" s="14"/>
      <c r="E27" s="15"/>
      <c r="F27" s="15"/>
      <c r="G27" s="15"/>
      <c r="H27" s="15"/>
      <c r="I27" s="98"/>
      <c r="J27" s="98"/>
      <c r="K27" s="16">
        <f>SUM(K6:K20)+SUM(K22:K24)</f>
        <v>129245</v>
      </c>
      <c r="L27" s="122" t="s">
        <v>248</v>
      </c>
      <c r="M27" s="90"/>
      <c r="N27" s="90"/>
      <c r="O27" s="90"/>
      <c r="P27" s="90"/>
      <c r="Q27" s="19"/>
      <c r="R27" s="19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s="3" customFormat="1" ht="18" customHeight="1">
      <c r="A28" s="207">
        <v>19</v>
      </c>
      <c r="B28" s="235" t="s">
        <v>237</v>
      </c>
      <c r="C28" s="214" t="str">
        <f>COVER!B28</f>
        <v>REQUIRED</v>
      </c>
      <c r="D28" s="214">
        <v>0</v>
      </c>
      <c r="E28" s="215"/>
      <c r="F28" s="239"/>
      <c r="G28" s="215"/>
      <c r="H28" s="233">
        <f>IF(C28="REQUIRED",L28,IF(C28="N/A",0))</f>
        <v>2800</v>
      </c>
      <c r="I28" s="233">
        <f>H28</f>
        <v>2800</v>
      </c>
      <c r="J28" s="215"/>
      <c r="K28" s="234"/>
      <c r="L28" s="163">
        <v>2800</v>
      </c>
      <c r="M28" s="90"/>
      <c r="N28" s="90"/>
      <c r="O28" s="90"/>
      <c r="P28" s="90"/>
      <c r="Q28" s="19"/>
      <c r="R28" s="19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s="3" customFormat="1" ht="18" customHeight="1">
      <c r="A29" s="207">
        <v>20</v>
      </c>
      <c r="B29" s="235" t="s">
        <v>180</v>
      </c>
      <c r="C29" s="214"/>
      <c r="D29" s="214">
        <v>0</v>
      </c>
      <c r="E29" s="215"/>
      <c r="F29" s="239"/>
      <c r="G29" s="215"/>
      <c r="H29" s="215"/>
      <c r="I29" s="215"/>
      <c r="J29" s="215"/>
      <c r="K29" s="234"/>
      <c r="L29" s="122"/>
      <c r="M29" s="90"/>
      <c r="N29" s="90"/>
      <c r="O29" s="90"/>
      <c r="P29" s="90"/>
      <c r="Q29" s="19"/>
      <c r="R29" s="19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s="3" customFormat="1" ht="18" customHeight="1">
      <c r="A30" s="207">
        <v>21</v>
      </c>
      <c r="B30" s="235" t="s">
        <v>178</v>
      </c>
      <c r="C30" s="214" t="str">
        <f>COVER!B35</f>
        <v>MOTOR</v>
      </c>
      <c r="D30" s="214">
        <v>1</v>
      </c>
      <c r="E30" s="215"/>
      <c r="F30" s="239"/>
      <c r="G30" s="215"/>
      <c r="H30" s="233">
        <f>IF(COVER!B9="APPLICATION",0,IF(COVER!B35="BARE",M30,(IF(COVER!B35="LEVER",M30,IF(COVER!B35="GEAR",N30,IF(COVER!B35="MOTOR",O30))))))</f>
        <v>40000</v>
      </c>
      <c r="I30" s="234">
        <f>H30</f>
        <v>40000</v>
      </c>
      <c r="J30" s="215"/>
      <c r="K30" s="234"/>
      <c r="L30" s="163">
        <v>9500</v>
      </c>
      <c r="M30" s="163">
        <v>4500</v>
      </c>
      <c r="N30" s="163">
        <v>4500</v>
      </c>
      <c r="O30" s="163">
        <v>40000</v>
      </c>
      <c r="P30" s="90"/>
      <c r="Q30" s="19"/>
      <c r="R30" s="19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s="3" customFormat="1" ht="18" customHeight="1">
      <c r="A31" s="207">
        <v>22</v>
      </c>
      <c r="B31" s="235"/>
      <c r="C31" s="214"/>
      <c r="D31" s="214"/>
      <c r="E31" s="215"/>
      <c r="F31" s="239"/>
      <c r="G31" s="215"/>
      <c r="H31" s="215"/>
      <c r="I31" s="215"/>
      <c r="J31" s="215"/>
      <c r="K31" s="234"/>
      <c r="L31" s="122"/>
      <c r="M31" s="90"/>
      <c r="N31" s="90"/>
      <c r="O31" s="90"/>
      <c r="P31" s="90"/>
      <c r="Q31" s="19"/>
      <c r="R31" s="19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s="3" customFormat="1" ht="18" customHeight="1">
      <c r="A32" s="207">
        <v>23</v>
      </c>
      <c r="B32" s="89" t="s">
        <v>179</v>
      </c>
      <c r="C32" s="14"/>
      <c r="D32" s="99"/>
      <c r="E32" s="15"/>
      <c r="F32" s="15"/>
      <c r="G32" s="15"/>
      <c r="H32" s="15"/>
      <c r="I32" s="100"/>
      <c r="J32" s="101"/>
      <c r="K32" s="100">
        <f>SUM(K28:K31)</f>
        <v>0</v>
      </c>
      <c r="L32" s="122" t="s">
        <v>249</v>
      </c>
      <c r="M32" s="90"/>
      <c r="N32" s="90"/>
      <c r="O32" s="90"/>
      <c r="P32" s="90"/>
      <c r="Q32" s="19"/>
      <c r="R32" s="19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s="3" customFormat="1" ht="18" customHeight="1">
      <c r="A33" s="11">
        <v>24</v>
      </c>
      <c r="B33" s="216" t="s">
        <v>252</v>
      </c>
      <c r="C33" s="217"/>
      <c r="D33" s="218"/>
      <c r="E33" s="219"/>
      <c r="F33" s="219"/>
      <c r="G33" s="219"/>
      <c r="H33" s="219"/>
      <c r="I33" s="220"/>
      <c r="J33" s="221"/>
      <c r="K33" s="220">
        <f>K25+K32</f>
        <v>31245</v>
      </c>
      <c r="L33" s="122" t="s">
        <v>257</v>
      </c>
      <c r="M33" s="90"/>
      <c r="N33" s="90"/>
      <c r="O33" s="90"/>
      <c r="P33" s="90"/>
      <c r="Q33" s="19"/>
      <c r="R33" s="19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s="3" customFormat="1" ht="18" customHeight="1">
      <c r="A34" s="11">
        <v>24</v>
      </c>
      <c r="B34" s="216" t="s">
        <v>255</v>
      </c>
      <c r="C34" s="217"/>
      <c r="D34" s="218"/>
      <c r="E34" s="219"/>
      <c r="F34" s="219"/>
      <c r="G34" s="219"/>
      <c r="H34" s="219"/>
      <c r="I34" s="220"/>
      <c r="J34" s="221"/>
      <c r="K34" s="220">
        <f>K26+K32</f>
        <v>47245</v>
      </c>
      <c r="L34" s="122" t="s">
        <v>257</v>
      </c>
      <c r="M34" s="90"/>
      <c r="N34" s="90"/>
      <c r="O34" s="90"/>
      <c r="P34" s="90"/>
      <c r="Q34" s="19"/>
      <c r="R34" s="19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s="3" customFormat="1" ht="18" customHeight="1">
      <c r="A35" s="11">
        <v>24</v>
      </c>
      <c r="B35" s="216" t="s">
        <v>256</v>
      </c>
      <c r="C35" s="217"/>
      <c r="D35" s="218"/>
      <c r="E35" s="219"/>
      <c r="F35" s="219"/>
      <c r="G35" s="219"/>
      <c r="H35" s="219"/>
      <c r="I35" s="220"/>
      <c r="J35" s="221"/>
      <c r="K35" s="220">
        <f>K27+K32</f>
        <v>129245</v>
      </c>
      <c r="L35" s="122" t="s">
        <v>257</v>
      </c>
      <c r="M35" s="90"/>
      <c r="N35" s="90"/>
      <c r="O35" s="90"/>
      <c r="P35" s="90"/>
      <c r="Q35" s="19"/>
      <c r="R35" s="19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s="4" customFormat="1" ht="18" customHeight="1">
      <c r="A36" s="11">
        <v>25</v>
      </c>
      <c r="B36" s="102" t="s">
        <v>407</v>
      </c>
      <c r="C36" s="103"/>
      <c r="D36" s="103"/>
      <c r="E36" s="104"/>
      <c r="F36" s="105"/>
      <c r="G36" s="105"/>
      <c r="H36" s="106"/>
      <c r="I36" s="222" t="s">
        <v>41</v>
      </c>
      <c r="J36" s="222">
        <v>0.7</v>
      </c>
      <c r="K36" s="107">
        <f>(K25+K32)/J36</f>
        <v>44635.71428571429</v>
      </c>
      <c r="L36" s="122" t="s">
        <v>250</v>
      </c>
      <c r="M36" s="90"/>
      <c r="N36" s="90"/>
      <c r="O36" s="90"/>
      <c r="P36" s="90"/>
      <c r="Q36" s="19"/>
      <c r="R36" s="19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s="4" customFormat="1" ht="18" customHeight="1">
      <c r="A37" s="11">
        <v>25</v>
      </c>
      <c r="B37" s="102" t="s">
        <v>408</v>
      </c>
      <c r="C37" s="103"/>
      <c r="D37" s="103"/>
      <c r="E37" s="104"/>
      <c r="F37" s="105"/>
      <c r="G37" s="105"/>
      <c r="H37" s="106"/>
      <c r="I37" s="222" t="s">
        <v>41</v>
      </c>
      <c r="J37" s="222">
        <v>0.7</v>
      </c>
      <c r="K37" s="107">
        <f>(K26+K32)/J37</f>
        <v>67492.857142857145</v>
      </c>
      <c r="L37" s="122" t="s">
        <v>250</v>
      </c>
      <c r="M37" s="90"/>
      <c r="N37" s="90"/>
      <c r="O37" s="90"/>
      <c r="P37" s="90"/>
      <c r="Q37" s="19"/>
      <c r="R37" s="19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s="4" customFormat="1" ht="18" customHeight="1">
      <c r="A38" s="11">
        <v>25</v>
      </c>
      <c r="B38" s="102" t="s">
        <v>409</v>
      </c>
      <c r="C38" s="103"/>
      <c r="D38" s="103"/>
      <c r="E38" s="104"/>
      <c r="F38" s="105"/>
      <c r="G38" s="105"/>
      <c r="H38" s="106"/>
      <c r="I38" s="222" t="s">
        <v>41</v>
      </c>
      <c r="J38" s="222">
        <v>0.7</v>
      </c>
      <c r="K38" s="107">
        <f>(K27+K32)/J38</f>
        <v>184635.71428571429</v>
      </c>
      <c r="L38" s="122" t="s">
        <v>250</v>
      </c>
      <c r="M38" s="90"/>
      <c r="N38" s="90"/>
      <c r="O38" s="90"/>
      <c r="P38" s="90"/>
      <c r="Q38" s="19"/>
      <c r="R38" s="19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s="4" customFormat="1" ht="18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86"/>
      <c r="M39" s="108"/>
      <c r="N39" s="108"/>
      <c r="O39" s="108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s="4" customFormat="1" ht="18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86"/>
      <c r="M40" s="108"/>
      <c r="N40" s="108"/>
      <c r="O40" s="108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s="4" customFormat="1" ht="18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86"/>
      <c r="M41" s="108"/>
      <c r="N41" s="108"/>
      <c r="O41" s="108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s="4" customFormat="1" ht="18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86"/>
      <c r="M42" s="108"/>
      <c r="N42" s="108"/>
      <c r="O42" s="108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s="4" customFormat="1" ht="18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86"/>
      <c r="M43" s="108"/>
      <c r="N43" s="108"/>
      <c r="O43" s="108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s="4" customFormat="1" ht="18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86"/>
      <c r="M44" s="108"/>
      <c r="N44" s="108"/>
      <c r="O44" s="108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s="4" customFormat="1" ht="18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86"/>
      <c r="M45" s="108"/>
      <c r="N45" s="108"/>
      <c r="O45" s="108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s="4" customFormat="1" ht="18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86"/>
      <c r="M46" s="108"/>
      <c r="N46" s="108"/>
      <c r="O46" s="108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s="4" customFormat="1" ht="12.75">
      <c r="A47" s="10"/>
      <c r="B47" s="10"/>
      <c r="C47" s="10"/>
      <c r="D47" s="109"/>
      <c r="E47" s="10"/>
      <c r="F47" s="10"/>
      <c r="G47" s="10"/>
      <c r="H47" s="10"/>
      <c r="I47" s="10"/>
      <c r="J47" s="10"/>
      <c r="K47" s="10"/>
      <c r="L47" s="108"/>
      <c r="M47" s="108"/>
      <c r="N47" s="108"/>
      <c r="O47" s="108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s="4" customFormat="1" ht="12.7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86"/>
      <c r="M48" s="108"/>
      <c r="N48" s="108"/>
      <c r="O48" s="108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s="4" customFormat="1" ht="12.7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86"/>
      <c r="M49" s="108"/>
      <c r="N49" s="108"/>
      <c r="O49" s="108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s="5" customForma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86"/>
      <c r="M50" s="87"/>
      <c r="N50" s="87"/>
      <c r="O50" s="8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s="5" customForma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86"/>
      <c r="M51" s="87"/>
      <c r="N51" s="87"/>
      <c r="O51" s="87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s="5" customForma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86"/>
      <c r="M52" s="87"/>
      <c r="N52" s="87"/>
      <c r="O52" s="87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</sheetData>
  <mergeCells count="8">
    <mergeCell ref="L16:P16"/>
    <mergeCell ref="L17:P17"/>
    <mergeCell ref="A1:K1"/>
    <mergeCell ref="D3:E3"/>
    <mergeCell ref="F3:H3"/>
    <mergeCell ref="L4:P4"/>
    <mergeCell ref="L13:P13"/>
    <mergeCell ref="L15:P15"/>
  </mergeCells>
  <phoneticPr fontId="7" type="noConversion"/>
  <pageMargins left="0.75" right="0.75" top="1" bottom="1" header="0.5" footer="0.5"/>
  <pageSetup paperSize="9" scale="62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E52"/>
  <sheetViews>
    <sheetView view="pageBreakPreview" zoomScale="90" zoomScaleNormal="100" zoomScaleSheetLayoutView="90" workbookViewId="0">
      <selection activeCell="P24" sqref="P24"/>
    </sheetView>
  </sheetViews>
  <sheetFormatPr defaultColWidth="8.88671875" defaultRowHeight="13.5"/>
  <cols>
    <col min="1" max="1" width="5.26171875" style="10" customWidth="1"/>
    <col min="2" max="2" width="20.23046875" style="10" bestFit="1" customWidth="1"/>
    <col min="3" max="3" width="14.3828125" style="10" bestFit="1" customWidth="1"/>
    <col min="4" max="4" width="3.7421875" style="10" customWidth="1"/>
    <col min="5" max="5" width="8.30078125" style="10" customWidth="1"/>
    <col min="6" max="6" width="6.1953125" style="10" customWidth="1"/>
    <col min="7" max="7" width="5.73046875" style="10" customWidth="1"/>
    <col min="8" max="8" width="7.25" style="10" customWidth="1"/>
    <col min="9" max="9" width="10.9921875" style="10" customWidth="1"/>
    <col min="10" max="10" width="12.74609375" style="10" bestFit="1" customWidth="1"/>
    <col min="11" max="11" width="18.125" style="10" bestFit="1" customWidth="1"/>
    <col min="12" max="12" width="14.265625" style="86" bestFit="1" customWidth="1"/>
    <col min="13" max="13" width="13.796875" style="87" customWidth="1"/>
    <col min="14" max="14" width="12.16015625" style="87" bestFit="1" customWidth="1"/>
    <col min="15" max="15" width="9.703125" style="87" customWidth="1"/>
    <col min="16" max="16" width="12.16015625" style="8" bestFit="1" customWidth="1"/>
    <col min="17" max="18" width="15.43359375" style="8" bestFit="1" customWidth="1"/>
    <col min="19" max="31" width="8.88671875" style="8"/>
    <col min="32" max="16384" width="8.88671875" style="2"/>
  </cols>
  <sheetData>
    <row r="1" spans="1:31" ht="24" thickTop="1" thickBot="1">
      <c r="A1" s="336" t="s">
        <v>190</v>
      </c>
      <c r="B1" s="337"/>
      <c r="C1" s="337"/>
      <c r="D1" s="337"/>
      <c r="E1" s="337"/>
      <c r="F1" s="337"/>
      <c r="G1" s="337"/>
      <c r="H1" s="337"/>
      <c r="I1" s="337"/>
      <c r="J1" s="337"/>
      <c r="K1" s="338"/>
      <c r="M1" s="7"/>
    </row>
    <row r="2" spans="1:31" ht="14.45" customHeight="1" thickTop="1" thickBot="1">
      <c r="A2" s="116"/>
      <c r="B2" s="116"/>
      <c r="C2" s="115"/>
      <c r="E2" s="115"/>
      <c r="F2" s="115"/>
      <c r="G2" s="115"/>
    </row>
    <row r="3" spans="1:31" ht="15" thickTop="1" thickBot="1">
      <c r="A3" s="120" t="s">
        <v>191</v>
      </c>
      <c r="B3" s="119" t="s">
        <v>258</v>
      </c>
      <c r="C3" s="120" t="s">
        <v>192</v>
      </c>
      <c r="D3" s="339" t="s">
        <v>193</v>
      </c>
      <c r="E3" s="340"/>
      <c r="F3" s="341" t="s">
        <v>194</v>
      </c>
      <c r="G3" s="339"/>
      <c r="H3" s="339"/>
      <c r="I3" s="119" t="s">
        <v>195</v>
      </c>
      <c r="J3" s="120" t="s">
        <v>197</v>
      </c>
      <c r="K3" s="119" t="s">
        <v>259</v>
      </c>
    </row>
    <row r="4" spans="1:31" ht="19.149999999999999" customHeight="1" thickTop="1" thickBot="1">
      <c r="J4" s="197" t="s">
        <v>332</v>
      </c>
      <c r="K4" s="189">
        <v>180</v>
      </c>
      <c r="L4" s="342" t="s">
        <v>207</v>
      </c>
      <c r="M4" s="343"/>
      <c r="N4" s="343"/>
      <c r="O4" s="343"/>
      <c r="P4" s="343"/>
    </row>
    <row r="5" spans="1:31" s="3" customFormat="1" ht="25.15" customHeight="1" thickTop="1">
      <c r="A5" s="9" t="s">
        <v>1</v>
      </c>
      <c r="B5" s="9" t="s">
        <v>164</v>
      </c>
      <c r="C5" s="88" t="s">
        <v>165</v>
      </c>
      <c r="D5" s="89" t="s">
        <v>166</v>
      </c>
      <c r="E5" s="9" t="s">
        <v>167</v>
      </c>
      <c r="F5" s="9" t="s">
        <v>168</v>
      </c>
      <c r="G5" s="9" t="s">
        <v>169</v>
      </c>
      <c r="H5" s="9" t="s">
        <v>170</v>
      </c>
      <c r="I5" s="123" t="s">
        <v>171</v>
      </c>
      <c r="J5" s="195" t="s">
        <v>172</v>
      </c>
      <c r="K5" s="196" t="s">
        <v>173</v>
      </c>
      <c r="L5" s="90" t="s">
        <v>198</v>
      </c>
      <c r="M5" s="121" t="s">
        <v>199</v>
      </c>
      <c r="N5" s="90" t="s">
        <v>38</v>
      </c>
      <c r="O5" s="90" t="s">
        <v>200</v>
      </c>
      <c r="P5" s="90" t="s">
        <v>201</v>
      </c>
      <c r="Q5" s="90" t="s">
        <v>265</v>
      </c>
      <c r="R5" s="90" t="s">
        <v>266</v>
      </c>
      <c r="S5" s="10"/>
      <c r="T5" s="10" t="s">
        <v>330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s="3" customFormat="1" ht="18" customHeight="1">
      <c r="A6" s="11">
        <v>1</v>
      </c>
      <c r="B6" s="224" t="s">
        <v>181</v>
      </c>
      <c r="C6" s="225">
        <f>COVER!B13</f>
        <v>0</v>
      </c>
      <c r="D6" s="226">
        <v>1</v>
      </c>
      <c r="E6" s="215"/>
      <c r="F6" s="227">
        <v>5</v>
      </c>
      <c r="G6" s="227"/>
      <c r="H6" s="228">
        <f>COVER!C13</f>
        <v>0</v>
      </c>
      <c r="I6" s="229">
        <f>D6*F6*H6</f>
        <v>0</v>
      </c>
      <c r="J6" s="230"/>
      <c r="K6" s="231">
        <f t="shared" ref="K6:K12" si="0">I6+J6</f>
        <v>0</v>
      </c>
      <c r="L6" s="163">
        <v>10000</v>
      </c>
      <c r="M6" s="163">
        <v>15000</v>
      </c>
      <c r="N6" s="163">
        <v>30000</v>
      </c>
      <c r="O6" s="90"/>
      <c r="P6" s="90"/>
      <c r="Q6" s="19"/>
      <c r="R6" s="19"/>
      <c r="S6" s="10"/>
      <c r="T6" s="10">
        <v>4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s="3" customFormat="1" ht="18" customHeight="1">
      <c r="A7" s="11">
        <v>1</v>
      </c>
      <c r="B7" s="224" t="s">
        <v>182</v>
      </c>
      <c r="C7" s="225" t="str">
        <f>COVER!B14</f>
        <v>A536 Gr65-45-12</v>
      </c>
      <c r="D7" s="226">
        <v>1</v>
      </c>
      <c r="E7" s="215"/>
      <c r="F7" s="227">
        <v>6.5</v>
      </c>
      <c r="G7" s="227"/>
      <c r="H7" s="228">
        <f>COVER!C14</f>
        <v>3500</v>
      </c>
      <c r="I7" s="229">
        <f>D7*F7*H7</f>
        <v>22750</v>
      </c>
      <c r="J7" s="230"/>
      <c r="K7" s="231">
        <f t="shared" si="0"/>
        <v>22750</v>
      </c>
      <c r="L7" s="163">
        <v>14000</v>
      </c>
      <c r="M7" s="163">
        <v>21000</v>
      </c>
      <c r="N7" s="122"/>
      <c r="O7" s="90"/>
      <c r="P7" s="90"/>
      <c r="Q7" s="19"/>
      <c r="R7" s="19"/>
      <c r="S7" s="10"/>
      <c r="T7" s="10">
        <v>5.5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s="3" customFormat="1" ht="18" customHeight="1">
      <c r="A8" s="11">
        <v>1</v>
      </c>
      <c r="B8" s="224" t="s">
        <v>183</v>
      </c>
      <c r="C8" s="225">
        <f>COVER!B15</f>
        <v>0</v>
      </c>
      <c r="D8" s="226">
        <v>1</v>
      </c>
      <c r="E8" s="215"/>
      <c r="F8" s="227">
        <v>10</v>
      </c>
      <c r="G8" s="227"/>
      <c r="H8" s="228">
        <f>COVER!C15</f>
        <v>0</v>
      </c>
      <c r="I8" s="229">
        <f>D8*F8*H8</f>
        <v>0</v>
      </c>
      <c r="J8" s="230"/>
      <c r="K8" s="231">
        <f t="shared" si="0"/>
        <v>0</v>
      </c>
      <c r="L8" s="163">
        <v>18800</v>
      </c>
      <c r="M8" s="163">
        <v>28200</v>
      </c>
      <c r="N8" s="122"/>
      <c r="O8" s="90"/>
      <c r="P8" s="90"/>
      <c r="Q8" s="19"/>
      <c r="R8" s="19"/>
      <c r="S8" s="10"/>
      <c r="T8" s="10">
        <v>10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s="3" customFormat="1" ht="18" customHeight="1">
      <c r="A9" s="11">
        <v>2</v>
      </c>
      <c r="B9" s="232" t="s">
        <v>2</v>
      </c>
      <c r="C9" s="225" t="str">
        <f>COVER!B16</f>
        <v>A351 CF8M</v>
      </c>
      <c r="D9" s="226">
        <v>1</v>
      </c>
      <c r="E9" s="215"/>
      <c r="F9" s="227">
        <f>IF(COVER!B34="10 BAR",Q9,IF(COVER!B34="16 BAR",R9,IF(COVER!B34="20 BAR",R9)))</f>
        <v>0.4</v>
      </c>
      <c r="G9" s="227"/>
      <c r="H9" s="228">
        <f>COVER!C16</f>
        <v>12000</v>
      </c>
      <c r="I9" s="233">
        <f>D9*F9*H9</f>
        <v>4800</v>
      </c>
      <c r="J9" s="230"/>
      <c r="K9" s="234">
        <f t="shared" si="0"/>
        <v>4800</v>
      </c>
      <c r="L9" s="163">
        <v>3330</v>
      </c>
      <c r="M9" s="163">
        <v>3500</v>
      </c>
      <c r="N9" s="163">
        <v>3500</v>
      </c>
      <c r="O9" s="163">
        <v>9000</v>
      </c>
      <c r="P9" s="122">
        <v>12300</v>
      </c>
      <c r="Q9" s="19">
        <v>0.4</v>
      </c>
      <c r="R9" s="19">
        <v>0.4</v>
      </c>
      <c r="S9" s="10"/>
      <c r="T9" s="10">
        <v>0.3</v>
      </c>
      <c r="U9" s="10"/>
      <c r="V9" s="10">
        <f>P9/M9</f>
        <v>3.5142857142857142</v>
      </c>
      <c r="W9" s="10"/>
      <c r="X9" s="10"/>
      <c r="Y9" s="10"/>
      <c r="Z9" s="10"/>
      <c r="AA9" s="10"/>
      <c r="AB9" s="10"/>
      <c r="AC9" s="10"/>
      <c r="AD9" s="10"/>
      <c r="AE9" s="10"/>
    </row>
    <row r="10" spans="1:31" s="3" customFormat="1" ht="18" customHeight="1">
      <c r="A10" s="207">
        <v>3</v>
      </c>
      <c r="B10" s="235" t="s">
        <v>3</v>
      </c>
      <c r="C10" s="236" t="str">
        <f>COVER!B18</f>
        <v>EPDM</v>
      </c>
      <c r="D10" s="214">
        <v>1</v>
      </c>
      <c r="E10" s="215"/>
      <c r="F10" s="227">
        <v>1</v>
      </c>
      <c r="G10" s="227"/>
      <c r="H10" s="228">
        <f>IF(C10="NBR",L10,IF(C10="EPDM",L10,IF(C10="VITON",M10)))</f>
        <v>1150</v>
      </c>
      <c r="I10" s="233">
        <f>H10*F10*D10</f>
        <v>1150</v>
      </c>
      <c r="J10" s="230"/>
      <c r="K10" s="234">
        <f t="shared" si="0"/>
        <v>1150</v>
      </c>
      <c r="L10" s="163">
        <v>1150</v>
      </c>
      <c r="M10" s="163">
        <v>11000</v>
      </c>
      <c r="N10" s="163">
        <v>9000</v>
      </c>
      <c r="O10" s="163" t="s">
        <v>202</v>
      </c>
      <c r="P10" s="163" t="s">
        <v>202</v>
      </c>
      <c r="Q10" s="19"/>
      <c r="R10" s="1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s="3" customFormat="1" ht="18" customHeight="1">
      <c r="A11" s="207">
        <v>4</v>
      </c>
      <c r="B11" s="235" t="s">
        <v>203</v>
      </c>
      <c r="C11" s="214" t="str">
        <f>COVER!B17</f>
        <v>A564T630</v>
      </c>
      <c r="D11" s="214">
        <v>1</v>
      </c>
      <c r="E11" s="215"/>
      <c r="F11" s="237">
        <v>0.27</v>
      </c>
      <c r="G11" s="238"/>
      <c r="H11" s="228">
        <f>COVER!C17</f>
        <v>10000</v>
      </c>
      <c r="I11" s="233">
        <f>D11*F11*H11</f>
        <v>2700</v>
      </c>
      <c r="J11" s="233"/>
      <c r="K11" s="234">
        <f t="shared" si="0"/>
        <v>2700</v>
      </c>
      <c r="L11" s="163" t="s">
        <v>262</v>
      </c>
      <c r="M11" s="163">
        <v>3000</v>
      </c>
      <c r="N11" s="90">
        <v>1000</v>
      </c>
      <c r="O11" s="90"/>
      <c r="P11" s="90"/>
      <c r="Q11" s="18">
        <v>0.27</v>
      </c>
      <c r="R11" s="18"/>
      <c r="S11" s="108"/>
      <c r="T11" s="10">
        <v>0.3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s="3" customFormat="1" ht="18" customHeight="1">
      <c r="A12" s="207">
        <v>5</v>
      </c>
      <c r="B12" s="235" t="s">
        <v>184</v>
      </c>
      <c r="C12" s="214" t="str">
        <f>COVER!B19</f>
        <v>NBR</v>
      </c>
      <c r="D12" s="214">
        <v>1</v>
      </c>
      <c r="E12" s="215"/>
      <c r="F12" s="237">
        <v>1</v>
      </c>
      <c r="G12" s="227"/>
      <c r="H12" s="230">
        <f>IF(C12="NBR",L12+N12,IF(C12="EPDM",L12+N12,IF(C12="VITON",M12+N12)))</f>
        <v>290</v>
      </c>
      <c r="I12" s="233">
        <f>D12*F12*H12</f>
        <v>290</v>
      </c>
      <c r="J12" s="233"/>
      <c r="K12" s="234">
        <f t="shared" si="0"/>
        <v>290</v>
      </c>
      <c r="L12" s="163">
        <v>120</v>
      </c>
      <c r="M12" s="163">
        <v>970</v>
      </c>
      <c r="N12" s="163">
        <v>170</v>
      </c>
      <c r="O12" s="90"/>
      <c r="P12" s="90"/>
      <c r="Q12" s="19"/>
      <c r="R12" s="19"/>
      <c r="S12" s="10"/>
      <c r="T12" s="10"/>
      <c r="U12" s="10"/>
      <c r="V12" s="10">
        <f>M9/L9</f>
        <v>1.0510510510510511</v>
      </c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s="3" customFormat="1" ht="18" customHeight="1">
      <c r="A13" s="207">
        <v>6</v>
      </c>
      <c r="B13" s="235" t="s">
        <v>163</v>
      </c>
      <c r="C13" s="214"/>
      <c r="D13" s="214">
        <v>0</v>
      </c>
      <c r="E13" s="215"/>
      <c r="F13" s="227"/>
      <c r="G13" s="227"/>
      <c r="H13" s="228"/>
      <c r="I13" s="233"/>
      <c r="J13" s="233"/>
      <c r="K13" s="234"/>
      <c r="L13" s="333" t="s">
        <v>202</v>
      </c>
      <c r="M13" s="334"/>
      <c r="N13" s="334"/>
      <c r="O13" s="334"/>
      <c r="P13" s="335"/>
      <c r="Q13" s="19"/>
      <c r="R13" s="19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s="3" customFormat="1" ht="18" customHeight="1">
      <c r="A14" s="207">
        <v>7</v>
      </c>
      <c r="B14" s="235" t="s">
        <v>4</v>
      </c>
      <c r="C14" s="214" t="str">
        <f>C11</f>
        <v>A564T630</v>
      </c>
      <c r="D14" s="214">
        <v>1</v>
      </c>
      <c r="E14" s="215"/>
      <c r="F14" s="237">
        <v>1</v>
      </c>
      <c r="G14" s="227"/>
      <c r="H14" s="228">
        <f>L14</f>
        <v>1400</v>
      </c>
      <c r="I14" s="233">
        <f>D14*F14*H14</f>
        <v>1400</v>
      </c>
      <c r="J14" s="233"/>
      <c r="K14" s="234">
        <f>I14+J14</f>
        <v>1400</v>
      </c>
      <c r="L14" s="163">
        <v>1400</v>
      </c>
      <c r="M14" s="163"/>
      <c r="N14" s="163"/>
      <c r="O14" s="163"/>
      <c r="P14" s="163"/>
      <c r="Q14" s="19"/>
      <c r="R14" s="19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s="3" customFormat="1" ht="18" customHeight="1">
      <c r="A15" s="207">
        <v>8</v>
      </c>
      <c r="B15" s="235" t="s">
        <v>386</v>
      </c>
      <c r="C15" s="214" t="str">
        <f>COVER!B22</f>
        <v>BODY MATERIAL</v>
      </c>
      <c r="D15" s="214">
        <v>0</v>
      </c>
      <c r="E15" s="215"/>
      <c r="F15" s="215"/>
      <c r="G15" s="227"/>
      <c r="H15" s="228"/>
      <c r="I15" s="233"/>
      <c r="J15" s="233"/>
      <c r="K15" s="234"/>
      <c r="L15" s="333" t="s">
        <v>202</v>
      </c>
      <c r="M15" s="334"/>
      <c r="N15" s="334"/>
      <c r="O15" s="334"/>
      <c r="P15" s="335"/>
      <c r="Q15" s="164"/>
      <c r="R15" s="164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s="3" customFormat="1" ht="18" customHeight="1">
      <c r="A16" s="207">
        <v>9</v>
      </c>
      <c r="B16" s="235" t="s">
        <v>217</v>
      </c>
      <c r="C16" s="214" t="str">
        <f>COVER!B23</f>
        <v>B8M</v>
      </c>
      <c r="D16" s="214">
        <v>0</v>
      </c>
      <c r="E16" s="215"/>
      <c r="F16" s="239"/>
      <c r="G16" s="227"/>
      <c r="H16" s="228"/>
      <c r="I16" s="233"/>
      <c r="J16" s="233"/>
      <c r="K16" s="234"/>
      <c r="L16" s="333" t="s">
        <v>202</v>
      </c>
      <c r="M16" s="334"/>
      <c r="N16" s="334"/>
      <c r="O16" s="334"/>
      <c r="P16" s="335"/>
      <c r="Q16" s="19"/>
      <c r="R16" s="19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s="3" customFormat="1" ht="18" customHeight="1">
      <c r="A17" s="207">
        <v>10</v>
      </c>
      <c r="B17" s="235" t="s">
        <v>221</v>
      </c>
      <c r="C17" s="214" t="str">
        <f>COVER!B24</f>
        <v>ALBC2</v>
      </c>
      <c r="D17" s="214">
        <v>0</v>
      </c>
      <c r="E17" s="215"/>
      <c r="F17" s="239"/>
      <c r="G17" s="227"/>
      <c r="H17" s="228"/>
      <c r="I17" s="233"/>
      <c r="J17" s="233"/>
      <c r="K17" s="234"/>
      <c r="L17" s="333" t="s">
        <v>202</v>
      </c>
      <c r="M17" s="334"/>
      <c r="N17" s="334"/>
      <c r="O17" s="334"/>
      <c r="P17" s="335"/>
      <c r="Q17" s="202"/>
      <c r="R17" s="19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s="3" customFormat="1" ht="18" customHeight="1">
      <c r="A18" s="207">
        <v>11</v>
      </c>
      <c r="B18" s="235" t="s">
        <v>187</v>
      </c>
      <c r="C18" s="214" t="s">
        <v>352</v>
      </c>
      <c r="D18" s="214">
        <v>1</v>
      </c>
      <c r="E18" s="215"/>
      <c r="F18" s="239"/>
      <c r="G18" s="227"/>
      <c r="H18" s="228">
        <f>M18</f>
        <v>1300</v>
      </c>
      <c r="I18" s="233">
        <f>H18*D18</f>
        <v>1300</v>
      </c>
      <c r="J18" s="233"/>
      <c r="K18" s="234">
        <f t="shared" ref="K18:K22" si="1">I18+J18</f>
        <v>1300</v>
      </c>
      <c r="L18" s="163" t="s">
        <v>354</v>
      </c>
      <c r="M18" s="163">
        <v>1300</v>
      </c>
      <c r="N18" s="163"/>
      <c r="O18" s="163"/>
      <c r="P18" s="163"/>
      <c r="Q18" s="203" t="s">
        <v>379</v>
      </c>
      <c r="R18" s="165"/>
      <c r="S18" s="145" t="s">
        <v>246</v>
      </c>
      <c r="T18" s="145"/>
      <c r="U18" s="145" t="s">
        <v>247</v>
      </c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s="3" customFormat="1" ht="18" customHeight="1">
      <c r="A19" s="207">
        <v>12</v>
      </c>
      <c r="B19" s="235" t="s">
        <v>189</v>
      </c>
      <c r="C19" s="214" t="str">
        <f>COVER!B26</f>
        <v>B8M</v>
      </c>
      <c r="D19" s="214">
        <v>2</v>
      </c>
      <c r="E19" s="215"/>
      <c r="F19" s="239"/>
      <c r="G19" s="227"/>
      <c r="H19" s="230">
        <f>IF(C19="B8",M19,IF(C19="B8M",N19))</f>
        <v>200</v>
      </c>
      <c r="I19" s="240">
        <f>H19*D19</f>
        <v>400</v>
      </c>
      <c r="J19" s="233"/>
      <c r="K19" s="234">
        <f t="shared" si="1"/>
        <v>400</v>
      </c>
      <c r="L19" s="163"/>
      <c r="M19" s="163">
        <v>200</v>
      </c>
      <c r="N19" s="163">
        <v>200</v>
      </c>
      <c r="O19" s="163"/>
      <c r="P19" s="163"/>
      <c r="Q19" s="204" t="s">
        <v>381</v>
      </c>
      <c r="R19" s="19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s="3" customFormat="1" ht="18" customHeight="1">
      <c r="A20" s="207">
        <v>13</v>
      </c>
      <c r="B20" s="235" t="s">
        <v>188</v>
      </c>
      <c r="C20" s="214" t="str">
        <f>COVER!B27</f>
        <v>B8M</v>
      </c>
      <c r="D20" s="214">
        <v>4</v>
      </c>
      <c r="E20" s="215"/>
      <c r="F20" s="239"/>
      <c r="G20" s="227"/>
      <c r="H20" s="228">
        <f>IF(C20="B8",M20,IF(C20="B8M",N20,IF(C20="B7(다크로)",O20)))</f>
        <v>400</v>
      </c>
      <c r="I20" s="233">
        <f>H20*D20</f>
        <v>1600</v>
      </c>
      <c r="J20" s="233"/>
      <c r="K20" s="234">
        <f t="shared" si="1"/>
        <v>1600</v>
      </c>
      <c r="L20" s="163" t="s">
        <v>387</v>
      </c>
      <c r="M20" s="163">
        <v>350</v>
      </c>
      <c r="N20" s="163">
        <v>400</v>
      </c>
      <c r="O20" s="163">
        <v>300</v>
      </c>
      <c r="P20" s="163"/>
      <c r="Q20" s="204" t="s">
        <v>385</v>
      </c>
      <c r="R20" s="19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s="3" customFormat="1" ht="18" customHeight="1">
      <c r="A21" s="207">
        <v>14</v>
      </c>
      <c r="B21" s="235" t="s">
        <v>5</v>
      </c>
      <c r="C21" s="214" t="str">
        <f>COVER!C35</f>
        <v>SUS304</v>
      </c>
      <c r="D21" s="214">
        <v>1</v>
      </c>
      <c r="E21" s="215"/>
      <c r="F21" s="239"/>
      <c r="G21" s="227"/>
      <c r="H21" s="228">
        <f>IF(C21="SS400",L21,IF(C21="SUS304",M21))</f>
        <v>16000</v>
      </c>
      <c r="I21" s="233">
        <f>H21*D21</f>
        <v>16000</v>
      </c>
      <c r="J21" s="241"/>
      <c r="K21" s="234">
        <f t="shared" si="1"/>
        <v>16000</v>
      </c>
      <c r="L21" s="206">
        <v>5400</v>
      </c>
      <c r="M21" s="206">
        <v>16000</v>
      </c>
      <c r="N21" s="163"/>
      <c r="O21" s="163"/>
      <c r="P21" s="163"/>
      <c r="Q21" s="19"/>
      <c r="R21" s="19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s="3" customFormat="1" ht="18" customHeight="1">
      <c r="A22" s="207">
        <v>15</v>
      </c>
      <c r="B22" s="235" t="s">
        <v>6</v>
      </c>
      <c r="C22" s="214" t="str">
        <f>COVER!B34</f>
        <v>10 BAR</v>
      </c>
      <c r="D22" s="214">
        <v>1</v>
      </c>
      <c r="E22" s="215"/>
      <c r="F22" s="239"/>
      <c r="G22" s="242"/>
      <c r="H22" s="228"/>
      <c r="I22" s="233">
        <f>IF(C22="10 BAR",M22,IF(C22="16 BAR",N22,IF(C22="20 BAR",O22)))</f>
        <v>98000</v>
      </c>
      <c r="J22" s="241"/>
      <c r="K22" s="234">
        <f t="shared" si="1"/>
        <v>98000</v>
      </c>
      <c r="L22" s="163"/>
      <c r="M22" s="163">
        <v>98000</v>
      </c>
      <c r="N22" s="163">
        <v>98000</v>
      </c>
      <c r="O22" s="163">
        <v>98000</v>
      </c>
      <c r="P22" s="163"/>
      <c r="Q22" s="19"/>
      <c r="R22" s="19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s="3" customFormat="1" ht="18" customHeight="1">
      <c r="A23" s="207">
        <v>16</v>
      </c>
      <c r="B23" s="235" t="s">
        <v>7</v>
      </c>
      <c r="C23" s="214" t="str">
        <f>COVER!B32</f>
        <v>기존 단가</v>
      </c>
      <c r="D23" s="214">
        <v>1</v>
      </c>
      <c r="E23" s="215"/>
      <c r="F23" s="239"/>
      <c r="G23" s="242"/>
      <c r="H23" s="228">
        <f>IF(COVER!B9="APPLICATION",0,IF(COVER!B32="기존 단가",L23,IF(COVER!B32="외주 2COATING",M23,IF(COVER!B32="외주 3COATING",N23))))</f>
        <v>5000</v>
      </c>
      <c r="I23" s="233">
        <f>H23</f>
        <v>5000</v>
      </c>
      <c r="J23" s="233"/>
      <c r="K23" s="234"/>
      <c r="L23" s="163">
        <v>5000</v>
      </c>
      <c r="M23" s="163">
        <f>IF(H6&gt;0,F6*520,IF(H7&gt;0,F7*520,IF(H8&gt;0,F8*520)))</f>
        <v>3380</v>
      </c>
      <c r="N23" s="163">
        <f>IF(H6&gt;0,F6*620,IF(H7&gt;0,F7*620,IF(H8&gt;0,F8*620)))</f>
        <v>4030</v>
      </c>
      <c r="O23" s="90"/>
      <c r="P23" s="182"/>
      <c r="Q23" s="19"/>
      <c r="R23" s="19"/>
      <c r="S23" s="10"/>
      <c r="T23" s="10"/>
      <c r="U23" s="10"/>
      <c r="V23" s="10">
        <v>338</v>
      </c>
      <c r="W23" s="10">
        <v>260</v>
      </c>
      <c r="X23" s="10">
        <f>V23/W23</f>
        <v>1.3</v>
      </c>
      <c r="Y23" s="10"/>
      <c r="Z23" s="10"/>
      <c r="AA23" s="10"/>
      <c r="AB23" s="10"/>
      <c r="AC23" s="10"/>
      <c r="AD23" s="10"/>
      <c r="AE23" s="10"/>
    </row>
    <row r="24" spans="1:31" s="3" customFormat="1" ht="18" customHeight="1">
      <c r="A24" s="207">
        <v>17</v>
      </c>
      <c r="B24" s="235" t="s">
        <v>174</v>
      </c>
      <c r="C24" s="214"/>
      <c r="D24" s="214">
        <v>1</v>
      </c>
      <c r="E24" s="215"/>
      <c r="F24" s="239"/>
      <c r="G24" s="242"/>
      <c r="H24" s="228">
        <f>IF(COVER!B9="APPLICATION",0,IF(COVER!B9="N/A",L24))</f>
        <v>5000</v>
      </c>
      <c r="I24" s="233">
        <f>H24</f>
        <v>5000</v>
      </c>
      <c r="J24" s="234"/>
      <c r="K24" s="234"/>
      <c r="L24" s="211">
        <v>5000</v>
      </c>
      <c r="M24" s="90"/>
      <c r="N24" s="90"/>
      <c r="O24" s="90"/>
      <c r="P24" s="90"/>
      <c r="Q24" s="19"/>
      <c r="R24" s="19"/>
      <c r="S24" s="10"/>
      <c r="T24" s="10"/>
      <c r="U24" s="10"/>
      <c r="V24" s="10">
        <v>429</v>
      </c>
      <c r="W24" s="10">
        <v>330</v>
      </c>
      <c r="X24" s="10">
        <f t="shared" ref="X24:X27" si="2">V24/W24</f>
        <v>1.3</v>
      </c>
      <c r="Y24" s="10"/>
      <c r="Z24" s="10"/>
      <c r="AA24" s="10"/>
      <c r="AB24" s="10"/>
      <c r="AC24" s="10"/>
      <c r="AD24" s="10"/>
      <c r="AE24" s="10"/>
    </row>
    <row r="25" spans="1:31" s="3" customFormat="1" ht="18" customHeight="1">
      <c r="A25" s="207">
        <v>18</v>
      </c>
      <c r="B25" s="97" t="s">
        <v>175</v>
      </c>
      <c r="C25" s="14"/>
      <c r="D25" s="14"/>
      <c r="E25" s="15"/>
      <c r="F25" s="15"/>
      <c r="G25" s="15"/>
      <c r="H25" s="15"/>
      <c r="I25" s="98"/>
      <c r="J25" s="98"/>
      <c r="K25" s="16">
        <f>SUM(K6:K20)+SUM(K23:K24)</f>
        <v>36390</v>
      </c>
      <c r="L25" s="122" t="s">
        <v>248</v>
      </c>
      <c r="M25" s="90"/>
      <c r="N25" s="90"/>
      <c r="O25" s="90"/>
      <c r="P25" s="90"/>
      <c r="Q25" s="19"/>
      <c r="R25" s="19"/>
      <c r="S25" s="10"/>
      <c r="T25" s="10"/>
      <c r="U25" s="10"/>
      <c r="V25" s="10">
        <v>507</v>
      </c>
      <c r="W25" s="10">
        <v>390</v>
      </c>
      <c r="X25" s="10">
        <f t="shared" si="2"/>
        <v>1.3</v>
      </c>
      <c r="Y25" s="10"/>
      <c r="Z25" s="10"/>
      <c r="AA25" s="10"/>
      <c r="AB25" s="10"/>
      <c r="AC25" s="10"/>
      <c r="AD25" s="10"/>
      <c r="AE25" s="10"/>
    </row>
    <row r="26" spans="1:31" s="3" customFormat="1" ht="18" customHeight="1">
      <c r="A26" s="207">
        <v>18</v>
      </c>
      <c r="B26" s="97" t="s">
        <v>176</v>
      </c>
      <c r="C26" s="14"/>
      <c r="D26" s="14"/>
      <c r="E26" s="15"/>
      <c r="F26" s="15"/>
      <c r="G26" s="15"/>
      <c r="H26" s="15"/>
      <c r="I26" s="98"/>
      <c r="J26" s="98"/>
      <c r="K26" s="16">
        <f>SUM(K6:K21)+SUM(K23:K24)</f>
        <v>52390</v>
      </c>
      <c r="L26" s="122" t="s">
        <v>248</v>
      </c>
      <c r="M26" s="90"/>
      <c r="N26" s="90"/>
      <c r="O26" s="90"/>
      <c r="P26" s="90"/>
      <c r="Q26" s="19"/>
      <c r="R26" s="19"/>
      <c r="S26" s="10"/>
      <c r="T26" s="10"/>
      <c r="U26" s="10"/>
      <c r="V26" s="10">
        <v>676</v>
      </c>
      <c r="W26" s="10">
        <v>520</v>
      </c>
      <c r="X26" s="10">
        <f t="shared" si="2"/>
        <v>1.3</v>
      </c>
      <c r="Y26" s="10"/>
      <c r="Z26" s="10"/>
      <c r="AA26" s="10"/>
      <c r="AB26" s="10"/>
      <c r="AC26" s="10"/>
      <c r="AD26" s="10"/>
      <c r="AE26" s="10"/>
    </row>
    <row r="27" spans="1:31" s="3" customFormat="1" ht="18" customHeight="1">
      <c r="A27" s="207">
        <v>18</v>
      </c>
      <c r="B27" s="97" t="s">
        <v>177</v>
      </c>
      <c r="C27" s="14"/>
      <c r="D27" s="14"/>
      <c r="E27" s="15"/>
      <c r="F27" s="15"/>
      <c r="G27" s="15"/>
      <c r="H27" s="15"/>
      <c r="I27" s="98"/>
      <c r="J27" s="98"/>
      <c r="K27" s="16">
        <f>SUM(K6:K20)+SUM(K22:K24)</f>
        <v>134390</v>
      </c>
      <c r="L27" s="122" t="s">
        <v>248</v>
      </c>
      <c r="M27" s="90"/>
      <c r="N27" s="90"/>
      <c r="O27" s="90"/>
      <c r="P27" s="90"/>
      <c r="Q27" s="19"/>
      <c r="R27" s="19"/>
      <c r="S27" s="10"/>
      <c r="T27" s="10"/>
      <c r="U27" s="10"/>
      <c r="V27" s="10">
        <v>845</v>
      </c>
      <c r="W27" s="10">
        <v>650</v>
      </c>
      <c r="X27" s="10">
        <f t="shared" si="2"/>
        <v>1.3</v>
      </c>
      <c r="Y27" s="10"/>
      <c r="Z27" s="10"/>
      <c r="AA27" s="10"/>
      <c r="AB27" s="10"/>
      <c r="AC27" s="10"/>
      <c r="AD27" s="10"/>
      <c r="AE27" s="10"/>
    </row>
    <row r="28" spans="1:31" s="3" customFormat="1" ht="18" customHeight="1">
      <c r="A28" s="207">
        <v>19</v>
      </c>
      <c r="B28" s="235" t="s">
        <v>237</v>
      </c>
      <c r="C28" s="214" t="str">
        <f>COVER!B28</f>
        <v>REQUIRED</v>
      </c>
      <c r="D28" s="214">
        <v>0</v>
      </c>
      <c r="E28" s="215"/>
      <c r="F28" s="239"/>
      <c r="G28" s="215"/>
      <c r="H28" s="233">
        <f>IF(C28="REQUIRED",L28,IF(C28="N/A",0))</f>
        <v>2900</v>
      </c>
      <c r="I28" s="233">
        <f>H28</f>
        <v>2900</v>
      </c>
      <c r="J28" s="215"/>
      <c r="K28" s="234"/>
      <c r="L28" s="163">
        <v>2900</v>
      </c>
      <c r="M28" s="90"/>
      <c r="N28" s="90"/>
      <c r="O28" s="90"/>
      <c r="P28" s="90"/>
      <c r="Q28" s="19"/>
      <c r="R28" s="19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s="3" customFormat="1" ht="18" customHeight="1">
      <c r="A29" s="207">
        <v>20</v>
      </c>
      <c r="B29" s="235" t="s">
        <v>180</v>
      </c>
      <c r="C29" s="214"/>
      <c r="D29" s="214">
        <v>0</v>
      </c>
      <c r="E29" s="215"/>
      <c r="F29" s="239"/>
      <c r="G29" s="215"/>
      <c r="H29" s="215"/>
      <c r="I29" s="215"/>
      <c r="J29" s="215"/>
      <c r="K29" s="234"/>
      <c r="L29" s="122"/>
      <c r="M29" s="90"/>
      <c r="N29" s="90"/>
      <c r="O29" s="90"/>
      <c r="P29" s="90"/>
      <c r="Q29" s="19"/>
      <c r="R29" s="19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s="3" customFormat="1" ht="18" customHeight="1">
      <c r="A30" s="207">
        <v>21</v>
      </c>
      <c r="B30" s="235" t="s">
        <v>178</v>
      </c>
      <c r="C30" s="214" t="str">
        <f>COVER!B35</f>
        <v>MOTOR</v>
      </c>
      <c r="D30" s="214">
        <v>1</v>
      </c>
      <c r="E30" s="215"/>
      <c r="F30" s="239"/>
      <c r="G30" s="215"/>
      <c r="H30" s="233">
        <f>IF(COVER!B9="APPLICATION",0,IF(COVER!B35="BARE",M30,(IF(COVER!B35="LEVER",M30,IF(COVER!B35="GEAR",N30,IF(COVER!B35="MOTOR",O30))))))</f>
        <v>40000</v>
      </c>
      <c r="I30" s="234">
        <f>H30</f>
        <v>40000</v>
      </c>
      <c r="J30" s="215"/>
      <c r="K30" s="234"/>
      <c r="L30" s="163">
        <v>9500</v>
      </c>
      <c r="M30" s="163">
        <v>4500</v>
      </c>
      <c r="N30" s="163">
        <v>4500</v>
      </c>
      <c r="O30" s="163">
        <v>40000</v>
      </c>
      <c r="P30" s="90"/>
      <c r="Q30" s="19"/>
      <c r="R30" s="19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s="3" customFormat="1" ht="18" customHeight="1">
      <c r="A31" s="207">
        <v>22</v>
      </c>
      <c r="B31" s="235"/>
      <c r="C31" s="214"/>
      <c r="D31" s="214"/>
      <c r="E31" s="215"/>
      <c r="F31" s="239"/>
      <c r="G31" s="215"/>
      <c r="H31" s="215"/>
      <c r="I31" s="215"/>
      <c r="J31" s="215"/>
      <c r="K31" s="234"/>
      <c r="L31" s="122"/>
      <c r="M31" s="90"/>
      <c r="N31" s="90"/>
      <c r="O31" s="90"/>
      <c r="P31" s="90"/>
      <c r="Q31" s="19"/>
      <c r="R31" s="19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s="3" customFormat="1" ht="18" customHeight="1">
      <c r="A32" s="207">
        <v>23</v>
      </c>
      <c r="B32" s="89" t="s">
        <v>179</v>
      </c>
      <c r="C32" s="14"/>
      <c r="D32" s="99"/>
      <c r="E32" s="15"/>
      <c r="F32" s="15"/>
      <c r="G32" s="15"/>
      <c r="H32" s="15"/>
      <c r="I32" s="100"/>
      <c r="J32" s="101"/>
      <c r="K32" s="100">
        <f>SUM(K28:K31)</f>
        <v>0</v>
      </c>
      <c r="L32" s="122" t="s">
        <v>249</v>
      </c>
      <c r="M32" s="90"/>
      <c r="N32" s="90"/>
      <c r="O32" s="90"/>
      <c r="P32" s="90"/>
      <c r="Q32" s="19"/>
      <c r="R32" s="19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s="3" customFormat="1" ht="18" customHeight="1">
      <c r="A33" s="11">
        <v>24</v>
      </c>
      <c r="B33" s="216" t="s">
        <v>252</v>
      </c>
      <c r="C33" s="217"/>
      <c r="D33" s="218"/>
      <c r="E33" s="219"/>
      <c r="F33" s="219"/>
      <c r="G33" s="219"/>
      <c r="H33" s="219"/>
      <c r="I33" s="220"/>
      <c r="J33" s="221"/>
      <c r="K33" s="220">
        <f>K25+K32</f>
        <v>36390</v>
      </c>
      <c r="L33" s="122" t="s">
        <v>257</v>
      </c>
      <c r="M33" s="90"/>
      <c r="N33" s="90"/>
      <c r="O33" s="90"/>
      <c r="P33" s="90"/>
      <c r="Q33" s="19"/>
      <c r="R33" s="19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s="3" customFormat="1" ht="18" customHeight="1">
      <c r="A34" s="11">
        <v>24</v>
      </c>
      <c r="B34" s="216" t="s">
        <v>255</v>
      </c>
      <c r="C34" s="217"/>
      <c r="D34" s="218"/>
      <c r="E34" s="219"/>
      <c r="F34" s="219"/>
      <c r="G34" s="219"/>
      <c r="H34" s="219"/>
      <c r="I34" s="220"/>
      <c r="J34" s="221"/>
      <c r="K34" s="220">
        <f>K26+K32</f>
        <v>52390</v>
      </c>
      <c r="L34" s="122" t="s">
        <v>257</v>
      </c>
      <c r="M34" s="90"/>
      <c r="N34" s="90"/>
      <c r="O34" s="90"/>
      <c r="P34" s="90"/>
      <c r="Q34" s="19"/>
      <c r="R34" s="19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s="3" customFormat="1" ht="18" customHeight="1">
      <c r="A35" s="11">
        <v>24</v>
      </c>
      <c r="B35" s="216" t="s">
        <v>256</v>
      </c>
      <c r="C35" s="217"/>
      <c r="D35" s="218"/>
      <c r="E35" s="219"/>
      <c r="F35" s="219"/>
      <c r="G35" s="219"/>
      <c r="H35" s="219"/>
      <c r="I35" s="220"/>
      <c r="J35" s="221"/>
      <c r="K35" s="220">
        <f>K27+K32</f>
        <v>134390</v>
      </c>
      <c r="L35" s="122" t="s">
        <v>257</v>
      </c>
      <c r="M35" s="90"/>
      <c r="N35" s="90"/>
      <c r="O35" s="90"/>
      <c r="P35" s="90"/>
      <c r="Q35" s="19"/>
      <c r="R35" s="19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s="4" customFormat="1" ht="18" customHeight="1">
      <c r="A36" s="11">
        <v>25</v>
      </c>
      <c r="B36" s="102" t="s">
        <v>407</v>
      </c>
      <c r="C36" s="103"/>
      <c r="D36" s="103"/>
      <c r="E36" s="104"/>
      <c r="F36" s="105"/>
      <c r="G36" s="105"/>
      <c r="H36" s="106"/>
      <c r="I36" s="223" t="s">
        <v>41</v>
      </c>
      <c r="J36" s="223">
        <v>0.7</v>
      </c>
      <c r="K36" s="107">
        <f>(K25+K32)/J36</f>
        <v>51985.71428571429</v>
      </c>
      <c r="L36" s="122" t="s">
        <v>250</v>
      </c>
      <c r="M36" s="90"/>
      <c r="N36" s="90"/>
      <c r="O36" s="90"/>
      <c r="P36" s="90"/>
      <c r="Q36" s="19"/>
      <c r="R36" s="19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s="4" customFormat="1" ht="18" customHeight="1">
      <c r="A37" s="11">
        <v>25</v>
      </c>
      <c r="B37" s="102" t="s">
        <v>408</v>
      </c>
      <c r="C37" s="103"/>
      <c r="D37" s="103"/>
      <c r="E37" s="104"/>
      <c r="F37" s="105"/>
      <c r="G37" s="105"/>
      <c r="H37" s="106"/>
      <c r="I37" s="223" t="s">
        <v>41</v>
      </c>
      <c r="J37" s="223">
        <v>0.7</v>
      </c>
      <c r="K37" s="107">
        <f>(K26+K32)/J37</f>
        <v>74842.857142857145</v>
      </c>
      <c r="L37" s="122" t="s">
        <v>250</v>
      </c>
      <c r="M37" s="90"/>
      <c r="N37" s="90"/>
      <c r="O37" s="90"/>
      <c r="P37" s="90"/>
      <c r="Q37" s="19"/>
      <c r="R37" s="19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s="4" customFormat="1" ht="18" customHeight="1">
      <c r="A38" s="11">
        <v>25</v>
      </c>
      <c r="B38" s="102" t="s">
        <v>409</v>
      </c>
      <c r="C38" s="103"/>
      <c r="D38" s="103"/>
      <c r="E38" s="104"/>
      <c r="F38" s="105"/>
      <c r="G38" s="105"/>
      <c r="H38" s="106"/>
      <c r="I38" s="223" t="s">
        <v>41</v>
      </c>
      <c r="J38" s="223">
        <v>0.7</v>
      </c>
      <c r="K38" s="107">
        <f>(K27+K32)/J38</f>
        <v>191985.71428571429</v>
      </c>
      <c r="L38" s="122" t="s">
        <v>250</v>
      </c>
      <c r="M38" s="90"/>
      <c r="N38" s="90"/>
      <c r="O38" s="90"/>
      <c r="P38" s="90"/>
      <c r="Q38" s="19"/>
      <c r="R38" s="19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s="4" customFormat="1" ht="18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86"/>
      <c r="M39" s="108"/>
      <c r="N39" s="108"/>
      <c r="O39" s="108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s="4" customFormat="1" ht="18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86"/>
      <c r="M40" s="108"/>
      <c r="N40" s="108"/>
      <c r="O40" s="108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s="4" customFormat="1" ht="18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86"/>
      <c r="M41" s="108"/>
      <c r="N41" s="108"/>
      <c r="O41" s="108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s="4" customFormat="1" ht="18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86"/>
      <c r="M42" s="108"/>
      <c r="N42" s="108"/>
      <c r="O42" s="108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s="4" customFormat="1" ht="18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86"/>
      <c r="M43" s="108"/>
      <c r="N43" s="108"/>
      <c r="O43" s="108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s="4" customFormat="1" ht="18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86"/>
      <c r="M44" s="108"/>
      <c r="N44" s="108"/>
      <c r="O44" s="108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s="4" customFormat="1" ht="18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86"/>
      <c r="M45" s="108"/>
      <c r="N45" s="108"/>
      <c r="O45" s="108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s="4" customFormat="1" ht="18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86"/>
      <c r="M46" s="108"/>
      <c r="N46" s="108"/>
      <c r="O46" s="108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s="4" customFormat="1" ht="12.75">
      <c r="A47" s="10"/>
      <c r="B47" s="10"/>
      <c r="C47" s="10"/>
      <c r="D47" s="109"/>
      <c r="E47" s="10"/>
      <c r="F47" s="10"/>
      <c r="G47" s="10"/>
      <c r="H47" s="10"/>
      <c r="I47" s="10"/>
      <c r="J47" s="10"/>
      <c r="K47" s="10"/>
      <c r="L47" s="108"/>
      <c r="M47" s="108"/>
      <c r="N47" s="108"/>
      <c r="O47" s="108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s="4" customFormat="1" ht="12.7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86"/>
      <c r="M48" s="108"/>
      <c r="N48" s="108"/>
      <c r="O48" s="108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s="4" customFormat="1" ht="12.7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86"/>
      <c r="M49" s="108"/>
      <c r="N49" s="108"/>
      <c r="O49" s="108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s="5" customForma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86"/>
      <c r="M50" s="87"/>
      <c r="N50" s="87"/>
      <c r="O50" s="8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s="5" customForma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86"/>
      <c r="M51" s="87"/>
      <c r="N51" s="87"/>
      <c r="O51" s="87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s="5" customForma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86"/>
      <c r="M52" s="87"/>
      <c r="N52" s="87"/>
      <c r="O52" s="87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</sheetData>
  <mergeCells count="8">
    <mergeCell ref="L16:P16"/>
    <mergeCell ref="L17:P17"/>
    <mergeCell ref="A1:K1"/>
    <mergeCell ref="D3:E3"/>
    <mergeCell ref="F3:H3"/>
    <mergeCell ref="L4:P4"/>
    <mergeCell ref="L13:P13"/>
    <mergeCell ref="L15:P15"/>
  </mergeCells>
  <phoneticPr fontId="7" type="noConversion"/>
  <pageMargins left="0.75" right="0.75" top="1" bottom="1" header="0.5" footer="0.5"/>
  <pageSetup paperSize="9" scale="62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AE52"/>
  <sheetViews>
    <sheetView view="pageBreakPreview" topLeftCell="A10" zoomScale="90" zoomScaleNormal="100" zoomScaleSheetLayoutView="90" workbookViewId="0">
      <selection activeCell="M26" sqref="M26"/>
    </sheetView>
  </sheetViews>
  <sheetFormatPr defaultColWidth="8.88671875" defaultRowHeight="13.5"/>
  <cols>
    <col min="1" max="1" width="5.26171875" style="10" customWidth="1"/>
    <col min="2" max="2" width="20.23046875" style="10" bestFit="1" customWidth="1"/>
    <col min="3" max="3" width="14.3828125" style="10" bestFit="1" customWidth="1"/>
    <col min="4" max="4" width="3.7421875" style="10" customWidth="1"/>
    <col min="5" max="5" width="8.30078125" style="10" customWidth="1"/>
    <col min="6" max="6" width="6.1953125" style="10" customWidth="1"/>
    <col min="7" max="7" width="5.73046875" style="10" customWidth="1"/>
    <col min="8" max="8" width="7.25" style="10" customWidth="1"/>
    <col min="9" max="9" width="10.9921875" style="10" customWidth="1"/>
    <col min="10" max="10" width="12.74609375" style="10" bestFit="1" customWidth="1"/>
    <col min="11" max="11" width="18.125" style="10" bestFit="1" customWidth="1"/>
    <col min="12" max="12" width="14.265625" style="86" bestFit="1" customWidth="1"/>
    <col min="13" max="13" width="13.796875" style="87" customWidth="1"/>
    <col min="14" max="14" width="12.16015625" style="87" bestFit="1" customWidth="1"/>
    <col min="15" max="15" width="9.703125" style="87" customWidth="1"/>
    <col min="16" max="16" width="12.16015625" style="8" bestFit="1" customWidth="1"/>
    <col min="17" max="18" width="15.43359375" style="8" bestFit="1" customWidth="1"/>
    <col min="19" max="31" width="8.88671875" style="8"/>
    <col min="32" max="16384" width="8.88671875" style="2"/>
  </cols>
  <sheetData>
    <row r="1" spans="1:31" ht="24" thickTop="1" thickBot="1">
      <c r="A1" s="336" t="s">
        <v>190</v>
      </c>
      <c r="B1" s="337"/>
      <c r="C1" s="337"/>
      <c r="D1" s="337"/>
      <c r="E1" s="337"/>
      <c r="F1" s="337"/>
      <c r="G1" s="337"/>
      <c r="H1" s="337"/>
      <c r="I1" s="337"/>
      <c r="J1" s="337"/>
      <c r="K1" s="338"/>
      <c r="M1" s="7"/>
    </row>
    <row r="2" spans="1:31" ht="14.45" customHeight="1" thickTop="1" thickBot="1">
      <c r="A2" s="116"/>
      <c r="B2" s="116"/>
      <c r="C2" s="115"/>
      <c r="E2" s="115"/>
      <c r="F2" s="115"/>
      <c r="G2" s="115"/>
    </row>
    <row r="3" spans="1:31" ht="15" thickTop="1" thickBot="1">
      <c r="A3" s="120" t="s">
        <v>191</v>
      </c>
      <c r="B3" s="119" t="s">
        <v>321</v>
      </c>
      <c r="C3" s="120" t="s">
        <v>192</v>
      </c>
      <c r="D3" s="339" t="s">
        <v>193</v>
      </c>
      <c r="E3" s="340"/>
      <c r="F3" s="341" t="s">
        <v>194</v>
      </c>
      <c r="G3" s="339"/>
      <c r="H3" s="339"/>
      <c r="I3" s="119" t="s">
        <v>195</v>
      </c>
      <c r="J3" s="120" t="s">
        <v>197</v>
      </c>
      <c r="K3" s="119" t="s">
        <v>259</v>
      </c>
    </row>
    <row r="4" spans="1:31" ht="19.149999999999999" customHeight="1" thickTop="1" thickBot="1">
      <c r="J4" s="197" t="s">
        <v>332</v>
      </c>
      <c r="K4" s="189">
        <v>190</v>
      </c>
      <c r="L4" s="342" t="s">
        <v>207</v>
      </c>
      <c r="M4" s="343"/>
      <c r="N4" s="343"/>
      <c r="O4" s="343"/>
      <c r="P4" s="343"/>
    </row>
    <row r="5" spans="1:31" s="3" customFormat="1" ht="25.15" customHeight="1" thickTop="1">
      <c r="A5" s="9" t="s">
        <v>1</v>
      </c>
      <c r="B5" s="9" t="s">
        <v>164</v>
      </c>
      <c r="C5" s="88" t="s">
        <v>165</v>
      </c>
      <c r="D5" s="89" t="s">
        <v>166</v>
      </c>
      <c r="E5" s="9" t="s">
        <v>167</v>
      </c>
      <c r="F5" s="9" t="s">
        <v>168</v>
      </c>
      <c r="G5" s="9" t="s">
        <v>169</v>
      </c>
      <c r="H5" s="9" t="s">
        <v>170</v>
      </c>
      <c r="I5" s="123" t="s">
        <v>171</v>
      </c>
      <c r="J5" s="195" t="s">
        <v>172</v>
      </c>
      <c r="K5" s="196" t="s">
        <v>173</v>
      </c>
      <c r="L5" s="90" t="s">
        <v>198</v>
      </c>
      <c r="M5" s="121" t="s">
        <v>199</v>
      </c>
      <c r="N5" s="90" t="s">
        <v>38</v>
      </c>
      <c r="O5" s="90" t="s">
        <v>200</v>
      </c>
      <c r="P5" s="90" t="s">
        <v>201</v>
      </c>
      <c r="Q5" s="90" t="s">
        <v>265</v>
      </c>
      <c r="R5" s="90" t="s">
        <v>266</v>
      </c>
      <c r="S5" s="10"/>
      <c r="T5" s="10" t="s">
        <v>330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s="3" customFormat="1" ht="18" customHeight="1">
      <c r="A6" s="11">
        <v>1</v>
      </c>
      <c r="B6" s="224" t="s">
        <v>181</v>
      </c>
      <c r="C6" s="225">
        <f>COVER!B13</f>
        <v>0</v>
      </c>
      <c r="D6" s="226">
        <v>1</v>
      </c>
      <c r="E6" s="215"/>
      <c r="F6" s="227">
        <v>6</v>
      </c>
      <c r="G6" s="227"/>
      <c r="H6" s="228">
        <f>COVER!C13</f>
        <v>0</v>
      </c>
      <c r="I6" s="229">
        <f>D6*F6*H6</f>
        <v>0</v>
      </c>
      <c r="J6" s="230"/>
      <c r="K6" s="231">
        <f t="shared" ref="K6:K12" si="0">I6+J6</f>
        <v>0</v>
      </c>
      <c r="L6" s="163">
        <v>13000</v>
      </c>
      <c r="M6" s="163">
        <v>19500</v>
      </c>
      <c r="N6" s="163">
        <v>39000</v>
      </c>
      <c r="O6" s="90"/>
      <c r="P6" s="90"/>
      <c r="Q6" s="19"/>
      <c r="R6" s="19"/>
      <c r="S6" s="10"/>
      <c r="T6" s="10">
        <v>6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s="3" customFormat="1" ht="18" customHeight="1">
      <c r="A7" s="11">
        <v>1</v>
      </c>
      <c r="B7" s="224" t="s">
        <v>182</v>
      </c>
      <c r="C7" s="225" t="str">
        <f>COVER!B14</f>
        <v>A536 Gr65-45-12</v>
      </c>
      <c r="D7" s="226">
        <v>1</v>
      </c>
      <c r="E7" s="215"/>
      <c r="F7" s="227">
        <v>6</v>
      </c>
      <c r="G7" s="227"/>
      <c r="H7" s="228">
        <f>COVER!C14</f>
        <v>3500</v>
      </c>
      <c r="I7" s="229">
        <f>D7*F7*H7</f>
        <v>21000</v>
      </c>
      <c r="J7" s="230"/>
      <c r="K7" s="231">
        <f t="shared" si="0"/>
        <v>21000</v>
      </c>
      <c r="L7" s="163">
        <v>21000</v>
      </c>
      <c r="M7" s="163">
        <v>31500</v>
      </c>
      <c r="N7" s="122"/>
      <c r="O7" s="90"/>
      <c r="P7" s="90"/>
      <c r="Q7" s="19"/>
      <c r="R7" s="19"/>
      <c r="S7" s="10"/>
      <c r="T7" s="10">
        <v>7.8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s="3" customFormat="1" ht="18" customHeight="1">
      <c r="A8" s="11">
        <v>1</v>
      </c>
      <c r="B8" s="224" t="s">
        <v>183</v>
      </c>
      <c r="C8" s="225">
        <f>COVER!B15</f>
        <v>0</v>
      </c>
      <c r="D8" s="226">
        <v>1</v>
      </c>
      <c r="E8" s="215"/>
      <c r="F8" s="227">
        <v>13</v>
      </c>
      <c r="G8" s="227"/>
      <c r="H8" s="228">
        <f>COVER!C15</f>
        <v>0</v>
      </c>
      <c r="I8" s="229">
        <f>D8*F8*H8</f>
        <v>0</v>
      </c>
      <c r="J8" s="230"/>
      <c r="K8" s="231">
        <f t="shared" si="0"/>
        <v>0</v>
      </c>
      <c r="L8" s="163">
        <v>23500</v>
      </c>
      <c r="M8" s="163">
        <v>35250</v>
      </c>
      <c r="N8" s="122"/>
      <c r="O8" s="90"/>
      <c r="P8" s="90"/>
      <c r="Q8" s="19"/>
      <c r="R8" s="19"/>
      <c r="S8" s="10"/>
      <c r="T8" s="10">
        <v>11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s="3" customFormat="1" ht="18" customHeight="1">
      <c r="A9" s="11">
        <v>2</v>
      </c>
      <c r="B9" s="232" t="s">
        <v>2</v>
      </c>
      <c r="C9" s="225" t="str">
        <f>COVER!B16</f>
        <v>A351 CF8M</v>
      </c>
      <c r="D9" s="226">
        <v>1</v>
      </c>
      <c r="E9" s="215"/>
      <c r="F9" s="227">
        <f>IF(COVER!B34="10 BAR",Q9,IF(COVER!B34="16 BAR",R9,IF(COVER!B34="20 BAR",R9)))</f>
        <v>0.5</v>
      </c>
      <c r="G9" s="227"/>
      <c r="H9" s="228">
        <f>COVER!C16</f>
        <v>12000</v>
      </c>
      <c r="I9" s="233">
        <f>D9*F9*H9</f>
        <v>6000</v>
      </c>
      <c r="J9" s="230"/>
      <c r="K9" s="234">
        <f t="shared" si="0"/>
        <v>6000</v>
      </c>
      <c r="L9" s="163">
        <v>4390</v>
      </c>
      <c r="M9" s="163">
        <v>4600</v>
      </c>
      <c r="N9" s="163">
        <v>4600</v>
      </c>
      <c r="O9" s="163">
        <v>9000</v>
      </c>
      <c r="P9" s="163">
        <v>13000</v>
      </c>
      <c r="Q9" s="19">
        <v>0.5</v>
      </c>
      <c r="R9" s="19">
        <v>0.5</v>
      </c>
      <c r="S9" s="10"/>
      <c r="T9" s="10">
        <v>0.5</v>
      </c>
      <c r="U9" s="10"/>
      <c r="V9" s="10">
        <f>P9/M9</f>
        <v>2.8260869565217392</v>
      </c>
      <c r="W9" s="10"/>
      <c r="X9" s="10"/>
      <c r="Y9" s="10"/>
      <c r="Z9" s="10"/>
      <c r="AA9" s="10"/>
      <c r="AB9" s="10"/>
      <c r="AC9" s="10"/>
      <c r="AD9" s="10"/>
      <c r="AE9" s="10"/>
    </row>
    <row r="10" spans="1:31" s="3" customFormat="1" ht="18" customHeight="1">
      <c r="A10" s="207">
        <v>3</v>
      </c>
      <c r="B10" s="235" t="s">
        <v>3</v>
      </c>
      <c r="C10" s="236" t="str">
        <f>COVER!B18</f>
        <v>EPDM</v>
      </c>
      <c r="D10" s="214">
        <v>1</v>
      </c>
      <c r="E10" s="215"/>
      <c r="F10" s="227">
        <v>1</v>
      </c>
      <c r="G10" s="227"/>
      <c r="H10" s="228">
        <f>IF(C10="NBR",L10,IF(C10="EPDM",L10,IF(C10="VITON",M10)))</f>
        <v>1380</v>
      </c>
      <c r="I10" s="233">
        <f>H10*F10*D10</f>
        <v>1380</v>
      </c>
      <c r="J10" s="230"/>
      <c r="K10" s="234">
        <f t="shared" si="0"/>
        <v>1380</v>
      </c>
      <c r="L10" s="163">
        <v>1380</v>
      </c>
      <c r="M10" s="163">
        <v>14000</v>
      </c>
      <c r="N10" s="163">
        <v>12000</v>
      </c>
      <c r="O10" s="163" t="s">
        <v>202</v>
      </c>
      <c r="P10" s="163">
        <v>4000</v>
      </c>
      <c r="Q10" s="19"/>
      <c r="R10" s="1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s="3" customFormat="1" ht="18" customHeight="1">
      <c r="A11" s="207">
        <v>4</v>
      </c>
      <c r="B11" s="235" t="s">
        <v>203</v>
      </c>
      <c r="C11" s="214" t="str">
        <f>COVER!B17</f>
        <v>A564T630</v>
      </c>
      <c r="D11" s="214">
        <v>1</v>
      </c>
      <c r="E11" s="215"/>
      <c r="F11" s="237">
        <v>0.4</v>
      </c>
      <c r="G11" s="238"/>
      <c r="H11" s="228">
        <f>COVER!C17</f>
        <v>10000</v>
      </c>
      <c r="I11" s="233">
        <f>D11*F11*H11</f>
        <v>4000</v>
      </c>
      <c r="J11" s="233"/>
      <c r="K11" s="234">
        <f t="shared" si="0"/>
        <v>4000</v>
      </c>
      <c r="L11" s="163" t="s">
        <v>264</v>
      </c>
      <c r="M11" s="163">
        <v>3000</v>
      </c>
      <c r="N11" s="90">
        <v>1100</v>
      </c>
      <c r="O11" s="90"/>
      <c r="P11" s="90"/>
      <c r="Q11" s="18">
        <v>0.4</v>
      </c>
      <c r="R11" s="18"/>
      <c r="S11" s="108"/>
      <c r="T11" s="10">
        <v>0.4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s="3" customFormat="1" ht="18" customHeight="1">
      <c r="A12" s="207">
        <v>5</v>
      </c>
      <c r="B12" s="235" t="s">
        <v>184</v>
      </c>
      <c r="C12" s="214" t="str">
        <f>COVER!B19</f>
        <v>NBR</v>
      </c>
      <c r="D12" s="214">
        <v>1</v>
      </c>
      <c r="E12" s="215"/>
      <c r="F12" s="237">
        <v>1</v>
      </c>
      <c r="G12" s="227"/>
      <c r="H12" s="230">
        <f>IF(C12="NBR",L12+N12,IF(C12="EPDM",L12+N12,IF(C12="VITON",M12+N12)))</f>
        <v>290</v>
      </c>
      <c r="I12" s="233">
        <f>D12*F12*H12</f>
        <v>290</v>
      </c>
      <c r="J12" s="233"/>
      <c r="K12" s="234">
        <f t="shared" si="0"/>
        <v>290</v>
      </c>
      <c r="L12" s="163">
        <v>120</v>
      </c>
      <c r="M12" s="163">
        <v>1020</v>
      </c>
      <c r="N12" s="163">
        <v>170</v>
      </c>
      <c r="O12" s="163"/>
      <c r="P12" s="90"/>
      <c r="Q12" s="19"/>
      <c r="R12" s="19"/>
      <c r="S12" s="10"/>
      <c r="T12" s="10"/>
      <c r="U12" s="10"/>
      <c r="V12" s="10">
        <f>M9/L9</f>
        <v>1.0478359908883828</v>
      </c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s="3" customFormat="1" ht="18" customHeight="1">
      <c r="A13" s="207">
        <v>6</v>
      </c>
      <c r="B13" s="235" t="s">
        <v>163</v>
      </c>
      <c r="C13" s="214"/>
      <c r="D13" s="214">
        <v>0</v>
      </c>
      <c r="E13" s="215"/>
      <c r="F13" s="227"/>
      <c r="G13" s="227"/>
      <c r="H13" s="228"/>
      <c r="I13" s="233"/>
      <c r="J13" s="233"/>
      <c r="K13" s="234"/>
      <c r="L13" s="344" t="s">
        <v>202</v>
      </c>
      <c r="M13" s="345"/>
      <c r="N13" s="345"/>
      <c r="O13" s="345"/>
      <c r="P13" s="346"/>
      <c r="Q13" s="19"/>
      <c r="R13" s="19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s="3" customFormat="1" ht="18" customHeight="1">
      <c r="A14" s="207">
        <v>7</v>
      </c>
      <c r="B14" s="235" t="s">
        <v>4</v>
      </c>
      <c r="C14" s="214" t="str">
        <f>C11</f>
        <v>A564T630</v>
      </c>
      <c r="D14" s="214">
        <v>2</v>
      </c>
      <c r="E14" s="215"/>
      <c r="F14" s="237">
        <v>1</v>
      </c>
      <c r="G14" s="227"/>
      <c r="H14" s="228">
        <f>L14</f>
        <v>1700</v>
      </c>
      <c r="I14" s="233">
        <f>D14*F14*H14</f>
        <v>3400</v>
      </c>
      <c r="J14" s="233"/>
      <c r="K14" s="234">
        <f>I14+J14</f>
        <v>3400</v>
      </c>
      <c r="L14" s="163">
        <v>1700</v>
      </c>
      <c r="M14" s="90"/>
      <c r="N14" s="90"/>
      <c r="O14" s="90"/>
      <c r="P14" s="90"/>
      <c r="Q14" s="19"/>
      <c r="R14" s="19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s="3" customFormat="1" ht="18" customHeight="1">
      <c r="A15" s="207">
        <v>8</v>
      </c>
      <c r="B15" s="235" t="s">
        <v>386</v>
      </c>
      <c r="C15" s="214" t="str">
        <f>COVER!B22</f>
        <v>BODY MATERIAL</v>
      </c>
      <c r="D15" s="214">
        <v>0</v>
      </c>
      <c r="E15" s="215"/>
      <c r="F15" s="215"/>
      <c r="G15" s="227"/>
      <c r="H15" s="228"/>
      <c r="I15" s="233"/>
      <c r="J15" s="233"/>
      <c r="K15" s="234"/>
      <c r="L15" s="344" t="s">
        <v>202</v>
      </c>
      <c r="M15" s="345"/>
      <c r="N15" s="345"/>
      <c r="O15" s="345"/>
      <c r="P15" s="346"/>
      <c r="Q15" s="164"/>
      <c r="R15" s="164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s="3" customFormat="1" ht="18" customHeight="1">
      <c r="A16" s="207">
        <v>9</v>
      </c>
      <c r="B16" s="235" t="s">
        <v>217</v>
      </c>
      <c r="C16" s="214" t="str">
        <f>COVER!B23</f>
        <v>B8M</v>
      </c>
      <c r="D16" s="214">
        <v>0</v>
      </c>
      <c r="E16" s="215"/>
      <c r="F16" s="239"/>
      <c r="G16" s="227"/>
      <c r="H16" s="228"/>
      <c r="I16" s="233"/>
      <c r="J16" s="233"/>
      <c r="K16" s="234"/>
      <c r="L16" s="344" t="s">
        <v>202</v>
      </c>
      <c r="M16" s="345"/>
      <c r="N16" s="345"/>
      <c r="O16" s="345"/>
      <c r="P16" s="346"/>
      <c r="Q16" s="19"/>
      <c r="R16" s="19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s="3" customFormat="1" ht="18" customHeight="1">
      <c r="A17" s="207">
        <v>10</v>
      </c>
      <c r="B17" s="235" t="s">
        <v>221</v>
      </c>
      <c r="C17" s="214" t="str">
        <f>COVER!B24</f>
        <v>ALBC2</v>
      </c>
      <c r="D17" s="214">
        <v>0</v>
      </c>
      <c r="E17" s="215"/>
      <c r="F17" s="239"/>
      <c r="G17" s="227"/>
      <c r="H17" s="228"/>
      <c r="I17" s="233"/>
      <c r="J17" s="233"/>
      <c r="K17" s="234"/>
      <c r="L17" s="344" t="s">
        <v>202</v>
      </c>
      <c r="M17" s="345"/>
      <c r="N17" s="345"/>
      <c r="O17" s="345"/>
      <c r="P17" s="346"/>
      <c r="Q17" s="202"/>
      <c r="R17" s="19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s="3" customFormat="1" ht="18" customHeight="1">
      <c r="A18" s="207">
        <v>11</v>
      </c>
      <c r="B18" s="235" t="s">
        <v>187</v>
      </c>
      <c r="C18" s="214" t="s">
        <v>352</v>
      </c>
      <c r="D18" s="214">
        <v>1</v>
      </c>
      <c r="E18" s="215"/>
      <c r="F18" s="239"/>
      <c r="G18" s="227"/>
      <c r="H18" s="228">
        <f>M18</f>
        <v>1300</v>
      </c>
      <c r="I18" s="233">
        <f>H18*D18</f>
        <v>1300</v>
      </c>
      <c r="J18" s="233"/>
      <c r="K18" s="234">
        <f t="shared" ref="K18:K22" si="1">I18+J18</f>
        <v>1300</v>
      </c>
      <c r="L18" s="163" t="s">
        <v>354</v>
      </c>
      <c r="M18" s="163">
        <v>1300</v>
      </c>
      <c r="N18" s="90"/>
      <c r="O18" s="90"/>
      <c r="P18" s="90"/>
      <c r="Q18" s="203" t="s">
        <v>379</v>
      </c>
      <c r="R18" s="165"/>
      <c r="S18" s="145">
        <v>65970</v>
      </c>
      <c r="T18" s="145">
        <f>S18/0.7</f>
        <v>94242.857142857145</v>
      </c>
      <c r="U18" s="145" t="s">
        <v>247</v>
      </c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s="3" customFormat="1" ht="18" customHeight="1">
      <c r="A19" s="207">
        <v>12</v>
      </c>
      <c r="B19" s="235" t="s">
        <v>189</v>
      </c>
      <c r="C19" s="214" t="str">
        <f>COVER!B26</f>
        <v>B8M</v>
      </c>
      <c r="D19" s="214">
        <v>2</v>
      </c>
      <c r="E19" s="215"/>
      <c r="F19" s="239"/>
      <c r="G19" s="227"/>
      <c r="H19" s="230">
        <f>IF(C19="B8",M19,IF(C19="B8M",N19))</f>
        <v>200</v>
      </c>
      <c r="I19" s="240">
        <f>H19*D19</f>
        <v>400</v>
      </c>
      <c r="J19" s="233"/>
      <c r="K19" s="234">
        <f t="shared" si="1"/>
        <v>400</v>
      </c>
      <c r="L19" s="90"/>
      <c r="M19" s="163">
        <v>200</v>
      </c>
      <c r="N19" s="163">
        <v>200</v>
      </c>
      <c r="O19" s="90"/>
      <c r="P19" s="90"/>
      <c r="Q19" s="204" t="s">
        <v>381</v>
      </c>
      <c r="R19" s="19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s="3" customFormat="1" ht="18" customHeight="1">
      <c r="A20" s="207">
        <v>13</v>
      </c>
      <c r="B20" s="235" t="s">
        <v>188</v>
      </c>
      <c r="C20" s="214" t="str">
        <f>COVER!B27</f>
        <v>B8M</v>
      </c>
      <c r="D20" s="214">
        <v>4</v>
      </c>
      <c r="E20" s="215"/>
      <c r="F20" s="239"/>
      <c r="G20" s="227"/>
      <c r="H20" s="228">
        <f>IF(C20="B8",M20,IF(C20="B8M",N20,IF(C20="B7(다크로)",O20)))</f>
        <v>400</v>
      </c>
      <c r="I20" s="233">
        <f>H20*D20</f>
        <v>1600</v>
      </c>
      <c r="J20" s="233"/>
      <c r="K20" s="234">
        <f t="shared" si="1"/>
        <v>1600</v>
      </c>
      <c r="L20" s="163" t="s">
        <v>387</v>
      </c>
      <c r="M20" s="163">
        <v>350</v>
      </c>
      <c r="N20" s="163">
        <v>400</v>
      </c>
      <c r="O20" s="163">
        <v>300</v>
      </c>
      <c r="P20" s="90"/>
      <c r="Q20" s="204" t="s">
        <v>385</v>
      </c>
      <c r="R20" s="19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s="3" customFormat="1" ht="18" customHeight="1">
      <c r="A21" s="207">
        <v>14</v>
      </c>
      <c r="B21" s="235" t="s">
        <v>5</v>
      </c>
      <c r="C21" s="214" t="str">
        <f>COVER!C35</f>
        <v>SUS304</v>
      </c>
      <c r="D21" s="214">
        <v>1</v>
      </c>
      <c r="E21" s="215"/>
      <c r="F21" s="239"/>
      <c r="G21" s="227"/>
      <c r="H21" s="228">
        <f>IF(C21="SS400",L21,IF(C21="SUS304",M21))</f>
        <v>16000</v>
      </c>
      <c r="I21" s="233">
        <f>H21*D21</f>
        <v>16000</v>
      </c>
      <c r="J21" s="241"/>
      <c r="K21" s="234">
        <f t="shared" si="1"/>
        <v>16000</v>
      </c>
      <c r="L21" s="163">
        <v>5400</v>
      </c>
      <c r="M21" s="163">
        <v>16000</v>
      </c>
      <c r="N21" s="90"/>
      <c r="O21" s="90"/>
      <c r="P21" s="90"/>
      <c r="Q21" s="19"/>
      <c r="R21" s="19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s="3" customFormat="1" ht="18" customHeight="1">
      <c r="A22" s="207">
        <v>15</v>
      </c>
      <c r="B22" s="235" t="s">
        <v>6</v>
      </c>
      <c r="C22" s="214" t="str">
        <f>COVER!B34</f>
        <v>10 BAR</v>
      </c>
      <c r="D22" s="214">
        <v>1</v>
      </c>
      <c r="E22" s="215"/>
      <c r="F22" s="239"/>
      <c r="G22" s="242"/>
      <c r="H22" s="228"/>
      <c r="I22" s="233">
        <f>IF(C22="10 BAR",M22,IF(C22="16 BAR",N22,IF(C22="20 BAR",O22)))</f>
        <v>98000</v>
      </c>
      <c r="J22" s="241"/>
      <c r="K22" s="234">
        <f t="shared" si="1"/>
        <v>98000</v>
      </c>
      <c r="L22" s="90"/>
      <c r="M22" s="163">
        <v>98000</v>
      </c>
      <c r="N22" s="163">
        <v>98000</v>
      </c>
      <c r="O22" s="163">
        <v>98000</v>
      </c>
      <c r="P22" s="90"/>
      <c r="Q22" s="19"/>
      <c r="R22" s="19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s="3" customFormat="1" ht="18" customHeight="1">
      <c r="A23" s="207">
        <v>16</v>
      </c>
      <c r="B23" s="235" t="s">
        <v>7</v>
      </c>
      <c r="C23" s="214" t="str">
        <f>COVER!B32</f>
        <v>기존 단가</v>
      </c>
      <c r="D23" s="214">
        <v>1</v>
      </c>
      <c r="E23" s="215"/>
      <c r="F23" s="239"/>
      <c r="G23" s="242"/>
      <c r="H23" s="228">
        <f>IF(COVER!B9="APPLICATION",0,IF(COVER!B32="기존 단가",L23,IF(COVER!B32="외주 2COATING",M23,IF(COVER!B32="외주 3COATING",N23))))</f>
        <v>5000</v>
      </c>
      <c r="I23" s="233">
        <f>H23</f>
        <v>5000</v>
      </c>
      <c r="J23" s="233"/>
      <c r="K23" s="234"/>
      <c r="L23" s="163">
        <v>5000</v>
      </c>
      <c r="M23" s="163">
        <f>IF(H6&gt;0,F6*520,IF(H7&gt;0,F7*520,IF(H8&gt;0,F8*520)))</f>
        <v>3120</v>
      </c>
      <c r="N23" s="163">
        <f>IF(H6&gt;0,F6*620,IF(H7&gt;0,F7*620,IF(H8&gt;0,F8*620)))</f>
        <v>3720</v>
      </c>
      <c r="O23" s="90"/>
      <c r="P23" s="182"/>
      <c r="Q23" s="19"/>
      <c r="R23" s="19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s="3" customFormat="1" ht="18" customHeight="1">
      <c r="A24" s="207">
        <v>17</v>
      </c>
      <c r="B24" s="235" t="s">
        <v>174</v>
      </c>
      <c r="C24" s="214"/>
      <c r="D24" s="214">
        <v>1</v>
      </c>
      <c r="E24" s="215"/>
      <c r="F24" s="239"/>
      <c r="G24" s="242"/>
      <c r="H24" s="228">
        <f>IF(COVER!B9="APPLICATION",0,IF(COVER!B9="N/A",L24))</f>
        <v>5000</v>
      </c>
      <c r="I24" s="233">
        <f>H24</f>
        <v>5000</v>
      </c>
      <c r="J24" s="234"/>
      <c r="K24" s="234"/>
      <c r="L24" s="211">
        <v>5000</v>
      </c>
      <c r="M24" s="90"/>
      <c r="N24" s="90"/>
      <c r="O24" s="90"/>
      <c r="P24" s="90"/>
      <c r="Q24" s="19"/>
      <c r="R24" s="19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s="3" customFormat="1" ht="18" customHeight="1">
      <c r="A25" s="207">
        <v>18</v>
      </c>
      <c r="B25" s="97" t="s">
        <v>175</v>
      </c>
      <c r="C25" s="14"/>
      <c r="D25" s="14"/>
      <c r="E25" s="15"/>
      <c r="F25" s="15"/>
      <c r="G25" s="15"/>
      <c r="H25" s="15"/>
      <c r="I25" s="98"/>
      <c r="J25" s="98"/>
      <c r="K25" s="16">
        <f>SUM(K6:K20)+SUM(K23:K24)</f>
        <v>39370</v>
      </c>
      <c r="L25" s="122" t="s">
        <v>248</v>
      </c>
      <c r="M25" s="90"/>
      <c r="N25" s="90"/>
      <c r="O25" s="90"/>
      <c r="P25" s="90"/>
      <c r="Q25" s="19"/>
      <c r="R25" s="19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s="3" customFormat="1" ht="18" customHeight="1">
      <c r="A26" s="207">
        <v>18</v>
      </c>
      <c r="B26" s="97" t="s">
        <v>176</v>
      </c>
      <c r="C26" s="14"/>
      <c r="D26" s="14"/>
      <c r="E26" s="15"/>
      <c r="F26" s="15"/>
      <c r="G26" s="15"/>
      <c r="H26" s="15"/>
      <c r="I26" s="98"/>
      <c r="J26" s="98"/>
      <c r="K26" s="16">
        <f>SUM(K6:K21)+SUM(K23:K24)</f>
        <v>55370</v>
      </c>
      <c r="L26" s="122" t="s">
        <v>248</v>
      </c>
      <c r="M26" s="90"/>
      <c r="N26" s="90"/>
      <c r="O26" s="90"/>
      <c r="P26" s="90"/>
      <c r="Q26" s="19"/>
      <c r="R26" s="19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s="3" customFormat="1" ht="18" customHeight="1">
      <c r="A27" s="207">
        <v>18</v>
      </c>
      <c r="B27" s="97" t="s">
        <v>177</v>
      </c>
      <c r="C27" s="14"/>
      <c r="D27" s="14"/>
      <c r="E27" s="15"/>
      <c r="F27" s="15"/>
      <c r="G27" s="15"/>
      <c r="H27" s="15"/>
      <c r="I27" s="98"/>
      <c r="J27" s="98"/>
      <c r="K27" s="16">
        <f>SUM(K6:K20)+SUM(K22:K24)</f>
        <v>137370</v>
      </c>
      <c r="L27" s="122" t="s">
        <v>248</v>
      </c>
      <c r="M27" s="90"/>
      <c r="N27" s="90"/>
      <c r="O27" s="90"/>
      <c r="P27" s="90"/>
      <c r="Q27" s="19"/>
      <c r="R27" s="19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s="3" customFormat="1" ht="18" customHeight="1">
      <c r="A28" s="207">
        <v>19</v>
      </c>
      <c r="B28" s="235" t="s">
        <v>237</v>
      </c>
      <c r="C28" s="214" t="str">
        <f>COVER!B28</f>
        <v>REQUIRED</v>
      </c>
      <c r="D28" s="214">
        <v>0</v>
      </c>
      <c r="E28" s="215"/>
      <c r="F28" s="239"/>
      <c r="G28" s="215"/>
      <c r="H28" s="233">
        <f>IF(C28="REQUIRED",L28,IF(C28="N/A",0))</f>
        <v>3800</v>
      </c>
      <c r="I28" s="233">
        <f>H28</f>
        <v>3800</v>
      </c>
      <c r="J28" s="215"/>
      <c r="K28" s="234"/>
      <c r="L28" s="163">
        <v>3800</v>
      </c>
      <c r="M28" s="90"/>
      <c r="N28" s="90"/>
      <c r="O28" s="90"/>
      <c r="P28" s="90"/>
      <c r="Q28" s="19"/>
      <c r="R28" s="19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s="3" customFormat="1" ht="18" customHeight="1">
      <c r="A29" s="207">
        <v>20</v>
      </c>
      <c r="B29" s="235" t="s">
        <v>180</v>
      </c>
      <c r="C29" s="214"/>
      <c r="D29" s="214">
        <v>0</v>
      </c>
      <c r="E29" s="215"/>
      <c r="F29" s="239"/>
      <c r="G29" s="215"/>
      <c r="H29" s="215"/>
      <c r="I29" s="215"/>
      <c r="J29" s="215"/>
      <c r="K29" s="234"/>
      <c r="L29" s="122"/>
      <c r="M29" s="90"/>
      <c r="N29" s="90"/>
      <c r="O29" s="90"/>
      <c r="P29" s="90"/>
      <c r="Q29" s="19"/>
      <c r="R29" s="19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s="3" customFormat="1" ht="18" customHeight="1">
      <c r="A30" s="207">
        <v>21</v>
      </c>
      <c r="B30" s="235" t="s">
        <v>178</v>
      </c>
      <c r="C30" s="214" t="str">
        <f>COVER!B35</f>
        <v>MOTOR</v>
      </c>
      <c r="D30" s="214">
        <v>1</v>
      </c>
      <c r="E30" s="215"/>
      <c r="F30" s="239"/>
      <c r="G30" s="215"/>
      <c r="H30" s="233">
        <f>IF(COVER!B9="APPLICATION",0,IF(COVER!B35="BARE",M30,(IF(COVER!B35="LEVER",M30,IF(COVER!B35="GEAR",N30,IF(COVER!B35="MOTOR",O30))))))</f>
        <v>45000</v>
      </c>
      <c r="I30" s="234">
        <f>H30</f>
        <v>45000</v>
      </c>
      <c r="J30" s="215"/>
      <c r="K30" s="234"/>
      <c r="L30" s="163">
        <v>10000</v>
      </c>
      <c r="M30" s="163">
        <v>4500</v>
      </c>
      <c r="N30" s="163">
        <v>4500</v>
      </c>
      <c r="O30" s="163">
        <v>45000</v>
      </c>
      <c r="P30" s="90"/>
      <c r="Q30" s="19"/>
      <c r="R30" s="19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s="3" customFormat="1" ht="18" customHeight="1">
      <c r="A31" s="207">
        <v>22</v>
      </c>
      <c r="B31" s="235"/>
      <c r="C31" s="214"/>
      <c r="D31" s="214"/>
      <c r="E31" s="215"/>
      <c r="F31" s="239"/>
      <c r="G31" s="215"/>
      <c r="H31" s="215"/>
      <c r="I31" s="215"/>
      <c r="J31" s="215"/>
      <c r="K31" s="234"/>
      <c r="L31" s="122"/>
      <c r="M31" s="90"/>
      <c r="N31" s="90"/>
      <c r="O31" s="90"/>
      <c r="P31" s="90"/>
      <c r="Q31" s="19"/>
      <c r="R31" s="19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s="3" customFormat="1" ht="18" customHeight="1">
      <c r="A32" s="207">
        <v>23</v>
      </c>
      <c r="B32" s="89" t="s">
        <v>179</v>
      </c>
      <c r="C32" s="14"/>
      <c r="D32" s="99"/>
      <c r="E32" s="15"/>
      <c r="F32" s="15"/>
      <c r="G32" s="15"/>
      <c r="H32" s="15"/>
      <c r="I32" s="100"/>
      <c r="J32" s="101"/>
      <c r="K32" s="100">
        <f>SUM(K28:K31)</f>
        <v>0</v>
      </c>
      <c r="L32" s="122" t="s">
        <v>249</v>
      </c>
      <c r="M32" s="90"/>
      <c r="N32" s="90"/>
      <c r="O32" s="90"/>
      <c r="P32" s="90"/>
      <c r="Q32" s="19"/>
      <c r="R32" s="19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s="3" customFormat="1" ht="18" customHeight="1">
      <c r="A33" s="11">
        <v>24</v>
      </c>
      <c r="B33" s="216" t="s">
        <v>252</v>
      </c>
      <c r="C33" s="217"/>
      <c r="D33" s="218"/>
      <c r="E33" s="219"/>
      <c r="F33" s="219"/>
      <c r="G33" s="219"/>
      <c r="H33" s="219"/>
      <c r="I33" s="220"/>
      <c r="J33" s="221"/>
      <c r="K33" s="220">
        <f>K25+K32</f>
        <v>39370</v>
      </c>
      <c r="L33" s="122" t="s">
        <v>257</v>
      </c>
      <c r="M33" s="90"/>
      <c r="N33" s="90"/>
      <c r="O33" s="90"/>
      <c r="P33" s="90"/>
      <c r="Q33" s="19"/>
      <c r="R33" s="19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s="3" customFormat="1" ht="18" customHeight="1">
      <c r="A34" s="11">
        <v>24</v>
      </c>
      <c r="B34" s="216" t="s">
        <v>255</v>
      </c>
      <c r="C34" s="217"/>
      <c r="D34" s="218"/>
      <c r="E34" s="219"/>
      <c r="F34" s="219"/>
      <c r="G34" s="219"/>
      <c r="H34" s="219"/>
      <c r="I34" s="220"/>
      <c r="J34" s="221"/>
      <c r="K34" s="220">
        <f>K26+K32</f>
        <v>55370</v>
      </c>
      <c r="L34" s="122" t="s">
        <v>257</v>
      </c>
      <c r="M34" s="90"/>
      <c r="N34" s="90"/>
      <c r="O34" s="90"/>
      <c r="P34" s="90"/>
      <c r="Q34" s="19"/>
      <c r="R34" s="19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s="3" customFormat="1" ht="18" customHeight="1">
      <c r="A35" s="11">
        <v>24</v>
      </c>
      <c r="B35" s="216" t="s">
        <v>256</v>
      </c>
      <c r="C35" s="217"/>
      <c r="D35" s="218"/>
      <c r="E35" s="219"/>
      <c r="F35" s="219"/>
      <c r="G35" s="219"/>
      <c r="H35" s="219"/>
      <c r="I35" s="220"/>
      <c r="J35" s="221"/>
      <c r="K35" s="220">
        <f>K27+K32</f>
        <v>137370</v>
      </c>
      <c r="L35" s="122" t="s">
        <v>257</v>
      </c>
      <c r="M35" s="90"/>
      <c r="N35" s="90"/>
      <c r="O35" s="90"/>
      <c r="P35" s="90"/>
      <c r="Q35" s="19"/>
      <c r="R35" s="19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s="4" customFormat="1" ht="18" customHeight="1">
      <c r="A36" s="11">
        <v>25</v>
      </c>
      <c r="B36" s="102" t="s">
        <v>407</v>
      </c>
      <c r="C36" s="103"/>
      <c r="D36" s="103"/>
      <c r="E36" s="104"/>
      <c r="F36" s="105"/>
      <c r="G36" s="105"/>
      <c r="H36" s="106"/>
      <c r="I36" s="223" t="s">
        <v>41</v>
      </c>
      <c r="J36" s="223">
        <v>0.7</v>
      </c>
      <c r="K36" s="107">
        <f>(K25+K32)/J36</f>
        <v>56242.857142857145</v>
      </c>
      <c r="L36" s="122" t="s">
        <v>250</v>
      </c>
      <c r="M36" s="90"/>
      <c r="N36" s="90"/>
      <c r="O36" s="90"/>
      <c r="P36" s="90"/>
      <c r="Q36" s="19"/>
      <c r="R36" s="19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s="4" customFormat="1" ht="18" customHeight="1">
      <c r="A37" s="11">
        <v>25</v>
      </c>
      <c r="B37" s="102" t="s">
        <v>408</v>
      </c>
      <c r="C37" s="103"/>
      <c r="D37" s="103"/>
      <c r="E37" s="104"/>
      <c r="F37" s="105"/>
      <c r="G37" s="105"/>
      <c r="H37" s="106"/>
      <c r="I37" s="223" t="s">
        <v>41</v>
      </c>
      <c r="J37" s="223">
        <v>0.7</v>
      </c>
      <c r="K37" s="107">
        <f>(K26+K32)/J37</f>
        <v>79100</v>
      </c>
      <c r="L37" s="122" t="s">
        <v>250</v>
      </c>
      <c r="M37" s="90"/>
      <c r="N37" s="90"/>
      <c r="O37" s="90"/>
      <c r="P37" s="90"/>
      <c r="Q37" s="19"/>
      <c r="R37" s="19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s="4" customFormat="1" ht="18" customHeight="1">
      <c r="A38" s="11">
        <v>25</v>
      </c>
      <c r="B38" s="102" t="s">
        <v>409</v>
      </c>
      <c r="C38" s="103"/>
      <c r="D38" s="103"/>
      <c r="E38" s="104"/>
      <c r="F38" s="105"/>
      <c r="G38" s="105"/>
      <c r="H38" s="106"/>
      <c r="I38" s="223" t="s">
        <v>41</v>
      </c>
      <c r="J38" s="223">
        <v>0.7</v>
      </c>
      <c r="K38" s="107">
        <f>(K27+K32)/J38</f>
        <v>196242.85714285716</v>
      </c>
      <c r="L38" s="122" t="s">
        <v>250</v>
      </c>
      <c r="M38" s="90"/>
      <c r="N38" s="90"/>
      <c r="O38" s="90"/>
      <c r="P38" s="90"/>
      <c r="Q38" s="19"/>
      <c r="R38" s="19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s="4" customFormat="1" ht="18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86"/>
      <c r="M39" s="108"/>
      <c r="N39" s="108"/>
      <c r="O39" s="108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s="4" customFormat="1" ht="18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86"/>
      <c r="M40" s="108"/>
      <c r="N40" s="108"/>
      <c r="O40" s="108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s="4" customFormat="1" ht="18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86"/>
      <c r="M41" s="108"/>
      <c r="N41" s="108"/>
      <c r="O41" s="108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s="4" customFormat="1" ht="18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86"/>
      <c r="M42" s="108"/>
      <c r="N42" s="108"/>
      <c r="O42" s="108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s="4" customFormat="1" ht="18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86"/>
      <c r="M43" s="108"/>
      <c r="N43" s="108"/>
      <c r="O43" s="108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s="4" customFormat="1" ht="18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86"/>
      <c r="M44" s="108"/>
      <c r="N44" s="108"/>
      <c r="O44" s="108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s="4" customFormat="1" ht="18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86"/>
      <c r="M45" s="108"/>
      <c r="N45" s="108"/>
      <c r="O45" s="108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s="4" customFormat="1" ht="18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86"/>
      <c r="M46" s="108"/>
      <c r="N46" s="108"/>
      <c r="O46" s="108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s="4" customFormat="1" ht="12.75">
      <c r="A47" s="10"/>
      <c r="B47" s="10"/>
      <c r="C47" s="10"/>
      <c r="D47" s="109"/>
      <c r="E47" s="10"/>
      <c r="F47" s="10"/>
      <c r="G47" s="10"/>
      <c r="H47" s="10"/>
      <c r="I47" s="10"/>
      <c r="J47" s="10"/>
      <c r="K47" s="10"/>
      <c r="L47" s="108"/>
      <c r="M47" s="108"/>
      <c r="N47" s="108"/>
      <c r="O47" s="108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s="4" customFormat="1" ht="12.7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86"/>
      <c r="M48" s="108"/>
      <c r="N48" s="108"/>
      <c r="O48" s="108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s="4" customFormat="1" ht="12.7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86"/>
      <c r="M49" s="108"/>
      <c r="N49" s="108"/>
      <c r="O49" s="108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s="5" customForma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86"/>
      <c r="M50" s="87"/>
      <c r="N50" s="87"/>
      <c r="O50" s="8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s="5" customForma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86"/>
      <c r="M51" s="87"/>
      <c r="N51" s="87"/>
      <c r="O51" s="87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s="5" customForma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86"/>
      <c r="M52" s="87"/>
      <c r="N52" s="87"/>
      <c r="O52" s="87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</sheetData>
  <mergeCells count="8">
    <mergeCell ref="L16:P16"/>
    <mergeCell ref="L17:P17"/>
    <mergeCell ref="A1:K1"/>
    <mergeCell ref="D3:E3"/>
    <mergeCell ref="F3:H3"/>
    <mergeCell ref="L4:P4"/>
    <mergeCell ref="L13:P13"/>
    <mergeCell ref="L15:P15"/>
  </mergeCells>
  <phoneticPr fontId="7" type="noConversion"/>
  <pageMargins left="0.75" right="0.75" top="1" bottom="1" header="0.5" footer="0.5"/>
  <pageSetup paperSize="9" scale="62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E52"/>
  <sheetViews>
    <sheetView view="pageBreakPreview" zoomScale="90" zoomScaleNormal="100" zoomScaleSheetLayoutView="90" workbookViewId="0">
      <selection activeCell="H8" sqref="H8"/>
    </sheetView>
  </sheetViews>
  <sheetFormatPr defaultColWidth="8.88671875" defaultRowHeight="13.5"/>
  <cols>
    <col min="1" max="1" width="5.26171875" style="10" customWidth="1"/>
    <col min="2" max="2" width="20.23046875" style="10" bestFit="1" customWidth="1"/>
    <col min="3" max="3" width="14.3828125" style="10" bestFit="1" customWidth="1"/>
    <col min="4" max="4" width="3.7421875" style="10" customWidth="1"/>
    <col min="5" max="5" width="8.30078125" style="10" customWidth="1"/>
    <col min="6" max="6" width="6.1953125" style="10" customWidth="1"/>
    <col min="7" max="7" width="5.73046875" style="10" customWidth="1"/>
    <col min="8" max="8" width="7.25" style="10" customWidth="1"/>
    <col min="9" max="9" width="10.9921875" style="10" customWidth="1"/>
    <col min="10" max="10" width="12.74609375" style="10" bestFit="1" customWidth="1"/>
    <col min="11" max="11" width="18.125" style="10" bestFit="1" customWidth="1"/>
    <col min="12" max="12" width="14.265625" style="157" bestFit="1" customWidth="1"/>
    <col min="13" max="13" width="13.796875" style="87" customWidth="1"/>
    <col min="14" max="14" width="12.16015625" style="87" bestFit="1" customWidth="1"/>
    <col min="15" max="15" width="9.703125" style="87" customWidth="1"/>
    <col min="16" max="16" width="12.16015625" style="8" bestFit="1" customWidth="1"/>
    <col min="17" max="18" width="15.43359375" style="8" bestFit="1" customWidth="1"/>
    <col min="19" max="31" width="8.88671875" style="8"/>
    <col min="32" max="16384" width="8.88671875" style="2"/>
  </cols>
  <sheetData>
    <row r="1" spans="1:31" ht="24" thickTop="1" thickBot="1">
      <c r="A1" s="336" t="s">
        <v>190</v>
      </c>
      <c r="B1" s="337"/>
      <c r="C1" s="337"/>
      <c r="D1" s="337"/>
      <c r="E1" s="337"/>
      <c r="F1" s="337"/>
      <c r="G1" s="337"/>
      <c r="H1" s="337"/>
      <c r="I1" s="337"/>
      <c r="J1" s="337"/>
      <c r="K1" s="338"/>
      <c r="M1" s="7"/>
    </row>
    <row r="2" spans="1:31" ht="14.45" customHeight="1" thickTop="1" thickBot="1">
      <c r="A2" s="158"/>
      <c r="B2" s="158"/>
      <c r="C2" s="115"/>
      <c r="E2" s="115"/>
      <c r="F2" s="115"/>
      <c r="G2" s="115"/>
    </row>
    <row r="3" spans="1:31" ht="15" thickTop="1" thickBot="1">
      <c r="A3" s="311" t="s">
        <v>191</v>
      </c>
      <c r="B3" s="310" t="s">
        <v>470</v>
      </c>
      <c r="C3" s="311" t="s">
        <v>192</v>
      </c>
      <c r="D3" s="339" t="s">
        <v>193</v>
      </c>
      <c r="E3" s="340"/>
      <c r="F3" s="341" t="s">
        <v>194</v>
      </c>
      <c r="G3" s="339"/>
      <c r="H3" s="339"/>
      <c r="I3" s="310" t="s">
        <v>195</v>
      </c>
      <c r="J3" s="311" t="s">
        <v>197</v>
      </c>
      <c r="K3" s="310" t="s">
        <v>259</v>
      </c>
    </row>
    <row r="4" spans="1:31" ht="19.149999999999999" customHeight="1" thickTop="1" thickBot="1">
      <c r="J4" s="197" t="s">
        <v>332</v>
      </c>
      <c r="K4" s="310">
        <v>190</v>
      </c>
      <c r="L4" s="342" t="s">
        <v>207</v>
      </c>
      <c r="M4" s="343"/>
      <c r="N4" s="343"/>
      <c r="O4" s="343"/>
      <c r="P4" s="343"/>
    </row>
    <row r="5" spans="1:31" s="3" customFormat="1" ht="25.15" customHeight="1" thickTop="1">
      <c r="A5" s="9" t="s">
        <v>1</v>
      </c>
      <c r="B5" s="9" t="s">
        <v>164</v>
      </c>
      <c r="C5" s="88" t="s">
        <v>165</v>
      </c>
      <c r="D5" s="89" t="s">
        <v>166</v>
      </c>
      <c r="E5" s="9" t="s">
        <v>167</v>
      </c>
      <c r="F5" s="9" t="s">
        <v>168</v>
      </c>
      <c r="G5" s="9" t="s">
        <v>169</v>
      </c>
      <c r="H5" s="9" t="s">
        <v>170</v>
      </c>
      <c r="I5" s="123" t="s">
        <v>171</v>
      </c>
      <c r="J5" s="195" t="s">
        <v>172</v>
      </c>
      <c r="K5" s="196" t="s">
        <v>173</v>
      </c>
      <c r="L5" s="90" t="s">
        <v>198</v>
      </c>
      <c r="M5" s="121" t="s">
        <v>199</v>
      </c>
      <c r="N5" s="90" t="s">
        <v>38</v>
      </c>
      <c r="O5" s="90" t="s">
        <v>200</v>
      </c>
      <c r="P5" s="90" t="s">
        <v>201</v>
      </c>
      <c r="Q5" s="90" t="s">
        <v>265</v>
      </c>
      <c r="R5" s="90" t="s">
        <v>266</v>
      </c>
      <c r="S5" s="10"/>
      <c r="T5" s="10" t="s">
        <v>330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s="3" customFormat="1" ht="18" customHeight="1">
      <c r="A6" s="207">
        <v>1</v>
      </c>
      <c r="B6" s="224" t="s">
        <v>181</v>
      </c>
      <c r="C6" s="225">
        <f>COVER!B13</f>
        <v>0</v>
      </c>
      <c r="D6" s="226">
        <v>1</v>
      </c>
      <c r="E6" s="215"/>
      <c r="F6" s="227">
        <v>7.5</v>
      </c>
      <c r="G6" s="227"/>
      <c r="H6" s="228">
        <f>COVER!C13</f>
        <v>0</v>
      </c>
      <c r="I6" s="229">
        <f>D6*F6*H6</f>
        <v>0</v>
      </c>
      <c r="J6" s="230"/>
      <c r="K6" s="231">
        <f t="shared" ref="K6:K12" si="0">I6+J6</f>
        <v>0</v>
      </c>
      <c r="L6" s="163">
        <v>13000</v>
      </c>
      <c r="M6" s="163">
        <v>19500</v>
      </c>
      <c r="N6" s="163">
        <v>39000</v>
      </c>
      <c r="O6" s="90"/>
      <c r="P6" s="90"/>
      <c r="Q6" s="19"/>
      <c r="R6" s="19"/>
      <c r="S6" s="10"/>
      <c r="T6" s="10">
        <v>6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s="3" customFormat="1" ht="18" customHeight="1">
      <c r="A7" s="207">
        <v>1</v>
      </c>
      <c r="B7" s="224" t="s">
        <v>182</v>
      </c>
      <c r="C7" s="225" t="str">
        <f>COVER!B14</f>
        <v>A536 Gr65-45-12</v>
      </c>
      <c r="D7" s="226">
        <v>1</v>
      </c>
      <c r="E7" s="215"/>
      <c r="F7" s="227">
        <v>13</v>
      </c>
      <c r="G7" s="227"/>
      <c r="H7" s="228">
        <f>COVER!C14</f>
        <v>3500</v>
      </c>
      <c r="I7" s="229">
        <f>D7*F7*H7</f>
        <v>45500</v>
      </c>
      <c r="J7" s="230"/>
      <c r="K7" s="231">
        <f t="shared" si="0"/>
        <v>45500</v>
      </c>
      <c r="L7" s="163">
        <v>21000</v>
      </c>
      <c r="M7" s="163">
        <v>31500</v>
      </c>
      <c r="N7" s="312"/>
      <c r="O7" s="90"/>
      <c r="P7" s="90"/>
      <c r="Q7" s="19"/>
      <c r="R7" s="19"/>
      <c r="S7" s="10"/>
      <c r="T7" s="10">
        <v>7.8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s="3" customFormat="1" ht="18" customHeight="1">
      <c r="A8" s="207">
        <v>1</v>
      </c>
      <c r="B8" s="224" t="s">
        <v>183</v>
      </c>
      <c r="C8" s="225">
        <f>COVER!B15</f>
        <v>0</v>
      </c>
      <c r="D8" s="226">
        <v>1</v>
      </c>
      <c r="E8" s="215"/>
      <c r="F8" s="227">
        <v>16</v>
      </c>
      <c r="G8" s="227"/>
      <c r="H8" s="228">
        <f>COVER!C15</f>
        <v>0</v>
      </c>
      <c r="I8" s="229">
        <f>D8*F8*H8</f>
        <v>0</v>
      </c>
      <c r="J8" s="230"/>
      <c r="K8" s="231">
        <f t="shared" si="0"/>
        <v>0</v>
      </c>
      <c r="L8" s="163">
        <v>23500</v>
      </c>
      <c r="M8" s="163">
        <v>35250</v>
      </c>
      <c r="N8" s="312"/>
      <c r="O8" s="90"/>
      <c r="P8" s="90"/>
      <c r="Q8" s="19"/>
      <c r="R8" s="19"/>
      <c r="S8" s="10"/>
      <c r="T8" s="10">
        <v>11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s="3" customFormat="1" ht="18" customHeight="1">
      <c r="A9" s="207">
        <v>2</v>
      </c>
      <c r="B9" s="232" t="s">
        <v>2</v>
      </c>
      <c r="C9" s="225" t="str">
        <f>COVER!B16</f>
        <v>A351 CF8M</v>
      </c>
      <c r="D9" s="226">
        <v>1</v>
      </c>
      <c r="E9" s="215"/>
      <c r="F9" s="227">
        <v>1</v>
      </c>
      <c r="G9" s="227"/>
      <c r="H9" s="228">
        <f>COVER!C16</f>
        <v>12000</v>
      </c>
      <c r="I9" s="233">
        <f>D9*F9*H9</f>
        <v>12000</v>
      </c>
      <c r="J9" s="230"/>
      <c r="K9" s="234">
        <f t="shared" si="0"/>
        <v>12000</v>
      </c>
      <c r="L9" s="163">
        <v>4390</v>
      </c>
      <c r="M9" s="163">
        <v>4600</v>
      </c>
      <c r="N9" s="163">
        <v>4600</v>
      </c>
      <c r="O9" s="163">
        <v>9000</v>
      </c>
      <c r="P9" s="163">
        <v>13000</v>
      </c>
      <c r="Q9" s="19">
        <v>0.5</v>
      </c>
      <c r="R9" s="19">
        <v>0.5</v>
      </c>
      <c r="S9" s="10"/>
      <c r="T9" s="10">
        <v>0.5</v>
      </c>
      <c r="U9" s="10"/>
      <c r="V9" s="10">
        <f>P9/M9</f>
        <v>2.8260869565217392</v>
      </c>
      <c r="W9" s="10"/>
      <c r="X9" s="10"/>
      <c r="Y9" s="10"/>
      <c r="Z9" s="10"/>
      <c r="AA9" s="10"/>
      <c r="AB9" s="10"/>
      <c r="AC9" s="10"/>
      <c r="AD9" s="10"/>
      <c r="AE9" s="10"/>
    </row>
    <row r="10" spans="1:31" s="3" customFormat="1" ht="18" customHeight="1">
      <c r="A10" s="207">
        <v>3</v>
      </c>
      <c r="B10" s="235" t="s">
        <v>3</v>
      </c>
      <c r="C10" s="236" t="str">
        <f>COVER!B18</f>
        <v>EPDM</v>
      </c>
      <c r="D10" s="214">
        <v>1</v>
      </c>
      <c r="E10" s="215"/>
      <c r="F10" s="227">
        <v>1</v>
      </c>
      <c r="G10" s="227"/>
      <c r="H10" s="228">
        <f>IF(C10="NBR",L10,IF(C10="EPDM",L10,IF(C10="VITON",M10)))</f>
        <v>1380</v>
      </c>
      <c r="I10" s="233">
        <f>H10*F10*D10</f>
        <v>1380</v>
      </c>
      <c r="J10" s="230"/>
      <c r="K10" s="234">
        <f t="shared" si="0"/>
        <v>1380</v>
      </c>
      <c r="L10" s="163">
        <v>1380</v>
      </c>
      <c r="M10" s="163">
        <v>14000</v>
      </c>
      <c r="N10" s="163">
        <v>12000</v>
      </c>
      <c r="O10" s="163" t="s">
        <v>202</v>
      </c>
      <c r="P10" s="163">
        <v>4000</v>
      </c>
      <c r="Q10" s="19"/>
      <c r="R10" s="1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s="3" customFormat="1" ht="18" customHeight="1">
      <c r="A11" s="207">
        <v>4</v>
      </c>
      <c r="B11" s="235" t="s">
        <v>203</v>
      </c>
      <c r="C11" s="214" t="str">
        <f>COVER!B17</f>
        <v>A564T630</v>
      </c>
      <c r="D11" s="214">
        <v>1</v>
      </c>
      <c r="E11" s="215"/>
      <c r="F11" s="237">
        <v>0.45</v>
      </c>
      <c r="G11" s="238"/>
      <c r="H11" s="228">
        <f>COVER!C17</f>
        <v>10000</v>
      </c>
      <c r="I11" s="233">
        <f>D11*F11*H11</f>
        <v>4500</v>
      </c>
      <c r="J11" s="233"/>
      <c r="K11" s="234">
        <f t="shared" si="0"/>
        <v>4500</v>
      </c>
      <c r="L11" s="163" t="s">
        <v>264</v>
      </c>
      <c r="M11" s="163">
        <v>3000</v>
      </c>
      <c r="N11" s="90">
        <v>1100</v>
      </c>
      <c r="O11" s="90"/>
      <c r="P11" s="90"/>
      <c r="Q11" s="18">
        <v>0.4</v>
      </c>
      <c r="R11" s="18"/>
      <c r="S11" s="108"/>
      <c r="T11" s="10">
        <v>0.4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s="3" customFormat="1" ht="18" customHeight="1">
      <c r="A12" s="207">
        <v>5</v>
      </c>
      <c r="B12" s="235" t="s">
        <v>184</v>
      </c>
      <c r="C12" s="214" t="str">
        <f>COVER!B19</f>
        <v>NBR</v>
      </c>
      <c r="D12" s="214">
        <v>1</v>
      </c>
      <c r="E12" s="215"/>
      <c r="F12" s="237">
        <v>1</v>
      </c>
      <c r="G12" s="227"/>
      <c r="H12" s="230">
        <f>IF(C12="NBR",L12+N12,IF(C12="EPDM",L12+N12,IF(C12="VITON",M12+N12)))</f>
        <v>290</v>
      </c>
      <c r="I12" s="233">
        <f>D12*F12*H12</f>
        <v>290</v>
      </c>
      <c r="J12" s="233"/>
      <c r="K12" s="234">
        <f t="shared" si="0"/>
        <v>290</v>
      </c>
      <c r="L12" s="163">
        <v>120</v>
      </c>
      <c r="M12" s="163">
        <v>1020</v>
      </c>
      <c r="N12" s="163">
        <v>170</v>
      </c>
      <c r="O12" s="163"/>
      <c r="P12" s="90"/>
      <c r="Q12" s="19"/>
      <c r="R12" s="19"/>
      <c r="S12" s="10"/>
      <c r="T12" s="10"/>
      <c r="U12" s="10"/>
      <c r="V12" s="10">
        <f>M9/L9</f>
        <v>1.0478359908883828</v>
      </c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s="3" customFormat="1" ht="18" customHeight="1">
      <c r="A13" s="207">
        <v>6</v>
      </c>
      <c r="B13" s="235" t="s">
        <v>163</v>
      </c>
      <c r="C13" s="214"/>
      <c r="D13" s="214">
        <v>0</v>
      </c>
      <c r="E13" s="215"/>
      <c r="F13" s="227"/>
      <c r="G13" s="227"/>
      <c r="H13" s="228"/>
      <c r="I13" s="233"/>
      <c r="J13" s="233"/>
      <c r="K13" s="234"/>
      <c r="L13" s="344" t="s">
        <v>202</v>
      </c>
      <c r="M13" s="345"/>
      <c r="N13" s="345"/>
      <c r="O13" s="345"/>
      <c r="P13" s="346"/>
      <c r="Q13" s="19"/>
      <c r="R13" s="19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s="3" customFormat="1" ht="18" customHeight="1">
      <c r="A14" s="207">
        <v>7</v>
      </c>
      <c r="B14" s="235" t="s">
        <v>4</v>
      </c>
      <c r="C14" s="214" t="str">
        <f>C11</f>
        <v>A564T630</v>
      </c>
      <c r="D14" s="214">
        <v>2</v>
      </c>
      <c r="E14" s="215"/>
      <c r="F14" s="237">
        <v>1</v>
      </c>
      <c r="G14" s="227"/>
      <c r="H14" s="228">
        <f>L14</f>
        <v>1700</v>
      </c>
      <c r="I14" s="233">
        <f>D14*F14*H14</f>
        <v>3400</v>
      </c>
      <c r="J14" s="233"/>
      <c r="K14" s="234">
        <f>I14+J14</f>
        <v>3400</v>
      </c>
      <c r="L14" s="163">
        <v>1700</v>
      </c>
      <c r="M14" s="90"/>
      <c r="N14" s="90"/>
      <c r="O14" s="90"/>
      <c r="P14" s="90"/>
      <c r="Q14" s="19"/>
      <c r="R14" s="19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s="3" customFormat="1" ht="18" customHeight="1">
      <c r="A15" s="207">
        <v>8</v>
      </c>
      <c r="B15" s="235" t="s">
        <v>386</v>
      </c>
      <c r="C15" s="214" t="str">
        <f>COVER!B22</f>
        <v>BODY MATERIAL</v>
      </c>
      <c r="D15" s="214">
        <v>0</v>
      </c>
      <c r="E15" s="215"/>
      <c r="F15" s="215"/>
      <c r="G15" s="227"/>
      <c r="H15" s="228"/>
      <c r="I15" s="233"/>
      <c r="J15" s="233"/>
      <c r="K15" s="234"/>
      <c r="L15" s="344" t="s">
        <v>202</v>
      </c>
      <c r="M15" s="345"/>
      <c r="N15" s="345"/>
      <c r="O15" s="345"/>
      <c r="P15" s="346"/>
      <c r="Q15" s="164"/>
      <c r="R15" s="164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s="3" customFormat="1" ht="18" customHeight="1">
      <c r="A16" s="207">
        <v>9</v>
      </c>
      <c r="B16" s="235" t="s">
        <v>217</v>
      </c>
      <c r="C16" s="214" t="str">
        <f>COVER!B23</f>
        <v>B8M</v>
      </c>
      <c r="D16" s="214">
        <v>0</v>
      </c>
      <c r="E16" s="215"/>
      <c r="F16" s="239"/>
      <c r="G16" s="227"/>
      <c r="H16" s="228"/>
      <c r="I16" s="233"/>
      <c r="J16" s="233"/>
      <c r="K16" s="234"/>
      <c r="L16" s="344" t="s">
        <v>202</v>
      </c>
      <c r="M16" s="345"/>
      <c r="N16" s="345"/>
      <c r="O16" s="345"/>
      <c r="P16" s="346"/>
      <c r="Q16" s="19"/>
      <c r="R16" s="19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s="3" customFormat="1" ht="18" customHeight="1">
      <c r="A17" s="207">
        <v>10</v>
      </c>
      <c r="B17" s="235" t="s">
        <v>221</v>
      </c>
      <c r="C17" s="214" t="str">
        <f>COVER!B24</f>
        <v>ALBC2</v>
      </c>
      <c r="D17" s="214">
        <v>0</v>
      </c>
      <c r="E17" s="215"/>
      <c r="F17" s="239"/>
      <c r="G17" s="227"/>
      <c r="H17" s="228"/>
      <c r="I17" s="233"/>
      <c r="J17" s="233"/>
      <c r="K17" s="234"/>
      <c r="L17" s="344" t="s">
        <v>202</v>
      </c>
      <c r="M17" s="345"/>
      <c r="N17" s="345"/>
      <c r="O17" s="345"/>
      <c r="P17" s="346"/>
      <c r="Q17" s="202"/>
      <c r="R17" s="19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s="3" customFormat="1" ht="18" customHeight="1">
      <c r="A18" s="207">
        <v>11</v>
      </c>
      <c r="B18" s="235" t="s">
        <v>187</v>
      </c>
      <c r="C18" s="214" t="s">
        <v>352</v>
      </c>
      <c r="D18" s="214">
        <v>1</v>
      </c>
      <c r="E18" s="215"/>
      <c r="F18" s="239"/>
      <c r="G18" s="227"/>
      <c r="H18" s="228">
        <f>M18</f>
        <v>1300</v>
      </c>
      <c r="I18" s="233">
        <f>H18*D18</f>
        <v>1300</v>
      </c>
      <c r="J18" s="233"/>
      <c r="K18" s="234">
        <f t="shared" ref="K18:K22" si="1">I18+J18</f>
        <v>1300</v>
      </c>
      <c r="L18" s="163" t="s">
        <v>354</v>
      </c>
      <c r="M18" s="163">
        <v>1300</v>
      </c>
      <c r="N18" s="90"/>
      <c r="O18" s="90"/>
      <c r="P18" s="90"/>
      <c r="Q18" s="203" t="s">
        <v>379</v>
      </c>
      <c r="R18" s="165"/>
      <c r="S18" s="145">
        <v>65970</v>
      </c>
      <c r="T18" s="145">
        <f>S18/0.7</f>
        <v>94242.857142857145</v>
      </c>
      <c r="U18" s="145" t="s">
        <v>247</v>
      </c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s="3" customFormat="1" ht="18" customHeight="1">
      <c r="A19" s="207">
        <v>12</v>
      </c>
      <c r="B19" s="235" t="s">
        <v>189</v>
      </c>
      <c r="C19" s="214" t="str">
        <f>COVER!B26</f>
        <v>B8M</v>
      </c>
      <c r="D19" s="214">
        <v>2</v>
      </c>
      <c r="E19" s="215"/>
      <c r="F19" s="239"/>
      <c r="G19" s="227"/>
      <c r="H19" s="230">
        <f>IF(C19="B8",M19,IF(C19="B8M",N19))</f>
        <v>200</v>
      </c>
      <c r="I19" s="240">
        <f>H19*D19</f>
        <v>400</v>
      </c>
      <c r="J19" s="233"/>
      <c r="K19" s="234">
        <f t="shared" si="1"/>
        <v>400</v>
      </c>
      <c r="L19" s="90"/>
      <c r="M19" s="163">
        <v>200</v>
      </c>
      <c r="N19" s="163">
        <v>200</v>
      </c>
      <c r="O19" s="90"/>
      <c r="P19" s="90"/>
      <c r="Q19" s="204" t="s">
        <v>381</v>
      </c>
      <c r="R19" s="19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s="3" customFormat="1" ht="18" customHeight="1">
      <c r="A20" s="207">
        <v>13</v>
      </c>
      <c r="B20" s="235" t="s">
        <v>188</v>
      </c>
      <c r="C20" s="214" t="str">
        <f>COVER!B27</f>
        <v>B8M</v>
      </c>
      <c r="D20" s="214">
        <v>4</v>
      </c>
      <c r="E20" s="215"/>
      <c r="F20" s="239"/>
      <c r="G20" s="227"/>
      <c r="H20" s="228">
        <f>IF(C20="B8",M20,IF(C20="B8M",N20,IF(C20="B7(다크로)",O20)))</f>
        <v>400</v>
      </c>
      <c r="I20" s="233">
        <f>H20*D20</f>
        <v>1600</v>
      </c>
      <c r="J20" s="233"/>
      <c r="K20" s="234">
        <f t="shared" si="1"/>
        <v>1600</v>
      </c>
      <c r="L20" s="163" t="s">
        <v>387</v>
      </c>
      <c r="M20" s="163">
        <v>350</v>
      </c>
      <c r="N20" s="163">
        <v>400</v>
      </c>
      <c r="O20" s="163">
        <v>300</v>
      </c>
      <c r="P20" s="90"/>
      <c r="Q20" s="204" t="s">
        <v>385</v>
      </c>
      <c r="R20" s="19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s="3" customFormat="1" ht="18" customHeight="1">
      <c r="A21" s="207">
        <v>14</v>
      </c>
      <c r="B21" s="235" t="s">
        <v>5</v>
      </c>
      <c r="C21" s="214" t="str">
        <f>COVER!C35</f>
        <v>SUS304</v>
      </c>
      <c r="D21" s="214">
        <v>1</v>
      </c>
      <c r="E21" s="215"/>
      <c r="F21" s="239"/>
      <c r="G21" s="227"/>
      <c r="H21" s="228">
        <f>IF(C21="SS400",L21,IF(C21="SUS304",M21))</f>
        <v>16000</v>
      </c>
      <c r="I21" s="233">
        <f>H21*D21</f>
        <v>16000</v>
      </c>
      <c r="J21" s="241"/>
      <c r="K21" s="234">
        <f t="shared" si="1"/>
        <v>16000</v>
      </c>
      <c r="L21" s="163">
        <v>5400</v>
      </c>
      <c r="M21" s="163">
        <v>16000</v>
      </c>
      <c r="N21" s="90"/>
      <c r="O21" s="90"/>
      <c r="P21" s="90"/>
      <c r="Q21" s="19"/>
      <c r="R21" s="19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s="3" customFormat="1" ht="18" customHeight="1">
      <c r="A22" s="207">
        <v>15</v>
      </c>
      <c r="B22" s="235" t="s">
        <v>6</v>
      </c>
      <c r="C22" s="214" t="str">
        <f>COVER!B34</f>
        <v>10 BAR</v>
      </c>
      <c r="D22" s="214">
        <v>1</v>
      </c>
      <c r="E22" s="215"/>
      <c r="F22" s="239"/>
      <c r="G22" s="242"/>
      <c r="H22" s="228"/>
      <c r="I22" s="233">
        <f>IF(C22="10 BAR",M22,IF(C22="16 BAR",N22,IF(C22="20 BAR",O22)))</f>
        <v>98000</v>
      </c>
      <c r="J22" s="241"/>
      <c r="K22" s="234">
        <f t="shared" si="1"/>
        <v>98000</v>
      </c>
      <c r="L22" s="90"/>
      <c r="M22" s="163">
        <v>98000</v>
      </c>
      <c r="N22" s="163">
        <v>98000</v>
      </c>
      <c r="O22" s="163">
        <v>98000</v>
      </c>
      <c r="P22" s="90"/>
      <c r="Q22" s="19"/>
      <c r="R22" s="19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s="3" customFormat="1" ht="18" customHeight="1">
      <c r="A23" s="207">
        <v>16</v>
      </c>
      <c r="B23" s="235" t="s">
        <v>7</v>
      </c>
      <c r="C23" s="214" t="str">
        <f>COVER!B32</f>
        <v>기존 단가</v>
      </c>
      <c r="D23" s="214">
        <v>1</v>
      </c>
      <c r="E23" s="215"/>
      <c r="F23" s="239"/>
      <c r="G23" s="242"/>
      <c r="H23" s="228">
        <f>IF(COVER!B9="APPLICATION",0,IF(COVER!B32="기존 단가",L23,IF(COVER!B32="외주 2COATING",M23,IF(COVER!B32="외주 3COATING",N23))))</f>
        <v>5000</v>
      </c>
      <c r="I23" s="233">
        <f>H23</f>
        <v>5000</v>
      </c>
      <c r="J23" s="233"/>
      <c r="K23" s="234"/>
      <c r="L23" s="163">
        <v>5000</v>
      </c>
      <c r="M23" s="163">
        <f>IF(H6&gt;0,F6*520,IF(H7&gt;0,F7*520,IF(H8&gt;0,F8*520)))</f>
        <v>6760</v>
      </c>
      <c r="N23" s="163">
        <f>IF(H6&gt;0,F6*620,IF(H7&gt;0,F7*620,IF(H8&gt;0,F8*620)))</f>
        <v>8060</v>
      </c>
      <c r="O23" s="90"/>
      <c r="P23" s="182"/>
      <c r="Q23" s="19"/>
      <c r="R23" s="19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s="3" customFormat="1" ht="18" customHeight="1">
      <c r="A24" s="207">
        <v>17</v>
      </c>
      <c r="B24" s="235" t="s">
        <v>174</v>
      </c>
      <c r="C24" s="214"/>
      <c r="D24" s="214">
        <v>1</v>
      </c>
      <c r="E24" s="215"/>
      <c r="F24" s="239"/>
      <c r="G24" s="242"/>
      <c r="H24" s="228">
        <f>IF(COVER!B9="APPLICATION",0,IF(COVER!B9="N/A",L24))</f>
        <v>5000</v>
      </c>
      <c r="I24" s="233">
        <f>H24</f>
        <v>5000</v>
      </c>
      <c r="J24" s="234"/>
      <c r="K24" s="234"/>
      <c r="L24" s="312">
        <v>5000</v>
      </c>
      <c r="M24" s="90"/>
      <c r="N24" s="90"/>
      <c r="O24" s="90"/>
      <c r="P24" s="90"/>
      <c r="Q24" s="19"/>
      <c r="R24" s="19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s="3" customFormat="1" ht="18" customHeight="1">
      <c r="A25" s="207">
        <v>18</v>
      </c>
      <c r="B25" s="97" t="s">
        <v>175</v>
      </c>
      <c r="C25" s="14"/>
      <c r="D25" s="14"/>
      <c r="E25" s="15"/>
      <c r="F25" s="15"/>
      <c r="G25" s="15"/>
      <c r="H25" s="15"/>
      <c r="I25" s="98"/>
      <c r="J25" s="98"/>
      <c r="K25" s="16">
        <f>SUM(K6:K20)+SUM(K23:K24)</f>
        <v>70370</v>
      </c>
      <c r="L25" s="312" t="s">
        <v>248</v>
      </c>
      <c r="M25" s="90"/>
      <c r="N25" s="90"/>
      <c r="O25" s="90"/>
      <c r="P25" s="90"/>
      <c r="Q25" s="19"/>
      <c r="R25" s="19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s="3" customFormat="1" ht="18" customHeight="1">
      <c r="A26" s="207">
        <v>18</v>
      </c>
      <c r="B26" s="97" t="s">
        <v>176</v>
      </c>
      <c r="C26" s="14"/>
      <c r="D26" s="14"/>
      <c r="E26" s="15"/>
      <c r="F26" s="15"/>
      <c r="G26" s="15"/>
      <c r="H26" s="15"/>
      <c r="I26" s="98"/>
      <c r="J26" s="98"/>
      <c r="K26" s="16">
        <f>SUM(K6:K21)+SUM(K23:K24)</f>
        <v>86370</v>
      </c>
      <c r="L26" s="312" t="s">
        <v>248</v>
      </c>
      <c r="M26" s="90"/>
      <c r="N26" s="90"/>
      <c r="O26" s="90"/>
      <c r="P26" s="90"/>
      <c r="Q26" s="19"/>
      <c r="R26" s="19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s="3" customFormat="1" ht="18" customHeight="1">
      <c r="A27" s="207">
        <v>18</v>
      </c>
      <c r="B27" s="97" t="s">
        <v>177</v>
      </c>
      <c r="C27" s="14"/>
      <c r="D27" s="14"/>
      <c r="E27" s="15"/>
      <c r="F27" s="15"/>
      <c r="G27" s="15"/>
      <c r="H27" s="15"/>
      <c r="I27" s="98"/>
      <c r="J27" s="98"/>
      <c r="K27" s="16">
        <f>SUM(K6:K20)+SUM(K22:K24)</f>
        <v>168370</v>
      </c>
      <c r="L27" s="312" t="s">
        <v>248</v>
      </c>
      <c r="M27" s="90"/>
      <c r="N27" s="90"/>
      <c r="O27" s="90"/>
      <c r="P27" s="90"/>
      <c r="Q27" s="19"/>
      <c r="R27" s="19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s="3" customFormat="1" ht="18" customHeight="1">
      <c r="A28" s="207">
        <v>19</v>
      </c>
      <c r="B28" s="235" t="s">
        <v>237</v>
      </c>
      <c r="C28" s="214" t="str">
        <f>COVER!B28</f>
        <v>REQUIRED</v>
      </c>
      <c r="D28" s="214">
        <v>0</v>
      </c>
      <c r="E28" s="215"/>
      <c r="F28" s="239"/>
      <c r="G28" s="215"/>
      <c r="H28" s="233">
        <f>IF(C28="REQUIRED",L28,IF(C28="N/A",0))</f>
        <v>3800</v>
      </c>
      <c r="I28" s="233">
        <f>H28</f>
        <v>3800</v>
      </c>
      <c r="J28" s="215"/>
      <c r="K28" s="234"/>
      <c r="L28" s="163">
        <v>3800</v>
      </c>
      <c r="M28" s="90"/>
      <c r="N28" s="90"/>
      <c r="O28" s="90"/>
      <c r="P28" s="90"/>
      <c r="Q28" s="19"/>
      <c r="R28" s="19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s="3" customFormat="1" ht="18" customHeight="1">
      <c r="A29" s="207">
        <v>20</v>
      </c>
      <c r="B29" s="235" t="s">
        <v>180</v>
      </c>
      <c r="C29" s="214"/>
      <c r="D29" s="214">
        <v>0</v>
      </c>
      <c r="E29" s="215"/>
      <c r="F29" s="239"/>
      <c r="G29" s="215"/>
      <c r="H29" s="215"/>
      <c r="I29" s="215"/>
      <c r="J29" s="215"/>
      <c r="K29" s="234"/>
      <c r="L29" s="312"/>
      <c r="M29" s="90"/>
      <c r="N29" s="90"/>
      <c r="O29" s="90"/>
      <c r="P29" s="90"/>
      <c r="Q29" s="19"/>
      <c r="R29" s="19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s="3" customFormat="1" ht="18" customHeight="1">
      <c r="A30" s="207">
        <v>21</v>
      </c>
      <c r="B30" s="235" t="s">
        <v>178</v>
      </c>
      <c r="C30" s="214" t="str">
        <f>COVER!B35</f>
        <v>MOTOR</v>
      </c>
      <c r="D30" s="214">
        <v>1</v>
      </c>
      <c r="E30" s="215"/>
      <c r="F30" s="239"/>
      <c r="G30" s="215"/>
      <c r="H30" s="233">
        <f>IF(COVER!B9="APPLICATION",0,IF(COVER!B35="BARE",M30,(IF(COVER!B35="LEVER",M30,IF(COVER!B35="GEAR",N30,IF(COVER!B35="MOTOR",O30))))))</f>
        <v>45000</v>
      </c>
      <c r="I30" s="234">
        <f>H30</f>
        <v>45000</v>
      </c>
      <c r="J30" s="215"/>
      <c r="K30" s="234"/>
      <c r="L30" s="163">
        <v>10000</v>
      </c>
      <c r="M30" s="163">
        <v>4500</v>
      </c>
      <c r="N30" s="163">
        <v>4500</v>
      </c>
      <c r="O30" s="163">
        <v>45000</v>
      </c>
      <c r="P30" s="90"/>
      <c r="Q30" s="19"/>
      <c r="R30" s="19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s="3" customFormat="1" ht="18" customHeight="1">
      <c r="A31" s="207">
        <v>22</v>
      </c>
      <c r="B31" s="235"/>
      <c r="C31" s="214"/>
      <c r="D31" s="214"/>
      <c r="E31" s="215"/>
      <c r="F31" s="239"/>
      <c r="G31" s="215"/>
      <c r="H31" s="215"/>
      <c r="I31" s="215"/>
      <c r="J31" s="215"/>
      <c r="K31" s="234"/>
      <c r="L31" s="312"/>
      <c r="M31" s="90"/>
      <c r="N31" s="90"/>
      <c r="O31" s="90"/>
      <c r="P31" s="90"/>
      <c r="Q31" s="19"/>
      <c r="R31" s="19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s="3" customFormat="1" ht="18" customHeight="1">
      <c r="A32" s="207">
        <v>23</v>
      </c>
      <c r="B32" s="89" t="s">
        <v>179</v>
      </c>
      <c r="C32" s="14"/>
      <c r="D32" s="99"/>
      <c r="E32" s="15"/>
      <c r="F32" s="15"/>
      <c r="G32" s="15"/>
      <c r="H32" s="15"/>
      <c r="I32" s="100"/>
      <c r="J32" s="101"/>
      <c r="K32" s="100">
        <f>SUM(K28:K31)</f>
        <v>0</v>
      </c>
      <c r="L32" s="312" t="s">
        <v>249</v>
      </c>
      <c r="M32" s="90"/>
      <c r="N32" s="90"/>
      <c r="O32" s="90"/>
      <c r="P32" s="90"/>
      <c r="Q32" s="19"/>
      <c r="R32" s="19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s="3" customFormat="1" ht="18" customHeight="1">
      <c r="A33" s="207">
        <v>24</v>
      </c>
      <c r="B33" s="216" t="s">
        <v>252</v>
      </c>
      <c r="C33" s="217"/>
      <c r="D33" s="218"/>
      <c r="E33" s="219"/>
      <c r="F33" s="219"/>
      <c r="G33" s="219"/>
      <c r="H33" s="219"/>
      <c r="I33" s="220"/>
      <c r="J33" s="221"/>
      <c r="K33" s="220">
        <f>K25+K32</f>
        <v>70370</v>
      </c>
      <c r="L33" s="312" t="s">
        <v>257</v>
      </c>
      <c r="M33" s="90"/>
      <c r="N33" s="90"/>
      <c r="O33" s="90"/>
      <c r="P33" s="90"/>
      <c r="Q33" s="19"/>
      <c r="R33" s="19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s="3" customFormat="1" ht="18" customHeight="1">
      <c r="A34" s="207">
        <v>24</v>
      </c>
      <c r="B34" s="216" t="s">
        <v>255</v>
      </c>
      <c r="C34" s="217"/>
      <c r="D34" s="218"/>
      <c r="E34" s="219"/>
      <c r="F34" s="219"/>
      <c r="G34" s="219"/>
      <c r="H34" s="219"/>
      <c r="I34" s="220"/>
      <c r="J34" s="221"/>
      <c r="K34" s="220">
        <f>K26+K32</f>
        <v>86370</v>
      </c>
      <c r="L34" s="312" t="s">
        <v>257</v>
      </c>
      <c r="M34" s="90"/>
      <c r="N34" s="90"/>
      <c r="O34" s="90"/>
      <c r="P34" s="90"/>
      <c r="Q34" s="19"/>
      <c r="R34" s="19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s="3" customFormat="1" ht="18" customHeight="1">
      <c r="A35" s="207">
        <v>24</v>
      </c>
      <c r="B35" s="216" t="s">
        <v>256</v>
      </c>
      <c r="C35" s="217"/>
      <c r="D35" s="218"/>
      <c r="E35" s="219"/>
      <c r="F35" s="219"/>
      <c r="G35" s="219"/>
      <c r="H35" s="219"/>
      <c r="I35" s="220"/>
      <c r="J35" s="221"/>
      <c r="K35" s="220">
        <f>K27+K32</f>
        <v>168370</v>
      </c>
      <c r="L35" s="312" t="s">
        <v>257</v>
      </c>
      <c r="M35" s="90"/>
      <c r="N35" s="90"/>
      <c r="O35" s="90"/>
      <c r="P35" s="90"/>
      <c r="Q35" s="19"/>
      <c r="R35" s="19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s="4" customFormat="1" ht="18" customHeight="1">
      <c r="A36" s="207">
        <v>25</v>
      </c>
      <c r="B36" s="102" t="s">
        <v>407</v>
      </c>
      <c r="C36" s="103"/>
      <c r="D36" s="103"/>
      <c r="E36" s="104"/>
      <c r="F36" s="105"/>
      <c r="G36" s="105"/>
      <c r="H36" s="106"/>
      <c r="I36" s="223" t="s">
        <v>41</v>
      </c>
      <c r="J36" s="223">
        <v>0.7</v>
      </c>
      <c r="K36" s="107">
        <f>(K25+K32)/J36</f>
        <v>100528.57142857143</v>
      </c>
      <c r="L36" s="312" t="s">
        <v>250</v>
      </c>
      <c r="M36" s="90"/>
      <c r="N36" s="90"/>
      <c r="O36" s="90"/>
      <c r="P36" s="90"/>
      <c r="Q36" s="19"/>
      <c r="R36" s="19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s="4" customFormat="1" ht="18" customHeight="1">
      <c r="A37" s="207">
        <v>25</v>
      </c>
      <c r="B37" s="102" t="s">
        <v>408</v>
      </c>
      <c r="C37" s="103"/>
      <c r="D37" s="103"/>
      <c r="E37" s="104"/>
      <c r="F37" s="105"/>
      <c r="G37" s="105"/>
      <c r="H37" s="106"/>
      <c r="I37" s="223" t="s">
        <v>41</v>
      </c>
      <c r="J37" s="223">
        <v>0.7</v>
      </c>
      <c r="K37" s="107">
        <f>(K26+K32)/J37</f>
        <v>123385.71428571429</v>
      </c>
      <c r="L37" s="312" t="s">
        <v>250</v>
      </c>
      <c r="M37" s="90"/>
      <c r="N37" s="90"/>
      <c r="O37" s="90"/>
      <c r="P37" s="90"/>
      <c r="Q37" s="19"/>
      <c r="R37" s="19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s="4" customFormat="1" ht="18" customHeight="1">
      <c r="A38" s="207">
        <v>25</v>
      </c>
      <c r="B38" s="102" t="s">
        <v>409</v>
      </c>
      <c r="C38" s="103"/>
      <c r="D38" s="103"/>
      <c r="E38" s="104"/>
      <c r="F38" s="105"/>
      <c r="G38" s="105"/>
      <c r="H38" s="106"/>
      <c r="I38" s="223" t="s">
        <v>41</v>
      </c>
      <c r="J38" s="223">
        <v>0.7</v>
      </c>
      <c r="K38" s="107">
        <f>(K27+K32)/J38</f>
        <v>240528.57142857145</v>
      </c>
      <c r="L38" s="312" t="s">
        <v>250</v>
      </c>
      <c r="M38" s="90"/>
      <c r="N38" s="90"/>
      <c r="O38" s="90"/>
      <c r="P38" s="90"/>
      <c r="Q38" s="19"/>
      <c r="R38" s="19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s="4" customFormat="1" ht="18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57"/>
      <c r="M39" s="108"/>
      <c r="N39" s="108"/>
      <c r="O39" s="108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s="4" customFormat="1" ht="18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57"/>
      <c r="M40" s="108"/>
      <c r="N40" s="108"/>
      <c r="O40" s="108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s="4" customFormat="1" ht="18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57"/>
      <c r="M41" s="108"/>
      <c r="N41" s="108"/>
      <c r="O41" s="108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s="4" customFormat="1" ht="18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57"/>
      <c r="M42" s="108"/>
      <c r="N42" s="108"/>
      <c r="O42" s="108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s="4" customFormat="1" ht="18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57"/>
      <c r="M43" s="108"/>
      <c r="N43" s="108"/>
      <c r="O43" s="108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s="4" customFormat="1" ht="18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57"/>
      <c r="M44" s="108"/>
      <c r="N44" s="108"/>
      <c r="O44" s="108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s="4" customFormat="1" ht="18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57"/>
      <c r="M45" s="108"/>
      <c r="N45" s="108"/>
      <c r="O45" s="108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s="4" customFormat="1" ht="18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57"/>
      <c r="M46" s="108"/>
      <c r="N46" s="108"/>
      <c r="O46" s="108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s="4" customFormat="1" ht="12.75">
      <c r="A47" s="10"/>
      <c r="B47" s="10"/>
      <c r="C47" s="10"/>
      <c r="D47" s="109"/>
      <c r="E47" s="10"/>
      <c r="F47" s="10"/>
      <c r="G47" s="10"/>
      <c r="H47" s="10"/>
      <c r="I47" s="10"/>
      <c r="J47" s="10"/>
      <c r="K47" s="10"/>
      <c r="L47" s="108"/>
      <c r="M47" s="108"/>
      <c r="N47" s="108"/>
      <c r="O47" s="108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s="4" customFormat="1" ht="12.7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57"/>
      <c r="M48" s="108"/>
      <c r="N48" s="108"/>
      <c r="O48" s="108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s="4" customFormat="1" ht="12.7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57"/>
      <c r="M49" s="108"/>
      <c r="N49" s="108"/>
      <c r="O49" s="108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s="5" customForma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57"/>
      <c r="M50" s="87"/>
      <c r="N50" s="87"/>
      <c r="O50" s="8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s="5" customForma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57"/>
      <c r="M51" s="87"/>
      <c r="N51" s="87"/>
      <c r="O51" s="87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s="5" customForma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57"/>
      <c r="M52" s="87"/>
      <c r="N52" s="87"/>
      <c r="O52" s="87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</sheetData>
  <mergeCells count="8">
    <mergeCell ref="L16:P16"/>
    <mergeCell ref="L17:P17"/>
    <mergeCell ref="A1:K1"/>
    <mergeCell ref="D3:E3"/>
    <mergeCell ref="F3:H3"/>
    <mergeCell ref="L4:P4"/>
    <mergeCell ref="L13:P13"/>
    <mergeCell ref="L15:P15"/>
  </mergeCells>
  <phoneticPr fontId="7" type="noConversion"/>
  <pageMargins left="0.75" right="0.75" top="1" bottom="1" header="0.5" footer="0.5"/>
  <pageSetup paperSize="9" scale="62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AE52"/>
  <sheetViews>
    <sheetView view="pageBreakPreview" topLeftCell="A7" zoomScale="90" zoomScaleNormal="100" zoomScaleSheetLayoutView="90" workbookViewId="0">
      <selection activeCell="O22" sqref="O22"/>
    </sheetView>
  </sheetViews>
  <sheetFormatPr defaultColWidth="8.88671875" defaultRowHeight="13.5"/>
  <cols>
    <col min="1" max="1" width="5.26171875" style="10" customWidth="1"/>
    <col min="2" max="2" width="20.23046875" style="10" bestFit="1" customWidth="1"/>
    <col min="3" max="3" width="14.3828125" style="10" bestFit="1" customWidth="1"/>
    <col min="4" max="4" width="3.7421875" style="10" customWidth="1"/>
    <col min="5" max="5" width="8.30078125" style="10" customWidth="1"/>
    <col min="6" max="6" width="6.1953125" style="10" customWidth="1"/>
    <col min="7" max="7" width="5.73046875" style="10" customWidth="1"/>
    <col min="8" max="8" width="7.25" style="10" customWidth="1"/>
    <col min="9" max="9" width="10.9921875" style="10" customWidth="1"/>
    <col min="10" max="10" width="12.74609375" style="10" bestFit="1" customWidth="1"/>
    <col min="11" max="11" width="18.125" style="10" bestFit="1" customWidth="1"/>
    <col min="12" max="12" width="14.265625" style="157" bestFit="1" customWidth="1"/>
    <col min="13" max="13" width="13.796875" style="87" customWidth="1"/>
    <col min="14" max="14" width="12.16015625" style="87" bestFit="1" customWidth="1"/>
    <col min="15" max="15" width="9.703125" style="87" customWidth="1"/>
    <col min="16" max="16" width="12.16015625" style="8" bestFit="1" customWidth="1"/>
    <col min="17" max="18" width="15.43359375" style="8" bestFit="1" customWidth="1"/>
    <col min="19" max="31" width="8.88671875" style="8"/>
    <col min="32" max="16384" width="8.88671875" style="2"/>
  </cols>
  <sheetData>
    <row r="1" spans="1:31" ht="24" thickTop="1" thickBot="1">
      <c r="A1" s="336" t="s">
        <v>190</v>
      </c>
      <c r="B1" s="337"/>
      <c r="C1" s="337"/>
      <c r="D1" s="337"/>
      <c r="E1" s="337"/>
      <c r="F1" s="337"/>
      <c r="G1" s="337"/>
      <c r="H1" s="337"/>
      <c r="I1" s="337"/>
      <c r="J1" s="337"/>
      <c r="K1" s="338"/>
      <c r="M1" s="7"/>
    </row>
    <row r="2" spans="1:31" ht="14.45" customHeight="1" thickTop="1" thickBot="1">
      <c r="A2" s="158"/>
      <c r="B2" s="158"/>
      <c r="C2" s="115"/>
      <c r="E2" s="115"/>
      <c r="F2" s="115"/>
      <c r="G2" s="115"/>
    </row>
    <row r="3" spans="1:31" ht="15" thickTop="1" thickBot="1">
      <c r="A3" s="160" t="s">
        <v>191</v>
      </c>
      <c r="B3" s="159" t="s">
        <v>322</v>
      </c>
      <c r="C3" s="160" t="s">
        <v>192</v>
      </c>
      <c r="D3" s="339" t="s">
        <v>193</v>
      </c>
      <c r="E3" s="340"/>
      <c r="F3" s="341" t="s">
        <v>194</v>
      </c>
      <c r="G3" s="339"/>
      <c r="H3" s="339"/>
      <c r="I3" s="159" t="s">
        <v>195</v>
      </c>
      <c r="J3" s="160" t="s">
        <v>197</v>
      </c>
      <c r="K3" s="159" t="s">
        <v>277</v>
      </c>
    </row>
    <row r="4" spans="1:31" ht="19.149999999999999" customHeight="1" thickTop="1" thickBot="1">
      <c r="J4" s="197" t="s">
        <v>332</v>
      </c>
      <c r="K4" s="189">
        <v>255</v>
      </c>
      <c r="L4" s="342" t="s">
        <v>207</v>
      </c>
      <c r="M4" s="343"/>
      <c r="N4" s="343"/>
      <c r="O4" s="343"/>
      <c r="P4" s="343"/>
    </row>
    <row r="5" spans="1:31" s="3" customFormat="1" ht="25.15" customHeight="1" thickTop="1">
      <c r="A5" s="9" t="s">
        <v>1</v>
      </c>
      <c r="B5" s="9" t="s">
        <v>164</v>
      </c>
      <c r="C5" s="88" t="s">
        <v>165</v>
      </c>
      <c r="D5" s="89" t="s">
        <v>166</v>
      </c>
      <c r="E5" s="9" t="s">
        <v>167</v>
      </c>
      <c r="F5" s="9" t="s">
        <v>168</v>
      </c>
      <c r="G5" s="9" t="s">
        <v>169</v>
      </c>
      <c r="H5" s="9" t="s">
        <v>170</v>
      </c>
      <c r="I5" s="123" t="s">
        <v>171</v>
      </c>
      <c r="J5" s="195" t="s">
        <v>172</v>
      </c>
      <c r="K5" s="196" t="s">
        <v>173</v>
      </c>
      <c r="L5" s="90" t="s">
        <v>198</v>
      </c>
      <c r="M5" s="121" t="s">
        <v>199</v>
      </c>
      <c r="N5" s="90" t="s">
        <v>38</v>
      </c>
      <c r="O5" s="90" t="s">
        <v>200</v>
      </c>
      <c r="P5" s="90" t="s">
        <v>201</v>
      </c>
      <c r="Q5" s="90" t="s">
        <v>265</v>
      </c>
      <c r="R5" s="90" t="s">
        <v>266</v>
      </c>
      <c r="S5" s="10"/>
      <c r="T5" s="10" t="s">
        <v>330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s="3" customFormat="1" ht="18" customHeight="1">
      <c r="A6" s="162">
        <v>1</v>
      </c>
      <c r="B6" s="224" t="s">
        <v>181</v>
      </c>
      <c r="C6" s="225">
        <f>COVER!B13</f>
        <v>0</v>
      </c>
      <c r="D6" s="226">
        <v>1</v>
      </c>
      <c r="E6" s="215"/>
      <c r="F6" s="227">
        <v>9</v>
      </c>
      <c r="G6" s="227"/>
      <c r="H6" s="228">
        <f>COVER!C13</f>
        <v>0</v>
      </c>
      <c r="I6" s="229">
        <f>D6*F6*H6</f>
        <v>0</v>
      </c>
      <c r="J6" s="230"/>
      <c r="K6" s="231">
        <f t="shared" ref="K6:K12" si="0">I6+J6</f>
        <v>0</v>
      </c>
      <c r="L6" s="163">
        <v>16000</v>
      </c>
      <c r="M6" s="163">
        <v>24000</v>
      </c>
      <c r="N6" s="163">
        <v>48000</v>
      </c>
      <c r="O6" s="90"/>
      <c r="P6" s="90"/>
      <c r="Q6" s="19"/>
      <c r="R6" s="19"/>
      <c r="S6" s="10"/>
      <c r="T6" s="10">
        <v>8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s="3" customFormat="1" ht="18" customHeight="1">
      <c r="A7" s="162">
        <v>1</v>
      </c>
      <c r="B7" s="224" t="s">
        <v>182</v>
      </c>
      <c r="C7" s="225" t="str">
        <f>COVER!B14</f>
        <v>A536 Gr65-45-12</v>
      </c>
      <c r="D7" s="226">
        <v>1</v>
      </c>
      <c r="E7" s="215"/>
      <c r="F7" s="227">
        <v>13</v>
      </c>
      <c r="G7" s="227"/>
      <c r="H7" s="228">
        <f>COVER!C14</f>
        <v>3500</v>
      </c>
      <c r="I7" s="229">
        <f>D7*F7*H7</f>
        <v>45500</v>
      </c>
      <c r="J7" s="230"/>
      <c r="K7" s="231">
        <f t="shared" si="0"/>
        <v>45500</v>
      </c>
      <c r="L7" s="163">
        <v>25000</v>
      </c>
      <c r="M7" s="163">
        <v>37500</v>
      </c>
      <c r="N7" s="161"/>
      <c r="O7" s="90"/>
      <c r="P7" s="90"/>
      <c r="Q7" s="19"/>
      <c r="R7" s="19"/>
      <c r="S7" s="10"/>
      <c r="T7" s="10">
        <v>11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s="3" customFormat="1" ht="18" customHeight="1">
      <c r="A8" s="162">
        <v>1</v>
      </c>
      <c r="B8" s="224" t="s">
        <v>183</v>
      </c>
      <c r="C8" s="225">
        <f>COVER!B15</f>
        <v>0</v>
      </c>
      <c r="D8" s="226">
        <v>1</v>
      </c>
      <c r="E8" s="215"/>
      <c r="F8" s="227">
        <v>22</v>
      </c>
      <c r="G8" s="227"/>
      <c r="H8" s="228">
        <f>COVER!C15</f>
        <v>0</v>
      </c>
      <c r="I8" s="229">
        <f>D8*F8*H8</f>
        <v>0</v>
      </c>
      <c r="J8" s="230"/>
      <c r="K8" s="231">
        <f t="shared" si="0"/>
        <v>0</v>
      </c>
      <c r="L8" s="163">
        <v>28100</v>
      </c>
      <c r="M8" s="163">
        <v>42150</v>
      </c>
      <c r="N8" s="161"/>
      <c r="O8" s="90"/>
      <c r="P8" s="90"/>
      <c r="Q8" s="19"/>
      <c r="R8" s="19"/>
      <c r="S8" s="10"/>
      <c r="T8" s="10">
        <v>20.5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s="3" customFormat="1" ht="18" customHeight="1">
      <c r="A9" s="162">
        <v>2</v>
      </c>
      <c r="B9" s="232" t="s">
        <v>2</v>
      </c>
      <c r="C9" s="225" t="str">
        <f>COVER!B16</f>
        <v>A351 CF8M</v>
      </c>
      <c r="D9" s="226">
        <v>1</v>
      </c>
      <c r="E9" s="215"/>
      <c r="F9" s="227">
        <f>IF(COVER!B34="10 BAR",Q9,IF(COVER!B34="16 BAR",R9,IF(COVER!B34="20 BAR",R9)))</f>
        <v>1.3</v>
      </c>
      <c r="G9" s="227"/>
      <c r="H9" s="228">
        <f>COVER!C16</f>
        <v>12000</v>
      </c>
      <c r="I9" s="233">
        <f>D9*F9*H9</f>
        <v>15600</v>
      </c>
      <c r="J9" s="230"/>
      <c r="K9" s="234">
        <f t="shared" si="0"/>
        <v>15600</v>
      </c>
      <c r="L9" s="163">
        <v>5450</v>
      </c>
      <c r="M9" s="163">
        <v>5500</v>
      </c>
      <c r="N9" s="163">
        <v>6000</v>
      </c>
      <c r="O9" s="161">
        <f>P9*0.8</f>
        <v>13600</v>
      </c>
      <c r="P9" s="163">
        <v>17000</v>
      </c>
      <c r="Q9" s="19">
        <v>1.3</v>
      </c>
      <c r="R9" s="19">
        <v>1.3</v>
      </c>
      <c r="S9" s="10"/>
      <c r="T9" s="10">
        <v>1.3</v>
      </c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 s="3" customFormat="1" ht="18" customHeight="1">
      <c r="A10" s="207">
        <v>3</v>
      </c>
      <c r="B10" s="235" t="s">
        <v>3</v>
      </c>
      <c r="C10" s="236" t="str">
        <f>COVER!B18</f>
        <v>EPDM</v>
      </c>
      <c r="D10" s="214">
        <v>1</v>
      </c>
      <c r="E10" s="215"/>
      <c r="F10" s="227">
        <v>1</v>
      </c>
      <c r="G10" s="227"/>
      <c r="H10" s="228">
        <f>IF(C10="NBR",L10,IF(C10="EPDM",L10,IF(C10="VITON",M10)))</f>
        <v>2760</v>
      </c>
      <c r="I10" s="233">
        <f>H10*F10*D10</f>
        <v>2760</v>
      </c>
      <c r="J10" s="230"/>
      <c r="K10" s="234">
        <f t="shared" si="0"/>
        <v>2760</v>
      </c>
      <c r="L10" s="163">
        <v>2760</v>
      </c>
      <c r="M10" s="163">
        <v>28000</v>
      </c>
      <c r="N10" s="190">
        <v>20000</v>
      </c>
      <c r="O10" s="163" t="s">
        <v>202</v>
      </c>
      <c r="P10" s="163" t="s">
        <v>202</v>
      </c>
      <c r="Q10" s="19"/>
      <c r="R10" s="1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s="3" customFormat="1" ht="18" customHeight="1">
      <c r="A11" s="207">
        <v>4</v>
      </c>
      <c r="B11" s="235" t="s">
        <v>203</v>
      </c>
      <c r="C11" s="214" t="str">
        <f>COVER!B17</f>
        <v>A564T630</v>
      </c>
      <c r="D11" s="214">
        <v>1</v>
      </c>
      <c r="E11" s="215"/>
      <c r="F11" s="237">
        <v>0.7</v>
      </c>
      <c r="G11" s="238"/>
      <c r="H11" s="228">
        <f>COVER!C17</f>
        <v>10000</v>
      </c>
      <c r="I11" s="233">
        <f>D11*F11*H11</f>
        <v>7000</v>
      </c>
      <c r="J11" s="233"/>
      <c r="K11" s="234">
        <f t="shared" si="0"/>
        <v>7000</v>
      </c>
      <c r="L11" s="163" t="s">
        <v>267</v>
      </c>
      <c r="M11" s="163">
        <v>3000</v>
      </c>
      <c r="N11" s="90">
        <v>1350</v>
      </c>
      <c r="O11" s="90"/>
      <c r="P11" s="90"/>
      <c r="Q11" s="18">
        <v>0.7</v>
      </c>
      <c r="R11" s="18"/>
      <c r="S11" s="108"/>
      <c r="T11" s="10">
        <v>0.6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s="3" customFormat="1" ht="18" customHeight="1">
      <c r="A12" s="207">
        <v>5</v>
      </c>
      <c r="B12" s="235" t="s">
        <v>184</v>
      </c>
      <c r="C12" s="214" t="str">
        <f>COVER!B19</f>
        <v>NBR</v>
      </c>
      <c r="D12" s="214">
        <v>1</v>
      </c>
      <c r="E12" s="215"/>
      <c r="F12" s="237">
        <v>1</v>
      </c>
      <c r="G12" s="227"/>
      <c r="H12" s="230">
        <f>IF(C12="NBR",L12+N12,IF(C12="EPDM",L12+N12,IF(C12="VITON",M12+N12)))</f>
        <v>310</v>
      </c>
      <c r="I12" s="233">
        <f>D12*F12*H12</f>
        <v>310</v>
      </c>
      <c r="J12" s="233"/>
      <c r="K12" s="234">
        <f t="shared" si="0"/>
        <v>310</v>
      </c>
      <c r="L12" s="163">
        <v>130</v>
      </c>
      <c r="M12" s="163">
        <v>1090</v>
      </c>
      <c r="N12" s="163">
        <v>180</v>
      </c>
      <c r="O12" s="90"/>
      <c r="P12" s="90"/>
      <c r="Q12" s="19"/>
      <c r="R12" s="19"/>
      <c r="S12" s="10"/>
      <c r="T12" s="10"/>
      <c r="U12" s="10"/>
      <c r="V12" s="10">
        <f>M9/L9</f>
        <v>1.0091743119266054</v>
      </c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s="3" customFormat="1" ht="18" customHeight="1">
      <c r="A13" s="207">
        <v>6</v>
      </c>
      <c r="B13" s="235" t="s">
        <v>163</v>
      </c>
      <c r="C13" s="214"/>
      <c r="D13" s="214">
        <v>0</v>
      </c>
      <c r="E13" s="215"/>
      <c r="F13" s="227"/>
      <c r="G13" s="227"/>
      <c r="H13" s="228"/>
      <c r="I13" s="233"/>
      <c r="J13" s="233"/>
      <c r="K13" s="234"/>
      <c r="L13" s="344" t="s">
        <v>202</v>
      </c>
      <c r="M13" s="345"/>
      <c r="N13" s="345"/>
      <c r="O13" s="345"/>
      <c r="P13" s="346"/>
      <c r="Q13" s="19"/>
      <c r="R13" s="19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s="3" customFormat="1" ht="18" customHeight="1">
      <c r="A14" s="207">
        <v>7</v>
      </c>
      <c r="B14" s="235" t="s">
        <v>4</v>
      </c>
      <c r="C14" s="214" t="str">
        <f>C11</f>
        <v>A564T630</v>
      </c>
      <c r="D14" s="214">
        <v>2</v>
      </c>
      <c r="E14" s="215"/>
      <c r="F14" s="237">
        <v>1</v>
      </c>
      <c r="G14" s="227"/>
      <c r="H14" s="228">
        <f>L14</f>
        <v>1900</v>
      </c>
      <c r="I14" s="233">
        <f>D14*F14*H14</f>
        <v>3800</v>
      </c>
      <c r="J14" s="233"/>
      <c r="K14" s="234">
        <f>I14+J14</f>
        <v>3800</v>
      </c>
      <c r="L14" s="163">
        <v>1900</v>
      </c>
      <c r="M14" s="163"/>
      <c r="N14" s="163"/>
      <c r="O14" s="163"/>
      <c r="P14" s="163"/>
      <c r="Q14" s="19"/>
      <c r="R14" s="19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s="3" customFormat="1" ht="18" customHeight="1">
      <c r="A15" s="207">
        <v>8</v>
      </c>
      <c r="B15" s="235" t="s">
        <v>386</v>
      </c>
      <c r="C15" s="214" t="str">
        <f>COVER!B22</f>
        <v>BODY MATERIAL</v>
      </c>
      <c r="D15" s="214">
        <v>0</v>
      </c>
      <c r="E15" s="215"/>
      <c r="F15" s="215"/>
      <c r="G15" s="227"/>
      <c r="H15" s="228"/>
      <c r="I15" s="233"/>
      <c r="J15" s="233"/>
      <c r="K15" s="234"/>
      <c r="L15" s="344" t="s">
        <v>202</v>
      </c>
      <c r="M15" s="345"/>
      <c r="N15" s="345"/>
      <c r="O15" s="345"/>
      <c r="P15" s="346"/>
      <c r="Q15" s="164"/>
      <c r="R15" s="164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s="3" customFormat="1" ht="18" customHeight="1">
      <c r="A16" s="207">
        <v>9</v>
      </c>
      <c r="B16" s="235" t="s">
        <v>217</v>
      </c>
      <c r="C16" s="214" t="str">
        <f>COVER!B23</f>
        <v>B8M</v>
      </c>
      <c r="D16" s="214">
        <v>0</v>
      </c>
      <c r="E16" s="215"/>
      <c r="F16" s="239"/>
      <c r="G16" s="227"/>
      <c r="H16" s="228"/>
      <c r="I16" s="233"/>
      <c r="J16" s="233"/>
      <c r="K16" s="234"/>
      <c r="L16" s="344" t="s">
        <v>202</v>
      </c>
      <c r="M16" s="345"/>
      <c r="N16" s="345"/>
      <c r="O16" s="345"/>
      <c r="P16" s="346"/>
      <c r="Q16" s="19"/>
      <c r="R16" s="19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s="3" customFormat="1" ht="18" customHeight="1">
      <c r="A17" s="207">
        <v>10</v>
      </c>
      <c r="B17" s="235" t="s">
        <v>221</v>
      </c>
      <c r="C17" s="214" t="str">
        <f>COVER!B24</f>
        <v>ALBC2</v>
      </c>
      <c r="D17" s="214">
        <v>0</v>
      </c>
      <c r="E17" s="215"/>
      <c r="F17" s="239"/>
      <c r="G17" s="227"/>
      <c r="H17" s="228"/>
      <c r="I17" s="233"/>
      <c r="J17" s="233"/>
      <c r="K17" s="234"/>
      <c r="L17" s="344" t="s">
        <v>202</v>
      </c>
      <c r="M17" s="345"/>
      <c r="N17" s="345"/>
      <c r="O17" s="345"/>
      <c r="P17" s="346"/>
      <c r="Q17" s="202"/>
      <c r="R17" s="19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s="3" customFormat="1" ht="18" customHeight="1">
      <c r="A18" s="207">
        <v>11</v>
      </c>
      <c r="B18" s="235" t="s">
        <v>187</v>
      </c>
      <c r="C18" s="214" t="s">
        <v>352</v>
      </c>
      <c r="D18" s="214">
        <v>1</v>
      </c>
      <c r="E18" s="215"/>
      <c r="F18" s="239"/>
      <c r="G18" s="227"/>
      <c r="H18" s="228">
        <f>M18</f>
        <v>1300</v>
      </c>
      <c r="I18" s="233">
        <f>H18*D18</f>
        <v>1300</v>
      </c>
      <c r="J18" s="233"/>
      <c r="K18" s="234">
        <f t="shared" ref="K18:K22" si="1">I18+J18</f>
        <v>1300</v>
      </c>
      <c r="L18" s="163" t="s">
        <v>354</v>
      </c>
      <c r="M18" s="163">
        <v>1300</v>
      </c>
      <c r="N18" s="163"/>
      <c r="O18" s="163"/>
      <c r="P18" s="163"/>
      <c r="Q18" s="203" t="s">
        <v>379</v>
      </c>
      <c r="R18" s="165"/>
      <c r="S18" s="145"/>
      <c r="T18" s="145"/>
      <c r="U18" s="145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s="3" customFormat="1" ht="18" customHeight="1">
      <c r="A19" s="207">
        <v>12</v>
      </c>
      <c r="B19" s="235" t="s">
        <v>189</v>
      </c>
      <c r="C19" s="214" t="str">
        <f>COVER!B26</f>
        <v>B8M</v>
      </c>
      <c r="D19" s="214">
        <v>2</v>
      </c>
      <c r="E19" s="215"/>
      <c r="F19" s="239"/>
      <c r="G19" s="227"/>
      <c r="H19" s="230">
        <f>IF(C19="B8",M19,IF(C19="B8M",N19))</f>
        <v>200</v>
      </c>
      <c r="I19" s="240">
        <f>H19*D19</f>
        <v>400</v>
      </c>
      <c r="J19" s="233"/>
      <c r="K19" s="234">
        <f t="shared" si="1"/>
        <v>400</v>
      </c>
      <c r="L19" s="163"/>
      <c r="M19" s="163">
        <v>200</v>
      </c>
      <c r="N19" s="163">
        <v>200</v>
      </c>
      <c r="O19" s="163"/>
      <c r="P19" s="163"/>
      <c r="Q19" s="204" t="s">
        <v>381</v>
      </c>
      <c r="R19" s="19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s="3" customFormat="1" ht="18" customHeight="1">
      <c r="A20" s="207">
        <v>13</v>
      </c>
      <c r="B20" s="235" t="s">
        <v>188</v>
      </c>
      <c r="C20" s="214" t="str">
        <f>COVER!B27</f>
        <v>B8M</v>
      </c>
      <c r="D20" s="214">
        <v>4</v>
      </c>
      <c r="E20" s="215"/>
      <c r="F20" s="239"/>
      <c r="G20" s="227"/>
      <c r="H20" s="228">
        <f>IF(C20="B8",M20,IF(C20="B8M",N20,IF(C20="B7(다크로)",O20)))</f>
        <v>400</v>
      </c>
      <c r="I20" s="233">
        <f>H20*D20</f>
        <v>1600</v>
      </c>
      <c r="J20" s="233"/>
      <c r="K20" s="234">
        <f t="shared" si="1"/>
        <v>1600</v>
      </c>
      <c r="L20" s="163" t="s">
        <v>387</v>
      </c>
      <c r="M20" s="163">
        <v>350</v>
      </c>
      <c r="N20" s="163">
        <v>400</v>
      </c>
      <c r="O20" s="163">
        <v>300</v>
      </c>
      <c r="P20" s="163"/>
      <c r="Q20" s="204" t="s">
        <v>385</v>
      </c>
      <c r="R20" s="19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s="3" customFormat="1" ht="18" customHeight="1">
      <c r="A21" s="207">
        <v>14</v>
      </c>
      <c r="B21" s="235" t="s">
        <v>5</v>
      </c>
      <c r="C21" s="214" t="str">
        <f>COVER!C35</f>
        <v>SUS304</v>
      </c>
      <c r="D21" s="214">
        <v>1</v>
      </c>
      <c r="E21" s="215"/>
      <c r="F21" s="239"/>
      <c r="G21" s="227"/>
      <c r="H21" s="228">
        <f>IF(C21="SS400",L21,IF(C21="SUS304",M21))</f>
        <v>17000</v>
      </c>
      <c r="I21" s="233">
        <f>H21*D21</f>
        <v>17000</v>
      </c>
      <c r="J21" s="241"/>
      <c r="K21" s="234">
        <f t="shared" si="1"/>
        <v>17000</v>
      </c>
      <c r="L21" s="163">
        <v>5800</v>
      </c>
      <c r="M21" s="163">
        <v>17000</v>
      </c>
      <c r="N21" s="163"/>
      <c r="O21" s="163"/>
      <c r="P21" s="163"/>
      <c r="Q21" s="19"/>
      <c r="R21" s="19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s="3" customFormat="1" ht="18" customHeight="1">
      <c r="A22" s="207">
        <v>15</v>
      </c>
      <c r="B22" s="235" t="s">
        <v>6</v>
      </c>
      <c r="C22" s="214" t="str">
        <f>COVER!B34</f>
        <v>10 BAR</v>
      </c>
      <c r="D22" s="214">
        <v>1</v>
      </c>
      <c r="E22" s="215"/>
      <c r="F22" s="239"/>
      <c r="G22" s="242"/>
      <c r="H22" s="228"/>
      <c r="I22" s="233">
        <f>IF(C22="10 BAR",M22,IF(C22="16 BAR",N22,IF(C22="20 BAR",O22)))</f>
        <v>98000</v>
      </c>
      <c r="J22" s="241"/>
      <c r="K22" s="234">
        <f t="shared" si="1"/>
        <v>98000</v>
      </c>
      <c r="L22" s="163"/>
      <c r="M22" s="163">
        <v>98000</v>
      </c>
      <c r="N22" s="163">
        <v>98000</v>
      </c>
      <c r="O22" s="163">
        <v>98000</v>
      </c>
      <c r="P22" s="163"/>
      <c r="Q22" s="19"/>
      <c r="R22" s="19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s="3" customFormat="1" ht="18" customHeight="1">
      <c r="A23" s="207">
        <v>16</v>
      </c>
      <c r="B23" s="235" t="s">
        <v>7</v>
      </c>
      <c r="C23" s="214" t="str">
        <f>COVER!B32</f>
        <v>기존 단가</v>
      </c>
      <c r="D23" s="214">
        <v>1</v>
      </c>
      <c r="E23" s="215"/>
      <c r="F23" s="239"/>
      <c r="G23" s="242"/>
      <c r="H23" s="228">
        <f>IF(COVER!B9="APPLICATION",0,IF(COVER!B32="기존 단가",L23,IF(COVER!B32="외주 2COATING",M23,IF(COVER!B32="외주 3COATING",N23))))</f>
        <v>7500</v>
      </c>
      <c r="I23" s="233">
        <f>H23</f>
        <v>7500</v>
      </c>
      <c r="J23" s="233"/>
      <c r="K23" s="234"/>
      <c r="L23" s="163">
        <v>7500</v>
      </c>
      <c r="M23" s="163">
        <f>IF(H6&gt;0,F6*520,IF(H7&gt;0,F7*520,IF(H8&gt;0,F8*520)))</f>
        <v>6760</v>
      </c>
      <c r="N23" s="163">
        <f>IF(H6&gt;0,F6*620,IF(H7&gt;0,F7*620,IF(H8&gt;0,F8*620)))</f>
        <v>8060</v>
      </c>
      <c r="O23" s="90"/>
      <c r="P23" s="182"/>
      <c r="Q23" s="19"/>
      <c r="R23" s="19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s="3" customFormat="1" ht="18" customHeight="1">
      <c r="A24" s="207">
        <v>17</v>
      </c>
      <c r="B24" s="235" t="s">
        <v>174</v>
      </c>
      <c r="C24" s="214"/>
      <c r="D24" s="214">
        <v>1</v>
      </c>
      <c r="E24" s="215"/>
      <c r="F24" s="239"/>
      <c r="G24" s="242"/>
      <c r="H24" s="228">
        <f>IF(COVER!B9="APPLICATION",0,IF(COVER!B9="N/A",L24))</f>
        <v>7500</v>
      </c>
      <c r="I24" s="233">
        <f>H24</f>
        <v>7500</v>
      </c>
      <c r="J24" s="234"/>
      <c r="K24" s="234"/>
      <c r="L24" s="211">
        <v>7500</v>
      </c>
      <c r="M24" s="90"/>
      <c r="N24" s="90"/>
      <c r="O24" s="90"/>
      <c r="P24" s="90"/>
      <c r="Q24" s="19"/>
      <c r="R24" s="19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s="3" customFormat="1" ht="18" customHeight="1">
      <c r="A25" s="207">
        <v>18</v>
      </c>
      <c r="B25" s="97" t="s">
        <v>175</v>
      </c>
      <c r="C25" s="14"/>
      <c r="D25" s="14"/>
      <c r="E25" s="15"/>
      <c r="F25" s="15"/>
      <c r="G25" s="15"/>
      <c r="H25" s="15"/>
      <c r="I25" s="98"/>
      <c r="J25" s="98"/>
      <c r="K25" s="16">
        <f>SUM(K6:K20)+SUM(K23:K24)</f>
        <v>78270</v>
      </c>
      <c r="L25" s="161" t="s">
        <v>248</v>
      </c>
      <c r="M25" s="90"/>
      <c r="N25" s="90"/>
      <c r="O25" s="90"/>
      <c r="P25" s="90"/>
      <c r="Q25" s="19"/>
      <c r="R25" s="19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s="3" customFormat="1" ht="18" customHeight="1">
      <c r="A26" s="207">
        <v>18</v>
      </c>
      <c r="B26" s="97" t="s">
        <v>176</v>
      </c>
      <c r="C26" s="14"/>
      <c r="D26" s="14"/>
      <c r="E26" s="15"/>
      <c r="F26" s="15"/>
      <c r="G26" s="15"/>
      <c r="H26" s="15"/>
      <c r="I26" s="98"/>
      <c r="J26" s="98"/>
      <c r="K26" s="16">
        <f>SUM(K6:K21)+SUM(K23:K24)</f>
        <v>95270</v>
      </c>
      <c r="L26" s="161" t="s">
        <v>248</v>
      </c>
      <c r="M26" s="90"/>
      <c r="N26" s="90"/>
      <c r="O26" s="90"/>
      <c r="P26" s="90"/>
      <c r="Q26" s="19"/>
      <c r="R26" s="19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s="3" customFormat="1" ht="18" customHeight="1">
      <c r="A27" s="207">
        <v>18</v>
      </c>
      <c r="B27" s="97" t="s">
        <v>177</v>
      </c>
      <c r="C27" s="14"/>
      <c r="D27" s="14"/>
      <c r="E27" s="15"/>
      <c r="F27" s="15"/>
      <c r="G27" s="15"/>
      <c r="H27" s="15"/>
      <c r="I27" s="98"/>
      <c r="J27" s="98"/>
      <c r="K27" s="16">
        <f>SUM(K6:K20)+SUM(K22:K24)</f>
        <v>176270</v>
      </c>
      <c r="L27" s="161" t="s">
        <v>248</v>
      </c>
      <c r="M27" s="90"/>
      <c r="N27" s="90"/>
      <c r="O27" s="90"/>
      <c r="P27" s="90"/>
      <c r="Q27" s="19"/>
      <c r="R27" s="19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s="3" customFormat="1" ht="18" customHeight="1">
      <c r="A28" s="207">
        <v>19</v>
      </c>
      <c r="B28" s="235" t="s">
        <v>237</v>
      </c>
      <c r="C28" s="214" t="str">
        <f>COVER!B28</f>
        <v>REQUIRED</v>
      </c>
      <c r="D28" s="214">
        <v>0</v>
      </c>
      <c r="E28" s="215"/>
      <c r="F28" s="239"/>
      <c r="G28" s="215"/>
      <c r="H28" s="233">
        <f>IF(C28="REQUIRED",L28,IF(C28="N/A",0))</f>
        <v>5750</v>
      </c>
      <c r="I28" s="233">
        <f>H28</f>
        <v>5750</v>
      </c>
      <c r="J28" s="215"/>
      <c r="K28" s="234"/>
      <c r="L28" s="163">
        <v>5750</v>
      </c>
      <c r="M28" s="90"/>
      <c r="N28" s="90"/>
      <c r="O28" s="90"/>
      <c r="P28" s="90"/>
      <c r="Q28" s="19"/>
      <c r="R28" s="19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s="3" customFormat="1" ht="18" customHeight="1">
      <c r="A29" s="207">
        <v>20</v>
      </c>
      <c r="B29" s="235" t="s">
        <v>180</v>
      </c>
      <c r="C29" s="214"/>
      <c r="D29" s="214">
        <v>0</v>
      </c>
      <c r="E29" s="215"/>
      <c r="F29" s="239"/>
      <c r="G29" s="215"/>
      <c r="H29" s="215"/>
      <c r="I29" s="215"/>
      <c r="J29" s="215"/>
      <c r="K29" s="234"/>
      <c r="L29" s="161"/>
      <c r="M29" s="90"/>
      <c r="N29" s="90"/>
      <c r="O29" s="90"/>
      <c r="P29" s="90"/>
      <c r="Q29" s="19"/>
      <c r="R29" s="19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s="3" customFormat="1" ht="18" customHeight="1">
      <c r="A30" s="207">
        <v>21</v>
      </c>
      <c r="B30" s="235" t="s">
        <v>178</v>
      </c>
      <c r="C30" s="214" t="str">
        <f>COVER!B35</f>
        <v>MOTOR</v>
      </c>
      <c r="D30" s="214">
        <v>1</v>
      </c>
      <c r="E30" s="215"/>
      <c r="F30" s="239"/>
      <c r="G30" s="215"/>
      <c r="H30" s="233">
        <f>IF(COVER!B9="APPLICATION",0,IF(COVER!B35="BARE",M30,(IF(COVER!B35="LEVER",M30,IF(COVER!B35="GEAR",N30,IF(COVER!B35="MOTOR",O30))))))</f>
        <v>50000</v>
      </c>
      <c r="I30" s="234">
        <f>H30</f>
        <v>50000</v>
      </c>
      <c r="J30" s="215"/>
      <c r="K30" s="234"/>
      <c r="L30" s="163">
        <v>14000</v>
      </c>
      <c r="M30" s="163">
        <v>5000</v>
      </c>
      <c r="N30" s="163">
        <v>5000</v>
      </c>
      <c r="O30" s="163">
        <v>50000</v>
      </c>
      <c r="P30" s="90"/>
      <c r="Q30" s="19"/>
      <c r="R30" s="19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s="3" customFormat="1" ht="18" customHeight="1">
      <c r="A31" s="207">
        <v>22</v>
      </c>
      <c r="B31" s="235"/>
      <c r="C31" s="214"/>
      <c r="D31" s="214"/>
      <c r="E31" s="215"/>
      <c r="F31" s="239"/>
      <c r="G31" s="215"/>
      <c r="H31" s="215"/>
      <c r="I31" s="215"/>
      <c r="J31" s="215"/>
      <c r="K31" s="234"/>
      <c r="L31" s="161"/>
      <c r="M31" s="90"/>
      <c r="N31" s="90"/>
      <c r="O31" s="90"/>
      <c r="P31" s="90"/>
      <c r="Q31" s="19"/>
      <c r="R31" s="19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s="3" customFormat="1" ht="18" customHeight="1">
      <c r="A32" s="207">
        <v>23</v>
      </c>
      <c r="B32" s="89" t="s">
        <v>179</v>
      </c>
      <c r="C32" s="14"/>
      <c r="D32" s="99"/>
      <c r="E32" s="15"/>
      <c r="F32" s="15"/>
      <c r="G32" s="15"/>
      <c r="H32" s="15"/>
      <c r="I32" s="100"/>
      <c r="J32" s="101"/>
      <c r="K32" s="100">
        <f>SUM(K28:K31)</f>
        <v>0</v>
      </c>
      <c r="L32" s="161" t="s">
        <v>249</v>
      </c>
      <c r="M32" s="90"/>
      <c r="N32" s="90"/>
      <c r="O32" s="90"/>
      <c r="P32" s="90"/>
      <c r="Q32" s="19"/>
      <c r="R32" s="19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s="3" customFormat="1" ht="18" customHeight="1">
      <c r="A33" s="162">
        <v>24</v>
      </c>
      <c r="B33" s="216" t="s">
        <v>252</v>
      </c>
      <c r="C33" s="217"/>
      <c r="D33" s="218"/>
      <c r="E33" s="219"/>
      <c r="F33" s="219"/>
      <c r="G33" s="219"/>
      <c r="H33" s="219"/>
      <c r="I33" s="220"/>
      <c r="J33" s="221"/>
      <c r="K33" s="220">
        <f>K25+K32</f>
        <v>78270</v>
      </c>
      <c r="L33" s="161" t="s">
        <v>257</v>
      </c>
      <c r="M33" s="90"/>
      <c r="N33" s="90"/>
      <c r="O33" s="90"/>
      <c r="P33" s="90"/>
      <c r="Q33" s="19"/>
      <c r="R33" s="19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s="3" customFormat="1" ht="18" customHeight="1">
      <c r="A34" s="162">
        <v>24</v>
      </c>
      <c r="B34" s="216" t="s">
        <v>255</v>
      </c>
      <c r="C34" s="217"/>
      <c r="D34" s="218"/>
      <c r="E34" s="219"/>
      <c r="F34" s="219"/>
      <c r="G34" s="219"/>
      <c r="H34" s="219"/>
      <c r="I34" s="220"/>
      <c r="J34" s="221"/>
      <c r="K34" s="220">
        <f>K26+K32</f>
        <v>95270</v>
      </c>
      <c r="L34" s="161" t="s">
        <v>257</v>
      </c>
      <c r="M34" s="90"/>
      <c r="N34" s="90"/>
      <c r="O34" s="90"/>
      <c r="P34" s="90"/>
      <c r="Q34" s="19"/>
      <c r="R34" s="19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s="3" customFormat="1" ht="18" customHeight="1">
      <c r="A35" s="162">
        <v>24</v>
      </c>
      <c r="B35" s="216" t="s">
        <v>256</v>
      </c>
      <c r="C35" s="217"/>
      <c r="D35" s="218"/>
      <c r="E35" s="219"/>
      <c r="F35" s="219"/>
      <c r="G35" s="219"/>
      <c r="H35" s="219"/>
      <c r="I35" s="220"/>
      <c r="J35" s="221"/>
      <c r="K35" s="220">
        <f>K27+K32</f>
        <v>176270</v>
      </c>
      <c r="L35" s="161" t="s">
        <v>257</v>
      </c>
      <c r="M35" s="90"/>
      <c r="N35" s="90"/>
      <c r="O35" s="90"/>
      <c r="P35" s="90"/>
      <c r="Q35" s="19"/>
      <c r="R35" s="19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s="4" customFormat="1" ht="18" customHeight="1">
      <c r="A36" s="162">
        <v>25</v>
      </c>
      <c r="B36" s="102" t="s">
        <v>407</v>
      </c>
      <c r="C36" s="103"/>
      <c r="D36" s="103"/>
      <c r="E36" s="104"/>
      <c r="F36" s="105"/>
      <c r="G36" s="105"/>
      <c r="H36" s="106"/>
      <c r="I36" s="223" t="s">
        <v>41</v>
      </c>
      <c r="J36" s="223">
        <v>0.7</v>
      </c>
      <c r="K36" s="107">
        <f>(K25+K32)/J36</f>
        <v>111814.28571428572</v>
      </c>
      <c r="L36" s="161" t="s">
        <v>250</v>
      </c>
      <c r="M36" s="90"/>
      <c r="N36" s="90"/>
      <c r="O36" s="90"/>
      <c r="P36" s="90"/>
      <c r="Q36" s="19"/>
      <c r="R36" s="19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s="4" customFormat="1" ht="18" customHeight="1">
      <c r="A37" s="162">
        <v>25</v>
      </c>
      <c r="B37" s="102" t="s">
        <v>408</v>
      </c>
      <c r="C37" s="103"/>
      <c r="D37" s="103"/>
      <c r="E37" s="104"/>
      <c r="F37" s="105"/>
      <c r="G37" s="105"/>
      <c r="H37" s="106"/>
      <c r="I37" s="223" t="s">
        <v>41</v>
      </c>
      <c r="J37" s="223">
        <v>0.7</v>
      </c>
      <c r="K37" s="107">
        <f>(K26+K32)/J37</f>
        <v>136100</v>
      </c>
      <c r="L37" s="161" t="s">
        <v>250</v>
      </c>
      <c r="M37" s="90"/>
      <c r="N37" s="90"/>
      <c r="O37" s="90"/>
      <c r="P37" s="90"/>
      <c r="Q37" s="19"/>
      <c r="R37" s="19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s="4" customFormat="1" ht="18" customHeight="1">
      <c r="A38" s="162">
        <v>25</v>
      </c>
      <c r="B38" s="102" t="s">
        <v>409</v>
      </c>
      <c r="C38" s="103"/>
      <c r="D38" s="103"/>
      <c r="E38" s="104"/>
      <c r="F38" s="105"/>
      <c r="G38" s="105"/>
      <c r="H38" s="106"/>
      <c r="I38" s="223" t="s">
        <v>41</v>
      </c>
      <c r="J38" s="223">
        <v>0.7</v>
      </c>
      <c r="K38" s="107">
        <f>(K27+K32)/J38</f>
        <v>251814.28571428574</v>
      </c>
      <c r="L38" s="161" t="s">
        <v>250</v>
      </c>
      <c r="M38" s="90"/>
      <c r="N38" s="90"/>
      <c r="O38" s="90"/>
      <c r="P38" s="90"/>
      <c r="Q38" s="19"/>
      <c r="R38" s="19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s="4" customFormat="1" ht="18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57"/>
      <c r="M39" s="108"/>
      <c r="N39" s="108"/>
      <c r="O39" s="108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s="4" customFormat="1" ht="18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57"/>
      <c r="M40" s="108"/>
      <c r="N40" s="108"/>
      <c r="O40" s="108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s="4" customFormat="1" ht="18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57"/>
      <c r="M41" s="108"/>
      <c r="N41" s="108"/>
      <c r="O41" s="108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s="4" customFormat="1" ht="18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57"/>
      <c r="M42" s="108"/>
      <c r="N42" s="108"/>
      <c r="O42" s="108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s="4" customFormat="1" ht="18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57"/>
      <c r="M43" s="108"/>
      <c r="N43" s="108"/>
      <c r="O43" s="108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s="4" customFormat="1" ht="18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57"/>
      <c r="M44" s="108"/>
      <c r="N44" s="108"/>
      <c r="O44" s="108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s="4" customFormat="1" ht="18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57"/>
      <c r="M45" s="108"/>
      <c r="N45" s="108"/>
      <c r="O45" s="108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s="4" customFormat="1" ht="18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57"/>
      <c r="M46" s="108"/>
      <c r="N46" s="108"/>
      <c r="O46" s="108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s="4" customFormat="1" ht="12.75">
      <c r="A47" s="10"/>
      <c r="B47" s="10"/>
      <c r="C47" s="10"/>
      <c r="D47" s="109"/>
      <c r="E47" s="10"/>
      <c r="F47" s="10"/>
      <c r="G47" s="10"/>
      <c r="H47" s="10"/>
      <c r="I47" s="10"/>
      <c r="J47" s="10"/>
      <c r="K47" s="10"/>
      <c r="L47" s="108"/>
      <c r="M47" s="108"/>
      <c r="N47" s="108"/>
      <c r="O47" s="108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s="4" customFormat="1" ht="12.7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57"/>
      <c r="M48" s="108"/>
      <c r="N48" s="108"/>
      <c r="O48" s="108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s="4" customFormat="1" ht="12.7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57"/>
      <c r="M49" s="108"/>
      <c r="N49" s="108"/>
      <c r="O49" s="108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s="5" customForma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57"/>
      <c r="M50" s="87"/>
      <c r="N50" s="87"/>
      <c r="O50" s="8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s="5" customForma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57"/>
      <c r="M51" s="87"/>
      <c r="N51" s="87"/>
      <c r="O51" s="87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s="5" customForma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57"/>
      <c r="M52" s="87"/>
      <c r="N52" s="87"/>
      <c r="O52" s="87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</sheetData>
  <mergeCells count="8">
    <mergeCell ref="L16:P16"/>
    <mergeCell ref="L17:P17"/>
    <mergeCell ref="A1:K1"/>
    <mergeCell ref="D3:E3"/>
    <mergeCell ref="F3:H3"/>
    <mergeCell ref="L4:P4"/>
    <mergeCell ref="L13:P13"/>
    <mergeCell ref="L15:P15"/>
  </mergeCells>
  <phoneticPr fontId="7" type="noConversion"/>
  <pageMargins left="0.75" right="0.75" top="1" bottom="1" header="0.5" footer="0.5"/>
  <pageSetup paperSize="9" scale="62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AE52"/>
  <sheetViews>
    <sheetView view="pageBreakPreview" zoomScale="90" zoomScaleNormal="100" zoomScaleSheetLayoutView="90" workbookViewId="0">
      <selection activeCell="N22" sqref="N22"/>
    </sheetView>
  </sheetViews>
  <sheetFormatPr defaultColWidth="8.88671875" defaultRowHeight="13.5"/>
  <cols>
    <col min="1" max="1" width="5.26171875" style="10" customWidth="1"/>
    <col min="2" max="2" width="20.23046875" style="10" bestFit="1" customWidth="1"/>
    <col min="3" max="3" width="14.3828125" style="10" bestFit="1" customWidth="1"/>
    <col min="4" max="4" width="3.7421875" style="10" customWidth="1"/>
    <col min="5" max="5" width="8.30078125" style="10" customWidth="1"/>
    <col min="6" max="6" width="6.1953125" style="10" customWidth="1"/>
    <col min="7" max="7" width="5.73046875" style="10" customWidth="1"/>
    <col min="8" max="8" width="7.25" style="10" customWidth="1"/>
    <col min="9" max="9" width="10.9921875" style="10" customWidth="1"/>
    <col min="10" max="10" width="12.74609375" style="10" bestFit="1" customWidth="1"/>
    <col min="11" max="11" width="18.125" style="10" bestFit="1" customWidth="1"/>
    <col min="12" max="12" width="14.265625" style="157" bestFit="1" customWidth="1"/>
    <col min="13" max="13" width="13.796875" style="87" customWidth="1"/>
    <col min="14" max="14" width="12.16015625" style="87" bestFit="1" customWidth="1"/>
    <col min="15" max="15" width="11.80859375" style="87" customWidth="1"/>
    <col min="16" max="16" width="12.16015625" style="8" bestFit="1" customWidth="1"/>
    <col min="17" max="18" width="15.43359375" style="8" bestFit="1" customWidth="1"/>
    <col min="19" max="31" width="8.88671875" style="8"/>
    <col min="32" max="16384" width="8.88671875" style="2"/>
  </cols>
  <sheetData>
    <row r="1" spans="1:31" ht="24" thickTop="1" thickBot="1">
      <c r="A1" s="336" t="s">
        <v>190</v>
      </c>
      <c r="B1" s="337"/>
      <c r="C1" s="337"/>
      <c r="D1" s="337"/>
      <c r="E1" s="337"/>
      <c r="F1" s="337"/>
      <c r="G1" s="337"/>
      <c r="H1" s="337"/>
      <c r="I1" s="337"/>
      <c r="J1" s="337"/>
      <c r="K1" s="338"/>
      <c r="M1" s="7"/>
    </row>
    <row r="2" spans="1:31" ht="14.45" customHeight="1" thickTop="1" thickBot="1">
      <c r="A2" s="158"/>
      <c r="B2" s="158"/>
      <c r="C2" s="115"/>
      <c r="E2" s="115"/>
      <c r="F2" s="115"/>
      <c r="G2" s="115"/>
    </row>
    <row r="3" spans="1:31" ht="15" thickTop="1" thickBot="1">
      <c r="A3" s="160" t="s">
        <v>191</v>
      </c>
      <c r="B3" s="159" t="s">
        <v>323</v>
      </c>
      <c r="C3" s="160" t="s">
        <v>192</v>
      </c>
      <c r="D3" s="339" t="s">
        <v>193</v>
      </c>
      <c r="E3" s="340"/>
      <c r="F3" s="341" t="s">
        <v>194</v>
      </c>
      <c r="G3" s="339"/>
      <c r="H3" s="339"/>
      <c r="I3" s="159" t="s">
        <v>195</v>
      </c>
      <c r="J3" s="160" t="s">
        <v>197</v>
      </c>
      <c r="K3" s="159" t="s">
        <v>277</v>
      </c>
    </row>
    <row r="4" spans="1:31" ht="19.149999999999999" customHeight="1" thickTop="1" thickBot="1">
      <c r="J4" s="197" t="s">
        <v>332</v>
      </c>
      <c r="K4" s="189">
        <v>280</v>
      </c>
      <c r="L4" s="342" t="s">
        <v>207</v>
      </c>
      <c r="M4" s="343"/>
      <c r="N4" s="343"/>
      <c r="O4" s="343"/>
      <c r="P4" s="343"/>
    </row>
    <row r="5" spans="1:31" s="3" customFormat="1" ht="25.15" customHeight="1" thickTop="1">
      <c r="A5" s="9" t="s">
        <v>1</v>
      </c>
      <c r="B5" s="9" t="s">
        <v>164</v>
      </c>
      <c r="C5" s="88" t="s">
        <v>165</v>
      </c>
      <c r="D5" s="89" t="s">
        <v>166</v>
      </c>
      <c r="E5" s="9" t="s">
        <v>167</v>
      </c>
      <c r="F5" s="9" t="s">
        <v>168</v>
      </c>
      <c r="G5" s="9" t="s">
        <v>169</v>
      </c>
      <c r="H5" s="9" t="s">
        <v>170</v>
      </c>
      <c r="I5" s="123" t="s">
        <v>171</v>
      </c>
      <c r="J5" s="195" t="s">
        <v>172</v>
      </c>
      <c r="K5" s="196" t="s">
        <v>173</v>
      </c>
      <c r="L5" s="90" t="s">
        <v>198</v>
      </c>
      <c r="M5" s="121" t="s">
        <v>199</v>
      </c>
      <c r="N5" s="90" t="s">
        <v>38</v>
      </c>
      <c r="O5" s="90" t="s">
        <v>200</v>
      </c>
      <c r="P5" s="90" t="s">
        <v>201</v>
      </c>
      <c r="Q5" s="90" t="s">
        <v>265</v>
      </c>
      <c r="R5" s="90" t="s">
        <v>266</v>
      </c>
      <c r="S5" s="10"/>
      <c r="T5" s="10" t="s">
        <v>330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s="3" customFormat="1" ht="18" customHeight="1">
      <c r="A6" s="162">
        <v>1</v>
      </c>
      <c r="B6" s="224" t="s">
        <v>181</v>
      </c>
      <c r="C6" s="225">
        <f>COVER!B13</f>
        <v>0</v>
      </c>
      <c r="D6" s="226">
        <v>1</v>
      </c>
      <c r="E6" s="215"/>
      <c r="F6" s="227">
        <v>11</v>
      </c>
      <c r="G6" s="227"/>
      <c r="H6" s="228">
        <f>COVER!C13</f>
        <v>0</v>
      </c>
      <c r="I6" s="229">
        <f>D6*F6*H6</f>
        <v>0</v>
      </c>
      <c r="J6" s="230"/>
      <c r="K6" s="231">
        <f t="shared" ref="K6:K12" si="0">I6+J6</f>
        <v>0</v>
      </c>
      <c r="L6" s="163">
        <v>16000</v>
      </c>
      <c r="M6" s="163">
        <v>24000</v>
      </c>
      <c r="N6" s="163">
        <v>48000</v>
      </c>
      <c r="O6" s="90"/>
      <c r="P6" s="90"/>
      <c r="Q6" s="19"/>
      <c r="R6" s="19"/>
      <c r="S6" s="10"/>
      <c r="T6" s="10">
        <v>9.5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s="3" customFormat="1" ht="18" customHeight="1">
      <c r="A7" s="162">
        <v>1</v>
      </c>
      <c r="B7" s="224" t="s">
        <v>182</v>
      </c>
      <c r="C7" s="225" t="str">
        <f>COVER!B14</f>
        <v>A536 Gr65-45-12</v>
      </c>
      <c r="D7" s="226">
        <v>1</v>
      </c>
      <c r="E7" s="215"/>
      <c r="F7" s="227">
        <v>17.5</v>
      </c>
      <c r="G7" s="227"/>
      <c r="H7" s="228">
        <f>COVER!C14</f>
        <v>3500</v>
      </c>
      <c r="I7" s="229">
        <f>D7*F7*H7</f>
        <v>61250</v>
      </c>
      <c r="J7" s="230"/>
      <c r="K7" s="231">
        <f t="shared" si="0"/>
        <v>61250</v>
      </c>
      <c r="L7" s="163">
        <v>25000</v>
      </c>
      <c r="M7" s="163">
        <v>37500</v>
      </c>
      <c r="N7" s="161"/>
      <c r="O7" s="90"/>
      <c r="P7" s="90"/>
      <c r="Q7" s="19"/>
      <c r="R7" s="19"/>
      <c r="S7" s="10"/>
      <c r="T7" s="10">
        <v>13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s="3" customFormat="1" ht="18" customHeight="1">
      <c r="A8" s="162">
        <v>1</v>
      </c>
      <c r="B8" s="224" t="s">
        <v>183</v>
      </c>
      <c r="C8" s="225">
        <f>COVER!B15</f>
        <v>0</v>
      </c>
      <c r="D8" s="226">
        <v>1</v>
      </c>
      <c r="E8" s="215"/>
      <c r="F8" s="227">
        <v>34</v>
      </c>
      <c r="G8" s="227"/>
      <c r="H8" s="228">
        <f>COVER!C15</f>
        <v>0</v>
      </c>
      <c r="I8" s="229">
        <f>D8*F8*H8</f>
        <v>0</v>
      </c>
      <c r="J8" s="230"/>
      <c r="K8" s="231">
        <f t="shared" si="0"/>
        <v>0</v>
      </c>
      <c r="L8" s="163">
        <v>30000</v>
      </c>
      <c r="M8" s="163">
        <v>45000</v>
      </c>
      <c r="N8" s="161"/>
      <c r="O8" s="90"/>
      <c r="P8" s="90"/>
      <c r="Q8" s="19"/>
      <c r="R8" s="19"/>
      <c r="S8" s="10"/>
      <c r="T8" s="10">
        <v>23.5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s="3" customFormat="1" ht="18" customHeight="1">
      <c r="A9" s="162">
        <v>2</v>
      </c>
      <c r="B9" s="232" t="s">
        <v>2</v>
      </c>
      <c r="C9" s="225" t="str">
        <f>COVER!B16</f>
        <v>A351 CF8M</v>
      </c>
      <c r="D9" s="226">
        <v>1</v>
      </c>
      <c r="E9" s="215"/>
      <c r="F9" s="227">
        <f>IF(COVER!B34="10 BAR",Q9,IF(COVER!B34="16 BAR",R9,IF(COVER!B34="20 BAR",R9)))</f>
        <v>1.6</v>
      </c>
      <c r="G9" s="227"/>
      <c r="H9" s="228">
        <f>COVER!C16</f>
        <v>12000</v>
      </c>
      <c r="I9" s="233">
        <f>D9*F9*H9</f>
        <v>19200</v>
      </c>
      <c r="J9" s="230"/>
      <c r="K9" s="234">
        <f t="shared" si="0"/>
        <v>19200</v>
      </c>
      <c r="L9" s="163">
        <v>5580</v>
      </c>
      <c r="M9" s="163">
        <v>5500</v>
      </c>
      <c r="N9" s="163">
        <v>6000</v>
      </c>
      <c r="O9" s="163">
        <v>13000</v>
      </c>
      <c r="P9" s="161">
        <f>O9*1.25</f>
        <v>16250</v>
      </c>
      <c r="Q9" s="19">
        <v>1.6</v>
      </c>
      <c r="R9" s="19">
        <v>3.2</v>
      </c>
      <c r="S9" s="10"/>
      <c r="T9" s="10">
        <v>1.7</v>
      </c>
      <c r="U9" s="10"/>
      <c r="V9" s="10">
        <f>P9/M9</f>
        <v>2.9545454545454546</v>
      </c>
      <c r="W9" s="10"/>
      <c r="X9" s="10"/>
      <c r="Y9" s="10"/>
      <c r="Z9" s="10"/>
      <c r="AA9" s="10"/>
      <c r="AB9" s="10"/>
      <c r="AC9" s="10"/>
      <c r="AD9" s="10"/>
      <c r="AE9" s="10"/>
    </row>
    <row r="10" spans="1:31" s="3" customFormat="1" ht="18" customHeight="1">
      <c r="A10" s="207">
        <v>3</v>
      </c>
      <c r="B10" s="235" t="s">
        <v>3</v>
      </c>
      <c r="C10" s="236" t="str">
        <f>COVER!B18</f>
        <v>EPDM</v>
      </c>
      <c r="D10" s="214">
        <v>1</v>
      </c>
      <c r="E10" s="215"/>
      <c r="F10" s="227">
        <v>1</v>
      </c>
      <c r="G10" s="227"/>
      <c r="H10" s="228">
        <f>IF(C10="NBR",L10,IF(C10="EPDM",L10,IF(C10="VITON",M10)))</f>
        <v>3795</v>
      </c>
      <c r="I10" s="233">
        <f>H10*F10*D10</f>
        <v>3795</v>
      </c>
      <c r="J10" s="230"/>
      <c r="K10" s="234">
        <f t="shared" si="0"/>
        <v>3795</v>
      </c>
      <c r="L10" s="163">
        <v>3795</v>
      </c>
      <c r="M10" s="163">
        <v>40000</v>
      </c>
      <c r="N10" s="190">
        <v>25000</v>
      </c>
      <c r="O10" s="163">
        <v>8800</v>
      </c>
      <c r="P10" s="163">
        <v>5200</v>
      </c>
      <c r="Q10" s="19"/>
      <c r="R10" s="1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s="3" customFormat="1" ht="18" customHeight="1">
      <c r="A11" s="207">
        <v>4</v>
      </c>
      <c r="B11" s="235" t="s">
        <v>203</v>
      </c>
      <c r="C11" s="214" t="str">
        <f>COVER!B17</f>
        <v>A564T630</v>
      </c>
      <c r="D11" s="214">
        <v>1</v>
      </c>
      <c r="E11" s="215"/>
      <c r="F11" s="237">
        <v>0.77</v>
      </c>
      <c r="G11" s="238"/>
      <c r="H11" s="228">
        <f>COVER!C17</f>
        <v>10000</v>
      </c>
      <c r="I11" s="233">
        <f>D11*F11*H11</f>
        <v>7700</v>
      </c>
      <c r="J11" s="233"/>
      <c r="K11" s="234">
        <f t="shared" si="0"/>
        <v>7700</v>
      </c>
      <c r="L11" s="163" t="s">
        <v>268</v>
      </c>
      <c r="M11" s="163">
        <v>3000</v>
      </c>
      <c r="N11" s="90">
        <v>1350</v>
      </c>
      <c r="O11" s="90"/>
      <c r="P11" s="90"/>
      <c r="Q11" s="18">
        <v>0.77</v>
      </c>
      <c r="R11" s="18"/>
      <c r="S11" s="108"/>
      <c r="T11" s="10">
        <v>0.7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s="3" customFormat="1" ht="18" customHeight="1">
      <c r="A12" s="207">
        <v>5</v>
      </c>
      <c r="B12" s="235" t="s">
        <v>184</v>
      </c>
      <c r="C12" s="214" t="str">
        <f>COVER!B19</f>
        <v>NBR</v>
      </c>
      <c r="D12" s="214">
        <v>1</v>
      </c>
      <c r="E12" s="215"/>
      <c r="F12" s="237">
        <v>1</v>
      </c>
      <c r="G12" s="227"/>
      <c r="H12" s="230">
        <f>IF(C12="NBR",L12+N12,IF(C12="EPDM",L12+N12,IF(C12="VITON",M12+N12)))</f>
        <v>310</v>
      </c>
      <c r="I12" s="233">
        <f>D12*F12*H12</f>
        <v>310</v>
      </c>
      <c r="J12" s="233"/>
      <c r="K12" s="234">
        <f t="shared" si="0"/>
        <v>310</v>
      </c>
      <c r="L12" s="163">
        <v>130</v>
      </c>
      <c r="M12" s="163">
        <v>1090</v>
      </c>
      <c r="N12" s="163">
        <v>180</v>
      </c>
      <c r="O12" s="90"/>
      <c r="P12" s="90"/>
      <c r="Q12" s="19"/>
      <c r="R12" s="19"/>
      <c r="S12" s="10"/>
      <c r="T12" s="10"/>
      <c r="U12" s="10"/>
      <c r="V12" s="10">
        <f>M9/L9</f>
        <v>0.98566308243727596</v>
      </c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s="3" customFormat="1" ht="18" customHeight="1">
      <c r="A13" s="207">
        <v>6</v>
      </c>
      <c r="B13" s="235" t="s">
        <v>163</v>
      </c>
      <c r="C13" s="214"/>
      <c r="D13" s="214">
        <v>0</v>
      </c>
      <c r="E13" s="215"/>
      <c r="F13" s="227"/>
      <c r="G13" s="227"/>
      <c r="H13" s="228"/>
      <c r="I13" s="233"/>
      <c r="J13" s="233"/>
      <c r="K13" s="234"/>
      <c r="L13" s="344" t="s">
        <v>202</v>
      </c>
      <c r="M13" s="345"/>
      <c r="N13" s="345"/>
      <c r="O13" s="345"/>
      <c r="P13" s="346"/>
      <c r="Q13" s="19"/>
      <c r="R13" s="19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s="3" customFormat="1" ht="18" customHeight="1">
      <c r="A14" s="207">
        <v>7</v>
      </c>
      <c r="B14" s="235" t="s">
        <v>4</v>
      </c>
      <c r="C14" s="214" t="str">
        <f>C11</f>
        <v>A564T630</v>
      </c>
      <c r="D14" s="214">
        <v>2</v>
      </c>
      <c r="E14" s="215"/>
      <c r="F14" s="237">
        <v>1</v>
      </c>
      <c r="G14" s="227"/>
      <c r="H14" s="228">
        <f>L14</f>
        <v>1900</v>
      </c>
      <c r="I14" s="233">
        <f>D14*F14*H14</f>
        <v>3800</v>
      </c>
      <c r="J14" s="233"/>
      <c r="K14" s="234">
        <f>I14+J14</f>
        <v>3800</v>
      </c>
      <c r="L14" s="163">
        <v>1900</v>
      </c>
      <c r="M14" s="90"/>
      <c r="N14" s="90"/>
      <c r="O14" s="90"/>
      <c r="P14" s="90"/>
      <c r="Q14" s="19"/>
      <c r="R14" s="19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s="3" customFormat="1" ht="18" customHeight="1">
      <c r="A15" s="207">
        <v>8</v>
      </c>
      <c r="B15" s="235" t="s">
        <v>386</v>
      </c>
      <c r="C15" s="214" t="str">
        <f>COVER!B22</f>
        <v>BODY MATERIAL</v>
      </c>
      <c r="D15" s="214">
        <v>0</v>
      </c>
      <c r="E15" s="215"/>
      <c r="F15" s="215"/>
      <c r="G15" s="227"/>
      <c r="H15" s="228"/>
      <c r="I15" s="233"/>
      <c r="J15" s="233"/>
      <c r="K15" s="234"/>
      <c r="L15" s="344" t="s">
        <v>202</v>
      </c>
      <c r="M15" s="345"/>
      <c r="N15" s="345"/>
      <c r="O15" s="345"/>
      <c r="P15" s="346"/>
      <c r="Q15" s="164"/>
      <c r="R15" s="164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s="3" customFormat="1" ht="18" customHeight="1">
      <c r="A16" s="207">
        <v>9</v>
      </c>
      <c r="B16" s="235" t="s">
        <v>217</v>
      </c>
      <c r="C16" s="214" t="str">
        <f>COVER!B23</f>
        <v>B8M</v>
      </c>
      <c r="D16" s="214">
        <v>0</v>
      </c>
      <c r="E16" s="215"/>
      <c r="F16" s="239"/>
      <c r="G16" s="227"/>
      <c r="H16" s="228"/>
      <c r="I16" s="233"/>
      <c r="J16" s="233"/>
      <c r="K16" s="234"/>
      <c r="L16" s="344" t="s">
        <v>202</v>
      </c>
      <c r="M16" s="345"/>
      <c r="N16" s="345"/>
      <c r="O16" s="345"/>
      <c r="P16" s="346"/>
      <c r="Q16" s="19"/>
      <c r="R16" s="19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s="3" customFormat="1" ht="18" customHeight="1">
      <c r="A17" s="207">
        <v>10</v>
      </c>
      <c r="B17" s="235" t="s">
        <v>221</v>
      </c>
      <c r="C17" s="214" t="str">
        <f>COVER!B24</f>
        <v>ALBC2</v>
      </c>
      <c r="D17" s="214">
        <v>0</v>
      </c>
      <c r="E17" s="215"/>
      <c r="F17" s="239"/>
      <c r="G17" s="227"/>
      <c r="H17" s="228"/>
      <c r="I17" s="233"/>
      <c r="J17" s="233"/>
      <c r="K17" s="234"/>
      <c r="L17" s="344" t="s">
        <v>202</v>
      </c>
      <c r="M17" s="345"/>
      <c r="N17" s="345"/>
      <c r="O17" s="345"/>
      <c r="P17" s="346"/>
      <c r="Q17" s="202"/>
      <c r="R17" s="19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s="3" customFormat="1" ht="18" customHeight="1">
      <c r="A18" s="207">
        <v>11</v>
      </c>
      <c r="B18" s="235" t="s">
        <v>187</v>
      </c>
      <c r="C18" s="214" t="s">
        <v>352</v>
      </c>
      <c r="D18" s="214">
        <v>1</v>
      </c>
      <c r="E18" s="215"/>
      <c r="F18" s="239"/>
      <c r="G18" s="227"/>
      <c r="H18" s="228">
        <f>M18</f>
        <v>1300</v>
      </c>
      <c r="I18" s="233">
        <f>H18*D18</f>
        <v>1300</v>
      </c>
      <c r="J18" s="233"/>
      <c r="K18" s="234">
        <f t="shared" ref="K18:K22" si="1">I18+J18</f>
        <v>1300</v>
      </c>
      <c r="L18" s="90" t="s">
        <v>354</v>
      </c>
      <c r="M18" s="163">
        <v>1300</v>
      </c>
      <c r="N18" s="90"/>
      <c r="O18" s="90"/>
      <c r="P18" s="90"/>
      <c r="Q18" s="203" t="s">
        <v>379</v>
      </c>
      <c r="R18" s="165"/>
      <c r="S18" s="145"/>
      <c r="T18" s="145"/>
      <c r="U18" s="145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s="3" customFormat="1" ht="18" customHeight="1">
      <c r="A19" s="207">
        <v>12</v>
      </c>
      <c r="B19" s="235" t="s">
        <v>189</v>
      </c>
      <c r="C19" s="214" t="str">
        <f>COVER!B26</f>
        <v>B8M</v>
      </c>
      <c r="D19" s="214">
        <v>2</v>
      </c>
      <c r="E19" s="215"/>
      <c r="F19" s="239"/>
      <c r="G19" s="227"/>
      <c r="H19" s="230">
        <f>IF(C19="B8",M19,IF(C19="B8M",N19))</f>
        <v>200</v>
      </c>
      <c r="I19" s="240">
        <f>H19*D19</f>
        <v>400</v>
      </c>
      <c r="J19" s="233"/>
      <c r="K19" s="234">
        <f t="shared" si="1"/>
        <v>400</v>
      </c>
      <c r="L19" s="90"/>
      <c r="M19" s="163">
        <v>200</v>
      </c>
      <c r="N19" s="163">
        <v>200</v>
      </c>
      <c r="O19" s="90"/>
      <c r="P19" s="90"/>
      <c r="Q19" s="204" t="s">
        <v>381</v>
      </c>
      <c r="R19" s="19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s="3" customFormat="1" ht="18" customHeight="1">
      <c r="A20" s="207">
        <v>13</v>
      </c>
      <c r="B20" s="235" t="s">
        <v>188</v>
      </c>
      <c r="C20" s="214" t="str">
        <f>COVER!B27</f>
        <v>B8M</v>
      </c>
      <c r="D20" s="214">
        <v>4</v>
      </c>
      <c r="E20" s="215"/>
      <c r="F20" s="239"/>
      <c r="G20" s="227"/>
      <c r="H20" s="228">
        <f>IF(C20="B8",M20,IF(C20="B8M",N20,IF(C20="B7(다크로)",O20)))</f>
        <v>400</v>
      </c>
      <c r="I20" s="233">
        <f>H20*D20</f>
        <v>1600</v>
      </c>
      <c r="J20" s="233"/>
      <c r="K20" s="234">
        <f t="shared" si="1"/>
        <v>1600</v>
      </c>
      <c r="L20" s="163" t="s">
        <v>387</v>
      </c>
      <c r="M20" s="163">
        <v>350</v>
      </c>
      <c r="N20" s="163">
        <v>400</v>
      </c>
      <c r="O20" s="163">
        <v>300</v>
      </c>
      <c r="P20" s="90"/>
      <c r="Q20" s="204" t="s">
        <v>385</v>
      </c>
      <c r="R20" s="19"/>
      <c r="S20" s="10"/>
      <c r="T20" s="10">
        <v>182420</v>
      </c>
      <c r="U20" s="10">
        <f>T20/0.7</f>
        <v>260600.00000000003</v>
      </c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s="3" customFormat="1" ht="18" customHeight="1">
      <c r="A21" s="207">
        <v>14</v>
      </c>
      <c r="B21" s="235" t="s">
        <v>5</v>
      </c>
      <c r="C21" s="214" t="str">
        <f>COVER!C35</f>
        <v>SUS304</v>
      </c>
      <c r="D21" s="214">
        <v>1</v>
      </c>
      <c r="E21" s="215"/>
      <c r="F21" s="239"/>
      <c r="G21" s="227"/>
      <c r="H21" s="228">
        <f>IF(C21="SS400",L21,IF(C21="SUS304",M21))</f>
        <v>17000</v>
      </c>
      <c r="I21" s="233">
        <f>H21*D21</f>
        <v>17000</v>
      </c>
      <c r="J21" s="241"/>
      <c r="K21" s="234">
        <f t="shared" si="1"/>
        <v>17000</v>
      </c>
      <c r="L21" s="163">
        <v>5800</v>
      </c>
      <c r="M21" s="163">
        <v>17000</v>
      </c>
      <c r="N21" s="90"/>
      <c r="O21" s="90"/>
      <c r="P21" s="90"/>
      <c r="Q21" s="19"/>
      <c r="R21" s="19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s="3" customFormat="1" ht="18" customHeight="1">
      <c r="A22" s="207">
        <v>15</v>
      </c>
      <c r="B22" s="235" t="s">
        <v>6</v>
      </c>
      <c r="C22" s="214" t="str">
        <f>COVER!B34</f>
        <v>10 BAR</v>
      </c>
      <c r="D22" s="214">
        <v>1</v>
      </c>
      <c r="E22" s="215"/>
      <c r="F22" s="239"/>
      <c r="G22" s="242"/>
      <c r="H22" s="228"/>
      <c r="I22" s="233">
        <f>IF(C22="10 BAR",M22,IF(C22="16 BAR",N22,IF(C22="20 BAR",O22)))</f>
        <v>98000</v>
      </c>
      <c r="J22" s="241"/>
      <c r="K22" s="234">
        <f t="shared" si="1"/>
        <v>98000</v>
      </c>
      <c r="L22" s="90"/>
      <c r="M22" s="163">
        <v>98000</v>
      </c>
      <c r="N22" s="163">
        <v>98000</v>
      </c>
      <c r="O22" s="163">
        <v>98000</v>
      </c>
      <c r="P22" s="90"/>
      <c r="Q22" s="19"/>
      <c r="R22" s="19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s="3" customFormat="1" ht="18" customHeight="1">
      <c r="A23" s="207">
        <v>16</v>
      </c>
      <c r="B23" s="235" t="s">
        <v>7</v>
      </c>
      <c r="C23" s="214" t="str">
        <f>COVER!B32</f>
        <v>기존 단가</v>
      </c>
      <c r="D23" s="214">
        <v>1</v>
      </c>
      <c r="E23" s="215"/>
      <c r="F23" s="239"/>
      <c r="G23" s="242"/>
      <c r="H23" s="228">
        <f>IF(COVER!B9="APPLICATION",0,IF(COVER!B32="기존 단가",L23,IF(COVER!B32="외주 2COATING",M23,IF(COVER!B32="외주 3COATING",N23))))</f>
        <v>10500</v>
      </c>
      <c r="I23" s="233">
        <f>H23</f>
        <v>10500</v>
      </c>
      <c r="J23" s="233"/>
      <c r="K23" s="234"/>
      <c r="L23" s="163">
        <v>10500</v>
      </c>
      <c r="M23" s="163">
        <f>IF(H6&gt;0,F6*520,IF(H7&gt;0,F7*520,IF(H8&gt;0,F8*520)))</f>
        <v>9100</v>
      </c>
      <c r="N23" s="163">
        <f>IF(H6&gt;0,F6*620,IF(H7&gt;0,F7*620,IF(H8&gt;0,F8*620)))</f>
        <v>10850</v>
      </c>
      <c r="O23" s="90"/>
      <c r="P23" s="182"/>
      <c r="Q23" s="19"/>
      <c r="R23" s="19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s="3" customFormat="1" ht="18" customHeight="1">
      <c r="A24" s="207">
        <v>17</v>
      </c>
      <c r="B24" s="235" t="s">
        <v>174</v>
      </c>
      <c r="C24" s="214"/>
      <c r="D24" s="214">
        <v>1</v>
      </c>
      <c r="E24" s="215"/>
      <c r="F24" s="239"/>
      <c r="G24" s="242"/>
      <c r="H24" s="228">
        <f>IF(COVER!B9="APPLICATION",0,IF(COVER!B9="N/A",L24))</f>
        <v>10500</v>
      </c>
      <c r="I24" s="233">
        <f>H24</f>
        <v>10500</v>
      </c>
      <c r="J24" s="234"/>
      <c r="K24" s="234"/>
      <c r="L24" s="211">
        <v>10500</v>
      </c>
      <c r="M24" s="90"/>
      <c r="N24" s="90"/>
      <c r="O24" s="90"/>
      <c r="P24" s="90"/>
      <c r="Q24" s="19"/>
      <c r="R24" s="19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s="3" customFormat="1" ht="18" customHeight="1">
      <c r="A25" s="207">
        <v>18</v>
      </c>
      <c r="B25" s="97" t="s">
        <v>175</v>
      </c>
      <c r="C25" s="14"/>
      <c r="D25" s="14"/>
      <c r="E25" s="15"/>
      <c r="F25" s="15"/>
      <c r="G25" s="15"/>
      <c r="H25" s="15"/>
      <c r="I25" s="98"/>
      <c r="J25" s="98"/>
      <c r="K25" s="16">
        <f>SUM(K6:K20)+SUM(K23:K24)</f>
        <v>99355</v>
      </c>
      <c r="L25" s="161" t="s">
        <v>248</v>
      </c>
      <c r="M25" s="90"/>
      <c r="N25" s="90"/>
      <c r="O25" s="90"/>
      <c r="P25" s="90"/>
      <c r="Q25" s="19"/>
      <c r="R25" s="19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s="3" customFormat="1" ht="18" customHeight="1">
      <c r="A26" s="207">
        <v>18</v>
      </c>
      <c r="B26" s="97" t="s">
        <v>176</v>
      </c>
      <c r="C26" s="14"/>
      <c r="D26" s="14"/>
      <c r="E26" s="15"/>
      <c r="F26" s="15"/>
      <c r="G26" s="15"/>
      <c r="H26" s="15"/>
      <c r="I26" s="98"/>
      <c r="J26" s="98"/>
      <c r="K26" s="16">
        <f>SUM(K6:K21)+SUM(K23:K24)</f>
        <v>116355</v>
      </c>
      <c r="L26" s="161" t="s">
        <v>248</v>
      </c>
      <c r="M26" s="90"/>
      <c r="N26" s="90"/>
      <c r="O26" s="90"/>
      <c r="P26" s="90"/>
      <c r="Q26" s="19"/>
      <c r="R26" s="19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s="3" customFormat="1" ht="18" customHeight="1">
      <c r="A27" s="207">
        <v>18</v>
      </c>
      <c r="B27" s="97" t="s">
        <v>177</v>
      </c>
      <c r="C27" s="14"/>
      <c r="D27" s="14"/>
      <c r="E27" s="15"/>
      <c r="F27" s="15"/>
      <c r="G27" s="15"/>
      <c r="H27" s="15"/>
      <c r="I27" s="98"/>
      <c r="J27" s="98"/>
      <c r="K27" s="16">
        <f>SUM(K6:K20)+SUM(K22:K24)</f>
        <v>197355</v>
      </c>
      <c r="L27" s="161" t="s">
        <v>248</v>
      </c>
      <c r="M27" s="90"/>
      <c r="N27" s="90"/>
      <c r="O27" s="90"/>
      <c r="P27" s="90"/>
      <c r="Q27" s="19"/>
      <c r="R27" s="19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s="3" customFormat="1" ht="18" customHeight="1">
      <c r="A28" s="207">
        <v>19</v>
      </c>
      <c r="B28" s="235" t="s">
        <v>237</v>
      </c>
      <c r="C28" s="214" t="str">
        <f>COVER!B28</f>
        <v>REQUIRED</v>
      </c>
      <c r="D28" s="214">
        <v>0</v>
      </c>
      <c r="E28" s="215"/>
      <c r="F28" s="239"/>
      <c r="G28" s="215"/>
      <c r="H28" s="233">
        <f>IF(C28="REQUIRED",L28,IF(C28="N/A",0))</f>
        <v>6000</v>
      </c>
      <c r="I28" s="233">
        <f>H28</f>
        <v>6000</v>
      </c>
      <c r="J28" s="215"/>
      <c r="K28" s="234"/>
      <c r="L28" s="163">
        <v>6000</v>
      </c>
      <c r="M28" s="90"/>
      <c r="N28" s="90"/>
      <c r="O28" s="90"/>
      <c r="P28" s="90"/>
      <c r="Q28" s="19"/>
      <c r="R28" s="19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s="3" customFormat="1" ht="18" customHeight="1">
      <c r="A29" s="207">
        <v>20</v>
      </c>
      <c r="B29" s="235" t="s">
        <v>180</v>
      </c>
      <c r="C29" s="214"/>
      <c r="D29" s="214">
        <v>0</v>
      </c>
      <c r="E29" s="215"/>
      <c r="F29" s="239"/>
      <c r="G29" s="215"/>
      <c r="H29" s="215"/>
      <c r="I29" s="215"/>
      <c r="J29" s="215"/>
      <c r="K29" s="234"/>
      <c r="L29" s="161"/>
      <c r="M29" s="90"/>
      <c r="N29" s="90"/>
      <c r="O29" s="90"/>
      <c r="P29" s="90"/>
      <c r="Q29" s="19"/>
      <c r="R29" s="19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s="3" customFormat="1" ht="18" customHeight="1">
      <c r="A30" s="207">
        <v>21</v>
      </c>
      <c r="B30" s="235" t="s">
        <v>178</v>
      </c>
      <c r="C30" s="214" t="str">
        <f>COVER!B35</f>
        <v>MOTOR</v>
      </c>
      <c r="D30" s="214">
        <v>1</v>
      </c>
      <c r="E30" s="215"/>
      <c r="F30" s="239"/>
      <c r="G30" s="215"/>
      <c r="H30" s="233">
        <f>IF(COVER!B9="APPLICATION",0,IF(COVER!B35="BARE",M30,(IF(COVER!B35="LEVER",M30,IF(COVER!B35="GEAR",N30,IF(COVER!B35="MOTOR",O30))))))</f>
        <v>50000</v>
      </c>
      <c r="I30" s="234">
        <f>H30</f>
        <v>50000</v>
      </c>
      <c r="J30" s="215"/>
      <c r="K30" s="234"/>
      <c r="L30" s="163">
        <v>15000</v>
      </c>
      <c r="M30" s="163">
        <v>5000</v>
      </c>
      <c r="N30" s="163">
        <v>5000</v>
      </c>
      <c r="O30" s="163">
        <v>50000</v>
      </c>
      <c r="P30" s="90"/>
      <c r="Q30" s="19"/>
      <c r="R30" s="19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s="3" customFormat="1" ht="18" customHeight="1">
      <c r="A31" s="207">
        <v>22</v>
      </c>
      <c r="B31" s="235"/>
      <c r="C31" s="214"/>
      <c r="D31" s="214"/>
      <c r="E31" s="215"/>
      <c r="F31" s="239"/>
      <c r="G31" s="215"/>
      <c r="H31" s="215"/>
      <c r="I31" s="215"/>
      <c r="J31" s="215"/>
      <c r="K31" s="234"/>
      <c r="L31" s="161"/>
      <c r="M31" s="90"/>
      <c r="N31" s="90"/>
      <c r="O31" s="90"/>
      <c r="P31" s="90"/>
      <c r="Q31" s="19"/>
      <c r="R31" s="19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s="3" customFormat="1" ht="18" customHeight="1">
      <c r="A32" s="207">
        <v>23</v>
      </c>
      <c r="B32" s="89" t="s">
        <v>179</v>
      </c>
      <c r="C32" s="14"/>
      <c r="D32" s="99"/>
      <c r="E32" s="15"/>
      <c r="F32" s="15"/>
      <c r="G32" s="15"/>
      <c r="H32" s="15"/>
      <c r="I32" s="100"/>
      <c r="J32" s="101"/>
      <c r="K32" s="100">
        <f>SUM(K28:K31)</f>
        <v>0</v>
      </c>
      <c r="L32" s="161" t="s">
        <v>249</v>
      </c>
      <c r="M32" s="90"/>
      <c r="N32" s="90"/>
      <c r="O32" s="90"/>
      <c r="P32" s="90"/>
      <c r="Q32" s="19"/>
      <c r="R32" s="19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s="3" customFormat="1" ht="18" customHeight="1">
      <c r="A33" s="162">
        <v>24</v>
      </c>
      <c r="B33" s="216" t="s">
        <v>252</v>
      </c>
      <c r="C33" s="217"/>
      <c r="D33" s="218"/>
      <c r="E33" s="219"/>
      <c r="F33" s="219"/>
      <c r="G33" s="219"/>
      <c r="H33" s="219"/>
      <c r="I33" s="220"/>
      <c r="J33" s="221"/>
      <c r="K33" s="220">
        <f>K25+K32</f>
        <v>99355</v>
      </c>
      <c r="L33" s="161" t="s">
        <v>257</v>
      </c>
      <c r="M33" s="90"/>
      <c r="N33" s="90"/>
      <c r="O33" s="90"/>
      <c r="P33" s="90"/>
      <c r="Q33" s="19"/>
      <c r="R33" s="19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s="3" customFormat="1" ht="18" customHeight="1">
      <c r="A34" s="162">
        <v>24</v>
      </c>
      <c r="B34" s="216" t="s">
        <v>255</v>
      </c>
      <c r="C34" s="217"/>
      <c r="D34" s="218"/>
      <c r="E34" s="219"/>
      <c r="F34" s="219"/>
      <c r="G34" s="219"/>
      <c r="H34" s="219"/>
      <c r="I34" s="220"/>
      <c r="J34" s="221"/>
      <c r="K34" s="220">
        <f>K26+K32</f>
        <v>116355</v>
      </c>
      <c r="L34" s="161" t="s">
        <v>257</v>
      </c>
      <c r="M34" s="90"/>
      <c r="N34" s="90"/>
      <c r="O34" s="90"/>
      <c r="P34" s="90"/>
      <c r="Q34" s="19"/>
      <c r="R34" s="19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s="3" customFormat="1" ht="18" customHeight="1">
      <c r="A35" s="162">
        <v>24</v>
      </c>
      <c r="B35" s="216" t="s">
        <v>256</v>
      </c>
      <c r="C35" s="217"/>
      <c r="D35" s="218"/>
      <c r="E35" s="219"/>
      <c r="F35" s="219"/>
      <c r="G35" s="219"/>
      <c r="H35" s="219"/>
      <c r="I35" s="220"/>
      <c r="J35" s="221"/>
      <c r="K35" s="220">
        <f>K27+K32</f>
        <v>197355</v>
      </c>
      <c r="L35" s="161" t="s">
        <v>257</v>
      </c>
      <c r="M35" s="90"/>
      <c r="N35" s="90"/>
      <c r="O35" s="90"/>
      <c r="P35" s="90"/>
      <c r="Q35" s="19"/>
      <c r="R35" s="19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s="4" customFormat="1" ht="18" customHeight="1">
      <c r="A36" s="162">
        <v>25</v>
      </c>
      <c r="B36" s="102" t="s">
        <v>407</v>
      </c>
      <c r="C36" s="103"/>
      <c r="D36" s="103"/>
      <c r="E36" s="104"/>
      <c r="F36" s="105"/>
      <c r="G36" s="105"/>
      <c r="H36" s="106"/>
      <c r="I36" s="223" t="s">
        <v>41</v>
      </c>
      <c r="J36" s="223">
        <v>0.7</v>
      </c>
      <c r="K36" s="107">
        <f>(K25+K32)/J36</f>
        <v>141935.71428571429</v>
      </c>
      <c r="L36" s="161" t="s">
        <v>250</v>
      </c>
      <c r="M36" s="90"/>
      <c r="N36" s="90"/>
      <c r="O36" s="90"/>
      <c r="P36" s="90"/>
      <c r="Q36" s="19"/>
      <c r="R36" s="19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s="4" customFormat="1" ht="18" customHeight="1">
      <c r="A37" s="162">
        <v>25</v>
      </c>
      <c r="B37" s="102" t="s">
        <v>408</v>
      </c>
      <c r="C37" s="103"/>
      <c r="D37" s="103"/>
      <c r="E37" s="104"/>
      <c r="F37" s="105"/>
      <c r="G37" s="105"/>
      <c r="H37" s="106"/>
      <c r="I37" s="223" t="s">
        <v>41</v>
      </c>
      <c r="J37" s="223">
        <v>0.7</v>
      </c>
      <c r="K37" s="107">
        <f>(K26+K32)/J37</f>
        <v>166221.42857142858</v>
      </c>
      <c r="L37" s="161" t="s">
        <v>250</v>
      </c>
      <c r="M37" s="90"/>
      <c r="N37" s="90"/>
      <c r="O37" s="90"/>
      <c r="P37" s="90"/>
      <c r="Q37" s="19"/>
      <c r="R37" s="19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s="4" customFormat="1" ht="18" customHeight="1">
      <c r="A38" s="162">
        <v>25</v>
      </c>
      <c r="B38" s="102" t="s">
        <v>409</v>
      </c>
      <c r="C38" s="103"/>
      <c r="D38" s="103"/>
      <c r="E38" s="104"/>
      <c r="F38" s="105"/>
      <c r="G38" s="105"/>
      <c r="H38" s="106"/>
      <c r="I38" s="223" t="s">
        <v>41</v>
      </c>
      <c r="J38" s="223">
        <v>0.7</v>
      </c>
      <c r="K38" s="107">
        <f>(K27+K32)/J38</f>
        <v>281935.71428571432</v>
      </c>
      <c r="L38" s="161" t="s">
        <v>250</v>
      </c>
      <c r="M38" s="90"/>
      <c r="N38" s="90"/>
      <c r="O38" s="90"/>
      <c r="P38" s="90"/>
      <c r="Q38" s="19"/>
      <c r="R38" s="19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s="4" customFormat="1" ht="18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57"/>
      <c r="M39" s="108"/>
      <c r="N39" s="108"/>
      <c r="O39" s="108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s="4" customFormat="1" ht="18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57"/>
      <c r="M40" s="108"/>
      <c r="N40" s="108"/>
      <c r="O40" s="108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s="4" customFormat="1" ht="18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57"/>
      <c r="M41" s="108"/>
      <c r="N41" s="108"/>
      <c r="O41" s="108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s="4" customFormat="1" ht="18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57"/>
      <c r="M42" s="108"/>
      <c r="N42" s="108"/>
      <c r="O42" s="108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s="4" customFormat="1" ht="18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57"/>
      <c r="M43" s="108"/>
      <c r="N43" s="108"/>
      <c r="O43" s="108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s="4" customFormat="1" ht="18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57"/>
      <c r="M44" s="108"/>
      <c r="N44" s="108"/>
      <c r="O44" s="108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s="4" customFormat="1" ht="18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57"/>
      <c r="M45" s="108"/>
      <c r="N45" s="108"/>
      <c r="O45" s="108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s="4" customFormat="1" ht="18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57"/>
      <c r="M46" s="108"/>
      <c r="N46" s="108"/>
      <c r="O46" s="108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s="4" customFormat="1" ht="12.75">
      <c r="A47" s="10"/>
      <c r="B47" s="10"/>
      <c r="C47" s="10"/>
      <c r="D47" s="109"/>
      <c r="E47" s="10"/>
      <c r="F47" s="10"/>
      <c r="G47" s="10"/>
      <c r="H47" s="10"/>
      <c r="I47" s="10"/>
      <c r="J47" s="10"/>
      <c r="K47" s="10"/>
      <c r="L47" s="108"/>
      <c r="M47" s="108"/>
      <c r="N47" s="108"/>
      <c r="O47" s="108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s="4" customFormat="1" ht="12.7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57"/>
      <c r="M48" s="108"/>
      <c r="N48" s="108"/>
      <c r="O48" s="108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s="4" customFormat="1" ht="12.7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57"/>
      <c r="M49" s="108"/>
      <c r="N49" s="108"/>
      <c r="O49" s="108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s="5" customForma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57"/>
      <c r="M50" s="87"/>
      <c r="N50" s="87"/>
      <c r="O50" s="8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s="5" customForma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57"/>
      <c r="M51" s="87"/>
      <c r="N51" s="87"/>
      <c r="O51" s="87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s="5" customForma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57"/>
      <c r="M52" s="87"/>
      <c r="N52" s="87"/>
      <c r="O52" s="87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</sheetData>
  <mergeCells count="8">
    <mergeCell ref="L16:P16"/>
    <mergeCell ref="L17:P17"/>
    <mergeCell ref="A1:K1"/>
    <mergeCell ref="D3:E3"/>
    <mergeCell ref="F3:H3"/>
    <mergeCell ref="L4:P4"/>
    <mergeCell ref="L13:P13"/>
    <mergeCell ref="L15:P15"/>
  </mergeCells>
  <phoneticPr fontId="7" type="noConversion"/>
  <pageMargins left="0.75" right="0.75" top="1" bottom="1" header="0.5" footer="0.5"/>
  <pageSetup paperSize="9" scale="62" orientation="portrait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AE52"/>
  <sheetViews>
    <sheetView view="pageBreakPreview" topLeftCell="B1" zoomScale="85" zoomScaleNormal="100" zoomScaleSheetLayoutView="85" workbookViewId="0">
      <selection activeCell="K25" sqref="K25"/>
    </sheetView>
  </sheetViews>
  <sheetFormatPr defaultColWidth="8.88671875" defaultRowHeight="13.5"/>
  <cols>
    <col min="1" max="1" width="5.26171875" style="10" customWidth="1"/>
    <col min="2" max="2" width="20.23046875" style="10" bestFit="1" customWidth="1"/>
    <col min="3" max="3" width="14.3828125" style="10" bestFit="1" customWidth="1"/>
    <col min="4" max="4" width="3.7421875" style="10" customWidth="1"/>
    <col min="5" max="5" width="8.30078125" style="10" customWidth="1"/>
    <col min="6" max="6" width="6.1953125" style="10" customWidth="1"/>
    <col min="7" max="7" width="5.73046875" style="10" customWidth="1"/>
    <col min="8" max="8" width="7.25" style="10" customWidth="1"/>
    <col min="9" max="9" width="10.9921875" style="10" customWidth="1"/>
    <col min="10" max="10" width="12.74609375" style="10" bestFit="1" customWidth="1"/>
    <col min="11" max="11" width="18.125" style="10" bestFit="1" customWidth="1"/>
    <col min="12" max="12" width="14.265625" style="157" bestFit="1" customWidth="1"/>
    <col min="13" max="13" width="13.796875" style="87" customWidth="1"/>
    <col min="14" max="14" width="12.16015625" style="87" bestFit="1" customWidth="1"/>
    <col min="15" max="15" width="9.703125" style="87" customWidth="1"/>
    <col min="16" max="16" width="12.16015625" style="8" bestFit="1" customWidth="1"/>
    <col min="17" max="18" width="15.43359375" style="8" bestFit="1" customWidth="1"/>
    <col min="19" max="31" width="8.88671875" style="8"/>
    <col min="32" max="16384" width="8.88671875" style="2"/>
  </cols>
  <sheetData>
    <row r="1" spans="1:31" ht="24" thickTop="1" thickBot="1">
      <c r="A1" s="336" t="s">
        <v>190</v>
      </c>
      <c r="B1" s="337"/>
      <c r="C1" s="337"/>
      <c r="D1" s="337"/>
      <c r="E1" s="337"/>
      <c r="F1" s="337"/>
      <c r="G1" s="337"/>
      <c r="H1" s="337"/>
      <c r="I1" s="337"/>
      <c r="J1" s="337"/>
      <c r="K1" s="338"/>
      <c r="M1" s="7"/>
    </row>
    <row r="2" spans="1:31" ht="14.45" customHeight="1" thickTop="1" thickBot="1">
      <c r="A2" s="158"/>
      <c r="B2" s="158"/>
      <c r="C2" s="115"/>
      <c r="E2" s="115"/>
      <c r="F2" s="115"/>
      <c r="G2" s="115"/>
    </row>
    <row r="3" spans="1:31" ht="15" thickTop="1" thickBot="1">
      <c r="A3" s="160" t="s">
        <v>191</v>
      </c>
      <c r="B3" s="159" t="s">
        <v>324</v>
      </c>
      <c r="C3" s="160" t="s">
        <v>192</v>
      </c>
      <c r="D3" s="339" t="s">
        <v>193</v>
      </c>
      <c r="E3" s="340"/>
      <c r="F3" s="341" t="s">
        <v>194</v>
      </c>
      <c r="G3" s="339"/>
      <c r="H3" s="339"/>
      <c r="I3" s="159" t="s">
        <v>195</v>
      </c>
      <c r="J3" s="160" t="s">
        <v>197</v>
      </c>
      <c r="K3" s="159" t="s">
        <v>278</v>
      </c>
    </row>
    <row r="4" spans="1:31" ht="19.149999999999999" customHeight="1" thickTop="1" thickBot="1">
      <c r="J4" s="197" t="s">
        <v>332</v>
      </c>
      <c r="K4" s="189">
        <v>345</v>
      </c>
      <c r="L4" s="342" t="s">
        <v>207</v>
      </c>
      <c r="M4" s="343"/>
      <c r="N4" s="343"/>
      <c r="O4" s="343"/>
      <c r="P4" s="343"/>
    </row>
    <row r="5" spans="1:31" s="3" customFormat="1" ht="25.15" customHeight="1" thickTop="1">
      <c r="A5" s="9" t="s">
        <v>1</v>
      </c>
      <c r="B5" s="9" t="s">
        <v>164</v>
      </c>
      <c r="C5" s="88" t="s">
        <v>165</v>
      </c>
      <c r="D5" s="89" t="s">
        <v>166</v>
      </c>
      <c r="E5" s="9" t="s">
        <v>167</v>
      </c>
      <c r="F5" s="9" t="s">
        <v>168</v>
      </c>
      <c r="G5" s="9" t="s">
        <v>169</v>
      </c>
      <c r="H5" s="9" t="s">
        <v>170</v>
      </c>
      <c r="I5" s="123" t="s">
        <v>171</v>
      </c>
      <c r="J5" s="195" t="s">
        <v>172</v>
      </c>
      <c r="K5" s="196" t="s">
        <v>173</v>
      </c>
      <c r="L5" s="90" t="s">
        <v>198</v>
      </c>
      <c r="M5" s="121" t="s">
        <v>199</v>
      </c>
      <c r="N5" s="90" t="s">
        <v>38</v>
      </c>
      <c r="O5" s="90" t="s">
        <v>200</v>
      </c>
      <c r="P5" s="90" t="s">
        <v>201</v>
      </c>
      <c r="Q5" s="90" t="s">
        <v>265</v>
      </c>
      <c r="R5" s="90" t="s">
        <v>266</v>
      </c>
      <c r="S5" s="10"/>
      <c r="T5" s="10" t="s">
        <v>330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s="3" customFormat="1" ht="18" customHeight="1">
      <c r="A6" s="162">
        <v>1</v>
      </c>
      <c r="B6" s="224" t="s">
        <v>181</v>
      </c>
      <c r="C6" s="225">
        <f>COVER!B13</f>
        <v>0</v>
      </c>
      <c r="D6" s="226">
        <v>1</v>
      </c>
      <c r="E6" s="215"/>
      <c r="F6" s="227">
        <v>15</v>
      </c>
      <c r="G6" s="227"/>
      <c r="H6" s="228">
        <f>COVER!C13</f>
        <v>0</v>
      </c>
      <c r="I6" s="229">
        <f>D6*F6*H6</f>
        <v>0</v>
      </c>
      <c r="J6" s="230"/>
      <c r="K6" s="231">
        <f t="shared" ref="K6:K12" si="0">I6+J6</f>
        <v>0</v>
      </c>
      <c r="L6" s="163">
        <v>22000</v>
      </c>
      <c r="M6" s="163">
        <v>33000</v>
      </c>
      <c r="N6" s="163">
        <v>66000</v>
      </c>
      <c r="O6" s="90"/>
      <c r="P6" s="90"/>
      <c r="Q6" s="19"/>
      <c r="R6" s="19"/>
      <c r="S6" s="10"/>
      <c r="T6" s="10">
        <v>13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s="3" customFormat="1" ht="18" customHeight="1">
      <c r="A7" s="162">
        <v>1</v>
      </c>
      <c r="B7" s="224" t="s">
        <v>182</v>
      </c>
      <c r="C7" s="225" t="str">
        <f>COVER!B14</f>
        <v>A536 Gr65-45-12</v>
      </c>
      <c r="D7" s="226">
        <v>1</v>
      </c>
      <c r="E7" s="215"/>
      <c r="F7" s="227">
        <v>23</v>
      </c>
      <c r="G7" s="227"/>
      <c r="H7" s="228">
        <f>COVER!C14</f>
        <v>3500</v>
      </c>
      <c r="I7" s="229">
        <f>D7*F7*H7</f>
        <v>80500</v>
      </c>
      <c r="J7" s="230"/>
      <c r="K7" s="231">
        <f t="shared" si="0"/>
        <v>80500</v>
      </c>
      <c r="L7" s="163">
        <v>36000</v>
      </c>
      <c r="M7" s="163">
        <v>54000</v>
      </c>
      <c r="N7" s="161"/>
      <c r="O7" s="90"/>
      <c r="P7" s="90"/>
      <c r="Q7" s="19"/>
      <c r="R7" s="19"/>
      <c r="S7" s="10"/>
      <c r="T7" s="10">
        <v>16.5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s="3" customFormat="1" ht="18" customHeight="1">
      <c r="A8" s="162">
        <v>1</v>
      </c>
      <c r="B8" s="224" t="s">
        <v>183</v>
      </c>
      <c r="C8" s="225">
        <f>COVER!B15</f>
        <v>0</v>
      </c>
      <c r="D8" s="226">
        <v>1</v>
      </c>
      <c r="E8" s="215"/>
      <c r="F8" s="227">
        <v>34</v>
      </c>
      <c r="G8" s="227"/>
      <c r="H8" s="228">
        <f>COVER!C15</f>
        <v>0</v>
      </c>
      <c r="I8" s="229">
        <f>D8*F8*H8</f>
        <v>0</v>
      </c>
      <c r="J8" s="230"/>
      <c r="K8" s="231">
        <f t="shared" si="0"/>
        <v>0</v>
      </c>
      <c r="L8" s="163">
        <v>42100</v>
      </c>
      <c r="M8" s="163">
        <v>63150</v>
      </c>
      <c r="N8" s="161"/>
      <c r="O8" s="90"/>
      <c r="P8" s="90"/>
      <c r="Q8" s="19"/>
      <c r="R8" s="19"/>
      <c r="S8" s="10"/>
      <c r="T8" s="10">
        <v>33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s="3" customFormat="1" ht="18" customHeight="1">
      <c r="A9" s="162">
        <v>2</v>
      </c>
      <c r="B9" s="232" t="s">
        <v>2</v>
      </c>
      <c r="C9" s="225" t="str">
        <f>COVER!B16</f>
        <v>A351 CF8M</v>
      </c>
      <c r="D9" s="226">
        <v>1</v>
      </c>
      <c r="E9" s="215"/>
      <c r="F9" s="227">
        <f>IF(COVER!B34="10 BAR",Q9,IF(COVER!B34="16 BAR",R9,IF(COVER!B34="20 BAR",R9)))</f>
        <v>3.4</v>
      </c>
      <c r="G9" s="227"/>
      <c r="H9" s="228">
        <f>COVER!C16</f>
        <v>12000</v>
      </c>
      <c r="I9" s="233">
        <f>D9*F9*H9</f>
        <v>40800</v>
      </c>
      <c r="J9" s="230"/>
      <c r="K9" s="234">
        <f t="shared" si="0"/>
        <v>40800</v>
      </c>
      <c r="L9" s="163">
        <v>9700</v>
      </c>
      <c r="M9" s="163">
        <v>8000</v>
      </c>
      <c r="N9" s="163">
        <v>9000</v>
      </c>
      <c r="O9" s="163">
        <v>17000</v>
      </c>
      <c r="P9" s="163">
        <v>21000</v>
      </c>
      <c r="Q9" s="19">
        <v>3.4</v>
      </c>
      <c r="R9" s="19">
        <v>6</v>
      </c>
      <c r="S9" s="10"/>
      <c r="T9" s="10">
        <v>4</v>
      </c>
      <c r="U9" s="10"/>
      <c r="V9" s="10">
        <f>P9/M9</f>
        <v>2.625</v>
      </c>
      <c r="W9" s="10"/>
      <c r="X9" s="10"/>
      <c r="Y9" s="10"/>
      <c r="Z9" s="10"/>
      <c r="AA9" s="10"/>
      <c r="AB9" s="10"/>
      <c r="AC9" s="10"/>
      <c r="AD9" s="10"/>
      <c r="AE9" s="10"/>
    </row>
    <row r="10" spans="1:31" s="3" customFormat="1" ht="18" customHeight="1">
      <c r="A10" s="207">
        <v>3</v>
      </c>
      <c r="B10" s="235" t="s">
        <v>3</v>
      </c>
      <c r="C10" s="236" t="str">
        <f>COVER!B18</f>
        <v>EPDM</v>
      </c>
      <c r="D10" s="214">
        <v>1</v>
      </c>
      <c r="E10" s="215"/>
      <c r="F10" s="227">
        <v>1</v>
      </c>
      <c r="G10" s="227"/>
      <c r="H10" s="228">
        <f>IF(C10="NBR",L10,IF(C10="EPDM",L10,IF(C10="VITON",M10)))</f>
        <v>5348</v>
      </c>
      <c r="I10" s="233">
        <f>H10*F10*D10</f>
        <v>5348</v>
      </c>
      <c r="J10" s="230"/>
      <c r="K10" s="234">
        <f t="shared" si="0"/>
        <v>5348</v>
      </c>
      <c r="L10" s="163">
        <v>5348</v>
      </c>
      <c r="M10" s="163">
        <v>80000</v>
      </c>
      <c r="N10" s="190">
        <v>30000</v>
      </c>
      <c r="O10" s="163">
        <v>9000</v>
      </c>
      <c r="P10" s="163">
        <v>8000</v>
      </c>
      <c r="Q10" s="19"/>
      <c r="R10" s="1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s="3" customFormat="1" ht="18" customHeight="1">
      <c r="A11" s="207">
        <v>4</v>
      </c>
      <c r="B11" s="235" t="s">
        <v>203</v>
      </c>
      <c r="C11" s="214" t="str">
        <f>COVER!B17</f>
        <v>A564T630</v>
      </c>
      <c r="D11" s="214">
        <v>1</v>
      </c>
      <c r="E11" s="215"/>
      <c r="F11" s="237">
        <v>1.23</v>
      </c>
      <c r="G11" s="238"/>
      <c r="H11" s="228">
        <f>COVER!C17</f>
        <v>10000</v>
      </c>
      <c r="I11" s="233">
        <f>D11*F11*H11</f>
        <v>12300</v>
      </c>
      <c r="J11" s="233"/>
      <c r="K11" s="234">
        <f t="shared" si="0"/>
        <v>12300</v>
      </c>
      <c r="L11" s="163" t="s">
        <v>269</v>
      </c>
      <c r="M11" s="163">
        <v>3500</v>
      </c>
      <c r="N11" s="90">
        <v>1700</v>
      </c>
      <c r="O11" s="90"/>
      <c r="P11" s="90"/>
      <c r="Q11" s="18">
        <v>1.23</v>
      </c>
      <c r="R11" s="18"/>
      <c r="S11" s="108"/>
      <c r="T11" s="10">
        <v>0.9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s="3" customFormat="1" ht="18" customHeight="1">
      <c r="A12" s="207">
        <v>5</v>
      </c>
      <c r="B12" s="235" t="s">
        <v>184</v>
      </c>
      <c r="C12" s="214" t="str">
        <f>COVER!B19</f>
        <v>NBR</v>
      </c>
      <c r="D12" s="214">
        <v>1</v>
      </c>
      <c r="E12" s="215"/>
      <c r="F12" s="237">
        <v>1</v>
      </c>
      <c r="G12" s="227"/>
      <c r="H12" s="230">
        <f>IF(C12="NBR",L12+N12,IF(C12="EPDM",L12+N12,IF(C12="VITON",M12+N12)))</f>
        <v>330</v>
      </c>
      <c r="I12" s="233">
        <f>D12*F12*H12</f>
        <v>330</v>
      </c>
      <c r="J12" s="233"/>
      <c r="K12" s="234">
        <f t="shared" si="0"/>
        <v>330</v>
      </c>
      <c r="L12" s="163">
        <v>140</v>
      </c>
      <c r="M12" s="163">
        <v>1140</v>
      </c>
      <c r="N12" s="163">
        <v>190</v>
      </c>
      <c r="O12" s="90"/>
      <c r="P12" s="90"/>
      <c r="Q12" s="19"/>
      <c r="R12" s="19"/>
      <c r="S12" s="10"/>
      <c r="T12" s="10"/>
      <c r="U12" s="10"/>
      <c r="V12" s="10">
        <f>M9/L9</f>
        <v>0.82474226804123707</v>
      </c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s="3" customFormat="1" ht="18" customHeight="1">
      <c r="A13" s="207">
        <v>6</v>
      </c>
      <c r="B13" s="235" t="s">
        <v>163</v>
      </c>
      <c r="C13" s="214"/>
      <c r="D13" s="214">
        <v>0</v>
      </c>
      <c r="E13" s="215"/>
      <c r="F13" s="227"/>
      <c r="G13" s="227"/>
      <c r="H13" s="228"/>
      <c r="I13" s="233"/>
      <c r="J13" s="233"/>
      <c r="K13" s="234"/>
      <c r="L13" s="344" t="s">
        <v>202</v>
      </c>
      <c r="M13" s="345"/>
      <c r="N13" s="345"/>
      <c r="O13" s="345"/>
      <c r="P13" s="346"/>
      <c r="Q13" s="19"/>
      <c r="R13" s="19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s="3" customFormat="1" ht="18" customHeight="1">
      <c r="A14" s="207">
        <v>7</v>
      </c>
      <c r="B14" s="235" t="s">
        <v>4</v>
      </c>
      <c r="C14" s="214" t="str">
        <f>C11</f>
        <v>A564T630</v>
      </c>
      <c r="D14" s="214">
        <v>2</v>
      </c>
      <c r="E14" s="215"/>
      <c r="F14" s="237">
        <v>1</v>
      </c>
      <c r="G14" s="227"/>
      <c r="H14" s="228">
        <f>L14</f>
        <v>2100</v>
      </c>
      <c r="I14" s="233">
        <f>D14*F14*H14</f>
        <v>4200</v>
      </c>
      <c r="J14" s="233"/>
      <c r="K14" s="234">
        <f>I14+J14</f>
        <v>4200</v>
      </c>
      <c r="L14" s="163">
        <v>2100</v>
      </c>
      <c r="M14" s="163"/>
      <c r="N14" s="163"/>
      <c r="O14" s="163"/>
      <c r="P14" s="163"/>
      <c r="Q14" s="19"/>
      <c r="R14" s="19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s="3" customFormat="1" ht="18" customHeight="1">
      <c r="A15" s="207">
        <v>8</v>
      </c>
      <c r="B15" s="235" t="s">
        <v>386</v>
      </c>
      <c r="C15" s="214" t="str">
        <f>COVER!B22</f>
        <v>BODY MATERIAL</v>
      </c>
      <c r="D15" s="214">
        <v>0</v>
      </c>
      <c r="E15" s="215"/>
      <c r="F15" s="215"/>
      <c r="G15" s="227"/>
      <c r="H15" s="228"/>
      <c r="I15" s="233"/>
      <c r="J15" s="233"/>
      <c r="K15" s="234"/>
      <c r="L15" s="344" t="s">
        <v>202</v>
      </c>
      <c r="M15" s="345"/>
      <c r="N15" s="345"/>
      <c r="O15" s="345"/>
      <c r="P15" s="346"/>
      <c r="Q15" s="164"/>
      <c r="R15" s="164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s="3" customFormat="1" ht="18" customHeight="1">
      <c r="A16" s="207">
        <v>9</v>
      </c>
      <c r="B16" s="235" t="s">
        <v>217</v>
      </c>
      <c r="C16" s="214" t="str">
        <f>COVER!B23</f>
        <v>B8M</v>
      </c>
      <c r="D16" s="214">
        <v>0</v>
      </c>
      <c r="E16" s="215"/>
      <c r="F16" s="239"/>
      <c r="G16" s="227"/>
      <c r="H16" s="228"/>
      <c r="I16" s="233"/>
      <c r="J16" s="233"/>
      <c r="K16" s="234"/>
      <c r="L16" s="344" t="s">
        <v>202</v>
      </c>
      <c r="M16" s="345"/>
      <c r="N16" s="345"/>
      <c r="O16" s="345"/>
      <c r="P16" s="346"/>
      <c r="Q16" s="19"/>
      <c r="R16" s="19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s="3" customFormat="1" ht="18" customHeight="1">
      <c r="A17" s="207">
        <v>10</v>
      </c>
      <c r="B17" s="235" t="s">
        <v>221</v>
      </c>
      <c r="C17" s="214" t="str">
        <f>COVER!B24</f>
        <v>ALBC2</v>
      </c>
      <c r="D17" s="214">
        <v>0</v>
      </c>
      <c r="E17" s="215"/>
      <c r="F17" s="239"/>
      <c r="G17" s="227"/>
      <c r="H17" s="228"/>
      <c r="I17" s="233"/>
      <c r="J17" s="233"/>
      <c r="K17" s="234"/>
      <c r="L17" s="344" t="s">
        <v>202</v>
      </c>
      <c r="M17" s="345"/>
      <c r="N17" s="345"/>
      <c r="O17" s="345"/>
      <c r="P17" s="346"/>
      <c r="Q17" s="202"/>
      <c r="R17" s="19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s="3" customFormat="1" ht="18" customHeight="1">
      <c r="A18" s="207">
        <v>11</v>
      </c>
      <c r="B18" s="235" t="s">
        <v>187</v>
      </c>
      <c r="C18" s="214" t="s">
        <v>352</v>
      </c>
      <c r="D18" s="214">
        <v>1</v>
      </c>
      <c r="E18" s="215"/>
      <c r="F18" s="239"/>
      <c r="G18" s="227"/>
      <c r="H18" s="228">
        <f>M18</f>
        <v>1300</v>
      </c>
      <c r="I18" s="233">
        <f>H18*D18</f>
        <v>1300</v>
      </c>
      <c r="J18" s="233"/>
      <c r="K18" s="234">
        <f>I18+J18</f>
        <v>1300</v>
      </c>
      <c r="L18" s="163" t="s">
        <v>376</v>
      </c>
      <c r="M18" s="163">
        <v>1300</v>
      </c>
      <c r="N18" s="163"/>
      <c r="O18" s="163"/>
      <c r="P18" s="163"/>
      <c r="Q18" s="203" t="s">
        <v>379</v>
      </c>
      <c r="R18" s="165"/>
      <c r="S18" s="145"/>
      <c r="T18" s="145"/>
      <c r="U18" s="145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s="3" customFormat="1" ht="18" customHeight="1">
      <c r="A19" s="207">
        <v>12</v>
      </c>
      <c r="B19" s="235" t="s">
        <v>189</v>
      </c>
      <c r="C19" s="214" t="str">
        <f>COVER!B26</f>
        <v>B8M</v>
      </c>
      <c r="D19" s="214">
        <v>2</v>
      </c>
      <c r="E19" s="215"/>
      <c r="F19" s="239"/>
      <c r="G19" s="227"/>
      <c r="H19" s="230">
        <f>IF(C19="B8",M19,IF(C19="B8M",N19))</f>
        <v>200</v>
      </c>
      <c r="I19" s="240">
        <f>H19*D19</f>
        <v>400</v>
      </c>
      <c r="J19" s="233"/>
      <c r="K19" s="234">
        <f>I19+J19</f>
        <v>400</v>
      </c>
      <c r="L19" s="163"/>
      <c r="M19" s="163">
        <v>200</v>
      </c>
      <c r="N19" s="163">
        <v>200</v>
      </c>
      <c r="O19" s="163"/>
      <c r="P19" s="163"/>
      <c r="Q19" s="204" t="s">
        <v>381</v>
      </c>
      <c r="R19" s="19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s="3" customFormat="1" ht="18" customHeight="1">
      <c r="A20" s="207">
        <v>13</v>
      </c>
      <c r="B20" s="235" t="s">
        <v>188</v>
      </c>
      <c r="C20" s="214" t="str">
        <f>COVER!B27</f>
        <v>B8M</v>
      </c>
      <c r="D20" s="214">
        <v>4</v>
      </c>
      <c r="E20" s="215"/>
      <c r="F20" s="239"/>
      <c r="G20" s="227"/>
      <c r="H20" s="228">
        <f>IF(C20="B8",M20,IF(C20="B8M",N20,IF(C20="B7(다크로)",O20)))</f>
        <v>400</v>
      </c>
      <c r="I20" s="233">
        <f>H20*D20</f>
        <v>1600</v>
      </c>
      <c r="J20" s="233"/>
      <c r="K20" s="234">
        <f>I20+J20</f>
        <v>1600</v>
      </c>
      <c r="L20" s="163" t="s">
        <v>387</v>
      </c>
      <c r="M20" s="163">
        <v>350</v>
      </c>
      <c r="N20" s="163">
        <v>400</v>
      </c>
      <c r="O20" s="163">
        <v>300</v>
      </c>
      <c r="P20" s="163"/>
      <c r="Q20" s="204" t="s">
        <v>385</v>
      </c>
      <c r="R20" s="19"/>
      <c r="S20" s="10"/>
      <c r="T20" s="10"/>
      <c r="U20" s="10">
        <v>390403</v>
      </c>
      <c r="V20" s="10">
        <f>U20/0.7</f>
        <v>557718.57142857148</v>
      </c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s="3" customFormat="1" ht="18" customHeight="1">
      <c r="A21" s="207">
        <v>14</v>
      </c>
      <c r="B21" s="235" t="s">
        <v>5</v>
      </c>
      <c r="C21" s="214" t="s">
        <v>38</v>
      </c>
      <c r="D21" s="214">
        <v>1</v>
      </c>
      <c r="E21" s="215"/>
      <c r="F21" s="239"/>
      <c r="G21" s="227"/>
      <c r="H21" s="228"/>
      <c r="I21" s="233"/>
      <c r="J21" s="241"/>
      <c r="K21" s="234"/>
      <c r="L21" s="344" t="s">
        <v>202</v>
      </c>
      <c r="M21" s="345"/>
      <c r="N21" s="345"/>
      <c r="O21" s="345"/>
      <c r="P21" s="346"/>
      <c r="Q21" s="19"/>
      <c r="R21" s="19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s="3" customFormat="1" ht="18" customHeight="1">
      <c r="A22" s="207">
        <v>15</v>
      </c>
      <c r="B22" s="235" t="s">
        <v>6</v>
      </c>
      <c r="C22" s="214" t="str">
        <f>COVER!B34</f>
        <v>10 BAR</v>
      </c>
      <c r="D22" s="214">
        <v>1</v>
      </c>
      <c r="E22" s="215"/>
      <c r="F22" s="239"/>
      <c r="G22" s="242"/>
      <c r="H22" s="228"/>
      <c r="I22" s="233">
        <f>IF(C22="10 BAR",M22,IF(C22="16 BAR",N22,IF(C22="20 BAR",O22)))</f>
        <v>98000</v>
      </c>
      <c r="J22" s="241"/>
      <c r="K22" s="234">
        <f>I22+J22</f>
        <v>98000</v>
      </c>
      <c r="L22" s="163"/>
      <c r="M22" s="163">
        <v>98000</v>
      </c>
      <c r="N22" s="163">
        <v>98000</v>
      </c>
      <c r="O22" s="163">
        <v>98000</v>
      </c>
      <c r="P22" s="163"/>
      <c r="Q22" s="19"/>
      <c r="R22" s="19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s="3" customFormat="1" ht="18" customHeight="1">
      <c r="A23" s="207">
        <v>16</v>
      </c>
      <c r="B23" s="235" t="s">
        <v>7</v>
      </c>
      <c r="C23" s="214" t="str">
        <f>COVER!B32</f>
        <v>기존 단가</v>
      </c>
      <c r="D23" s="214">
        <v>1</v>
      </c>
      <c r="E23" s="215"/>
      <c r="F23" s="239"/>
      <c r="G23" s="242"/>
      <c r="H23" s="228">
        <f>IF(COVER!B9="APPLICATION",0,IF(COVER!B32="기존 단가",L23,IF(COVER!B32="외주 2COATING",M23,IF(COVER!B32="외주 3COATING",N23))))</f>
        <v>12500</v>
      </c>
      <c r="I23" s="233">
        <f>H23</f>
        <v>12500</v>
      </c>
      <c r="J23" s="233"/>
      <c r="K23" s="234"/>
      <c r="L23" s="163">
        <v>12500</v>
      </c>
      <c r="M23" s="163">
        <f>IF(H6&gt;0,F6*520,IF(H7&gt;0,F7*520,IF(H8&gt;0,F8*520)))</f>
        <v>11960</v>
      </c>
      <c r="N23" s="163">
        <f>IF(H6&gt;0,F6*620,IF(H7&gt;0,F7*620,IF(H8&gt;0,F8*620)))</f>
        <v>14260</v>
      </c>
      <c r="O23" s="90"/>
      <c r="P23" s="182"/>
      <c r="Q23" s="19"/>
      <c r="R23" s="19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s="3" customFormat="1" ht="18" customHeight="1">
      <c r="A24" s="207">
        <v>17</v>
      </c>
      <c r="B24" s="235" t="s">
        <v>174</v>
      </c>
      <c r="C24" s="214"/>
      <c r="D24" s="214">
        <v>1</v>
      </c>
      <c r="E24" s="215"/>
      <c r="F24" s="239"/>
      <c r="G24" s="242"/>
      <c r="H24" s="228">
        <f>IF(COVER!B9="APPLICATION",0,IF(COVER!B9="N/A",L24))</f>
        <v>12500</v>
      </c>
      <c r="I24" s="233">
        <f>H24</f>
        <v>12500</v>
      </c>
      <c r="J24" s="234"/>
      <c r="K24" s="234"/>
      <c r="L24" s="211">
        <v>12500</v>
      </c>
      <c r="M24" s="90"/>
      <c r="N24" s="90"/>
      <c r="O24" s="90"/>
      <c r="P24" s="90"/>
      <c r="Q24" s="19"/>
      <c r="R24" s="19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s="3" customFormat="1" ht="18" customHeight="1">
      <c r="A25" s="207">
        <v>18</v>
      </c>
      <c r="B25" s="97" t="s">
        <v>175</v>
      </c>
      <c r="C25" s="14"/>
      <c r="D25" s="14"/>
      <c r="E25" s="15"/>
      <c r="F25" s="15"/>
      <c r="G25" s="15"/>
      <c r="H25" s="15"/>
      <c r="I25" s="98"/>
      <c r="J25" s="98"/>
      <c r="K25" s="16">
        <f>SUM(K6:K20)+SUM(K23:K24)</f>
        <v>146778</v>
      </c>
      <c r="L25" s="161" t="s">
        <v>248</v>
      </c>
      <c r="M25" s="90"/>
      <c r="N25" s="90"/>
      <c r="O25" s="90"/>
      <c r="P25" s="90"/>
      <c r="Q25" s="19"/>
      <c r="R25" s="19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s="3" customFormat="1" ht="18" customHeight="1">
      <c r="A26" s="207">
        <v>18</v>
      </c>
      <c r="B26" s="97" t="s">
        <v>176</v>
      </c>
      <c r="C26" s="14"/>
      <c r="D26" s="14"/>
      <c r="E26" s="15"/>
      <c r="F26" s="15"/>
      <c r="G26" s="15"/>
      <c r="H26" s="15"/>
      <c r="I26" s="98"/>
      <c r="J26" s="98"/>
      <c r="K26" s="16">
        <f>SUM(K6:K21)+SUM(K23:K24)</f>
        <v>146778</v>
      </c>
      <c r="L26" s="161" t="s">
        <v>248</v>
      </c>
      <c r="M26" s="90"/>
      <c r="N26" s="90"/>
      <c r="O26" s="90"/>
      <c r="P26" s="90"/>
      <c r="Q26" s="19"/>
      <c r="R26" s="19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s="3" customFormat="1" ht="18" customHeight="1">
      <c r="A27" s="207">
        <v>18</v>
      </c>
      <c r="B27" s="97" t="s">
        <v>177</v>
      </c>
      <c r="C27" s="14"/>
      <c r="D27" s="14"/>
      <c r="E27" s="15"/>
      <c r="F27" s="15"/>
      <c r="G27" s="15"/>
      <c r="H27" s="15"/>
      <c r="I27" s="98"/>
      <c r="J27" s="98"/>
      <c r="K27" s="16">
        <f>SUM(K6:K20)+SUM(K22:K24)</f>
        <v>244778</v>
      </c>
      <c r="L27" s="161" t="s">
        <v>248</v>
      </c>
      <c r="M27" s="90"/>
      <c r="N27" s="90"/>
      <c r="O27" s="90"/>
      <c r="P27" s="90"/>
      <c r="Q27" s="19"/>
      <c r="R27" s="19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s="3" customFormat="1" ht="18" customHeight="1">
      <c r="A28" s="207">
        <v>19</v>
      </c>
      <c r="B28" s="235" t="s">
        <v>237</v>
      </c>
      <c r="C28" s="214" t="str">
        <f>COVER!B28</f>
        <v>REQUIRED</v>
      </c>
      <c r="D28" s="214">
        <v>0</v>
      </c>
      <c r="E28" s="215"/>
      <c r="F28" s="239"/>
      <c r="G28" s="215"/>
      <c r="H28" s="233">
        <f>IF(C28="REQUIRED",L28,IF(C28="N/A",0))</f>
        <v>7300</v>
      </c>
      <c r="I28" s="233">
        <f>H28</f>
        <v>7300</v>
      </c>
      <c r="J28" s="215"/>
      <c r="K28" s="234"/>
      <c r="L28" s="163">
        <v>7300</v>
      </c>
      <c r="M28" s="90"/>
      <c r="N28" s="90"/>
      <c r="O28" s="90"/>
      <c r="P28" s="90"/>
      <c r="Q28" s="19"/>
      <c r="R28" s="19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s="3" customFormat="1" ht="18" customHeight="1">
      <c r="A29" s="207">
        <v>20</v>
      </c>
      <c r="B29" s="235" t="s">
        <v>180</v>
      </c>
      <c r="C29" s="214"/>
      <c r="D29" s="214">
        <v>0</v>
      </c>
      <c r="E29" s="215"/>
      <c r="F29" s="239"/>
      <c r="G29" s="215"/>
      <c r="H29" s="215"/>
      <c r="I29" s="215"/>
      <c r="J29" s="215"/>
      <c r="K29" s="234"/>
      <c r="L29" s="161"/>
      <c r="M29" s="90"/>
      <c r="N29" s="90"/>
      <c r="O29" s="90"/>
      <c r="P29" s="90"/>
      <c r="Q29" s="19"/>
      <c r="R29" s="19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s="3" customFormat="1" ht="18" customHeight="1">
      <c r="A30" s="207">
        <v>21</v>
      </c>
      <c r="B30" s="235" t="s">
        <v>178</v>
      </c>
      <c r="C30" s="214" t="str">
        <f>COVER!B35</f>
        <v>MOTOR</v>
      </c>
      <c r="D30" s="214">
        <v>1</v>
      </c>
      <c r="E30" s="215"/>
      <c r="F30" s="239"/>
      <c r="G30" s="215"/>
      <c r="H30" s="233">
        <f>IF(COVER!B9="APPLICATION",0,IF(COVER!B35="BARE",M30,(IF(COVER!B35="LEVER",M30,IF(COVER!B35="GEAR",N30,IF(COVER!B35="MOTOR",O30))))))</f>
        <v>55000</v>
      </c>
      <c r="I30" s="234">
        <f>H30</f>
        <v>55000</v>
      </c>
      <c r="J30" s="215"/>
      <c r="K30" s="234"/>
      <c r="L30" s="163">
        <v>17000</v>
      </c>
      <c r="M30" s="163">
        <v>10000</v>
      </c>
      <c r="N30" s="163">
        <v>12000</v>
      </c>
      <c r="O30" s="163">
        <v>55000</v>
      </c>
      <c r="P30" s="90"/>
      <c r="Q30" s="19"/>
      <c r="R30" s="19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s="3" customFormat="1" ht="18" customHeight="1">
      <c r="A31" s="207">
        <v>22</v>
      </c>
      <c r="B31" s="235"/>
      <c r="C31" s="214"/>
      <c r="D31" s="214"/>
      <c r="E31" s="215"/>
      <c r="F31" s="239"/>
      <c r="G31" s="215"/>
      <c r="H31" s="215"/>
      <c r="I31" s="215"/>
      <c r="J31" s="215"/>
      <c r="K31" s="234"/>
      <c r="L31" s="161"/>
      <c r="M31" s="90"/>
      <c r="N31" s="90"/>
      <c r="O31" s="90"/>
      <c r="P31" s="90"/>
      <c r="Q31" s="19"/>
      <c r="R31" s="19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s="3" customFormat="1" ht="18" customHeight="1">
      <c r="A32" s="207">
        <v>23</v>
      </c>
      <c r="B32" s="89" t="s">
        <v>179</v>
      </c>
      <c r="C32" s="14"/>
      <c r="D32" s="99"/>
      <c r="E32" s="15"/>
      <c r="F32" s="15"/>
      <c r="G32" s="15"/>
      <c r="H32" s="15"/>
      <c r="I32" s="100"/>
      <c r="J32" s="101"/>
      <c r="K32" s="100">
        <f>SUM(K28:K31)</f>
        <v>0</v>
      </c>
      <c r="L32" s="161" t="s">
        <v>249</v>
      </c>
      <c r="M32" s="90"/>
      <c r="N32" s="90"/>
      <c r="O32" s="90"/>
      <c r="P32" s="90"/>
      <c r="Q32" s="19"/>
      <c r="R32" s="19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s="3" customFormat="1" ht="18" customHeight="1">
      <c r="A33" s="162">
        <v>24</v>
      </c>
      <c r="B33" s="216" t="s">
        <v>252</v>
      </c>
      <c r="C33" s="217"/>
      <c r="D33" s="218"/>
      <c r="E33" s="219"/>
      <c r="F33" s="219"/>
      <c r="G33" s="219"/>
      <c r="H33" s="219"/>
      <c r="I33" s="220"/>
      <c r="J33" s="221"/>
      <c r="K33" s="220">
        <f>K25+K32</f>
        <v>146778</v>
      </c>
      <c r="L33" s="161" t="s">
        <v>257</v>
      </c>
      <c r="M33" s="90"/>
      <c r="N33" s="90"/>
      <c r="O33" s="90"/>
      <c r="P33" s="90"/>
      <c r="Q33" s="19"/>
      <c r="R33" s="19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s="3" customFormat="1" ht="18" customHeight="1">
      <c r="A34" s="162">
        <v>24</v>
      </c>
      <c r="B34" s="216" t="s">
        <v>255</v>
      </c>
      <c r="C34" s="217"/>
      <c r="D34" s="218"/>
      <c r="E34" s="219"/>
      <c r="F34" s="219"/>
      <c r="G34" s="219"/>
      <c r="H34" s="219"/>
      <c r="I34" s="220"/>
      <c r="J34" s="221"/>
      <c r="K34" s="220">
        <f>K26+K32</f>
        <v>146778</v>
      </c>
      <c r="L34" s="161" t="s">
        <v>257</v>
      </c>
      <c r="M34" s="90"/>
      <c r="N34" s="90"/>
      <c r="O34" s="90"/>
      <c r="P34" s="90"/>
      <c r="Q34" s="19"/>
      <c r="R34" s="19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s="3" customFormat="1" ht="18" customHeight="1">
      <c r="A35" s="162">
        <v>24</v>
      </c>
      <c r="B35" s="216" t="s">
        <v>256</v>
      </c>
      <c r="C35" s="217"/>
      <c r="D35" s="218"/>
      <c r="E35" s="219"/>
      <c r="F35" s="219"/>
      <c r="G35" s="219"/>
      <c r="H35" s="219"/>
      <c r="I35" s="220"/>
      <c r="J35" s="221"/>
      <c r="K35" s="220">
        <f>K27+K32</f>
        <v>244778</v>
      </c>
      <c r="L35" s="161" t="s">
        <v>257</v>
      </c>
      <c r="M35" s="90"/>
      <c r="N35" s="90"/>
      <c r="O35" s="90"/>
      <c r="P35" s="90"/>
      <c r="Q35" s="19"/>
      <c r="R35" s="19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s="4" customFormat="1" ht="18" customHeight="1">
      <c r="A36" s="162">
        <v>25</v>
      </c>
      <c r="B36" s="102" t="s">
        <v>407</v>
      </c>
      <c r="C36" s="103"/>
      <c r="D36" s="103"/>
      <c r="E36" s="104"/>
      <c r="F36" s="105"/>
      <c r="G36" s="105"/>
      <c r="H36" s="106"/>
      <c r="I36" s="223" t="s">
        <v>41</v>
      </c>
      <c r="J36" s="223">
        <v>0.7</v>
      </c>
      <c r="K36" s="107">
        <f>(K25+K32)/J36</f>
        <v>209682.85714285716</v>
      </c>
      <c r="L36" s="161" t="s">
        <v>250</v>
      </c>
      <c r="M36" s="90"/>
      <c r="N36" s="90"/>
      <c r="O36" s="90"/>
      <c r="P36" s="90"/>
      <c r="Q36" s="19"/>
      <c r="R36" s="19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s="4" customFormat="1" ht="18" customHeight="1">
      <c r="A37" s="162">
        <v>25</v>
      </c>
      <c r="B37" s="102" t="s">
        <v>408</v>
      </c>
      <c r="C37" s="103"/>
      <c r="D37" s="103"/>
      <c r="E37" s="104"/>
      <c r="F37" s="105"/>
      <c r="G37" s="105"/>
      <c r="H37" s="106"/>
      <c r="I37" s="223" t="s">
        <v>41</v>
      </c>
      <c r="J37" s="223">
        <v>0.7</v>
      </c>
      <c r="K37" s="107">
        <f>(K26+K32)/J37</f>
        <v>209682.85714285716</v>
      </c>
      <c r="L37" s="161" t="s">
        <v>250</v>
      </c>
      <c r="M37" s="90"/>
      <c r="N37" s="90"/>
      <c r="O37" s="90"/>
      <c r="P37" s="90"/>
      <c r="Q37" s="19"/>
      <c r="R37" s="19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s="4" customFormat="1" ht="18" customHeight="1">
      <c r="A38" s="162">
        <v>25</v>
      </c>
      <c r="B38" s="102" t="s">
        <v>409</v>
      </c>
      <c r="C38" s="103"/>
      <c r="D38" s="103"/>
      <c r="E38" s="104"/>
      <c r="F38" s="105"/>
      <c r="G38" s="105"/>
      <c r="H38" s="106"/>
      <c r="I38" s="223" t="s">
        <v>41</v>
      </c>
      <c r="J38" s="223">
        <v>0.7</v>
      </c>
      <c r="K38" s="107">
        <f>(K27+K32)/J38</f>
        <v>349682.85714285716</v>
      </c>
      <c r="L38" s="161" t="s">
        <v>250</v>
      </c>
      <c r="M38" s="90"/>
      <c r="N38" s="90"/>
      <c r="O38" s="90"/>
      <c r="P38" s="90"/>
      <c r="Q38" s="19"/>
      <c r="R38" s="19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s="4" customFormat="1" ht="18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57"/>
      <c r="M39" s="108"/>
      <c r="N39" s="108"/>
      <c r="O39" s="108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s="4" customFormat="1" ht="18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57"/>
      <c r="M40" s="108"/>
      <c r="N40" s="108"/>
      <c r="O40" s="108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s="4" customFormat="1" ht="18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57"/>
      <c r="M41" s="108"/>
      <c r="N41" s="108"/>
      <c r="O41" s="108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s="4" customFormat="1" ht="18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57"/>
      <c r="M42" s="108"/>
      <c r="N42" s="108"/>
      <c r="O42" s="108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s="4" customFormat="1" ht="18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57"/>
      <c r="M43" s="108"/>
      <c r="N43" s="108"/>
      <c r="O43" s="108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s="4" customFormat="1" ht="18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57"/>
      <c r="M44" s="108"/>
      <c r="N44" s="108"/>
      <c r="O44" s="108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s="4" customFormat="1" ht="18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57"/>
      <c r="M45" s="108"/>
      <c r="N45" s="108"/>
      <c r="O45" s="108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s="4" customFormat="1" ht="18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57"/>
      <c r="M46" s="108"/>
      <c r="N46" s="108"/>
      <c r="O46" s="108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s="4" customFormat="1" ht="12.75">
      <c r="A47" s="10"/>
      <c r="B47" s="10"/>
      <c r="C47" s="10"/>
      <c r="D47" s="109"/>
      <c r="E47" s="10"/>
      <c r="F47" s="10"/>
      <c r="G47" s="10"/>
      <c r="H47" s="10"/>
      <c r="I47" s="10"/>
      <c r="J47" s="10"/>
      <c r="K47" s="10"/>
      <c r="L47" s="108"/>
      <c r="M47" s="108"/>
      <c r="N47" s="108"/>
      <c r="O47" s="108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s="4" customFormat="1" ht="12.7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57"/>
      <c r="M48" s="108"/>
      <c r="N48" s="108"/>
      <c r="O48" s="108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s="4" customFormat="1" ht="12.7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57"/>
      <c r="M49" s="108"/>
      <c r="N49" s="108"/>
      <c r="O49" s="108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s="5" customForma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57"/>
      <c r="M50" s="87"/>
      <c r="N50" s="87"/>
      <c r="O50" s="8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s="5" customForma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57"/>
      <c r="M51" s="87"/>
      <c r="N51" s="87"/>
      <c r="O51" s="87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s="5" customForma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57"/>
      <c r="M52" s="87"/>
      <c r="N52" s="87"/>
      <c r="O52" s="87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</sheetData>
  <mergeCells count="9">
    <mergeCell ref="L21:P21"/>
    <mergeCell ref="L16:P16"/>
    <mergeCell ref="L17:P17"/>
    <mergeCell ref="A1:K1"/>
    <mergeCell ref="D3:E3"/>
    <mergeCell ref="F3:H3"/>
    <mergeCell ref="L4:P4"/>
    <mergeCell ref="L13:P13"/>
    <mergeCell ref="L15:P15"/>
  </mergeCells>
  <phoneticPr fontId="7" type="noConversion"/>
  <pageMargins left="0.75" right="0.75" top="1" bottom="1" header="0.5" footer="0.5"/>
  <pageSetup paperSize="9" scale="62" orientation="portrait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AE52"/>
  <sheetViews>
    <sheetView view="pageBreakPreview" zoomScale="85" zoomScaleNormal="100" zoomScaleSheetLayoutView="85" workbookViewId="0">
      <selection activeCell="O22" sqref="O22"/>
    </sheetView>
  </sheetViews>
  <sheetFormatPr defaultColWidth="8.88671875" defaultRowHeight="13.5"/>
  <cols>
    <col min="1" max="1" width="5.26171875" style="10" customWidth="1"/>
    <col min="2" max="2" width="20.23046875" style="10" bestFit="1" customWidth="1"/>
    <col min="3" max="3" width="14.3828125" style="10" bestFit="1" customWidth="1"/>
    <col min="4" max="4" width="3.7421875" style="10" customWidth="1"/>
    <col min="5" max="5" width="8.30078125" style="10" customWidth="1"/>
    <col min="6" max="6" width="6.1953125" style="10" customWidth="1"/>
    <col min="7" max="7" width="5.73046875" style="10" customWidth="1"/>
    <col min="8" max="8" width="8.30078125" style="10" bestFit="1" customWidth="1"/>
    <col min="9" max="9" width="10.9921875" style="10" customWidth="1"/>
    <col min="10" max="10" width="12.74609375" style="10" bestFit="1" customWidth="1"/>
    <col min="11" max="11" width="18.125" style="10" bestFit="1" customWidth="1"/>
    <col min="12" max="12" width="14.265625" style="157" bestFit="1" customWidth="1"/>
    <col min="13" max="13" width="13.796875" style="87" customWidth="1"/>
    <col min="14" max="14" width="12.16015625" style="87" bestFit="1" customWidth="1"/>
    <col min="15" max="15" width="9.703125" style="87" customWidth="1"/>
    <col min="16" max="16" width="12.16015625" style="8" bestFit="1" customWidth="1"/>
    <col min="17" max="18" width="15.43359375" style="8" bestFit="1" customWidth="1"/>
    <col min="19" max="31" width="8.88671875" style="8"/>
    <col min="32" max="16384" width="8.88671875" style="2"/>
  </cols>
  <sheetData>
    <row r="1" spans="1:31" ht="24" thickTop="1" thickBot="1">
      <c r="A1" s="336" t="s">
        <v>190</v>
      </c>
      <c r="B1" s="337"/>
      <c r="C1" s="337"/>
      <c r="D1" s="337"/>
      <c r="E1" s="337"/>
      <c r="F1" s="337"/>
      <c r="G1" s="337"/>
      <c r="H1" s="337"/>
      <c r="I1" s="337"/>
      <c r="J1" s="337"/>
      <c r="K1" s="338"/>
      <c r="M1" s="7"/>
    </row>
    <row r="2" spans="1:31" ht="14.45" customHeight="1" thickTop="1" thickBot="1">
      <c r="A2" s="158"/>
      <c r="B2" s="158"/>
      <c r="C2" s="115"/>
      <c r="E2" s="115"/>
      <c r="F2" s="115"/>
      <c r="G2" s="115"/>
    </row>
    <row r="3" spans="1:31" ht="15" thickTop="1" thickBot="1">
      <c r="A3" s="160" t="s">
        <v>191</v>
      </c>
      <c r="B3" s="159" t="s">
        <v>325</v>
      </c>
      <c r="C3" s="160" t="s">
        <v>192</v>
      </c>
      <c r="D3" s="339" t="s">
        <v>193</v>
      </c>
      <c r="E3" s="340"/>
      <c r="F3" s="341" t="s">
        <v>194</v>
      </c>
      <c r="G3" s="339"/>
      <c r="H3" s="339"/>
      <c r="I3" s="159" t="s">
        <v>195</v>
      </c>
      <c r="J3" s="160" t="s">
        <v>197</v>
      </c>
      <c r="K3" s="159" t="s">
        <v>279</v>
      </c>
      <c r="L3" s="87"/>
      <c r="O3" s="87">
        <v>318275</v>
      </c>
      <c r="P3" s="8">
        <f>O3/0.7</f>
        <v>454678.57142857148</v>
      </c>
    </row>
    <row r="4" spans="1:31" ht="19.149999999999999" customHeight="1" thickTop="1" thickBot="1">
      <c r="J4" s="197" t="s">
        <v>332</v>
      </c>
      <c r="K4" s="189">
        <v>405</v>
      </c>
      <c r="L4" s="342" t="s">
        <v>207</v>
      </c>
      <c r="M4" s="343"/>
      <c r="N4" s="343"/>
      <c r="O4" s="343"/>
      <c r="P4" s="343"/>
    </row>
    <row r="5" spans="1:31" s="3" customFormat="1" ht="25.15" customHeight="1" thickTop="1">
      <c r="A5" s="9" t="s">
        <v>1</v>
      </c>
      <c r="B5" s="9" t="s">
        <v>164</v>
      </c>
      <c r="C5" s="88" t="s">
        <v>165</v>
      </c>
      <c r="D5" s="89" t="s">
        <v>166</v>
      </c>
      <c r="E5" s="9" t="s">
        <v>167</v>
      </c>
      <c r="F5" s="9" t="s">
        <v>168</v>
      </c>
      <c r="G5" s="9" t="s">
        <v>169</v>
      </c>
      <c r="H5" s="9" t="s">
        <v>170</v>
      </c>
      <c r="I5" s="123" t="s">
        <v>171</v>
      </c>
      <c r="J5" s="195" t="s">
        <v>172</v>
      </c>
      <c r="K5" s="196" t="s">
        <v>173</v>
      </c>
      <c r="L5" s="90" t="s">
        <v>198</v>
      </c>
      <c r="M5" s="121" t="s">
        <v>199</v>
      </c>
      <c r="N5" s="90" t="s">
        <v>38</v>
      </c>
      <c r="O5" s="90" t="s">
        <v>200</v>
      </c>
      <c r="P5" s="90" t="s">
        <v>201</v>
      </c>
      <c r="Q5" s="90" t="s">
        <v>265</v>
      </c>
      <c r="R5" s="90" t="s">
        <v>266</v>
      </c>
      <c r="S5" s="10"/>
      <c r="T5" s="10" t="s">
        <v>330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s="3" customFormat="1" ht="18" customHeight="1">
      <c r="A6" s="162">
        <v>1</v>
      </c>
      <c r="B6" s="224" t="s">
        <v>181</v>
      </c>
      <c r="C6" s="225">
        <f>COVER!B13</f>
        <v>0</v>
      </c>
      <c r="D6" s="226">
        <v>1</v>
      </c>
      <c r="E6" s="215"/>
      <c r="F6" s="227">
        <v>21</v>
      </c>
      <c r="G6" s="227"/>
      <c r="H6" s="228">
        <f>COVER!C13</f>
        <v>0</v>
      </c>
      <c r="I6" s="229">
        <f>D6*F6*H6</f>
        <v>0</v>
      </c>
      <c r="J6" s="230"/>
      <c r="K6" s="231">
        <f t="shared" ref="K6:K12" si="0">I6+J6</f>
        <v>0</v>
      </c>
      <c r="L6" s="161">
        <v>27000</v>
      </c>
      <c r="M6" s="163">
        <v>37000</v>
      </c>
      <c r="N6" s="163"/>
      <c r="O6" s="90"/>
      <c r="P6" s="90"/>
      <c r="Q6" s="19"/>
      <c r="R6" s="19"/>
      <c r="S6" s="10"/>
      <c r="T6" s="10">
        <v>18.600000000000001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s="3" customFormat="1" ht="18" customHeight="1">
      <c r="A7" s="162">
        <v>1</v>
      </c>
      <c r="B7" s="224" t="s">
        <v>182</v>
      </c>
      <c r="C7" s="225" t="str">
        <f>COVER!B14</f>
        <v>A536 Gr65-45-12</v>
      </c>
      <c r="D7" s="226">
        <v>1</v>
      </c>
      <c r="E7" s="215"/>
      <c r="F7" s="227">
        <v>33</v>
      </c>
      <c r="G7" s="227"/>
      <c r="H7" s="228">
        <f>COVER!C14</f>
        <v>3500</v>
      </c>
      <c r="I7" s="229">
        <f>D7*F7*H7</f>
        <v>115500</v>
      </c>
      <c r="J7" s="230"/>
      <c r="K7" s="231">
        <f t="shared" si="0"/>
        <v>115500</v>
      </c>
      <c r="L7" s="163">
        <v>53000</v>
      </c>
      <c r="M7" s="163">
        <v>55000</v>
      </c>
      <c r="N7" s="161"/>
      <c r="O7" s="90"/>
      <c r="P7" s="90"/>
      <c r="Q7" s="19"/>
      <c r="R7" s="19"/>
      <c r="S7" s="10"/>
      <c r="T7" s="10">
        <v>27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s="3" customFormat="1" ht="18" customHeight="1">
      <c r="A8" s="162">
        <v>1</v>
      </c>
      <c r="B8" s="224" t="s">
        <v>183</v>
      </c>
      <c r="C8" s="225">
        <f>COVER!B15</f>
        <v>0</v>
      </c>
      <c r="D8" s="226">
        <v>1</v>
      </c>
      <c r="E8" s="215"/>
      <c r="F8" s="227">
        <v>48</v>
      </c>
      <c r="G8" s="227"/>
      <c r="H8" s="228">
        <f>COVER!C15</f>
        <v>0</v>
      </c>
      <c r="I8" s="229">
        <f>D8*F8*H8</f>
        <v>0</v>
      </c>
      <c r="J8" s="230"/>
      <c r="K8" s="231">
        <f t="shared" si="0"/>
        <v>0</v>
      </c>
      <c r="L8" s="163">
        <v>70500</v>
      </c>
      <c r="M8" s="161">
        <f>L8*1.05</f>
        <v>74025</v>
      </c>
      <c r="N8" s="161"/>
      <c r="O8" s="90"/>
      <c r="P8" s="90"/>
      <c r="Q8" s="19"/>
      <c r="R8" s="19"/>
      <c r="S8" s="10"/>
      <c r="T8" s="10">
        <v>48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s="3" customFormat="1" ht="18" customHeight="1">
      <c r="A9" s="162">
        <v>2</v>
      </c>
      <c r="B9" s="232" t="s">
        <v>2</v>
      </c>
      <c r="C9" s="225" t="str">
        <f>COVER!B16</f>
        <v>A351 CF8M</v>
      </c>
      <c r="D9" s="226">
        <v>1</v>
      </c>
      <c r="E9" s="215"/>
      <c r="F9" s="227">
        <f>IF(COVER!B34="10 BAR",Q9,IF(COVER!B34="16 BAR",R9,IF(COVER!B34="20 BAR",R9)))</f>
        <v>6</v>
      </c>
      <c r="G9" s="227"/>
      <c r="H9" s="228">
        <f>COVER!C16</f>
        <v>12000</v>
      </c>
      <c r="I9" s="233">
        <f>D9*F9*H9</f>
        <v>72000</v>
      </c>
      <c r="J9" s="230"/>
      <c r="K9" s="234">
        <f t="shared" si="0"/>
        <v>72000</v>
      </c>
      <c r="L9" s="163">
        <v>13200</v>
      </c>
      <c r="M9" s="163">
        <v>11000</v>
      </c>
      <c r="N9" s="163">
        <v>12000</v>
      </c>
      <c r="O9" s="161">
        <f>P9*0.8</f>
        <v>19200</v>
      </c>
      <c r="P9" s="163">
        <v>24000</v>
      </c>
      <c r="Q9" s="19">
        <v>6</v>
      </c>
      <c r="R9" s="19">
        <v>10</v>
      </c>
      <c r="S9" s="10"/>
      <c r="T9" s="10">
        <v>6.5</v>
      </c>
      <c r="U9" s="10"/>
      <c r="V9" s="10">
        <f>P9/M9</f>
        <v>2.1818181818181817</v>
      </c>
      <c r="W9" s="10"/>
      <c r="X9" s="10"/>
      <c r="Y9" s="10"/>
      <c r="Z9" s="10"/>
      <c r="AA9" s="10"/>
      <c r="AB9" s="10"/>
      <c r="AC9" s="10"/>
      <c r="AD9" s="10"/>
      <c r="AE9" s="10"/>
    </row>
    <row r="10" spans="1:31" s="3" customFormat="1" ht="18" customHeight="1">
      <c r="A10" s="207">
        <v>3</v>
      </c>
      <c r="B10" s="235" t="s">
        <v>3</v>
      </c>
      <c r="C10" s="236" t="str">
        <f>COVER!B18</f>
        <v>EPDM</v>
      </c>
      <c r="D10" s="214">
        <v>1</v>
      </c>
      <c r="E10" s="215"/>
      <c r="F10" s="227">
        <v>1</v>
      </c>
      <c r="G10" s="227"/>
      <c r="H10" s="228">
        <f>IF(C10="NBR",L10,IF(C10="EPDM",L10,IF(C10="VITON",M10)))</f>
        <v>7820</v>
      </c>
      <c r="I10" s="233">
        <f>H10*F10*D10</f>
        <v>7820</v>
      </c>
      <c r="J10" s="230"/>
      <c r="K10" s="234">
        <f t="shared" si="0"/>
        <v>7820</v>
      </c>
      <c r="L10" s="163">
        <v>7820</v>
      </c>
      <c r="M10" s="163">
        <v>110000</v>
      </c>
      <c r="N10" s="190">
        <v>38000</v>
      </c>
      <c r="O10" s="163">
        <v>15000</v>
      </c>
      <c r="P10" s="163">
        <v>11000</v>
      </c>
      <c r="Q10" s="19"/>
      <c r="R10" s="1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s="3" customFormat="1" ht="18" customHeight="1">
      <c r="A11" s="207">
        <v>4</v>
      </c>
      <c r="B11" s="235" t="s">
        <v>203</v>
      </c>
      <c r="C11" s="214" t="str">
        <f>COVER!B17</f>
        <v>A564T630</v>
      </c>
      <c r="D11" s="214">
        <v>1</v>
      </c>
      <c r="E11" s="215"/>
      <c r="F11" s="237">
        <v>1.99</v>
      </c>
      <c r="G11" s="238"/>
      <c r="H11" s="228">
        <f>COVER!C17</f>
        <v>10000</v>
      </c>
      <c r="I11" s="233">
        <f>D11*F11*H11</f>
        <v>19900</v>
      </c>
      <c r="J11" s="233"/>
      <c r="K11" s="234">
        <f t="shared" si="0"/>
        <v>19900</v>
      </c>
      <c r="L11" s="163" t="s">
        <v>270</v>
      </c>
      <c r="M11" s="163">
        <v>4500</v>
      </c>
      <c r="N11" s="90">
        <v>3000</v>
      </c>
      <c r="O11" s="90"/>
      <c r="P11" s="90"/>
      <c r="Q11" s="18">
        <v>1.99</v>
      </c>
      <c r="R11" s="18"/>
      <c r="S11" s="108"/>
      <c r="T11" s="10">
        <v>1.4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s="3" customFormat="1" ht="18" customHeight="1">
      <c r="A12" s="207">
        <v>5</v>
      </c>
      <c r="B12" s="235" t="s">
        <v>184</v>
      </c>
      <c r="C12" s="214" t="str">
        <f>COVER!B19</f>
        <v>NBR</v>
      </c>
      <c r="D12" s="214">
        <v>1</v>
      </c>
      <c r="E12" s="215"/>
      <c r="F12" s="237">
        <v>1</v>
      </c>
      <c r="G12" s="227"/>
      <c r="H12" s="230">
        <f>IF(C12="NBR",L12+N12,IF(C12="EPDM",L12+N12,IF(C12="VITON",M12+N12)))</f>
        <v>330</v>
      </c>
      <c r="I12" s="233">
        <f>D12*F12*H12</f>
        <v>330</v>
      </c>
      <c r="J12" s="233"/>
      <c r="K12" s="234">
        <f t="shared" si="0"/>
        <v>330</v>
      </c>
      <c r="L12" s="163">
        <v>140</v>
      </c>
      <c r="M12" s="163">
        <v>1140</v>
      </c>
      <c r="N12" s="163">
        <v>190</v>
      </c>
      <c r="O12" s="90"/>
      <c r="P12" s="90"/>
      <c r="Q12" s="19"/>
      <c r="R12" s="19"/>
      <c r="S12" s="10"/>
      <c r="T12" s="10"/>
      <c r="U12" s="10"/>
      <c r="V12" s="10">
        <f>M9/L9</f>
        <v>0.83333333333333337</v>
      </c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s="3" customFormat="1" ht="18" customHeight="1">
      <c r="A13" s="207">
        <v>6</v>
      </c>
      <c r="B13" s="235" t="s">
        <v>163</v>
      </c>
      <c r="C13" s="214"/>
      <c r="D13" s="214">
        <v>0</v>
      </c>
      <c r="E13" s="215"/>
      <c r="F13" s="227"/>
      <c r="G13" s="227"/>
      <c r="H13" s="228"/>
      <c r="I13" s="233"/>
      <c r="J13" s="233"/>
      <c r="K13" s="234"/>
      <c r="L13" s="344" t="s">
        <v>202</v>
      </c>
      <c r="M13" s="345"/>
      <c r="N13" s="345"/>
      <c r="O13" s="345"/>
      <c r="P13" s="346"/>
      <c r="Q13" s="19"/>
      <c r="R13" s="19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s="3" customFormat="1" ht="18" customHeight="1">
      <c r="A14" s="207">
        <v>7</v>
      </c>
      <c r="B14" s="235" t="s">
        <v>4</v>
      </c>
      <c r="C14" s="214" t="str">
        <f>C11</f>
        <v>A564T630</v>
      </c>
      <c r="D14" s="214">
        <v>3</v>
      </c>
      <c r="E14" s="215"/>
      <c r="F14" s="237">
        <v>1</v>
      </c>
      <c r="G14" s="227"/>
      <c r="H14" s="228">
        <f>L14</f>
        <v>2100</v>
      </c>
      <c r="I14" s="233">
        <f>D14*F14*H14</f>
        <v>6300</v>
      </c>
      <c r="J14" s="233"/>
      <c r="K14" s="234">
        <f>I14+J14</f>
        <v>6300</v>
      </c>
      <c r="L14" s="163">
        <v>2100</v>
      </c>
      <c r="M14" s="163"/>
      <c r="N14" s="163"/>
      <c r="O14" s="163"/>
      <c r="P14" s="163"/>
      <c r="Q14" s="19"/>
      <c r="R14" s="19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s="3" customFormat="1" ht="18" customHeight="1">
      <c r="A15" s="207">
        <v>8</v>
      </c>
      <c r="B15" s="235" t="s">
        <v>386</v>
      </c>
      <c r="C15" s="214" t="str">
        <f>COVER!B22</f>
        <v>BODY MATERIAL</v>
      </c>
      <c r="D15" s="214">
        <v>0</v>
      </c>
      <c r="E15" s="215"/>
      <c r="F15" s="215"/>
      <c r="G15" s="227"/>
      <c r="H15" s="228"/>
      <c r="I15" s="233"/>
      <c r="J15" s="233"/>
      <c r="K15" s="234"/>
      <c r="L15" s="344" t="s">
        <v>202</v>
      </c>
      <c r="M15" s="345"/>
      <c r="N15" s="345"/>
      <c r="O15" s="345"/>
      <c r="P15" s="346"/>
      <c r="Q15" s="164"/>
      <c r="R15" s="164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s="3" customFormat="1" ht="18" customHeight="1">
      <c r="A16" s="207">
        <v>9</v>
      </c>
      <c r="B16" s="235" t="s">
        <v>217</v>
      </c>
      <c r="C16" s="214" t="str">
        <f>COVER!B23</f>
        <v>B8M</v>
      </c>
      <c r="D16" s="214">
        <v>0</v>
      </c>
      <c r="E16" s="215"/>
      <c r="F16" s="239"/>
      <c r="G16" s="227"/>
      <c r="H16" s="228"/>
      <c r="I16" s="233"/>
      <c r="J16" s="233"/>
      <c r="K16" s="234"/>
      <c r="L16" s="344" t="s">
        <v>202</v>
      </c>
      <c r="M16" s="345"/>
      <c r="N16" s="345"/>
      <c r="O16" s="345"/>
      <c r="P16" s="346"/>
      <c r="Q16" s="19"/>
      <c r="R16" s="19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s="3" customFormat="1" ht="18" customHeight="1">
      <c r="A17" s="207">
        <v>10</v>
      </c>
      <c r="B17" s="235" t="s">
        <v>221</v>
      </c>
      <c r="C17" s="214" t="str">
        <f>COVER!B24</f>
        <v>ALBC2</v>
      </c>
      <c r="D17" s="214">
        <v>0</v>
      </c>
      <c r="E17" s="215"/>
      <c r="F17" s="239"/>
      <c r="G17" s="227"/>
      <c r="H17" s="228"/>
      <c r="I17" s="233"/>
      <c r="J17" s="233"/>
      <c r="K17" s="234"/>
      <c r="L17" s="344" t="s">
        <v>202</v>
      </c>
      <c r="M17" s="345"/>
      <c r="N17" s="345"/>
      <c r="O17" s="345"/>
      <c r="P17" s="346"/>
      <c r="Q17" s="202"/>
      <c r="R17" s="19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s="3" customFormat="1" ht="18" customHeight="1">
      <c r="A18" s="207">
        <v>11</v>
      </c>
      <c r="B18" s="235" t="s">
        <v>187</v>
      </c>
      <c r="C18" s="214" t="s">
        <v>352</v>
      </c>
      <c r="D18" s="214">
        <v>1</v>
      </c>
      <c r="E18" s="215"/>
      <c r="F18" s="239"/>
      <c r="G18" s="227"/>
      <c r="H18" s="228">
        <f>M18</f>
        <v>1300</v>
      </c>
      <c r="I18" s="233">
        <f>H18*D18</f>
        <v>1300</v>
      </c>
      <c r="J18" s="233"/>
      <c r="K18" s="234">
        <f t="shared" ref="K18:K22" si="1">I18+J18</f>
        <v>1300</v>
      </c>
      <c r="L18" s="163" t="s">
        <v>377</v>
      </c>
      <c r="M18" s="163">
        <v>1300</v>
      </c>
      <c r="N18" s="163"/>
      <c r="O18" s="163"/>
      <c r="P18" s="163"/>
      <c r="Q18" s="203" t="s">
        <v>379</v>
      </c>
      <c r="R18" s="165"/>
      <c r="S18" s="145"/>
      <c r="T18" s="145"/>
      <c r="U18" s="145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s="3" customFormat="1" ht="18" customHeight="1">
      <c r="A19" s="207">
        <v>12</v>
      </c>
      <c r="B19" s="235" t="s">
        <v>189</v>
      </c>
      <c r="C19" s="214" t="str">
        <f>COVER!B26</f>
        <v>B8M</v>
      </c>
      <c r="D19" s="214">
        <v>2</v>
      </c>
      <c r="E19" s="215"/>
      <c r="F19" s="239"/>
      <c r="G19" s="227"/>
      <c r="H19" s="230">
        <f>IF(C19="B8",M19,IF(C19="B8M",N19))</f>
        <v>200</v>
      </c>
      <c r="I19" s="240">
        <f>H19*D19</f>
        <v>400</v>
      </c>
      <c r="J19" s="233"/>
      <c r="K19" s="234">
        <f t="shared" si="1"/>
        <v>400</v>
      </c>
      <c r="L19" s="163"/>
      <c r="M19" s="163">
        <v>200</v>
      </c>
      <c r="N19" s="163">
        <v>200</v>
      </c>
      <c r="O19" s="163"/>
      <c r="P19" s="163"/>
      <c r="Q19" s="204" t="s">
        <v>381</v>
      </c>
      <c r="R19" s="19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s="3" customFormat="1" ht="18" customHeight="1">
      <c r="A20" s="207">
        <v>13</v>
      </c>
      <c r="B20" s="235" t="s">
        <v>188</v>
      </c>
      <c r="C20" s="214" t="str">
        <f>COVER!B27</f>
        <v>B8M</v>
      </c>
      <c r="D20" s="214">
        <v>4</v>
      </c>
      <c r="E20" s="215"/>
      <c r="F20" s="239"/>
      <c r="G20" s="227"/>
      <c r="H20" s="228">
        <f>IF(C20="B8",M20,IF(C20="B8M",N20,IF(C20="B7(다크로)",O20)))</f>
        <v>800</v>
      </c>
      <c r="I20" s="233">
        <f>H20*D20</f>
        <v>3200</v>
      </c>
      <c r="J20" s="233"/>
      <c r="K20" s="234">
        <f t="shared" si="1"/>
        <v>3200</v>
      </c>
      <c r="L20" s="163" t="s">
        <v>388</v>
      </c>
      <c r="M20" s="163">
        <v>500</v>
      </c>
      <c r="N20" s="163">
        <v>800</v>
      </c>
      <c r="O20" s="163">
        <v>500</v>
      </c>
      <c r="P20" s="163"/>
      <c r="Q20" s="204" t="s">
        <v>385</v>
      </c>
      <c r="R20" s="19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s="3" customFormat="1" ht="18" customHeight="1">
      <c r="A21" s="207">
        <v>14</v>
      </c>
      <c r="B21" s="235" t="s">
        <v>5</v>
      </c>
      <c r="C21" s="214" t="s">
        <v>38</v>
      </c>
      <c r="D21" s="214">
        <v>1</v>
      </c>
      <c r="E21" s="215"/>
      <c r="F21" s="239"/>
      <c r="G21" s="227"/>
      <c r="H21" s="228"/>
      <c r="I21" s="233"/>
      <c r="J21" s="241"/>
      <c r="K21" s="234">
        <f t="shared" si="1"/>
        <v>0</v>
      </c>
      <c r="L21" s="344" t="s">
        <v>202</v>
      </c>
      <c r="M21" s="345"/>
      <c r="N21" s="345"/>
      <c r="O21" s="345"/>
      <c r="P21" s="346"/>
      <c r="Q21" s="19"/>
      <c r="R21" s="19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s="3" customFormat="1" ht="18" customHeight="1">
      <c r="A22" s="207">
        <v>15</v>
      </c>
      <c r="B22" s="235" t="s">
        <v>6</v>
      </c>
      <c r="C22" s="214" t="str">
        <f>COVER!B34</f>
        <v>10 BAR</v>
      </c>
      <c r="D22" s="214">
        <v>1</v>
      </c>
      <c r="E22" s="215"/>
      <c r="F22" s="239"/>
      <c r="G22" s="242"/>
      <c r="H22" s="228"/>
      <c r="I22" s="233">
        <f>IF(C22="10 BAR",M22,IF(C22="16 BAR",N22,IF(C22="20 BAR",O22)))</f>
        <v>123000</v>
      </c>
      <c r="J22" s="241"/>
      <c r="K22" s="234">
        <f t="shared" si="1"/>
        <v>123000</v>
      </c>
      <c r="L22" s="163"/>
      <c r="M22" s="163">
        <v>123000</v>
      </c>
      <c r="N22" s="163">
        <v>203000</v>
      </c>
      <c r="O22" s="163">
        <v>203000</v>
      </c>
      <c r="P22" s="163"/>
      <c r="Q22" s="19"/>
      <c r="R22" s="19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s="3" customFormat="1" ht="18" customHeight="1">
      <c r="A23" s="207">
        <v>16</v>
      </c>
      <c r="B23" s="235" t="s">
        <v>7</v>
      </c>
      <c r="C23" s="214" t="str">
        <f>COVER!B32</f>
        <v>기존 단가</v>
      </c>
      <c r="D23" s="214">
        <v>1</v>
      </c>
      <c r="E23" s="215"/>
      <c r="F23" s="239"/>
      <c r="G23" s="242"/>
      <c r="H23" s="228">
        <f>IF(COVER!B9="APPLICATION",0,IF(COVER!B32="기존 단가",L23,IF(COVER!B32="외주 2COATING",M23,IF(COVER!B32="외주 3COATING",N23))))</f>
        <v>12500</v>
      </c>
      <c r="I23" s="233">
        <f>H23</f>
        <v>12500</v>
      </c>
      <c r="J23" s="233"/>
      <c r="K23" s="234"/>
      <c r="L23" s="163">
        <v>12500</v>
      </c>
      <c r="M23" s="163">
        <f>IF(H6&gt;0,F6*520,IF(H7&gt;0,F7*520,IF(H8&gt;0,F8*520)))</f>
        <v>17160</v>
      </c>
      <c r="N23" s="163">
        <f>IF(H6&gt;0,F6*620,IF(H7&gt;0,F7*620,IF(H8&gt;0,F8*620)))</f>
        <v>20460</v>
      </c>
      <c r="O23" s="90"/>
      <c r="P23" s="182"/>
      <c r="Q23" s="19"/>
      <c r="R23" s="19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s="3" customFormat="1" ht="18" customHeight="1">
      <c r="A24" s="207">
        <v>17</v>
      </c>
      <c r="B24" s="235" t="s">
        <v>174</v>
      </c>
      <c r="C24" s="214"/>
      <c r="D24" s="214">
        <v>1</v>
      </c>
      <c r="E24" s="215"/>
      <c r="F24" s="239"/>
      <c r="G24" s="242"/>
      <c r="H24" s="228">
        <f>IF(COVER!B9="APPLICATION",0,IF(COVER!B9="N/A",L24))</f>
        <v>12500</v>
      </c>
      <c r="I24" s="233">
        <f>H24</f>
        <v>12500</v>
      </c>
      <c r="J24" s="234"/>
      <c r="K24" s="234"/>
      <c r="L24" s="211">
        <v>12500</v>
      </c>
      <c r="M24" s="90"/>
      <c r="N24" s="90"/>
      <c r="O24" s="90"/>
      <c r="P24" s="90"/>
      <c r="Q24" s="19"/>
      <c r="R24" s="19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s="3" customFormat="1" ht="18" customHeight="1">
      <c r="A25" s="207">
        <v>18</v>
      </c>
      <c r="B25" s="97" t="s">
        <v>175</v>
      </c>
      <c r="C25" s="14"/>
      <c r="D25" s="14"/>
      <c r="E25" s="15"/>
      <c r="F25" s="15"/>
      <c r="G25" s="15"/>
      <c r="H25" s="15"/>
      <c r="I25" s="98"/>
      <c r="J25" s="98"/>
      <c r="K25" s="16">
        <f>SUM(K6:K20)+SUM(K23:K24)</f>
        <v>226750</v>
      </c>
      <c r="L25" s="161" t="s">
        <v>248</v>
      </c>
      <c r="M25" s="90"/>
      <c r="N25" s="90"/>
      <c r="O25" s="90"/>
      <c r="P25" s="90"/>
      <c r="Q25" s="19"/>
      <c r="R25" s="19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s="3" customFormat="1" ht="18" customHeight="1">
      <c r="A26" s="207">
        <v>18</v>
      </c>
      <c r="B26" s="97" t="s">
        <v>176</v>
      </c>
      <c r="C26" s="14"/>
      <c r="D26" s="14"/>
      <c r="E26" s="15"/>
      <c r="F26" s="15"/>
      <c r="G26" s="15"/>
      <c r="H26" s="15"/>
      <c r="I26" s="98"/>
      <c r="J26" s="98"/>
      <c r="K26" s="16">
        <f>SUM(K6:K21)+SUM(K23:K24)</f>
        <v>226750</v>
      </c>
      <c r="L26" s="161" t="s">
        <v>248</v>
      </c>
      <c r="M26" s="90"/>
      <c r="N26" s="90"/>
      <c r="O26" s="90"/>
      <c r="P26" s="90"/>
      <c r="Q26" s="19"/>
      <c r="R26" s="19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s="3" customFormat="1" ht="18" customHeight="1">
      <c r="A27" s="207">
        <v>18</v>
      </c>
      <c r="B27" s="97" t="s">
        <v>177</v>
      </c>
      <c r="C27" s="14"/>
      <c r="D27" s="14"/>
      <c r="E27" s="15"/>
      <c r="F27" s="15"/>
      <c r="G27" s="15"/>
      <c r="H27" s="15"/>
      <c r="I27" s="98"/>
      <c r="J27" s="98"/>
      <c r="K27" s="16">
        <f>SUM(K6:K20)+SUM(K22:K24)</f>
        <v>349750</v>
      </c>
      <c r="L27" s="161" t="s">
        <v>248</v>
      </c>
      <c r="M27" s="90"/>
      <c r="N27" s="90"/>
      <c r="O27" s="90"/>
      <c r="P27" s="90"/>
      <c r="Q27" s="19"/>
      <c r="R27" s="19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s="3" customFormat="1" ht="18" customHeight="1">
      <c r="A28" s="207">
        <v>19</v>
      </c>
      <c r="B28" s="235" t="s">
        <v>237</v>
      </c>
      <c r="C28" s="214" t="str">
        <f>COVER!B28</f>
        <v>REQUIRED</v>
      </c>
      <c r="D28" s="214">
        <v>0</v>
      </c>
      <c r="E28" s="215"/>
      <c r="F28" s="239"/>
      <c r="G28" s="215"/>
      <c r="H28" s="233">
        <f>IF(C28="REQUIRED",L28,IF(C28="N/A",0))</f>
        <v>14000</v>
      </c>
      <c r="I28" s="233">
        <f>H28</f>
        <v>14000</v>
      </c>
      <c r="J28" s="215"/>
      <c r="K28" s="234"/>
      <c r="L28" s="163">
        <v>14000</v>
      </c>
      <c r="M28" s="90"/>
      <c r="N28" s="90"/>
      <c r="O28" s="90"/>
      <c r="P28" s="90"/>
      <c r="Q28" s="19"/>
      <c r="R28" s="19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s="3" customFormat="1" ht="18" customHeight="1">
      <c r="A29" s="207">
        <v>20</v>
      </c>
      <c r="B29" s="235" t="s">
        <v>180</v>
      </c>
      <c r="C29" s="214"/>
      <c r="D29" s="214">
        <v>0</v>
      </c>
      <c r="E29" s="215"/>
      <c r="F29" s="239"/>
      <c r="G29" s="215"/>
      <c r="H29" s="215"/>
      <c r="I29" s="215"/>
      <c r="J29" s="215"/>
      <c r="K29" s="234"/>
      <c r="L29" s="161"/>
      <c r="M29" s="90"/>
      <c r="N29" s="90"/>
      <c r="O29" s="90"/>
      <c r="P29" s="90"/>
      <c r="Q29" s="19"/>
      <c r="R29" s="19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s="3" customFormat="1" ht="18" customHeight="1">
      <c r="A30" s="207">
        <v>21</v>
      </c>
      <c r="B30" s="235" t="s">
        <v>178</v>
      </c>
      <c r="C30" s="214" t="str">
        <f>COVER!B35</f>
        <v>MOTOR</v>
      </c>
      <c r="D30" s="214">
        <v>1</v>
      </c>
      <c r="E30" s="215"/>
      <c r="F30" s="239"/>
      <c r="G30" s="215"/>
      <c r="H30" s="233">
        <f>IF(COVER!B9="APPLICATION",0,IF(COVER!B35="BARE",M30,(IF(COVER!B35="LEVER",M30,IF(COVER!B35="GEAR",N30,IF(COVER!B35="MOTOR",O30))))))</f>
        <v>60000</v>
      </c>
      <c r="I30" s="234">
        <f>H30</f>
        <v>60000</v>
      </c>
      <c r="J30" s="215"/>
      <c r="K30" s="234"/>
      <c r="L30" s="163">
        <v>24200</v>
      </c>
      <c r="M30" s="163">
        <v>16000</v>
      </c>
      <c r="N30" s="163">
        <v>16000</v>
      </c>
      <c r="O30" s="163">
        <v>60000</v>
      </c>
      <c r="P30" s="90"/>
      <c r="Q30" s="19"/>
      <c r="R30" s="19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s="3" customFormat="1" ht="18" customHeight="1">
      <c r="A31" s="207">
        <v>22</v>
      </c>
      <c r="B31" s="235"/>
      <c r="C31" s="214"/>
      <c r="D31" s="214"/>
      <c r="E31" s="215"/>
      <c r="F31" s="239"/>
      <c r="G31" s="215"/>
      <c r="H31" s="215"/>
      <c r="I31" s="215"/>
      <c r="J31" s="215"/>
      <c r="K31" s="234"/>
      <c r="L31" s="161"/>
      <c r="M31" s="90"/>
      <c r="N31" s="90"/>
      <c r="O31" s="90"/>
      <c r="P31" s="90"/>
      <c r="Q31" s="19"/>
      <c r="R31" s="19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s="3" customFormat="1" ht="18" customHeight="1">
      <c r="A32" s="207">
        <v>23</v>
      </c>
      <c r="B32" s="89" t="s">
        <v>179</v>
      </c>
      <c r="C32" s="14"/>
      <c r="D32" s="99"/>
      <c r="E32" s="15"/>
      <c r="F32" s="15"/>
      <c r="G32" s="15"/>
      <c r="H32" s="15"/>
      <c r="I32" s="100"/>
      <c r="J32" s="101"/>
      <c r="K32" s="100">
        <f>SUM(K28:K31)</f>
        <v>0</v>
      </c>
      <c r="L32" s="161" t="s">
        <v>249</v>
      </c>
      <c r="M32" s="90"/>
      <c r="N32" s="90"/>
      <c r="O32" s="90"/>
      <c r="P32" s="90"/>
      <c r="Q32" s="19"/>
      <c r="R32" s="19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s="3" customFormat="1" ht="18" customHeight="1">
      <c r="A33" s="162">
        <v>24</v>
      </c>
      <c r="B33" s="216" t="s">
        <v>252</v>
      </c>
      <c r="C33" s="217"/>
      <c r="D33" s="218"/>
      <c r="E33" s="219"/>
      <c r="F33" s="219"/>
      <c r="G33" s="219"/>
      <c r="H33" s="219"/>
      <c r="I33" s="220"/>
      <c r="J33" s="221"/>
      <c r="K33" s="220">
        <f>K25+K32</f>
        <v>226750</v>
      </c>
      <c r="L33" s="161" t="s">
        <v>257</v>
      </c>
      <c r="M33" s="90"/>
      <c r="N33" s="90"/>
      <c r="O33" s="90"/>
      <c r="P33" s="90"/>
      <c r="Q33" s="19"/>
      <c r="R33" s="19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s="3" customFormat="1" ht="18" customHeight="1">
      <c r="A34" s="162">
        <v>24</v>
      </c>
      <c r="B34" s="216" t="s">
        <v>255</v>
      </c>
      <c r="C34" s="217"/>
      <c r="D34" s="218"/>
      <c r="E34" s="219"/>
      <c r="F34" s="219"/>
      <c r="G34" s="219"/>
      <c r="H34" s="219"/>
      <c r="I34" s="220"/>
      <c r="J34" s="221"/>
      <c r="K34" s="220">
        <f>K26+K32</f>
        <v>226750</v>
      </c>
      <c r="L34" s="161" t="s">
        <v>257</v>
      </c>
      <c r="M34" s="90"/>
      <c r="N34" s="90"/>
      <c r="O34" s="90"/>
      <c r="P34" s="90"/>
      <c r="Q34" s="19"/>
      <c r="R34" s="19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s="3" customFormat="1" ht="18" customHeight="1">
      <c r="A35" s="162">
        <v>24</v>
      </c>
      <c r="B35" s="216" t="s">
        <v>256</v>
      </c>
      <c r="C35" s="217"/>
      <c r="D35" s="218"/>
      <c r="E35" s="219"/>
      <c r="F35" s="219"/>
      <c r="G35" s="219"/>
      <c r="H35" s="219"/>
      <c r="I35" s="220"/>
      <c r="J35" s="221"/>
      <c r="K35" s="220">
        <f>K27+K32</f>
        <v>349750</v>
      </c>
      <c r="L35" s="161" t="s">
        <v>257</v>
      </c>
      <c r="M35" s="90"/>
      <c r="N35" s="90"/>
      <c r="O35" s="90"/>
      <c r="P35" s="90"/>
      <c r="Q35" s="19"/>
      <c r="R35" s="19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s="4" customFormat="1" ht="18" customHeight="1">
      <c r="A36" s="162">
        <v>25</v>
      </c>
      <c r="B36" s="102" t="s">
        <v>407</v>
      </c>
      <c r="C36" s="103"/>
      <c r="D36" s="103"/>
      <c r="E36" s="104"/>
      <c r="F36" s="105"/>
      <c r="G36" s="105"/>
      <c r="H36" s="106"/>
      <c r="I36" s="223" t="s">
        <v>41</v>
      </c>
      <c r="J36" s="223">
        <v>0.7</v>
      </c>
      <c r="K36" s="107">
        <f>(K25+K32)/J36</f>
        <v>323928.57142857142</v>
      </c>
      <c r="L36" s="161" t="s">
        <v>250</v>
      </c>
      <c r="M36" s="90"/>
      <c r="N36" s="90"/>
      <c r="O36" s="90"/>
      <c r="P36" s="90"/>
      <c r="Q36" s="19"/>
      <c r="R36" s="19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s="4" customFormat="1" ht="18" customHeight="1">
      <c r="A37" s="162">
        <v>25</v>
      </c>
      <c r="B37" s="102" t="s">
        <v>408</v>
      </c>
      <c r="C37" s="103"/>
      <c r="D37" s="103"/>
      <c r="E37" s="104"/>
      <c r="F37" s="105"/>
      <c r="G37" s="105"/>
      <c r="H37" s="106"/>
      <c r="I37" s="223" t="s">
        <v>41</v>
      </c>
      <c r="J37" s="223">
        <v>0.7</v>
      </c>
      <c r="K37" s="107">
        <f>(K26+K32)/J37</f>
        <v>323928.57142857142</v>
      </c>
      <c r="L37" s="161" t="s">
        <v>250</v>
      </c>
      <c r="M37" s="90"/>
      <c r="N37" s="90"/>
      <c r="O37" s="90"/>
      <c r="P37" s="90"/>
      <c r="Q37" s="19"/>
      <c r="R37" s="19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s="4" customFormat="1" ht="18" customHeight="1">
      <c r="A38" s="162">
        <v>25</v>
      </c>
      <c r="B38" s="102" t="s">
        <v>409</v>
      </c>
      <c r="C38" s="103"/>
      <c r="D38" s="103"/>
      <c r="E38" s="104"/>
      <c r="F38" s="105"/>
      <c r="G38" s="105"/>
      <c r="H38" s="106"/>
      <c r="I38" s="223" t="s">
        <v>41</v>
      </c>
      <c r="J38" s="223">
        <v>0.7</v>
      </c>
      <c r="K38" s="107">
        <f>(K27+K32)/J38</f>
        <v>499642.85714285716</v>
      </c>
      <c r="L38" s="161" t="s">
        <v>250</v>
      </c>
      <c r="M38" s="90"/>
      <c r="N38" s="90"/>
      <c r="O38" s="90"/>
      <c r="P38" s="90"/>
      <c r="Q38" s="19"/>
      <c r="R38" s="19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s="4" customFormat="1" ht="18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57"/>
      <c r="M39" s="108"/>
      <c r="N39" s="108"/>
      <c r="O39" s="108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s="4" customFormat="1" ht="18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57"/>
      <c r="M40" s="108"/>
      <c r="N40" s="108"/>
      <c r="O40" s="108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s="4" customFormat="1" ht="18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57"/>
      <c r="M41" s="108"/>
      <c r="N41" s="108"/>
      <c r="O41" s="108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s="4" customFormat="1" ht="18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57"/>
      <c r="M42" s="108"/>
      <c r="N42" s="108"/>
      <c r="O42" s="108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s="4" customFormat="1" ht="18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57"/>
      <c r="M43" s="108"/>
      <c r="N43" s="108"/>
      <c r="O43" s="108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s="4" customFormat="1" ht="18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57"/>
      <c r="M44" s="108"/>
      <c r="N44" s="108"/>
      <c r="O44" s="108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s="4" customFormat="1" ht="18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57"/>
      <c r="M45" s="108"/>
      <c r="N45" s="108"/>
      <c r="O45" s="108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s="4" customFormat="1" ht="18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57"/>
      <c r="M46" s="108"/>
      <c r="N46" s="108"/>
      <c r="O46" s="108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s="4" customFormat="1" ht="12.75">
      <c r="A47" s="10"/>
      <c r="B47" s="10"/>
      <c r="C47" s="10"/>
      <c r="D47" s="109"/>
      <c r="E47" s="10"/>
      <c r="F47" s="10"/>
      <c r="G47" s="10"/>
      <c r="H47" s="10"/>
      <c r="I47" s="10"/>
      <c r="J47" s="10"/>
      <c r="K47" s="10"/>
      <c r="L47" s="108"/>
      <c r="M47" s="108"/>
      <c r="N47" s="108"/>
      <c r="O47" s="108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s="4" customFormat="1" ht="12.7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57"/>
      <c r="M48" s="108"/>
      <c r="N48" s="108"/>
      <c r="O48" s="108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s="4" customFormat="1" ht="12.7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57"/>
      <c r="M49" s="108"/>
      <c r="N49" s="108"/>
      <c r="O49" s="108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s="5" customForma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57"/>
      <c r="M50" s="87"/>
      <c r="N50" s="87"/>
      <c r="O50" s="8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s="5" customForma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57"/>
      <c r="M51" s="87"/>
      <c r="N51" s="87"/>
      <c r="O51" s="87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s="5" customForma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57"/>
      <c r="M52" s="87"/>
      <c r="N52" s="87"/>
      <c r="O52" s="87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</sheetData>
  <mergeCells count="9">
    <mergeCell ref="L21:P21"/>
    <mergeCell ref="L16:P16"/>
    <mergeCell ref="L17:P17"/>
    <mergeCell ref="A1:K1"/>
    <mergeCell ref="D3:E3"/>
    <mergeCell ref="F3:H3"/>
    <mergeCell ref="L4:P4"/>
    <mergeCell ref="L13:P13"/>
    <mergeCell ref="L15:P15"/>
  </mergeCells>
  <phoneticPr fontId="7" type="noConversion"/>
  <pageMargins left="0.75" right="0.75" top="1" bottom="1" header="0.5" footer="0.5"/>
  <pageSetup paperSize="9" scale="62" orientation="portrait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AE52"/>
  <sheetViews>
    <sheetView view="pageBreakPreview" zoomScale="90" zoomScaleNormal="100" zoomScaleSheetLayoutView="90" workbookViewId="0">
      <selection activeCell="M28" sqref="M28"/>
    </sheetView>
  </sheetViews>
  <sheetFormatPr defaultColWidth="8.88671875" defaultRowHeight="13.5"/>
  <cols>
    <col min="1" max="1" width="5.26171875" style="10" customWidth="1"/>
    <col min="2" max="2" width="20.23046875" style="10" bestFit="1" customWidth="1"/>
    <col min="3" max="3" width="14.3828125" style="10" bestFit="1" customWidth="1"/>
    <col min="4" max="4" width="3.7421875" style="10" customWidth="1"/>
    <col min="5" max="5" width="8.30078125" style="10" customWidth="1"/>
    <col min="6" max="6" width="6.1953125" style="10" customWidth="1"/>
    <col min="7" max="7" width="5.73046875" style="10" customWidth="1"/>
    <col min="8" max="8" width="8.30078125" style="10" bestFit="1" customWidth="1"/>
    <col min="9" max="9" width="10.9921875" style="10" customWidth="1"/>
    <col min="10" max="10" width="12.74609375" style="10" bestFit="1" customWidth="1"/>
    <col min="11" max="11" width="18.125" style="10" bestFit="1" customWidth="1"/>
    <col min="12" max="12" width="14.265625" style="157" bestFit="1" customWidth="1"/>
    <col min="13" max="13" width="13.796875" style="87" customWidth="1"/>
    <col min="14" max="14" width="12.16015625" style="87" bestFit="1" customWidth="1"/>
    <col min="15" max="15" width="9.703125" style="87" customWidth="1"/>
    <col min="16" max="16" width="12.16015625" style="8" bestFit="1" customWidth="1"/>
    <col min="17" max="18" width="15.43359375" style="8" bestFit="1" customWidth="1"/>
    <col min="19" max="31" width="8.88671875" style="8"/>
    <col min="32" max="16384" width="8.88671875" style="2"/>
  </cols>
  <sheetData>
    <row r="1" spans="1:31" ht="24" thickTop="1" thickBot="1">
      <c r="A1" s="336" t="s">
        <v>190</v>
      </c>
      <c r="B1" s="337"/>
      <c r="C1" s="337"/>
      <c r="D1" s="337"/>
      <c r="E1" s="337"/>
      <c r="F1" s="337"/>
      <c r="G1" s="337"/>
      <c r="H1" s="337"/>
      <c r="I1" s="337"/>
      <c r="J1" s="337"/>
      <c r="K1" s="338"/>
      <c r="M1" s="7"/>
    </row>
    <row r="2" spans="1:31" ht="14.45" customHeight="1" thickTop="1" thickBot="1">
      <c r="A2" s="158"/>
      <c r="B2" s="158"/>
      <c r="C2" s="115"/>
      <c r="E2" s="115"/>
      <c r="F2" s="115"/>
      <c r="G2" s="115"/>
    </row>
    <row r="3" spans="1:31" ht="15" thickTop="1" thickBot="1">
      <c r="A3" s="311" t="s">
        <v>191</v>
      </c>
      <c r="B3" s="310" t="s">
        <v>326</v>
      </c>
      <c r="C3" s="311" t="s">
        <v>192</v>
      </c>
      <c r="D3" s="339" t="s">
        <v>193</v>
      </c>
      <c r="E3" s="340"/>
      <c r="F3" s="341" t="s">
        <v>194</v>
      </c>
      <c r="G3" s="339"/>
      <c r="H3" s="339"/>
      <c r="I3" s="310" t="s">
        <v>195</v>
      </c>
      <c r="J3" s="311" t="s">
        <v>197</v>
      </c>
      <c r="K3" s="310" t="s">
        <v>279</v>
      </c>
      <c r="L3" s="87"/>
      <c r="O3" s="87">
        <v>318275</v>
      </c>
      <c r="P3" s="8">
        <f>O3/0.7</f>
        <v>454678.57142857148</v>
      </c>
    </row>
    <row r="4" spans="1:31" ht="19.149999999999999" customHeight="1" thickTop="1" thickBot="1">
      <c r="J4" s="197" t="s">
        <v>332</v>
      </c>
      <c r="K4" s="310">
        <v>405</v>
      </c>
      <c r="L4" s="342" t="s">
        <v>207</v>
      </c>
      <c r="M4" s="343"/>
      <c r="N4" s="343"/>
      <c r="O4" s="343"/>
      <c r="P4" s="343"/>
    </row>
    <row r="5" spans="1:31" s="3" customFormat="1" ht="25.15" customHeight="1" thickTop="1">
      <c r="A5" s="9" t="s">
        <v>1</v>
      </c>
      <c r="B5" s="9" t="s">
        <v>164</v>
      </c>
      <c r="C5" s="88" t="s">
        <v>165</v>
      </c>
      <c r="D5" s="89" t="s">
        <v>166</v>
      </c>
      <c r="E5" s="9" t="s">
        <v>167</v>
      </c>
      <c r="F5" s="9" t="s">
        <v>168</v>
      </c>
      <c r="G5" s="9" t="s">
        <v>169</v>
      </c>
      <c r="H5" s="9" t="s">
        <v>170</v>
      </c>
      <c r="I5" s="123" t="s">
        <v>171</v>
      </c>
      <c r="J5" s="195" t="s">
        <v>172</v>
      </c>
      <c r="K5" s="196" t="s">
        <v>173</v>
      </c>
      <c r="L5" s="90" t="s">
        <v>198</v>
      </c>
      <c r="M5" s="121" t="s">
        <v>199</v>
      </c>
      <c r="N5" s="90" t="s">
        <v>38</v>
      </c>
      <c r="O5" s="90" t="s">
        <v>200</v>
      </c>
      <c r="P5" s="90" t="s">
        <v>201</v>
      </c>
      <c r="Q5" s="90" t="s">
        <v>265</v>
      </c>
      <c r="R5" s="90" t="s">
        <v>266</v>
      </c>
      <c r="S5" s="10"/>
      <c r="T5" s="10" t="s">
        <v>330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s="3" customFormat="1" ht="18" customHeight="1">
      <c r="A6" s="207">
        <v>1</v>
      </c>
      <c r="B6" s="224" t="s">
        <v>181</v>
      </c>
      <c r="C6" s="225">
        <f>COVER!B13</f>
        <v>0</v>
      </c>
      <c r="D6" s="226">
        <v>1</v>
      </c>
      <c r="E6" s="215"/>
      <c r="F6" s="227">
        <v>33</v>
      </c>
      <c r="G6" s="227"/>
      <c r="H6" s="228">
        <f>COVER!C13</f>
        <v>0</v>
      </c>
      <c r="I6" s="229">
        <f>D6*F6*H6</f>
        <v>0</v>
      </c>
      <c r="J6" s="230"/>
      <c r="K6" s="231">
        <f t="shared" ref="K6:K12" si="0">I6+J6</f>
        <v>0</v>
      </c>
      <c r="L6" s="312">
        <v>27000</v>
      </c>
      <c r="M6" s="163">
        <v>37000</v>
      </c>
      <c r="N6" s="163"/>
      <c r="O6" s="90"/>
      <c r="P6" s="90"/>
      <c r="Q6" s="19"/>
      <c r="R6" s="19"/>
      <c r="S6" s="10"/>
      <c r="T6" s="10">
        <v>18.600000000000001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s="3" customFormat="1" ht="18" customHeight="1">
      <c r="A7" s="207">
        <v>1</v>
      </c>
      <c r="B7" s="224" t="s">
        <v>182</v>
      </c>
      <c r="C7" s="225" t="str">
        <f>COVER!B14</f>
        <v>A536 Gr65-45-12</v>
      </c>
      <c r="D7" s="226">
        <v>1</v>
      </c>
      <c r="E7" s="215"/>
      <c r="F7" s="227">
        <v>48</v>
      </c>
      <c r="G7" s="227"/>
      <c r="H7" s="228">
        <f>COVER!C14</f>
        <v>3500</v>
      </c>
      <c r="I7" s="229">
        <f>D7*F7*H7</f>
        <v>168000</v>
      </c>
      <c r="J7" s="230"/>
      <c r="K7" s="231">
        <f t="shared" si="0"/>
        <v>168000</v>
      </c>
      <c r="L7" s="163">
        <v>53000</v>
      </c>
      <c r="M7" s="163">
        <v>55000</v>
      </c>
      <c r="N7" s="312"/>
      <c r="O7" s="90"/>
      <c r="P7" s="90"/>
      <c r="Q7" s="19"/>
      <c r="R7" s="19"/>
      <c r="S7" s="10"/>
      <c r="T7" s="10">
        <v>27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s="3" customFormat="1" ht="18" customHeight="1">
      <c r="A8" s="207">
        <v>1</v>
      </c>
      <c r="B8" s="224" t="s">
        <v>183</v>
      </c>
      <c r="C8" s="225">
        <f>COVER!B15</f>
        <v>0</v>
      </c>
      <c r="D8" s="226">
        <v>1</v>
      </c>
      <c r="E8" s="215"/>
      <c r="F8" s="227">
        <v>66</v>
      </c>
      <c r="G8" s="227"/>
      <c r="H8" s="228">
        <f>COVER!C15</f>
        <v>0</v>
      </c>
      <c r="I8" s="229">
        <f>D8*F8*H8</f>
        <v>0</v>
      </c>
      <c r="J8" s="230"/>
      <c r="K8" s="231">
        <f t="shared" si="0"/>
        <v>0</v>
      </c>
      <c r="L8" s="163">
        <v>70500</v>
      </c>
      <c r="M8" s="312">
        <f>L8*1.05</f>
        <v>74025</v>
      </c>
      <c r="N8" s="312"/>
      <c r="O8" s="90"/>
      <c r="P8" s="90"/>
      <c r="Q8" s="19"/>
      <c r="R8" s="19"/>
      <c r="S8" s="10"/>
      <c r="T8" s="10">
        <v>48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s="3" customFormat="1" ht="18" customHeight="1">
      <c r="A9" s="207">
        <v>2</v>
      </c>
      <c r="B9" s="232" t="s">
        <v>2</v>
      </c>
      <c r="C9" s="225" t="str">
        <f>COVER!B16</f>
        <v>A351 CF8M</v>
      </c>
      <c r="D9" s="226">
        <v>1</v>
      </c>
      <c r="E9" s="215"/>
      <c r="F9" s="227">
        <f>IF([2]COVER!B34="10 BAR",Q9,IF([2]COVER!B34="16 BAR",R9,IF([2]COVER!B34="20 BAR",R9)))</f>
        <v>10</v>
      </c>
      <c r="G9" s="227"/>
      <c r="H9" s="228">
        <f>COVER!C16</f>
        <v>12000</v>
      </c>
      <c r="I9" s="233">
        <f>D9*F9*H9</f>
        <v>120000</v>
      </c>
      <c r="J9" s="230"/>
      <c r="K9" s="234">
        <f t="shared" si="0"/>
        <v>120000</v>
      </c>
      <c r="L9" s="163">
        <v>13200</v>
      </c>
      <c r="M9" s="163">
        <v>11000</v>
      </c>
      <c r="N9" s="163">
        <v>12000</v>
      </c>
      <c r="O9" s="312">
        <f>P9*0.8</f>
        <v>19200</v>
      </c>
      <c r="P9" s="163">
        <v>24000</v>
      </c>
      <c r="Q9" s="19">
        <v>6</v>
      </c>
      <c r="R9" s="19">
        <v>10</v>
      </c>
      <c r="S9" s="10"/>
      <c r="T9" s="10">
        <v>6.5</v>
      </c>
      <c r="U9" s="10"/>
      <c r="V9" s="10">
        <f>P9/M9</f>
        <v>2.1818181818181817</v>
      </c>
      <c r="W9" s="10"/>
      <c r="X9" s="10"/>
      <c r="Y9" s="10"/>
      <c r="Z9" s="10"/>
      <c r="AA9" s="10"/>
      <c r="AB9" s="10"/>
      <c r="AC9" s="10"/>
      <c r="AD9" s="10"/>
      <c r="AE9" s="10"/>
    </row>
    <row r="10" spans="1:31" s="3" customFormat="1" ht="18" customHeight="1">
      <c r="A10" s="207">
        <v>3</v>
      </c>
      <c r="B10" s="235" t="s">
        <v>3</v>
      </c>
      <c r="C10" s="236" t="str">
        <f>COVER!B18</f>
        <v>EPDM</v>
      </c>
      <c r="D10" s="214">
        <v>1</v>
      </c>
      <c r="E10" s="215"/>
      <c r="F10" s="227">
        <v>1</v>
      </c>
      <c r="G10" s="227"/>
      <c r="H10" s="228">
        <f>IF(C10="NBR",L10,IF(C10="EPDM",L10,IF(C10="VITON",M10)))</f>
        <v>7820</v>
      </c>
      <c r="I10" s="233">
        <f>H10*F10*D10</f>
        <v>7820</v>
      </c>
      <c r="J10" s="230"/>
      <c r="K10" s="234">
        <f t="shared" si="0"/>
        <v>7820</v>
      </c>
      <c r="L10" s="163">
        <v>7820</v>
      </c>
      <c r="M10" s="163">
        <v>110000</v>
      </c>
      <c r="N10" s="312">
        <v>38000</v>
      </c>
      <c r="O10" s="163">
        <v>15000</v>
      </c>
      <c r="P10" s="163">
        <v>11000</v>
      </c>
      <c r="Q10" s="19"/>
      <c r="R10" s="1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s="3" customFormat="1" ht="18" customHeight="1">
      <c r="A11" s="207">
        <v>4</v>
      </c>
      <c r="B11" s="235" t="s">
        <v>203</v>
      </c>
      <c r="C11" s="214" t="str">
        <f>COVER!B17</f>
        <v>A564T630</v>
      </c>
      <c r="D11" s="214">
        <v>1</v>
      </c>
      <c r="E11" s="215"/>
      <c r="F11" s="237">
        <v>3</v>
      </c>
      <c r="G11" s="238"/>
      <c r="H11" s="228">
        <f>COVER!C17</f>
        <v>10000</v>
      </c>
      <c r="I11" s="233">
        <f>D11*F11*H11</f>
        <v>30000</v>
      </c>
      <c r="J11" s="233"/>
      <c r="K11" s="234">
        <f t="shared" si="0"/>
        <v>30000</v>
      </c>
      <c r="L11" s="163" t="s">
        <v>270</v>
      </c>
      <c r="M11" s="163">
        <v>4500</v>
      </c>
      <c r="N11" s="90">
        <v>3000</v>
      </c>
      <c r="O11" s="90"/>
      <c r="P11" s="90"/>
      <c r="Q11" s="18">
        <v>1.99</v>
      </c>
      <c r="R11" s="18"/>
      <c r="S11" s="108"/>
      <c r="T11" s="10">
        <v>1.4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s="3" customFormat="1" ht="18" customHeight="1">
      <c r="A12" s="207">
        <v>5</v>
      </c>
      <c r="B12" s="235" t="s">
        <v>184</v>
      </c>
      <c r="C12" s="214" t="str">
        <f>COVER!B19</f>
        <v>NBR</v>
      </c>
      <c r="D12" s="214">
        <v>1</v>
      </c>
      <c r="E12" s="215"/>
      <c r="F12" s="237">
        <v>1</v>
      </c>
      <c r="G12" s="227"/>
      <c r="H12" s="230">
        <f>IF(C12="NBR",L12+N12,IF(C12="EPDM",L12+N12,IF(C12="VITON",M12+N12)))</f>
        <v>330</v>
      </c>
      <c r="I12" s="233">
        <f>D12*F12*H12</f>
        <v>330</v>
      </c>
      <c r="J12" s="233"/>
      <c r="K12" s="234">
        <f t="shared" si="0"/>
        <v>330</v>
      </c>
      <c r="L12" s="163">
        <v>140</v>
      </c>
      <c r="M12" s="163">
        <v>1140</v>
      </c>
      <c r="N12" s="163">
        <v>190</v>
      </c>
      <c r="O12" s="90"/>
      <c r="P12" s="90"/>
      <c r="Q12" s="19"/>
      <c r="R12" s="19"/>
      <c r="S12" s="10"/>
      <c r="T12" s="10"/>
      <c r="U12" s="10"/>
      <c r="V12" s="10">
        <f>M9/L9</f>
        <v>0.83333333333333337</v>
      </c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s="3" customFormat="1" ht="18" customHeight="1">
      <c r="A13" s="207">
        <v>6</v>
      </c>
      <c r="B13" s="235" t="s">
        <v>163</v>
      </c>
      <c r="C13" s="214"/>
      <c r="D13" s="214">
        <v>0</v>
      </c>
      <c r="E13" s="215"/>
      <c r="F13" s="227"/>
      <c r="G13" s="227"/>
      <c r="H13" s="228"/>
      <c r="I13" s="233"/>
      <c r="J13" s="233"/>
      <c r="K13" s="234"/>
      <c r="L13" s="344" t="s">
        <v>202</v>
      </c>
      <c r="M13" s="345"/>
      <c r="N13" s="345"/>
      <c r="O13" s="345"/>
      <c r="P13" s="346"/>
      <c r="Q13" s="19"/>
      <c r="R13" s="19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s="3" customFormat="1" ht="18" customHeight="1">
      <c r="A14" s="207">
        <v>7</v>
      </c>
      <c r="B14" s="235" t="s">
        <v>4</v>
      </c>
      <c r="C14" s="214" t="str">
        <f>C11</f>
        <v>A564T630</v>
      </c>
      <c r="D14" s="214">
        <v>3</v>
      </c>
      <c r="E14" s="215"/>
      <c r="F14" s="237">
        <v>1</v>
      </c>
      <c r="G14" s="227"/>
      <c r="H14" s="228">
        <f>L14</f>
        <v>2100</v>
      </c>
      <c r="I14" s="233">
        <f>D14*F14*H14</f>
        <v>6300</v>
      </c>
      <c r="J14" s="233"/>
      <c r="K14" s="234">
        <f>I14+J14</f>
        <v>6300</v>
      </c>
      <c r="L14" s="163">
        <v>2100</v>
      </c>
      <c r="M14" s="163"/>
      <c r="N14" s="163"/>
      <c r="O14" s="163"/>
      <c r="P14" s="163"/>
      <c r="Q14" s="19"/>
      <c r="R14" s="19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s="3" customFormat="1" ht="18" customHeight="1">
      <c r="A15" s="207">
        <v>8</v>
      </c>
      <c r="B15" s="235" t="s">
        <v>386</v>
      </c>
      <c r="C15" s="214" t="str">
        <f>COVER!B22</f>
        <v>BODY MATERIAL</v>
      </c>
      <c r="D15" s="214">
        <v>0</v>
      </c>
      <c r="E15" s="215"/>
      <c r="F15" s="215"/>
      <c r="G15" s="227"/>
      <c r="H15" s="228"/>
      <c r="I15" s="233"/>
      <c r="J15" s="233"/>
      <c r="K15" s="234"/>
      <c r="L15" s="344" t="s">
        <v>202</v>
      </c>
      <c r="M15" s="345"/>
      <c r="N15" s="345"/>
      <c r="O15" s="345"/>
      <c r="P15" s="346"/>
      <c r="Q15" s="164"/>
      <c r="R15" s="164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s="3" customFormat="1" ht="18" customHeight="1">
      <c r="A16" s="207">
        <v>9</v>
      </c>
      <c r="B16" s="235" t="s">
        <v>217</v>
      </c>
      <c r="C16" s="214" t="str">
        <f>COVER!B23</f>
        <v>B8M</v>
      </c>
      <c r="D16" s="214">
        <v>0</v>
      </c>
      <c r="E16" s="215"/>
      <c r="F16" s="239"/>
      <c r="G16" s="227"/>
      <c r="H16" s="228"/>
      <c r="I16" s="233"/>
      <c r="J16" s="233"/>
      <c r="K16" s="234"/>
      <c r="L16" s="344" t="s">
        <v>202</v>
      </c>
      <c r="M16" s="345"/>
      <c r="N16" s="345"/>
      <c r="O16" s="345"/>
      <c r="P16" s="346"/>
      <c r="Q16" s="19"/>
      <c r="R16" s="19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s="3" customFormat="1" ht="18" customHeight="1">
      <c r="A17" s="207">
        <v>10</v>
      </c>
      <c r="B17" s="235" t="s">
        <v>221</v>
      </c>
      <c r="C17" s="214" t="str">
        <f>COVER!B24</f>
        <v>ALBC2</v>
      </c>
      <c r="D17" s="214">
        <v>0</v>
      </c>
      <c r="E17" s="215"/>
      <c r="F17" s="239"/>
      <c r="G17" s="227"/>
      <c r="H17" s="228"/>
      <c r="I17" s="233"/>
      <c r="J17" s="233"/>
      <c r="K17" s="234"/>
      <c r="L17" s="344" t="s">
        <v>202</v>
      </c>
      <c r="M17" s="345"/>
      <c r="N17" s="345"/>
      <c r="O17" s="345"/>
      <c r="P17" s="346"/>
      <c r="Q17" s="202"/>
      <c r="R17" s="19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s="3" customFormat="1" ht="18" customHeight="1">
      <c r="A18" s="207">
        <v>11</v>
      </c>
      <c r="B18" s="235" t="s">
        <v>187</v>
      </c>
      <c r="C18" s="214" t="s">
        <v>352</v>
      </c>
      <c r="D18" s="214">
        <v>1</v>
      </c>
      <c r="E18" s="215"/>
      <c r="F18" s="239"/>
      <c r="G18" s="227"/>
      <c r="H18" s="228">
        <f>M18</f>
        <v>1300</v>
      </c>
      <c r="I18" s="233">
        <f>H18*D18</f>
        <v>1300</v>
      </c>
      <c r="J18" s="233"/>
      <c r="K18" s="234">
        <f t="shared" ref="K18:K22" si="1">I18+J18</f>
        <v>1300</v>
      </c>
      <c r="L18" s="163" t="s">
        <v>377</v>
      </c>
      <c r="M18" s="163">
        <v>1300</v>
      </c>
      <c r="N18" s="163"/>
      <c r="O18" s="163"/>
      <c r="P18" s="163"/>
      <c r="Q18" s="203" t="s">
        <v>379</v>
      </c>
      <c r="R18" s="165"/>
      <c r="S18" s="145"/>
      <c r="T18" s="145"/>
      <c r="U18" s="145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s="3" customFormat="1" ht="18" customHeight="1">
      <c r="A19" s="207">
        <v>12</v>
      </c>
      <c r="B19" s="235" t="s">
        <v>189</v>
      </c>
      <c r="C19" s="214" t="str">
        <f>COVER!B26</f>
        <v>B8M</v>
      </c>
      <c r="D19" s="214">
        <v>2</v>
      </c>
      <c r="E19" s="215"/>
      <c r="F19" s="239"/>
      <c r="G19" s="227"/>
      <c r="H19" s="230">
        <f>IF(C19="B8",M19,IF(C19="B8M",N19))</f>
        <v>200</v>
      </c>
      <c r="I19" s="240">
        <f>H19*D19</f>
        <v>400</v>
      </c>
      <c r="J19" s="233"/>
      <c r="K19" s="234">
        <f t="shared" si="1"/>
        <v>400</v>
      </c>
      <c r="L19" s="163"/>
      <c r="M19" s="163">
        <v>200</v>
      </c>
      <c r="N19" s="163">
        <v>200</v>
      </c>
      <c r="O19" s="163"/>
      <c r="P19" s="163"/>
      <c r="Q19" s="204" t="s">
        <v>381</v>
      </c>
      <c r="R19" s="19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s="3" customFormat="1" ht="18" customHeight="1">
      <c r="A20" s="207">
        <v>13</v>
      </c>
      <c r="B20" s="235" t="s">
        <v>188</v>
      </c>
      <c r="C20" s="214" t="str">
        <f>COVER!B27</f>
        <v>B8M</v>
      </c>
      <c r="D20" s="214">
        <v>4</v>
      </c>
      <c r="E20" s="215"/>
      <c r="F20" s="239"/>
      <c r="G20" s="227"/>
      <c r="H20" s="228">
        <f>IF(C20="B8",M20,IF(C20="B8M",N20,IF(C20="B7(다크로)",O20)))</f>
        <v>800</v>
      </c>
      <c r="I20" s="233">
        <f>H20*D20</f>
        <v>3200</v>
      </c>
      <c r="J20" s="233"/>
      <c r="K20" s="234">
        <f t="shared" si="1"/>
        <v>3200</v>
      </c>
      <c r="L20" s="163" t="s">
        <v>388</v>
      </c>
      <c r="M20" s="163">
        <v>500</v>
      </c>
      <c r="N20" s="163">
        <v>800</v>
      </c>
      <c r="O20" s="163">
        <v>500</v>
      </c>
      <c r="P20" s="163"/>
      <c r="Q20" s="204" t="s">
        <v>385</v>
      </c>
      <c r="R20" s="19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s="3" customFormat="1" ht="18" customHeight="1">
      <c r="A21" s="207">
        <v>14</v>
      </c>
      <c r="B21" s="235" t="s">
        <v>5</v>
      </c>
      <c r="C21" s="214" t="s">
        <v>38</v>
      </c>
      <c r="D21" s="214">
        <v>1</v>
      </c>
      <c r="E21" s="215"/>
      <c r="F21" s="239"/>
      <c r="G21" s="227"/>
      <c r="H21" s="228"/>
      <c r="I21" s="233"/>
      <c r="J21" s="241"/>
      <c r="K21" s="234">
        <f t="shared" si="1"/>
        <v>0</v>
      </c>
      <c r="L21" s="344" t="s">
        <v>202</v>
      </c>
      <c r="M21" s="345"/>
      <c r="N21" s="345"/>
      <c r="O21" s="345"/>
      <c r="P21" s="346"/>
      <c r="Q21" s="19"/>
      <c r="R21" s="19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s="3" customFormat="1" ht="18" customHeight="1">
      <c r="A22" s="207">
        <v>15</v>
      </c>
      <c r="B22" s="235" t="s">
        <v>6</v>
      </c>
      <c r="C22" s="214" t="str">
        <f>COVER!B34</f>
        <v>10 BAR</v>
      </c>
      <c r="D22" s="214">
        <v>1</v>
      </c>
      <c r="E22" s="215"/>
      <c r="F22" s="239"/>
      <c r="G22" s="242"/>
      <c r="H22" s="228"/>
      <c r="I22" s="233">
        <f>IF(C22="10 BAR",M22,IF(C22="16 BAR",N22,IF(C22="20 BAR",O22)))</f>
        <v>123000</v>
      </c>
      <c r="J22" s="241"/>
      <c r="K22" s="234">
        <f t="shared" si="1"/>
        <v>123000</v>
      </c>
      <c r="L22" s="163"/>
      <c r="M22" s="163">
        <v>123000</v>
      </c>
      <c r="N22" s="163">
        <v>203000</v>
      </c>
      <c r="O22" s="163">
        <v>225000</v>
      </c>
      <c r="P22" s="163"/>
      <c r="Q22" s="19"/>
      <c r="R22" s="19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s="3" customFormat="1" ht="18" customHeight="1">
      <c r="A23" s="207">
        <v>16</v>
      </c>
      <c r="B23" s="235" t="s">
        <v>7</v>
      </c>
      <c r="C23" s="214" t="str">
        <f>COVER!B32</f>
        <v>기존 단가</v>
      </c>
      <c r="D23" s="214">
        <v>1</v>
      </c>
      <c r="E23" s="215"/>
      <c r="F23" s="239"/>
      <c r="G23" s="242"/>
      <c r="H23" s="228">
        <f>IF(COVER!B9="APPLICATION",0,IF(COVER!B32="기존 단가",L23,IF(COVER!B32="외주 2COATING",M23,IF(COVER!B32="외주 3COATING",N23))))</f>
        <v>12500</v>
      </c>
      <c r="I23" s="233">
        <f>H23</f>
        <v>12500</v>
      </c>
      <c r="J23" s="233"/>
      <c r="K23" s="234"/>
      <c r="L23" s="163">
        <v>12500</v>
      </c>
      <c r="M23" s="163">
        <f>IF(H6&gt;0,F6*520,IF(H7&gt;0,F7*520,IF(H8&gt;0,F8*520)))</f>
        <v>24960</v>
      </c>
      <c r="N23" s="163">
        <f>IF(H6&gt;0,F6*620,IF(H7&gt;0,F7*620,IF(H8&gt;0,F8*620)))</f>
        <v>29760</v>
      </c>
      <c r="O23" s="90"/>
      <c r="P23" s="182"/>
      <c r="Q23" s="19"/>
      <c r="R23" s="19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s="3" customFormat="1" ht="18" customHeight="1">
      <c r="A24" s="207">
        <v>17</v>
      </c>
      <c r="B24" s="235" t="s">
        <v>174</v>
      </c>
      <c r="C24" s="214"/>
      <c r="D24" s="214">
        <v>1</v>
      </c>
      <c r="E24" s="215"/>
      <c r="F24" s="239"/>
      <c r="G24" s="242"/>
      <c r="H24" s="228">
        <f>IF(COVER!B9="APPLICATION",0,IF(COVER!B9="N/A",L24))</f>
        <v>12500</v>
      </c>
      <c r="I24" s="233">
        <f>H24</f>
        <v>12500</v>
      </c>
      <c r="J24" s="234"/>
      <c r="K24" s="234"/>
      <c r="L24" s="312">
        <v>12500</v>
      </c>
      <c r="M24" s="90"/>
      <c r="N24" s="90"/>
      <c r="O24" s="90"/>
      <c r="P24" s="90"/>
      <c r="Q24" s="19"/>
      <c r="R24" s="19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s="3" customFormat="1" ht="18" customHeight="1">
      <c r="A25" s="207">
        <v>18</v>
      </c>
      <c r="B25" s="97" t="s">
        <v>175</v>
      </c>
      <c r="C25" s="14"/>
      <c r="D25" s="14"/>
      <c r="E25" s="15"/>
      <c r="F25" s="15"/>
      <c r="G25" s="15"/>
      <c r="H25" s="15"/>
      <c r="I25" s="98"/>
      <c r="J25" s="98"/>
      <c r="K25" s="16">
        <f>SUM(K6:K20)+SUM(K23:K24)</f>
        <v>337350</v>
      </c>
      <c r="L25" s="312" t="s">
        <v>248</v>
      </c>
      <c r="M25" s="90"/>
      <c r="N25" s="90"/>
      <c r="O25" s="90"/>
      <c r="P25" s="90"/>
      <c r="Q25" s="19"/>
      <c r="R25" s="19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s="3" customFormat="1" ht="18" customHeight="1">
      <c r="A26" s="207">
        <v>18</v>
      </c>
      <c r="B26" s="97" t="s">
        <v>176</v>
      </c>
      <c r="C26" s="14"/>
      <c r="D26" s="14"/>
      <c r="E26" s="15"/>
      <c r="F26" s="15"/>
      <c r="G26" s="15"/>
      <c r="H26" s="15"/>
      <c r="I26" s="98"/>
      <c r="J26" s="98"/>
      <c r="K26" s="16">
        <f>SUM(K6:K21)+SUM(K23:K24)</f>
        <v>337350</v>
      </c>
      <c r="L26" s="312" t="s">
        <v>248</v>
      </c>
      <c r="M26" s="90"/>
      <c r="N26" s="90"/>
      <c r="O26" s="90"/>
      <c r="P26" s="90"/>
      <c r="Q26" s="19"/>
      <c r="R26" s="19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s="3" customFormat="1" ht="18" customHeight="1">
      <c r="A27" s="207">
        <v>18</v>
      </c>
      <c r="B27" s="97" t="s">
        <v>177</v>
      </c>
      <c r="C27" s="14"/>
      <c r="D27" s="14"/>
      <c r="E27" s="15"/>
      <c r="F27" s="15"/>
      <c r="G27" s="15"/>
      <c r="H27" s="15"/>
      <c r="I27" s="98"/>
      <c r="J27" s="98"/>
      <c r="K27" s="16">
        <f>SUM(K6:K20)+SUM(K22:K24)</f>
        <v>460350</v>
      </c>
      <c r="L27" s="312" t="s">
        <v>248</v>
      </c>
      <c r="M27" s="90"/>
      <c r="N27" s="90"/>
      <c r="O27" s="90"/>
      <c r="P27" s="90"/>
      <c r="Q27" s="19"/>
      <c r="R27" s="19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s="3" customFormat="1" ht="18" customHeight="1">
      <c r="A28" s="207">
        <v>19</v>
      </c>
      <c r="B28" s="235" t="s">
        <v>237</v>
      </c>
      <c r="C28" s="214" t="str">
        <f>COVER!B28</f>
        <v>REQUIRED</v>
      </c>
      <c r="D28" s="214">
        <v>0</v>
      </c>
      <c r="E28" s="215"/>
      <c r="F28" s="239"/>
      <c r="G28" s="215"/>
      <c r="H28" s="233">
        <f>IF(C28="REQUIRED",L28,IF(C28="N/A",0))</f>
        <v>14000</v>
      </c>
      <c r="I28" s="233">
        <f>H28</f>
        <v>14000</v>
      </c>
      <c r="J28" s="215"/>
      <c r="K28" s="234"/>
      <c r="L28" s="163">
        <v>14000</v>
      </c>
      <c r="M28" s="90"/>
      <c r="N28" s="90"/>
      <c r="O28" s="90"/>
      <c r="P28" s="90"/>
      <c r="Q28" s="19"/>
      <c r="R28" s="19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s="3" customFormat="1" ht="18" customHeight="1">
      <c r="A29" s="207">
        <v>20</v>
      </c>
      <c r="B29" s="235" t="s">
        <v>180</v>
      </c>
      <c r="C29" s="214"/>
      <c r="D29" s="214">
        <v>0</v>
      </c>
      <c r="E29" s="215"/>
      <c r="F29" s="239"/>
      <c r="G29" s="215"/>
      <c r="H29" s="215"/>
      <c r="I29" s="215"/>
      <c r="J29" s="215"/>
      <c r="K29" s="234"/>
      <c r="L29" s="312"/>
      <c r="M29" s="90"/>
      <c r="N29" s="90"/>
      <c r="O29" s="90"/>
      <c r="P29" s="90"/>
      <c r="Q29" s="19"/>
      <c r="R29" s="19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s="3" customFormat="1" ht="18" customHeight="1">
      <c r="A30" s="207">
        <v>21</v>
      </c>
      <c r="B30" s="235" t="s">
        <v>178</v>
      </c>
      <c r="C30" s="214" t="str">
        <f>COVER!B35</f>
        <v>MOTOR</v>
      </c>
      <c r="D30" s="214">
        <v>1</v>
      </c>
      <c r="E30" s="215"/>
      <c r="F30" s="239"/>
      <c r="G30" s="215"/>
      <c r="H30" s="233">
        <f>IF(COVER!B9="APPLICATION",0,IF(COVER!B35="BARE",M30,(IF(COVER!B35="LEVER",M30,IF(COVER!B35="GEAR",N30,IF(COVER!B35="MOTOR",O30))))))</f>
        <v>60000</v>
      </c>
      <c r="I30" s="234">
        <f>H30</f>
        <v>60000</v>
      </c>
      <c r="J30" s="215"/>
      <c r="K30" s="234"/>
      <c r="L30" s="163">
        <v>24200</v>
      </c>
      <c r="M30" s="163">
        <v>16000</v>
      </c>
      <c r="N30" s="163">
        <v>16000</v>
      </c>
      <c r="O30" s="163">
        <v>60000</v>
      </c>
      <c r="P30" s="90"/>
      <c r="Q30" s="19"/>
      <c r="R30" s="19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s="3" customFormat="1" ht="18" customHeight="1">
      <c r="A31" s="207">
        <v>22</v>
      </c>
      <c r="B31" s="235"/>
      <c r="C31" s="214"/>
      <c r="D31" s="214"/>
      <c r="E31" s="215"/>
      <c r="F31" s="239"/>
      <c r="G31" s="215"/>
      <c r="H31" s="215"/>
      <c r="I31" s="215"/>
      <c r="J31" s="215"/>
      <c r="K31" s="234"/>
      <c r="L31" s="312"/>
      <c r="M31" s="90"/>
      <c r="N31" s="90"/>
      <c r="O31" s="90"/>
      <c r="P31" s="90"/>
      <c r="Q31" s="19"/>
      <c r="R31" s="19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s="3" customFormat="1" ht="18" customHeight="1">
      <c r="A32" s="207">
        <v>23</v>
      </c>
      <c r="B32" s="89" t="s">
        <v>179</v>
      </c>
      <c r="C32" s="14"/>
      <c r="D32" s="99"/>
      <c r="E32" s="15"/>
      <c r="F32" s="15"/>
      <c r="G32" s="15"/>
      <c r="H32" s="15"/>
      <c r="I32" s="100"/>
      <c r="J32" s="101"/>
      <c r="K32" s="100">
        <f>SUM(K28:K31)</f>
        <v>0</v>
      </c>
      <c r="L32" s="312" t="s">
        <v>249</v>
      </c>
      <c r="M32" s="90"/>
      <c r="N32" s="90"/>
      <c r="O32" s="90"/>
      <c r="P32" s="90"/>
      <c r="Q32" s="19"/>
      <c r="R32" s="19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s="3" customFormat="1" ht="18" customHeight="1">
      <c r="A33" s="207">
        <v>24</v>
      </c>
      <c r="B33" s="216" t="s">
        <v>252</v>
      </c>
      <c r="C33" s="217"/>
      <c r="D33" s="218"/>
      <c r="E33" s="219"/>
      <c r="F33" s="219"/>
      <c r="G33" s="219"/>
      <c r="H33" s="219"/>
      <c r="I33" s="220"/>
      <c r="J33" s="221"/>
      <c r="K33" s="220">
        <f>K25+K32</f>
        <v>337350</v>
      </c>
      <c r="L33" s="312" t="s">
        <v>257</v>
      </c>
      <c r="M33" s="90"/>
      <c r="N33" s="90"/>
      <c r="O33" s="90"/>
      <c r="P33" s="90"/>
      <c r="Q33" s="19"/>
      <c r="R33" s="19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s="3" customFormat="1" ht="18" customHeight="1">
      <c r="A34" s="207">
        <v>24</v>
      </c>
      <c r="B34" s="216" t="s">
        <v>255</v>
      </c>
      <c r="C34" s="217"/>
      <c r="D34" s="218"/>
      <c r="E34" s="219"/>
      <c r="F34" s="219"/>
      <c r="G34" s="219"/>
      <c r="H34" s="219"/>
      <c r="I34" s="220"/>
      <c r="J34" s="221"/>
      <c r="K34" s="220">
        <f>K26+K32</f>
        <v>337350</v>
      </c>
      <c r="L34" s="312" t="s">
        <v>257</v>
      </c>
      <c r="M34" s="90"/>
      <c r="N34" s="90"/>
      <c r="O34" s="90"/>
      <c r="P34" s="90"/>
      <c r="Q34" s="19"/>
      <c r="R34" s="19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s="3" customFormat="1" ht="18" customHeight="1">
      <c r="A35" s="207">
        <v>24</v>
      </c>
      <c r="B35" s="216" t="s">
        <v>256</v>
      </c>
      <c r="C35" s="217"/>
      <c r="D35" s="218"/>
      <c r="E35" s="219"/>
      <c r="F35" s="219"/>
      <c r="G35" s="219"/>
      <c r="H35" s="219"/>
      <c r="I35" s="220"/>
      <c r="J35" s="221"/>
      <c r="K35" s="220">
        <f>K27+K32</f>
        <v>460350</v>
      </c>
      <c r="L35" s="312" t="s">
        <v>257</v>
      </c>
      <c r="M35" s="90"/>
      <c r="N35" s="90"/>
      <c r="O35" s="90"/>
      <c r="P35" s="90"/>
      <c r="Q35" s="19"/>
      <c r="R35" s="19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s="4" customFormat="1" ht="18" customHeight="1">
      <c r="A36" s="207">
        <v>25</v>
      </c>
      <c r="B36" s="102" t="s">
        <v>407</v>
      </c>
      <c r="C36" s="103"/>
      <c r="D36" s="103"/>
      <c r="E36" s="104"/>
      <c r="F36" s="105"/>
      <c r="G36" s="105"/>
      <c r="H36" s="106"/>
      <c r="I36" s="223" t="s">
        <v>41</v>
      </c>
      <c r="J36" s="223">
        <v>0.7</v>
      </c>
      <c r="K36" s="107">
        <f>(K25+K32)/J36</f>
        <v>481928.57142857148</v>
      </c>
      <c r="L36" s="312" t="s">
        <v>250</v>
      </c>
      <c r="M36" s="90"/>
      <c r="N36" s="90"/>
      <c r="O36" s="90"/>
      <c r="P36" s="90"/>
      <c r="Q36" s="19"/>
      <c r="R36" s="19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s="4" customFormat="1" ht="18" customHeight="1">
      <c r="A37" s="207">
        <v>25</v>
      </c>
      <c r="B37" s="102" t="s">
        <v>408</v>
      </c>
      <c r="C37" s="103"/>
      <c r="D37" s="103"/>
      <c r="E37" s="104"/>
      <c r="F37" s="105"/>
      <c r="G37" s="105"/>
      <c r="H37" s="106"/>
      <c r="I37" s="223" t="s">
        <v>41</v>
      </c>
      <c r="J37" s="223">
        <v>0.7</v>
      </c>
      <c r="K37" s="107">
        <f>(K26+K32)/J37</f>
        <v>481928.57142857148</v>
      </c>
      <c r="L37" s="312" t="s">
        <v>250</v>
      </c>
      <c r="M37" s="90"/>
      <c r="N37" s="90"/>
      <c r="O37" s="90"/>
      <c r="P37" s="90"/>
      <c r="Q37" s="19"/>
      <c r="R37" s="19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s="4" customFormat="1" ht="18" customHeight="1">
      <c r="A38" s="207">
        <v>25</v>
      </c>
      <c r="B38" s="102" t="s">
        <v>409</v>
      </c>
      <c r="C38" s="103"/>
      <c r="D38" s="103"/>
      <c r="E38" s="104"/>
      <c r="F38" s="105"/>
      <c r="G38" s="105"/>
      <c r="H38" s="106"/>
      <c r="I38" s="223" t="s">
        <v>41</v>
      </c>
      <c r="J38" s="223">
        <v>0.7</v>
      </c>
      <c r="K38" s="107">
        <f>(K27+K32)/J38</f>
        <v>657642.85714285716</v>
      </c>
      <c r="L38" s="312" t="s">
        <v>250</v>
      </c>
      <c r="M38" s="90"/>
      <c r="N38" s="90"/>
      <c r="O38" s="90"/>
      <c r="P38" s="90"/>
      <c r="Q38" s="19"/>
      <c r="R38" s="19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s="4" customFormat="1" ht="18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57"/>
      <c r="M39" s="108"/>
      <c r="N39" s="108"/>
      <c r="O39" s="108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s="4" customFormat="1" ht="18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57"/>
      <c r="M40" s="108"/>
      <c r="N40" s="108"/>
      <c r="O40" s="108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s="4" customFormat="1" ht="18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57"/>
      <c r="M41" s="108"/>
      <c r="N41" s="108"/>
      <c r="O41" s="108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s="4" customFormat="1" ht="18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57"/>
      <c r="M42" s="108"/>
      <c r="N42" s="108"/>
      <c r="O42" s="108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s="4" customFormat="1" ht="18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57"/>
      <c r="M43" s="108"/>
      <c r="N43" s="108"/>
      <c r="O43" s="108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s="4" customFormat="1" ht="18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57"/>
      <c r="M44" s="108"/>
      <c r="N44" s="108"/>
      <c r="O44" s="108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s="4" customFormat="1" ht="18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57"/>
      <c r="M45" s="108"/>
      <c r="N45" s="108"/>
      <c r="O45" s="108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s="4" customFormat="1" ht="18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57"/>
      <c r="M46" s="108"/>
      <c r="N46" s="108"/>
      <c r="O46" s="108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s="4" customFormat="1" ht="12.75">
      <c r="A47" s="10"/>
      <c r="B47" s="10"/>
      <c r="C47" s="10"/>
      <c r="D47" s="109"/>
      <c r="E47" s="10"/>
      <c r="F47" s="10"/>
      <c r="G47" s="10"/>
      <c r="H47" s="10"/>
      <c r="I47" s="10"/>
      <c r="J47" s="10"/>
      <c r="K47" s="10"/>
      <c r="L47" s="108"/>
      <c r="M47" s="108"/>
      <c r="N47" s="108"/>
      <c r="O47" s="108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s="4" customFormat="1" ht="12.7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57"/>
      <c r="M48" s="108"/>
      <c r="N48" s="108"/>
      <c r="O48" s="108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s="4" customFormat="1" ht="12.7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57"/>
      <c r="M49" s="108"/>
      <c r="N49" s="108"/>
      <c r="O49" s="108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s="5" customForma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57"/>
      <c r="M50" s="87"/>
      <c r="N50" s="87"/>
      <c r="O50" s="8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s="5" customForma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57"/>
      <c r="M51" s="87"/>
      <c r="N51" s="87"/>
      <c r="O51" s="87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s="5" customForma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57"/>
      <c r="M52" s="87"/>
      <c r="N52" s="87"/>
      <c r="O52" s="87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</sheetData>
  <mergeCells count="9">
    <mergeCell ref="L21:P21"/>
    <mergeCell ref="L16:P16"/>
    <mergeCell ref="L17:P17"/>
    <mergeCell ref="A1:K1"/>
    <mergeCell ref="D3:E3"/>
    <mergeCell ref="F3:H3"/>
    <mergeCell ref="L4:P4"/>
    <mergeCell ref="L13:P13"/>
    <mergeCell ref="L15:P15"/>
  </mergeCells>
  <phoneticPr fontId="7" type="noConversion"/>
  <pageMargins left="0.75" right="0.75" top="1" bottom="1" header="0.5" footer="0.5"/>
  <pageSetup paperSize="9" scale="62" orientation="portrait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AE52"/>
  <sheetViews>
    <sheetView view="pageBreakPreview" zoomScale="85" zoomScaleNormal="100" zoomScaleSheetLayoutView="85" workbookViewId="0">
      <selection activeCell="O25" sqref="O25"/>
    </sheetView>
  </sheetViews>
  <sheetFormatPr defaultColWidth="8.88671875" defaultRowHeight="13.5"/>
  <cols>
    <col min="1" max="1" width="5.26171875" style="10" customWidth="1"/>
    <col min="2" max="2" width="20.23046875" style="10" bestFit="1" customWidth="1"/>
    <col min="3" max="3" width="14.3828125" style="10" bestFit="1" customWidth="1"/>
    <col min="4" max="4" width="3.7421875" style="10" customWidth="1"/>
    <col min="5" max="5" width="8.30078125" style="10" customWidth="1"/>
    <col min="6" max="6" width="6.1953125" style="10" customWidth="1"/>
    <col min="7" max="7" width="5.73046875" style="10" customWidth="1"/>
    <col min="8" max="8" width="8.30078125" style="10" bestFit="1" customWidth="1"/>
    <col min="9" max="9" width="10.9921875" style="10" customWidth="1"/>
    <col min="10" max="10" width="12.74609375" style="10" bestFit="1" customWidth="1"/>
    <col min="11" max="11" width="18.125" style="10" bestFit="1" customWidth="1"/>
    <col min="12" max="12" width="14.265625" style="157" bestFit="1" customWidth="1"/>
    <col min="13" max="13" width="13.796875" style="87" customWidth="1"/>
    <col min="14" max="14" width="12.16015625" style="87" bestFit="1" customWidth="1"/>
    <col min="15" max="15" width="9.703125" style="87" customWidth="1"/>
    <col min="16" max="16" width="12.16015625" style="8" bestFit="1" customWidth="1"/>
    <col min="17" max="18" width="15.43359375" style="8" bestFit="1" customWidth="1"/>
    <col min="19" max="31" width="8.88671875" style="8"/>
    <col min="32" max="16384" width="8.88671875" style="2"/>
  </cols>
  <sheetData>
    <row r="1" spans="1:31" ht="24" thickTop="1" thickBot="1">
      <c r="A1" s="336" t="s">
        <v>190</v>
      </c>
      <c r="B1" s="337"/>
      <c r="C1" s="337"/>
      <c r="D1" s="337"/>
      <c r="E1" s="337"/>
      <c r="F1" s="337"/>
      <c r="G1" s="337"/>
      <c r="H1" s="337"/>
      <c r="I1" s="337"/>
      <c r="J1" s="337"/>
      <c r="K1" s="338"/>
      <c r="M1" s="7"/>
    </row>
    <row r="2" spans="1:31" ht="14.45" customHeight="1" thickTop="1" thickBot="1">
      <c r="A2" s="158"/>
      <c r="B2" s="158"/>
      <c r="C2" s="115"/>
      <c r="E2" s="115"/>
      <c r="F2" s="115"/>
      <c r="G2" s="115"/>
    </row>
    <row r="3" spans="1:31" ht="15" thickTop="1" thickBot="1">
      <c r="A3" s="160" t="s">
        <v>191</v>
      </c>
      <c r="B3" s="159" t="s">
        <v>327</v>
      </c>
      <c r="C3" s="160" t="s">
        <v>192</v>
      </c>
      <c r="D3" s="339" t="s">
        <v>193</v>
      </c>
      <c r="E3" s="340"/>
      <c r="F3" s="341" t="s">
        <v>194</v>
      </c>
      <c r="G3" s="339"/>
      <c r="H3" s="339"/>
      <c r="I3" s="159" t="s">
        <v>195</v>
      </c>
      <c r="J3" s="160" t="s">
        <v>197</v>
      </c>
      <c r="K3" s="159" t="s">
        <v>280</v>
      </c>
    </row>
    <row r="4" spans="1:31" ht="19.149999999999999" customHeight="1" thickTop="1" thickBot="1">
      <c r="J4" s="197" t="s">
        <v>332</v>
      </c>
      <c r="K4" s="189">
        <v>535</v>
      </c>
      <c r="L4" s="342" t="s">
        <v>207</v>
      </c>
      <c r="M4" s="343"/>
      <c r="N4" s="343"/>
      <c r="O4" s="343"/>
      <c r="P4" s="343"/>
    </row>
    <row r="5" spans="1:31" s="3" customFormat="1" ht="25.15" customHeight="1" thickTop="1">
      <c r="A5" s="9" t="s">
        <v>1</v>
      </c>
      <c r="B5" s="9" t="s">
        <v>164</v>
      </c>
      <c r="C5" s="88" t="s">
        <v>165</v>
      </c>
      <c r="D5" s="89" t="s">
        <v>166</v>
      </c>
      <c r="E5" s="9" t="s">
        <v>167</v>
      </c>
      <c r="F5" s="9" t="s">
        <v>168</v>
      </c>
      <c r="G5" s="9" t="s">
        <v>169</v>
      </c>
      <c r="H5" s="9" t="s">
        <v>170</v>
      </c>
      <c r="I5" s="123" t="s">
        <v>171</v>
      </c>
      <c r="J5" s="195" t="s">
        <v>172</v>
      </c>
      <c r="K5" s="196" t="s">
        <v>173</v>
      </c>
      <c r="L5" s="90" t="s">
        <v>198</v>
      </c>
      <c r="M5" s="121" t="s">
        <v>199</v>
      </c>
      <c r="N5" s="90" t="s">
        <v>38</v>
      </c>
      <c r="O5" s="90" t="s">
        <v>200</v>
      </c>
      <c r="P5" s="90" t="s">
        <v>201</v>
      </c>
      <c r="Q5" s="90" t="s">
        <v>265</v>
      </c>
      <c r="R5" s="90" t="s">
        <v>266</v>
      </c>
      <c r="S5" s="10"/>
      <c r="T5" s="10" t="s">
        <v>330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s="3" customFormat="1" ht="18" customHeight="1">
      <c r="A6" s="162">
        <v>1</v>
      </c>
      <c r="B6" s="224" t="s">
        <v>181</v>
      </c>
      <c r="C6" s="225">
        <f>COVER!B13</f>
        <v>0</v>
      </c>
      <c r="D6" s="226">
        <v>1</v>
      </c>
      <c r="E6" s="215"/>
      <c r="F6" s="227">
        <v>35</v>
      </c>
      <c r="G6" s="227"/>
      <c r="H6" s="228">
        <f>COVER!C13</f>
        <v>0</v>
      </c>
      <c r="I6" s="229">
        <f>D6*F6*H6</f>
        <v>0</v>
      </c>
      <c r="J6" s="230"/>
      <c r="K6" s="231">
        <f t="shared" ref="K6:K12" si="0">I6+J6</f>
        <v>0</v>
      </c>
      <c r="L6" s="180">
        <v>39000</v>
      </c>
      <c r="M6" s="180">
        <f>M7*0.72</f>
        <v>59400</v>
      </c>
      <c r="N6" s="163"/>
      <c r="O6" s="90"/>
      <c r="P6" s="90"/>
      <c r="Q6" s="19"/>
      <c r="R6" s="19"/>
      <c r="S6" s="10"/>
      <c r="T6" s="10">
        <v>29.5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s="3" customFormat="1" ht="18" customHeight="1">
      <c r="A7" s="162">
        <v>1</v>
      </c>
      <c r="B7" s="224" t="s">
        <v>182</v>
      </c>
      <c r="C7" s="225" t="str">
        <f>COVER!B14</f>
        <v>A536 Gr65-45-12</v>
      </c>
      <c r="D7" s="226">
        <v>1</v>
      </c>
      <c r="E7" s="215"/>
      <c r="F7" s="227">
        <v>58</v>
      </c>
      <c r="G7" s="227"/>
      <c r="H7" s="228">
        <f>COVER!C14</f>
        <v>3500</v>
      </c>
      <c r="I7" s="229">
        <f>D7*F7*H7</f>
        <v>203000</v>
      </c>
      <c r="J7" s="230"/>
      <c r="K7" s="231">
        <f t="shared" si="0"/>
        <v>203000</v>
      </c>
      <c r="L7" s="163">
        <v>63000</v>
      </c>
      <c r="M7" s="163">
        <v>82500</v>
      </c>
      <c r="N7" s="161"/>
      <c r="O7" s="90"/>
      <c r="P7" s="90"/>
      <c r="Q7" s="19"/>
      <c r="R7" s="19"/>
      <c r="S7" s="10"/>
      <c r="T7" s="10">
        <v>48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s="3" customFormat="1" ht="18" customHeight="1">
      <c r="A8" s="162">
        <v>1</v>
      </c>
      <c r="B8" s="224" t="s">
        <v>183</v>
      </c>
      <c r="C8" s="225">
        <f>COVER!B15</f>
        <v>0</v>
      </c>
      <c r="D8" s="226">
        <v>1</v>
      </c>
      <c r="E8" s="215"/>
      <c r="F8" s="227">
        <v>78</v>
      </c>
      <c r="G8" s="227"/>
      <c r="H8" s="228">
        <f>COVER!C15</f>
        <v>0</v>
      </c>
      <c r="I8" s="229">
        <f>D8*F8*H8</f>
        <v>0</v>
      </c>
      <c r="J8" s="230"/>
      <c r="K8" s="231">
        <f t="shared" si="0"/>
        <v>0</v>
      </c>
      <c r="L8" s="181">
        <f>63000*1.2</f>
        <v>75600</v>
      </c>
      <c r="M8" s="181">
        <f>82500*1.2</f>
        <v>99000</v>
      </c>
      <c r="N8" s="161"/>
      <c r="O8" s="90"/>
      <c r="P8" s="90"/>
      <c r="Q8" s="19"/>
      <c r="R8" s="19"/>
      <c r="S8" s="10"/>
      <c r="T8" s="10">
        <v>75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s="3" customFormat="1" ht="18" customHeight="1">
      <c r="A9" s="162">
        <v>2</v>
      </c>
      <c r="B9" s="232" t="s">
        <v>2</v>
      </c>
      <c r="C9" s="225" t="str">
        <f>COVER!B16</f>
        <v>A351 CF8M</v>
      </c>
      <c r="D9" s="226">
        <v>1</v>
      </c>
      <c r="E9" s="215"/>
      <c r="F9" s="227">
        <f>IF(COVER!B34="10 BAR",Q9,IF(COVER!B34="16 BAR",R9,IF(COVER!B34="20 BAR",R9)))</f>
        <v>11</v>
      </c>
      <c r="G9" s="227"/>
      <c r="H9" s="228">
        <f>COVER!C16</f>
        <v>12000</v>
      </c>
      <c r="I9" s="233">
        <f>D9*F9*H9</f>
        <v>132000</v>
      </c>
      <c r="J9" s="230"/>
      <c r="K9" s="234">
        <f t="shared" si="0"/>
        <v>132000</v>
      </c>
      <c r="L9" s="163">
        <v>20500</v>
      </c>
      <c r="M9" s="163">
        <v>18000</v>
      </c>
      <c r="N9" s="163">
        <v>18000</v>
      </c>
      <c r="O9" s="163">
        <v>30000</v>
      </c>
      <c r="P9" s="163">
        <v>35000</v>
      </c>
      <c r="Q9" s="19">
        <v>11</v>
      </c>
      <c r="R9" s="19">
        <v>21</v>
      </c>
      <c r="S9" s="10"/>
      <c r="T9" s="10">
        <v>17</v>
      </c>
      <c r="U9" s="10"/>
      <c r="V9" s="10">
        <f>P9/M9</f>
        <v>1.9444444444444444</v>
      </c>
      <c r="W9" s="10"/>
      <c r="X9" s="10"/>
      <c r="Y9" s="10"/>
      <c r="Z9" s="10"/>
      <c r="AA9" s="10"/>
      <c r="AB9" s="10"/>
      <c r="AC9" s="10"/>
      <c r="AD9" s="10"/>
      <c r="AE9" s="10"/>
    </row>
    <row r="10" spans="1:31" s="3" customFormat="1" ht="18" customHeight="1">
      <c r="A10" s="207">
        <v>3</v>
      </c>
      <c r="B10" s="235" t="s">
        <v>3</v>
      </c>
      <c r="C10" s="236" t="str">
        <f>COVER!B18</f>
        <v>EPDM</v>
      </c>
      <c r="D10" s="214">
        <v>1</v>
      </c>
      <c r="E10" s="215"/>
      <c r="F10" s="227">
        <v>1</v>
      </c>
      <c r="G10" s="227"/>
      <c r="H10" s="228">
        <f>IF(C10="NBR",L10,IF(C10="EPDM",L10,IF(C10="VITON",M10)))</f>
        <v>17100</v>
      </c>
      <c r="I10" s="233">
        <f>H10*F10*D10</f>
        <v>17100</v>
      </c>
      <c r="J10" s="230"/>
      <c r="K10" s="234">
        <f t="shared" si="0"/>
        <v>17100</v>
      </c>
      <c r="L10" s="163">
        <v>17100</v>
      </c>
      <c r="M10" s="163">
        <v>234000</v>
      </c>
      <c r="N10" s="190">
        <v>102600</v>
      </c>
      <c r="O10" s="163" t="s">
        <v>202</v>
      </c>
      <c r="P10" s="163">
        <v>30500</v>
      </c>
      <c r="Q10" s="19"/>
      <c r="R10" s="1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s="3" customFormat="1" ht="18" customHeight="1">
      <c r="A11" s="207">
        <v>4</v>
      </c>
      <c r="B11" s="235" t="s">
        <v>203</v>
      </c>
      <c r="C11" s="214" t="str">
        <f>COVER!B17</f>
        <v>A564T630</v>
      </c>
      <c r="D11" s="214">
        <v>1</v>
      </c>
      <c r="E11" s="215"/>
      <c r="F11" s="237">
        <v>4</v>
      </c>
      <c r="G11" s="238"/>
      <c r="H11" s="228">
        <f>COVER!C17</f>
        <v>10000</v>
      </c>
      <c r="I11" s="233">
        <f>D11*F11*H11</f>
        <v>40000</v>
      </c>
      <c r="J11" s="233"/>
      <c r="K11" s="234">
        <f t="shared" si="0"/>
        <v>40000</v>
      </c>
      <c r="L11" s="163" t="s">
        <v>271</v>
      </c>
      <c r="M11" s="163">
        <v>5000</v>
      </c>
      <c r="N11" s="90">
        <v>4600</v>
      </c>
      <c r="O11" s="90"/>
      <c r="P11" s="90"/>
      <c r="Q11" s="18">
        <v>3.98</v>
      </c>
      <c r="R11" s="18"/>
      <c r="S11" s="108"/>
      <c r="T11" s="10">
        <v>2.7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s="3" customFormat="1" ht="18" customHeight="1">
      <c r="A12" s="207">
        <v>5</v>
      </c>
      <c r="B12" s="235" t="s">
        <v>184</v>
      </c>
      <c r="C12" s="214" t="str">
        <f>COVER!B19</f>
        <v>NBR</v>
      </c>
      <c r="D12" s="214">
        <v>1</v>
      </c>
      <c r="E12" s="215"/>
      <c r="F12" s="237">
        <v>1</v>
      </c>
      <c r="G12" s="227"/>
      <c r="H12" s="230">
        <f>IF(C12="NBR",L12+N12,IF(C12="EPDM",L12+N12,IF(C12="VITON",M12+N12)))</f>
        <v>330</v>
      </c>
      <c r="I12" s="233">
        <f>D12*F12*H12</f>
        <v>330</v>
      </c>
      <c r="J12" s="233"/>
      <c r="K12" s="234">
        <f t="shared" si="0"/>
        <v>330</v>
      </c>
      <c r="L12" s="163">
        <v>140</v>
      </c>
      <c r="M12" s="163">
        <v>1210</v>
      </c>
      <c r="N12" s="163">
        <v>190</v>
      </c>
      <c r="O12" s="90"/>
      <c r="P12" s="90"/>
      <c r="Q12" s="19"/>
      <c r="R12" s="19"/>
      <c r="S12" s="10"/>
      <c r="T12" s="10"/>
      <c r="U12" s="10"/>
      <c r="V12" s="10">
        <f>M9/L9</f>
        <v>0.87804878048780488</v>
      </c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s="3" customFormat="1" ht="18" customHeight="1">
      <c r="A13" s="207">
        <v>6</v>
      </c>
      <c r="B13" s="235" t="s">
        <v>163</v>
      </c>
      <c r="C13" s="214"/>
      <c r="D13" s="214">
        <v>0</v>
      </c>
      <c r="E13" s="215"/>
      <c r="F13" s="227"/>
      <c r="G13" s="227"/>
      <c r="H13" s="228"/>
      <c r="I13" s="233"/>
      <c r="J13" s="233"/>
      <c r="K13" s="234"/>
      <c r="L13" s="344" t="s">
        <v>202</v>
      </c>
      <c r="M13" s="345"/>
      <c r="N13" s="345"/>
      <c r="O13" s="345"/>
      <c r="P13" s="346"/>
      <c r="Q13" s="19"/>
      <c r="R13" s="19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s="3" customFormat="1" ht="18" customHeight="1">
      <c r="A14" s="207">
        <v>7</v>
      </c>
      <c r="B14" s="235" t="s">
        <v>4</v>
      </c>
      <c r="C14" s="214" t="str">
        <f>C11</f>
        <v>A564T630</v>
      </c>
      <c r="D14" s="214">
        <v>3</v>
      </c>
      <c r="E14" s="215"/>
      <c r="F14" s="237">
        <v>1</v>
      </c>
      <c r="G14" s="227"/>
      <c r="H14" s="228">
        <f>L14</f>
        <v>2400</v>
      </c>
      <c r="I14" s="233">
        <f>D14*F14*H14</f>
        <v>7200</v>
      </c>
      <c r="J14" s="233"/>
      <c r="K14" s="234">
        <f>I14+J14</f>
        <v>7200</v>
      </c>
      <c r="L14" s="163">
        <v>2400</v>
      </c>
      <c r="M14" s="163"/>
      <c r="N14" s="163"/>
      <c r="O14" s="163"/>
      <c r="P14" s="163"/>
      <c r="Q14" s="19"/>
      <c r="R14" s="19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s="3" customFormat="1" ht="18" customHeight="1">
      <c r="A15" s="207">
        <v>8</v>
      </c>
      <c r="B15" s="235" t="s">
        <v>386</v>
      </c>
      <c r="C15" s="214" t="str">
        <f>COVER!B22</f>
        <v>BODY MATERIAL</v>
      </c>
      <c r="D15" s="214">
        <v>0</v>
      </c>
      <c r="E15" s="215"/>
      <c r="F15" s="215"/>
      <c r="G15" s="227"/>
      <c r="H15" s="228"/>
      <c r="I15" s="233"/>
      <c r="J15" s="233"/>
      <c r="K15" s="234"/>
      <c r="L15" s="344" t="s">
        <v>202</v>
      </c>
      <c r="M15" s="345"/>
      <c r="N15" s="345"/>
      <c r="O15" s="345"/>
      <c r="P15" s="346"/>
      <c r="Q15" s="164"/>
      <c r="R15" s="164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s="3" customFormat="1" ht="18" customHeight="1">
      <c r="A16" s="207">
        <v>9</v>
      </c>
      <c r="B16" s="235" t="s">
        <v>217</v>
      </c>
      <c r="C16" s="214" t="str">
        <f>COVER!B23</f>
        <v>B8M</v>
      </c>
      <c r="D16" s="214">
        <v>0</v>
      </c>
      <c r="E16" s="215"/>
      <c r="F16" s="239"/>
      <c r="G16" s="227"/>
      <c r="H16" s="228"/>
      <c r="I16" s="233"/>
      <c r="J16" s="233"/>
      <c r="K16" s="234"/>
      <c r="L16" s="344" t="s">
        <v>202</v>
      </c>
      <c r="M16" s="345"/>
      <c r="N16" s="345"/>
      <c r="O16" s="345"/>
      <c r="P16" s="346"/>
      <c r="Q16" s="19"/>
      <c r="R16" s="19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s="3" customFormat="1" ht="18" customHeight="1">
      <c r="A17" s="207">
        <v>10</v>
      </c>
      <c r="B17" s="235" t="s">
        <v>221</v>
      </c>
      <c r="C17" s="214" t="str">
        <f>COVER!B24</f>
        <v>ALBC2</v>
      </c>
      <c r="D17" s="214">
        <v>0</v>
      </c>
      <c r="E17" s="215"/>
      <c r="F17" s="239"/>
      <c r="G17" s="227"/>
      <c r="H17" s="228"/>
      <c r="I17" s="233"/>
      <c r="J17" s="233"/>
      <c r="K17" s="234"/>
      <c r="L17" s="344" t="s">
        <v>202</v>
      </c>
      <c r="M17" s="345"/>
      <c r="N17" s="345"/>
      <c r="O17" s="345"/>
      <c r="P17" s="346"/>
      <c r="Q17" s="202"/>
      <c r="R17" s="19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s="3" customFormat="1" ht="18" customHeight="1">
      <c r="A18" s="207">
        <v>11</v>
      </c>
      <c r="B18" s="235" t="s">
        <v>187</v>
      </c>
      <c r="C18" s="214" t="s">
        <v>352</v>
      </c>
      <c r="D18" s="214">
        <v>1</v>
      </c>
      <c r="E18" s="215"/>
      <c r="F18" s="239"/>
      <c r="G18" s="227"/>
      <c r="H18" s="228">
        <f>M18</f>
        <v>1300</v>
      </c>
      <c r="I18" s="233">
        <f>H18*D18</f>
        <v>1300</v>
      </c>
      <c r="J18" s="233"/>
      <c r="K18" s="234">
        <f t="shared" ref="K18:K22" si="1">I18+J18</f>
        <v>1300</v>
      </c>
      <c r="L18" s="163" t="s">
        <v>377</v>
      </c>
      <c r="M18" s="163">
        <v>1300</v>
      </c>
      <c r="N18" s="163"/>
      <c r="O18" s="163"/>
      <c r="P18" s="163"/>
      <c r="Q18" s="203" t="s">
        <v>379</v>
      </c>
      <c r="R18" s="165"/>
      <c r="S18" s="145"/>
      <c r="T18" s="145"/>
      <c r="U18" s="145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s="3" customFormat="1" ht="18" customHeight="1">
      <c r="A19" s="207">
        <v>12</v>
      </c>
      <c r="B19" s="235" t="s">
        <v>189</v>
      </c>
      <c r="C19" s="214" t="str">
        <f>COVER!B26</f>
        <v>B8M</v>
      </c>
      <c r="D19" s="214">
        <v>2</v>
      </c>
      <c r="E19" s="215"/>
      <c r="F19" s="239"/>
      <c r="G19" s="227"/>
      <c r="H19" s="230">
        <f>IF(C19="B8",M19,IF(C19="B8M",N19))</f>
        <v>200</v>
      </c>
      <c r="I19" s="240">
        <f>H19*D19</f>
        <v>400</v>
      </c>
      <c r="J19" s="233"/>
      <c r="K19" s="234">
        <f t="shared" si="1"/>
        <v>400</v>
      </c>
      <c r="L19" s="163"/>
      <c r="M19" s="163">
        <v>200</v>
      </c>
      <c r="N19" s="163">
        <v>200</v>
      </c>
      <c r="O19" s="163"/>
      <c r="P19" s="163"/>
      <c r="Q19" s="204" t="s">
        <v>381</v>
      </c>
      <c r="R19" s="19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s="3" customFormat="1" ht="18" customHeight="1">
      <c r="A20" s="207">
        <v>13</v>
      </c>
      <c r="B20" s="235" t="s">
        <v>188</v>
      </c>
      <c r="C20" s="214" t="str">
        <f>COVER!B27</f>
        <v>B8M</v>
      </c>
      <c r="D20" s="214">
        <v>4</v>
      </c>
      <c r="E20" s="215"/>
      <c r="F20" s="239"/>
      <c r="G20" s="227"/>
      <c r="H20" s="228">
        <f>IF(C20="B8",M20,IF(C20="B8M",N20,IF(C20="B7(다크로)",O20)))</f>
        <v>800</v>
      </c>
      <c r="I20" s="233">
        <f>H20*D20</f>
        <v>3200</v>
      </c>
      <c r="J20" s="233"/>
      <c r="K20" s="234">
        <f t="shared" si="1"/>
        <v>3200</v>
      </c>
      <c r="L20" s="163" t="s">
        <v>388</v>
      </c>
      <c r="M20" s="163">
        <v>500</v>
      </c>
      <c r="N20" s="163">
        <v>800</v>
      </c>
      <c r="O20" s="163">
        <v>500</v>
      </c>
      <c r="P20" s="163"/>
      <c r="Q20" s="204" t="s">
        <v>385</v>
      </c>
      <c r="R20" s="19"/>
      <c r="S20" s="10"/>
      <c r="T20" s="10"/>
      <c r="U20" s="10">
        <v>970330</v>
      </c>
      <c r="V20" s="10">
        <f>U20/0.7</f>
        <v>1386185.7142857143</v>
      </c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s="3" customFormat="1" ht="18" customHeight="1">
      <c r="A21" s="207">
        <v>14</v>
      </c>
      <c r="B21" s="235" t="s">
        <v>5</v>
      </c>
      <c r="C21" s="214" t="s">
        <v>38</v>
      </c>
      <c r="D21" s="214">
        <v>1</v>
      </c>
      <c r="E21" s="215"/>
      <c r="F21" s="239"/>
      <c r="G21" s="227"/>
      <c r="H21" s="228"/>
      <c r="I21" s="233"/>
      <c r="J21" s="241"/>
      <c r="K21" s="234">
        <f t="shared" si="1"/>
        <v>0</v>
      </c>
      <c r="L21" s="344" t="s">
        <v>202</v>
      </c>
      <c r="M21" s="345"/>
      <c r="N21" s="345"/>
      <c r="O21" s="345"/>
      <c r="P21" s="346"/>
      <c r="Q21" s="19"/>
      <c r="R21" s="19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s="3" customFormat="1" ht="18" customHeight="1">
      <c r="A22" s="207">
        <v>15</v>
      </c>
      <c r="B22" s="235" t="s">
        <v>6</v>
      </c>
      <c r="C22" s="214" t="str">
        <f>COVER!B34</f>
        <v>10 BAR</v>
      </c>
      <c r="D22" s="214">
        <v>1</v>
      </c>
      <c r="E22" s="215"/>
      <c r="F22" s="239"/>
      <c r="G22" s="242"/>
      <c r="H22" s="228"/>
      <c r="I22" s="233">
        <f>IF(C22="10 BAR",M22,IF(C22="16 BAR",N22,IF(C22="20 BAR",O22)))</f>
        <v>123000</v>
      </c>
      <c r="J22" s="241"/>
      <c r="K22" s="234">
        <f t="shared" si="1"/>
        <v>123000</v>
      </c>
      <c r="L22" s="163"/>
      <c r="M22" s="163">
        <v>123000</v>
      </c>
      <c r="N22" s="163">
        <v>225000</v>
      </c>
      <c r="O22" s="163">
        <v>225000</v>
      </c>
      <c r="P22" s="163"/>
      <c r="Q22" s="19"/>
      <c r="R22" s="19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s="3" customFormat="1" ht="18" customHeight="1">
      <c r="A23" s="207">
        <v>16</v>
      </c>
      <c r="B23" s="235" t="s">
        <v>7</v>
      </c>
      <c r="C23" s="214" t="str">
        <f>COVER!B32</f>
        <v>기존 단가</v>
      </c>
      <c r="D23" s="214">
        <v>1</v>
      </c>
      <c r="E23" s="215"/>
      <c r="F23" s="239"/>
      <c r="G23" s="242"/>
      <c r="H23" s="228">
        <f>IF(COVER!B9="APPLICATION",0,IF(COVER!B32="기존 단가",L23,IF(COVER!B32="외주 2COATING",M23,IF(COVER!B32="외주 3COATING",N23))))</f>
        <v>38400</v>
      </c>
      <c r="I23" s="233">
        <f>H23</f>
        <v>38400</v>
      </c>
      <c r="J23" s="233"/>
      <c r="K23" s="234"/>
      <c r="L23" s="163">
        <v>38400</v>
      </c>
      <c r="M23" s="163">
        <f>IF(H6&gt;0,F6*520,IF(H7&gt;0,F7*520,IF(H8&gt;0,F8*520)))</f>
        <v>30160</v>
      </c>
      <c r="N23" s="163">
        <f>IF(H6&gt;0,F6*620,IF(H7&gt;0,F7*620,IF(H8&gt;0,F8*620)))</f>
        <v>35960</v>
      </c>
      <c r="O23" s="90"/>
      <c r="P23" s="182"/>
      <c r="Q23" s="19"/>
      <c r="R23" s="19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s="3" customFormat="1" ht="18" customHeight="1">
      <c r="A24" s="207">
        <v>17</v>
      </c>
      <c r="B24" s="235" t="s">
        <v>174</v>
      </c>
      <c r="C24" s="214"/>
      <c r="D24" s="214">
        <v>1</v>
      </c>
      <c r="E24" s="215"/>
      <c r="F24" s="239"/>
      <c r="G24" s="242"/>
      <c r="H24" s="228">
        <f>IF(COVER!B9="APPLICATION",0,IF(COVER!B9="N/A",L24))</f>
        <v>38400</v>
      </c>
      <c r="I24" s="233">
        <f>H24</f>
        <v>38400</v>
      </c>
      <c r="J24" s="234"/>
      <c r="K24" s="234"/>
      <c r="L24" s="211">
        <v>38400</v>
      </c>
      <c r="M24" s="90"/>
      <c r="N24" s="90"/>
      <c r="O24" s="90"/>
      <c r="P24" s="90"/>
      <c r="Q24" s="19"/>
      <c r="R24" s="19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s="3" customFormat="1" ht="18" customHeight="1">
      <c r="A25" s="207">
        <v>18</v>
      </c>
      <c r="B25" s="97" t="s">
        <v>175</v>
      </c>
      <c r="C25" s="14"/>
      <c r="D25" s="14"/>
      <c r="E25" s="15"/>
      <c r="F25" s="15"/>
      <c r="G25" s="15"/>
      <c r="H25" s="15"/>
      <c r="I25" s="98"/>
      <c r="J25" s="98"/>
      <c r="K25" s="16">
        <f>SUM(K6:K20)+SUM(K23:K24)</f>
        <v>404530</v>
      </c>
      <c r="L25" s="161" t="s">
        <v>248</v>
      </c>
      <c r="M25" s="90"/>
      <c r="N25" s="90"/>
      <c r="O25" s="90"/>
      <c r="P25" s="90"/>
      <c r="Q25" s="19"/>
      <c r="R25" s="19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s="3" customFormat="1" ht="18" customHeight="1">
      <c r="A26" s="207">
        <v>18</v>
      </c>
      <c r="B26" s="97" t="s">
        <v>176</v>
      </c>
      <c r="C26" s="14"/>
      <c r="D26" s="14"/>
      <c r="E26" s="15"/>
      <c r="F26" s="15"/>
      <c r="G26" s="15"/>
      <c r="H26" s="15"/>
      <c r="I26" s="98"/>
      <c r="J26" s="98"/>
      <c r="K26" s="16">
        <f>SUM(K6:K21)+SUM(K23:K24)</f>
        <v>404530</v>
      </c>
      <c r="L26" s="161" t="s">
        <v>248</v>
      </c>
      <c r="M26" s="90"/>
      <c r="N26" s="90"/>
      <c r="O26" s="90"/>
      <c r="P26" s="90"/>
      <c r="Q26" s="19"/>
      <c r="R26" s="19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s="3" customFormat="1" ht="18" customHeight="1">
      <c r="A27" s="207">
        <v>18</v>
      </c>
      <c r="B27" s="97" t="s">
        <v>177</v>
      </c>
      <c r="C27" s="14"/>
      <c r="D27" s="14"/>
      <c r="E27" s="15"/>
      <c r="F27" s="15"/>
      <c r="G27" s="15"/>
      <c r="H27" s="15"/>
      <c r="I27" s="98"/>
      <c r="J27" s="98"/>
      <c r="K27" s="16">
        <f>SUM(K6:K20)+SUM(K22:K24)</f>
        <v>527530</v>
      </c>
      <c r="L27" s="161" t="s">
        <v>248</v>
      </c>
      <c r="M27" s="90"/>
      <c r="N27" s="90"/>
      <c r="O27" s="90"/>
      <c r="P27" s="90"/>
      <c r="Q27" s="19"/>
      <c r="R27" s="19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s="3" customFormat="1" ht="18" customHeight="1">
      <c r="A28" s="207">
        <v>19</v>
      </c>
      <c r="B28" s="235" t="s">
        <v>237</v>
      </c>
      <c r="C28" s="214" t="str">
        <f>COVER!B28</f>
        <v>REQUIRED</v>
      </c>
      <c r="D28" s="214">
        <v>0</v>
      </c>
      <c r="E28" s="215"/>
      <c r="F28" s="239"/>
      <c r="G28" s="215"/>
      <c r="H28" s="233">
        <f>IF(C28="REQUIRED",L28,IF(C28="N/A",0))</f>
        <v>21800</v>
      </c>
      <c r="I28" s="233">
        <f>H28</f>
        <v>21800</v>
      </c>
      <c r="J28" s="215"/>
      <c r="K28" s="234"/>
      <c r="L28" s="163">
        <v>21800</v>
      </c>
      <c r="M28" s="90"/>
      <c r="N28" s="90"/>
      <c r="O28" s="90"/>
      <c r="P28" s="90"/>
      <c r="Q28" s="19"/>
      <c r="R28" s="19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s="3" customFormat="1" ht="18" customHeight="1">
      <c r="A29" s="207">
        <v>20</v>
      </c>
      <c r="B29" s="235" t="s">
        <v>180</v>
      </c>
      <c r="C29" s="214"/>
      <c r="D29" s="214">
        <v>0</v>
      </c>
      <c r="E29" s="215"/>
      <c r="F29" s="239"/>
      <c r="G29" s="215"/>
      <c r="H29" s="215"/>
      <c r="I29" s="215"/>
      <c r="J29" s="215"/>
      <c r="K29" s="234"/>
      <c r="L29" s="161"/>
      <c r="M29" s="90"/>
      <c r="N29" s="90"/>
      <c r="O29" s="90"/>
      <c r="P29" s="90"/>
      <c r="Q29" s="19"/>
      <c r="R29" s="19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s="3" customFormat="1" ht="18" customHeight="1">
      <c r="A30" s="207">
        <v>21</v>
      </c>
      <c r="B30" s="235" t="s">
        <v>178</v>
      </c>
      <c r="C30" s="214" t="str">
        <f>COVER!B35</f>
        <v>MOTOR</v>
      </c>
      <c r="D30" s="214">
        <v>1</v>
      </c>
      <c r="E30" s="215"/>
      <c r="F30" s="239"/>
      <c r="G30" s="215"/>
      <c r="H30" s="233">
        <f>IF(COVER!B9="APPLICATION",0,IF(COVER!B35="BARE",M30,(IF(COVER!B35="LEVER",M30,IF(COVER!B35="GEAR",N30,IF(COVER!B35="MOTOR",O30))))))</f>
        <v>105000</v>
      </c>
      <c r="I30" s="234">
        <f>H30</f>
        <v>105000</v>
      </c>
      <c r="J30" s="215"/>
      <c r="K30" s="234"/>
      <c r="L30" s="163">
        <v>56800</v>
      </c>
      <c r="M30" s="163">
        <v>35000</v>
      </c>
      <c r="N30" s="163">
        <v>35000</v>
      </c>
      <c r="O30" s="163">
        <v>105000</v>
      </c>
      <c r="P30" s="90"/>
      <c r="Q30" s="19"/>
      <c r="R30" s="19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s="3" customFormat="1" ht="18" customHeight="1">
      <c r="A31" s="207">
        <v>22</v>
      </c>
      <c r="B31" s="235"/>
      <c r="C31" s="214"/>
      <c r="D31" s="214"/>
      <c r="E31" s="215"/>
      <c r="F31" s="239"/>
      <c r="G31" s="215"/>
      <c r="H31" s="215"/>
      <c r="I31" s="215"/>
      <c r="J31" s="215"/>
      <c r="K31" s="234"/>
      <c r="L31" s="161"/>
      <c r="M31" s="90"/>
      <c r="N31" s="90"/>
      <c r="O31" s="90"/>
      <c r="P31" s="90"/>
      <c r="Q31" s="19"/>
      <c r="R31" s="19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s="3" customFormat="1" ht="18" customHeight="1">
      <c r="A32" s="207">
        <v>23</v>
      </c>
      <c r="B32" s="89" t="s">
        <v>179</v>
      </c>
      <c r="C32" s="14"/>
      <c r="D32" s="99"/>
      <c r="E32" s="15"/>
      <c r="F32" s="15"/>
      <c r="G32" s="15"/>
      <c r="H32" s="15"/>
      <c r="I32" s="100"/>
      <c r="J32" s="101"/>
      <c r="K32" s="100">
        <f>SUM(K28:K31)</f>
        <v>0</v>
      </c>
      <c r="L32" s="161" t="s">
        <v>249</v>
      </c>
      <c r="M32" s="90"/>
      <c r="N32" s="90"/>
      <c r="O32" s="90"/>
      <c r="P32" s="90"/>
      <c r="Q32" s="19"/>
      <c r="R32" s="19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s="3" customFormat="1" ht="18" customHeight="1">
      <c r="A33" s="162">
        <v>24</v>
      </c>
      <c r="B33" s="216" t="s">
        <v>252</v>
      </c>
      <c r="C33" s="217"/>
      <c r="D33" s="218"/>
      <c r="E33" s="219"/>
      <c r="F33" s="219"/>
      <c r="G33" s="219"/>
      <c r="H33" s="219"/>
      <c r="I33" s="220"/>
      <c r="J33" s="221"/>
      <c r="K33" s="220">
        <f>K25+K32</f>
        <v>404530</v>
      </c>
      <c r="L33" s="161" t="s">
        <v>257</v>
      </c>
      <c r="M33" s="90"/>
      <c r="N33" s="90"/>
      <c r="O33" s="90"/>
      <c r="P33" s="90"/>
      <c r="Q33" s="19"/>
      <c r="R33" s="19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s="3" customFormat="1" ht="18" customHeight="1">
      <c r="A34" s="162">
        <v>24</v>
      </c>
      <c r="B34" s="216" t="s">
        <v>255</v>
      </c>
      <c r="C34" s="217"/>
      <c r="D34" s="218"/>
      <c r="E34" s="219"/>
      <c r="F34" s="219"/>
      <c r="G34" s="219"/>
      <c r="H34" s="219"/>
      <c r="I34" s="220"/>
      <c r="J34" s="221"/>
      <c r="K34" s="220">
        <f>K26+K32</f>
        <v>404530</v>
      </c>
      <c r="L34" s="161" t="s">
        <v>257</v>
      </c>
      <c r="M34" s="90"/>
      <c r="N34" s="90"/>
      <c r="O34" s="90"/>
      <c r="P34" s="90"/>
      <c r="Q34" s="19"/>
      <c r="R34" s="19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s="3" customFormat="1" ht="18" customHeight="1">
      <c r="A35" s="162">
        <v>24</v>
      </c>
      <c r="B35" s="216" t="s">
        <v>256</v>
      </c>
      <c r="C35" s="217"/>
      <c r="D35" s="218"/>
      <c r="E35" s="219"/>
      <c r="F35" s="219"/>
      <c r="G35" s="219"/>
      <c r="H35" s="219"/>
      <c r="I35" s="220"/>
      <c r="J35" s="221"/>
      <c r="K35" s="220">
        <f>K27+K32</f>
        <v>527530</v>
      </c>
      <c r="L35" s="161" t="s">
        <v>257</v>
      </c>
      <c r="M35" s="90"/>
      <c r="N35" s="90"/>
      <c r="O35" s="90"/>
      <c r="P35" s="90"/>
      <c r="Q35" s="19"/>
      <c r="R35" s="19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s="4" customFormat="1" ht="18" customHeight="1">
      <c r="A36" s="162">
        <v>25</v>
      </c>
      <c r="B36" s="102" t="s">
        <v>407</v>
      </c>
      <c r="C36" s="103"/>
      <c r="D36" s="103"/>
      <c r="E36" s="104"/>
      <c r="F36" s="105"/>
      <c r="G36" s="105"/>
      <c r="H36" s="106"/>
      <c r="I36" s="223" t="s">
        <v>41</v>
      </c>
      <c r="J36" s="223">
        <v>0.7</v>
      </c>
      <c r="K36" s="107">
        <f>(K25+K32)/J36</f>
        <v>577900</v>
      </c>
      <c r="L36" s="161" t="s">
        <v>250</v>
      </c>
      <c r="M36" s="90"/>
      <c r="N36" s="90"/>
      <c r="O36" s="90"/>
      <c r="P36" s="90"/>
      <c r="Q36" s="19"/>
      <c r="R36" s="19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s="4" customFormat="1" ht="18" customHeight="1">
      <c r="A37" s="162">
        <v>25</v>
      </c>
      <c r="B37" s="102" t="s">
        <v>408</v>
      </c>
      <c r="C37" s="103"/>
      <c r="D37" s="103"/>
      <c r="E37" s="104"/>
      <c r="F37" s="105"/>
      <c r="G37" s="105"/>
      <c r="H37" s="106"/>
      <c r="I37" s="223" t="s">
        <v>41</v>
      </c>
      <c r="J37" s="223">
        <v>0.7</v>
      </c>
      <c r="K37" s="107">
        <f>(K26+K32)/J37</f>
        <v>577900</v>
      </c>
      <c r="L37" s="161" t="s">
        <v>250</v>
      </c>
      <c r="M37" s="90"/>
      <c r="N37" s="90"/>
      <c r="O37" s="90"/>
      <c r="P37" s="90"/>
      <c r="Q37" s="19"/>
      <c r="R37" s="19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s="4" customFormat="1" ht="18" customHeight="1">
      <c r="A38" s="162">
        <v>25</v>
      </c>
      <c r="B38" s="102" t="s">
        <v>409</v>
      </c>
      <c r="C38" s="103"/>
      <c r="D38" s="103"/>
      <c r="E38" s="104"/>
      <c r="F38" s="105"/>
      <c r="G38" s="105"/>
      <c r="H38" s="106"/>
      <c r="I38" s="223" t="s">
        <v>41</v>
      </c>
      <c r="J38" s="223">
        <v>0.7</v>
      </c>
      <c r="K38" s="107">
        <f>(K27+K32)/J38</f>
        <v>753614.2857142858</v>
      </c>
      <c r="L38" s="161" t="s">
        <v>250</v>
      </c>
      <c r="M38" s="90"/>
      <c r="N38" s="90"/>
      <c r="O38" s="90"/>
      <c r="P38" s="90"/>
      <c r="Q38" s="19"/>
      <c r="R38" s="19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s="4" customFormat="1" ht="18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57"/>
      <c r="M39" s="108"/>
      <c r="N39" s="108"/>
      <c r="O39" s="108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s="4" customFormat="1" ht="18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57"/>
      <c r="M40" s="108"/>
      <c r="N40" s="108"/>
      <c r="O40" s="108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s="4" customFormat="1" ht="18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57"/>
      <c r="M41" s="108"/>
      <c r="N41" s="108"/>
      <c r="O41" s="108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s="4" customFormat="1" ht="18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57"/>
      <c r="M42" s="108"/>
      <c r="N42" s="108"/>
      <c r="O42" s="108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s="4" customFormat="1" ht="18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57"/>
      <c r="M43" s="108"/>
      <c r="N43" s="108"/>
      <c r="O43" s="108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s="4" customFormat="1" ht="18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57"/>
      <c r="M44" s="108"/>
      <c r="N44" s="108"/>
      <c r="O44" s="108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s="4" customFormat="1" ht="18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57"/>
      <c r="M45" s="108"/>
      <c r="N45" s="108"/>
      <c r="O45" s="108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s="4" customFormat="1" ht="18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57"/>
      <c r="M46" s="108"/>
      <c r="N46" s="108"/>
      <c r="O46" s="108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s="4" customFormat="1" ht="12.75">
      <c r="A47" s="10"/>
      <c r="B47" s="10"/>
      <c r="C47" s="10"/>
      <c r="D47" s="109"/>
      <c r="E47" s="10"/>
      <c r="F47" s="10"/>
      <c r="G47" s="10"/>
      <c r="H47" s="10"/>
      <c r="I47" s="10"/>
      <c r="J47" s="10"/>
      <c r="K47" s="10"/>
      <c r="L47" s="108"/>
      <c r="M47" s="108"/>
      <c r="N47" s="108"/>
      <c r="O47" s="108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s="4" customFormat="1" ht="12.7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57"/>
      <c r="M48" s="108"/>
      <c r="N48" s="108"/>
      <c r="O48" s="108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s="4" customFormat="1" ht="12.7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57"/>
      <c r="M49" s="108"/>
      <c r="N49" s="108"/>
      <c r="O49" s="108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s="5" customForma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57"/>
      <c r="M50" s="87"/>
      <c r="N50" s="87"/>
      <c r="O50" s="8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s="5" customForma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57"/>
      <c r="M51" s="87"/>
      <c r="N51" s="87"/>
      <c r="O51" s="87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s="5" customForma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57"/>
      <c r="M52" s="87"/>
      <c r="N52" s="87"/>
      <c r="O52" s="87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</sheetData>
  <mergeCells count="9">
    <mergeCell ref="L21:P21"/>
    <mergeCell ref="L16:P16"/>
    <mergeCell ref="L17:P17"/>
    <mergeCell ref="A1:K1"/>
    <mergeCell ref="D3:E3"/>
    <mergeCell ref="F3:H3"/>
    <mergeCell ref="L4:P4"/>
    <mergeCell ref="L13:P13"/>
    <mergeCell ref="L15:P15"/>
  </mergeCells>
  <phoneticPr fontId="7" type="noConversion"/>
  <pageMargins left="0.75" right="0.75" top="1" bottom="1" header="0.5" footer="0.5"/>
  <pageSetup paperSize="9" scale="62" orientation="portrait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AE52"/>
  <sheetViews>
    <sheetView view="pageBreakPreview" zoomScale="85" zoomScaleNormal="100" zoomScaleSheetLayoutView="85" workbookViewId="0">
      <selection activeCell="M22" sqref="M22"/>
    </sheetView>
  </sheetViews>
  <sheetFormatPr defaultColWidth="8.88671875" defaultRowHeight="13.5"/>
  <cols>
    <col min="1" max="1" width="5.26171875" style="10" customWidth="1"/>
    <col min="2" max="2" width="20.23046875" style="10" bestFit="1" customWidth="1"/>
    <col min="3" max="3" width="14.3828125" style="10" bestFit="1" customWidth="1"/>
    <col min="4" max="4" width="3.7421875" style="10" customWidth="1"/>
    <col min="5" max="5" width="8.30078125" style="10" customWidth="1"/>
    <col min="6" max="6" width="6.1953125" style="10" customWidth="1"/>
    <col min="7" max="7" width="5.73046875" style="10" customWidth="1"/>
    <col min="8" max="8" width="8.30078125" style="10" bestFit="1" customWidth="1"/>
    <col min="9" max="9" width="10.9921875" style="10" customWidth="1"/>
    <col min="10" max="10" width="12.74609375" style="10" bestFit="1" customWidth="1"/>
    <col min="11" max="11" width="18.125" style="10" bestFit="1" customWidth="1"/>
    <col min="12" max="12" width="14.265625" style="157" bestFit="1" customWidth="1"/>
    <col min="13" max="13" width="13.796875" style="87" customWidth="1"/>
    <col min="14" max="14" width="12.16015625" style="87" bestFit="1" customWidth="1"/>
    <col min="15" max="15" width="9.703125" style="87" customWidth="1"/>
    <col min="16" max="16" width="12.16015625" style="8" bestFit="1" customWidth="1"/>
    <col min="17" max="18" width="15.43359375" style="8" bestFit="1" customWidth="1"/>
    <col min="19" max="31" width="8.88671875" style="8"/>
    <col min="32" max="16384" width="8.88671875" style="2"/>
  </cols>
  <sheetData>
    <row r="1" spans="1:31" ht="24" thickTop="1" thickBot="1">
      <c r="A1" s="336" t="s">
        <v>190</v>
      </c>
      <c r="B1" s="337"/>
      <c r="C1" s="337"/>
      <c r="D1" s="337"/>
      <c r="E1" s="337"/>
      <c r="F1" s="337"/>
      <c r="G1" s="337"/>
      <c r="H1" s="337"/>
      <c r="I1" s="337"/>
      <c r="J1" s="337"/>
      <c r="K1" s="338"/>
      <c r="M1" s="7"/>
    </row>
    <row r="2" spans="1:31" ht="14.45" customHeight="1" thickTop="1" thickBot="1">
      <c r="A2" s="158"/>
      <c r="B2" s="158"/>
      <c r="C2" s="115"/>
      <c r="E2" s="115"/>
      <c r="F2" s="115"/>
      <c r="G2" s="115"/>
    </row>
    <row r="3" spans="1:31" ht="15" thickTop="1" thickBot="1">
      <c r="A3" s="160" t="s">
        <v>191</v>
      </c>
      <c r="B3" s="159" t="s">
        <v>328</v>
      </c>
      <c r="C3" s="160" t="s">
        <v>192</v>
      </c>
      <c r="D3" s="339" t="s">
        <v>193</v>
      </c>
      <c r="E3" s="340"/>
      <c r="F3" s="341" t="s">
        <v>194</v>
      </c>
      <c r="G3" s="339"/>
      <c r="H3" s="339"/>
      <c r="I3" s="159" t="s">
        <v>195</v>
      </c>
      <c r="J3" s="160" t="s">
        <v>197</v>
      </c>
      <c r="K3" s="159" t="s">
        <v>281</v>
      </c>
    </row>
    <row r="4" spans="1:31" ht="19.149999999999999" customHeight="1" thickTop="1" thickBot="1">
      <c r="J4" s="197" t="s">
        <v>332</v>
      </c>
      <c r="K4" s="189">
        <v>595</v>
      </c>
      <c r="L4" s="342" t="s">
        <v>207</v>
      </c>
      <c r="M4" s="343"/>
      <c r="N4" s="343"/>
      <c r="O4" s="343"/>
      <c r="P4" s="343"/>
    </row>
    <row r="5" spans="1:31" s="3" customFormat="1" ht="25.15" customHeight="1" thickTop="1">
      <c r="A5" s="9" t="s">
        <v>1</v>
      </c>
      <c r="B5" s="9" t="s">
        <v>164</v>
      </c>
      <c r="C5" s="88" t="s">
        <v>165</v>
      </c>
      <c r="D5" s="89" t="s">
        <v>166</v>
      </c>
      <c r="E5" s="9" t="s">
        <v>167</v>
      </c>
      <c r="F5" s="9" t="s">
        <v>168</v>
      </c>
      <c r="G5" s="9" t="s">
        <v>169</v>
      </c>
      <c r="H5" s="9" t="s">
        <v>170</v>
      </c>
      <c r="I5" s="123" t="s">
        <v>171</v>
      </c>
      <c r="J5" s="195" t="s">
        <v>172</v>
      </c>
      <c r="K5" s="196" t="s">
        <v>173</v>
      </c>
      <c r="L5" s="90" t="s">
        <v>198</v>
      </c>
      <c r="M5" s="121" t="s">
        <v>199</v>
      </c>
      <c r="N5" s="90" t="s">
        <v>38</v>
      </c>
      <c r="O5" s="90" t="s">
        <v>200</v>
      </c>
      <c r="P5" s="90" t="s">
        <v>201</v>
      </c>
      <c r="Q5" s="90" t="s">
        <v>265</v>
      </c>
      <c r="R5" s="90" t="s">
        <v>266</v>
      </c>
      <c r="S5" s="10"/>
      <c r="T5" s="10" t="s">
        <v>330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s="3" customFormat="1" ht="18" customHeight="1">
      <c r="A6" s="162">
        <v>1</v>
      </c>
      <c r="B6" s="224" t="s">
        <v>181</v>
      </c>
      <c r="C6" s="225">
        <f>COVER!B13</f>
        <v>0</v>
      </c>
      <c r="D6" s="226">
        <v>1</v>
      </c>
      <c r="E6" s="215"/>
      <c r="F6" s="227">
        <v>50</v>
      </c>
      <c r="G6" s="227"/>
      <c r="H6" s="228">
        <f>COVER!C13</f>
        <v>0</v>
      </c>
      <c r="I6" s="229">
        <f>D6*F6*H6</f>
        <v>0</v>
      </c>
      <c r="J6" s="230"/>
      <c r="K6" s="231">
        <f t="shared" ref="K6:K12" si="0">I6+J6</f>
        <v>0</v>
      </c>
      <c r="L6" s="181">
        <v>59000</v>
      </c>
      <c r="M6" s="181">
        <v>77000</v>
      </c>
      <c r="N6" s="163"/>
      <c r="O6" s="90"/>
      <c r="P6" s="90"/>
      <c r="Q6" s="19"/>
      <c r="R6" s="19"/>
      <c r="S6" s="10"/>
      <c r="T6" s="10">
        <v>45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s="3" customFormat="1" ht="18" customHeight="1">
      <c r="A7" s="162">
        <v>1</v>
      </c>
      <c r="B7" s="224" t="s">
        <v>182</v>
      </c>
      <c r="C7" s="225" t="str">
        <f>COVER!B14</f>
        <v>A536 Gr65-45-12</v>
      </c>
      <c r="D7" s="226">
        <v>1</v>
      </c>
      <c r="E7" s="215"/>
      <c r="F7" s="227">
        <v>94</v>
      </c>
      <c r="G7" s="227"/>
      <c r="H7" s="228">
        <f>COVER!C14</f>
        <v>3500</v>
      </c>
      <c r="I7" s="229">
        <f>D7*F7*H7</f>
        <v>329000</v>
      </c>
      <c r="J7" s="230"/>
      <c r="K7" s="231">
        <f t="shared" si="0"/>
        <v>329000</v>
      </c>
      <c r="L7" s="163">
        <v>118000</v>
      </c>
      <c r="M7" s="163">
        <v>129800</v>
      </c>
      <c r="N7" s="161"/>
      <c r="O7" s="90"/>
      <c r="P7" s="90"/>
      <c r="Q7" s="19"/>
      <c r="R7" s="19"/>
      <c r="S7" s="10"/>
      <c r="T7" s="10">
        <v>78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s="3" customFormat="1" ht="18" customHeight="1">
      <c r="A8" s="162">
        <v>1</v>
      </c>
      <c r="B8" s="224" t="s">
        <v>183</v>
      </c>
      <c r="C8" s="225">
        <f>COVER!B15</f>
        <v>0</v>
      </c>
      <c r="D8" s="226">
        <v>1</v>
      </c>
      <c r="E8" s="215"/>
      <c r="F8" s="227">
        <v>110</v>
      </c>
      <c r="G8" s="227"/>
      <c r="H8" s="228">
        <f>COVER!C15</f>
        <v>0</v>
      </c>
      <c r="I8" s="229">
        <f>D8*F8*H8</f>
        <v>0</v>
      </c>
      <c r="J8" s="230"/>
      <c r="K8" s="231">
        <f t="shared" si="0"/>
        <v>0</v>
      </c>
      <c r="L8" s="181">
        <f>M8*0.85</f>
        <v>120105</v>
      </c>
      <c r="M8" s="163">
        <v>141300</v>
      </c>
      <c r="N8" s="161"/>
      <c r="O8" s="90"/>
      <c r="P8" s="90"/>
      <c r="Q8" s="19"/>
      <c r="R8" s="19"/>
      <c r="S8" s="10"/>
      <c r="T8" s="10">
        <v>110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s="3" customFormat="1" ht="18" customHeight="1">
      <c r="A9" s="162">
        <v>2</v>
      </c>
      <c r="B9" s="232" t="s">
        <v>2</v>
      </c>
      <c r="C9" s="225" t="str">
        <f>COVER!B16</f>
        <v>A351 CF8M</v>
      </c>
      <c r="D9" s="226">
        <v>1</v>
      </c>
      <c r="E9" s="215"/>
      <c r="F9" s="227">
        <f>IF(COVER!B34="10 BAR",Q9,IF(COVER!B34="16 BAR",R9,IF(COVER!B34="20 BAR",R9)))</f>
        <v>21</v>
      </c>
      <c r="G9" s="227"/>
      <c r="H9" s="228">
        <f>COVER!C16</f>
        <v>12000</v>
      </c>
      <c r="I9" s="233">
        <f>D9*F9*H9</f>
        <v>252000</v>
      </c>
      <c r="J9" s="230"/>
      <c r="K9" s="234">
        <f t="shared" si="0"/>
        <v>252000</v>
      </c>
      <c r="L9" s="163">
        <v>36000</v>
      </c>
      <c r="M9" s="163">
        <v>30000</v>
      </c>
      <c r="N9" s="163">
        <v>30000</v>
      </c>
      <c r="O9" s="161">
        <f>P9*0.85</f>
        <v>35700</v>
      </c>
      <c r="P9" s="163">
        <v>42000</v>
      </c>
      <c r="Q9" s="19">
        <v>21</v>
      </c>
      <c r="R9" s="19">
        <v>30</v>
      </c>
      <c r="S9" s="10"/>
      <c r="T9" s="10">
        <v>20</v>
      </c>
      <c r="U9" s="10"/>
      <c r="V9" s="10">
        <f>P9/M9</f>
        <v>1.4</v>
      </c>
      <c r="W9" s="10"/>
      <c r="X9" s="10"/>
      <c r="Y9" s="10"/>
      <c r="Z9" s="10"/>
      <c r="AA9" s="10"/>
      <c r="AB9" s="10"/>
      <c r="AC9" s="10"/>
      <c r="AD9" s="10"/>
      <c r="AE9" s="10"/>
    </row>
    <row r="10" spans="1:31" s="3" customFormat="1" ht="18" customHeight="1">
      <c r="A10" s="207">
        <v>3</v>
      </c>
      <c r="B10" s="235" t="s">
        <v>3</v>
      </c>
      <c r="C10" s="236" t="str">
        <f>COVER!B18</f>
        <v>EPDM</v>
      </c>
      <c r="D10" s="214">
        <v>1</v>
      </c>
      <c r="E10" s="215"/>
      <c r="F10" s="227">
        <v>1</v>
      </c>
      <c r="G10" s="227"/>
      <c r="H10" s="228">
        <f>IF(C10="NBR",L10,IF(C10="EPDM",L10,IF(C10="VITON",M10)))</f>
        <v>21280</v>
      </c>
      <c r="I10" s="233">
        <f>H10*F10*D10</f>
        <v>21280</v>
      </c>
      <c r="J10" s="230"/>
      <c r="K10" s="234">
        <f t="shared" si="0"/>
        <v>21280</v>
      </c>
      <c r="L10" s="163">
        <v>21280</v>
      </c>
      <c r="M10" s="163">
        <v>450000</v>
      </c>
      <c r="N10" s="190">
        <v>128300</v>
      </c>
      <c r="O10" s="163" t="s">
        <v>202</v>
      </c>
      <c r="P10" s="163">
        <v>38100</v>
      </c>
      <c r="Q10" s="19"/>
      <c r="R10" s="1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s="3" customFormat="1" ht="18" customHeight="1">
      <c r="A11" s="207">
        <v>4</v>
      </c>
      <c r="B11" s="235" t="s">
        <v>203</v>
      </c>
      <c r="C11" s="214" t="str">
        <f>COVER!B17</f>
        <v>A564T630</v>
      </c>
      <c r="D11" s="214">
        <v>1</v>
      </c>
      <c r="E11" s="215"/>
      <c r="F11" s="237">
        <v>6.5</v>
      </c>
      <c r="G11" s="238"/>
      <c r="H11" s="228">
        <f>COVER!C17</f>
        <v>10000</v>
      </c>
      <c r="I11" s="233">
        <f>D11*F11*H11</f>
        <v>65000</v>
      </c>
      <c r="J11" s="233"/>
      <c r="K11" s="234">
        <f t="shared" si="0"/>
        <v>65000</v>
      </c>
      <c r="L11" s="163" t="s">
        <v>272</v>
      </c>
      <c r="M11" s="163">
        <v>5000</v>
      </c>
      <c r="N11" s="90">
        <v>10000</v>
      </c>
      <c r="O11" s="90"/>
      <c r="P11" s="90"/>
      <c r="Q11" s="18">
        <v>6.43</v>
      </c>
      <c r="R11" s="18"/>
      <c r="S11" s="108"/>
      <c r="T11" s="10">
        <v>4.4000000000000004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s="3" customFormat="1" ht="18" customHeight="1">
      <c r="A12" s="207">
        <v>5</v>
      </c>
      <c r="B12" s="235" t="s">
        <v>184</v>
      </c>
      <c r="C12" s="214" t="str">
        <f>COVER!B20</f>
        <v>ALBC2</v>
      </c>
      <c r="D12" s="214">
        <v>1</v>
      </c>
      <c r="E12" s="215"/>
      <c r="F12" s="237">
        <v>1</v>
      </c>
      <c r="G12" s="227"/>
      <c r="H12" s="230">
        <f>L12</f>
        <v>7000</v>
      </c>
      <c r="I12" s="233">
        <f>D12*F12*H12</f>
        <v>7000</v>
      </c>
      <c r="J12" s="233"/>
      <c r="K12" s="234">
        <f t="shared" si="0"/>
        <v>7000</v>
      </c>
      <c r="L12" s="163">
        <v>7000</v>
      </c>
      <c r="M12" s="163"/>
      <c r="N12" s="163"/>
      <c r="O12" s="90"/>
      <c r="P12" s="90"/>
      <c r="Q12" s="19"/>
      <c r="R12" s="19"/>
      <c r="S12" s="10"/>
      <c r="T12" s="10"/>
      <c r="U12" s="10"/>
      <c r="V12" s="10">
        <f>M9/L9</f>
        <v>0.83333333333333337</v>
      </c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s="3" customFormat="1" ht="18" customHeight="1">
      <c r="A13" s="207">
        <v>6</v>
      </c>
      <c r="B13" s="235" t="s">
        <v>163</v>
      </c>
      <c r="C13" s="214"/>
      <c r="D13" s="214">
        <v>0</v>
      </c>
      <c r="E13" s="215"/>
      <c r="F13" s="227"/>
      <c r="G13" s="227"/>
      <c r="H13" s="228"/>
      <c r="I13" s="233"/>
      <c r="J13" s="233"/>
      <c r="K13" s="234"/>
      <c r="L13" s="344" t="s">
        <v>202</v>
      </c>
      <c r="M13" s="345"/>
      <c r="N13" s="345"/>
      <c r="O13" s="345"/>
      <c r="P13" s="346"/>
      <c r="Q13" s="19"/>
      <c r="R13" s="19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s="3" customFormat="1" ht="18" customHeight="1">
      <c r="A14" s="207">
        <v>7</v>
      </c>
      <c r="B14" s="235" t="s">
        <v>4</v>
      </c>
      <c r="C14" s="214" t="str">
        <f>C11</f>
        <v>A564T630</v>
      </c>
      <c r="D14" s="214">
        <v>2</v>
      </c>
      <c r="E14" s="215"/>
      <c r="F14" s="237">
        <v>1</v>
      </c>
      <c r="G14" s="227"/>
      <c r="H14" s="228">
        <f>L14</f>
        <v>3500</v>
      </c>
      <c r="I14" s="233">
        <f>D14*F14*H14</f>
        <v>7000</v>
      </c>
      <c r="J14" s="233"/>
      <c r="K14" s="234">
        <f>I14+J14</f>
        <v>7000</v>
      </c>
      <c r="L14" s="163">
        <v>3500</v>
      </c>
      <c r="M14" s="163"/>
      <c r="N14" s="163"/>
      <c r="O14" s="163"/>
      <c r="P14" s="163"/>
      <c r="Q14" s="19"/>
      <c r="R14" s="19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s="3" customFormat="1" ht="18" customHeight="1">
      <c r="A15" s="207">
        <v>8</v>
      </c>
      <c r="B15" s="235" t="s">
        <v>386</v>
      </c>
      <c r="C15" s="214" t="str">
        <f>COVER!B22</f>
        <v>BODY MATERIAL</v>
      </c>
      <c r="D15" s="214">
        <v>0</v>
      </c>
      <c r="E15" s="215"/>
      <c r="F15" s="215"/>
      <c r="G15" s="227"/>
      <c r="H15" s="228"/>
      <c r="I15" s="233"/>
      <c r="J15" s="233"/>
      <c r="K15" s="234"/>
      <c r="L15" s="344" t="s">
        <v>202</v>
      </c>
      <c r="M15" s="345"/>
      <c r="N15" s="345"/>
      <c r="O15" s="345"/>
      <c r="P15" s="346"/>
      <c r="Q15" s="164"/>
      <c r="R15" s="164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s="3" customFormat="1" ht="18" customHeight="1">
      <c r="A16" s="207">
        <v>9</v>
      </c>
      <c r="B16" s="235" t="s">
        <v>217</v>
      </c>
      <c r="C16" s="214" t="str">
        <f>COVER!B23</f>
        <v>B8M</v>
      </c>
      <c r="D16" s="214">
        <v>0</v>
      </c>
      <c r="E16" s="215"/>
      <c r="F16" s="239"/>
      <c r="G16" s="227"/>
      <c r="H16" s="228"/>
      <c r="I16" s="233"/>
      <c r="J16" s="233"/>
      <c r="K16" s="234"/>
      <c r="L16" s="344" t="s">
        <v>202</v>
      </c>
      <c r="M16" s="345"/>
      <c r="N16" s="345"/>
      <c r="O16" s="345"/>
      <c r="P16" s="346"/>
      <c r="Q16" s="19"/>
      <c r="R16" s="19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s="3" customFormat="1" ht="18" customHeight="1">
      <c r="A17" s="207">
        <v>10</v>
      </c>
      <c r="B17" s="235" t="s">
        <v>221</v>
      </c>
      <c r="C17" s="214" t="str">
        <f>COVER!B24</f>
        <v>ALBC2</v>
      </c>
      <c r="D17" s="214">
        <v>0</v>
      </c>
      <c r="E17" s="215"/>
      <c r="F17" s="239"/>
      <c r="G17" s="227"/>
      <c r="H17" s="228"/>
      <c r="I17" s="233"/>
      <c r="J17" s="233"/>
      <c r="K17" s="234"/>
      <c r="L17" s="344" t="s">
        <v>202</v>
      </c>
      <c r="M17" s="345"/>
      <c r="N17" s="345"/>
      <c r="O17" s="345"/>
      <c r="P17" s="346"/>
      <c r="Q17" s="202"/>
      <c r="R17" s="19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s="3" customFormat="1" ht="18" customHeight="1">
      <c r="A18" s="207">
        <v>11</v>
      </c>
      <c r="B18" s="235" t="s">
        <v>187</v>
      </c>
      <c r="C18" s="214" t="s">
        <v>352</v>
      </c>
      <c r="D18" s="214">
        <v>1</v>
      </c>
      <c r="E18" s="215"/>
      <c r="F18" s="239"/>
      <c r="G18" s="227"/>
      <c r="H18" s="228">
        <f>M18</f>
        <v>2500</v>
      </c>
      <c r="I18" s="233">
        <f>H18</f>
        <v>2500</v>
      </c>
      <c r="J18" s="233"/>
      <c r="K18" s="234">
        <f t="shared" ref="K18:K22" si="1">I18+J18</f>
        <v>2500</v>
      </c>
      <c r="L18" s="163" t="s">
        <v>378</v>
      </c>
      <c r="M18" s="163">
        <v>2500</v>
      </c>
      <c r="N18" s="163"/>
      <c r="O18" s="163"/>
      <c r="P18" s="163"/>
      <c r="Q18" s="203" t="s">
        <v>379</v>
      </c>
      <c r="R18" s="165"/>
      <c r="S18" s="145"/>
      <c r="T18" s="145"/>
      <c r="U18" s="145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s="3" customFormat="1" ht="18" customHeight="1">
      <c r="A19" s="207">
        <v>12</v>
      </c>
      <c r="B19" s="235" t="s">
        <v>189</v>
      </c>
      <c r="C19" s="214" t="str">
        <f>COVER!B26</f>
        <v>B8M</v>
      </c>
      <c r="D19" s="214">
        <v>4</v>
      </c>
      <c r="E19" s="215"/>
      <c r="F19" s="239"/>
      <c r="G19" s="227"/>
      <c r="H19" s="230">
        <f>IF(C19="B8",M19,IF(C19="B8M",N19))</f>
        <v>200</v>
      </c>
      <c r="I19" s="240">
        <f>H19*D19</f>
        <v>800</v>
      </c>
      <c r="J19" s="233"/>
      <c r="K19" s="234">
        <f t="shared" si="1"/>
        <v>800</v>
      </c>
      <c r="L19" s="163"/>
      <c r="M19" s="163">
        <v>200</v>
      </c>
      <c r="N19" s="163">
        <v>200</v>
      </c>
      <c r="O19" s="163"/>
      <c r="P19" s="163"/>
      <c r="Q19" s="204" t="s">
        <v>381</v>
      </c>
      <c r="R19" s="19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s="3" customFormat="1" ht="18" customHeight="1">
      <c r="A20" s="207">
        <v>13</v>
      </c>
      <c r="B20" s="235" t="s">
        <v>188</v>
      </c>
      <c r="C20" s="214" t="str">
        <f>COVER!B27</f>
        <v>B8M</v>
      </c>
      <c r="D20" s="214">
        <v>4</v>
      </c>
      <c r="E20" s="215"/>
      <c r="F20" s="239"/>
      <c r="G20" s="227"/>
      <c r="H20" s="228">
        <f>IF(C20="B8",M20,IF(C20="B8M",N20,IF(C20="B7(다크로)",O20)))</f>
        <v>2000</v>
      </c>
      <c r="I20" s="233">
        <f>H20*D20</f>
        <v>8000</v>
      </c>
      <c r="J20" s="233"/>
      <c r="K20" s="234">
        <f t="shared" si="1"/>
        <v>8000</v>
      </c>
      <c r="L20" s="161" t="s">
        <v>276</v>
      </c>
      <c r="M20" s="163">
        <v>1500</v>
      </c>
      <c r="N20" s="163">
        <v>2000</v>
      </c>
      <c r="O20" s="163">
        <v>1500</v>
      </c>
      <c r="P20" s="163"/>
      <c r="Q20" s="204" t="s">
        <v>385</v>
      </c>
      <c r="R20" s="19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s="3" customFormat="1" ht="18" customHeight="1">
      <c r="A21" s="207">
        <v>14</v>
      </c>
      <c r="B21" s="235" t="s">
        <v>5</v>
      </c>
      <c r="C21" s="214" t="s">
        <v>38</v>
      </c>
      <c r="D21" s="214">
        <v>1</v>
      </c>
      <c r="E21" s="215"/>
      <c r="F21" s="239"/>
      <c r="G21" s="227"/>
      <c r="H21" s="228"/>
      <c r="I21" s="233"/>
      <c r="J21" s="241"/>
      <c r="K21" s="234">
        <f t="shared" si="1"/>
        <v>0</v>
      </c>
      <c r="L21" s="344" t="s">
        <v>202</v>
      </c>
      <c r="M21" s="345"/>
      <c r="N21" s="345"/>
      <c r="O21" s="345"/>
      <c r="P21" s="346"/>
      <c r="Q21" s="19"/>
      <c r="R21" s="19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s="3" customFormat="1" ht="18" customHeight="1">
      <c r="A22" s="207">
        <v>15</v>
      </c>
      <c r="B22" s="235" t="s">
        <v>6</v>
      </c>
      <c r="C22" s="214" t="str">
        <f>COVER!B34</f>
        <v>10 BAR</v>
      </c>
      <c r="D22" s="214">
        <v>1</v>
      </c>
      <c r="E22" s="215"/>
      <c r="F22" s="239"/>
      <c r="G22" s="242"/>
      <c r="H22" s="228"/>
      <c r="I22" s="233">
        <f>IF(C22="10 BAR",M22,IF(C22="16 BAR",N22,IF(C22="20 BAR",O22)))</f>
        <v>225000</v>
      </c>
      <c r="J22" s="241"/>
      <c r="K22" s="234">
        <f t="shared" si="1"/>
        <v>225000</v>
      </c>
      <c r="L22" s="163"/>
      <c r="M22" s="163">
        <v>225000</v>
      </c>
      <c r="N22" s="163">
        <v>305000</v>
      </c>
      <c r="O22" s="163">
        <v>305000</v>
      </c>
      <c r="P22" s="163"/>
      <c r="Q22" s="19"/>
      <c r="R22" s="19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s="3" customFormat="1" ht="18" customHeight="1">
      <c r="A23" s="207">
        <v>16</v>
      </c>
      <c r="B23" s="235" t="s">
        <v>7</v>
      </c>
      <c r="C23" s="214" t="str">
        <f>COVER!B32</f>
        <v>기존 단가</v>
      </c>
      <c r="D23" s="214">
        <v>1</v>
      </c>
      <c r="E23" s="215"/>
      <c r="F23" s="239"/>
      <c r="G23" s="242"/>
      <c r="H23" s="228">
        <f>IF(COVER!B9="APPLICATION",0,IF(COVER!B32="기존 단가",L23,IF(COVER!B32="외주 2COATING",M23,IF(COVER!B32="외주 3COATING",N23))))</f>
        <v>45600</v>
      </c>
      <c r="I23" s="233">
        <f>H23</f>
        <v>45600</v>
      </c>
      <c r="J23" s="233"/>
      <c r="K23" s="234"/>
      <c r="L23" s="163">
        <v>45600</v>
      </c>
      <c r="M23" s="163">
        <f>IF(H6&gt;0,F6*520,IF(H7&gt;0,F7*520,IF(H8&gt;0,F8*520)))</f>
        <v>48880</v>
      </c>
      <c r="N23" s="163">
        <f>IF(H6&gt;0,F6*620,IF(H7&gt;0,F7*620,IF(H8&gt;0,F8*620)))</f>
        <v>58280</v>
      </c>
      <c r="O23" s="90"/>
      <c r="P23" s="182"/>
      <c r="Q23" s="19"/>
      <c r="R23" s="19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s="3" customFormat="1" ht="18" customHeight="1">
      <c r="A24" s="207">
        <v>17</v>
      </c>
      <c r="B24" s="235" t="s">
        <v>174</v>
      </c>
      <c r="C24" s="214"/>
      <c r="D24" s="214">
        <v>1</v>
      </c>
      <c r="E24" s="215"/>
      <c r="F24" s="239"/>
      <c r="G24" s="242"/>
      <c r="H24" s="228">
        <f>IF(COVER!B9="APPLICATION",0,IF(COVER!B9="N/A",L24))</f>
        <v>45600</v>
      </c>
      <c r="I24" s="233">
        <f>H24</f>
        <v>45600</v>
      </c>
      <c r="J24" s="234"/>
      <c r="K24" s="234"/>
      <c r="L24" s="211">
        <v>45600</v>
      </c>
      <c r="M24" s="90"/>
      <c r="N24" s="90"/>
      <c r="O24" s="90"/>
      <c r="P24" s="90"/>
      <c r="Q24" s="19"/>
      <c r="R24" s="19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s="3" customFormat="1" ht="18" customHeight="1">
      <c r="A25" s="207">
        <v>18</v>
      </c>
      <c r="B25" s="97" t="s">
        <v>175</v>
      </c>
      <c r="C25" s="14"/>
      <c r="D25" s="14"/>
      <c r="E25" s="15"/>
      <c r="F25" s="15"/>
      <c r="G25" s="15"/>
      <c r="H25" s="15"/>
      <c r="I25" s="98"/>
      <c r="J25" s="98"/>
      <c r="K25" s="16">
        <f>SUM(K6:K20)+SUM(K23:K24)</f>
        <v>692580</v>
      </c>
      <c r="L25" s="161" t="s">
        <v>248</v>
      </c>
      <c r="M25" s="90"/>
      <c r="N25" s="90"/>
      <c r="O25" s="90"/>
      <c r="P25" s="90"/>
      <c r="Q25" s="19"/>
      <c r="R25" s="19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s="3" customFormat="1" ht="18" customHeight="1">
      <c r="A26" s="207">
        <v>18</v>
      </c>
      <c r="B26" s="97" t="s">
        <v>176</v>
      </c>
      <c r="C26" s="14"/>
      <c r="D26" s="14"/>
      <c r="E26" s="15"/>
      <c r="F26" s="15"/>
      <c r="G26" s="15"/>
      <c r="H26" s="15"/>
      <c r="I26" s="98"/>
      <c r="J26" s="98"/>
      <c r="K26" s="16">
        <f>SUM(K6:K21)+SUM(K23:K24)</f>
        <v>692580</v>
      </c>
      <c r="L26" s="161" t="s">
        <v>248</v>
      </c>
      <c r="M26" s="90"/>
      <c r="N26" s="90"/>
      <c r="O26" s="90"/>
      <c r="P26" s="90"/>
      <c r="Q26" s="19"/>
      <c r="R26" s="19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s="3" customFormat="1" ht="18" customHeight="1">
      <c r="A27" s="207">
        <v>18</v>
      </c>
      <c r="B27" s="97" t="s">
        <v>177</v>
      </c>
      <c r="C27" s="14"/>
      <c r="D27" s="14"/>
      <c r="E27" s="15"/>
      <c r="F27" s="15"/>
      <c r="G27" s="15"/>
      <c r="H27" s="15"/>
      <c r="I27" s="98"/>
      <c r="J27" s="98"/>
      <c r="K27" s="16">
        <f>SUM(K6:K20)+SUM(K22:K24)</f>
        <v>917580</v>
      </c>
      <c r="L27" s="161" t="s">
        <v>248</v>
      </c>
      <c r="M27" s="90"/>
      <c r="N27" s="90"/>
      <c r="O27" s="90"/>
      <c r="P27" s="90"/>
      <c r="Q27" s="19"/>
      <c r="R27" s="19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s="3" customFormat="1" ht="18" customHeight="1">
      <c r="A28" s="207">
        <v>19</v>
      </c>
      <c r="B28" s="235" t="s">
        <v>237</v>
      </c>
      <c r="C28" s="214" t="str">
        <f>COVER!B28</f>
        <v>REQUIRED</v>
      </c>
      <c r="D28" s="214">
        <v>0</v>
      </c>
      <c r="E28" s="215"/>
      <c r="F28" s="239"/>
      <c r="G28" s="215"/>
      <c r="H28" s="233">
        <f>IF(C28="REQUIRED",L28,IF(C28="N/A",0))</f>
        <v>33900</v>
      </c>
      <c r="I28" s="233">
        <f>H28</f>
        <v>33900</v>
      </c>
      <c r="J28" s="215"/>
      <c r="K28" s="234"/>
      <c r="L28" s="163">
        <v>33900</v>
      </c>
      <c r="M28" s="90"/>
      <c r="N28" s="90"/>
      <c r="O28" s="90"/>
      <c r="P28" s="90"/>
      <c r="Q28" s="19"/>
      <c r="R28" s="19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s="3" customFormat="1" ht="18" customHeight="1">
      <c r="A29" s="207">
        <v>20</v>
      </c>
      <c r="B29" s="235" t="s">
        <v>180</v>
      </c>
      <c r="C29" s="214"/>
      <c r="D29" s="214">
        <v>0</v>
      </c>
      <c r="E29" s="215"/>
      <c r="F29" s="239"/>
      <c r="G29" s="215"/>
      <c r="H29" s="215"/>
      <c r="I29" s="215"/>
      <c r="J29" s="215"/>
      <c r="K29" s="234"/>
      <c r="L29" s="161"/>
      <c r="M29" s="90"/>
      <c r="N29" s="90"/>
      <c r="O29" s="90"/>
      <c r="P29" s="90"/>
      <c r="Q29" s="19"/>
      <c r="R29" s="19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s="3" customFormat="1" ht="18" customHeight="1">
      <c r="A30" s="207">
        <v>21</v>
      </c>
      <c r="B30" s="235" t="s">
        <v>178</v>
      </c>
      <c r="C30" s="214" t="str">
        <f>COVER!B35</f>
        <v>MOTOR</v>
      </c>
      <c r="D30" s="214">
        <v>1</v>
      </c>
      <c r="E30" s="215"/>
      <c r="F30" s="239"/>
      <c r="G30" s="215"/>
      <c r="H30" s="233">
        <f>IF(COVER!B9="APPLICATION",0,IF(COVER!B35="BARE",M30,(IF(COVER!B35="LEVER",M30,IF(COVER!B35="GEAR",N30,IF(COVER!B35="MOTOR",O30))))))</f>
        <v>120000</v>
      </c>
      <c r="I30" s="234">
        <f>H30</f>
        <v>120000</v>
      </c>
      <c r="J30" s="215"/>
      <c r="K30" s="234"/>
      <c r="L30" s="163">
        <v>70600</v>
      </c>
      <c r="M30" s="163">
        <v>40000</v>
      </c>
      <c r="N30" s="163">
        <v>40000</v>
      </c>
      <c r="O30" s="163">
        <v>120000</v>
      </c>
      <c r="P30" s="90"/>
      <c r="Q30" s="19"/>
      <c r="R30" s="19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s="3" customFormat="1" ht="18" customHeight="1">
      <c r="A31" s="207">
        <v>22</v>
      </c>
      <c r="B31" s="235"/>
      <c r="C31" s="214"/>
      <c r="D31" s="214"/>
      <c r="E31" s="215"/>
      <c r="F31" s="239"/>
      <c r="G31" s="215"/>
      <c r="H31" s="215"/>
      <c r="I31" s="215"/>
      <c r="J31" s="215"/>
      <c r="K31" s="234"/>
      <c r="L31" s="161"/>
      <c r="M31" s="90"/>
      <c r="N31" s="90"/>
      <c r="O31" s="90"/>
      <c r="P31" s="90"/>
      <c r="Q31" s="19"/>
      <c r="R31" s="19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s="3" customFormat="1" ht="18" customHeight="1">
      <c r="A32" s="207">
        <v>23</v>
      </c>
      <c r="B32" s="89" t="s">
        <v>179</v>
      </c>
      <c r="C32" s="14"/>
      <c r="D32" s="99"/>
      <c r="E32" s="15"/>
      <c r="F32" s="15"/>
      <c r="G32" s="15"/>
      <c r="H32" s="15"/>
      <c r="I32" s="100"/>
      <c r="J32" s="101"/>
      <c r="K32" s="100">
        <f>SUM(K28:K31)</f>
        <v>0</v>
      </c>
      <c r="L32" s="161" t="s">
        <v>249</v>
      </c>
      <c r="M32" s="90"/>
      <c r="N32" s="90"/>
      <c r="O32" s="90"/>
      <c r="P32" s="90"/>
      <c r="Q32" s="19"/>
      <c r="R32" s="19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s="3" customFormat="1" ht="18" customHeight="1">
      <c r="A33" s="162">
        <v>24</v>
      </c>
      <c r="B33" s="216" t="s">
        <v>252</v>
      </c>
      <c r="C33" s="217"/>
      <c r="D33" s="218"/>
      <c r="E33" s="219"/>
      <c r="F33" s="219"/>
      <c r="G33" s="219"/>
      <c r="H33" s="219"/>
      <c r="I33" s="220"/>
      <c r="J33" s="221"/>
      <c r="K33" s="220">
        <f>K25+K32</f>
        <v>692580</v>
      </c>
      <c r="L33" s="161" t="s">
        <v>257</v>
      </c>
      <c r="M33" s="90"/>
      <c r="N33" s="90"/>
      <c r="O33" s="90"/>
      <c r="P33" s="90"/>
      <c r="Q33" s="19"/>
      <c r="R33" s="19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s="3" customFormat="1" ht="18" customHeight="1">
      <c r="A34" s="162">
        <v>24</v>
      </c>
      <c r="B34" s="216" t="s">
        <v>255</v>
      </c>
      <c r="C34" s="217"/>
      <c r="D34" s="218"/>
      <c r="E34" s="219"/>
      <c r="F34" s="219"/>
      <c r="G34" s="219"/>
      <c r="H34" s="219"/>
      <c r="I34" s="220"/>
      <c r="J34" s="221"/>
      <c r="K34" s="220">
        <f>K26+K32</f>
        <v>692580</v>
      </c>
      <c r="L34" s="161" t="s">
        <v>257</v>
      </c>
      <c r="M34" s="90"/>
      <c r="N34" s="90"/>
      <c r="O34" s="90"/>
      <c r="P34" s="90"/>
      <c r="Q34" s="19"/>
      <c r="R34" s="19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s="3" customFormat="1" ht="18" customHeight="1">
      <c r="A35" s="162">
        <v>24</v>
      </c>
      <c r="B35" s="216" t="s">
        <v>256</v>
      </c>
      <c r="C35" s="217"/>
      <c r="D35" s="218"/>
      <c r="E35" s="219"/>
      <c r="F35" s="219"/>
      <c r="G35" s="219"/>
      <c r="H35" s="219"/>
      <c r="I35" s="220"/>
      <c r="J35" s="221"/>
      <c r="K35" s="220">
        <f>K27+K32</f>
        <v>917580</v>
      </c>
      <c r="L35" s="161" t="s">
        <v>257</v>
      </c>
      <c r="M35" s="90"/>
      <c r="N35" s="90"/>
      <c r="O35" s="90"/>
      <c r="P35" s="90"/>
      <c r="Q35" s="19"/>
      <c r="R35" s="19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s="4" customFormat="1" ht="18" customHeight="1">
      <c r="A36" s="162">
        <v>25</v>
      </c>
      <c r="B36" s="102" t="s">
        <v>407</v>
      </c>
      <c r="C36" s="103"/>
      <c r="D36" s="103"/>
      <c r="E36" s="104"/>
      <c r="F36" s="105"/>
      <c r="G36" s="105"/>
      <c r="H36" s="106"/>
      <c r="I36" s="223" t="s">
        <v>41</v>
      </c>
      <c r="J36" s="223">
        <v>0.7</v>
      </c>
      <c r="K36" s="107">
        <f>(K25+K32)/J36</f>
        <v>989400.00000000012</v>
      </c>
      <c r="L36" s="161" t="s">
        <v>250</v>
      </c>
      <c r="M36" s="90"/>
      <c r="N36" s="90"/>
      <c r="O36" s="90"/>
      <c r="P36" s="90"/>
      <c r="Q36" s="19"/>
      <c r="R36" s="19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s="4" customFormat="1" ht="18" customHeight="1">
      <c r="A37" s="162">
        <v>25</v>
      </c>
      <c r="B37" s="102" t="s">
        <v>408</v>
      </c>
      <c r="C37" s="103"/>
      <c r="D37" s="103"/>
      <c r="E37" s="104"/>
      <c r="F37" s="105"/>
      <c r="G37" s="105"/>
      <c r="H37" s="106"/>
      <c r="I37" s="223" t="s">
        <v>41</v>
      </c>
      <c r="J37" s="223">
        <v>0.7</v>
      </c>
      <c r="K37" s="107">
        <f>(K26+K32)/J37</f>
        <v>989400.00000000012</v>
      </c>
      <c r="L37" s="161" t="s">
        <v>250</v>
      </c>
      <c r="M37" s="90"/>
      <c r="N37" s="90"/>
      <c r="O37" s="90"/>
      <c r="P37" s="90"/>
      <c r="Q37" s="19"/>
      <c r="R37" s="19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s="4" customFormat="1" ht="18" customHeight="1">
      <c r="A38" s="162">
        <v>25</v>
      </c>
      <c r="B38" s="102" t="s">
        <v>409</v>
      </c>
      <c r="C38" s="103"/>
      <c r="D38" s="103"/>
      <c r="E38" s="104"/>
      <c r="F38" s="105"/>
      <c r="G38" s="105"/>
      <c r="H38" s="106"/>
      <c r="I38" s="223" t="s">
        <v>41</v>
      </c>
      <c r="J38" s="223">
        <v>0.7</v>
      </c>
      <c r="K38" s="107">
        <f>(K27+K32)/J38</f>
        <v>1310828.5714285716</v>
      </c>
      <c r="L38" s="161" t="s">
        <v>250</v>
      </c>
      <c r="M38" s="90"/>
      <c r="N38" s="90"/>
      <c r="O38" s="90"/>
      <c r="P38" s="90"/>
      <c r="Q38" s="19"/>
      <c r="R38" s="19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s="4" customFormat="1" ht="18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57"/>
      <c r="M39" s="108"/>
      <c r="N39" s="108"/>
      <c r="O39" s="108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s="4" customFormat="1" ht="18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57"/>
      <c r="M40" s="108"/>
      <c r="N40" s="108"/>
      <c r="O40" s="108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s="4" customFormat="1" ht="18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57"/>
      <c r="M41" s="108"/>
      <c r="N41" s="108"/>
      <c r="O41" s="108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s="4" customFormat="1" ht="18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57"/>
      <c r="M42" s="108"/>
      <c r="N42" s="108"/>
      <c r="O42" s="108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s="4" customFormat="1" ht="18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57"/>
      <c r="M43" s="108"/>
      <c r="N43" s="108"/>
      <c r="O43" s="108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s="4" customFormat="1" ht="18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57"/>
      <c r="M44" s="108"/>
      <c r="N44" s="108"/>
      <c r="O44" s="108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s="4" customFormat="1" ht="18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57"/>
      <c r="M45" s="108"/>
      <c r="N45" s="108"/>
      <c r="O45" s="108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s="4" customFormat="1" ht="18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57"/>
      <c r="M46" s="108"/>
      <c r="N46" s="108"/>
      <c r="O46" s="108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s="4" customFormat="1" ht="12.75">
      <c r="A47" s="10"/>
      <c r="B47" s="10"/>
      <c r="C47" s="10"/>
      <c r="D47" s="109"/>
      <c r="E47" s="10"/>
      <c r="F47" s="10"/>
      <c r="G47" s="10"/>
      <c r="H47" s="10"/>
      <c r="I47" s="10"/>
      <c r="J47" s="10"/>
      <c r="K47" s="10"/>
      <c r="L47" s="108"/>
      <c r="M47" s="108"/>
      <c r="N47" s="108"/>
      <c r="O47" s="108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s="4" customFormat="1" ht="12.7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57"/>
      <c r="M48" s="108"/>
      <c r="N48" s="108"/>
      <c r="O48" s="108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s="4" customFormat="1" ht="12.7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57"/>
      <c r="M49" s="108"/>
      <c r="N49" s="108"/>
      <c r="O49" s="108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s="5" customForma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57"/>
      <c r="M50" s="87"/>
      <c r="N50" s="87"/>
      <c r="O50" s="8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s="5" customForma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57"/>
      <c r="M51" s="87"/>
      <c r="N51" s="87"/>
      <c r="O51" s="87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s="5" customForma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57"/>
      <c r="M52" s="87"/>
      <c r="N52" s="87"/>
      <c r="O52" s="87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</sheetData>
  <mergeCells count="9">
    <mergeCell ref="L21:P21"/>
    <mergeCell ref="L16:P16"/>
    <mergeCell ref="L17:P17"/>
    <mergeCell ref="A1:K1"/>
    <mergeCell ref="D3:E3"/>
    <mergeCell ref="F3:H3"/>
    <mergeCell ref="L4:P4"/>
    <mergeCell ref="L13:P13"/>
    <mergeCell ref="L15:P15"/>
  </mergeCells>
  <phoneticPr fontId="7" type="noConversion"/>
  <pageMargins left="0.75" right="0.75" top="1" bottom="1" header="0.5" footer="0.5"/>
  <pageSetup paperSize="9" scale="62" orientation="portrait" r:id="rId1"/>
  <headerFooter alignWithMargins="0"/>
  <ignoredErrors>
    <ignoredError sqref="I10" formula="1"/>
  </ignoredError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AE52"/>
  <sheetViews>
    <sheetView view="pageBreakPreview" zoomScale="85" zoomScaleNormal="100" zoomScaleSheetLayoutView="85" workbookViewId="0">
      <selection activeCell="M23" sqref="M23"/>
    </sheetView>
  </sheetViews>
  <sheetFormatPr defaultColWidth="8.88671875" defaultRowHeight="13.5"/>
  <cols>
    <col min="1" max="1" width="5.26171875" style="10" customWidth="1"/>
    <col min="2" max="2" width="20.23046875" style="10" bestFit="1" customWidth="1"/>
    <col min="3" max="3" width="14.3828125" style="10" bestFit="1" customWidth="1"/>
    <col min="4" max="4" width="3.7421875" style="10" customWidth="1"/>
    <col min="5" max="5" width="8.30078125" style="10" customWidth="1"/>
    <col min="6" max="6" width="6.1953125" style="10" customWidth="1"/>
    <col min="7" max="7" width="5.73046875" style="10" customWidth="1"/>
    <col min="8" max="8" width="8.30078125" style="10" bestFit="1" customWidth="1"/>
    <col min="9" max="9" width="10.9921875" style="10" customWidth="1"/>
    <col min="10" max="10" width="12.74609375" style="10" bestFit="1" customWidth="1"/>
    <col min="11" max="11" width="18.125" style="10" bestFit="1" customWidth="1"/>
    <col min="12" max="12" width="14.265625" style="157" bestFit="1" customWidth="1"/>
    <col min="13" max="13" width="13.796875" style="87" customWidth="1"/>
    <col min="14" max="14" width="12.16015625" style="87" bestFit="1" customWidth="1"/>
    <col min="15" max="15" width="9.703125" style="87" customWidth="1"/>
    <col min="16" max="16" width="12.16015625" style="8" bestFit="1" customWidth="1"/>
    <col min="17" max="18" width="15.43359375" style="8" bestFit="1" customWidth="1"/>
    <col min="19" max="31" width="8.88671875" style="8"/>
    <col min="32" max="16384" width="8.88671875" style="2"/>
  </cols>
  <sheetData>
    <row r="1" spans="1:31" ht="24" thickTop="1" thickBot="1">
      <c r="A1" s="336" t="s">
        <v>190</v>
      </c>
      <c r="B1" s="337"/>
      <c r="C1" s="337"/>
      <c r="D1" s="337"/>
      <c r="E1" s="337"/>
      <c r="F1" s="337"/>
      <c r="G1" s="337"/>
      <c r="H1" s="337"/>
      <c r="I1" s="337"/>
      <c r="J1" s="337"/>
      <c r="K1" s="338"/>
      <c r="M1" s="7"/>
    </row>
    <row r="2" spans="1:31" ht="14.45" customHeight="1" thickTop="1" thickBot="1">
      <c r="A2" s="158"/>
      <c r="B2" s="158"/>
      <c r="C2" s="115"/>
      <c r="E2" s="115"/>
      <c r="F2" s="115"/>
      <c r="G2" s="115"/>
    </row>
    <row r="3" spans="1:31" ht="15" thickTop="1" thickBot="1">
      <c r="A3" s="160" t="s">
        <v>191</v>
      </c>
      <c r="B3" s="159" t="s">
        <v>329</v>
      </c>
      <c r="C3" s="160" t="s">
        <v>192</v>
      </c>
      <c r="D3" s="339" t="s">
        <v>193</v>
      </c>
      <c r="E3" s="340"/>
      <c r="F3" s="341" t="s">
        <v>194</v>
      </c>
      <c r="G3" s="339"/>
      <c r="H3" s="339"/>
      <c r="I3" s="159" t="s">
        <v>195</v>
      </c>
      <c r="J3" s="160" t="s">
        <v>197</v>
      </c>
      <c r="K3" s="159" t="s">
        <v>282</v>
      </c>
    </row>
    <row r="4" spans="1:31" ht="19.149999999999999" customHeight="1" thickTop="1" thickBot="1">
      <c r="J4" s="197" t="s">
        <v>332</v>
      </c>
      <c r="K4" s="189">
        <v>635</v>
      </c>
      <c r="L4" s="342" t="s">
        <v>207</v>
      </c>
      <c r="M4" s="343"/>
      <c r="N4" s="343"/>
      <c r="O4" s="343"/>
      <c r="P4" s="343"/>
    </row>
    <row r="5" spans="1:31" s="3" customFormat="1" ht="25.15" customHeight="1" thickTop="1">
      <c r="A5" s="9" t="s">
        <v>1</v>
      </c>
      <c r="B5" s="9" t="s">
        <v>164</v>
      </c>
      <c r="C5" s="88" t="s">
        <v>165</v>
      </c>
      <c r="D5" s="89" t="s">
        <v>166</v>
      </c>
      <c r="E5" s="9" t="s">
        <v>167</v>
      </c>
      <c r="F5" s="9" t="s">
        <v>168</v>
      </c>
      <c r="G5" s="9" t="s">
        <v>169</v>
      </c>
      <c r="H5" s="9" t="s">
        <v>170</v>
      </c>
      <c r="I5" s="123" t="s">
        <v>171</v>
      </c>
      <c r="J5" s="195" t="s">
        <v>172</v>
      </c>
      <c r="K5" s="196" t="s">
        <v>173</v>
      </c>
      <c r="L5" s="90" t="s">
        <v>198</v>
      </c>
      <c r="M5" s="121" t="s">
        <v>199</v>
      </c>
      <c r="N5" s="90" t="s">
        <v>38</v>
      </c>
      <c r="O5" s="90" t="s">
        <v>200</v>
      </c>
      <c r="P5" s="90" t="s">
        <v>201</v>
      </c>
      <c r="Q5" s="90" t="s">
        <v>265</v>
      </c>
      <c r="R5" s="90" t="s">
        <v>266</v>
      </c>
      <c r="S5" s="10"/>
      <c r="T5" s="10" t="s">
        <v>330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s="3" customFormat="1" ht="18" customHeight="1">
      <c r="A6" s="162">
        <v>1</v>
      </c>
      <c r="B6" s="224" t="s">
        <v>181</v>
      </c>
      <c r="C6" s="225">
        <f>COVER!B13</f>
        <v>0</v>
      </c>
      <c r="D6" s="226">
        <v>1</v>
      </c>
      <c r="E6" s="215"/>
      <c r="F6" s="227">
        <v>65</v>
      </c>
      <c r="G6" s="227"/>
      <c r="H6" s="228">
        <f>COVER!C13</f>
        <v>0</v>
      </c>
      <c r="I6" s="229">
        <f>D6*F6*H6</f>
        <v>0</v>
      </c>
      <c r="J6" s="230"/>
      <c r="K6" s="231">
        <f t="shared" ref="K6:K12" si="0">I6+J6</f>
        <v>0</v>
      </c>
      <c r="L6" s="181">
        <v>74000</v>
      </c>
      <c r="M6" s="181">
        <v>87000</v>
      </c>
      <c r="N6" s="163"/>
      <c r="O6" s="90"/>
      <c r="P6" s="90"/>
      <c r="Q6" s="19"/>
      <c r="R6" s="19"/>
      <c r="S6" s="10"/>
      <c r="T6" s="10">
        <v>64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s="3" customFormat="1" ht="18" customHeight="1">
      <c r="A7" s="162">
        <v>1</v>
      </c>
      <c r="B7" s="224" t="s">
        <v>182</v>
      </c>
      <c r="C7" s="225" t="str">
        <f>COVER!B14</f>
        <v>A536 Gr65-45-12</v>
      </c>
      <c r="D7" s="226">
        <v>1</v>
      </c>
      <c r="E7" s="215"/>
      <c r="F7" s="227">
        <v>119</v>
      </c>
      <c r="G7" s="227"/>
      <c r="H7" s="228">
        <f>COVER!C14</f>
        <v>3500</v>
      </c>
      <c r="I7" s="229">
        <f>D7*F7*H7</f>
        <v>416500</v>
      </c>
      <c r="J7" s="230"/>
      <c r="K7" s="231">
        <f t="shared" si="0"/>
        <v>416500</v>
      </c>
      <c r="L7" s="163">
        <v>129800</v>
      </c>
      <c r="M7" s="163">
        <v>142000</v>
      </c>
      <c r="N7" s="161"/>
      <c r="O7" s="90"/>
      <c r="P7" s="90"/>
      <c r="Q7" s="19"/>
      <c r="R7" s="19"/>
      <c r="S7" s="10"/>
      <c r="T7" s="10">
        <v>110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s="3" customFormat="1" ht="18" customHeight="1">
      <c r="A8" s="162">
        <v>1</v>
      </c>
      <c r="B8" s="224" t="s">
        <v>183</v>
      </c>
      <c r="C8" s="225">
        <f>COVER!B15</f>
        <v>0</v>
      </c>
      <c r="D8" s="226">
        <v>1</v>
      </c>
      <c r="E8" s="215"/>
      <c r="F8" s="227">
        <v>128</v>
      </c>
      <c r="G8" s="227"/>
      <c r="H8" s="228">
        <f>COVER!C15</f>
        <v>0</v>
      </c>
      <c r="I8" s="229">
        <f>D8*F8*H8</f>
        <v>0</v>
      </c>
      <c r="J8" s="230"/>
      <c r="K8" s="231">
        <f t="shared" si="0"/>
        <v>0</v>
      </c>
      <c r="L8" s="181">
        <f>M8*0.85</f>
        <v>140335</v>
      </c>
      <c r="M8" s="163">
        <v>165100</v>
      </c>
      <c r="N8" s="161"/>
      <c r="O8" s="90"/>
      <c r="P8" s="90"/>
      <c r="Q8" s="19"/>
      <c r="R8" s="19"/>
      <c r="S8" s="10"/>
      <c r="T8" s="10">
        <v>128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s="3" customFormat="1" ht="18" customHeight="1">
      <c r="A9" s="162">
        <v>2</v>
      </c>
      <c r="B9" s="232" t="s">
        <v>2</v>
      </c>
      <c r="C9" s="225" t="str">
        <f>COVER!B16</f>
        <v>A351 CF8M</v>
      </c>
      <c r="D9" s="226">
        <v>1</v>
      </c>
      <c r="E9" s="215"/>
      <c r="F9" s="227">
        <f>IF(COVER!B34="10 BAR",Q9,IF(COVER!B34="16 BAR",R9,IF(COVER!B34="20 BAR",R9)))</f>
        <v>27</v>
      </c>
      <c r="G9" s="227"/>
      <c r="H9" s="228">
        <f>COVER!C16</f>
        <v>12000</v>
      </c>
      <c r="I9" s="233">
        <f>D9*F9*H9</f>
        <v>324000</v>
      </c>
      <c r="J9" s="230"/>
      <c r="K9" s="234">
        <f t="shared" si="0"/>
        <v>324000</v>
      </c>
      <c r="L9" s="163">
        <v>29200</v>
      </c>
      <c r="M9" s="163">
        <v>38000</v>
      </c>
      <c r="N9" s="163">
        <v>38000</v>
      </c>
      <c r="O9" s="161">
        <f>P9*0.85</f>
        <v>44200</v>
      </c>
      <c r="P9" s="163">
        <v>52000</v>
      </c>
      <c r="Q9" s="19">
        <v>27</v>
      </c>
      <c r="R9" s="19">
        <v>30</v>
      </c>
      <c r="S9" s="10"/>
      <c r="T9" s="10">
        <v>32</v>
      </c>
      <c r="U9" s="10"/>
      <c r="V9" s="10">
        <f>P9/M9</f>
        <v>1.368421052631579</v>
      </c>
      <c r="W9" s="10"/>
      <c r="X9" s="10"/>
      <c r="Y9" s="10"/>
      <c r="Z9" s="10"/>
      <c r="AA9" s="10"/>
      <c r="AB9" s="10"/>
      <c r="AC9" s="10"/>
      <c r="AD9" s="10"/>
      <c r="AE9" s="10"/>
    </row>
    <row r="10" spans="1:31" s="3" customFormat="1" ht="18" customHeight="1">
      <c r="A10" s="207">
        <v>3</v>
      </c>
      <c r="B10" s="235" t="s">
        <v>3</v>
      </c>
      <c r="C10" s="236" t="str">
        <f>COVER!B18</f>
        <v>EPDM</v>
      </c>
      <c r="D10" s="214">
        <v>1</v>
      </c>
      <c r="E10" s="215"/>
      <c r="F10" s="227">
        <v>1</v>
      </c>
      <c r="G10" s="227"/>
      <c r="H10" s="228">
        <f>IF(C10="NBR",L10,IF(C10="EPDM",L10,IF(C10="VITON",M10)))</f>
        <v>25080</v>
      </c>
      <c r="I10" s="233">
        <f>H10*F10*D10</f>
        <v>25080</v>
      </c>
      <c r="J10" s="230"/>
      <c r="K10" s="234">
        <f t="shared" si="0"/>
        <v>25080</v>
      </c>
      <c r="L10" s="163">
        <v>25080</v>
      </c>
      <c r="M10" s="163">
        <v>585000</v>
      </c>
      <c r="N10" s="190">
        <v>151000</v>
      </c>
      <c r="O10" s="163" t="s">
        <v>202</v>
      </c>
      <c r="P10" s="163">
        <v>45000</v>
      </c>
      <c r="Q10" s="19"/>
      <c r="R10" s="1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s="3" customFormat="1" ht="18" customHeight="1">
      <c r="A11" s="207">
        <v>4</v>
      </c>
      <c r="B11" s="235" t="s">
        <v>203</v>
      </c>
      <c r="C11" s="214" t="str">
        <f>COVER!B17</f>
        <v>A564T630</v>
      </c>
      <c r="D11" s="214">
        <v>1</v>
      </c>
      <c r="E11" s="215"/>
      <c r="F11" s="237">
        <v>7</v>
      </c>
      <c r="G11" s="238"/>
      <c r="H11" s="228">
        <f>COVER!C17</f>
        <v>10000</v>
      </c>
      <c r="I11" s="233">
        <f>D11*F11*H11</f>
        <v>70000</v>
      </c>
      <c r="J11" s="233"/>
      <c r="K11" s="234">
        <f t="shared" si="0"/>
        <v>70000</v>
      </c>
      <c r="L11" s="163" t="s">
        <v>273</v>
      </c>
      <c r="M11" s="163">
        <v>5000</v>
      </c>
      <c r="N11" s="90">
        <v>10000</v>
      </c>
      <c r="O11" s="90"/>
      <c r="P11" s="163">
        <v>56000</v>
      </c>
      <c r="Q11" s="18">
        <v>6.98</v>
      </c>
      <c r="R11" s="18"/>
      <c r="S11" s="108"/>
      <c r="T11" s="10">
        <v>4.4000000000000004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s="3" customFormat="1" ht="18" customHeight="1">
      <c r="A12" s="207">
        <v>5</v>
      </c>
      <c r="B12" s="235" t="s">
        <v>184</v>
      </c>
      <c r="C12" s="214" t="str">
        <f>COVER!B20</f>
        <v>ALBC2</v>
      </c>
      <c r="D12" s="214">
        <v>1</v>
      </c>
      <c r="E12" s="215"/>
      <c r="F12" s="237">
        <v>1</v>
      </c>
      <c r="G12" s="227"/>
      <c r="H12" s="230">
        <f>L12</f>
        <v>7000</v>
      </c>
      <c r="I12" s="233">
        <f>D12*F12*H12</f>
        <v>7000</v>
      </c>
      <c r="J12" s="233"/>
      <c r="K12" s="234">
        <f t="shared" si="0"/>
        <v>7000</v>
      </c>
      <c r="L12" s="163">
        <v>7000</v>
      </c>
      <c r="M12" s="163"/>
      <c r="N12" s="163"/>
      <c r="O12" s="90"/>
      <c r="P12" s="90"/>
      <c r="Q12" s="19"/>
      <c r="R12" s="19"/>
      <c r="S12" s="10"/>
      <c r="T12" s="10"/>
      <c r="U12" s="10"/>
      <c r="V12" s="10">
        <f>M9/L9</f>
        <v>1.3013698630136987</v>
      </c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s="3" customFormat="1" ht="18" customHeight="1">
      <c r="A13" s="207">
        <v>6</v>
      </c>
      <c r="B13" s="235" t="s">
        <v>163</v>
      </c>
      <c r="C13" s="214"/>
      <c r="D13" s="214">
        <v>0</v>
      </c>
      <c r="E13" s="215"/>
      <c r="F13" s="227"/>
      <c r="G13" s="227"/>
      <c r="H13" s="228"/>
      <c r="I13" s="233"/>
      <c r="J13" s="233"/>
      <c r="K13" s="234"/>
      <c r="L13" s="344" t="s">
        <v>202</v>
      </c>
      <c r="M13" s="345"/>
      <c r="N13" s="345"/>
      <c r="O13" s="345"/>
      <c r="P13" s="346"/>
      <c r="Q13" s="19"/>
      <c r="R13" s="19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s="3" customFormat="1" ht="18" customHeight="1">
      <c r="A14" s="207">
        <v>7</v>
      </c>
      <c r="B14" s="235" t="s">
        <v>4</v>
      </c>
      <c r="C14" s="214" t="str">
        <f>C11</f>
        <v>A564T630</v>
      </c>
      <c r="D14" s="214">
        <v>2</v>
      </c>
      <c r="E14" s="215"/>
      <c r="F14" s="237">
        <v>1</v>
      </c>
      <c r="G14" s="227"/>
      <c r="H14" s="228">
        <f>L14</f>
        <v>3500</v>
      </c>
      <c r="I14" s="233">
        <f>D14*F14*H14</f>
        <v>7000</v>
      </c>
      <c r="J14" s="233"/>
      <c r="K14" s="234">
        <f>I14+J14</f>
        <v>7000</v>
      </c>
      <c r="L14" s="163">
        <v>3500</v>
      </c>
      <c r="M14" s="90"/>
      <c r="N14" s="90"/>
      <c r="O14" s="90"/>
      <c r="P14" s="90"/>
      <c r="Q14" s="19"/>
      <c r="R14" s="19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s="3" customFormat="1" ht="18" customHeight="1">
      <c r="A15" s="207">
        <v>8</v>
      </c>
      <c r="B15" s="235" t="s">
        <v>386</v>
      </c>
      <c r="C15" s="214" t="str">
        <f>COVER!B22</f>
        <v>BODY MATERIAL</v>
      </c>
      <c r="D15" s="214">
        <v>0</v>
      </c>
      <c r="E15" s="215"/>
      <c r="F15" s="215"/>
      <c r="G15" s="227"/>
      <c r="H15" s="228"/>
      <c r="I15" s="233"/>
      <c r="J15" s="233"/>
      <c r="K15" s="234"/>
      <c r="L15" s="344" t="s">
        <v>202</v>
      </c>
      <c r="M15" s="345"/>
      <c r="N15" s="345"/>
      <c r="O15" s="345"/>
      <c r="P15" s="346"/>
      <c r="Q15" s="164"/>
      <c r="R15" s="164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s="3" customFormat="1" ht="18" customHeight="1">
      <c r="A16" s="207">
        <v>9</v>
      </c>
      <c r="B16" s="235" t="s">
        <v>217</v>
      </c>
      <c r="C16" s="214" t="str">
        <f>COVER!B23</f>
        <v>B8M</v>
      </c>
      <c r="D16" s="214">
        <v>0</v>
      </c>
      <c r="E16" s="215"/>
      <c r="F16" s="239"/>
      <c r="G16" s="227"/>
      <c r="H16" s="228"/>
      <c r="I16" s="233"/>
      <c r="J16" s="233"/>
      <c r="K16" s="234"/>
      <c r="L16" s="344" t="s">
        <v>202</v>
      </c>
      <c r="M16" s="345"/>
      <c r="N16" s="345"/>
      <c r="O16" s="345"/>
      <c r="P16" s="346"/>
      <c r="Q16" s="19"/>
      <c r="R16" s="19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s="3" customFormat="1" ht="18" customHeight="1">
      <c r="A17" s="207">
        <v>10</v>
      </c>
      <c r="B17" s="235" t="s">
        <v>221</v>
      </c>
      <c r="C17" s="214" t="str">
        <f>COVER!B24</f>
        <v>ALBC2</v>
      </c>
      <c r="D17" s="214">
        <v>0</v>
      </c>
      <c r="E17" s="215"/>
      <c r="F17" s="239"/>
      <c r="G17" s="227"/>
      <c r="H17" s="228"/>
      <c r="I17" s="233"/>
      <c r="J17" s="233"/>
      <c r="K17" s="234"/>
      <c r="L17" s="344" t="s">
        <v>202</v>
      </c>
      <c r="M17" s="345"/>
      <c r="N17" s="345"/>
      <c r="O17" s="345"/>
      <c r="P17" s="346"/>
      <c r="Q17" s="202"/>
      <c r="R17" s="19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s="3" customFormat="1" ht="18" customHeight="1">
      <c r="A18" s="207">
        <v>11</v>
      </c>
      <c r="B18" s="235" t="s">
        <v>187</v>
      </c>
      <c r="C18" s="214" t="s">
        <v>352</v>
      </c>
      <c r="D18" s="214">
        <v>1</v>
      </c>
      <c r="E18" s="215"/>
      <c r="F18" s="239"/>
      <c r="G18" s="227"/>
      <c r="H18" s="228">
        <f>M18</f>
        <v>2700</v>
      </c>
      <c r="I18" s="233">
        <f>H18*D18</f>
        <v>2700</v>
      </c>
      <c r="J18" s="233"/>
      <c r="K18" s="234">
        <f t="shared" ref="K18:K22" si="1">I18+J18</f>
        <v>2700</v>
      </c>
      <c r="L18" s="163" t="s">
        <v>378</v>
      </c>
      <c r="M18" s="163">
        <v>2700</v>
      </c>
      <c r="N18" s="90"/>
      <c r="O18" s="90"/>
      <c r="P18" s="90"/>
      <c r="Q18" s="203" t="s">
        <v>379</v>
      </c>
      <c r="R18" s="165"/>
      <c r="S18" s="145"/>
      <c r="T18" s="145"/>
      <c r="U18" s="145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s="3" customFormat="1" ht="18" customHeight="1">
      <c r="A19" s="207">
        <v>12</v>
      </c>
      <c r="B19" s="235" t="s">
        <v>189</v>
      </c>
      <c r="C19" s="214" t="str">
        <f>COVER!B26</f>
        <v>B8M</v>
      </c>
      <c r="D19" s="214">
        <v>4</v>
      </c>
      <c r="E19" s="215"/>
      <c r="F19" s="239"/>
      <c r="G19" s="227"/>
      <c r="H19" s="230">
        <f>IF(C19="B8",M19,IF(C19="B8M",N19))</f>
        <v>200</v>
      </c>
      <c r="I19" s="240">
        <f>H19*D19</f>
        <v>800</v>
      </c>
      <c r="J19" s="233"/>
      <c r="K19" s="234">
        <f t="shared" si="1"/>
        <v>800</v>
      </c>
      <c r="L19" s="90"/>
      <c r="M19" s="163">
        <v>200</v>
      </c>
      <c r="N19" s="163">
        <v>200</v>
      </c>
      <c r="O19" s="90"/>
      <c r="P19" s="90"/>
      <c r="Q19" s="204" t="s">
        <v>381</v>
      </c>
      <c r="R19" s="19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s="3" customFormat="1" ht="18" customHeight="1">
      <c r="A20" s="207">
        <v>13</v>
      </c>
      <c r="B20" s="235" t="s">
        <v>188</v>
      </c>
      <c r="C20" s="214" t="str">
        <f>COVER!B27</f>
        <v>B8M</v>
      </c>
      <c r="D20" s="214">
        <v>4</v>
      </c>
      <c r="E20" s="215"/>
      <c r="F20" s="239"/>
      <c r="G20" s="227"/>
      <c r="H20" s="228">
        <f>IF(C20="B8",M20,IF(C20="B8M",N20,IF(C20="B7(다크로)",O20)))</f>
        <v>2000</v>
      </c>
      <c r="I20" s="233">
        <f>H20*D20</f>
        <v>8000</v>
      </c>
      <c r="J20" s="233"/>
      <c r="K20" s="234">
        <f t="shared" si="1"/>
        <v>8000</v>
      </c>
      <c r="L20" s="161" t="s">
        <v>276</v>
      </c>
      <c r="M20" s="163">
        <v>1500</v>
      </c>
      <c r="N20" s="163">
        <v>2000</v>
      </c>
      <c r="O20" s="163">
        <v>1500</v>
      </c>
      <c r="P20" s="90"/>
      <c r="Q20" s="204" t="s">
        <v>385</v>
      </c>
      <c r="R20" s="19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s="3" customFormat="1" ht="18" customHeight="1">
      <c r="A21" s="207">
        <v>14</v>
      </c>
      <c r="B21" s="235" t="s">
        <v>5</v>
      </c>
      <c r="C21" s="214" t="s">
        <v>38</v>
      </c>
      <c r="D21" s="214">
        <v>1</v>
      </c>
      <c r="E21" s="215"/>
      <c r="F21" s="239"/>
      <c r="G21" s="227"/>
      <c r="H21" s="228"/>
      <c r="I21" s="233"/>
      <c r="J21" s="241"/>
      <c r="K21" s="234">
        <f t="shared" si="1"/>
        <v>0</v>
      </c>
      <c r="L21" s="344" t="s">
        <v>202</v>
      </c>
      <c r="M21" s="345"/>
      <c r="N21" s="345"/>
      <c r="O21" s="345"/>
      <c r="P21" s="346"/>
      <c r="Q21" s="19"/>
      <c r="R21" s="19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s="3" customFormat="1" ht="18" customHeight="1">
      <c r="A22" s="207">
        <v>15</v>
      </c>
      <c r="B22" s="235" t="s">
        <v>6</v>
      </c>
      <c r="C22" s="214" t="str">
        <f>COVER!B34</f>
        <v>10 BAR</v>
      </c>
      <c r="D22" s="214">
        <v>1</v>
      </c>
      <c r="E22" s="215"/>
      <c r="F22" s="239"/>
      <c r="G22" s="242"/>
      <c r="H22" s="228"/>
      <c r="I22" s="233">
        <f>IF(C22="10 BAR",M22,IF(C22="16 BAR",N22,IF(C22="20 BAR",O22)))</f>
        <v>225000</v>
      </c>
      <c r="J22" s="241"/>
      <c r="K22" s="234">
        <f t="shared" si="1"/>
        <v>225000</v>
      </c>
      <c r="L22" s="90"/>
      <c r="M22" s="163">
        <v>225000</v>
      </c>
      <c r="N22" s="163">
        <v>305000</v>
      </c>
      <c r="O22" s="163">
        <v>355000</v>
      </c>
      <c r="P22" s="90"/>
      <c r="Q22" s="19"/>
      <c r="R22" s="19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s="3" customFormat="1" ht="18" customHeight="1">
      <c r="A23" s="207">
        <v>16</v>
      </c>
      <c r="B23" s="235" t="s">
        <v>7</v>
      </c>
      <c r="C23" s="214" t="str">
        <f>COVER!B32</f>
        <v>기존 단가</v>
      </c>
      <c r="D23" s="214">
        <v>1</v>
      </c>
      <c r="E23" s="215"/>
      <c r="F23" s="239"/>
      <c r="G23" s="242"/>
      <c r="H23" s="228">
        <f>IF(COVER!B9="APPLICATION",0,IF(COVER!B32="기존 단가",L23,IF(COVER!B32="외주 2COATING",M23,IF(COVER!B32="외주 3COATING",N23))))</f>
        <v>54000</v>
      </c>
      <c r="I23" s="233">
        <f>H23</f>
        <v>54000</v>
      </c>
      <c r="J23" s="233"/>
      <c r="K23" s="234"/>
      <c r="L23" s="163">
        <v>54000</v>
      </c>
      <c r="M23" s="163">
        <f>IF(H6&gt;0,F6*520,IF(H7&gt;0,F7*520,IF(H8&gt;0,F8*520)))</f>
        <v>61880</v>
      </c>
      <c r="N23" s="163">
        <f>IF(H6&gt;0,F6*620,IF(H7&gt;0,F7*620,IF(H8&gt;0,F8*620)))</f>
        <v>73780</v>
      </c>
      <c r="O23" s="90"/>
      <c r="P23" s="182"/>
      <c r="Q23" s="19"/>
      <c r="R23" s="19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s="3" customFormat="1" ht="18" customHeight="1">
      <c r="A24" s="207">
        <v>17</v>
      </c>
      <c r="B24" s="235" t="s">
        <v>174</v>
      </c>
      <c r="C24" s="214"/>
      <c r="D24" s="214">
        <v>1</v>
      </c>
      <c r="E24" s="215"/>
      <c r="F24" s="239"/>
      <c r="G24" s="242"/>
      <c r="H24" s="228">
        <f>IF(COVER!B9="APPLICATION",0,IF(COVER!B9="N/A",L24))</f>
        <v>54000</v>
      </c>
      <c r="I24" s="233">
        <f>H24</f>
        <v>54000</v>
      </c>
      <c r="J24" s="234"/>
      <c r="K24" s="234"/>
      <c r="L24" s="211">
        <v>54000</v>
      </c>
      <c r="M24" s="90"/>
      <c r="N24" s="90"/>
      <c r="O24" s="90"/>
      <c r="P24" s="90"/>
      <c r="Q24" s="19"/>
      <c r="R24" s="19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s="3" customFormat="1" ht="18" customHeight="1">
      <c r="A25" s="207">
        <v>18</v>
      </c>
      <c r="B25" s="97" t="s">
        <v>175</v>
      </c>
      <c r="C25" s="14"/>
      <c r="D25" s="14"/>
      <c r="E25" s="15"/>
      <c r="F25" s="15"/>
      <c r="G25" s="15"/>
      <c r="H25" s="15"/>
      <c r="I25" s="98"/>
      <c r="J25" s="98"/>
      <c r="K25" s="16">
        <f>SUM(K6:K20)+SUM(K23:K24)</f>
        <v>861080</v>
      </c>
      <c r="L25" s="161" t="s">
        <v>248</v>
      </c>
      <c r="M25" s="90"/>
      <c r="N25" s="90"/>
      <c r="O25" s="90"/>
      <c r="P25" s="90"/>
      <c r="Q25" s="19"/>
      <c r="R25" s="19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s="3" customFormat="1" ht="18" customHeight="1">
      <c r="A26" s="207">
        <v>18</v>
      </c>
      <c r="B26" s="97" t="s">
        <v>176</v>
      </c>
      <c r="C26" s="14"/>
      <c r="D26" s="14"/>
      <c r="E26" s="15"/>
      <c r="F26" s="15"/>
      <c r="G26" s="15"/>
      <c r="H26" s="15"/>
      <c r="I26" s="98"/>
      <c r="J26" s="98"/>
      <c r="K26" s="16">
        <f>SUM(K6:K21)+SUM(K23:K24)</f>
        <v>861080</v>
      </c>
      <c r="L26" s="161" t="s">
        <v>248</v>
      </c>
      <c r="M26" s="90"/>
      <c r="N26" s="90"/>
      <c r="O26" s="90"/>
      <c r="P26" s="90"/>
      <c r="Q26" s="19"/>
      <c r="R26" s="19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s="3" customFormat="1" ht="18" customHeight="1">
      <c r="A27" s="207">
        <v>18</v>
      </c>
      <c r="B27" s="97" t="s">
        <v>177</v>
      </c>
      <c r="C27" s="14"/>
      <c r="D27" s="14"/>
      <c r="E27" s="15"/>
      <c r="F27" s="15"/>
      <c r="G27" s="15"/>
      <c r="H27" s="15"/>
      <c r="I27" s="98"/>
      <c r="J27" s="98"/>
      <c r="K27" s="16">
        <f>SUM(K6:K20)+SUM(K22:K24)</f>
        <v>1086080</v>
      </c>
      <c r="L27" s="161" t="s">
        <v>248</v>
      </c>
      <c r="M27" s="90"/>
      <c r="N27" s="90"/>
      <c r="O27" s="90"/>
      <c r="P27" s="90"/>
      <c r="Q27" s="19"/>
      <c r="R27" s="19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s="3" customFormat="1" ht="18" customHeight="1">
      <c r="A28" s="207">
        <v>19</v>
      </c>
      <c r="B28" s="235" t="s">
        <v>237</v>
      </c>
      <c r="C28" s="214" t="str">
        <f>COVER!B28</f>
        <v>REQUIRED</v>
      </c>
      <c r="D28" s="214">
        <v>0</v>
      </c>
      <c r="E28" s="215"/>
      <c r="F28" s="239"/>
      <c r="G28" s="215"/>
      <c r="H28" s="233">
        <f>IF(C28="REQUIRED",L28,IF(C28="N/A",0))</f>
        <v>36800</v>
      </c>
      <c r="I28" s="233">
        <f>H28</f>
        <v>36800</v>
      </c>
      <c r="J28" s="215"/>
      <c r="K28" s="234"/>
      <c r="L28" s="163">
        <v>36800</v>
      </c>
      <c r="M28" s="90"/>
      <c r="N28" s="90"/>
      <c r="O28" s="90"/>
      <c r="P28" s="90"/>
      <c r="Q28" s="19"/>
      <c r="R28" s="19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s="3" customFormat="1" ht="18" customHeight="1">
      <c r="A29" s="207">
        <v>20</v>
      </c>
      <c r="B29" s="235" t="s">
        <v>180</v>
      </c>
      <c r="C29" s="214"/>
      <c r="D29" s="214">
        <v>0</v>
      </c>
      <c r="E29" s="215"/>
      <c r="F29" s="239"/>
      <c r="G29" s="215"/>
      <c r="H29" s="215"/>
      <c r="I29" s="215"/>
      <c r="J29" s="215"/>
      <c r="K29" s="234"/>
      <c r="L29" s="161"/>
      <c r="M29" s="90"/>
      <c r="N29" s="90"/>
      <c r="O29" s="90"/>
      <c r="P29" s="90"/>
      <c r="Q29" s="19"/>
      <c r="R29" s="19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s="3" customFormat="1" ht="18" customHeight="1">
      <c r="A30" s="207">
        <v>21</v>
      </c>
      <c r="B30" s="235" t="s">
        <v>178</v>
      </c>
      <c r="C30" s="214" t="str">
        <f>COVER!B35</f>
        <v>MOTOR</v>
      </c>
      <c r="D30" s="214">
        <v>1</v>
      </c>
      <c r="E30" s="215"/>
      <c r="F30" s="239"/>
      <c r="G30" s="215"/>
      <c r="H30" s="233">
        <f>IF(COVER!B9="APPLICATION",0,IF(COVER!B35="BARE",M30,(IF(COVER!B35="LEVER",M30,IF(COVER!B35="GEAR",N30,IF(COVER!B35="MOTOR",O30))))))</f>
        <v>140000</v>
      </c>
      <c r="I30" s="234">
        <f>H30</f>
        <v>140000</v>
      </c>
      <c r="J30" s="215"/>
      <c r="K30" s="234"/>
      <c r="L30" s="163">
        <v>108000</v>
      </c>
      <c r="M30" s="163">
        <v>45000</v>
      </c>
      <c r="N30" s="163">
        <v>45000</v>
      </c>
      <c r="O30" s="163">
        <v>140000</v>
      </c>
      <c r="P30" s="90"/>
      <c r="Q30" s="19"/>
      <c r="R30" s="19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s="3" customFormat="1" ht="18" customHeight="1">
      <c r="A31" s="207">
        <v>22</v>
      </c>
      <c r="B31" s="235"/>
      <c r="C31" s="214"/>
      <c r="D31" s="214"/>
      <c r="E31" s="215"/>
      <c r="F31" s="239"/>
      <c r="G31" s="215"/>
      <c r="H31" s="215"/>
      <c r="I31" s="215"/>
      <c r="J31" s="215"/>
      <c r="K31" s="234"/>
      <c r="L31" s="161"/>
      <c r="M31" s="90"/>
      <c r="N31" s="163"/>
      <c r="O31" s="90"/>
      <c r="P31" s="90"/>
      <c r="Q31" s="19"/>
      <c r="R31" s="19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s="3" customFormat="1" ht="18" customHeight="1">
      <c r="A32" s="207">
        <v>23</v>
      </c>
      <c r="B32" s="89" t="s">
        <v>179</v>
      </c>
      <c r="C32" s="14"/>
      <c r="D32" s="99"/>
      <c r="E32" s="15"/>
      <c r="F32" s="15"/>
      <c r="G32" s="15"/>
      <c r="H32" s="15"/>
      <c r="I32" s="100"/>
      <c r="J32" s="101"/>
      <c r="K32" s="100">
        <f>SUM(K28:K31)</f>
        <v>0</v>
      </c>
      <c r="L32" s="161" t="s">
        <v>249</v>
      </c>
      <c r="M32" s="90"/>
      <c r="N32" s="90"/>
      <c r="O32" s="90"/>
      <c r="P32" s="90"/>
      <c r="Q32" s="19"/>
      <c r="R32" s="19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s="3" customFormat="1" ht="18" customHeight="1">
      <c r="A33" s="162">
        <v>24</v>
      </c>
      <c r="B33" s="216" t="s">
        <v>252</v>
      </c>
      <c r="C33" s="217"/>
      <c r="D33" s="218"/>
      <c r="E33" s="219"/>
      <c r="F33" s="219"/>
      <c r="G33" s="219"/>
      <c r="H33" s="219"/>
      <c r="I33" s="220"/>
      <c r="J33" s="221"/>
      <c r="K33" s="220">
        <f>K25+K32</f>
        <v>861080</v>
      </c>
      <c r="L33" s="161" t="s">
        <v>257</v>
      </c>
      <c r="M33" s="90"/>
      <c r="N33" s="90"/>
      <c r="O33" s="90"/>
      <c r="P33" s="90"/>
      <c r="Q33" s="19"/>
      <c r="R33" s="19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s="3" customFormat="1" ht="18" customHeight="1">
      <c r="A34" s="162">
        <v>24</v>
      </c>
      <c r="B34" s="216" t="s">
        <v>255</v>
      </c>
      <c r="C34" s="217"/>
      <c r="D34" s="218"/>
      <c r="E34" s="219"/>
      <c r="F34" s="219"/>
      <c r="G34" s="219"/>
      <c r="H34" s="219"/>
      <c r="I34" s="220"/>
      <c r="J34" s="221"/>
      <c r="K34" s="220">
        <f>K26+K32</f>
        <v>861080</v>
      </c>
      <c r="L34" s="161" t="s">
        <v>257</v>
      </c>
      <c r="M34" s="90"/>
      <c r="N34" s="90"/>
      <c r="O34" s="90"/>
      <c r="P34" s="90"/>
      <c r="Q34" s="19"/>
      <c r="R34" s="19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s="3" customFormat="1" ht="18" customHeight="1">
      <c r="A35" s="162">
        <v>24</v>
      </c>
      <c r="B35" s="216" t="s">
        <v>256</v>
      </c>
      <c r="C35" s="217"/>
      <c r="D35" s="218"/>
      <c r="E35" s="219"/>
      <c r="F35" s="219"/>
      <c r="G35" s="219"/>
      <c r="H35" s="219"/>
      <c r="I35" s="220"/>
      <c r="J35" s="221"/>
      <c r="K35" s="220">
        <f>K27+K32</f>
        <v>1086080</v>
      </c>
      <c r="L35" s="161" t="s">
        <v>257</v>
      </c>
      <c r="M35" s="90"/>
      <c r="N35" s="90"/>
      <c r="O35" s="90"/>
      <c r="P35" s="90"/>
      <c r="Q35" s="19"/>
      <c r="R35" s="19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s="4" customFormat="1" ht="18" customHeight="1">
      <c r="A36" s="162">
        <v>25</v>
      </c>
      <c r="B36" s="102" t="s">
        <v>407</v>
      </c>
      <c r="C36" s="103"/>
      <c r="D36" s="103"/>
      <c r="E36" s="104"/>
      <c r="F36" s="105"/>
      <c r="G36" s="105"/>
      <c r="H36" s="106"/>
      <c r="I36" s="223" t="s">
        <v>41</v>
      </c>
      <c r="J36" s="223">
        <v>0.7</v>
      </c>
      <c r="K36" s="107">
        <f>(K25+K32)/J36</f>
        <v>1230114.2857142857</v>
      </c>
      <c r="L36" s="161" t="s">
        <v>250</v>
      </c>
      <c r="M36" s="90"/>
      <c r="N36" s="90"/>
      <c r="O36" s="90"/>
      <c r="P36" s="90"/>
      <c r="Q36" s="19"/>
      <c r="R36" s="19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s="4" customFormat="1" ht="18" customHeight="1">
      <c r="A37" s="162">
        <v>25</v>
      </c>
      <c r="B37" s="102" t="s">
        <v>408</v>
      </c>
      <c r="C37" s="103"/>
      <c r="D37" s="103"/>
      <c r="E37" s="104"/>
      <c r="F37" s="105"/>
      <c r="G37" s="105"/>
      <c r="H37" s="106"/>
      <c r="I37" s="223" t="s">
        <v>41</v>
      </c>
      <c r="J37" s="223">
        <v>0.7</v>
      </c>
      <c r="K37" s="107">
        <f>(K26+K32)/J37</f>
        <v>1230114.2857142857</v>
      </c>
      <c r="L37" s="161" t="s">
        <v>250</v>
      </c>
      <c r="M37" s="90"/>
      <c r="N37" s="90"/>
      <c r="O37" s="90"/>
      <c r="P37" s="90"/>
      <c r="Q37" s="19"/>
      <c r="R37" s="19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s="4" customFormat="1" ht="18" customHeight="1">
      <c r="A38" s="162">
        <v>25</v>
      </c>
      <c r="B38" s="102" t="s">
        <v>409</v>
      </c>
      <c r="C38" s="103"/>
      <c r="D38" s="103"/>
      <c r="E38" s="104"/>
      <c r="F38" s="105"/>
      <c r="G38" s="105"/>
      <c r="H38" s="106"/>
      <c r="I38" s="223" t="s">
        <v>41</v>
      </c>
      <c r="J38" s="223">
        <v>0.7</v>
      </c>
      <c r="K38" s="107">
        <f>(K27+K32)/J38</f>
        <v>1551542.8571428573</v>
      </c>
      <c r="L38" s="161" t="s">
        <v>250</v>
      </c>
      <c r="M38" s="90"/>
      <c r="N38" s="90"/>
      <c r="O38" s="90"/>
      <c r="P38" s="90"/>
      <c r="Q38" s="19"/>
      <c r="R38" s="19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s="4" customFormat="1" ht="18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57"/>
      <c r="M39" s="108"/>
      <c r="N39" s="108"/>
      <c r="O39" s="108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s="4" customFormat="1" ht="18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57"/>
      <c r="M40" s="108"/>
      <c r="N40" s="108"/>
      <c r="O40" s="108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s="4" customFormat="1" ht="18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57"/>
      <c r="M41" s="108"/>
      <c r="N41" s="108"/>
      <c r="O41" s="108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s="4" customFormat="1" ht="18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57"/>
      <c r="M42" s="108"/>
      <c r="N42" s="108"/>
      <c r="O42" s="108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s="4" customFormat="1" ht="18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57"/>
      <c r="M43" s="108"/>
      <c r="N43" s="108"/>
      <c r="O43" s="108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s="4" customFormat="1" ht="18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57"/>
      <c r="M44" s="108"/>
      <c r="N44" s="108"/>
      <c r="O44" s="108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s="4" customFormat="1" ht="18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57"/>
      <c r="M45" s="108"/>
      <c r="N45" s="108"/>
      <c r="O45" s="108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s="4" customFormat="1" ht="18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57"/>
      <c r="M46" s="108"/>
      <c r="N46" s="108"/>
      <c r="O46" s="108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s="4" customFormat="1" ht="12.75">
      <c r="A47" s="10"/>
      <c r="B47" s="10"/>
      <c r="C47" s="10"/>
      <c r="D47" s="109"/>
      <c r="E47" s="10"/>
      <c r="F47" s="10"/>
      <c r="G47" s="10"/>
      <c r="H47" s="10"/>
      <c r="I47" s="10"/>
      <c r="J47" s="10"/>
      <c r="K47" s="10"/>
      <c r="L47" s="108"/>
      <c r="M47" s="108"/>
      <c r="N47" s="108"/>
      <c r="O47" s="108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s="4" customFormat="1" ht="12.7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57"/>
      <c r="M48" s="108"/>
      <c r="N48" s="108"/>
      <c r="O48" s="108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s="4" customFormat="1" ht="12.7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57"/>
      <c r="M49" s="108"/>
      <c r="N49" s="108"/>
      <c r="O49" s="108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s="5" customForma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57"/>
      <c r="M50" s="87"/>
      <c r="N50" s="87"/>
      <c r="O50" s="8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s="5" customForma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57"/>
      <c r="M51" s="87"/>
      <c r="N51" s="87"/>
      <c r="O51" s="87"/>
      <c r="P51" s="10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s="5" customForma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57"/>
      <c r="M52" s="87"/>
      <c r="N52" s="87"/>
      <c r="O52" s="87"/>
      <c r="P52" s="10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</sheetData>
  <mergeCells count="9">
    <mergeCell ref="L21:P21"/>
    <mergeCell ref="L16:P16"/>
    <mergeCell ref="L17:P17"/>
    <mergeCell ref="A1:K1"/>
    <mergeCell ref="D3:E3"/>
    <mergeCell ref="F3:H3"/>
    <mergeCell ref="L4:P4"/>
    <mergeCell ref="L13:P13"/>
    <mergeCell ref="L15:P15"/>
  </mergeCells>
  <phoneticPr fontId="7" type="noConversion"/>
  <pageMargins left="0.75" right="0.75" top="1" bottom="1" header="0.5" footer="0.5"/>
  <pageSetup paperSize="9" scale="62" orientation="portrait" r:id="rId1"/>
  <headerFooter alignWithMargins="0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AE52"/>
  <sheetViews>
    <sheetView view="pageBreakPreview" zoomScale="90" zoomScaleNormal="100" zoomScaleSheetLayoutView="90" workbookViewId="0">
      <selection activeCell="M23" sqref="M23"/>
    </sheetView>
  </sheetViews>
  <sheetFormatPr defaultColWidth="8.88671875" defaultRowHeight="13.5"/>
  <cols>
    <col min="1" max="1" width="5.26171875" style="10" customWidth="1"/>
    <col min="2" max="2" width="20.23046875" style="10" bestFit="1" customWidth="1"/>
    <col min="3" max="3" width="14.3828125" style="10" bestFit="1" customWidth="1"/>
    <col min="4" max="4" width="3.7421875" style="10" customWidth="1"/>
    <col min="5" max="5" width="8.30078125" style="10" customWidth="1"/>
    <col min="6" max="6" width="6.1953125" style="10" customWidth="1"/>
    <col min="7" max="7" width="5.73046875" style="10" customWidth="1"/>
    <col min="8" max="8" width="8.30078125" style="10" bestFit="1" customWidth="1"/>
    <col min="9" max="9" width="10.9921875" style="10" customWidth="1"/>
    <col min="10" max="10" width="12.74609375" style="10" bestFit="1" customWidth="1"/>
    <col min="11" max="11" width="18.125" style="10" bestFit="1" customWidth="1"/>
    <col min="12" max="12" width="14.265625" style="157" bestFit="1" customWidth="1"/>
    <col min="13" max="13" width="13.796875" style="87" customWidth="1"/>
    <col min="14" max="14" width="12.16015625" style="87" bestFit="1" customWidth="1"/>
    <col min="15" max="15" width="11.2265625" style="87" customWidth="1"/>
    <col min="16" max="16" width="12.16015625" style="8" bestFit="1" customWidth="1"/>
    <col min="17" max="18" width="15.43359375" style="8" bestFit="1" customWidth="1"/>
    <col min="19" max="19" width="8.88671875" style="8"/>
    <col min="20" max="20" width="17.07421875" style="8" bestFit="1" customWidth="1"/>
    <col min="21" max="31" width="8.88671875" style="8"/>
    <col min="32" max="16384" width="8.88671875" style="2"/>
  </cols>
  <sheetData>
    <row r="1" spans="1:31" ht="24" thickTop="1" thickBot="1">
      <c r="A1" s="336" t="s">
        <v>190</v>
      </c>
      <c r="B1" s="337"/>
      <c r="C1" s="337"/>
      <c r="D1" s="337"/>
      <c r="E1" s="337"/>
      <c r="F1" s="337"/>
      <c r="G1" s="337"/>
      <c r="H1" s="337"/>
      <c r="I1" s="337"/>
      <c r="J1" s="337"/>
      <c r="K1" s="338"/>
      <c r="M1" s="7"/>
    </row>
    <row r="2" spans="1:31" ht="14.45" customHeight="1" thickTop="1" thickBot="1">
      <c r="A2" s="158"/>
      <c r="B2" s="158"/>
      <c r="C2" s="115"/>
      <c r="E2" s="115"/>
      <c r="F2" s="115"/>
      <c r="G2" s="115"/>
      <c r="N2" s="87">
        <v>2200692</v>
      </c>
      <c r="O2" s="87">
        <f>N2/0.7</f>
        <v>3143845.7142857146</v>
      </c>
    </row>
    <row r="3" spans="1:31" ht="15" thickTop="1" thickBot="1">
      <c r="A3" s="184" t="s">
        <v>191</v>
      </c>
      <c r="B3" s="183" t="s">
        <v>297</v>
      </c>
      <c r="C3" s="184" t="s">
        <v>192</v>
      </c>
      <c r="D3" s="339" t="s">
        <v>193</v>
      </c>
      <c r="E3" s="340"/>
      <c r="F3" s="341" t="s">
        <v>194</v>
      </c>
      <c r="G3" s="339"/>
      <c r="H3" s="339"/>
      <c r="I3" s="183" t="s">
        <v>195</v>
      </c>
      <c r="J3" s="184" t="s">
        <v>197</v>
      </c>
      <c r="K3" s="183" t="s">
        <v>311</v>
      </c>
    </row>
    <row r="4" spans="1:31" ht="19.149999999999999" customHeight="1" thickTop="1" thickBot="1">
      <c r="J4" s="197" t="s">
        <v>332</v>
      </c>
      <c r="K4" s="189">
        <v>700</v>
      </c>
      <c r="L4" s="342" t="s">
        <v>207</v>
      </c>
      <c r="M4" s="343"/>
      <c r="N4" s="343"/>
      <c r="O4" s="343"/>
      <c r="P4" s="343"/>
      <c r="Q4" s="168"/>
      <c r="R4" s="169"/>
    </row>
    <row r="5" spans="1:31" s="3" customFormat="1" ht="25.15" customHeight="1" thickTop="1">
      <c r="A5" s="9" t="s">
        <v>1</v>
      </c>
      <c r="B5" s="9" t="s">
        <v>164</v>
      </c>
      <c r="C5" s="88" t="s">
        <v>165</v>
      </c>
      <c r="D5" s="89" t="s">
        <v>166</v>
      </c>
      <c r="E5" s="9" t="s">
        <v>167</v>
      </c>
      <c r="F5" s="9" t="s">
        <v>168</v>
      </c>
      <c r="G5" s="9" t="s">
        <v>169</v>
      </c>
      <c r="H5" s="9" t="s">
        <v>170</v>
      </c>
      <c r="I5" s="123" t="s">
        <v>171</v>
      </c>
      <c r="J5" s="195" t="s">
        <v>172</v>
      </c>
      <c r="K5" s="196" t="s">
        <v>173</v>
      </c>
      <c r="L5" s="90" t="s">
        <v>198</v>
      </c>
      <c r="M5" s="121" t="s">
        <v>199</v>
      </c>
      <c r="N5" s="90" t="s">
        <v>38</v>
      </c>
      <c r="O5" s="90" t="s">
        <v>200</v>
      </c>
      <c r="P5" s="90" t="s">
        <v>201</v>
      </c>
      <c r="Q5" s="90" t="s">
        <v>265</v>
      </c>
      <c r="R5" s="90" t="s">
        <v>266</v>
      </c>
      <c r="S5" s="10"/>
      <c r="T5" s="10" t="s">
        <v>330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s="3" customFormat="1" ht="18" customHeight="1">
      <c r="A6" s="186">
        <v>1</v>
      </c>
      <c r="B6" s="224" t="s">
        <v>181</v>
      </c>
      <c r="C6" s="225">
        <f>COVER!B13</f>
        <v>0</v>
      </c>
      <c r="D6" s="226">
        <v>1</v>
      </c>
      <c r="E6" s="215"/>
      <c r="F6" s="227">
        <v>92</v>
      </c>
      <c r="G6" s="227"/>
      <c r="H6" s="228">
        <f>COVER!C13</f>
        <v>0</v>
      </c>
      <c r="I6" s="229">
        <f>D6*F6*H6</f>
        <v>0</v>
      </c>
      <c r="J6" s="230"/>
      <c r="K6" s="231">
        <f t="shared" ref="K6:K12" si="0">I6+J6</f>
        <v>0</v>
      </c>
      <c r="L6" s="209">
        <v>86020</v>
      </c>
      <c r="M6" s="163">
        <v>91000</v>
      </c>
      <c r="N6" s="163"/>
      <c r="O6" s="90"/>
      <c r="P6" s="90"/>
      <c r="Q6" s="19"/>
      <c r="R6" s="19"/>
      <c r="S6" s="10"/>
      <c r="T6" s="10">
        <v>85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s="3" customFormat="1" ht="18" customHeight="1">
      <c r="A7" s="186">
        <v>1</v>
      </c>
      <c r="B7" s="224" t="s">
        <v>182</v>
      </c>
      <c r="C7" s="225" t="str">
        <f>COVER!B14</f>
        <v>A536 Gr65-45-12</v>
      </c>
      <c r="D7" s="226">
        <v>1</v>
      </c>
      <c r="E7" s="215"/>
      <c r="F7" s="227">
        <v>148</v>
      </c>
      <c r="G7" s="227"/>
      <c r="H7" s="228">
        <f>COVER!C14</f>
        <v>3500</v>
      </c>
      <c r="I7" s="229">
        <f>D7*F7*H7</f>
        <v>518000</v>
      </c>
      <c r="J7" s="230"/>
      <c r="K7" s="231">
        <f t="shared" si="0"/>
        <v>518000</v>
      </c>
      <c r="L7" s="209">
        <v>142945</v>
      </c>
      <c r="M7" s="163">
        <f>155000*1.1</f>
        <v>170500</v>
      </c>
      <c r="N7" s="185"/>
      <c r="O7" s="90"/>
      <c r="P7" s="90"/>
      <c r="Q7" s="19"/>
      <c r="R7" s="19"/>
      <c r="S7" s="10"/>
      <c r="T7" s="10">
        <v>145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s="3" customFormat="1" ht="18" customHeight="1">
      <c r="A8" s="186">
        <v>1</v>
      </c>
      <c r="B8" s="224" t="s">
        <v>183</v>
      </c>
      <c r="C8" s="225">
        <f>COVER!B15</f>
        <v>0</v>
      </c>
      <c r="D8" s="226">
        <v>1</v>
      </c>
      <c r="E8" s="215"/>
      <c r="F8" s="227">
        <v>174</v>
      </c>
      <c r="G8" s="227"/>
      <c r="H8" s="228">
        <f>COVER!C15</f>
        <v>0</v>
      </c>
      <c r="I8" s="229">
        <f>D8*F8*H8</f>
        <v>0</v>
      </c>
      <c r="J8" s="230"/>
      <c r="K8" s="231">
        <f t="shared" si="0"/>
        <v>0</v>
      </c>
      <c r="L8" s="209">
        <v>142945</v>
      </c>
      <c r="M8" s="163">
        <v>171600</v>
      </c>
      <c r="N8" s="185"/>
      <c r="O8" s="90"/>
      <c r="P8" s="90"/>
      <c r="Q8" s="19"/>
      <c r="R8" s="19"/>
      <c r="S8" s="10"/>
      <c r="T8" s="10">
        <v>160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s="3" customFormat="1" ht="18" customHeight="1">
      <c r="A9" s="186">
        <v>2</v>
      </c>
      <c r="B9" s="232" t="s">
        <v>2</v>
      </c>
      <c r="C9" s="225" t="str">
        <f>COVER!B16</f>
        <v>A351 CF8M</v>
      </c>
      <c r="D9" s="226">
        <v>1</v>
      </c>
      <c r="E9" s="215"/>
      <c r="F9" s="227">
        <f>IF(COVER!B34="10 BAR",Q9,IF(COVER!B34="16 BAR",R9,IF(COVER!B34="20 BAR",R9)))</f>
        <v>37</v>
      </c>
      <c r="G9" s="227"/>
      <c r="H9" s="228">
        <f>COVER!C16</f>
        <v>12000</v>
      </c>
      <c r="I9" s="233">
        <f>D9*F9*H9</f>
        <v>444000</v>
      </c>
      <c r="J9" s="230"/>
      <c r="K9" s="234">
        <f t="shared" si="0"/>
        <v>444000</v>
      </c>
      <c r="L9" s="163">
        <v>44800</v>
      </c>
      <c r="M9" s="163">
        <v>40000</v>
      </c>
      <c r="N9" s="163">
        <v>40000</v>
      </c>
      <c r="O9" s="209">
        <f>P9*0.85</f>
        <v>58386.5</v>
      </c>
      <c r="P9" s="163">
        <v>68690</v>
      </c>
      <c r="Q9" s="19">
        <v>37</v>
      </c>
      <c r="R9" s="19">
        <v>47</v>
      </c>
      <c r="S9" s="10"/>
      <c r="T9" s="10">
        <v>42</v>
      </c>
      <c r="U9" s="10"/>
      <c r="V9" s="10">
        <f>P9/M9</f>
        <v>1.7172499999999999</v>
      </c>
      <c r="W9" s="10"/>
      <c r="X9" s="10"/>
      <c r="Y9" s="10"/>
      <c r="Z9" s="10"/>
      <c r="AA9" s="10"/>
      <c r="AB9" s="10"/>
      <c r="AC9" s="10"/>
      <c r="AD9" s="10"/>
      <c r="AE9" s="10"/>
    </row>
    <row r="10" spans="1:31" s="3" customFormat="1" ht="18" customHeight="1">
      <c r="A10" s="207">
        <v>3</v>
      </c>
      <c r="B10" s="235" t="s">
        <v>3</v>
      </c>
      <c r="C10" s="236" t="str">
        <f>COVER!B18</f>
        <v>EPDM</v>
      </c>
      <c r="D10" s="214">
        <v>1</v>
      </c>
      <c r="E10" s="215"/>
      <c r="F10" s="227">
        <v>1</v>
      </c>
      <c r="G10" s="227"/>
      <c r="H10" s="228">
        <f>IF(C10="NBR",L10,IF(C10="EPDM",L10,IF(C10="VITON",M10)))</f>
        <v>41420</v>
      </c>
      <c r="I10" s="233">
        <f>H10*F10*D10</f>
        <v>41420</v>
      </c>
      <c r="J10" s="230"/>
      <c r="K10" s="234">
        <f t="shared" si="0"/>
        <v>41420</v>
      </c>
      <c r="L10" s="163">
        <v>41420</v>
      </c>
      <c r="M10" s="163">
        <v>630000</v>
      </c>
      <c r="N10" s="163">
        <v>248900</v>
      </c>
      <c r="O10" s="163"/>
      <c r="P10" s="163">
        <v>74000</v>
      </c>
      <c r="Q10" s="19"/>
      <c r="R10" s="1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s="3" customFormat="1" ht="18" customHeight="1">
      <c r="A11" s="207">
        <v>4</v>
      </c>
      <c r="B11" s="235" t="s">
        <v>333</v>
      </c>
      <c r="C11" s="214" t="str">
        <f>COVER!B17</f>
        <v>A564T630</v>
      </c>
      <c r="D11" s="214">
        <v>1</v>
      </c>
      <c r="E11" s="215"/>
      <c r="F11" s="243">
        <v>8</v>
      </c>
      <c r="G11" s="238"/>
      <c r="H11" s="228">
        <f>COVER!C17</f>
        <v>10000</v>
      </c>
      <c r="I11" s="233">
        <f>D11*F11*H11</f>
        <v>80000</v>
      </c>
      <c r="J11" s="233"/>
      <c r="K11" s="234">
        <f t="shared" si="0"/>
        <v>80000</v>
      </c>
      <c r="L11" s="163" t="s">
        <v>334</v>
      </c>
      <c r="M11" s="163">
        <v>10000</v>
      </c>
      <c r="N11" s="163">
        <v>17000</v>
      </c>
      <c r="O11" s="163">
        <f>ROUNDUP(P11/1.3,-2)</f>
        <v>43100</v>
      </c>
      <c r="P11" s="163">
        <v>56000</v>
      </c>
      <c r="Q11" s="18">
        <v>7.68</v>
      </c>
      <c r="R11" s="18"/>
      <c r="S11" s="108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s="3" customFormat="1" ht="18" customHeight="1">
      <c r="A12" s="207">
        <v>5</v>
      </c>
      <c r="B12" s="235" t="s">
        <v>348</v>
      </c>
      <c r="C12" s="214" t="s">
        <v>211</v>
      </c>
      <c r="D12" s="214">
        <v>1</v>
      </c>
      <c r="E12" s="215"/>
      <c r="F12" s="237">
        <v>1</v>
      </c>
      <c r="G12" s="227"/>
      <c r="H12" s="230">
        <f>L12</f>
        <v>9000</v>
      </c>
      <c r="I12" s="233">
        <f>D12*F12*H12</f>
        <v>9000</v>
      </c>
      <c r="J12" s="233"/>
      <c r="K12" s="234">
        <f t="shared" si="0"/>
        <v>9000</v>
      </c>
      <c r="L12" s="163">
        <v>9000</v>
      </c>
      <c r="M12" s="163"/>
      <c r="N12" s="163"/>
      <c r="O12" s="90"/>
      <c r="P12" s="90"/>
      <c r="Q12" s="19"/>
      <c r="R12" s="19"/>
      <c r="S12" s="10"/>
      <c r="T12" s="10"/>
      <c r="U12" s="10"/>
      <c r="V12" s="10">
        <f>M9/L9</f>
        <v>0.8928571428571429</v>
      </c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s="3" customFormat="1" ht="18" customHeight="1">
      <c r="A13" s="207">
        <v>6</v>
      </c>
      <c r="B13" s="235" t="s">
        <v>163</v>
      </c>
      <c r="C13" s="214" t="str">
        <f>COVER!B21</f>
        <v>SSPC</v>
      </c>
      <c r="D13" s="214">
        <v>4</v>
      </c>
      <c r="E13" s="215"/>
      <c r="F13" s="237">
        <v>1</v>
      </c>
      <c r="G13" s="227"/>
      <c r="H13" s="228">
        <f>L13</f>
        <v>1070</v>
      </c>
      <c r="I13" s="233">
        <f>H13*F13*D13</f>
        <v>4280</v>
      </c>
      <c r="J13" s="233"/>
      <c r="K13" s="234">
        <f>J13+I13</f>
        <v>4280</v>
      </c>
      <c r="L13" s="198">
        <v>1070</v>
      </c>
      <c r="M13" s="198"/>
      <c r="N13" s="198"/>
      <c r="O13" s="198"/>
      <c r="P13" s="198"/>
      <c r="Q13" s="19"/>
      <c r="R13" s="19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s="3" customFormat="1" ht="18" customHeight="1">
      <c r="A14" s="207">
        <v>7</v>
      </c>
      <c r="B14" s="235" t="s">
        <v>350</v>
      </c>
      <c r="C14" s="214" t="s">
        <v>351</v>
      </c>
      <c r="D14" s="214">
        <v>2</v>
      </c>
      <c r="E14" s="215"/>
      <c r="F14" s="237">
        <v>1</v>
      </c>
      <c r="G14" s="227"/>
      <c r="H14" s="228">
        <v>800</v>
      </c>
      <c r="I14" s="233">
        <f>D14*F14*H14</f>
        <v>1600</v>
      </c>
      <c r="J14" s="233"/>
      <c r="K14" s="234">
        <f>I14+J14</f>
        <v>1600</v>
      </c>
      <c r="L14" s="163"/>
      <c r="M14" s="163"/>
      <c r="N14" s="163"/>
      <c r="O14" s="163"/>
      <c r="P14" s="163"/>
      <c r="Q14" s="201" t="s">
        <v>374</v>
      </c>
      <c r="R14" s="19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s="3" customFormat="1" ht="18" customHeight="1">
      <c r="A15" s="207">
        <v>8</v>
      </c>
      <c r="B15" s="235" t="s">
        <v>386</v>
      </c>
      <c r="C15" s="214" t="str">
        <f>COVER!B22</f>
        <v>BODY MATERIAL</v>
      </c>
      <c r="D15" s="214">
        <v>1</v>
      </c>
      <c r="E15" s="215"/>
      <c r="F15" s="237">
        <v>1.1299999999999999</v>
      </c>
      <c r="G15" s="227"/>
      <c r="H15" s="228">
        <f>IF(C15="SS400",M15,IF(C15="BODY MATERIAL",N15))</f>
        <v>7909.9999999999991</v>
      </c>
      <c r="I15" s="233">
        <f>H15</f>
        <v>7909.9999999999991</v>
      </c>
      <c r="J15" s="233"/>
      <c r="K15" s="234">
        <f>I15+J15</f>
        <v>7909.9999999999991</v>
      </c>
      <c r="L15" s="163" t="s">
        <v>356</v>
      </c>
      <c r="M15" s="198">
        <v>3400</v>
      </c>
      <c r="N15" s="198">
        <f>IF(AND(C15="BODY MATERIAL"),IF((H6&gt;0),H6*F15*2,IF((H7&gt;0),H7*F15*2,IF((H8&gt;0),H8*F15*2))))</f>
        <v>7909.9999999999991</v>
      </c>
      <c r="O15" s="198"/>
      <c r="P15" s="198"/>
      <c r="Q15" s="201" t="s">
        <v>374</v>
      </c>
      <c r="R15" s="164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s="3" customFormat="1" ht="18" customHeight="1">
      <c r="A16" s="207">
        <v>9</v>
      </c>
      <c r="B16" s="235" t="s">
        <v>217</v>
      </c>
      <c r="C16" s="214" t="str">
        <f>COVER!B23</f>
        <v>B8M</v>
      </c>
      <c r="D16" s="214">
        <v>4</v>
      </c>
      <c r="E16" s="215"/>
      <c r="F16" s="237"/>
      <c r="G16" s="227"/>
      <c r="H16" s="228">
        <f>IF(C16="B8",M16,IF(C16="B8M",N16,IF(C16="B7(다크로)",O16)))</f>
        <v>400</v>
      </c>
      <c r="I16" s="233">
        <f>H16*D16</f>
        <v>1600</v>
      </c>
      <c r="J16" s="233"/>
      <c r="K16" s="234">
        <f>J16+I16</f>
        <v>1600</v>
      </c>
      <c r="L16" s="163" t="s">
        <v>387</v>
      </c>
      <c r="M16" s="198">
        <v>350</v>
      </c>
      <c r="N16" s="198">
        <v>400</v>
      </c>
      <c r="O16" s="198">
        <v>300</v>
      </c>
      <c r="P16" s="198"/>
      <c r="Q16" s="204" t="s">
        <v>385</v>
      </c>
      <c r="R16" s="19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s="3" customFormat="1" ht="18" customHeight="1">
      <c r="A17" s="207">
        <v>10</v>
      </c>
      <c r="B17" s="235" t="s">
        <v>221</v>
      </c>
      <c r="C17" s="214" t="str">
        <f>COVER!B24</f>
        <v>ALBC2</v>
      </c>
      <c r="D17" s="214">
        <v>1</v>
      </c>
      <c r="E17" s="215"/>
      <c r="F17" s="237">
        <v>1</v>
      </c>
      <c r="G17" s="227"/>
      <c r="H17" s="228">
        <f>L17</f>
        <v>3200</v>
      </c>
      <c r="I17" s="233">
        <f>H17*F17</f>
        <v>3200</v>
      </c>
      <c r="J17" s="233"/>
      <c r="K17" s="234">
        <f>J17+I17</f>
        <v>3200</v>
      </c>
      <c r="L17" s="198">
        <v>3200</v>
      </c>
      <c r="M17" s="198"/>
      <c r="N17" s="198"/>
      <c r="O17" s="198"/>
      <c r="P17" s="198"/>
      <c r="Q17" s="202"/>
      <c r="R17" s="19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s="3" customFormat="1" ht="18" customHeight="1">
      <c r="A18" s="207">
        <v>11</v>
      </c>
      <c r="B18" s="235" t="s">
        <v>187</v>
      </c>
      <c r="C18" s="214" t="s">
        <v>353</v>
      </c>
      <c r="D18" s="214">
        <v>1</v>
      </c>
      <c r="E18" s="215"/>
      <c r="F18" s="237">
        <v>0.5</v>
      </c>
      <c r="G18" s="227"/>
      <c r="H18" s="228">
        <f>M18</f>
        <v>2000</v>
      </c>
      <c r="I18" s="233">
        <f>H18*D18</f>
        <v>2000</v>
      </c>
      <c r="J18" s="233"/>
      <c r="K18" s="234">
        <f>J18+I18</f>
        <v>2000</v>
      </c>
      <c r="L18" s="163" t="s">
        <v>355</v>
      </c>
      <c r="M18" s="163">
        <v>2000</v>
      </c>
      <c r="N18" s="163"/>
      <c r="O18" s="163"/>
      <c r="P18" s="163"/>
      <c r="Q18" s="205"/>
      <c r="R18" s="165"/>
      <c r="S18" s="145"/>
      <c r="T18" s="145"/>
      <c r="U18" s="145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s="3" customFormat="1" ht="18" customHeight="1">
      <c r="A19" s="207">
        <v>12</v>
      </c>
      <c r="B19" s="235" t="s">
        <v>189</v>
      </c>
      <c r="C19" s="214" t="str">
        <f>COVER!B26</f>
        <v>B8M</v>
      </c>
      <c r="D19" s="214">
        <v>4</v>
      </c>
      <c r="E19" s="215"/>
      <c r="F19" s="237"/>
      <c r="G19" s="227"/>
      <c r="H19" s="230">
        <f>IF(C19="B8",M19,IF(C19="B8M",N19))</f>
        <v>400</v>
      </c>
      <c r="I19" s="233">
        <f>H19*D19</f>
        <v>1600</v>
      </c>
      <c r="J19" s="233"/>
      <c r="K19" s="234">
        <f>I19+J19</f>
        <v>1600</v>
      </c>
      <c r="L19" s="163" t="s">
        <v>380</v>
      </c>
      <c r="M19" s="163">
        <v>200</v>
      </c>
      <c r="N19" s="163">
        <v>400</v>
      </c>
      <c r="O19" s="163"/>
      <c r="P19" s="163"/>
      <c r="Q19" s="204" t="s">
        <v>381</v>
      </c>
      <c r="R19" s="19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s="3" customFormat="1" ht="18" customHeight="1">
      <c r="A20" s="207">
        <v>13</v>
      </c>
      <c r="B20" s="235" t="s">
        <v>188</v>
      </c>
      <c r="C20" s="214" t="str">
        <f>COVER!B27</f>
        <v>B8M</v>
      </c>
      <c r="D20" s="214">
        <v>4</v>
      </c>
      <c r="E20" s="215"/>
      <c r="F20" s="237"/>
      <c r="G20" s="227"/>
      <c r="H20" s="228">
        <f>IF(C20="B8",M20,IF(C20="B8M",N20,IF(C20="B7(다크로)",O20)))</f>
        <v>5000</v>
      </c>
      <c r="I20" s="233">
        <f>H20*D20</f>
        <v>20000</v>
      </c>
      <c r="J20" s="233"/>
      <c r="K20" s="234">
        <f t="shared" ref="K20:K22" si="1">I20+J20</f>
        <v>20000</v>
      </c>
      <c r="L20" s="163" t="s">
        <v>391</v>
      </c>
      <c r="M20" s="163">
        <v>4500</v>
      </c>
      <c r="N20" s="163">
        <v>5000</v>
      </c>
      <c r="O20" s="163">
        <v>2500</v>
      </c>
      <c r="P20" s="163"/>
      <c r="Q20" s="204" t="s">
        <v>385</v>
      </c>
      <c r="R20" s="19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s="3" customFormat="1" ht="18" customHeight="1">
      <c r="A21" s="207">
        <v>14</v>
      </c>
      <c r="B21" s="235" t="s">
        <v>349</v>
      </c>
      <c r="C21" s="214"/>
      <c r="D21" s="214">
        <v>4</v>
      </c>
      <c r="E21" s="215"/>
      <c r="F21" s="237"/>
      <c r="G21" s="227"/>
      <c r="H21" s="228">
        <v>500</v>
      </c>
      <c r="I21" s="233">
        <f>H21*D21</f>
        <v>2000</v>
      </c>
      <c r="J21" s="241"/>
      <c r="K21" s="234">
        <f>I21+J21</f>
        <v>2000</v>
      </c>
      <c r="L21" s="163" t="s">
        <v>401</v>
      </c>
      <c r="M21" s="163"/>
      <c r="N21" s="163"/>
      <c r="O21" s="163"/>
      <c r="P21" s="163"/>
      <c r="Q21" s="201" t="s">
        <v>374</v>
      </c>
      <c r="R21" s="19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s="3" customFormat="1" ht="18" customHeight="1">
      <c r="A22" s="207">
        <v>15</v>
      </c>
      <c r="B22" s="235" t="s">
        <v>6</v>
      </c>
      <c r="C22" s="214" t="str">
        <f>COVER!B34</f>
        <v>10 BAR</v>
      </c>
      <c r="D22" s="214">
        <v>1</v>
      </c>
      <c r="E22" s="215"/>
      <c r="F22" s="237"/>
      <c r="G22" s="242"/>
      <c r="H22" s="228"/>
      <c r="I22" s="233">
        <f>IF(C22="10 BAR",M22,IF(C22="16 BAR",N22,IF(C22="20 BAR",O22)))</f>
        <v>305000</v>
      </c>
      <c r="J22" s="241"/>
      <c r="K22" s="234">
        <f t="shared" si="1"/>
        <v>305000</v>
      </c>
      <c r="L22" s="163"/>
      <c r="M22" s="163">
        <v>305000</v>
      </c>
      <c r="N22" s="163">
        <v>355000</v>
      </c>
      <c r="O22" s="163">
        <v>355000</v>
      </c>
      <c r="P22" s="163"/>
      <c r="Q22" s="19"/>
      <c r="R22" s="19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s="3" customFormat="1" ht="18" customHeight="1">
      <c r="A23" s="207">
        <v>16</v>
      </c>
      <c r="B23" s="235" t="s">
        <v>7</v>
      </c>
      <c r="C23" s="214" t="str">
        <f>COVER!B32</f>
        <v>기존 단가</v>
      </c>
      <c r="D23" s="214">
        <v>1</v>
      </c>
      <c r="E23" s="215"/>
      <c r="F23" s="237"/>
      <c r="G23" s="242"/>
      <c r="H23" s="228">
        <f>IF(COVER!B9="APPLICATION",0,IF(COVER!B32="기존 단가",L23,IF(COVER!B32="외주 2COATING",M23,IF(COVER!B32="외주 3COATING",N23))))</f>
        <v>68000</v>
      </c>
      <c r="I23" s="233">
        <f>H23</f>
        <v>68000</v>
      </c>
      <c r="J23" s="233"/>
      <c r="K23" s="234"/>
      <c r="L23" s="163">
        <v>68000</v>
      </c>
      <c r="M23" s="163">
        <f>IF(H6&gt;0,F6*520,IF(H7&gt;0,F7*520,IF(H8&gt;0,F8*520)))</f>
        <v>76960</v>
      </c>
      <c r="N23" s="163">
        <f>IF(H6&gt;0,F6*620,IF(H7&gt;0,F7*620,IF(H8&gt;0,F8*620)))</f>
        <v>91760</v>
      </c>
      <c r="O23" s="90"/>
      <c r="P23" s="182"/>
      <c r="Q23" s="19"/>
      <c r="R23" s="19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s="3" customFormat="1" ht="18" customHeight="1">
      <c r="A24" s="207">
        <v>17</v>
      </c>
      <c r="B24" s="235" t="s">
        <v>174</v>
      </c>
      <c r="C24" s="214"/>
      <c r="D24" s="214">
        <v>1</v>
      </c>
      <c r="E24" s="215"/>
      <c r="F24" s="237"/>
      <c r="G24" s="242"/>
      <c r="H24" s="228">
        <f>IF(COVER!B9="APPLICATION",0,IF(COVER!B9="N/A",L24))</f>
        <v>68000</v>
      </c>
      <c r="I24" s="233">
        <f>H24</f>
        <v>68000</v>
      </c>
      <c r="J24" s="234"/>
      <c r="K24" s="234"/>
      <c r="L24" s="211">
        <v>68000</v>
      </c>
      <c r="M24" s="90"/>
      <c r="N24" s="90"/>
      <c r="O24" s="90"/>
      <c r="P24" s="90"/>
      <c r="Q24" s="19"/>
      <c r="R24" s="19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s="3" customFormat="1" ht="18" customHeight="1">
      <c r="A25" s="207">
        <v>18</v>
      </c>
      <c r="B25" s="97" t="s">
        <v>175</v>
      </c>
      <c r="C25" s="14"/>
      <c r="D25" s="14"/>
      <c r="E25" s="15"/>
      <c r="F25" s="15"/>
      <c r="G25" s="15"/>
      <c r="H25" s="15"/>
      <c r="I25" s="98"/>
      <c r="J25" s="98"/>
      <c r="K25" s="16">
        <f>SUM(K6:K21)+SUM(K23:K24)</f>
        <v>1136610</v>
      </c>
      <c r="L25" s="185" t="s">
        <v>248</v>
      </c>
      <c r="M25" s="90"/>
      <c r="N25" s="90"/>
      <c r="O25" s="90"/>
      <c r="P25" s="90"/>
      <c r="Q25" s="19"/>
      <c r="R25" s="19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s="3" customFormat="1" ht="18" customHeight="1">
      <c r="A26" s="207">
        <v>18</v>
      </c>
      <c r="B26" s="97" t="s">
        <v>176</v>
      </c>
      <c r="C26" s="14"/>
      <c r="D26" s="14"/>
      <c r="E26" s="15"/>
      <c r="F26" s="15"/>
      <c r="G26" s="15"/>
      <c r="H26" s="15"/>
      <c r="I26" s="98"/>
      <c r="J26" s="98"/>
      <c r="K26" s="16">
        <f>SUM(K6:K21)+SUM(K23:K24)</f>
        <v>1136610</v>
      </c>
      <c r="L26" s="185" t="s">
        <v>248</v>
      </c>
      <c r="M26" s="90"/>
      <c r="N26" s="90"/>
      <c r="O26" s="90"/>
      <c r="P26" s="90"/>
      <c r="Q26" s="19"/>
      <c r="R26" s="19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s="3" customFormat="1" ht="18" customHeight="1">
      <c r="A27" s="207">
        <v>18</v>
      </c>
      <c r="B27" s="97" t="s">
        <v>177</v>
      </c>
      <c r="C27" s="14"/>
      <c r="D27" s="14"/>
      <c r="E27" s="15"/>
      <c r="F27" s="15"/>
      <c r="G27" s="15"/>
      <c r="H27" s="15"/>
      <c r="I27" s="98"/>
      <c r="J27" s="98"/>
      <c r="K27" s="16">
        <f>SUM(K6:K24)</f>
        <v>1441610</v>
      </c>
      <c r="L27" s="185" t="s">
        <v>248</v>
      </c>
      <c r="M27" s="90"/>
      <c r="N27" s="90"/>
      <c r="O27" s="90"/>
      <c r="P27" s="90"/>
      <c r="Q27" s="19"/>
      <c r="R27" s="19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s="3" customFormat="1" ht="18" customHeight="1">
      <c r="A28" s="207">
        <v>19</v>
      </c>
      <c r="B28" s="235" t="s">
        <v>237</v>
      </c>
      <c r="C28" s="214" t="str">
        <f>COVER!B28</f>
        <v>REQUIRED</v>
      </c>
      <c r="D28" s="214">
        <v>0</v>
      </c>
      <c r="E28" s="215"/>
      <c r="F28" s="239"/>
      <c r="G28" s="215"/>
      <c r="H28" s="233">
        <f>IF(C28="REQUIRED",L28,IF(C28="N/A",0))</f>
        <v>0</v>
      </c>
      <c r="I28" s="233">
        <f>H28</f>
        <v>0</v>
      </c>
      <c r="J28" s="215"/>
      <c r="K28" s="234"/>
      <c r="L28" s="163"/>
      <c r="M28" s="90"/>
      <c r="N28" s="90"/>
      <c r="O28" s="90"/>
      <c r="P28" s="90"/>
      <c r="Q28" s="19"/>
      <c r="R28" s="19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s="3" customFormat="1" ht="18" customHeight="1">
      <c r="A29" s="207">
        <v>20</v>
      </c>
      <c r="B29" s="235" t="s">
        <v>180</v>
      </c>
      <c r="C29" s="214"/>
      <c r="D29" s="214">
        <v>0</v>
      </c>
      <c r="E29" s="215"/>
      <c r="F29" s="239"/>
      <c r="G29" s="215"/>
      <c r="H29" s="215"/>
      <c r="I29" s="215"/>
      <c r="J29" s="215"/>
      <c r="K29" s="234"/>
      <c r="L29" s="185"/>
      <c r="M29" s="90"/>
      <c r="N29" s="90"/>
      <c r="O29" s="90"/>
      <c r="P29" s="90"/>
      <c r="Q29" s="19"/>
      <c r="R29" s="19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s="3" customFormat="1" ht="18" customHeight="1">
      <c r="A30" s="207">
        <v>21</v>
      </c>
      <c r="B30" s="235" t="s">
        <v>178</v>
      </c>
      <c r="C30" s="214" t="str">
        <f>COVER!B35</f>
        <v>MOTOR</v>
      </c>
      <c r="D30" s="214">
        <v>1</v>
      </c>
      <c r="E30" s="215"/>
      <c r="F30" s="239"/>
      <c r="G30" s="215"/>
      <c r="H30" s="233">
        <f>IF(COVER!B9="APPLICATION",0,IF(COVER!B35="BARE",M30,(IF(COVER!B35="LEVER",M30,IF(COVER!B35="GEAR",N30,IF(COVER!B35="MOTOR",O30))))))</f>
        <v>130000</v>
      </c>
      <c r="I30" s="234">
        <f>H30</f>
        <v>130000</v>
      </c>
      <c r="J30" s="215"/>
      <c r="K30" s="234"/>
      <c r="L30" s="163">
        <v>103000</v>
      </c>
      <c r="M30" s="163">
        <v>58000</v>
      </c>
      <c r="N30" s="163">
        <v>58000</v>
      </c>
      <c r="O30" s="163">
        <v>130000</v>
      </c>
      <c r="P30" s="90"/>
      <c r="Q30" s="19"/>
      <c r="R30" s="19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s="3" customFormat="1" ht="18" customHeight="1">
      <c r="A31" s="207">
        <v>22</v>
      </c>
      <c r="B31" s="235"/>
      <c r="C31" s="214"/>
      <c r="D31" s="214"/>
      <c r="E31" s="215"/>
      <c r="F31" s="239"/>
      <c r="G31" s="215"/>
      <c r="H31" s="215"/>
      <c r="I31" s="215"/>
      <c r="J31" s="215"/>
      <c r="K31" s="234"/>
      <c r="L31" s="185"/>
      <c r="M31" s="90"/>
      <c r="N31" s="90"/>
      <c r="O31" s="90"/>
      <c r="P31" s="90"/>
      <c r="Q31" s="19"/>
      <c r="R31" s="19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s="3" customFormat="1" ht="18" customHeight="1">
      <c r="A32" s="207">
        <v>23</v>
      </c>
      <c r="B32" s="89" t="s">
        <v>179</v>
      </c>
      <c r="C32" s="14"/>
      <c r="D32" s="99"/>
      <c r="E32" s="15"/>
      <c r="F32" s="15"/>
      <c r="G32" s="15"/>
      <c r="H32" s="15"/>
      <c r="I32" s="100"/>
      <c r="J32" s="101"/>
      <c r="K32" s="100">
        <f>SUM(K28:K31)</f>
        <v>0</v>
      </c>
      <c r="L32" s="185" t="s">
        <v>249</v>
      </c>
      <c r="M32" s="90"/>
      <c r="N32" s="90"/>
      <c r="O32" s="90"/>
      <c r="P32" s="90"/>
      <c r="Q32" s="19"/>
      <c r="R32" s="19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s="3" customFormat="1" ht="18" customHeight="1">
      <c r="A33" s="186">
        <v>24</v>
      </c>
      <c r="B33" s="216" t="s">
        <v>252</v>
      </c>
      <c r="C33" s="217"/>
      <c r="D33" s="218"/>
      <c r="E33" s="219"/>
      <c r="F33" s="219"/>
      <c r="G33" s="219"/>
      <c r="H33" s="219"/>
      <c r="I33" s="220"/>
      <c r="J33" s="221"/>
      <c r="K33" s="220">
        <f>K25+K32</f>
        <v>1136610</v>
      </c>
      <c r="L33" s="185" t="s">
        <v>257</v>
      </c>
      <c r="M33" s="90"/>
      <c r="N33" s="90"/>
      <c r="O33" s="90"/>
      <c r="P33" s="90"/>
      <c r="Q33" s="19"/>
      <c r="R33" s="19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s="3" customFormat="1" ht="18" customHeight="1">
      <c r="A34" s="186">
        <v>24</v>
      </c>
      <c r="B34" s="216" t="s">
        <v>255</v>
      </c>
      <c r="C34" s="217"/>
      <c r="D34" s="218"/>
      <c r="E34" s="219"/>
      <c r="F34" s="219"/>
      <c r="G34" s="219"/>
      <c r="H34" s="219"/>
      <c r="I34" s="220"/>
      <c r="J34" s="221"/>
      <c r="K34" s="220">
        <f>K26+K32</f>
        <v>1136610</v>
      </c>
      <c r="L34" s="185" t="s">
        <v>257</v>
      </c>
      <c r="M34" s="90"/>
      <c r="N34" s="90"/>
      <c r="O34" s="90"/>
      <c r="P34" s="90"/>
      <c r="Q34" s="19"/>
      <c r="R34" s="19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s="3" customFormat="1" ht="18" customHeight="1">
      <c r="A35" s="186">
        <v>24</v>
      </c>
      <c r="B35" s="216" t="s">
        <v>256</v>
      </c>
      <c r="C35" s="217"/>
      <c r="D35" s="218"/>
      <c r="E35" s="219"/>
      <c r="F35" s="219"/>
      <c r="G35" s="219"/>
      <c r="H35" s="219"/>
      <c r="I35" s="220"/>
      <c r="J35" s="221"/>
      <c r="K35" s="220">
        <f>K27+K32</f>
        <v>1441610</v>
      </c>
      <c r="L35" s="185" t="s">
        <v>257</v>
      </c>
      <c r="M35" s="90"/>
      <c r="N35" s="90"/>
      <c r="O35" s="90"/>
      <c r="P35" s="90"/>
      <c r="Q35" s="19"/>
      <c r="R35" s="19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s="4" customFormat="1" ht="18" customHeight="1">
      <c r="A36" s="186">
        <v>25</v>
      </c>
      <c r="B36" s="102" t="s">
        <v>407</v>
      </c>
      <c r="C36" s="103"/>
      <c r="D36" s="103"/>
      <c r="E36" s="104"/>
      <c r="F36" s="105"/>
      <c r="G36" s="105"/>
      <c r="H36" s="106"/>
      <c r="I36" s="223" t="s">
        <v>41</v>
      </c>
      <c r="J36" s="223">
        <v>0.7</v>
      </c>
      <c r="K36" s="107">
        <f>(K25+K32)/J36</f>
        <v>1623728.5714285716</v>
      </c>
      <c r="L36" s="185" t="s">
        <v>250</v>
      </c>
      <c r="M36" s="90"/>
      <c r="N36" s="90"/>
      <c r="O36" s="90"/>
      <c r="P36" s="90"/>
      <c r="Q36" s="19"/>
      <c r="R36" s="19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s="4" customFormat="1" ht="18" customHeight="1">
      <c r="A37" s="186">
        <v>25</v>
      </c>
      <c r="B37" s="102" t="s">
        <v>408</v>
      </c>
      <c r="C37" s="103"/>
      <c r="D37" s="103"/>
      <c r="E37" s="104"/>
      <c r="F37" s="105"/>
      <c r="G37" s="105"/>
      <c r="H37" s="106"/>
      <c r="I37" s="223" t="s">
        <v>41</v>
      </c>
      <c r="J37" s="223">
        <v>0.7</v>
      </c>
      <c r="K37" s="107">
        <f>(K26+K32)/J37</f>
        <v>1623728.5714285716</v>
      </c>
      <c r="L37" s="185" t="s">
        <v>250</v>
      </c>
      <c r="M37" s="90"/>
      <c r="N37" s="90"/>
      <c r="O37" s="90"/>
      <c r="P37" s="90"/>
      <c r="Q37" s="19"/>
      <c r="R37" s="19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s="4" customFormat="1" ht="18" customHeight="1">
      <c r="A38" s="186">
        <v>25</v>
      </c>
      <c r="B38" s="102" t="s">
        <v>409</v>
      </c>
      <c r="C38" s="103"/>
      <c r="D38" s="103"/>
      <c r="E38" s="104"/>
      <c r="F38" s="105"/>
      <c r="G38" s="105"/>
      <c r="H38" s="106"/>
      <c r="I38" s="223" t="s">
        <v>41</v>
      </c>
      <c r="J38" s="223">
        <v>0.7</v>
      </c>
      <c r="K38" s="107">
        <f>(K27+K32)/J38</f>
        <v>2059442.8571428573</v>
      </c>
      <c r="L38" s="185" t="s">
        <v>250</v>
      </c>
      <c r="M38" s="90"/>
      <c r="N38" s="90"/>
      <c r="O38" s="90"/>
      <c r="P38" s="90"/>
      <c r="Q38" s="19"/>
      <c r="R38" s="19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s="4" customFormat="1" ht="18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57"/>
      <c r="M39" s="108"/>
      <c r="N39" s="108"/>
      <c r="O39" s="108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s="4" customFormat="1" ht="18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57"/>
      <c r="M40" s="108"/>
      <c r="N40" s="108"/>
      <c r="O40" s="108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s="4" customFormat="1" ht="18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57"/>
      <c r="M41" s="108"/>
      <c r="N41" s="108"/>
      <c r="O41" s="108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s="4" customFormat="1" ht="18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57"/>
      <c r="M42" s="108"/>
      <c r="N42" s="108"/>
      <c r="O42" s="108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s="4" customFormat="1" ht="18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57"/>
      <c r="M43" s="108"/>
      <c r="N43" s="108"/>
      <c r="O43" s="108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s="4" customFormat="1" ht="18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57"/>
      <c r="M44" s="108"/>
      <c r="N44" s="108"/>
      <c r="O44" s="108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s="4" customFormat="1" ht="18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57"/>
      <c r="M45" s="108"/>
      <c r="N45" s="108"/>
      <c r="O45" s="108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s="4" customFormat="1" ht="18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57"/>
      <c r="M46" s="108"/>
      <c r="N46" s="108"/>
      <c r="O46" s="108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s="4" customFormat="1" ht="12.75">
      <c r="A47" s="10"/>
      <c r="B47" s="10"/>
      <c r="C47" s="10"/>
      <c r="D47" s="109"/>
      <c r="E47" s="10"/>
      <c r="F47" s="10"/>
      <c r="G47" s="10"/>
      <c r="H47" s="10"/>
      <c r="I47" s="10"/>
      <c r="J47" s="10"/>
      <c r="K47" s="10"/>
      <c r="L47" s="108"/>
      <c r="M47" s="108"/>
      <c r="N47" s="108"/>
      <c r="O47" s="108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s="4" customFormat="1" ht="12.7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57"/>
      <c r="M48" s="108"/>
      <c r="N48" s="108"/>
      <c r="O48" s="108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s="4" customFormat="1" ht="12.7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57"/>
      <c r="M49" s="108"/>
      <c r="N49" s="108"/>
      <c r="O49" s="108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s="5" customForma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57"/>
      <c r="M50" s="87"/>
      <c r="N50" s="87"/>
      <c r="O50" s="8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s="5" customForma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57"/>
      <c r="M51" s="87"/>
      <c r="N51" s="87"/>
      <c r="O51" s="87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s="5" customForma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57"/>
      <c r="M52" s="87"/>
      <c r="N52" s="87"/>
      <c r="O52" s="87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</sheetData>
  <mergeCells count="4">
    <mergeCell ref="A1:K1"/>
    <mergeCell ref="D3:E3"/>
    <mergeCell ref="F3:H3"/>
    <mergeCell ref="L4:P4"/>
  </mergeCells>
  <phoneticPr fontId="7" type="noConversion"/>
  <pageMargins left="0.75" right="0.75" top="1" bottom="1" header="0.5" footer="0.5"/>
  <pageSetup paperSize="9" scale="62" orientation="portrait" r:id="rId1"/>
  <headerFooter alignWithMargins="0"/>
  <ignoredErrors>
    <ignoredError sqref="I10 K13" formula="1"/>
  </ignoredError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E52"/>
  <sheetViews>
    <sheetView view="pageBreakPreview" zoomScale="90" zoomScaleNormal="100" zoomScaleSheetLayoutView="90" workbookViewId="0">
      <selection activeCell="M23" sqref="M23"/>
    </sheetView>
  </sheetViews>
  <sheetFormatPr defaultColWidth="8.88671875" defaultRowHeight="13.5"/>
  <cols>
    <col min="1" max="1" width="5.26171875" style="10" customWidth="1"/>
    <col min="2" max="2" width="20.23046875" style="10" bestFit="1" customWidth="1"/>
    <col min="3" max="3" width="14.3828125" style="10" bestFit="1" customWidth="1"/>
    <col min="4" max="4" width="3.7421875" style="10" customWidth="1"/>
    <col min="5" max="5" width="8.30078125" style="10" customWidth="1"/>
    <col min="6" max="6" width="6.1953125" style="10" customWidth="1"/>
    <col min="7" max="7" width="5.73046875" style="10" customWidth="1"/>
    <col min="8" max="8" width="8.30078125" style="10" bestFit="1" customWidth="1"/>
    <col min="9" max="9" width="10.9921875" style="10" customWidth="1"/>
    <col min="10" max="10" width="12.74609375" style="10" bestFit="1" customWidth="1"/>
    <col min="11" max="11" width="18.125" style="10" bestFit="1" customWidth="1"/>
    <col min="12" max="12" width="14.265625" style="157" bestFit="1" customWidth="1"/>
    <col min="13" max="13" width="13.796875" style="87" customWidth="1"/>
    <col min="14" max="14" width="12.16015625" style="87" bestFit="1" customWidth="1"/>
    <col min="15" max="15" width="9.703125" style="87" customWidth="1"/>
    <col min="16" max="16" width="12.16015625" style="8" bestFit="1" customWidth="1"/>
    <col min="17" max="18" width="15.43359375" style="8" bestFit="1" customWidth="1"/>
    <col min="19" max="19" width="8.88671875" style="8"/>
    <col min="20" max="20" width="17.07421875" style="8" bestFit="1" customWidth="1"/>
    <col min="21" max="31" width="8.88671875" style="8"/>
    <col min="32" max="16384" width="8.88671875" style="2"/>
  </cols>
  <sheetData>
    <row r="1" spans="1:31" ht="24" thickTop="1" thickBot="1">
      <c r="A1" s="336" t="s">
        <v>190</v>
      </c>
      <c r="B1" s="337"/>
      <c r="C1" s="337"/>
      <c r="D1" s="337"/>
      <c r="E1" s="337"/>
      <c r="F1" s="337"/>
      <c r="G1" s="337"/>
      <c r="H1" s="337"/>
      <c r="I1" s="337"/>
      <c r="J1" s="337"/>
      <c r="K1" s="338"/>
      <c r="M1" s="7"/>
    </row>
    <row r="2" spans="1:31" ht="14.45" customHeight="1" thickTop="1" thickBot="1">
      <c r="A2" s="158"/>
      <c r="B2" s="158"/>
      <c r="C2" s="115"/>
      <c r="E2" s="115"/>
      <c r="F2" s="115"/>
      <c r="G2" s="115"/>
    </row>
    <row r="3" spans="1:31" ht="15" thickTop="1" thickBot="1">
      <c r="A3" s="184" t="s">
        <v>191</v>
      </c>
      <c r="B3" s="183" t="s">
        <v>298</v>
      </c>
      <c r="C3" s="184" t="s">
        <v>192</v>
      </c>
      <c r="D3" s="339" t="s">
        <v>193</v>
      </c>
      <c r="E3" s="340"/>
      <c r="F3" s="341" t="s">
        <v>194</v>
      </c>
      <c r="G3" s="339"/>
      <c r="H3" s="339"/>
      <c r="I3" s="183" t="s">
        <v>195</v>
      </c>
      <c r="J3" s="184" t="s">
        <v>197</v>
      </c>
      <c r="K3" s="183" t="s">
        <v>312</v>
      </c>
    </row>
    <row r="4" spans="1:31" ht="19.149999999999999" customHeight="1" thickTop="1" thickBot="1">
      <c r="J4" s="197" t="s">
        <v>332</v>
      </c>
      <c r="K4" s="189">
        <v>750</v>
      </c>
      <c r="L4" s="342" t="s">
        <v>207</v>
      </c>
      <c r="M4" s="343"/>
      <c r="N4" s="343"/>
      <c r="O4" s="343"/>
      <c r="P4" s="343"/>
    </row>
    <row r="5" spans="1:31" s="3" customFormat="1" ht="25.15" customHeight="1" thickTop="1">
      <c r="A5" s="9" t="s">
        <v>1</v>
      </c>
      <c r="B5" s="9" t="s">
        <v>164</v>
      </c>
      <c r="C5" s="88" t="s">
        <v>165</v>
      </c>
      <c r="D5" s="89" t="s">
        <v>166</v>
      </c>
      <c r="E5" s="9" t="s">
        <v>167</v>
      </c>
      <c r="F5" s="9" t="s">
        <v>168</v>
      </c>
      <c r="G5" s="9" t="s">
        <v>169</v>
      </c>
      <c r="H5" s="9" t="s">
        <v>170</v>
      </c>
      <c r="I5" s="123" t="s">
        <v>171</v>
      </c>
      <c r="J5" s="195" t="s">
        <v>172</v>
      </c>
      <c r="K5" s="196" t="s">
        <v>173</v>
      </c>
      <c r="L5" s="90" t="s">
        <v>198</v>
      </c>
      <c r="M5" s="121" t="s">
        <v>199</v>
      </c>
      <c r="N5" s="90" t="s">
        <v>38</v>
      </c>
      <c r="O5" s="90" t="s">
        <v>200</v>
      </c>
      <c r="P5" s="90" t="s">
        <v>201</v>
      </c>
      <c r="Q5" s="90" t="s">
        <v>265</v>
      </c>
      <c r="R5" s="90" t="s">
        <v>266</v>
      </c>
      <c r="S5" s="10"/>
      <c r="T5" s="191" t="s">
        <v>331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s="3" customFormat="1" ht="18" customHeight="1">
      <c r="A6" s="186">
        <v>1</v>
      </c>
      <c r="B6" s="224" t="s">
        <v>181</v>
      </c>
      <c r="C6" s="225">
        <f>COVER!B13</f>
        <v>0</v>
      </c>
      <c r="D6" s="226">
        <v>1</v>
      </c>
      <c r="E6" s="215"/>
      <c r="F6" s="227">
        <v>120</v>
      </c>
      <c r="G6" s="227"/>
      <c r="H6" s="228">
        <f>COVER!C13</f>
        <v>0</v>
      </c>
      <c r="I6" s="229">
        <f>D6*F6*H6</f>
        <v>0</v>
      </c>
      <c r="J6" s="230"/>
      <c r="K6" s="231">
        <f t="shared" ref="K6:K12" si="0">I6+J6</f>
        <v>0</v>
      </c>
      <c r="L6" s="209">
        <v>103730</v>
      </c>
      <c r="M6" s="209">
        <v>122590</v>
      </c>
      <c r="N6" s="163"/>
      <c r="O6" s="90"/>
      <c r="P6" s="90"/>
      <c r="Q6" s="19"/>
      <c r="R6" s="19"/>
      <c r="S6" s="10"/>
      <c r="T6" s="10">
        <v>120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s="3" customFormat="1" ht="18" customHeight="1">
      <c r="A7" s="186">
        <v>1</v>
      </c>
      <c r="B7" s="224" t="s">
        <v>182</v>
      </c>
      <c r="C7" s="225" t="str">
        <f>COVER!B14</f>
        <v>A536 Gr65-45-12</v>
      </c>
      <c r="D7" s="226">
        <v>1</v>
      </c>
      <c r="E7" s="215"/>
      <c r="F7" s="227">
        <v>186</v>
      </c>
      <c r="G7" s="227"/>
      <c r="H7" s="228">
        <f>COVER!C14</f>
        <v>3500</v>
      </c>
      <c r="I7" s="229">
        <f>D7*F7*H7</f>
        <v>651000</v>
      </c>
      <c r="J7" s="230"/>
      <c r="K7" s="231">
        <f t="shared" si="0"/>
        <v>651000</v>
      </c>
      <c r="L7" s="209">
        <v>166980</v>
      </c>
      <c r="M7" s="163">
        <f>177570</f>
        <v>177570</v>
      </c>
      <c r="N7" s="185"/>
      <c r="O7" s="90"/>
      <c r="P7" s="90"/>
      <c r="Q7" s="19"/>
      <c r="R7" s="19"/>
      <c r="S7" s="10"/>
      <c r="T7" s="10">
        <v>161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s="3" customFormat="1" ht="18" customHeight="1">
      <c r="A8" s="186">
        <v>1</v>
      </c>
      <c r="B8" s="224" t="s">
        <v>183</v>
      </c>
      <c r="C8" s="225">
        <f>COVER!B15</f>
        <v>0</v>
      </c>
      <c r="D8" s="226">
        <v>1</v>
      </c>
      <c r="E8" s="215"/>
      <c r="F8" s="227">
        <v>214</v>
      </c>
      <c r="G8" s="227"/>
      <c r="H8" s="228">
        <f>COVER!C15</f>
        <v>0</v>
      </c>
      <c r="I8" s="229">
        <f>D8*F8*H8</f>
        <v>0</v>
      </c>
      <c r="J8" s="230"/>
      <c r="K8" s="231">
        <f t="shared" si="0"/>
        <v>0</v>
      </c>
      <c r="L8" s="209">
        <v>166980</v>
      </c>
      <c r="M8" s="163">
        <v>210000</v>
      </c>
      <c r="N8" s="185"/>
      <c r="O8" s="90"/>
      <c r="P8" s="90"/>
      <c r="Q8" s="19"/>
      <c r="R8" s="19"/>
      <c r="S8" s="10"/>
      <c r="T8" s="10">
        <v>210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s="3" customFormat="1" ht="18" customHeight="1">
      <c r="A9" s="186">
        <v>2</v>
      </c>
      <c r="B9" s="232" t="s">
        <v>2</v>
      </c>
      <c r="C9" s="225" t="str">
        <f>COVER!B16</f>
        <v>A351 CF8M</v>
      </c>
      <c r="D9" s="226">
        <v>1</v>
      </c>
      <c r="E9" s="215"/>
      <c r="F9" s="227">
        <f>IF(COVER!B34="10 BAR",Q9,IF(COVER!B34="16 BAR",R9,IF(COVER!B34="20 BAR",R9)))</f>
        <v>46</v>
      </c>
      <c r="G9" s="227"/>
      <c r="H9" s="228">
        <f>COVER!C16</f>
        <v>12000</v>
      </c>
      <c r="I9" s="233">
        <f>D9*F9*H9</f>
        <v>552000</v>
      </c>
      <c r="J9" s="230"/>
      <c r="K9" s="234">
        <f t="shared" si="0"/>
        <v>552000</v>
      </c>
      <c r="L9" s="163">
        <v>47400</v>
      </c>
      <c r="M9" s="209">
        <f>P9*0.75</f>
        <v>59587.5</v>
      </c>
      <c r="N9" s="209">
        <v>59587.5</v>
      </c>
      <c r="O9" s="209">
        <f>P9*0.85</f>
        <v>67532.5</v>
      </c>
      <c r="P9" s="163">
        <v>79450</v>
      </c>
      <c r="Q9" s="19">
        <v>46</v>
      </c>
      <c r="R9" s="19">
        <v>55</v>
      </c>
      <c r="S9" s="10"/>
      <c r="T9" s="10">
        <v>50</v>
      </c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 s="3" customFormat="1" ht="18" customHeight="1">
      <c r="A10" s="207">
        <v>3</v>
      </c>
      <c r="B10" s="235" t="s">
        <v>3</v>
      </c>
      <c r="C10" s="236" t="str">
        <f>COVER!B18</f>
        <v>EPDM</v>
      </c>
      <c r="D10" s="214">
        <v>1</v>
      </c>
      <c r="E10" s="215"/>
      <c r="F10" s="227">
        <v>1</v>
      </c>
      <c r="G10" s="227"/>
      <c r="H10" s="228">
        <f>IF(C10="NBR",L10,IF(C10="EPDM",L10,IF(C10="VITON",M10)))</f>
        <v>77045</v>
      </c>
      <c r="I10" s="233">
        <f>H10*F10*D10</f>
        <v>77045</v>
      </c>
      <c r="J10" s="230"/>
      <c r="K10" s="234">
        <f t="shared" si="0"/>
        <v>77045</v>
      </c>
      <c r="L10" s="163">
        <v>77045</v>
      </c>
      <c r="M10" s="163">
        <v>810000</v>
      </c>
      <c r="N10" s="163">
        <v>465500</v>
      </c>
      <c r="O10" s="163"/>
      <c r="P10" s="163">
        <v>137800</v>
      </c>
      <c r="Q10" s="19"/>
      <c r="R10" s="1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s="3" customFormat="1" ht="18" customHeight="1">
      <c r="A11" s="207">
        <v>4</v>
      </c>
      <c r="B11" s="235" t="s">
        <v>333</v>
      </c>
      <c r="C11" s="214" t="str">
        <f>COVER!B17</f>
        <v>A564T630</v>
      </c>
      <c r="D11" s="214">
        <v>1</v>
      </c>
      <c r="E11" s="215"/>
      <c r="F11" s="243">
        <v>14</v>
      </c>
      <c r="G11" s="238"/>
      <c r="H11" s="228">
        <f>COVER!C17</f>
        <v>10000</v>
      </c>
      <c r="I11" s="233">
        <f>D11*F11*H11</f>
        <v>140000</v>
      </c>
      <c r="J11" s="233"/>
      <c r="K11" s="234">
        <f t="shared" si="0"/>
        <v>140000</v>
      </c>
      <c r="L11" s="163" t="s">
        <v>335</v>
      </c>
      <c r="M11" s="163">
        <v>12000</v>
      </c>
      <c r="N11" s="163">
        <v>20000</v>
      </c>
      <c r="O11" s="163">
        <f>ROUNDUP(P11/1.3,-2)</f>
        <v>53900</v>
      </c>
      <c r="P11" s="163">
        <v>70000</v>
      </c>
      <c r="Q11" s="18">
        <v>12.43</v>
      </c>
      <c r="R11" s="18"/>
      <c r="S11" s="108"/>
      <c r="T11" s="10">
        <v>13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s="3" customFormat="1" ht="18" customHeight="1">
      <c r="A12" s="207">
        <v>5</v>
      </c>
      <c r="B12" s="235" t="s">
        <v>348</v>
      </c>
      <c r="C12" s="214" t="s">
        <v>211</v>
      </c>
      <c r="D12" s="214">
        <v>1</v>
      </c>
      <c r="E12" s="215"/>
      <c r="F12" s="237">
        <v>1</v>
      </c>
      <c r="G12" s="227"/>
      <c r="H12" s="230">
        <f>L12</f>
        <v>16000</v>
      </c>
      <c r="I12" s="233">
        <f>D12*F12*H12</f>
        <v>16000</v>
      </c>
      <c r="J12" s="233"/>
      <c r="K12" s="234">
        <f t="shared" si="0"/>
        <v>16000</v>
      </c>
      <c r="L12" s="163">
        <v>16000</v>
      </c>
      <c r="M12" s="163"/>
      <c r="N12" s="163"/>
      <c r="O12" s="90"/>
      <c r="P12" s="90"/>
      <c r="Q12" s="19"/>
      <c r="R12" s="19"/>
      <c r="S12" s="10"/>
      <c r="T12" s="10"/>
      <c r="U12" s="10"/>
      <c r="V12" s="10">
        <f>M9/L9</f>
        <v>1.2571202531645569</v>
      </c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s="3" customFormat="1" ht="18" customHeight="1">
      <c r="A13" s="207">
        <v>6</v>
      </c>
      <c r="B13" s="235" t="s">
        <v>163</v>
      </c>
      <c r="C13" s="214" t="str">
        <f>COVER!B21</f>
        <v>SSPC</v>
      </c>
      <c r="D13" s="214">
        <v>2</v>
      </c>
      <c r="E13" s="215"/>
      <c r="F13" s="237">
        <v>1</v>
      </c>
      <c r="G13" s="227"/>
      <c r="H13" s="228">
        <f>L13</f>
        <v>1400</v>
      </c>
      <c r="I13" s="233">
        <f>H13*F13*D13</f>
        <v>2800</v>
      </c>
      <c r="J13" s="233"/>
      <c r="K13" s="234">
        <f>J13+I13</f>
        <v>2800</v>
      </c>
      <c r="L13" s="198">
        <v>1400</v>
      </c>
      <c r="M13" s="198"/>
      <c r="N13" s="198"/>
      <c r="O13" s="198"/>
      <c r="P13" s="198"/>
      <c r="Q13" s="19"/>
      <c r="R13" s="19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s="3" customFormat="1" ht="18" customHeight="1">
      <c r="A14" s="207">
        <v>7</v>
      </c>
      <c r="B14" s="235" t="s">
        <v>350</v>
      </c>
      <c r="C14" s="214" t="s">
        <v>351</v>
      </c>
      <c r="D14" s="214">
        <v>2</v>
      </c>
      <c r="E14" s="215"/>
      <c r="F14" s="237">
        <v>1</v>
      </c>
      <c r="G14" s="227"/>
      <c r="H14" s="228">
        <v>800</v>
      </c>
      <c r="I14" s="233">
        <f>D14*F14*H14</f>
        <v>1600</v>
      </c>
      <c r="J14" s="233"/>
      <c r="K14" s="234">
        <f>I14+J14</f>
        <v>1600</v>
      </c>
      <c r="L14" s="163"/>
      <c r="M14" s="163"/>
      <c r="N14" s="163"/>
      <c r="O14" s="163"/>
      <c r="P14" s="163"/>
      <c r="Q14" s="201" t="s">
        <v>374</v>
      </c>
      <c r="R14" s="19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s="3" customFormat="1" ht="18" customHeight="1">
      <c r="A15" s="207">
        <v>8</v>
      </c>
      <c r="B15" s="235" t="s">
        <v>386</v>
      </c>
      <c r="C15" s="214" t="str">
        <f>COVER!B22</f>
        <v>BODY MATERIAL</v>
      </c>
      <c r="D15" s="214">
        <v>1</v>
      </c>
      <c r="E15" s="215"/>
      <c r="F15" s="237">
        <v>1.52</v>
      </c>
      <c r="G15" s="227"/>
      <c r="H15" s="228">
        <f>IF(C15="SS400",M15,IF(C15="BODY MATERIAL",N15))</f>
        <v>10640</v>
      </c>
      <c r="I15" s="233">
        <f>H15</f>
        <v>10640</v>
      </c>
      <c r="J15" s="233"/>
      <c r="K15" s="234">
        <f>I15+J15</f>
        <v>10640</v>
      </c>
      <c r="L15" s="163" t="s">
        <v>358</v>
      </c>
      <c r="M15" s="198">
        <v>4200</v>
      </c>
      <c r="N15" s="198">
        <f>IF(AND(C15="BODY MATERIAL"),IF((H6&gt;0),H6*F15*2,IF((H7&gt;0),H7*F15*2,IF((H8&gt;0),H8*F15*2))))</f>
        <v>10640</v>
      </c>
      <c r="O15" s="198"/>
      <c r="P15" s="198"/>
      <c r="Q15" s="201" t="s">
        <v>374</v>
      </c>
      <c r="R15" s="164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s="3" customFormat="1" ht="18" customHeight="1">
      <c r="A16" s="207">
        <v>9</v>
      </c>
      <c r="B16" s="235" t="s">
        <v>217</v>
      </c>
      <c r="C16" s="214" t="str">
        <f>COVER!B23</f>
        <v>B8M</v>
      </c>
      <c r="D16" s="214">
        <v>4</v>
      </c>
      <c r="E16" s="215"/>
      <c r="F16" s="237"/>
      <c r="G16" s="227"/>
      <c r="H16" s="228">
        <f>IF(C16="B8",M16,IF(C16="B8M",N16,IF(C16="B7(다크로)",O16)))</f>
        <v>400</v>
      </c>
      <c r="I16" s="233">
        <f>H16*D16</f>
        <v>1600</v>
      </c>
      <c r="J16" s="233"/>
      <c r="K16" s="234">
        <f>J16+I16</f>
        <v>1600</v>
      </c>
      <c r="L16" s="163" t="s">
        <v>387</v>
      </c>
      <c r="M16" s="198">
        <v>350</v>
      </c>
      <c r="N16" s="198">
        <v>400</v>
      </c>
      <c r="O16" s="198">
        <v>300</v>
      </c>
      <c r="P16" s="198"/>
      <c r="Q16" s="204" t="s">
        <v>385</v>
      </c>
      <c r="R16" s="19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s="3" customFormat="1" ht="18" customHeight="1">
      <c r="A17" s="207">
        <v>10</v>
      </c>
      <c r="B17" s="235" t="s">
        <v>221</v>
      </c>
      <c r="C17" s="214" t="str">
        <f>COVER!B24</f>
        <v>ALBC2</v>
      </c>
      <c r="D17" s="214">
        <v>1</v>
      </c>
      <c r="E17" s="215"/>
      <c r="F17" s="237">
        <v>1</v>
      </c>
      <c r="G17" s="227"/>
      <c r="H17" s="228">
        <f>L17</f>
        <v>4600</v>
      </c>
      <c r="I17" s="233">
        <f>H17*F17</f>
        <v>4600</v>
      </c>
      <c r="J17" s="233"/>
      <c r="K17" s="234">
        <f>J17+I17</f>
        <v>4600</v>
      </c>
      <c r="L17" s="198">
        <v>4600</v>
      </c>
      <c r="M17" s="199"/>
      <c r="N17" s="198"/>
      <c r="O17" s="198"/>
      <c r="P17" s="198"/>
      <c r="Q17" s="202"/>
      <c r="R17" s="19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s="3" customFormat="1" ht="18" customHeight="1">
      <c r="A18" s="207">
        <v>11</v>
      </c>
      <c r="B18" s="235" t="s">
        <v>187</v>
      </c>
      <c r="C18" s="214" t="s">
        <v>353</v>
      </c>
      <c r="D18" s="214">
        <v>1</v>
      </c>
      <c r="E18" s="215"/>
      <c r="F18" s="237">
        <v>0.68</v>
      </c>
      <c r="G18" s="227"/>
      <c r="H18" s="228">
        <f>M18</f>
        <v>2400</v>
      </c>
      <c r="I18" s="233">
        <f>H18*D18</f>
        <v>2400</v>
      </c>
      <c r="J18" s="233"/>
      <c r="K18" s="234">
        <f>J18+I18</f>
        <v>2400</v>
      </c>
      <c r="L18" s="163" t="s">
        <v>357</v>
      </c>
      <c r="M18" s="163">
        <v>2400</v>
      </c>
      <c r="N18" s="163"/>
      <c r="O18" s="163"/>
      <c r="P18" s="163"/>
      <c r="Q18" s="205"/>
      <c r="R18" s="165"/>
      <c r="S18" s="145" t="s">
        <v>246</v>
      </c>
      <c r="T18" s="145"/>
      <c r="U18" s="145" t="s">
        <v>247</v>
      </c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s="3" customFormat="1" ht="18" customHeight="1">
      <c r="A19" s="207">
        <v>12</v>
      </c>
      <c r="B19" s="235" t="s">
        <v>189</v>
      </c>
      <c r="C19" s="214" t="str">
        <f>COVER!B26</f>
        <v>B8M</v>
      </c>
      <c r="D19" s="214">
        <v>4</v>
      </c>
      <c r="E19" s="215"/>
      <c r="F19" s="237"/>
      <c r="G19" s="227"/>
      <c r="H19" s="230">
        <f>IF(C19="B8",M19,IF(C19="B8M",N19))</f>
        <v>400</v>
      </c>
      <c r="I19" s="233">
        <f>H19*D19</f>
        <v>1600</v>
      </c>
      <c r="J19" s="233"/>
      <c r="K19" s="234">
        <f>I19+J19</f>
        <v>1600</v>
      </c>
      <c r="L19" s="163" t="s">
        <v>380</v>
      </c>
      <c r="M19" s="163">
        <v>200</v>
      </c>
      <c r="N19" s="163">
        <v>400</v>
      </c>
      <c r="O19" s="163"/>
      <c r="P19" s="163"/>
      <c r="Q19" s="204" t="s">
        <v>381</v>
      </c>
      <c r="R19" s="19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s="3" customFormat="1" ht="18" customHeight="1">
      <c r="A20" s="207">
        <v>13</v>
      </c>
      <c r="B20" s="235" t="s">
        <v>188</v>
      </c>
      <c r="C20" s="214" t="str">
        <f>COVER!B27</f>
        <v>B8M</v>
      </c>
      <c r="D20" s="214">
        <v>4</v>
      </c>
      <c r="E20" s="215"/>
      <c r="F20" s="237"/>
      <c r="G20" s="227"/>
      <c r="H20" s="228">
        <f>IF(C20="B8",M20,IF(C20="B8M",N20,IF(C20="B7(다크로)",O20)))</f>
        <v>5000</v>
      </c>
      <c r="I20" s="233">
        <f>H20*D20</f>
        <v>20000</v>
      </c>
      <c r="J20" s="233"/>
      <c r="K20" s="234">
        <f t="shared" ref="K20:K22" si="1">I20+J20</f>
        <v>20000</v>
      </c>
      <c r="L20" s="163" t="s">
        <v>391</v>
      </c>
      <c r="M20" s="163">
        <v>4500</v>
      </c>
      <c r="N20" s="163">
        <v>5000</v>
      </c>
      <c r="O20" s="163">
        <v>2500</v>
      </c>
      <c r="P20" s="163"/>
      <c r="Q20" s="204" t="s">
        <v>385</v>
      </c>
      <c r="R20" s="19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s="3" customFormat="1" ht="18" customHeight="1">
      <c r="A21" s="207">
        <v>14</v>
      </c>
      <c r="B21" s="235" t="s">
        <v>349</v>
      </c>
      <c r="C21" s="214"/>
      <c r="D21" s="214">
        <v>4</v>
      </c>
      <c r="E21" s="215"/>
      <c r="F21" s="237"/>
      <c r="G21" s="227"/>
      <c r="H21" s="228">
        <v>550</v>
      </c>
      <c r="I21" s="233">
        <f>H21*D21</f>
        <v>2200</v>
      </c>
      <c r="J21" s="241"/>
      <c r="K21" s="234">
        <f>I21+J21</f>
        <v>2200</v>
      </c>
      <c r="L21" s="163" t="s">
        <v>401</v>
      </c>
      <c r="M21" s="163"/>
      <c r="N21" s="163"/>
      <c r="O21" s="163"/>
      <c r="P21" s="163"/>
      <c r="Q21" s="201" t="s">
        <v>374</v>
      </c>
      <c r="R21" s="19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s="3" customFormat="1" ht="18" customHeight="1">
      <c r="A22" s="207">
        <v>15</v>
      </c>
      <c r="B22" s="235" t="s">
        <v>6</v>
      </c>
      <c r="C22" s="214" t="str">
        <f>COVER!B34</f>
        <v>10 BAR</v>
      </c>
      <c r="D22" s="214">
        <v>1</v>
      </c>
      <c r="E22" s="215"/>
      <c r="F22" s="237"/>
      <c r="G22" s="242"/>
      <c r="H22" s="228"/>
      <c r="I22" s="233">
        <f>IF(C22="10 BAR",M22,IF(C22="16 BAR",N22,IF(C22="20 BAR",O22)))</f>
        <v>305000</v>
      </c>
      <c r="J22" s="241"/>
      <c r="K22" s="234">
        <f t="shared" si="1"/>
        <v>305000</v>
      </c>
      <c r="L22" s="163"/>
      <c r="M22" s="163">
        <v>305000</v>
      </c>
      <c r="N22" s="163">
        <v>355000</v>
      </c>
      <c r="O22" s="163">
        <v>589000</v>
      </c>
      <c r="P22" s="163"/>
      <c r="Q22" s="19"/>
      <c r="R22" s="19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s="3" customFormat="1" ht="18" customHeight="1">
      <c r="A23" s="207">
        <v>16</v>
      </c>
      <c r="B23" s="235" t="s">
        <v>7</v>
      </c>
      <c r="C23" s="214" t="str">
        <f>COVER!B32</f>
        <v>기존 단가</v>
      </c>
      <c r="D23" s="214">
        <v>1</v>
      </c>
      <c r="E23" s="215"/>
      <c r="F23" s="237"/>
      <c r="G23" s="242"/>
      <c r="H23" s="228">
        <f>IF(COVER!B9="APPLICATION",0,IF(COVER!B32="기존 단가",L23,IF(COVER!B32="외주 2COATING",M23,IF(COVER!B32="외주 3COATING",N23))))</f>
        <v>88000</v>
      </c>
      <c r="I23" s="233">
        <f>H23</f>
        <v>88000</v>
      </c>
      <c r="J23" s="233"/>
      <c r="K23" s="234"/>
      <c r="L23" s="163">
        <v>88000</v>
      </c>
      <c r="M23" s="163">
        <f>IF(H6&gt;0,F6*520,IF(H7&gt;0,F7*520,IF(H8&gt;0,F8*520)))</f>
        <v>96720</v>
      </c>
      <c r="N23" s="163">
        <f>IF(H6&gt;0,F6*620,IF(H7&gt;0,F7*620,IF(H8&gt;0,F8*620)))</f>
        <v>115320</v>
      </c>
      <c r="O23" s="90"/>
      <c r="P23" s="182"/>
      <c r="Q23" s="19"/>
      <c r="R23" s="19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s="3" customFormat="1" ht="18" customHeight="1">
      <c r="A24" s="207">
        <v>17</v>
      </c>
      <c r="B24" s="235" t="s">
        <v>174</v>
      </c>
      <c r="C24" s="214"/>
      <c r="D24" s="214">
        <v>1</v>
      </c>
      <c r="E24" s="215"/>
      <c r="F24" s="237"/>
      <c r="G24" s="242"/>
      <c r="H24" s="228">
        <f>IF(COVER!B9="APPLICATION",0,IF(COVER!B9="N/A",L24))</f>
        <v>88000</v>
      </c>
      <c r="I24" s="233">
        <f>H24</f>
        <v>88000</v>
      </c>
      <c r="J24" s="234"/>
      <c r="K24" s="234"/>
      <c r="L24" s="211">
        <v>88000</v>
      </c>
      <c r="M24" s="90"/>
      <c r="N24" s="90"/>
      <c r="O24" s="90"/>
      <c r="P24" s="90"/>
      <c r="Q24" s="19"/>
      <c r="R24" s="19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s="3" customFormat="1" ht="18" customHeight="1">
      <c r="A25" s="207">
        <v>18</v>
      </c>
      <c r="B25" s="97" t="s">
        <v>175</v>
      </c>
      <c r="C25" s="14"/>
      <c r="D25" s="14"/>
      <c r="E25" s="15"/>
      <c r="F25" s="15"/>
      <c r="G25" s="15"/>
      <c r="H25" s="15"/>
      <c r="I25" s="98"/>
      <c r="J25" s="98"/>
      <c r="K25" s="16">
        <f>SUM(K6:K21)+SUM(K23:K24)</f>
        <v>1483485</v>
      </c>
      <c r="L25" s="185" t="s">
        <v>248</v>
      </c>
      <c r="M25" s="90"/>
      <c r="N25" s="90"/>
      <c r="O25" s="90"/>
      <c r="P25" s="90"/>
      <c r="Q25" s="19"/>
      <c r="R25" s="19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s="3" customFormat="1" ht="18" customHeight="1">
      <c r="A26" s="207">
        <v>18</v>
      </c>
      <c r="B26" s="97" t="s">
        <v>176</v>
      </c>
      <c r="C26" s="14"/>
      <c r="D26" s="14"/>
      <c r="E26" s="15"/>
      <c r="F26" s="15"/>
      <c r="G26" s="15"/>
      <c r="H26" s="15"/>
      <c r="I26" s="98"/>
      <c r="J26" s="98"/>
      <c r="K26" s="16">
        <f>SUM(K6:K21)+SUM(K23:K24)</f>
        <v>1483485</v>
      </c>
      <c r="L26" s="185" t="s">
        <v>248</v>
      </c>
      <c r="M26" s="90"/>
      <c r="N26" s="90"/>
      <c r="O26" s="90"/>
      <c r="P26" s="90"/>
      <c r="Q26" s="19"/>
      <c r="R26" s="19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s="3" customFormat="1" ht="18" customHeight="1">
      <c r="A27" s="207">
        <v>18</v>
      </c>
      <c r="B27" s="97" t="s">
        <v>177</v>
      </c>
      <c r="C27" s="14"/>
      <c r="D27" s="14"/>
      <c r="E27" s="15"/>
      <c r="F27" s="15"/>
      <c r="G27" s="15"/>
      <c r="H27" s="15"/>
      <c r="I27" s="98"/>
      <c r="J27" s="98"/>
      <c r="K27" s="16">
        <f>SUM(K6:K24)</f>
        <v>1788485</v>
      </c>
      <c r="L27" s="185" t="s">
        <v>248</v>
      </c>
      <c r="M27" s="90"/>
      <c r="N27" s="90"/>
      <c r="O27" s="90"/>
      <c r="P27" s="90"/>
      <c r="Q27" s="19"/>
      <c r="R27" s="19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s="3" customFormat="1" ht="18" customHeight="1">
      <c r="A28" s="207">
        <v>19</v>
      </c>
      <c r="B28" s="235" t="s">
        <v>237</v>
      </c>
      <c r="C28" s="214" t="str">
        <f>COVER!B28</f>
        <v>REQUIRED</v>
      </c>
      <c r="D28" s="214">
        <v>0</v>
      </c>
      <c r="E28" s="215"/>
      <c r="F28" s="239"/>
      <c r="G28" s="215"/>
      <c r="H28" s="233">
        <f>IF(C28="REQUIRED",L28,IF(C28="N/A",0))</f>
        <v>0</v>
      </c>
      <c r="I28" s="233">
        <f>H28</f>
        <v>0</v>
      </c>
      <c r="J28" s="215"/>
      <c r="K28" s="234"/>
      <c r="L28" s="163"/>
      <c r="M28" s="90"/>
      <c r="N28" s="90"/>
      <c r="O28" s="90"/>
      <c r="P28" s="90"/>
      <c r="Q28" s="19"/>
      <c r="R28" s="19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s="3" customFormat="1" ht="18" customHeight="1">
      <c r="A29" s="207">
        <v>20</v>
      </c>
      <c r="B29" s="235" t="s">
        <v>180</v>
      </c>
      <c r="C29" s="214"/>
      <c r="D29" s="214">
        <v>0</v>
      </c>
      <c r="E29" s="215"/>
      <c r="F29" s="239"/>
      <c r="G29" s="215"/>
      <c r="H29" s="215"/>
      <c r="I29" s="215"/>
      <c r="J29" s="215"/>
      <c r="K29" s="234"/>
      <c r="L29" s="185"/>
      <c r="M29" s="90"/>
      <c r="N29" s="90"/>
      <c r="O29" s="90"/>
      <c r="P29" s="90"/>
      <c r="Q29" s="19"/>
      <c r="R29" s="19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s="3" customFormat="1" ht="18" customHeight="1">
      <c r="A30" s="207">
        <v>21</v>
      </c>
      <c r="B30" s="235" t="s">
        <v>178</v>
      </c>
      <c r="C30" s="214" t="str">
        <f>COVER!B35</f>
        <v>MOTOR</v>
      </c>
      <c r="D30" s="214">
        <v>1</v>
      </c>
      <c r="E30" s="215"/>
      <c r="F30" s="239"/>
      <c r="G30" s="215"/>
      <c r="H30" s="233">
        <f>IF(COVER!B9="APPLICATION",0,IF(COVER!B35="BARE",M30,(IF(COVER!B35="LEVER",M30,IF(COVER!B35="GEAR",N30,IF(COVER!B35="MOTOR",O30))))))</f>
        <v>140000</v>
      </c>
      <c r="I30" s="234">
        <f>H30</f>
        <v>140000</v>
      </c>
      <c r="J30" s="215"/>
      <c r="K30" s="234"/>
      <c r="L30" s="163">
        <v>150000</v>
      </c>
      <c r="M30" s="163">
        <v>75000</v>
      </c>
      <c r="N30" s="163">
        <v>75000</v>
      </c>
      <c r="O30" s="163">
        <v>140000</v>
      </c>
      <c r="P30" s="90"/>
      <c r="Q30" s="19"/>
      <c r="R30" s="19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s="3" customFormat="1" ht="18" customHeight="1">
      <c r="A31" s="207">
        <v>22</v>
      </c>
      <c r="B31" s="235"/>
      <c r="C31" s="214"/>
      <c r="D31" s="214"/>
      <c r="E31" s="215"/>
      <c r="F31" s="239"/>
      <c r="G31" s="215"/>
      <c r="H31" s="215"/>
      <c r="I31" s="215"/>
      <c r="J31" s="215"/>
      <c r="K31" s="234"/>
      <c r="L31" s="185"/>
      <c r="M31" s="90"/>
      <c r="N31" s="90"/>
      <c r="O31" s="90"/>
      <c r="P31" s="90"/>
      <c r="Q31" s="19"/>
      <c r="R31" s="19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s="3" customFormat="1" ht="18" customHeight="1">
      <c r="A32" s="207">
        <v>23</v>
      </c>
      <c r="B32" s="89" t="s">
        <v>179</v>
      </c>
      <c r="C32" s="14"/>
      <c r="D32" s="99"/>
      <c r="E32" s="15"/>
      <c r="F32" s="15"/>
      <c r="G32" s="15"/>
      <c r="H32" s="15"/>
      <c r="I32" s="100"/>
      <c r="J32" s="101"/>
      <c r="K32" s="100">
        <f>SUM(K28:K31)</f>
        <v>0</v>
      </c>
      <c r="L32" s="185" t="s">
        <v>249</v>
      </c>
      <c r="M32" s="90"/>
      <c r="N32" s="90"/>
      <c r="O32" s="90"/>
      <c r="P32" s="90"/>
      <c r="Q32" s="19"/>
      <c r="R32" s="19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s="3" customFormat="1" ht="18" customHeight="1">
      <c r="A33" s="186">
        <v>24</v>
      </c>
      <c r="B33" s="216" t="s">
        <v>252</v>
      </c>
      <c r="C33" s="217"/>
      <c r="D33" s="218"/>
      <c r="E33" s="219"/>
      <c r="F33" s="219"/>
      <c r="G33" s="219"/>
      <c r="H33" s="219"/>
      <c r="I33" s="220"/>
      <c r="J33" s="221"/>
      <c r="K33" s="220">
        <f>K25+K32</f>
        <v>1483485</v>
      </c>
      <c r="L33" s="185" t="s">
        <v>257</v>
      </c>
      <c r="M33" s="90"/>
      <c r="N33" s="90"/>
      <c r="O33" s="90"/>
      <c r="P33" s="90"/>
      <c r="Q33" s="19"/>
      <c r="R33" s="19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s="3" customFormat="1" ht="18" customHeight="1">
      <c r="A34" s="186">
        <v>24</v>
      </c>
      <c r="B34" s="216" t="s">
        <v>255</v>
      </c>
      <c r="C34" s="217"/>
      <c r="D34" s="218"/>
      <c r="E34" s="219"/>
      <c r="F34" s="219"/>
      <c r="G34" s="219"/>
      <c r="H34" s="219"/>
      <c r="I34" s="220"/>
      <c r="J34" s="221"/>
      <c r="K34" s="220">
        <f>K26+K32</f>
        <v>1483485</v>
      </c>
      <c r="L34" s="185" t="s">
        <v>257</v>
      </c>
      <c r="M34" s="90"/>
      <c r="N34" s="90"/>
      <c r="O34" s="90"/>
      <c r="P34" s="90"/>
      <c r="Q34" s="19"/>
      <c r="R34" s="19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s="3" customFormat="1" ht="18" customHeight="1">
      <c r="A35" s="186">
        <v>24</v>
      </c>
      <c r="B35" s="216" t="s">
        <v>256</v>
      </c>
      <c r="C35" s="217"/>
      <c r="D35" s="218"/>
      <c r="E35" s="219"/>
      <c r="F35" s="219"/>
      <c r="G35" s="219"/>
      <c r="H35" s="219"/>
      <c r="I35" s="220"/>
      <c r="J35" s="221"/>
      <c r="K35" s="220">
        <f>K27+K32</f>
        <v>1788485</v>
      </c>
      <c r="L35" s="185" t="s">
        <v>257</v>
      </c>
      <c r="M35" s="90"/>
      <c r="N35" s="90"/>
      <c r="O35" s="90"/>
      <c r="P35" s="90"/>
      <c r="Q35" s="19"/>
      <c r="R35" s="19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s="4" customFormat="1" ht="18" customHeight="1">
      <c r="A36" s="186">
        <v>25</v>
      </c>
      <c r="B36" s="102" t="s">
        <v>407</v>
      </c>
      <c r="C36" s="103"/>
      <c r="D36" s="103"/>
      <c r="E36" s="104"/>
      <c r="F36" s="105"/>
      <c r="G36" s="105"/>
      <c r="H36" s="106"/>
      <c r="I36" s="223" t="s">
        <v>41</v>
      </c>
      <c r="J36" s="223">
        <v>0.7</v>
      </c>
      <c r="K36" s="107">
        <f>(K25+K32)/J36</f>
        <v>2119264.2857142859</v>
      </c>
      <c r="L36" s="185" t="s">
        <v>250</v>
      </c>
      <c r="M36" s="90"/>
      <c r="N36" s="90"/>
      <c r="O36" s="90"/>
      <c r="P36" s="90"/>
      <c r="Q36" s="19"/>
      <c r="R36" s="19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s="4" customFormat="1" ht="18" customHeight="1">
      <c r="A37" s="186">
        <v>25</v>
      </c>
      <c r="B37" s="102" t="s">
        <v>408</v>
      </c>
      <c r="C37" s="103"/>
      <c r="D37" s="103"/>
      <c r="E37" s="104"/>
      <c r="F37" s="105"/>
      <c r="G37" s="105"/>
      <c r="H37" s="106"/>
      <c r="I37" s="223" t="s">
        <v>41</v>
      </c>
      <c r="J37" s="223">
        <v>0.7</v>
      </c>
      <c r="K37" s="107">
        <f>(K26+K32)/J37</f>
        <v>2119264.2857142859</v>
      </c>
      <c r="L37" s="185" t="s">
        <v>250</v>
      </c>
      <c r="M37" s="90"/>
      <c r="N37" s="90"/>
      <c r="O37" s="90"/>
      <c r="P37" s="90"/>
      <c r="Q37" s="19"/>
      <c r="R37" s="19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s="4" customFormat="1" ht="18" customHeight="1">
      <c r="A38" s="186">
        <v>25</v>
      </c>
      <c r="B38" s="102" t="s">
        <v>409</v>
      </c>
      <c r="C38" s="103"/>
      <c r="D38" s="103"/>
      <c r="E38" s="104"/>
      <c r="F38" s="105"/>
      <c r="G38" s="105"/>
      <c r="H38" s="106"/>
      <c r="I38" s="223" t="s">
        <v>41</v>
      </c>
      <c r="J38" s="223">
        <v>0.7</v>
      </c>
      <c r="K38" s="107">
        <f>(K27+K32)/J38</f>
        <v>2554978.5714285714</v>
      </c>
      <c r="L38" s="185" t="s">
        <v>250</v>
      </c>
      <c r="M38" s="90"/>
      <c r="N38" s="90"/>
      <c r="O38" s="90"/>
      <c r="P38" s="90"/>
      <c r="Q38" s="19"/>
      <c r="R38" s="19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s="4" customFormat="1" ht="18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57"/>
      <c r="M39" s="108"/>
      <c r="N39" s="108"/>
      <c r="O39" s="108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s="4" customFormat="1" ht="18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57"/>
      <c r="M40" s="108"/>
      <c r="N40" s="108"/>
      <c r="O40" s="108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s="4" customFormat="1" ht="18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57"/>
      <c r="M41" s="108"/>
      <c r="N41" s="108"/>
      <c r="O41" s="108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s="4" customFormat="1" ht="18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57"/>
      <c r="M42" s="108"/>
      <c r="N42" s="108"/>
      <c r="O42" s="108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s="4" customFormat="1" ht="18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57"/>
      <c r="M43" s="108"/>
      <c r="N43" s="108"/>
      <c r="O43" s="108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s="4" customFormat="1" ht="18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57"/>
      <c r="M44" s="108"/>
      <c r="N44" s="108"/>
      <c r="O44" s="108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s="4" customFormat="1" ht="18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57"/>
      <c r="M45" s="108"/>
      <c r="N45" s="108"/>
      <c r="O45" s="108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s="4" customFormat="1" ht="18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57"/>
      <c r="M46" s="108"/>
      <c r="N46" s="108"/>
      <c r="O46" s="108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s="4" customFormat="1" ht="12.75">
      <c r="A47" s="10"/>
      <c r="B47" s="10"/>
      <c r="C47" s="10"/>
      <c r="D47" s="109"/>
      <c r="E47" s="10"/>
      <c r="F47" s="10"/>
      <c r="G47" s="10"/>
      <c r="H47" s="10"/>
      <c r="I47" s="10"/>
      <c r="J47" s="10"/>
      <c r="K47" s="10"/>
      <c r="L47" s="108"/>
      <c r="M47" s="108"/>
      <c r="N47" s="108"/>
      <c r="O47" s="108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s="4" customFormat="1" ht="12.7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57"/>
      <c r="M48" s="108"/>
      <c r="N48" s="108"/>
      <c r="O48" s="108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s="4" customFormat="1" ht="12.7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57"/>
      <c r="M49" s="108"/>
      <c r="N49" s="108"/>
      <c r="O49" s="108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s="5" customForma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57"/>
      <c r="M50" s="87"/>
      <c r="N50" s="87"/>
      <c r="O50" s="8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s="5" customForma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57"/>
      <c r="M51" s="87"/>
      <c r="N51" s="87"/>
      <c r="O51" s="87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s="5" customForma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57"/>
      <c r="M52" s="87"/>
      <c r="N52" s="87"/>
      <c r="O52" s="87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</sheetData>
  <mergeCells count="4">
    <mergeCell ref="A1:K1"/>
    <mergeCell ref="D3:E3"/>
    <mergeCell ref="F3:H3"/>
    <mergeCell ref="L4:P4"/>
  </mergeCells>
  <phoneticPr fontId="7" type="noConversion"/>
  <pageMargins left="0.75" right="0.75" top="1" bottom="1" header="0.5" footer="0.5"/>
  <pageSetup paperSize="9" scale="62" orientation="portrait" r:id="rId1"/>
  <headerFooter alignWithMargins="0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AE52"/>
  <sheetViews>
    <sheetView view="pageBreakPreview" zoomScale="85" zoomScaleNormal="100" zoomScaleSheetLayoutView="85" workbookViewId="0">
      <selection activeCell="M23" sqref="M23"/>
    </sheetView>
  </sheetViews>
  <sheetFormatPr defaultColWidth="8.88671875" defaultRowHeight="13.5"/>
  <cols>
    <col min="1" max="1" width="5.26171875" style="10" customWidth="1"/>
    <col min="2" max="2" width="20.23046875" style="10" bestFit="1" customWidth="1"/>
    <col min="3" max="3" width="14.3828125" style="10" bestFit="1" customWidth="1"/>
    <col min="4" max="4" width="3.7421875" style="10" customWidth="1"/>
    <col min="5" max="5" width="8.30078125" style="10" customWidth="1"/>
    <col min="6" max="6" width="6.1953125" style="10" customWidth="1"/>
    <col min="7" max="7" width="5.73046875" style="10" customWidth="1"/>
    <col min="8" max="8" width="8.30078125" style="10" bestFit="1" customWidth="1"/>
    <col min="9" max="9" width="10.9921875" style="10" customWidth="1"/>
    <col min="10" max="10" width="12.74609375" style="10" bestFit="1" customWidth="1"/>
    <col min="11" max="11" width="18.125" style="10" bestFit="1" customWidth="1"/>
    <col min="12" max="12" width="17.7734375" style="157" bestFit="1" customWidth="1"/>
    <col min="13" max="13" width="13.796875" style="87" customWidth="1"/>
    <col min="14" max="14" width="12.16015625" style="87" bestFit="1" customWidth="1"/>
    <col min="15" max="15" width="9.703125" style="87" customWidth="1"/>
    <col min="16" max="16" width="12.16015625" style="8" bestFit="1" customWidth="1"/>
    <col min="17" max="18" width="15.43359375" style="8" bestFit="1" customWidth="1"/>
    <col min="19" max="19" width="8.88671875" style="8"/>
    <col min="20" max="20" width="17.07421875" style="8" bestFit="1" customWidth="1"/>
    <col min="21" max="31" width="8.88671875" style="8"/>
    <col min="32" max="16384" width="8.88671875" style="2"/>
  </cols>
  <sheetData>
    <row r="1" spans="1:31" ht="24" thickTop="1" thickBot="1">
      <c r="A1" s="336" t="s">
        <v>190</v>
      </c>
      <c r="B1" s="337"/>
      <c r="C1" s="337"/>
      <c r="D1" s="337"/>
      <c r="E1" s="337"/>
      <c r="F1" s="337"/>
      <c r="G1" s="337"/>
      <c r="H1" s="337"/>
      <c r="I1" s="337"/>
      <c r="J1" s="337"/>
      <c r="K1" s="338"/>
      <c r="M1" s="7"/>
    </row>
    <row r="2" spans="1:31" ht="14.45" customHeight="1" thickTop="1" thickBot="1">
      <c r="A2" s="158"/>
      <c r="B2" s="158"/>
      <c r="C2" s="115"/>
      <c r="E2" s="115"/>
      <c r="F2" s="115"/>
      <c r="G2" s="115"/>
      <c r="M2" s="87">
        <v>3351628</v>
      </c>
      <c r="N2" s="87">
        <f>M2/0.7</f>
        <v>4788040</v>
      </c>
    </row>
    <row r="3" spans="1:31" ht="15" thickTop="1" thickBot="1">
      <c r="A3" s="184" t="s">
        <v>191</v>
      </c>
      <c r="B3" s="183" t="s">
        <v>299</v>
      </c>
      <c r="C3" s="184" t="s">
        <v>192</v>
      </c>
      <c r="D3" s="339" t="s">
        <v>193</v>
      </c>
      <c r="E3" s="340"/>
      <c r="F3" s="341" t="s">
        <v>194</v>
      </c>
      <c r="G3" s="339"/>
      <c r="H3" s="339"/>
      <c r="I3" s="187" t="s">
        <v>310</v>
      </c>
      <c r="J3" s="184" t="s">
        <v>197</v>
      </c>
      <c r="K3" s="183" t="s">
        <v>312</v>
      </c>
    </row>
    <row r="4" spans="1:31" ht="19.149999999999999" customHeight="1" thickTop="1" thickBot="1">
      <c r="J4" s="197" t="s">
        <v>332</v>
      </c>
      <c r="K4" s="189">
        <v>815</v>
      </c>
      <c r="L4" s="342" t="s">
        <v>207</v>
      </c>
      <c r="M4" s="343"/>
      <c r="N4" s="343"/>
      <c r="O4" s="343"/>
      <c r="P4" s="343"/>
    </row>
    <row r="5" spans="1:31" s="3" customFormat="1" ht="25.15" customHeight="1" thickTop="1">
      <c r="A5" s="9" t="s">
        <v>1</v>
      </c>
      <c r="B5" s="9" t="s">
        <v>164</v>
      </c>
      <c r="C5" s="88" t="s">
        <v>165</v>
      </c>
      <c r="D5" s="89" t="s">
        <v>166</v>
      </c>
      <c r="E5" s="9" t="s">
        <v>167</v>
      </c>
      <c r="F5" s="9" t="s">
        <v>168</v>
      </c>
      <c r="G5" s="9" t="s">
        <v>169</v>
      </c>
      <c r="H5" s="9" t="s">
        <v>170</v>
      </c>
      <c r="I5" s="123" t="s">
        <v>171</v>
      </c>
      <c r="J5" s="195" t="s">
        <v>172</v>
      </c>
      <c r="K5" s="196" t="s">
        <v>173</v>
      </c>
      <c r="L5" s="90" t="s">
        <v>198</v>
      </c>
      <c r="M5" s="121" t="s">
        <v>199</v>
      </c>
      <c r="N5" s="90" t="s">
        <v>38</v>
      </c>
      <c r="O5" s="90" t="s">
        <v>200</v>
      </c>
      <c r="P5" s="90" t="s">
        <v>201</v>
      </c>
      <c r="Q5" s="90" t="s">
        <v>265</v>
      </c>
      <c r="R5" s="90" t="s">
        <v>266</v>
      </c>
      <c r="S5" s="10"/>
      <c r="T5" s="191" t="s">
        <v>331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s="3" customFormat="1" ht="18" customHeight="1">
      <c r="A6" s="186">
        <v>1</v>
      </c>
      <c r="B6" s="224" t="s">
        <v>181</v>
      </c>
      <c r="C6" s="225">
        <f>COVER!B13</f>
        <v>0</v>
      </c>
      <c r="D6" s="226">
        <v>1</v>
      </c>
      <c r="E6" s="215"/>
      <c r="F6" s="227">
        <v>181</v>
      </c>
      <c r="G6" s="227"/>
      <c r="H6" s="228">
        <f>COVER!C13</f>
        <v>0</v>
      </c>
      <c r="I6" s="229">
        <f>D6*F6*H6</f>
        <v>0</v>
      </c>
      <c r="J6" s="230"/>
      <c r="K6" s="231">
        <f t="shared" ref="K6:K12" si="0">I6+J6</f>
        <v>0</v>
      </c>
      <c r="L6" s="163">
        <v>130000</v>
      </c>
      <c r="M6" s="209">
        <f>L6*1.2</f>
        <v>156000</v>
      </c>
      <c r="N6" s="163"/>
      <c r="O6" s="90"/>
      <c r="P6" s="90"/>
      <c r="Q6" s="19"/>
      <c r="R6" s="19"/>
      <c r="S6" s="10"/>
      <c r="T6" s="10">
        <v>158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s="3" customFormat="1" ht="18" customHeight="1">
      <c r="A7" s="186">
        <v>1</v>
      </c>
      <c r="B7" s="224" t="s">
        <v>182</v>
      </c>
      <c r="C7" s="225" t="str">
        <f>COVER!B14</f>
        <v>A536 Gr65-45-12</v>
      </c>
      <c r="D7" s="226">
        <v>1</v>
      </c>
      <c r="E7" s="215"/>
      <c r="F7" s="227">
        <v>266</v>
      </c>
      <c r="G7" s="227"/>
      <c r="H7" s="228">
        <f>COVER!C14</f>
        <v>3500</v>
      </c>
      <c r="I7" s="229">
        <f>D7*F7*H7</f>
        <v>931000</v>
      </c>
      <c r="J7" s="230"/>
      <c r="K7" s="231">
        <f t="shared" si="0"/>
        <v>931000</v>
      </c>
      <c r="L7" s="163">
        <v>183000</v>
      </c>
      <c r="M7" s="163">
        <v>222800</v>
      </c>
      <c r="N7" s="185"/>
      <c r="O7" s="90"/>
      <c r="P7" s="90"/>
      <c r="Q7" s="19"/>
      <c r="R7" s="19"/>
      <c r="S7" s="10"/>
      <c r="T7" s="10">
        <v>250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s="3" customFormat="1" ht="18" customHeight="1">
      <c r="A8" s="186">
        <v>1</v>
      </c>
      <c r="B8" s="224" t="s">
        <v>183</v>
      </c>
      <c r="C8" s="225">
        <f>COVER!B15</f>
        <v>0</v>
      </c>
      <c r="D8" s="226">
        <v>1</v>
      </c>
      <c r="E8" s="215"/>
      <c r="F8" s="227">
        <v>266</v>
      </c>
      <c r="G8" s="227"/>
      <c r="H8" s="228">
        <f>COVER!C15</f>
        <v>0</v>
      </c>
      <c r="I8" s="229">
        <f>D8*F8*H8</f>
        <v>0</v>
      </c>
      <c r="J8" s="230"/>
      <c r="K8" s="231">
        <f t="shared" si="0"/>
        <v>0</v>
      </c>
      <c r="L8" s="163">
        <v>198000</v>
      </c>
      <c r="M8" s="209">
        <f>M7</f>
        <v>222800</v>
      </c>
      <c r="N8" s="185"/>
      <c r="O8" s="90"/>
      <c r="P8" s="90"/>
      <c r="Q8" s="19"/>
      <c r="R8" s="19"/>
      <c r="S8" s="10"/>
      <c r="T8" s="10">
        <v>287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s="3" customFormat="1" ht="18" customHeight="1">
      <c r="A9" s="186">
        <v>2</v>
      </c>
      <c r="B9" s="232" t="s">
        <v>2</v>
      </c>
      <c r="C9" s="225" t="str">
        <f>COVER!B16</f>
        <v>A351 CF8M</v>
      </c>
      <c r="D9" s="226">
        <v>1</v>
      </c>
      <c r="E9" s="215"/>
      <c r="F9" s="227">
        <f>IF(COVER!B34="10 BAR",Q9,IF(COVER!B34="16 BAR",R9,IF(COVER!B34="20 BAR",R9)))</f>
        <v>56</v>
      </c>
      <c r="G9" s="227"/>
      <c r="H9" s="228">
        <f>COVER!C16</f>
        <v>12000</v>
      </c>
      <c r="I9" s="233">
        <f>D9*F9*H9</f>
        <v>672000</v>
      </c>
      <c r="J9" s="230"/>
      <c r="K9" s="234">
        <f t="shared" si="0"/>
        <v>672000</v>
      </c>
      <c r="L9" s="163">
        <v>56400</v>
      </c>
      <c r="M9" s="209">
        <v>56400</v>
      </c>
      <c r="N9" s="209">
        <v>56400</v>
      </c>
      <c r="O9" s="209">
        <f>N9*1.3</f>
        <v>73320</v>
      </c>
      <c r="P9" s="209">
        <f>O9*1.3</f>
        <v>95316</v>
      </c>
      <c r="Q9" s="19">
        <v>56</v>
      </c>
      <c r="R9" s="19">
        <v>70</v>
      </c>
      <c r="S9" s="10"/>
      <c r="T9" s="10">
        <v>60</v>
      </c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 s="3" customFormat="1" ht="18" customHeight="1">
      <c r="A10" s="207">
        <v>3</v>
      </c>
      <c r="B10" s="235" t="s">
        <v>3</v>
      </c>
      <c r="C10" s="236" t="str">
        <f>COVER!B18</f>
        <v>EPDM</v>
      </c>
      <c r="D10" s="214">
        <v>1</v>
      </c>
      <c r="E10" s="215"/>
      <c r="F10" s="227">
        <v>1</v>
      </c>
      <c r="G10" s="227"/>
      <c r="H10" s="228">
        <f>IF(C10="NBR",L10,IF(C10="EPDM",L10,IF(C10="VITON",M10)))</f>
        <v>71060</v>
      </c>
      <c r="I10" s="233">
        <f>H10*F10*D10</f>
        <v>71060</v>
      </c>
      <c r="J10" s="230"/>
      <c r="K10" s="234">
        <f t="shared" si="0"/>
        <v>71060</v>
      </c>
      <c r="L10" s="163">
        <v>71060</v>
      </c>
      <c r="M10" s="163">
        <v>720000</v>
      </c>
      <c r="N10" s="163">
        <v>427500</v>
      </c>
      <c r="O10" s="163"/>
      <c r="P10" s="163">
        <v>127100</v>
      </c>
      <c r="Q10" s="19"/>
      <c r="R10" s="1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s="3" customFormat="1" ht="18" customHeight="1">
      <c r="A11" s="207">
        <v>4</v>
      </c>
      <c r="B11" s="235" t="s">
        <v>333</v>
      </c>
      <c r="C11" s="214" t="str">
        <f>COVER!B17</f>
        <v>A564T630</v>
      </c>
      <c r="D11" s="214">
        <v>1</v>
      </c>
      <c r="E11" s="215"/>
      <c r="F11" s="243">
        <v>14</v>
      </c>
      <c r="G11" s="238"/>
      <c r="H11" s="228">
        <f>COVER!C17</f>
        <v>10000</v>
      </c>
      <c r="I11" s="233">
        <f>D11*F11*H11</f>
        <v>140000</v>
      </c>
      <c r="J11" s="233"/>
      <c r="K11" s="234">
        <f t="shared" si="0"/>
        <v>140000</v>
      </c>
      <c r="L11" s="163" t="s">
        <v>336</v>
      </c>
      <c r="M11" s="163">
        <v>12000</v>
      </c>
      <c r="N11" s="163">
        <v>20000</v>
      </c>
      <c r="O11" s="163">
        <f>ROUNDUP(P11/1.3,-2)</f>
        <v>52400</v>
      </c>
      <c r="P11" s="163">
        <v>68000</v>
      </c>
      <c r="Q11" s="18">
        <v>12.89</v>
      </c>
      <c r="R11" s="18"/>
      <c r="S11" s="108"/>
      <c r="T11" s="10">
        <v>14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s="3" customFormat="1" ht="18" customHeight="1">
      <c r="A12" s="207">
        <v>5</v>
      </c>
      <c r="B12" s="235" t="s">
        <v>348</v>
      </c>
      <c r="C12" s="214" t="s">
        <v>211</v>
      </c>
      <c r="D12" s="214">
        <v>1</v>
      </c>
      <c r="E12" s="215"/>
      <c r="F12" s="237">
        <v>1</v>
      </c>
      <c r="G12" s="227"/>
      <c r="H12" s="230">
        <f>L12</f>
        <v>16000</v>
      </c>
      <c r="I12" s="233">
        <f>D12*F12*H12</f>
        <v>16000</v>
      </c>
      <c r="J12" s="233"/>
      <c r="K12" s="234">
        <f t="shared" si="0"/>
        <v>16000</v>
      </c>
      <c r="L12" s="163">
        <v>16000</v>
      </c>
      <c r="M12" s="163"/>
      <c r="N12" s="163"/>
      <c r="O12" s="163"/>
      <c r="P12" s="90"/>
      <c r="Q12" s="19"/>
      <c r="R12" s="19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s="3" customFormat="1" ht="18" customHeight="1">
      <c r="A13" s="207">
        <v>6</v>
      </c>
      <c r="B13" s="235" t="s">
        <v>163</v>
      </c>
      <c r="C13" s="214" t="str">
        <f>COVER!B21</f>
        <v>SSPC</v>
      </c>
      <c r="D13" s="214">
        <v>4</v>
      </c>
      <c r="E13" s="215"/>
      <c r="F13" s="237">
        <v>1</v>
      </c>
      <c r="G13" s="227"/>
      <c r="H13" s="228">
        <f>L13</f>
        <v>1500</v>
      </c>
      <c r="I13" s="233">
        <f>H13*F13*D13</f>
        <v>6000</v>
      </c>
      <c r="J13" s="233"/>
      <c r="K13" s="234">
        <f>J13+I13</f>
        <v>6000</v>
      </c>
      <c r="L13" s="198">
        <v>1500</v>
      </c>
      <c r="M13" s="199"/>
      <c r="N13" s="199"/>
      <c r="O13" s="199"/>
      <c r="P13" s="199"/>
      <c r="Q13" s="19"/>
      <c r="R13" s="19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s="3" customFormat="1" ht="18" customHeight="1">
      <c r="A14" s="207">
        <v>7</v>
      </c>
      <c r="B14" s="235" t="s">
        <v>350</v>
      </c>
      <c r="C14" s="214" t="s">
        <v>351</v>
      </c>
      <c r="D14" s="214">
        <v>2</v>
      </c>
      <c r="E14" s="215"/>
      <c r="F14" s="237">
        <v>1</v>
      </c>
      <c r="G14" s="227"/>
      <c r="H14" s="228">
        <v>900</v>
      </c>
      <c r="I14" s="233">
        <f>D14*F14*H14</f>
        <v>1800</v>
      </c>
      <c r="J14" s="233"/>
      <c r="K14" s="234">
        <f>I14+J14</f>
        <v>1800</v>
      </c>
      <c r="L14" s="163"/>
      <c r="M14" s="163"/>
      <c r="N14" s="163"/>
      <c r="O14" s="90"/>
      <c r="P14" s="90"/>
      <c r="Q14" s="201" t="s">
        <v>374</v>
      </c>
      <c r="R14" s="19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s="3" customFormat="1" ht="18" customHeight="1">
      <c r="A15" s="207">
        <v>8</v>
      </c>
      <c r="B15" s="235" t="s">
        <v>386</v>
      </c>
      <c r="C15" s="214" t="str">
        <f>COVER!B22</f>
        <v>BODY MATERIAL</v>
      </c>
      <c r="D15" s="214">
        <v>1</v>
      </c>
      <c r="E15" s="215"/>
      <c r="F15" s="237">
        <v>1.52</v>
      </c>
      <c r="G15" s="227"/>
      <c r="H15" s="228">
        <f>IF(C15="SS400",M15,IF(C15="BODY MATERIAL",N15))</f>
        <v>10640</v>
      </c>
      <c r="I15" s="233">
        <f>H15</f>
        <v>10640</v>
      </c>
      <c r="J15" s="233"/>
      <c r="K15" s="234">
        <f>I15+J15</f>
        <v>10640</v>
      </c>
      <c r="L15" s="163" t="s">
        <v>358</v>
      </c>
      <c r="M15" s="198">
        <v>4200</v>
      </c>
      <c r="N15" s="198">
        <f>IF(AND(C15="BODY MATERIAL"),IF((H6&gt;0),H6*F15*2,IF((H7&gt;0),H7*F15*2,IF((H8&gt;0),H8*F15*2))))</f>
        <v>10640</v>
      </c>
      <c r="O15" s="198"/>
      <c r="P15" s="198"/>
      <c r="Q15" s="201" t="s">
        <v>374</v>
      </c>
      <c r="R15" s="164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s="3" customFormat="1" ht="18" customHeight="1">
      <c r="A16" s="207">
        <v>9</v>
      </c>
      <c r="B16" s="235" t="s">
        <v>217</v>
      </c>
      <c r="C16" s="214" t="str">
        <f>COVER!B23</f>
        <v>B8M</v>
      </c>
      <c r="D16" s="214">
        <v>4</v>
      </c>
      <c r="E16" s="215"/>
      <c r="F16" s="237"/>
      <c r="G16" s="227"/>
      <c r="H16" s="228">
        <f>IF(C16="B8",M16,IF(C16="B8M",N16,IF(C16="B7(다크로)",O16)))</f>
        <v>400</v>
      </c>
      <c r="I16" s="233">
        <f>H16*D16</f>
        <v>1600</v>
      </c>
      <c r="J16" s="233"/>
      <c r="K16" s="234">
        <f>J16+I16</f>
        <v>1600</v>
      </c>
      <c r="L16" s="163" t="s">
        <v>387</v>
      </c>
      <c r="M16" s="198">
        <v>350</v>
      </c>
      <c r="N16" s="198">
        <v>400</v>
      </c>
      <c r="O16" s="198">
        <v>300</v>
      </c>
      <c r="P16" s="198"/>
      <c r="Q16" s="204" t="s">
        <v>385</v>
      </c>
      <c r="R16" s="19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s="3" customFormat="1" ht="18" customHeight="1">
      <c r="A17" s="207">
        <v>10</v>
      </c>
      <c r="B17" s="235" t="s">
        <v>221</v>
      </c>
      <c r="C17" s="214" t="str">
        <f>COVER!B24</f>
        <v>ALBC2</v>
      </c>
      <c r="D17" s="214">
        <v>1</v>
      </c>
      <c r="E17" s="215"/>
      <c r="F17" s="237">
        <v>1</v>
      </c>
      <c r="G17" s="227"/>
      <c r="H17" s="228">
        <f>L17</f>
        <v>4600</v>
      </c>
      <c r="I17" s="233">
        <f>H17*F17</f>
        <v>4600</v>
      </c>
      <c r="J17" s="233"/>
      <c r="K17" s="234">
        <f>J17+I17</f>
        <v>4600</v>
      </c>
      <c r="L17" s="198">
        <v>4600</v>
      </c>
      <c r="M17" s="199"/>
      <c r="N17" s="198"/>
      <c r="O17" s="198"/>
      <c r="P17" s="198"/>
      <c r="Q17" s="202"/>
      <c r="R17" s="19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s="3" customFormat="1" ht="18" customHeight="1">
      <c r="A18" s="207">
        <v>11</v>
      </c>
      <c r="B18" s="235" t="s">
        <v>187</v>
      </c>
      <c r="C18" s="214" t="s">
        <v>353</v>
      </c>
      <c r="D18" s="214">
        <v>1</v>
      </c>
      <c r="E18" s="215"/>
      <c r="F18" s="237">
        <v>0.68</v>
      </c>
      <c r="G18" s="227"/>
      <c r="H18" s="228">
        <f>M18</f>
        <v>2400</v>
      </c>
      <c r="I18" s="233">
        <f>H18*D18</f>
        <v>2400</v>
      </c>
      <c r="J18" s="233"/>
      <c r="K18" s="234">
        <f>J18+I18</f>
        <v>2400</v>
      </c>
      <c r="L18" s="163" t="s">
        <v>357</v>
      </c>
      <c r="M18" s="163">
        <v>2400</v>
      </c>
      <c r="N18" s="163"/>
      <c r="O18" s="163"/>
      <c r="P18" s="163"/>
      <c r="Q18" s="205"/>
      <c r="R18" s="165"/>
      <c r="S18" s="145" t="s">
        <v>246</v>
      </c>
      <c r="T18" s="145"/>
      <c r="U18" s="145" t="s">
        <v>247</v>
      </c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s="3" customFormat="1" ht="18" customHeight="1">
      <c r="A19" s="207">
        <v>12</v>
      </c>
      <c r="B19" s="235" t="s">
        <v>189</v>
      </c>
      <c r="C19" s="214" t="str">
        <f>COVER!B26</f>
        <v>B8M</v>
      </c>
      <c r="D19" s="214">
        <v>4</v>
      </c>
      <c r="E19" s="215"/>
      <c r="F19" s="237"/>
      <c r="G19" s="227"/>
      <c r="H19" s="230">
        <f>IF(C19="B8",M19,IF(C19="B8M",N19))</f>
        <v>400</v>
      </c>
      <c r="I19" s="233">
        <f>H19*D19</f>
        <v>1600</v>
      </c>
      <c r="J19" s="233"/>
      <c r="K19" s="234">
        <f>I19+J19</f>
        <v>1600</v>
      </c>
      <c r="L19" s="163" t="s">
        <v>380</v>
      </c>
      <c r="M19" s="163">
        <v>200</v>
      </c>
      <c r="N19" s="163">
        <v>400</v>
      </c>
      <c r="O19" s="90"/>
      <c r="P19" s="90"/>
      <c r="Q19" s="204" t="s">
        <v>381</v>
      </c>
      <c r="R19" s="19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s="3" customFormat="1" ht="18" customHeight="1">
      <c r="A20" s="207">
        <v>13</v>
      </c>
      <c r="B20" s="235" t="s">
        <v>188</v>
      </c>
      <c r="C20" s="214" t="str">
        <f>COVER!B27</f>
        <v>B8M</v>
      </c>
      <c r="D20" s="214">
        <v>4</v>
      </c>
      <c r="E20" s="215"/>
      <c r="F20" s="237"/>
      <c r="G20" s="227"/>
      <c r="H20" s="228">
        <f>IF(C20="B8",M20,IF(C20="B8M",N20,IF(C20="B7(다크로)",O20)))</f>
        <v>5000</v>
      </c>
      <c r="I20" s="233">
        <f>H20*D20</f>
        <v>20000</v>
      </c>
      <c r="J20" s="233"/>
      <c r="K20" s="234">
        <f t="shared" ref="K20:K22" si="1">I20+J20</f>
        <v>20000</v>
      </c>
      <c r="L20" s="163" t="s">
        <v>391</v>
      </c>
      <c r="M20" s="163">
        <v>4500</v>
      </c>
      <c r="N20" s="163">
        <v>5000</v>
      </c>
      <c r="O20" s="163">
        <v>2500</v>
      </c>
      <c r="P20" s="163"/>
      <c r="Q20" s="204" t="s">
        <v>385</v>
      </c>
      <c r="R20" s="19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s="3" customFormat="1" ht="18" customHeight="1">
      <c r="A21" s="207">
        <v>14</v>
      </c>
      <c r="B21" s="235" t="s">
        <v>349</v>
      </c>
      <c r="C21" s="214"/>
      <c r="D21" s="214">
        <v>4</v>
      </c>
      <c r="E21" s="215"/>
      <c r="F21" s="237"/>
      <c r="G21" s="227"/>
      <c r="H21" s="228">
        <v>600</v>
      </c>
      <c r="I21" s="233">
        <f>H21*D21</f>
        <v>2400</v>
      </c>
      <c r="J21" s="241"/>
      <c r="K21" s="234">
        <f>I21+J21</f>
        <v>2400</v>
      </c>
      <c r="L21" s="163" t="s">
        <v>401</v>
      </c>
      <c r="M21" s="90"/>
      <c r="N21" s="90"/>
      <c r="O21" s="90"/>
      <c r="P21" s="90"/>
      <c r="Q21" s="201" t="s">
        <v>374</v>
      </c>
      <c r="R21" s="19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s="3" customFormat="1" ht="18" customHeight="1">
      <c r="A22" s="207">
        <v>15</v>
      </c>
      <c r="B22" s="235" t="s">
        <v>6</v>
      </c>
      <c r="C22" s="214" t="str">
        <f>COVER!B34</f>
        <v>10 BAR</v>
      </c>
      <c r="D22" s="214">
        <v>1</v>
      </c>
      <c r="E22" s="215"/>
      <c r="F22" s="237"/>
      <c r="G22" s="242"/>
      <c r="H22" s="228"/>
      <c r="I22" s="233">
        <f>IF(C22="10 BAR",M22,IF(C22="16 BAR",N22,IF(C22="20 BAR",O22)))</f>
        <v>355000</v>
      </c>
      <c r="J22" s="241"/>
      <c r="K22" s="234">
        <f t="shared" si="1"/>
        <v>355000</v>
      </c>
      <c r="L22" s="90"/>
      <c r="M22" s="163">
        <v>355000</v>
      </c>
      <c r="N22" s="163">
        <v>589000</v>
      </c>
      <c r="O22" s="163">
        <v>589000</v>
      </c>
      <c r="P22" s="90"/>
      <c r="Q22" s="19"/>
      <c r="R22" s="19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s="3" customFormat="1" ht="18" customHeight="1">
      <c r="A23" s="207">
        <v>16</v>
      </c>
      <c r="B23" s="235" t="s">
        <v>7</v>
      </c>
      <c r="C23" s="214" t="str">
        <f>COVER!B32</f>
        <v>기존 단가</v>
      </c>
      <c r="D23" s="214">
        <v>1</v>
      </c>
      <c r="E23" s="215"/>
      <c r="F23" s="237"/>
      <c r="G23" s="242"/>
      <c r="H23" s="228">
        <f>IF(COVER!B9="APPLICATION",0,IF(COVER!B32="기존 단가",L23,IF(COVER!B32="외주 2COATING",M23,IF(COVER!B32="외주 3COATING",N23))))</f>
        <v>101000</v>
      </c>
      <c r="I23" s="233">
        <f>H23</f>
        <v>101000</v>
      </c>
      <c r="J23" s="233"/>
      <c r="K23" s="234"/>
      <c r="L23" s="163">
        <v>101000</v>
      </c>
      <c r="M23" s="163">
        <f>IF(H6&gt;0,F6*520,IF(H7&gt;0,F7*520,IF(H8&gt;0,F8*520)))</f>
        <v>138320</v>
      </c>
      <c r="N23" s="163">
        <f>IF(H6&gt;0,F6*620,IF(H7&gt;0,F7*620,IF(H8&gt;0,F8*620)))</f>
        <v>164920</v>
      </c>
      <c r="O23" s="90"/>
      <c r="P23" s="182"/>
      <c r="Q23" s="19"/>
      <c r="R23" s="19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s="3" customFormat="1" ht="18" customHeight="1">
      <c r="A24" s="207">
        <v>17</v>
      </c>
      <c r="B24" s="235" t="s">
        <v>174</v>
      </c>
      <c r="C24" s="214"/>
      <c r="D24" s="214">
        <v>1</v>
      </c>
      <c r="E24" s="215"/>
      <c r="F24" s="237"/>
      <c r="G24" s="242"/>
      <c r="H24" s="228">
        <f>IF(COVER!B9="APPLICATION",0,IF(COVER!B9="N/A",L24))</f>
        <v>101000</v>
      </c>
      <c r="I24" s="233">
        <f>H24</f>
        <v>101000</v>
      </c>
      <c r="J24" s="234"/>
      <c r="K24" s="234"/>
      <c r="L24" s="211">
        <v>101000</v>
      </c>
      <c r="M24" s="90"/>
      <c r="N24" s="90"/>
      <c r="O24" s="90"/>
      <c r="P24" s="90"/>
      <c r="Q24" s="19"/>
      <c r="R24" s="19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s="3" customFormat="1" ht="18" customHeight="1">
      <c r="A25" s="207">
        <v>18</v>
      </c>
      <c r="B25" s="97" t="s">
        <v>175</v>
      </c>
      <c r="C25" s="14"/>
      <c r="D25" s="14"/>
      <c r="E25" s="15"/>
      <c r="F25" s="15"/>
      <c r="G25" s="15"/>
      <c r="H25" s="15"/>
      <c r="I25" s="98"/>
      <c r="J25" s="98"/>
      <c r="K25" s="16">
        <f>SUM(K6:K21)+SUM(K23:K24)</f>
        <v>1881100</v>
      </c>
      <c r="L25" s="185" t="s">
        <v>248</v>
      </c>
      <c r="M25" s="90"/>
      <c r="N25" s="90"/>
      <c r="O25" s="90"/>
      <c r="P25" s="90"/>
      <c r="Q25" s="19"/>
      <c r="R25" s="19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s="3" customFormat="1" ht="18" customHeight="1">
      <c r="A26" s="207">
        <v>18</v>
      </c>
      <c r="B26" s="97" t="s">
        <v>176</v>
      </c>
      <c r="C26" s="14"/>
      <c r="D26" s="14"/>
      <c r="E26" s="15"/>
      <c r="F26" s="15"/>
      <c r="G26" s="15"/>
      <c r="H26" s="15"/>
      <c r="I26" s="98"/>
      <c r="J26" s="98"/>
      <c r="K26" s="16">
        <f>SUM(K6:K21)+SUM(K23:K24)</f>
        <v>1881100</v>
      </c>
      <c r="L26" s="185" t="s">
        <v>248</v>
      </c>
      <c r="M26" s="90"/>
      <c r="N26" s="90"/>
      <c r="O26" s="90"/>
      <c r="P26" s="90"/>
      <c r="Q26" s="19"/>
      <c r="R26" s="19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s="3" customFormat="1" ht="18" customHeight="1">
      <c r="A27" s="207">
        <v>18</v>
      </c>
      <c r="B27" s="97" t="s">
        <v>177</v>
      </c>
      <c r="C27" s="14"/>
      <c r="D27" s="14"/>
      <c r="E27" s="15"/>
      <c r="F27" s="15"/>
      <c r="G27" s="15"/>
      <c r="H27" s="15"/>
      <c r="I27" s="98"/>
      <c r="J27" s="98"/>
      <c r="K27" s="16">
        <f>SUM(K6:K24)</f>
        <v>2236100</v>
      </c>
      <c r="L27" s="185" t="s">
        <v>248</v>
      </c>
      <c r="M27" s="90"/>
      <c r="N27" s="90"/>
      <c r="O27" s="90"/>
      <c r="P27" s="90"/>
      <c r="Q27" s="19"/>
      <c r="R27" s="19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s="3" customFormat="1" ht="18" customHeight="1">
      <c r="A28" s="207">
        <v>19</v>
      </c>
      <c r="B28" s="235" t="s">
        <v>237</v>
      </c>
      <c r="C28" s="214" t="str">
        <f>COVER!B28</f>
        <v>REQUIRED</v>
      </c>
      <c r="D28" s="214">
        <v>0</v>
      </c>
      <c r="E28" s="215"/>
      <c r="F28" s="239"/>
      <c r="G28" s="215"/>
      <c r="H28" s="233">
        <f>IF(C28="REQUIRED",L28,IF(C28="N/A",0))</f>
        <v>0</v>
      </c>
      <c r="I28" s="233">
        <f>H28</f>
        <v>0</v>
      </c>
      <c r="J28" s="215"/>
      <c r="K28" s="234"/>
      <c r="L28" s="163"/>
      <c r="M28" s="90"/>
      <c r="N28" s="90"/>
      <c r="O28" s="90"/>
      <c r="P28" s="90"/>
      <c r="Q28" s="19"/>
      <c r="R28" s="19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s="3" customFormat="1" ht="18" customHeight="1">
      <c r="A29" s="207">
        <v>20</v>
      </c>
      <c r="B29" s="235" t="s">
        <v>180</v>
      </c>
      <c r="C29" s="214"/>
      <c r="D29" s="214">
        <v>0</v>
      </c>
      <c r="E29" s="215"/>
      <c r="F29" s="239"/>
      <c r="G29" s="215"/>
      <c r="H29" s="215"/>
      <c r="I29" s="215"/>
      <c r="J29" s="215"/>
      <c r="K29" s="234"/>
      <c r="L29" s="185"/>
      <c r="M29" s="90"/>
      <c r="N29" s="90"/>
      <c r="O29" s="90"/>
      <c r="P29" s="90"/>
      <c r="Q29" s="19"/>
      <c r="R29" s="19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s="3" customFormat="1" ht="18" customHeight="1">
      <c r="A30" s="207">
        <v>21</v>
      </c>
      <c r="B30" s="235" t="s">
        <v>178</v>
      </c>
      <c r="C30" s="214" t="str">
        <f>COVER!B35</f>
        <v>MOTOR</v>
      </c>
      <c r="D30" s="214">
        <v>1</v>
      </c>
      <c r="E30" s="215"/>
      <c r="F30" s="239"/>
      <c r="G30" s="215"/>
      <c r="H30" s="233">
        <f>IF(COVER!B9="APPLICATION",0,IF(COVER!B35="BARE",M30,(IF(COVER!B35="LEVER",M30,IF(COVER!B35="GEAR",N30,IF(COVER!B35="MOTOR",O30))))))</f>
        <v>150000</v>
      </c>
      <c r="I30" s="234">
        <f>H30</f>
        <v>150000</v>
      </c>
      <c r="J30" s="215"/>
      <c r="K30" s="234"/>
      <c r="L30" s="163">
        <v>200000</v>
      </c>
      <c r="M30" s="163">
        <v>85000</v>
      </c>
      <c r="N30" s="163">
        <v>85000</v>
      </c>
      <c r="O30" s="163">
        <v>150000</v>
      </c>
      <c r="P30" s="90"/>
      <c r="Q30" s="19"/>
      <c r="R30" s="19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s="3" customFormat="1" ht="18" customHeight="1">
      <c r="A31" s="207">
        <v>22</v>
      </c>
      <c r="B31" s="235"/>
      <c r="C31" s="214"/>
      <c r="D31" s="214"/>
      <c r="E31" s="215"/>
      <c r="F31" s="239"/>
      <c r="G31" s="215"/>
      <c r="H31" s="215"/>
      <c r="I31" s="215"/>
      <c r="J31" s="215"/>
      <c r="K31" s="234"/>
      <c r="L31" s="185"/>
      <c r="M31" s="90"/>
      <c r="N31" s="90"/>
      <c r="O31" s="90"/>
      <c r="P31" s="90"/>
      <c r="Q31" s="19"/>
      <c r="R31" s="19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s="3" customFormat="1" ht="18" customHeight="1">
      <c r="A32" s="207">
        <v>23</v>
      </c>
      <c r="B32" s="89" t="s">
        <v>179</v>
      </c>
      <c r="C32" s="14"/>
      <c r="D32" s="99"/>
      <c r="E32" s="15"/>
      <c r="F32" s="15"/>
      <c r="G32" s="15"/>
      <c r="H32" s="15"/>
      <c r="I32" s="100"/>
      <c r="J32" s="101"/>
      <c r="K32" s="100">
        <f>SUM(K28:K31)</f>
        <v>0</v>
      </c>
      <c r="L32" s="185" t="s">
        <v>249</v>
      </c>
      <c r="M32" s="90"/>
      <c r="N32" s="90"/>
      <c r="O32" s="90"/>
      <c r="P32" s="90"/>
      <c r="Q32" s="19"/>
      <c r="R32" s="19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s="3" customFormat="1" ht="18" customHeight="1">
      <c r="A33" s="186">
        <v>24</v>
      </c>
      <c r="B33" s="216" t="s">
        <v>252</v>
      </c>
      <c r="C33" s="217"/>
      <c r="D33" s="218"/>
      <c r="E33" s="219"/>
      <c r="F33" s="219"/>
      <c r="G33" s="219"/>
      <c r="H33" s="219"/>
      <c r="I33" s="220"/>
      <c r="J33" s="221"/>
      <c r="K33" s="220">
        <f>K25+K32</f>
        <v>1881100</v>
      </c>
      <c r="L33" s="185" t="s">
        <v>257</v>
      </c>
      <c r="M33" s="90"/>
      <c r="N33" s="90"/>
      <c r="O33" s="90"/>
      <c r="P33" s="90"/>
      <c r="Q33" s="19"/>
      <c r="R33" s="19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s="3" customFormat="1" ht="18" customHeight="1">
      <c r="A34" s="186">
        <v>24</v>
      </c>
      <c r="B34" s="216" t="s">
        <v>255</v>
      </c>
      <c r="C34" s="217"/>
      <c r="D34" s="218"/>
      <c r="E34" s="219"/>
      <c r="F34" s="219"/>
      <c r="G34" s="219"/>
      <c r="H34" s="219"/>
      <c r="I34" s="220"/>
      <c r="J34" s="221"/>
      <c r="K34" s="220">
        <f>K26+K32</f>
        <v>1881100</v>
      </c>
      <c r="L34" s="185" t="s">
        <v>257</v>
      </c>
      <c r="M34" s="90"/>
      <c r="N34" s="90"/>
      <c r="O34" s="90"/>
      <c r="P34" s="90"/>
      <c r="Q34" s="19"/>
      <c r="R34" s="19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s="3" customFormat="1" ht="18" customHeight="1">
      <c r="A35" s="186">
        <v>24</v>
      </c>
      <c r="B35" s="216" t="s">
        <v>256</v>
      </c>
      <c r="C35" s="217"/>
      <c r="D35" s="218"/>
      <c r="E35" s="219"/>
      <c r="F35" s="219"/>
      <c r="G35" s="219"/>
      <c r="H35" s="219"/>
      <c r="I35" s="220"/>
      <c r="J35" s="221"/>
      <c r="K35" s="220">
        <f>K27+K32</f>
        <v>2236100</v>
      </c>
      <c r="L35" s="185" t="s">
        <v>257</v>
      </c>
      <c r="M35" s="90"/>
      <c r="N35" s="90"/>
      <c r="O35" s="90"/>
      <c r="P35" s="90"/>
      <c r="Q35" s="19"/>
      <c r="R35" s="19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s="4" customFormat="1" ht="18" customHeight="1">
      <c r="A36" s="186">
        <v>25</v>
      </c>
      <c r="B36" s="102" t="s">
        <v>407</v>
      </c>
      <c r="C36" s="103"/>
      <c r="D36" s="103"/>
      <c r="E36" s="104"/>
      <c r="F36" s="105"/>
      <c r="G36" s="105"/>
      <c r="H36" s="106"/>
      <c r="I36" s="223" t="s">
        <v>41</v>
      </c>
      <c r="J36" s="223">
        <v>0.7</v>
      </c>
      <c r="K36" s="107">
        <f>(K25+K32)/J36</f>
        <v>2687285.7142857146</v>
      </c>
      <c r="L36" s="185" t="s">
        <v>250</v>
      </c>
      <c r="M36" s="90"/>
      <c r="N36" s="90"/>
      <c r="O36" s="90"/>
      <c r="P36" s="90"/>
      <c r="Q36" s="19"/>
      <c r="R36" s="19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s="4" customFormat="1" ht="18" customHeight="1">
      <c r="A37" s="186">
        <v>25</v>
      </c>
      <c r="B37" s="102" t="s">
        <v>408</v>
      </c>
      <c r="C37" s="103"/>
      <c r="D37" s="103"/>
      <c r="E37" s="104"/>
      <c r="F37" s="105"/>
      <c r="G37" s="105"/>
      <c r="H37" s="106"/>
      <c r="I37" s="223" t="s">
        <v>41</v>
      </c>
      <c r="J37" s="223">
        <v>0.7</v>
      </c>
      <c r="K37" s="107">
        <f>(K26+K32)/J37</f>
        <v>2687285.7142857146</v>
      </c>
      <c r="L37" s="185" t="s">
        <v>250</v>
      </c>
      <c r="M37" s="90"/>
      <c r="N37" s="90"/>
      <c r="O37" s="90"/>
      <c r="P37" s="90"/>
      <c r="Q37" s="19"/>
      <c r="R37" s="19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s="4" customFormat="1" ht="18" customHeight="1">
      <c r="A38" s="186">
        <v>25</v>
      </c>
      <c r="B38" s="102" t="s">
        <v>409</v>
      </c>
      <c r="C38" s="103"/>
      <c r="D38" s="103"/>
      <c r="E38" s="104"/>
      <c r="F38" s="105"/>
      <c r="G38" s="105"/>
      <c r="H38" s="106"/>
      <c r="I38" s="223" t="s">
        <v>41</v>
      </c>
      <c r="J38" s="223">
        <v>0.7</v>
      </c>
      <c r="K38" s="107">
        <f>(K27+K32)/J38</f>
        <v>3194428.5714285718</v>
      </c>
      <c r="L38" s="185" t="s">
        <v>250</v>
      </c>
      <c r="M38" s="90"/>
      <c r="N38" s="90"/>
      <c r="O38" s="90"/>
      <c r="P38" s="90"/>
      <c r="Q38" s="19"/>
      <c r="R38" s="19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s="4" customFormat="1" ht="18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57"/>
      <c r="M39" s="108"/>
      <c r="N39" s="108"/>
      <c r="O39" s="108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s="4" customFormat="1" ht="18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57"/>
      <c r="M40" s="108"/>
      <c r="N40" s="108"/>
      <c r="O40" s="108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s="4" customFormat="1" ht="18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57"/>
      <c r="M41" s="108"/>
      <c r="N41" s="108"/>
      <c r="O41" s="108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s="4" customFormat="1" ht="18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57"/>
      <c r="M42" s="108"/>
      <c r="N42" s="108"/>
      <c r="O42" s="108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s="4" customFormat="1" ht="18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57"/>
      <c r="M43" s="108"/>
      <c r="N43" s="108"/>
      <c r="O43" s="108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s="4" customFormat="1" ht="18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57"/>
      <c r="M44" s="108"/>
      <c r="N44" s="108"/>
      <c r="O44" s="108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s="4" customFormat="1" ht="18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57"/>
      <c r="M45" s="108"/>
      <c r="N45" s="108"/>
      <c r="O45" s="108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s="4" customFormat="1" ht="18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57"/>
      <c r="M46" s="108"/>
      <c r="N46" s="108"/>
      <c r="O46" s="108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s="4" customFormat="1" ht="12.75">
      <c r="A47" s="10"/>
      <c r="B47" s="10"/>
      <c r="C47" s="10"/>
      <c r="D47" s="109"/>
      <c r="E47" s="10"/>
      <c r="F47" s="10"/>
      <c r="G47" s="10"/>
      <c r="H47" s="10"/>
      <c r="I47" s="10"/>
      <c r="J47" s="10"/>
      <c r="K47" s="10"/>
      <c r="L47" s="108"/>
      <c r="M47" s="108"/>
      <c r="N47" s="108"/>
      <c r="O47" s="108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s="4" customFormat="1" ht="12.7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57"/>
      <c r="M48" s="108"/>
      <c r="N48" s="108"/>
      <c r="O48" s="108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s="4" customFormat="1" ht="12.7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57"/>
      <c r="M49" s="108"/>
      <c r="N49" s="108"/>
      <c r="O49" s="108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s="5" customForma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57"/>
      <c r="M50" s="87"/>
      <c r="N50" s="87"/>
      <c r="O50" s="8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s="5" customForma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57"/>
      <c r="M51" s="87"/>
      <c r="N51" s="87"/>
      <c r="O51" s="87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s="5" customForma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57"/>
      <c r="M52" s="87"/>
      <c r="N52" s="87"/>
      <c r="O52" s="87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</sheetData>
  <mergeCells count="4">
    <mergeCell ref="A1:K1"/>
    <mergeCell ref="D3:E3"/>
    <mergeCell ref="F3:H3"/>
    <mergeCell ref="L4:P4"/>
  </mergeCells>
  <phoneticPr fontId="7" type="noConversion"/>
  <pageMargins left="0.75" right="0.75" top="1" bottom="1" header="0.5" footer="0.5"/>
  <pageSetup paperSize="9" scale="62" orientation="portrait" r:id="rId1"/>
  <headerFooter alignWithMargins="0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AE52"/>
  <sheetViews>
    <sheetView view="pageBreakPreview" zoomScale="85" zoomScaleNormal="100" zoomScaleSheetLayoutView="85" workbookViewId="0">
      <selection activeCell="M23" sqref="M23"/>
    </sheetView>
  </sheetViews>
  <sheetFormatPr defaultColWidth="8.88671875" defaultRowHeight="13.5"/>
  <cols>
    <col min="1" max="1" width="5.26171875" style="10" customWidth="1"/>
    <col min="2" max="2" width="20.23046875" style="10" bestFit="1" customWidth="1"/>
    <col min="3" max="3" width="14.3828125" style="10" bestFit="1" customWidth="1"/>
    <col min="4" max="4" width="3.7421875" style="10" customWidth="1"/>
    <col min="5" max="5" width="8.30078125" style="10" customWidth="1"/>
    <col min="6" max="6" width="6.1953125" style="10" customWidth="1"/>
    <col min="7" max="7" width="5.73046875" style="10" customWidth="1"/>
    <col min="8" max="8" width="8.30078125" style="10" bestFit="1" customWidth="1"/>
    <col min="9" max="9" width="10.9921875" style="10" customWidth="1"/>
    <col min="10" max="10" width="12.74609375" style="10" bestFit="1" customWidth="1"/>
    <col min="11" max="11" width="18.125" style="10" bestFit="1" customWidth="1"/>
    <col min="12" max="12" width="17.7734375" style="157" bestFit="1" customWidth="1"/>
    <col min="13" max="13" width="13.796875" style="87" customWidth="1"/>
    <col min="14" max="14" width="12.16015625" style="87" bestFit="1" customWidth="1"/>
    <col min="15" max="15" width="9.703125" style="87" customWidth="1"/>
    <col min="16" max="16" width="12.16015625" style="8" bestFit="1" customWidth="1"/>
    <col min="17" max="18" width="15.43359375" style="8" bestFit="1" customWidth="1"/>
    <col min="19" max="19" width="8.88671875" style="8"/>
    <col min="20" max="20" width="17.07421875" style="8" bestFit="1" customWidth="1"/>
    <col min="21" max="31" width="8.88671875" style="8"/>
    <col min="32" max="16384" width="8.88671875" style="2"/>
  </cols>
  <sheetData>
    <row r="1" spans="1:31" ht="24" thickTop="1" thickBot="1">
      <c r="A1" s="336" t="s">
        <v>190</v>
      </c>
      <c r="B1" s="337"/>
      <c r="C1" s="337"/>
      <c r="D1" s="337"/>
      <c r="E1" s="337"/>
      <c r="F1" s="337"/>
      <c r="G1" s="337"/>
      <c r="H1" s="337"/>
      <c r="I1" s="337"/>
      <c r="J1" s="337"/>
      <c r="K1" s="338"/>
      <c r="M1" s="7"/>
    </row>
    <row r="2" spans="1:31" ht="14.45" customHeight="1" thickTop="1" thickBot="1">
      <c r="A2" s="158"/>
      <c r="B2" s="158"/>
      <c r="C2" s="115"/>
      <c r="E2" s="115"/>
      <c r="F2" s="115"/>
      <c r="G2" s="115"/>
    </row>
    <row r="3" spans="1:31" ht="15" thickTop="1" thickBot="1">
      <c r="A3" s="184" t="s">
        <v>191</v>
      </c>
      <c r="B3" s="183" t="s">
        <v>300</v>
      </c>
      <c r="C3" s="184" t="s">
        <v>192</v>
      </c>
      <c r="D3" s="339" t="s">
        <v>193</v>
      </c>
      <c r="E3" s="340"/>
      <c r="F3" s="341" t="s">
        <v>194</v>
      </c>
      <c r="G3" s="339"/>
      <c r="H3" s="339"/>
      <c r="I3" s="187" t="s">
        <v>310</v>
      </c>
      <c r="J3" s="184" t="s">
        <v>197</v>
      </c>
      <c r="K3" s="183" t="s">
        <v>313</v>
      </c>
    </row>
    <row r="4" spans="1:31" ht="19.149999999999999" customHeight="1" thickTop="1" thickBot="1">
      <c r="J4" s="197" t="s">
        <v>332</v>
      </c>
      <c r="K4" s="189">
        <v>870</v>
      </c>
      <c r="L4" s="342" t="s">
        <v>207</v>
      </c>
      <c r="M4" s="343"/>
      <c r="N4" s="343"/>
      <c r="O4" s="343"/>
      <c r="P4" s="343"/>
    </row>
    <row r="5" spans="1:31" s="3" customFormat="1" ht="25.15" customHeight="1" thickTop="1">
      <c r="A5" s="9" t="s">
        <v>1</v>
      </c>
      <c r="B5" s="9" t="s">
        <v>164</v>
      </c>
      <c r="C5" s="88" t="s">
        <v>165</v>
      </c>
      <c r="D5" s="89" t="s">
        <v>166</v>
      </c>
      <c r="E5" s="9" t="s">
        <v>167</v>
      </c>
      <c r="F5" s="9" t="s">
        <v>168</v>
      </c>
      <c r="G5" s="9" t="s">
        <v>169</v>
      </c>
      <c r="H5" s="9" t="s">
        <v>170</v>
      </c>
      <c r="I5" s="123" t="s">
        <v>171</v>
      </c>
      <c r="J5" s="195" t="s">
        <v>172</v>
      </c>
      <c r="K5" s="196" t="s">
        <v>173</v>
      </c>
      <c r="L5" s="90" t="s">
        <v>198</v>
      </c>
      <c r="M5" s="121" t="s">
        <v>199</v>
      </c>
      <c r="N5" s="90" t="s">
        <v>38</v>
      </c>
      <c r="O5" s="90" t="s">
        <v>200</v>
      </c>
      <c r="P5" s="90" t="s">
        <v>201</v>
      </c>
      <c r="Q5" s="90" t="s">
        <v>265</v>
      </c>
      <c r="R5" s="90" t="s">
        <v>266</v>
      </c>
      <c r="S5" s="10"/>
      <c r="T5" s="191" t="s">
        <v>331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s="3" customFormat="1" ht="18" customHeight="1">
      <c r="A6" s="186">
        <v>1</v>
      </c>
      <c r="B6" s="224" t="s">
        <v>181</v>
      </c>
      <c r="C6" s="225">
        <f>COVER!B13</f>
        <v>0</v>
      </c>
      <c r="D6" s="226">
        <v>1</v>
      </c>
      <c r="E6" s="227"/>
      <c r="F6" s="227">
        <v>189</v>
      </c>
      <c r="G6" s="227"/>
      <c r="H6" s="228">
        <f>COVER!C13</f>
        <v>0</v>
      </c>
      <c r="I6" s="229">
        <f>D6*F6*H6</f>
        <v>0</v>
      </c>
      <c r="J6" s="230"/>
      <c r="K6" s="231">
        <f t="shared" ref="K6:K12" si="0">I6+J6</f>
        <v>0</v>
      </c>
      <c r="L6" s="209">
        <v>139150</v>
      </c>
      <c r="M6" s="209">
        <v>164450</v>
      </c>
      <c r="N6" s="163"/>
      <c r="O6" s="90"/>
      <c r="P6" s="90"/>
      <c r="Q6" s="19"/>
      <c r="R6" s="19"/>
      <c r="S6" s="10"/>
      <c r="T6" s="10">
        <v>170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s="3" customFormat="1" ht="18" customHeight="1">
      <c r="A7" s="186">
        <v>1</v>
      </c>
      <c r="B7" s="224" t="s">
        <v>182</v>
      </c>
      <c r="C7" s="225" t="str">
        <f>COVER!B14</f>
        <v>A536 Gr65-45-12</v>
      </c>
      <c r="D7" s="226">
        <v>1</v>
      </c>
      <c r="E7" s="227"/>
      <c r="F7" s="227">
        <v>266</v>
      </c>
      <c r="G7" s="227"/>
      <c r="H7" s="228">
        <f>COVER!C14</f>
        <v>3500</v>
      </c>
      <c r="I7" s="229">
        <f>D7*F7*H7</f>
        <v>931000</v>
      </c>
      <c r="J7" s="230"/>
      <c r="K7" s="231">
        <f t="shared" si="0"/>
        <v>931000</v>
      </c>
      <c r="L7" s="209">
        <v>204930</v>
      </c>
      <c r="M7" s="163">
        <v>242100</v>
      </c>
      <c r="N7" s="185"/>
      <c r="O7" s="90"/>
      <c r="P7" s="90"/>
      <c r="Q7" s="19"/>
      <c r="R7" s="19"/>
      <c r="S7" s="10"/>
      <c r="T7" s="10">
        <v>235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s="3" customFormat="1" ht="18" customHeight="1">
      <c r="A8" s="186">
        <v>1</v>
      </c>
      <c r="B8" s="224" t="s">
        <v>183</v>
      </c>
      <c r="C8" s="225">
        <f>COVER!B15</f>
        <v>0</v>
      </c>
      <c r="D8" s="226">
        <v>1</v>
      </c>
      <c r="E8" s="227"/>
      <c r="F8" s="227">
        <v>272</v>
      </c>
      <c r="G8" s="227"/>
      <c r="H8" s="228">
        <f>COVER!C15</f>
        <v>0</v>
      </c>
      <c r="I8" s="229">
        <f>D8*F8*H8</f>
        <v>0</v>
      </c>
      <c r="J8" s="230"/>
      <c r="K8" s="231">
        <f t="shared" si="0"/>
        <v>0</v>
      </c>
      <c r="L8" s="163">
        <v>220000</v>
      </c>
      <c r="M8" s="209">
        <f>M7</f>
        <v>242100</v>
      </c>
      <c r="N8" s="163"/>
      <c r="O8" s="90"/>
      <c r="P8" s="90"/>
      <c r="Q8" s="19"/>
      <c r="R8" s="19"/>
      <c r="S8" s="10"/>
      <c r="T8" s="10">
        <v>282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s="3" customFormat="1" ht="18" customHeight="1">
      <c r="A9" s="186">
        <v>2</v>
      </c>
      <c r="B9" s="232" t="s">
        <v>2</v>
      </c>
      <c r="C9" s="225" t="str">
        <f>COVER!B16</f>
        <v>A351 CF8M</v>
      </c>
      <c r="D9" s="226">
        <v>1</v>
      </c>
      <c r="E9" s="215"/>
      <c r="F9" s="227">
        <f>IF(COVER!B34="10 BAR",Q9,IF(COVER!B34="16 BAR",R9,IF(COVER!B34="20 BAR",R9)))</f>
        <v>82</v>
      </c>
      <c r="G9" s="227"/>
      <c r="H9" s="228">
        <f>COVER!C16</f>
        <v>12000</v>
      </c>
      <c r="I9" s="233">
        <f>D9*F9*H9</f>
        <v>984000</v>
      </c>
      <c r="J9" s="230"/>
      <c r="K9" s="234">
        <f t="shared" si="0"/>
        <v>984000</v>
      </c>
      <c r="L9" s="163">
        <v>63000</v>
      </c>
      <c r="M9" s="209">
        <f>L9</f>
        <v>63000</v>
      </c>
      <c r="N9" s="209">
        <f>M9</f>
        <v>63000</v>
      </c>
      <c r="O9" s="209">
        <f>N9*1.3</f>
        <v>81900</v>
      </c>
      <c r="P9" s="163">
        <v>116140</v>
      </c>
      <c r="Q9" s="19">
        <v>82</v>
      </c>
      <c r="R9" s="19">
        <v>86</v>
      </c>
      <c r="S9" s="10"/>
      <c r="T9" s="10">
        <v>81.5</v>
      </c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 s="3" customFormat="1" ht="18" customHeight="1">
      <c r="A10" s="207">
        <v>3</v>
      </c>
      <c r="B10" s="235" t="s">
        <v>3</v>
      </c>
      <c r="C10" s="236" t="str">
        <f>COVER!B18</f>
        <v>EPDM</v>
      </c>
      <c r="D10" s="214">
        <v>1</v>
      </c>
      <c r="E10" s="215"/>
      <c r="F10" s="227">
        <v>1</v>
      </c>
      <c r="G10" s="227"/>
      <c r="H10" s="228">
        <f>IF(C10="NBR",L10,IF(C10="EPDM",L10,IF(C10="VITON",M10)))</f>
        <v>98895</v>
      </c>
      <c r="I10" s="233">
        <f>H10*F10*D10</f>
        <v>98895</v>
      </c>
      <c r="J10" s="230"/>
      <c r="K10" s="234">
        <f t="shared" si="0"/>
        <v>98895</v>
      </c>
      <c r="L10" s="163">
        <v>98895</v>
      </c>
      <c r="M10" s="163">
        <v>855000</v>
      </c>
      <c r="N10" s="163">
        <v>594000</v>
      </c>
      <c r="O10" s="163"/>
      <c r="P10" s="167">
        <v>177000</v>
      </c>
      <c r="Q10" s="19"/>
      <c r="R10" s="1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s="3" customFormat="1" ht="18" customHeight="1">
      <c r="A11" s="207">
        <v>4</v>
      </c>
      <c r="B11" s="235" t="s">
        <v>333</v>
      </c>
      <c r="C11" s="214" t="str">
        <f>COVER!B17</f>
        <v>A564T630</v>
      </c>
      <c r="D11" s="214">
        <v>1</v>
      </c>
      <c r="E11" s="215"/>
      <c r="F11" s="243">
        <v>17</v>
      </c>
      <c r="G11" s="238"/>
      <c r="H11" s="228">
        <f>COVER!C17</f>
        <v>10000</v>
      </c>
      <c r="I11" s="233">
        <f>D11*F11*H11</f>
        <v>170000</v>
      </c>
      <c r="J11" s="233"/>
      <c r="K11" s="234">
        <f t="shared" si="0"/>
        <v>170000</v>
      </c>
      <c r="L11" s="163" t="s">
        <v>337</v>
      </c>
      <c r="M11" s="163">
        <v>15000</v>
      </c>
      <c r="N11" s="163">
        <v>30000</v>
      </c>
      <c r="O11" s="163">
        <f>ROUNDUP(P11/1.3,-2)</f>
        <v>53900</v>
      </c>
      <c r="P11" s="163">
        <v>70000</v>
      </c>
      <c r="Q11" s="18">
        <v>15.45</v>
      </c>
      <c r="R11" s="18"/>
      <c r="S11" s="108"/>
      <c r="T11" s="10">
        <v>16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s="3" customFormat="1" ht="18" customHeight="1">
      <c r="A12" s="207">
        <v>5</v>
      </c>
      <c r="B12" s="235" t="s">
        <v>348</v>
      </c>
      <c r="C12" s="214" t="s">
        <v>211</v>
      </c>
      <c r="D12" s="214">
        <v>1</v>
      </c>
      <c r="E12" s="215"/>
      <c r="F12" s="237">
        <v>1</v>
      </c>
      <c r="G12" s="227"/>
      <c r="H12" s="230">
        <f>L12</f>
        <v>31500</v>
      </c>
      <c r="I12" s="233">
        <f>D12*F12*H12</f>
        <v>31500</v>
      </c>
      <c r="J12" s="233"/>
      <c r="K12" s="234">
        <f t="shared" si="0"/>
        <v>31500</v>
      </c>
      <c r="L12" s="163">
        <v>31500</v>
      </c>
      <c r="M12" s="163"/>
      <c r="N12" s="163"/>
      <c r="O12" s="90"/>
      <c r="P12" s="90"/>
      <c r="Q12" s="19"/>
      <c r="R12" s="19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s="3" customFormat="1" ht="18" customHeight="1">
      <c r="A13" s="207">
        <v>6</v>
      </c>
      <c r="B13" s="235" t="s">
        <v>163</v>
      </c>
      <c r="C13" s="214" t="str">
        <f>COVER!B21</f>
        <v>SSPC</v>
      </c>
      <c r="D13" s="214">
        <v>2</v>
      </c>
      <c r="E13" s="215"/>
      <c r="F13" s="237">
        <v>1</v>
      </c>
      <c r="G13" s="227"/>
      <c r="H13" s="228">
        <f>L13</f>
        <v>1600</v>
      </c>
      <c r="I13" s="233">
        <f>H13*F13*D13</f>
        <v>3200</v>
      </c>
      <c r="J13" s="233"/>
      <c r="K13" s="234">
        <f>J13+I13</f>
        <v>3200</v>
      </c>
      <c r="L13" s="198">
        <v>1600</v>
      </c>
      <c r="M13" s="199"/>
      <c r="N13" s="199"/>
      <c r="O13" s="199"/>
      <c r="P13" s="199"/>
      <c r="Q13" s="19"/>
      <c r="R13" s="19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s="3" customFormat="1" ht="18" customHeight="1">
      <c r="A14" s="207">
        <v>7</v>
      </c>
      <c r="B14" s="235" t="s">
        <v>350</v>
      </c>
      <c r="C14" s="214" t="s">
        <v>351</v>
      </c>
      <c r="D14" s="214">
        <v>2</v>
      </c>
      <c r="E14" s="215"/>
      <c r="F14" s="237">
        <v>1</v>
      </c>
      <c r="G14" s="227"/>
      <c r="H14" s="228">
        <v>1300</v>
      </c>
      <c r="I14" s="233">
        <f>D14*F14*H14</f>
        <v>2600</v>
      </c>
      <c r="J14" s="233"/>
      <c r="K14" s="234">
        <f>I14+J14</f>
        <v>2600</v>
      </c>
      <c r="L14" s="163"/>
      <c r="M14" s="163"/>
      <c r="N14" s="163"/>
      <c r="O14" s="163"/>
      <c r="P14" s="163"/>
      <c r="Q14" s="201" t="s">
        <v>374</v>
      </c>
      <c r="R14" s="19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s="3" customFormat="1" ht="18" customHeight="1">
      <c r="A15" s="207">
        <v>8</v>
      </c>
      <c r="B15" s="235" t="s">
        <v>386</v>
      </c>
      <c r="C15" s="214" t="str">
        <f>COVER!B22</f>
        <v>BODY MATERIAL</v>
      </c>
      <c r="D15" s="214">
        <v>1</v>
      </c>
      <c r="E15" s="215"/>
      <c r="F15" s="237">
        <v>1.52</v>
      </c>
      <c r="G15" s="227"/>
      <c r="H15" s="228">
        <f>IF(C15="SS400",M15,IF(C15="BODY MATERIAL",N15))</f>
        <v>10640</v>
      </c>
      <c r="I15" s="233">
        <f>H15</f>
        <v>10640</v>
      </c>
      <c r="J15" s="233"/>
      <c r="K15" s="234">
        <f>I15+J15</f>
        <v>10640</v>
      </c>
      <c r="L15" s="163" t="s">
        <v>358</v>
      </c>
      <c r="M15" s="198">
        <v>5100</v>
      </c>
      <c r="N15" s="198">
        <f>IF(AND(C15="BODY MATERIAL"),IF((H6&gt;0),H6*F15*2,IF((H7&gt;0),H7*F15*2,IF((H8&gt;0),H8*F15*2))))</f>
        <v>10640</v>
      </c>
      <c r="O15" s="198"/>
      <c r="P15" s="198"/>
      <c r="Q15" s="201" t="s">
        <v>374</v>
      </c>
      <c r="R15" s="164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s="3" customFormat="1" ht="18" customHeight="1">
      <c r="A16" s="207">
        <v>9</v>
      </c>
      <c r="B16" s="235" t="s">
        <v>217</v>
      </c>
      <c r="C16" s="214" t="str">
        <f>COVER!B23</f>
        <v>B8M</v>
      </c>
      <c r="D16" s="214">
        <v>4</v>
      </c>
      <c r="E16" s="215"/>
      <c r="F16" s="237"/>
      <c r="G16" s="227"/>
      <c r="H16" s="228">
        <f>IF(C16="B8",M16,IF(C16="B8M",N16,IF(C16="B7(다크로)",O16)))</f>
        <v>400</v>
      </c>
      <c r="I16" s="233">
        <f>H16*D16</f>
        <v>1600</v>
      </c>
      <c r="J16" s="233"/>
      <c r="K16" s="234">
        <f>J16+I16</f>
        <v>1600</v>
      </c>
      <c r="L16" s="163" t="s">
        <v>387</v>
      </c>
      <c r="M16" s="198">
        <v>350</v>
      </c>
      <c r="N16" s="198">
        <v>400</v>
      </c>
      <c r="O16" s="198">
        <v>300</v>
      </c>
      <c r="P16" s="198"/>
      <c r="Q16" s="204" t="s">
        <v>385</v>
      </c>
      <c r="R16" s="19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s="3" customFormat="1" ht="18" customHeight="1">
      <c r="A17" s="207">
        <v>10</v>
      </c>
      <c r="B17" s="235" t="s">
        <v>221</v>
      </c>
      <c r="C17" s="214" t="str">
        <f>COVER!B24</f>
        <v>ALBC2</v>
      </c>
      <c r="D17" s="214">
        <v>1</v>
      </c>
      <c r="E17" s="215"/>
      <c r="F17" s="237">
        <v>1</v>
      </c>
      <c r="G17" s="227"/>
      <c r="H17" s="228">
        <f>L17</f>
        <v>6500</v>
      </c>
      <c r="I17" s="233">
        <f>H17*F17</f>
        <v>6500</v>
      </c>
      <c r="J17" s="233"/>
      <c r="K17" s="234">
        <f>J17+I17</f>
        <v>6500</v>
      </c>
      <c r="L17" s="198">
        <v>6500</v>
      </c>
      <c r="M17" s="199"/>
      <c r="N17" s="198"/>
      <c r="O17" s="198"/>
      <c r="P17" s="198"/>
      <c r="Q17" s="202"/>
      <c r="R17" s="19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s="3" customFormat="1" ht="18" customHeight="1">
      <c r="A18" s="207">
        <v>11</v>
      </c>
      <c r="B18" s="235" t="s">
        <v>187</v>
      </c>
      <c r="C18" s="214" t="s">
        <v>353</v>
      </c>
      <c r="D18" s="214">
        <v>1</v>
      </c>
      <c r="E18" s="215"/>
      <c r="F18" s="237">
        <v>0.81</v>
      </c>
      <c r="G18" s="227"/>
      <c r="H18" s="228">
        <f>M18</f>
        <v>2700</v>
      </c>
      <c r="I18" s="233">
        <f>H18*D18</f>
        <v>2700</v>
      </c>
      <c r="J18" s="233"/>
      <c r="K18" s="234">
        <f>J18+I18</f>
        <v>2700</v>
      </c>
      <c r="L18" s="163" t="s">
        <v>359</v>
      </c>
      <c r="M18" s="163">
        <v>2700</v>
      </c>
      <c r="N18" s="163"/>
      <c r="O18" s="163"/>
      <c r="P18" s="163"/>
      <c r="Q18" s="205"/>
      <c r="R18" s="165"/>
      <c r="S18" s="145"/>
      <c r="T18" s="145"/>
      <c r="U18" s="145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s="3" customFormat="1" ht="18" customHeight="1">
      <c r="A19" s="207">
        <v>12</v>
      </c>
      <c r="B19" s="235" t="s">
        <v>189</v>
      </c>
      <c r="C19" s="214" t="str">
        <f>COVER!B26</f>
        <v>B8M</v>
      </c>
      <c r="D19" s="214">
        <v>4</v>
      </c>
      <c r="E19" s="215"/>
      <c r="F19" s="237"/>
      <c r="G19" s="227"/>
      <c r="H19" s="230">
        <f>IF(C19="B8",M19,IF(C19="B8M",N19))</f>
        <v>400</v>
      </c>
      <c r="I19" s="233">
        <f>H19*D19</f>
        <v>1600</v>
      </c>
      <c r="J19" s="233"/>
      <c r="K19" s="234">
        <f>I19+J19</f>
        <v>1600</v>
      </c>
      <c r="L19" s="163" t="s">
        <v>380</v>
      </c>
      <c r="M19" s="163">
        <v>200</v>
      </c>
      <c r="N19" s="163">
        <v>400</v>
      </c>
      <c r="O19" s="163"/>
      <c r="P19" s="163"/>
      <c r="Q19" s="204" t="s">
        <v>381</v>
      </c>
      <c r="R19" s="19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s="3" customFormat="1" ht="18" customHeight="1">
      <c r="A20" s="207">
        <v>13</v>
      </c>
      <c r="B20" s="235" t="s">
        <v>188</v>
      </c>
      <c r="C20" s="214" t="str">
        <f>COVER!B27</f>
        <v>B8M</v>
      </c>
      <c r="D20" s="214">
        <v>4</v>
      </c>
      <c r="E20" s="215"/>
      <c r="F20" s="237"/>
      <c r="G20" s="227"/>
      <c r="H20" s="228">
        <f>IF(C20="B8",M20,IF(C20="B8M",N20,IF(C20="B7(다크로)",O20)))</f>
        <v>6000</v>
      </c>
      <c r="I20" s="233">
        <f>H20*D20</f>
        <v>24000</v>
      </c>
      <c r="J20" s="233"/>
      <c r="K20" s="234">
        <f t="shared" ref="K20:K22" si="1">I20+J20</f>
        <v>24000</v>
      </c>
      <c r="L20" s="163" t="s">
        <v>392</v>
      </c>
      <c r="M20" s="163">
        <v>5000</v>
      </c>
      <c r="N20" s="163">
        <v>6000</v>
      </c>
      <c r="O20" s="163">
        <v>2500</v>
      </c>
      <c r="P20" s="163"/>
      <c r="Q20" s="204" t="s">
        <v>385</v>
      </c>
      <c r="R20" s="19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s="3" customFormat="1" ht="18" customHeight="1">
      <c r="A21" s="207">
        <v>14</v>
      </c>
      <c r="B21" s="235" t="s">
        <v>349</v>
      </c>
      <c r="C21" s="214"/>
      <c r="D21" s="214">
        <v>4</v>
      </c>
      <c r="E21" s="215"/>
      <c r="F21" s="237"/>
      <c r="G21" s="227"/>
      <c r="H21" s="228">
        <v>650</v>
      </c>
      <c r="I21" s="233">
        <f>H21*D21</f>
        <v>2600</v>
      </c>
      <c r="J21" s="241"/>
      <c r="K21" s="234">
        <f>I21+J21</f>
        <v>2600</v>
      </c>
      <c r="L21" s="163" t="s">
        <v>401</v>
      </c>
      <c r="M21" s="163"/>
      <c r="N21" s="163"/>
      <c r="O21" s="163"/>
      <c r="P21" s="163"/>
      <c r="Q21" s="201" t="s">
        <v>374</v>
      </c>
      <c r="R21" s="19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s="3" customFormat="1" ht="18" customHeight="1">
      <c r="A22" s="207">
        <v>15</v>
      </c>
      <c r="B22" s="235" t="s">
        <v>6</v>
      </c>
      <c r="C22" s="214" t="str">
        <f>COVER!B34</f>
        <v>10 BAR</v>
      </c>
      <c r="D22" s="214">
        <v>1</v>
      </c>
      <c r="E22" s="215"/>
      <c r="F22" s="237"/>
      <c r="G22" s="242"/>
      <c r="H22" s="228"/>
      <c r="I22" s="233">
        <f>IF(C22="10 BAR",M22,IF(C22="16 BAR",N22,IF(C22="20 BAR",O22)))</f>
        <v>355000</v>
      </c>
      <c r="J22" s="241"/>
      <c r="K22" s="234">
        <f t="shared" si="1"/>
        <v>355000</v>
      </c>
      <c r="L22" s="163"/>
      <c r="M22" s="163">
        <v>355000</v>
      </c>
      <c r="N22" s="163">
        <v>589000</v>
      </c>
      <c r="O22" s="163">
        <v>748000</v>
      </c>
      <c r="P22" s="163"/>
      <c r="Q22" s="19"/>
      <c r="R22" s="19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s="3" customFormat="1" ht="18" customHeight="1">
      <c r="A23" s="207">
        <v>16</v>
      </c>
      <c r="B23" s="235" t="s">
        <v>7</v>
      </c>
      <c r="C23" s="214" t="str">
        <f>COVER!B32</f>
        <v>기존 단가</v>
      </c>
      <c r="D23" s="214">
        <v>1</v>
      </c>
      <c r="E23" s="215"/>
      <c r="F23" s="237"/>
      <c r="G23" s="242"/>
      <c r="H23" s="228">
        <f>IF(COVER!B9="APPLICATION",0,IF(COVER!B32="기존 단가",L23,IF(COVER!B32="외주 2COATING",M23,IF(COVER!B32="외주 3COATING",N23))))</f>
        <v>110700</v>
      </c>
      <c r="I23" s="233">
        <f>H23</f>
        <v>110700</v>
      </c>
      <c r="J23" s="233"/>
      <c r="K23" s="234"/>
      <c r="L23" s="163">
        <v>110700</v>
      </c>
      <c r="M23" s="163">
        <f>IF(H6&gt;0,F6*520,IF(H7&gt;0,F7*520,IF(H8&gt;0,F8*520)))</f>
        <v>138320</v>
      </c>
      <c r="N23" s="163">
        <f>IF(H6&gt;0,F6*620,IF(H7&gt;0,F7*620,IF(H8&gt;0,F8*620)))</f>
        <v>164920</v>
      </c>
      <c r="O23" s="90"/>
      <c r="P23" s="182"/>
      <c r="Q23" s="19"/>
      <c r="R23" s="19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s="3" customFormat="1" ht="18" customHeight="1">
      <c r="A24" s="207">
        <v>17</v>
      </c>
      <c r="B24" s="235" t="s">
        <v>174</v>
      </c>
      <c r="C24" s="214"/>
      <c r="D24" s="214">
        <v>1</v>
      </c>
      <c r="E24" s="215"/>
      <c r="F24" s="237"/>
      <c r="G24" s="242"/>
      <c r="H24" s="228">
        <f>IF(COVER!B9="APPLICATION",0,IF(COVER!B9="N/A",L24))</f>
        <v>110700</v>
      </c>
      <c r="I24" s="233">
        <f>H24</f>
        <v>110700</v>
      </c>
      <c r="J24" s="234"/>
      <c r="K24" s="234"/>
      <c r="L24" s="211">
        <v>110700</v>
      </c>
      <c r="M24" s="90"/>
      <c r="N24" s="90"/>
      <c r="O24" s="90"/>
      <c r="P24" s="90"/>
      <c r="Q24" s="19"/>
      <c r="R24" s="19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s="3" customFormat="1" ht="18" customHeight="1">
      <c r="A25" s="207">
        <v>18</v>
      </c>
      <c r="B25" s="97" t="s">
        <v>175</v>
      </c>
      <c r="C25" s="14"/>
      <c r="D25" s="14"/>
      <c r="E25" s="15"/>
      <c r="F25" s="15"/>
      <c r="G25" s="15"/>
      <c r="H25" s="15"/>
      <c r="I25" s="98"/>
      <c r="J25" s="98"/>
      <c r="K25" s="16">
        <f>SUM(K6:K21)+SUM(K23:K24)</f>
        <v>2270835</v>
      </c>
      <c r="L25" s="185" t="s">
        <v>248</v>
      </c>
      <c r="M25" s="90"/>
      <c r="N25" s="90"/>
      <c r="O25" s="90"/>
      <c r="P25" s="90"/>
      <c r="Q25" s="19"/>
      <c r="R25" s="19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s="3" customFormat="1" ht="18" customHeight="1">
      <c r="A26" s="207">
        <v>18</v>
      </c>
      <c r="B26" s="97" t="s">
        <v>176</v>
      </c>
      <c r="C26" s="14"/>
      <c r="D26" s="14"/>
      <c r="E26" s="15"/>
      <c r="F26" s="15"/>
      <c r="G26" s="15"/>
      <c r="H26" s="15"/>
      <c r="I26" s="98"/>
      <c r="J26" s="98"/>
      <c r="K26" s="16">
        <f>SUM(K6:K21)+SUM(K23:K24)</f>
        <v>2270835</v>
      </c>
      <c r="L26" s="185" t="s">
        <v>248</v>
      </c>
      <c r="M26" s="90"/>
      <c r="N26" s="90"/>
      <c r="O26" s="90"/>
      <c r="P26" s="90"/>
      <c r="Q26" s="19"/>
      <c r="R26" s="19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s="3" customFormat="1" ht="18" customHeight="1">
      <c r="A27" s="207">
        <v>18</v>
      </c>
      <c r="B27" s="97" t="s">
        <v>177</v>
      </c>
      <c r="C27" s="14"/>
      <c r="D27" s="14"/>
      <c r="E27" s="15"/>
      <c r="F27" s="15"/>
      <c r="G27" s="15"/>
      <c r="H27" s="15"/>
      <c r="I27" s="98"/>
      <c r="J27" s="98"/>
      <c r="K27" s="16">
        <f>SUM(K6:K24)</f>
        <v>2625835</v>
      </c>
      <c r="L27" s="185" t="s">
        <v>248</v>
      </c>
      <c r="M27" s="90"/>
      <c r="N27" s="90"/>
      <c r="O27" s="90"/>
      <c r="P27" s="90"/>
      <c r="Q27" s="19"/>
      <c r="R27" s="19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s="3" customFormat="1" ht="18" customHeight="1">
      <c r="A28" s="207">
        <v>19</v>
      </c>
      <c r="B28" s="235" t="s">
        <v>237</v>
      </c>
      <c r="C28" s="214" t="str">
        <f>COVER!B28</f>
        <v>REQUIRED</v>
      </c>
      <c r="D28" s="214">
        <v>0</v>
      </c>
      <c r="E28" s="215"/>
      <c r="F28" s="239"/>
      <c r="G28" s="215"/>
      <c r="H28" s="233">
        <f>IF(C28="REQUIRED",L28,IF(C28="N/A",0))</f>
        <v>0</v>
      </c>
      <c r="I28" s="233">
        <f>H28</f>
        <v>0</v>
      </c>
      <c r="J28" s="215"/>
      <c r="K28" s="234"/>
      <c r="L28" s="163"/>
      <c r="M28" s="90"/>
      <c r="N28" s="90"/>
      <c r="O28" s="90"/>
      <c r="P28" s="90"/>
      <c r="Q28" s="19"/>
      <c r="R28" s="19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s="3" customFormat="1" ht="18" customHeight="1">
      <c r="A29" s="207">
        <v>20</v>
      </c>
      <c r="B29" s="235" t="s">
        <v>180</v>
      </c>
      <c r="C29" s="214"/>
      <c r="D29" s="214">
        <v>0</v>
      </c>
      <c r="E29" s="215"/>
      <c r="F29" s="239"/>
      <c r="G29" s="215"/>
      <c r="H29" s="215"/>
      <c r="I29" s="215"/>
      <c r="J29" s="215"/>
      <c r="K29" s="234"/>
      <c r="L29" s="185"/>
      <c r="M29" s="90"/>
      <c r="N29" s="90"/>
      <c r="O29" s="90"/>
      <c r="P29" s="90"/>
      <c r="Q29" s="19"/>
      <c r="R29" s="19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s="3" customFormat="1" ht="18" customHeight="1">
      <c r="A30" s="207">
        <v>21</v>
      </c>
      <c r="B30" s="235" t="s">
        <v>178</v>
      </c>
      <c r="C30" s="214" t="str">
        <f>COVER!B35</f>
        <v>MOTOR</v>
      </c>
      <c r="D30" s="214">
        <v>1</v>
      </c>
      <c r="E30" s="215"/>
      <c r="F30" s="239"/>
      <c r="G30" s="215"/>
      <c r="H30" s="233">
        <f>IF(COVER!B9="APPLICATION",0,IF(COVER!B35="BARE",M30,(IF(COVER!B35="LEVER",M30,IF(COVER!B35="GEAR",N30,IF(COVER!B35="MOTOR",O30))))))</f>
        <v>185000</v>
      </c>
      <c r="I30" s="234">
        <f>H30</f>
        <v>185000</v>
      </c>
      <c r="J30" s="215"/>
      <c r="K30" s="234"/>
      <c r="L30" s="163">
        <v>201400</v>
      </c>
      <c r="M30" s="163">
        <v>90000</v>
      </c>
      <c r="N30" s="163">
        <v>90000</v>
      </c>
      <c r="O30" s="163">
        <v>185000</v>
      </c>
      <c r="P30" s="90"/>
      <c r="Q30" s="19"/>
      <c r="R30" s="19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s="3" customFormat="1" ht="18" customHeight="1">
      <c r="A31" s="207">
        <v>22</v>
      </c>
      <c r="B31" s="235"/>
      <c r="C31" s="214"/>
      <c r="D31" s="214"/>
      <c r="E31" s="215"/>
      <c r="F31" s="239"/>
      <c r="G31" s="215"/>
      <c r="H31" s="215"/>
      <c r="I31" s="215"/>
      <c r="J31" s="215"/>
      <c r="K31" s="234"/>
      <c r="L31" s="185"/>
      <c r="M31" s="90"/>
      <c r="N31" s="90"/>
      <c r="O31" s="90"/>
      <c r="P31" s="90"/>
      <c r="Q31" s="19"/>
      <c r="R31" s="19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s="3" customFormat="1" ht="18" customHeight="1">
      <c r="A32" s="207">
        <v>23</v>
      </c>
      <c r="B32" s="89" t="s">
        <v>179</v>
      </c>
      <c r="C32" s="14"/>
      <c r="D32" s="99"/>
      <c r="E32" s="15"/>
      <c r="F32" s="15"/>
      <c r="G32" s="15"/>
      <c r="H32" s="15"/>
      <c r="I32" s="100"/>
      <c r="J32" s="101"/>
      <c r="K32" s="100">
        <f>SUM(K28:K31)</f>
        <v>0</v>
      </c>
      <c r="L32" s="185" t="s">
        <v>249</v>
      </c>
      <c r="M32" s="90"/>
      <c r="N32" s="90"/>
      <c r="O32" s="90"/>
      <c r="P32" s="90"/>
      <c r="Q32" s="19"/>
      <c r="R32" s="19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s="3" customFormat="1" ht="18" customHeight="1">
      <c r="A33" s="186">
        <v>24</v>
      </c>
      <c r="B33" s="216" t="s">
        <v>252</v>
      </c>
      <c r="C33" s="217"/>
      <c r="D33" s="218"/>
      <c r="E33" s="219"/>
      <c r="F33" s="219"/>
      <c r="G33" s="219"/>
      <c r="H33" s="219"/>
      <c r="I33" s="220"/>
      <c r="J33" s="221"/>
      <c r="K33" s="220">
        <f>K25+K32</f>
        <v>2270835</v>
      </c>
      <c r="L33" s="185" t="s">
        <v>257</v>
      </c>
      <c r="M33" s="90"/>
      <c r="N33" s="90"/>
      <c r="O33" s="90"/>
      <c r="P33" s="90"/>
      <c r="Q33" s="19"/>
      <c r="R33" s="19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s="3" customFormat="1" ht="18" customHeight="1">
      <c r="A34" s="186">
        <v>24</v>
      </c>
      <c r="B34" s="216" t="s">
        <v>255</v>
      </c>
      <c r="C34" s="217"/>
      <c r="D34" s="218"/>
      <c r="E34" s="219"/>
      <c r="F34" s="219"/>
      <c r="G34" s="219"/>
      <c r="H34" s="219"/>
      <c r="I34" s="220"/>
      <c r="J34" s="221"/>
      <c r="K34" s="220">
        <f>K26+K32</f>
        <v>2270835</v>
      </c>
      <c r="L34" s="185" t="s">
        <v>257</v>
      </c>
      <c r="M34" s="90"/>
      <c r="N34" s="90"/>
      <c r="O34" s="90"/>
      <c r="P34" s="90"/>
      <c r="Q34" s="19"/>
      <c r="R34" s="19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s="3" customFormat="1" ht="18" customHeight="1">
      <c r="A35" s="186">
        <v>24</v>
      </c>
      <c r="B35" s="216" t="s">
        <v>256</v>
      </c>
      <c r="C35" s="217"/>
      <c r="D35" s="218"/>
      <c r="E35" s="219"/>
      <c r="F35" s="219"/>
      <c r="G35" s="219"/>
      <c r="H35" s="219"/>
      <c r="I35" s="220"/>
      <c r="J35" s="221"/>
      <c r="K35" s="220">
        <f>K27+K32</f>
        <v>2625835</v>
      </c>
      <c r="L35" s="185" t="s">
        <v>257</v>
      </c>
      <c r="M35" s="90"/>
      <c r="N35" s="90"/>
      <c r="O35" s="90"/>
      <c r="P35" s="90"/>
      <c r="Q35" s="19"/>
      <c r="R35" s="19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s="4" customFormat="1" ht="18" customHeight="1">
      <c r="A36" s="186">
        <v>25</v>
      </c>
      <c r="B36" s="102" t="s">
        <v>407</v>
      </c>
      <c r="C36" s="103"/>
      <c r="D36" s="103"/>
      <c r="E36" s="104"/>
      <c r="F36" s="105"/>
      <c r="G36" s="105"/>
      <c r="H36" s="106"/>
      <c r="I36" s="223" t="s">
        <v>41</v>
      </c>
      <c r="J36" s="223">
        <v>0.7</v>
      </c>
      <c r="K36" s="107">
        <f>(K25+K32)/J36</f>
        <v>3244050</v>
      </c>
      <c r="L36" s="185" t="s">
        <v>250</v>
      </c>
      <c r="M36" s="90"/>
      <c r="N36" s="90"/>
      <c r="O36" s="90"/>
      <c r="P36" s="90"/>
      <c r="Q36" s="19"/>
      <c r="R36" s="19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s="4" customFormat="1" ht="18" customHeight="1">
      <c r="A37" s="186">
        <v>25</v>
      </c>
      <c r="B37" s="102" t="s">
        <v>408</v>
      </c>
      <c r="C37" s="103"/>
      <c r="D37" s="103"/>
      <c r="E37" s="104"/>
      <c r="F37" s="105"/>
      <c r="G37" s="105"/>
      <c r="H37" s="106"/>
      <c r="I37" s="223" t="s">
        <v>41</v>
      </c>
      <c r="J37" s="223">
        <v>0.7</v>
      </c>
      <c r="K37" s="107">
        <f>(K26+K32)/J37</f>
        <v>3244050</v>
      </c>
      <c r="L37" s="185" t="s">
        <v>250</v>
      </c>
      <c r="M37" s="90"/>
      <c r="N37" s="90"/>
      <c r="O37" s="90"/>
      <c r="P37" s="90"/>
      <c r="Q37" s="19"/>
      <c r="R37" s="19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s="4" customFormat="1" ht="18" customHeight="1">
      <c r="A38" s="186">
        <v>25</v>
      </c>
      <c r="B38" s="102" t="s">
        <v>409</v>
      </c>
      <c r="C38" s="103"/>
      <c r="D38" s="103"/>
      <c r="E38" s="104"/>
      <c r="F38" s="105"/>
      <c r="G38" s="105"/>
      <c r="H38" s="106"/>
      <c r="I38" s="223" t="s">
        <v>41</v>
      </c>
      <c r="J38" s="223">
        <v>0.7</v>
      </c>
      <c r="K38" s="107">
        <f>(K27+K32)/J38</f>
        <v>3751192.8571428573</v>
      </c>
      <c r="L38" s="185" t="s">
        <v>250</v>
      </c>
      <c r="M38" s="90"/>
      <c r="N38" s="90"/>
      <c r="O38" s="90"/>
      <c r="P38" s="90"/>
      <c r="Q38" s="19"/>
      <c r="R38" s="19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s="4" customFormat="1" ht="18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57"/>
      <c r="M39" s="108"/>
      <c r="N39" s="108"/>
      <c r="O39" s="108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s="4" customFormat="1" ht="18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57"/>
      <c r="M40" s="108"/>
      <c r="N40" s="108"/>
      <c r="O40" s="108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s="4" customFormat="1" ht="18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57"/>
      <c r="M41" s="108"/>
      <c r="N41" s="108"/>
      <c r="O41" s="108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s="4" customFormat="1" ht="18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57"/>
      <c r="M42" s="108"/>
      <c r="N42" s="108"/>
      <c r="O42" s="108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s="4" customFormat="1" ht="18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57"/>
      <c r="M43" s="108"/>
      <c r="N43" s="108"/>
      <c r="O43" s="108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s="4" customFormat="1" ht="18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57"/>
      <c r="M44" s="108"/>
      <c r="N44" s="108"/>
      <c r="O44" s="108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s="4" customFormat="1" ht="18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57"/>
      <c r="M45" s="108"/>
      <c r="N45" s="108"/>
      <c r="O45" s="108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s="4" customFormat="1" ht="18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57"/>
      <c r="M46" s="108"/>
      <c r="N46" s="108"/>
      <c r="O46" s="108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s="4" customFormat="1" ht="12.75">
      <c r="A47" s="10"/>
      <c r="B47" s="10"/>
      <c r="C47" s="10"/>
      <c r="D47" s="109"/>
      <c r="E47" s="10"/>
      <c r="F47" s="10"/>
      <c r="G47" s="10"/>
      <c r="H47" s="10"/>
      <c r="I47" s="10"/>
      <c r="J47" s="10"/>
      <c r="K47" s="10"/>
      <c r="L47" s="108"/>
      <c r="M47" s="108"/>
      <c r="N47" s="108"/>
      <c r="O47" s="108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s="4" customFormat="1" ht="12.7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57"/>
      <c r="M48" s="108"/>
      <c r="N48" s="108"/>
      <c r="O48" s="108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s="4" customFormat="1" ht="12.7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57"/>
      <c r="M49" s="108"/>
      <c r="N49" s="108"/>
      <c r="O49" s="108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s="5" customForma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57"/>
      <c r="M50" s="87"/>
      <c r="N50" s="87"/>
      <c r="O50" s="8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s="5" customForma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57"/>
      <c r="M51" s="87"/>
      <c r="N51" s="87"/>
      <c r="O51" s="87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s="5" customForma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57"/>
      <c r="M52" s="87"/>
      <c r="N52" s="87"/>
      <c r="O52" s="87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</sheetData>
  <mergeCells count="4">
    <mergeCell ref="A1:K1"/>
    <mergeCell ref="D3:E3"/>
    <mergeCell ref="F3:H3"/>
    <mergeCell ref="L4:P4"/>
  </mergeCells>
  <phoneticPr fontId="7" type="noConversion"/>
  <pageMargins left="0.75" right="0.75" top="1" bottom="1" header="0.5" footer="0.5"/>
  <pageSetup paperSize="9" scale="62" orientation="portrait" r:id="rId1"/>
  <headerFooter alignWithMargins="0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AE52"/>
  <sheetViews>
    <sheetView view="pageBreakPreview" zoomScale="85" zoomScaleNormal="100" zoomScaleSheetLayoutView="85" workbookViewId="0">
      <selection activeCell="M23" sqref="M23"/>
    </sheetView>
  </sheetViews>
  <sheetFormatPr defaultColWidth="8.88671875" defaultRowHeight="13.5"/>
  <cols>
    <col min="1" max="1" width="5.26171875" style="10" customWidth="1"/>
    <col min="2" max="2" width="20.23046875" style="10" bestFit="1" customWidth="1"/>
    <col min="3" max="3" width="14.3828125" style="10" bestFit="1" customWidth="1"/>
    <col min="4" max="4" width="3.7421875" style="10" customWidth="1"/>
    <col min="5" max="5" width="8.30078125" style="10" customWidth="1"/>
    <col min="6" max="6" width="6.1953125" style="10" customWidth="1"/>
    <col min="7" max="7" width="5.73046875" style="10" customWidth="1"/>
    <col min="8" max="8" width="8.30078125" style="10" bestFit="1" customWidth="1"/>
    <col min="9" max="9" width="10.9921875" style="10" customWidth="1"/>
    <col min="10" max="10" width="12.74609375" style="10" bestFit="1" customWidth="1"/>
    <col min="11" max="11" width="18.125" style="10" bestFit="1" customWidth="1"/>
    <col min="12" max="12" width="23.38671875" style="157" bestFit="1" customWidth="1"/>
    <col min="13" max="13" width="13.796875" style="87" customWidth="1"/>
    <col min="14" max="14" width="12.16015625" style="87" bestFit="1" customWidth="1"/>
    <col min="15" max="15" width="9.703125" style="87" customWidth="1"/>
    <col min="16" max="16" width="12.16015625" style="8" bestFit="1" customWidth="1"/>
    <col min="17" max="18" width="15.43359375" style="8" bestFit="1" customWidth="1"/>
    <col min="19" max="19" width="8.88671875" style="8"/>
    <col min="20" max="20" width="17.07421875" style="8" bestFit="1" customWidth="1"/>
    <col min="21" max="31" width="8.88671875" style="8"/>
    <col min="32" max="16384" width="8.88671875" style="2"/>
  </cols>
  <sheetData>
    <row r="1" spans="1:31" ht="24" thickTop="1" thickBot="1">
      <c r="A1" s="336" t="s">
        <v>190</v>
      </c>
      <c r="B1" s="337"/>
      <c r="C1" s="337"/>
      <c r="D1" s="337"/>
      <c r="E1" s="337"/>
      <c r="F1" s="337"/>
      <c r="G1" s="337"/>
      <c r="H1" s="337"/>
      <c r="I1" s="337"/>
      <c r="J1" s="337"/>
      <c r="K1" s="338"/>
      <c r="M1" s="7"/>
    </row>
    <row r="2" spans="1:31" ht="14.45" customHeight="1" thickTop="1" thickBot="1">
      <c r="A2" s="158"/>
      <c r="B2" s="158"/>
      <c r="C2" s="115"/>
      <c r="E2" s="115"/>
      <c r="F2" s="115"/>
      <c r="G2" s="115"/>
      <c r="N2" s="87">
        <v>4255954</v>
      </c>
      <c r="O2" s="87">
        <f>N2/0.7</f>
        <v>6079934.2857142864</v>
      </c>
    </row>
    <row r="3" spans="1:31" ht="15" thickTop="1" thickBot="1">
      <c r="A3" s="184" t="s">
        <v>191</v>
      </c>
      <c r="B3" s="183" t="s">
        <v>301</v>
      </c>
      <c r="C3" s="184" t="s">
        <v>192</v>
      </c>
      <c r="D3" s="339" t="s">
        <v>193</v>
      </c>
      <c r="E3" s="340"/>
      <c r="F3" s="341" t="s">
        <v>194</v>
      </c>
      <c r="G3" s="339"/>
      <c r="H3" s="339"/>
      <c r="I3" s="187" t="s">
        <v>310</v>
      </c>
      <c r="J3" s="184" t="s">
        <v>197</v>
      </c>
      <c r="K3" s="183" t="s">
        <v>313</v>
      </c>
    </row>
    <row r="4" spans="1:31" ht="19.149999999999999" customHeight="1" thickTop="1" thickBot="1">
      <c r="J4" s="197" t="s">
        <v>332</v>
      </c>
      <c r="K4" s="189">
        <v>925</v>
      </c>
      <c r="L4" s="342" t="s">
        <v>207</v>
      </c>
      <c r="M4" s="343"/>
      <c r="N4" s="343"/>
      <c r="O4" s="343"/>
      <c r="P4" s="343"/>
    </row>
    <row r="5" spans="1:31" s="3" customFormat="1" ht="25.15" customHeight="1" thickTop="1">
      <c r="A5" s="9" t="s">
        <v>1</v>
      </c>
      <c r="B5" s="9" t="s">
        <v>164</v>
      </c>
      <c r="C5" s="88" t="s">
        <v>165</v>
      </c>
      <c r="D5" s="89" t="s">
        <v>166</v>
      </c>
      <c r="E5" s="9" t="s">
        <v>167</v>
      </c>
      <c r="F5" s="9" t="s">
        <v>168</v>
      </c>
      <c r="G5" s="9" t="s">
        <v>169</v>
      </c>
      <c r="H5" s="9" t="s">
        <v>170</v>
      </c>
      <c r="I5" s="123" t="s">
        <v>171</v>
      </c>
      <c r="J5" s="195" t="s">
        <v>172</v>
      </c>
      <c r="K5" s="196" t="s">
        <v>173</v>
      </c>
      <c r="L5" s="90" t="s">
        <v>198</v>
      </c>
      <c r="M5" s="121" t="s">
        <v>199</v>
      </c>
      <c r="N5" s="90" t="s">
        <v>38</v>
      </c>
      <c r="O5" s="90" t="s">
        <v>200</v>
      </c>
      <c r="P5" s="90" t="s">
        <v>201</v>
      </c>
      <c r="Q5" s="90" t="s">
        <v>265</v>
      </c>
      <c r="R5" s="90" t="s">
        <v>266</v>
      </c>
      <c r="S5" s="10"/>
      <c r="T5" s="191" t="s">
        <v>331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s="3" customFormat="1" ht="18" customHeight="1">
      <c r="A6" s="186">
        <v>1</v>
      </c>
      <c r="B6" s="224" t="s">
        <v>181</v>
      </c>
      <c r="C6" s="225">
        <f>COVER!B13</f>
        <v>0</v>
      </c>
      <c r="D6" s="226">
        <v>1</v>
      </c>
      <c r="E6" s="215"/>
      <c r="F6" s="227">
        <v>196</v>
      </c>
      <c r="G6" s="227"/>
      <c r="H6" s="228">
        <f>COVER!C13</f>
        <v>0</v>
      </c>
      <c r="I6" s="229">
        <f>D6*F6*H6</f>
        <v>0</v>
      </c>
      <c r="J6" s="230"/>
      <c r="K6" s="231">
        <f t="shared" ref="K6:K12" si="0">I6+J6</f>
        <v>0</v>
      </c>
      <c r="L6" s="163">
        <v>180000</v>
      </c>
      <c r="M6" s="209">
        <v>179400</v>
      </c>
      <c r="N6" s="163"/>
      <c r="O6" s="90"/>
      <c r="P6" s="90"/>
      <c r="Q6" s="19"/>
      <c r="R6" s="19"/>
      <c r="S6" s="10"/>
      <c r="T6" s="10">
        <v>185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s="3" customFormat="1" ht="18" customHeight="1">
      <c r="A7" s="186">
        <v>1</v>
      </c>
      <c r="B7" s="224" t="s">
        <v>182</v>
      </c>
      <c r="C7" s="225" t="str">
        <f>COVER!B14</f>
        <v>A536 Gr65-45-12</v>
      </c>
      <c r="D7" s="226">
        <v>1</v>
      </c>
      <c r="E7" s="215"/>
      <c r="F7" s="227">
        <v>328</v>
      </c>
      <c r="G7" s="227"/>
      <c r="H7" s="228">
        <f>COVER!C14</f>
        <v>3500</v>
      </c>
      <c r="I7" s="229">
        <f>D7*F7*H7</f>
        <v>1148000</v>
      </c>
      <c r="J7" s="230"/>
      <c r="K7" s="231">
        <f t="shared" si="0"/>
        <v>1148000</v>
      </c>
      <c r="L7" s="209">
        <v>227700</v>
      </c>
      <c r="M7" s="163">
        <f>269000*1.1</f>
        <v>295900</v>
      </c>
      <c r="N7" s="185"/>
      <c r="O7" s="90"/>
      <c r="P7" s="90"/>
      <c r="Q7" s="19"/>
      <c r="R7" s="19"/>
      <c r="S7" s="10"/>
      <c r="T7" s="10">
        <v>290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s="3" customFormat="1" ht="18" customHeight="1">
      <c r="A8" s="186">
        <v>1</v>
      </c>
      <c r="B8" s="224" t="s">
        <v>183</v>
      </c>
      <c r="C8" s="225">
        <f>COVER!B15</f>
        <v>0</v>
      </c>
      <c r="D8" s="226">
        <v>1</v>
      </c>
      <c r="E8" s="215"/>
      <c r="F8" s="227">
        <v>310</v>
      </c>
      <c r="G8" s="227"/>
      <c r="H8" s="228">
        <f>COVER!C15</f>
        <v>0</v>
      </c>
      <c r="I8" s="229">
        <f>D8*F8*H8</f>
        <v>0</v>
      </c>
      <c r="J8" s="230"/>
      <c r="K8" s="231">
        <f t="shared" si="0"/>
        <v>0</v>
      </c>
      <c r="L8" s="163">
        <v>245000</v>
      </c>
      <c r="M8" s="163">
        <v>304900</v>
      </c>
      <c r="N8" s="185"/>
      <c r="O8" s="90"/>
      <c r="P8" s="90"/>
      <c r="Q8" s="19"/>
      <c r="R8" s="19"/>
      <c r="S8" s="10"/>
      <c r="T8" s="10">
        <v>290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s="3" customFormat="1" ht="18" customHeight="1">
      <c r="A9" s="186">
        <v>2</v>
      </c>
      <c r="B9" s="232" t="s">
        <v>2</v>
      </c>
      <c r="C9" s="225" t="str">
        <f>COVER!B16</f>
        <v>A351 CF8M</v>
      </c>
      <c r="D9" s="226">
        <v>1</v>
      </c>
      <c r="E9" s="215"/>
      <c r="F9" s="227">
        <f>IF(COVER!B34="10 BAR",Q9,IF(COVER!B34="16 BAR",R9,IF(COVER!B34="20 BAR",R9)))</f>
        <v>100</v>
      </c>
      <c r="G9" s="227"/>
      <c r="H9" s="228">
        <f>COVER!C16</f>
        <v>12000</v>
      </c>
      <c r="I9" s="233">
        <f>D9*F9*H9</f>
        <v>1200000</v>
      </c>
      <c r="J9" s="230"/>
      <c r="K9" s="234">
        <f t="shared" si="0"/>
        <v>1200000</v>
      </c>
      <c r="L9" s="163">
        <v>74600</v>
      </c>
      <c r="M9" s="209">
        <f>L9</f>
        <v>74600</v>
      </c>
      <c r="N9" s="209">
        <f>M9</f>
        <v>74600</v>
      </c>
      <c r="O9" s="185">
        <f>N9*1.3</f>
        <v>96980</v>
      </c>
      <c r="P9" s="163">
        <v>131410</v>
      </c>
      <c r="Q9" s="19">
        <v>100</v>
      </c>
      <c r="R9" s="19">
        <v>112</v>
      </c>
      <c r="S9" s="10"/>
      <c r="T9" s="10">
        <v>109</v>
      </c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 s="3" customFormat="1" ht="18" customHeight="1">
      <c r="A10" s="207">
        <v>3</v>
      </c>
      <c r="B10" s="235" t="s">
        <v>3</v>
      </c>
      <c r="C10" s="236" t="str">
        <f>COVER!B18</f>
        <v>EPDM</v>
      </c>
      <c r="D10" s="214">
        <v>1</v>
      </c>
      <c r="E10" s="215"/>
      <c r="F10" s="227">
        <v>1</v>
      </c>
      <c r="G10" s="227"/>
      <c r="H10" s="228">
        <f>IF(C10="NBR",L10,IF(C10="EPDM",L10,IF(C10="VITON",M10)))</f>
        <v>114950</v>
      </c>
      <c r="I10" s="233">
        <f>H10*F10*D10</f>
        <v>114950</v>
      </c>
      <c r="J10" s="230"/>
      <c r="K10" s="234">
        <f t="shared" si="0"/>
        <v>114950</v>
      </c>
      <c r="L10" s="163">
        <v>114950</v>
      </c>
      <c r="M10" s="163">
        <v>990000</v>
      </c>
      <c r="N10" s="163">
        <v>693500</v>
      </c>
      <c r="O10" s="163"/>
      <c r="P10" s="163"/>
      <c r="Q10" s="19"/>
      <c r="R10" s="1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s="3" customFormat="1" ht="18" customHeight="1">
      <c r="A11" s="207">
        <v>4</v>
      </c>
      <c r="B11" s="235" t="s">
        <v>333</v>
      </c>
      <c r="C11" s="214" t="str">
        <f>COVER!B17</f>
        <v>A564T630</v>
      </c>
      <c r="D11" s="214">
        <v>1</v>
      </c>
      <c r="E11" s="215"/>
      <c r="F11" s="243">
        <v>19</v>
      </c>
      <c r="G11" s="238"/>
      <c r="H11" s="228">
        <f>COVER!C17</f>
        <v>10000</v>
      </c>
      <c r="I11" s="233">
        <f>D11*F11*H11</f>
        <v>190000</v>
      </c>
      <c r="J11" s="233"/>
      <c r="K11" s="234">
        <f t="shared" si="0"/>
        <v>190000</v>
      </c>
      <c r="L11" s="163" t="s">
        <v>345</v>
      </c>
      <c r="M11" s="163">
        <v>18000</v>
      </c>
      <c r="N11" s="163">
        <v>35000</v>
      </c>
      <c r="O11" s="163">
        <f>ROUNDUP(P11/1.3,-2)</f>
        <v>61600</v>
      </c>
      <c r="P11" s="163">
        <v>80000</v>
      </c>
      <c r="Q11" s="18">
        <v>17.559999999999999</v>
      </c>
      <c r="R11" s="18"/>
      <c r="S11" s="108"/>
      <c r="T11" s="10">
        <v>20.5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s="3" customFormat="1" ht="18" customHeight="1">
      <c r="A12" s="207">
        <v>5</v>
      </c>
      <c r="B12" s="235" t="s">
        <v>348</v>
      </c>
      <c r="C12" s="214" t="s">
        <v>211</v>
      </c>
      <c r="D12" s="214">
        <v>1</v>
      </c>
      <c r="E12" s="215"/>
      <c r="F12" s="237">
        <v>1</v>
      </c>
      <c r="G12" s="227"/>
      <c r="H12" s="230">
        <f>L12</f>
        <v>27000</v>
      </c>
      <c r="I12" s="233">
        <f>D12*F12*H12</f>
        <v>27000</v>
      </c>
      <c r="J12" s="233"/>
      <c r="K12" s="234">
        <f t="shared" si="0"/>
        <v>27000</v>
      </c>
      <c r="L12" s="163">
        <v>27000</v>
      </c>
      <c r="M12" s="163"/>
      <c r="N12" s="163"/>
      <c r="O12" s="90"/>
      <c r="P12" s="90"/>
      <c r="Q12" s="19"/>
      <c r="R12" s="19"/>
      <c r="S12" s="10"/>
      <c r="T12" s="20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s="3" customFormat="1" ht="18" customHeight="1">
      <c r="A13" s="207">
        <v>6</v>
      </c>
      <c r="B13" s="235" t="s">
        <v>163</v>
      </c>
      <c r="C13" s="214" t="str">
        <f>COVER!B21</f>
        <v>SSPC</v>
      </c>
      <c r="D13" s="214">
        <v>4</v>
      </c>
      <c r="E13" s="215"/>
      <c r="F13" s="237">
        <v>1</v>
      </c>
      <c r="G13" s="227"/>
      <c r="H13" s="228">
        <f>L13</f>
        <v>1760</v>
      </c>
      <c r="I13" s="233">
        <f>H13*F13*D13</f>
        <v>7040</v>
      </c>
      <c r="J13" s="233"/>
      <c r="K13" s="234">
        <f>J13+I13</f>
        <v>7040</v>
      </c>
      <c r="L13" s="198">
        <v>1760</v>
      </c>
      <c r="M13" s="199"/>
      <c r="N13" s="199"/>
      <c r="O13" s="199"/>
      <c r="P13" s="199"/>
      <c r="Q13" s="19"/>
      <c r="R13" s="19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s="3" customFormat="1" ht="18" customHeight="1">
      <c r="A14" s="207">
        <v>7</v>
      </c>
      <c r="B14" s="235" t="s">
        <v>350</v>
      </c>
      <c r="C14" s="214" t="s">
        <v>351</v>
      </c>
      <c r="D14" s="214">
        <v>2</v>
      </c>
      <c r="E14" s="215"/>
      <c r="F14" s="237">
        <v>1</v>
      </c>
      <c r="G14" s="227"/>
      <c r="H14" s="228">
        <v>2400</v>
      </c>
      <c r="I14" s="233">
        <f>D14*F14*H14</f>
        <v>4800</v>
      </c>
      <c r="J14" s="233"/>
      <c r="K14" s="234">
        <f>I14+J14</f>
        <v>4800</v>
      </c>
      <c r="L14" s="163"/>
      <c r="M14" s="163"/>
      <c r="N14" s="163"/>
      <c r="O14" s="163"/>
      <c r="P14" s="163"/>
      <c r="Q14" s="201" t="s">
        <v>374</v>
      </c>
      <c r="R14" s="19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s="3" customFormat="1" ht="18" customHeight="1">
      <c r="A15" s="207">
        <v>8</v>
      </c>
      <c r="B15" s="235" t="s">
        <v>386</v>
      </c>
      <c r="C15" s="214" t="str">
        <f>COVER!B22</f>
        <v>BODY MATERIAL</v>
      </c>
      <c r="D15" s="214">
        <v>1</v>
      </c>
      <c r="E15" s="215"/>
      <c r="F15" s="237">
        <v>1.96</v>
      </c>
      <c r="G15" s="227"/>
      <c r="H15" s="228">
        <f>IF(C15="SS400",M15,IF(C15="BODY MATERIAL",N15))</f>
        <v>13720</v>
      </c>
      <c r="I15" s="233">
        <f>H15</f>
        <v>13720</v>
      </c>
      <c r="J15" s="233"/>
      <c r="K15" s="234">
        <f>I15+J15</f>
        <v>13720</v>
      </c>
      <c r="L15" s="163" t="s">
        <v>360</v>
      </c>
      <c r="M15" s="198">
        <v>5100</v>
      </c>
      <c r="N15" s="198">
        <f>IF(AND(C15="BODY MATERIAL"),IF((H6&gt;0),H6*F15*2,IF((H7&gt;0),H7*F15*2,IF((H8&gt;0),H8*F15*2))))</f>
        <v>13720</v>
      </c>
      <c r="O15" s="198"/>
      <c r="P15" s="198"/>
      <c r="Q15" s="201" t="s">
        <v>374</v>
      </c>
      <c r="R15" s="164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s="3" customFormat="1" ht="18" customHeight="1">
      <c r="A16" s="207">
        <v>9</v>
      </c>
      <c r="B16" s="235" t="s">
        <v>217</v>
      </c>
      <c r="C16" s="214" t="str">
        <f>COVER!B23</f>
        <v>B8M</v>
      </c>
      <c r="D16" s="214">
        <v>4</v>
      </c>
      <c r="E16" s="215"/>
      <c r="F16" s="237"/>
      <c r="G16" s="227"/>
      <c r="H16" s="228">
        <f>IF(C16="B8",M16,IF(C16="B8M",N16,IF(C16="B7(다크로)",O16)))</f>
        <v>900</v>
      </c>
      <c r="I16" s="233">
        <f>H16*D16</f>
        <v>3600</v>
      </c>
      <c r="J16" s="233"/>
      <c r="K16" s="234">
        <f>J16+I16</f>
        <v>3600</v>
      </c>
      <c r="L16" s="163" t="s">
        <v>384</v>
      </c>
      <c r="M16" s="198">
        <v>600</v>
      </c>
      <c r="N16" s="198">
        <v>900</v>
      </c>
      <c r="O16" s="198">
        <v>750</v>
      </c>
      <c r="P16" s="198"/>
      <c r="Q16" s="204" t="s">
        <v>385</v>
      </c>
      <c r="R16" s="19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s="3" customFormat="1" ht="18" customHeight="1">
      <c r="A17" s="207">
        <v>10</v>
      </c>
      <c r="B17" s="235" t="s">
        <v>221</v>
      </c>
      <c r="C17" s="214" t="str">
        <f>COVER!B24</f>
        <v>ALBC2</v>
      </c>
      <c r="D17" s="214">
        <v>1</v>
      </c>
      <c r="E17" s="215"/>
      <c r="F17" s="237">
        <v>1</v>
      </c>
      <c r="G17" s="227"/>
      <c r="H17" s="228">
        <f>L17</f>
        <v>6500</v>
      </c>
      <c r="I17" s="233">
        <f>H17*F17</f>
        <v>6500</v>
      </c>
      <c r="J17" s="233"/>
      <c r="K17" s="234">
        <f>J17+I17</f>
        <v>6500</v>
      </c>
      <c r="L17" s="198">
        <v>6500</v>
      </c>
      <c r="M17" s="199"/>
      <c r="N17" s="198"/>
      <c r="O17" s="198"/>
      <c r="P17" s="198"/>
      <c r="Q17" s="202"/>
      <c r="R17" s="19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s="3" customFormat="1" ht="18" customHeight="1">
      <c r="A18" s="207">
        <v>11</v>
      </c>
      <c r="B18" s="235" t="s">
        <v>187</v>
      </c>
      <c r="C18" s="214" t="s">
        <v>353</v>
      </c>
      <c r="D18" s="214">
        <v>1</v>
      </c>
      <c r="E18" s="215"/>
      <c r="F18" s="237">
        <v>0.81</v>
      </c>
      <c r="G18" s="227"/>
      <c r="H18" s="228">
        <f>M18</f>
        <v>2700</v>
      </c>
      <c r="I18" s="233">
        <f>H18*D18</f>
        <v>2700</v>
      </c>
      <c r="J18" s="233"/>
      <c r="K18" s="234">
        <f>J18+I18</f>
        <v>2700</v>
      </c>
      <c r="L18" s="163" t="s">
        <v>359</v>
      </c>
      <c r="M18" s="163">
        <v>2700</v>
      </c>
      <c r="N18" s="163"/>
      <c r="O18" s="163"/>
      <c r="P18" s="163"/>
      <c r="Q18" s="205"/>
      <c r="R18" s="165"/>
      <c r="S18" s="145"/>
      <c r="T18" s="145"/>
      <c r="U18" s="145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s="3" customFormat="1" ht="18" customHeight="1">
      <c r="A19" s="207">
        <v>12</v>
      </c>
      <c r="B19" s="235" t="s">
        <v>189</v>
      </c>
      <c r="C19" s="214" t="str">
        <f>COVER!B26</f>
        <v>B8M</v>
      </c>
      <c r="D19" s="214">
        <v>4</v>
      </c>
      <c r="E19" s="215"/>
      <c r="F19" s="237"/>
      <c r="G19" s="227"/>
      <c r="H19" s="230">
        <f>IF(C19="B8",M19,IF(C19="B8M",N19))</f>
        <v>400</v>
      </c>
      <c r="I19" s="233">
        <f>H19*D19</f>
        <v>1600</v>
      </c>
      <c r="J19" s="233"/>
      <c r="K19" s="234">
        <f>I19+J19</f>
        <v>1600</v>
      </c>
      <c r="L19" s="163" t="s">
        <v>380</v>
      </c>
      <c r="M19" s="163">
        <v>200</v>
      </c>
      <c r="N19" s="163">
        <v>400</v>
      </c>
      <c r="O19" s="163"/>
      <c r="P19" s="163"/>
      <c r="Q19" s="204" t="s">
        <v>381</v>
      </c>
      <c r="R19" s="19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s="3" customFormat="1" ht="18" customHeight="1">
      <c r="A20" s="207">
        <v>13</v>
      </c>
      <c r="B20" s="235" t="s">
        <v>188</v>
      </c>
      <c r="C20" s="214" t="str">
        <f>COVER!B27</f>
        <v>B8M</v>
      </c>
      <c r="D20" s="214">
        <v>4</v>
      </c>
      <c r="E20" s="215"/>
      <c r="F20" s="237"/>
      <c r="G20" s="227"/>
      <c r="H20" s="228">
        <f>IF(C20="B8",M20,IF(C20="B8M",N20,IF(C20="B7(다크로)",O20)))</f>
        <v>6000</v>
      </c>
      <c r="I20" s="233">
        <f>H20*D20</f>
        <v>24000</v>
      </c>
      <c r="J20" s="233"/>
      <c r="K20" s="234">
        <f t="shared" ref="K20:K22" si="1">I20+J20</f>
        <v>24000</v>
      </c>
      <c r="L20" s="163" t="s">
        <v>392</v>
      </c>
      <c r="M20" s="163">
        <v>5000</v>
      </c>
      <c r="N20" s="163">
        <v>6000</v>
      </c>
      <c r="O20" s="163">
        <v>2500</v>
      </c>
      <c r="P20" s="163"/>
      <c r="Q20" s="204" t="s">
        <v>385</v>
      </c>
      <c r="R20" s="19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s="3" customFormat="1" ht="18" customHeight="1">
      <c r="A21" s="207">
        <v>14</v>
      </c>
      <c r="B21" s="235" t="s">
        <v>349</v>
      </c>
      <c r="C21" s="214"/>
      <c r="D21" s="214">
        <v>4</v>
      </c>
      <c r="E21" s="215"/>
      <c r="F21" s="237"/>
      <c r="G21" s="227"/>
      <c r="H21" s="228">
        <v>700</v>
      </c>
      <c r="I21" s="233">
        <f>H21*D21</f>
        <v>2800</v>
      </c>
      <c r="J21" s="241"/>
      <c r="K21" s="234">
        <f>I21+J21</f>
        <v>2800</v>
      </c>
      <c r="L21" s="163" t="s">
        <v>401</v>
      </c>
      <c r="M21" s="163"/>
      <c r="N21" s="163"/>
      <c r="O21" s="163"/>
      <c r="P21" s="163"/>
      <c r="Q21" s="201" t="s">
        <v>374</v>
      </c>
      <c r="R21" s="19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s="3" customFormat="1" ht="18" customHeight="1">
      <c r="A22" s="207">
        <v>15</v>
      </c>
      <c r="B22" s="235" t="s">
        <v>6</v>
      </c>
      <c r="C22" s="214" t="str">
        <f>COVER!B34</f>
        <v>10 BAR</v>
      </c>
      <c r="D22" s="214">
        <v>1</v>
      </c>
      <c r="E22" s="215"/>
      <c r="F22" s="237"/>
      <c r="G22" s="242"/>
      <c r="H22" s="228"/>
      <c r="I22" s="233">
        <f>IF(C22="10 BAR",M22,IF(C22="16 BAR",N22,IF(C22="20 BAR",O22)))</f>
        <v>589000</v>
      </c>
      <c r="J22" s="241"/>
      <c r="K22" s="234">
        <f t="shared" si="1"/>
        <v>589000</v>
      </c>
      <c r="L22" s="163"/>
      <c r="M22" s="163">
        <v>589000</v>
      </c>
      <c r="N22" s="163">
        <v>748000</v>
      </c>
      <c r="O22" s="163">
        <v>748000</v>
      </c>
      <c r="P22" s="163"/>
      <c r="Q22" s="19"/>
      <c r="R22" s="19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s="3" customFormat="1" ht="18" customHeight="1">
      <c r="A23" s="207">
        <v>16</v>
      </c>
      <c r="B23" s="235" t="s">
        <v>7</v>
      </c>
      <c r="C23" s="214" t="str">
        <f>COVER!B32</f>
        <v>기존 단가</v>
      </c>
      <c r="D23" s="214">
        <v>1</v>
      </c>
      <c r="E23" s="215"/>
      <c r="F23" s="237"/>
      <c r="G23" s="242"/>
      <c r="H23" s="228">
        <f>IF(COVER!B9="APPLICATION",0,IF(COVER!B32="기존 단가",L23,IF(COVER!B32="외주 2COATING",M23,IF(COVER!B32="외주 3COATING",N23))))</f>
        <v>131000</v>
      </c>
      <c r="I23" s="233">
        <f>H23</f>
        <v>131000</v>
      </c>
      <c r="J23" s="233"/>
      <c r="K23" s="234"/>
      <c r="L23" s="163">
        <v>131000</v>
      </c>
      <c r="M23" s="163">
        <f>IF(H6&gt;0,F6*520,IF(H7&gt;0,F7*520,IF(H8&gt;0,F8*520)))</f>
        <v>170560</v>
      </c>
      <c r="N23" s="163">
        <f>IF(H6&gt;0,F6*620,IF(H7&gt;0,F7*620,IF(H8&gt;0,F8*620)))</f>
        <v>203360</v>
      </c>
      <c r="O23" s="90"/>
      <c r="P23" s="182"/>
      <c r="Q23" s="19"/>
      <c r="R23" s="19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s="3" customFormat="1" ht="18" customHeight="1">
      <c r="A24" s="207">
        <v>17</v>
      </c>
      <c r="B24" s="235" t="s">
        <v>174</v>
      </c>
      <c r="C24" s="214"/>
      <c r="D24" s="214">
        <v>1</v>
      </c>
      <c r="E24" s="215"/>
      <c r="F24" s="237"/>
      <c r="G24" s="242"/>
      <c r="H24" s="228">
        <f>IF(COVER!B9="APPLICATION",0,IF(COVER!B9="N/A",L24))</f>
        <v>161000</v>
      </c>
      <c r="I24" s="233">
        <f>H24</f>
        <v>161000</v>
      </c>
      <c r="J24" s="234"/>
      <c r="K24" s="234"/>
      <c r="L24" s="211">
        <v>161000</v>
      </c>
      <c r="M24" s="90"/>
      <c r="N24" s="90"/>
      <c r="O24" s="90"/>
      <c r="P24" s="90"/>
      <c r="Q24" s="19"/>
      <c r="R24" s="19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s="3" customFormat="1" ht="18" customHeight="1">
      <c r="A25" s="207">
        <v>18</v>
      </c>
      <c r="B25" s="97" t="s">
        <v>175</v>
      </c>
      <c r="C25" s="14"/>
      <c r="D25" s="14"/>
      <c r="E25" s="15"/>
      <c r="F25" s="15"/>
      <c r="G25" s="15"/>
      <c r="H25" s="15"/>
      <c r="I25" s="98"/>
      <c r="J25" s="98"/>
      <c r="K25" s="16">
        <f>SUM(K6:K21)+SUM(K23:K24)</f>
        <v>2746710</v>
      </c>
      <c r="L25" s="185" t="s">
        <v>248</v>
      </c>
      <c r="M25" s="90"/>
      <c r="N25" s="90"/>
      <c r="O25" s="90"/>
      <c r="P25" s="90"/>
      <c r="Q25" s="19"/>
      <c r="R25" s="19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s="3" customFormat="1" ht="18" customHeight="1">
      <c r="A26" s="207">
        <v>18</v>
      </c>
      <c r="B26" s="97" t="s">
        <v>176</v>
      </c>
      <c r="C26" s="14"/>
      <c r="D26" s="14"/>
      <c r="E26" s="15"/>
      <c r="F26" s="15"/>
      <c r="G26" s="15"/>
      <c r="H26" s="15"/>
      <c r="I26" s="98"/>
      <c r="J26" s="98"/>
      <c r="K26" s="16">
        <f>SUM(K6:K21)+SUM(K23:K24)</f>
        <v>2746710</v>
      </c>
      <c r="L26" s="185" t="s">
        <v>248</v>
      </c>
      <c r="M26" s="90"/>
      <c r="N26" s="90"/>
      <c r="O26" s="90"/>
      <c r="P26" s="90"/>
      <c r="Q26" s="19"/>
      <c r="R26" s="19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s="3" customFormat="1" ht="18" customHeight="1">
      <c r="A27" s="207">
        <v>18</v>
      </c>
      <c r="B27" s="97" t="s">
        <v>177</v>
      </c>
      <c r="C27" s="14"/>
      <c r="D27" s="14"/>
      <c r="E27" s="15"/>
      <c r="F27" s="15"/>
      <c r="G27" s="15"/>
      <c r="H27" s="15"/>
      <c r="I27" s="98"/>
      <c r="J27" s="98"/>
      <c r="K27" s="16">
        <f>SUM(K6:K24)</f>
        <v>3335710</v>
      </c>
      <c r="L27" s="185" t="s">
        <v>248</v>
      </c>
      <c r="M27" s="90"/>
      <c r="N27" s="90"/>
      <c r="O27" s="90"/>
      <c r="P27" s="90"/>
      <c r="Q27" s="19"/>
      <c r="R27" s="19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s="3" customFormat="1" ht="18" customHeight="1">
      <c r="A28" s="207">
        <v>19</v>
      </c>
      <c r="B28" s="235" t="s">
        <v>237</v>
      </c>
      <c r="C28" s="214" t="str">
        <f>COVER!B28</f>
        <v>REQUIRED</v>
      </c>
      <c r="D28" s="214">
        <v>0</v>
      </c>
      <c r="E28" s="215"/>
      <c r="F28" s="239"/>
      <c r="G28" s="215"/>
      <c r="H28" s="233">
        <f>IF(C28="REQUIRED",L28,IF(C28="N/A",0))</f>
        <v>0</v>
      </c>
      <c r="I28" s="233">
        <f>H28</f>
        <v>0</v>
      </c>
      <c r="J28" s="215"/>
      <c r="K28" s="234"/>
      <c r="L28" s="163"/>
      <c r="M28" s="90"/>
      <c r="N28" s="90"/>
      <c r="O28" s="90"/>
      <c r="P28" s="90"/>
      <c r="Q28" s="19"/>
      <c r="R28" s="19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s="3" customFormat="1" ht="18" customHeight="1">
      <c r="A29" s="207">
        <v>20</v>
      </c>
      <c r="B29" s="235" t="s">
        <v>180</v>
      </c>
      <c r="C29" s="214"/>
      <c r="D29" s="214">
        <v>0</v>
      </c>
      <c r="E29" s="215"/>
      <c r="F29" s="239"/>
      <c r="G29" s="215"/>
      <c r="H29" s="215"/>
      <c r="I29" s="215"/>
      <c r="J29" s="215"/>
      <c r="K29" s="234"/>
      <c r="L29" s="185"/>
      <c r="M29" s="90"/>
      <c r="N29" s="90"/>
      <c r="O29" s="90"/>
      <c r="P29" s="90"/>
      <c r="Q29" s="19"/>
      <c r="R29" s="19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s="3" customFormat="1" ht="18" customHeight="1">
      <c r="A30" s="207">
        <v>21</v>
      </c>
      <c r="B30" s="235" t="s">
        <v>178</v>
      </c>
      <c r="C30" s="214" t="str">
        <f>COVER!B35</f>
        <v>MOTOR</v>
      </c>
      <c r="D30" s="214">
        <v>1</v>
      </c>
      <c r="E30" s="215"/>
      <c r="F30" s="239"/>
      <c r="G30" s="215"/>
      <c r="H30" s="233">
        <f>IF(COVER!B9="APPLICATION",0,IF(COVER!B35="BARE",M30,(IF(COVER!B35="LEVER",M30,IF(COVER!B35="GEAR",N30,IF(COVER!B35="MOTOR",O30))))))</f>
        <v>200000</v>
      </c>
      <c r="I30" s="234">
        <f>H30</f>
        <v>200000</v>
      </c>
      <c r="J30" s="215"/>
      <c r="K30" s="234"/>
      <c r="L30" s="163">
        <v>261000</v>
      </c>
      <c r="M30" s="163">
        <v>105000</v>
      </c>
      <c r="N30" s="163">
        <v>105000</v>
      </c>
      <c r="O30" s="163">
        <v>200000</v>
      </c>
      <c r="P30" s="90"/>
      <c r="Q30" s="19"/>
      <c r="R30" s="19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s="3" customFormat="1" ht="18" customHeight="1">
      <c r="A31" s="207">
        <v>22</v>
      </c>
      <c r="B31" s="235"/>
      <c r="C31" s="214"/>
      <c r="D31" s="214"/>
      <c r="E31" s="215"/>
      <c r="F31" s="239"/>
      <c r="G31" s="215"/>
      <c r="H31" s="215"/>
      <c r="I31" s="215"/>
      <c r="J31" s="215"/>
      <c r="K31" s="234"/>
      <c r="L31" s="185"/>
      <c r="M31" s="90"/>
      <c r="N31" s="90"/>
      <c r="O31" s="90"/>
      <c r="P31" s="90"/>
      <c r="Q31" s="19"/>
      <c r="R31" s="19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s="3" customFormat="1" ht="18" customHeight="1">
      <c r="A32" s="207">
        <v>23</v>
      </c>
      <c r="B32" s="89" t="s">
        <v>179</v>
      </c>
      <c r="C32" s="14"/>
      <c r="D32" s="99"/>
      <c r="E32" s="15"/>
      <c r="F32" s="15"/>
      <c r="G32" s="15"/>
      <c r="H32" s="15"/>
      <c r="I32" s="100"/>
      <c r="J32" s="101"/>
      <c r="K32" s="100">
        <f>SUM(K28:K31)</f>
        <v>0</v>
      </c>
      <c r="L32" s="185" t="s">
        <v>249</v>
      </c>
      <c r="M32" s="90"/>
      <c r="N32" s="90"/>
      <c r="O32" s="90"/>
      <c r="P32" s="90"/>
      <c r="Q32" s="19"/>
      <c r="R32" s="19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s="3" customFormat="1" ht="18" customHeight="1">
      <c r="A33" s="186">
        <v>24</v>
      </c>
      <c r="B33" s="216" t="s">
        <v>252</v>
      </c>
      <c r="C33" s="217"/>
      <c r="D33" s="218"/>
      <c r="E33" s="219"/>
      <c r="F33" s="219"/>
      <c r="G33" s="219"/>
      <c r="H33" s="219"/>
      <c r="I33" s="220"/>
      <c r="J33" s="221"/>
      <c r="K33" s="220">
        <f>K25+K32</f>
        <v>2746710</v>
      </c>
      <c r="L33" s="185" t="s">
        <v>257</v>
      </c>
      <c r="M33" s="90"/>
      <c r="N33" s="90"/>
      <c r="O33" s="90"/>
      <c r="P33" s="90"/>
      <c r="Q33" s="19"/>
      <c r="R33" s="19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s="3" customFormat="1" ht="18" customHeight="1">
      <c r="A34" s="186">
        <v>24</v>
      </c>
      <c r="B34" s="216" t="s">
        <v>255</v>
      </c>
      <c r="C34" s="217"/>
      <c r="D34" s="218"/>
      <c r="E34" s="219"/>
      <c r="F34" s="219"/>
      <c r="G34" s="219"/>
      <c r="H34" s="219"/>
      <c r="I34" s="220"/>
      <c r="J34" s="221"/>
      <c r="K34" s="220">
        <f>K26+K32</f>
        <v>2746710</v>
      </c>
      <c r="L34" s="185" t="s">
        <v>257</v>
      </c>
      <c r="M34" s="90"/>
      <c r="N34" s="90"/>
      <c r="O34" s="90"/>
      <c r="P34" s="90"/>
      <c r="Q34" s="19"/>
      <c r="R34" s="19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s="3" customFormat="1" ht="18" customHeight="1">
      <c r="A35" s="186">
        <v>24</v>
      </c>
      <c r="B35" s="216" t="s">
        <v>256</v>
      </c>
      <c r="C35" s="217"/>
      <c r="D35" s="218"/>
      <c r="E35" s="219"/>
      <c r="F35" s="219"/>
      <c r="G35" s="219"/>
      <c r="H35" s="219"/>
      <c r="I35" s="220"/>
      <c r="J35" s="221"/>
      <c r="K35" s="220">
        <f>K27+K32</f>
        <v>3335710</v>
      </c>
      <c r="L35" s="185" t="s">
        <v>257</v>
      </c>
      <c r="M35" s="90"/>
      <c r="N35" s="90"/>
      <c r="O35" s="90"/>
      <c r="P35" s="90"/>
      <c r="Q35" s="19"/>
      <c r="R35" s="19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s="4" customFormat="1" ht="18" customHeight="1">
      <c r="A36" s="186">
        <v>25</v>
      </c>
      <c r="B36" s="102" t="s">
        <v>407</v>
      </c>
      <c r="C36" s="103"/>
      <c r="D36" s="103"/>
      <c r="E36" s="104"/>
      <c r="F36" s="105"/>
      <c r="G36" s="105"/>
      <c r="H36" s="106"/>
      <c r="I36" s="223" t="s">
        <v>41</v>
      </c>
      <c r="J36" s="223">
        <v>0.7</v>
      </c>
      <c r="K36" s="107">
        <f>(K25+K32)/J36</f>
        <v>3923871.4285714286</v>
      </c>
      <c r="L36" s="185" t="s">
        <v>250</v>
      </c>
      <c r="M36" s="90"/>
      <c r="N36" s="90"/>
      <c r="O36" s="90"/>
      <c r="P36" s="90"/>
      <c r="Q36" s="19"/>
      <c r="R36" s="19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s="4" customFormat="1" ht="18" customHeight="1">
      <c r="A37" s="186">
        <v>25</v>
      </c>
      <c r="B37" s="102" t="s">
        <v>408</v>
      </c>
      <c r="C37" s="103"/>
      <c r="D37" s="103"/>
      <c r="E37" s="104"/>
      <c r="F37" s="105"/>
      <c r="G37" s="105"/>
      <c r="H37" s="106"/>
      <c r="I37" s="223" t="s">
        <v>41</v>
      </c>
      <c r="J37" s="223">
        <v>0.7</v>
      </c>
      <c r="K37" s="107">
        <f>(K26+K32)/J37</f>
        <v>3923871.4285714286</v>
      </c>
      <c r="L37" s="185" t="s">
        <v>250</v>
      </c>
      <c r="M37" s="90"/>
      <c r="N37" s="90"/>
      <c r="O37" s="90"/>
      <c r="P37" s="90"/>
      <c r="Q37" s="19"/>
      <c r="R37" s="19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s="4" customFormat="1" ht="18" customHeight="1">
      <c r="A38" s="186">
        <v>25</v>
      </c>
      <c r="B38" s="102" t="s">
        <v>409</v>
      </c>
      <c r="C38" s="103"/>
      <c r="D38" s="103"/>
      <c r="E38" s="104"/>
      <c r="F38" s="105"/>
      <c r="G38" s="105"/>
      <c r="H38" s="106"/>
      <c r="I38" s="223" t="s">
        <v>41</v>
      </c>
      <c r="J38" s="223">
        <v>0.7</v>
      </c>
      <c r="K38" s="107">
        <f>(K27+K32)/J38</f>
        <v>4765300</v>
      </c>
      <c r="L38" s="185" t="s">
        <v>250</v>
      </c>
      <c r="M38" s="90"/>
      <c r="N38" s="90"/>
      <c r="O38" s="90"/>
      <c r="P38" s="90"/>
      <c r="Q38" s="19"/>
      <c r="R38" s="19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s="4" customFormat="1" ht="18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57"/>
      <c r="M39" s="108"/>
      <c r="N39" s="108"/>
      <c r="O39" s="108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s="4" customFormat="1" ht="18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57"/>
      <c r="M40" s="108"/>
      <c r="N40" s="108"/>
      <c r="O40" s="108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s="4" customFormat="1" ht="18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57"/>
      <c r="M41" s="108"/>
      <c r="N41" s="108"/>
      <c r="O41" s="108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s="4" customFormat="1" ht="18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57"/>
      <c r="M42" s="108"/>
      <c r="N42" s="108"/>
      <c r="O42" s="108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s="4" customFormat="1" ht="18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57"/>
      <c r="M43" s="108"/>
      <c r="N43" s="108"/>
      <c r="O43" s="108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s="4" customFormat="1" ht="18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57"/>
      <c r="M44" s="108"/>
      <c r="N44" s="108"/>
      <c r="O44" s="108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s="4" customFormat="1" ht="18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57"/>
      <c r="M45" s="108"/>
      <c r="N45" s="108"/>
      <c r="O45" s="108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s="4" customFormat="1" ht="18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57"/>
      <c r="M46" s="108"/>
      <c r="N46" s="108"/>
      <c r="O46" s="108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s="4" customFormat="1" ht="12.75">
      <c r="A47" s="10"/>
      <c r="B47" s="10"/>
      <c r="C47" s="10"/>
      <c r="D47" s="109"/>
      <c r="E47" s="10"/>
      <c r="F47" s="10"/>
      <c r="G47" s="10"/>
      <c r="H47" s="10"/>
      <c r="I47" s="10"/>
      <c r="J47" s="10"/>
      <c r="K47" s="10"/>
      <c r="L47" s="108"/>
      <c r="M47" s="108"/>
      <c r="N47" s="108"/>
      <c r="O47" s="108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s="4" customFormat="1" ht="12.7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57"/>
      <c r="M48" s="108"/>
      <c r="N48" s="108"/>
      <c r="O48" s="108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s="4" customFormat="1" ht="12.7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57"/>
      <c r="M49" s="108"/>
      <c r="N49" s="108"/>
      <c r="O49" s="108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s="5" customForma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57"/>
      <c r="M50" s="87"/>
      <c r="N50" s="87"/>
      <c r="O50" s="8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s="5" customForma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57"/>
      <c r="M51" s="87"/>
      <c r="N51" s="87"/>
      <c r="O51" s="87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s="5" customForma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57"/>
      <c r="M52" s="87"/>
      <c r="N52" s="87"/>
      <c r="O52" s="87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</sheetData>
  <mergeCells count="4">
    <mergeCell ref="A1:K1"/>
    <mergeCell ref="D3:E3"/>
    <mergeCell ref="F3:H3"/>
    <mergeCell ref="L4:P4"/>
  </mergeCells>
  <phoneticPr fontId="7" type="noConversion"/>
  <pageMargins left="0.75" right="0.75" top="1" bottom="1" header="0.5" footer="0.5"/>
  <pageSetup paperSize="9" scale="62" orientation="portrait" r:id="rId1"/>
  <headerFooter alignWithMargins="0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AE52"/>
  <sheetViews>
    <sheetView view="pageBreakPreview" zoomScale="85" zoomScaleNormal="100" zoomScaleSheetLayoutView="85" workbookViewId="0">
      <selection activeCell="M23" sqref="M23"/>
    </sheetView>
  </sheetViews>
  <sheetFormatPr defaultColWidth="8.88671875" defaultRowHeight="13.5"/>
  <cols>
    <col min="1" max="1" width="5.26171875" style="10" customWidth="1"/>
    <col min="2" max="2" width="20.23046875" style="10" bestFit="1" customWidth="1"/>
    <col min="3" max="3" width="14.3828125" style="10" bestFit="1" customWidth="1"/>
    <col min="4" max="4" width="3.7421875" style="10" customWidth="1"/>
    <col min="5" max="5" width="8.30078125" style="10" customWidth="1"/>
    <col min="6" max="6" width="6.1953125" style="10" customWidth="1"/>
    <col min="7" max="7" width="5.73046875" style="10" customWidth="1"/>
    <col min="8" max="8" width="9.8203125" style="10" bestFit="1" customWidth="1"/>
    <col min="9" max="9" width="10.9921875" style="10" customWidth="1"/>
    <col min="10" max="10" width="12.74609375" style="10" bestFit="1" customWidth="1"/>
    <col min="11" max="11" width="18.125" style="10" bestFit="1" customWidth="1"/>
    <col min="12" max="12" width="18.9453125" style="157" bestFit="1" customWidth="1"/>
    <col min="13" max="13" width="13.796875" style="87" customWidth="1"/>
    <col min="14" max="14" width="12.16015625" style="87" bestFit="1" customWidth="1"/>
    <col min="15" max="15" width="11.80859375" style="87" customWidth="1"/>
    <col min="16" max="16" width="12.16015625" style="8" bestFit="1" customWidth="1"/>
    <col min="17" max="18" width="15.43359375" style="8" bestFit="1" customWidth="1"/>
    <col min="19" max="19" width="8.88671875" style="8"/>
    <col min="20" max="20" width="17.07421875" style="8" bestFit="1" customWidth="1"/>
    <col min="21" max="31" width="8.88671875" style="8"/>
    <col min="32" max="16384" width="8.88671875" style="2"/>
  </cols>
  <sheetData>
    <row r="1" spans="1:31" ht="24" thickTop="1" thickBot="1">
      <c r="A1" s="336" t="s">
        <v>190</v>
      </c>
      <c r="B1" s="337"/>
      <c r="C1" s="337"/>
      <c r="D1" s="337"/>
      <c r="E1" s="337"/>
      <c r="F1" s="337"/>
      <c r="G1" s="337"/>
      <c r="H1" s="337"/>
      <c r="I1" s="337"/>
      <c r="J1" s="337"/>
      <c r="K1" s="338"/>
      <c r="M1" s="7"/>
    </row>
    <row r="2" spans="1:31" ht="14.45" customHeight="1" thickTop="1" thickBot="1">
      <c r="A2" s="158"/>
      <c r="B2" s="158"/>
      <c r="C2" s="115"/>
      <c r="E2" s="115"/>
      <c r="F2" s="115"/>
      <c r="G2" s="115"/>
      <c r="M2" s="87">
        <v>5262563</v>
      </c>
      <c r="N2" s="87">
        <f>M2/0.7</f>
        <v>7517947.1428571437</v>
      </c>
    </row>
    <row r="3" spans="1:31" ht="15" thickTop="1" thickBot="1">
      <c r="A3" s="184" t="s">
        <v>191</v>
      </c>
      <c r="B3" s="183" t="s">
        <v>302</v>
      </c>
      <c r="C3" s="184" t="s">
        <v>192</v>
      </c>
      <c r="D3" s="339" t="s">
        <v>193</v>
      </c>
      <c r="E3" s="340"/>
      <c r="F3" s="341" t="s">
        <v>194</v>
      </c>
      <c r="G3" s="339"/>
      <c r="H3" s="339"/>
      <c r="I3" s="187" t="s">
        <v>310</v>
      </c>
      <c r="J3" s="184" t="s">
        <v>197</v>
      </c>
      <c r="K3" s="183" t="s">
        <v>314</v>
      </c>
    </row>
    <row r="4" spans="1:31" ht="19.149999999999999" customHeight="1" thickTop="1" thickBot="1">
      <c r="J4" s="197" t="s">
        <v>332</v>
      </c>
      <c r="K4" s="189">
        <v>985</v>
      </c>
      <c r="L4" s="342" t="s">
        <v>207</v>
      </c>
      <c r="M4" s="343"/>
      <c r="N4" s="343"/>
      <c r="O4" s="343"/>
      <c r="P4" s="343"/>
    </row>
    <row r="5" spans="1:31" s="3" customFormat="1" ht="25.15" customHeight="1" thickTop="1">
      <c r="A5" s="9" t="s">
        <v>1</v>
      </c>
      <c r="B5" s="9" t="s">
        <v>164</v>
      </c>
      <c r="C5" s="88" t="s">
        <v>165</v>
      </c>
      <c r="D5" s="89" t="s">
        <v>166</v>
      </c>
      <c r="E5" s="9" t="s">
        <v>167</v>
      </c>
      <c r="F5" s="9" t="s">
        <v>168</v>
      </c>
      <c r="G5" s="9" t="s">
        <v>169</v>
      </c>
      <c r="H5" s="9" t="s">
        <v>170</v>
      </c>
      <c r="I5" s="123" t="s">
        <v>171</v>
      </c>
      <c r="J5" s="195" t="s">
        <v>172</v>
      </c>
      <c r="K5" s="196" t="s">
        <v>173</v>
      </c>
      <c r="L5" s="90" t="s">
        <v>198</v>
      </c>
      <c r="M5" s="121" t="s">
        <v>199</v>
      </c>
      <c r="N5" s="90" t="s">
        <v>38</v>
      </c>
      <c r="O5" s="90" t="s">
        <v>200</v>
      </c>
      <c r="P5" s="90" t="s">
        <v>201</v>
      </c>
      <c r="Q5" s="90" t="s">
        <v>265</v>
      </c>
      <c r="R5" s="90" t="s">
        <v>266</v>
      </c>
      <c r="S5" s="10"/>
      <c r="T5" s="191" t="s">
        <v>331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s="3" customFormat="1" ht="18" customHeight="1">
      <c r="A6" s="186">
        <v>1</v>
      </c>
      <c r="B6" s="224" t="s">
        <v>181</v>
      </c>
      <c r="C6" s="225">
        <f>COVER!B13</f>
        <v>0</v>
      </c>
      <c r="D6" s="226">
        <v>1</v>
      </c>
      <c r="E6" s="215"/>
      <c r="F6" s="227">
        <v>272</v>
      </c>
      <c r="G6" s="227"/>
      <c r="H6" s="228">
        <f>COVER!C13</f>
        <v>0</v>
      </c>
      <c r="I6" s="229">
        <f>D6*F6*H6</f>
        <v>0</v>
      </c>
      <c r="J6" s="230"/>
      <c r="K6" s="231">
        <f t="shared" ref="K6:K12" si="0">I6+J6</f>
        <v>0</v>
      </c>
      <c r="L6" s="209">
        <v>166980</v>
      </c>
      <c r="M6" s="209">
        <v>197340</v>
      </c>
      <c r="N6" s="163"/>
      <c r="O6" s="90"/>
      <c r="P6" s="90"/>
      <c r="Q6" s="19"/>
      <c r="R6" s="19"/>
      <c r="S6" s="10"/>
      <c r="T6" s="10">
        <v>235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s="3" customFormat="1" ht="18" customHeight="1">
      <c r="A7" s="186">
        <v>1</v>
      </c>
      <c r="B7" s="224" t="s">
        <v>182</v>
      </c>
      <c r="C7" s="225" t="str">
        <f>COVER!B14</f>
        <v>A536 Gr65-45-12</v>
      </c>
      <c r="D7" s="226">
        <v>1</v>
      </c>
      <c r="E7" s="215"/>
      <c r="F7" s="227">
        <v>425</v>
      </c>
      <c r="G7" s="227"/>
      <c r="H7" s="228">
        <f>COVER!C14</f>
        <v>3500</v>
      </c>
      <c r="I7" s="229">
        <f>D7*F7*H7</f>
        <v>1487500</v>
      </c>
      <c r="J7" s="230"/>
      <c r="K7" s="231">
        <f t="shared" si="0"/>
        <v>1487500</v>
      </c>
      <c r="L7" s="209">
        <v>258060</v>
      </c>
      <c r="M7" s="163">
        <v>304900</v>
      </c>
      <c r="N7" s="185"/>
      <c r="O7" s="90"/>
      <c r="P7" s="90"/>
      <c r="Q7" s="19"/>
      <c r="R7" s="19"/>
      <c r="S7" s="10"/>
      <c r="T7" s="10">
        <v>370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s="3" customFormat="1" ht="18" customHeight="1">
      <c r="A8" s="186">
        <v>1</v>
      </c>
      <c r="B8" s="224" t="s">
        <v>183</v>
      </c>
      <c r="C8" s="225">
        <f>COVER!B15</f>
        <v>0</v>
      </c>
      <c r="D8" s="226">
        <v>1</v>
      </c>
      <c r="E8" s="215"/>
      <c r="F8" s="227">
        <v>386</v>
      </c>
      <c r="G8" s="227"/>
      <c r="H8" s="228">
        <f>COVER!C15</f>
        <v>0</v>
      </c>
      <c r="I8" s="229">
        <f>D8*F8*H8</f>
        <v>0</v>
      </c>
      <c r="J8" s="230"/>
      <c r="K8" s="231">
        <f t="shared" si="0"/>
        <v>0</v>
      </c>
      <c r="L8" s="209">
        <v>258060</v>
      </c>
      <c r="M8" s="209">
        <f>M7</f>
        <v>304900</v>
      </c>
      <c r="N8" s="185"/>
      <c r="O8" s="90"/>
      <c r="P8" s="90"/>
      <c r="Q8" s="19"/>
      <c r="R8" s="19"/>
      <c r="S8" s="10"/>
      <c r="T8" s="10">
        <v>400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s="3" customFormat="1" ht="18" customHeight="1">
      <c r="A9" s="186">
        <v>2</v>
      </c>
      <c r="B9" s="232" t="s">
        <v>2</v>
      </c>
      <c r="C9" s="225" t="str">
        <f>COVER!B16</f>
        <v>A351 CF8M</v>
      </c>
      <c r="D9" s="226">
        <v>1</v>
      </c>
      <c r="E9" s="215"/>
      <c r="F9" s="227">
        <f>IF(COVER!B34="10 BAR",Q9,IF(COVER!B34="16 BAR",R9,IF(COVER!B34="20 BAR",R9)))</f>
        <v>140</v>
      </c>
      <c r="G9" s="227"/>
      <c r="H9" s="228">
        <f>COVER!C16</f>
        <v>12000</v>
      </c>
      <c r="I9" s="233">
        <f>D9*F9*H9</f>
        <v>1680000</v>
      </c>
      <c r="J9" s="230"/>
      <c r="K9" s="234">
        <f t="shared" si="0"/>
        <v>1680000</v>
      </c>
      <c r="L9" s="163">
        <v>91200</v>
      </c>
      <c r="M9" s="209">
        <f>L9</f>
        <v>91200</v>
      </c>
      <c r="N9" s="209">
        <f>M9</f>
        <v>91200</v>
      </c>
      <c r="O9" s="209">
        <f>N9*1.3</f>
        <v>118560</v>
      </c>
      <c r="P9" s="163">
        <v>140360</v>
      </c>
      <c r="Q9" s="19">
        <v>140</v>
      </c>
      <c r="R9" s="19">
        <v>140</v>
      </c>
      <c r="S9" s="10"/>
      <c r="T9" s="10">
        <v>138</v>
      </c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 s="3" customFormat="1" ht="18" customHeight="1">
      <c r="A10" s="207">
        <v>3</v>
      </c>
      <c r="B10" s="235" t="s">
        <v>3</v>
      </c>
      <c r="C10" s="236" t="str">
        <f>COVER!B18</f>
        <v>EPDM</v>
      </c>
      <c r="D10" s="214">
        <v>1</v>
      </c>
      <c r="E10" s="215"/>
      <c r="F10" s="227">
        <v>1</v>
      </c>
      <c r="G10" s="227"/>
      <c r="H10" s="228">
        <f>IF(C10="NBR",L10,IF(C10="EPDM",L10,IF(C10="VITON",M10)))</f>
        <v>141075</v>
      </c>
      <c r="I10" s="233">
        <f>H10*F10*D10</f>
        <v>141075</v>
      </c>
      <c r="J10" s="230"/>
      <c r="K10" s="234">
        <f t="shared" si="0"/>
        <v>141075</v>
      </c>
      <c r="L10" s="163">
        <v>141075</v>
      </c>
      <c r="M10" s="163">
        <v>3420000</v>
      </c>
      <c r="N10" s="163">
        <v>810000</v>
      </c>
      <c r="O10" s="163">
        <v>357305</v>
      </c>
      <c r="P10" s="163">
        <v>270000</v>
      </c>
      <c r="Q10" s="19"/>
      <c r="R10" s="1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s="3" customFormat="1" ht="18" customHeight="1">
      <c r="A11" s="207">
        <v>4</v>
      </c>
      <c r="B11" s="235" t="s">
        <v>333</v>
      </c>
      <c r="C11" s="214" t="str">
        <f>COVER!B17</f>
        <v>A564T630</v>
      </c>
      <c r="D11" s="214">
        <v>1</v>
      </c>
      <c r="E11" s="215"/>
      <c r="F11" s="243">
        <v>22</v>
      </c>
      <c r="G11" s="238"/>
      <c r="H11" s="228">
        <f>COVER!C17</f>
        <v>10000</v>
      </c>
      <c r="I11" s="233">
        <f>D11*F11*H11</f>
        <v>220000</v>
      </c>
      <c r="J11" s="233"/>
      <c r="K11" s="234">
        <f t="shared" si="0"/>
        <v>220000</v>
      </c>
      <c r="L11" s="163" t="s">
        <v>338</v>
      </c>
      <c r="M11" s="163">
        <v>18000</v>
      </c>
      <c r="N11" s="163">
        <v>35000</v>
      </c>
      <c r="O11" s="163">
        <f>ROUNDUP(P11/1.3,-2)</f>
        <v>61600</v>
      </c>
      <c r="P11" s="163">
        <v>80000</v>
      </c>
      <c r="Q11" s="18">
        <v>21.18</v>
      </c>
      <c r="R11" s="18"/>
      <c r="S11" s="108"/>
      <c r="T11" s="10">
        <v>21.2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s="3" customFormat="1" ht="18" customHeight="1">
      <c r="A12" s="207">
        <v>5</v>
      </c>
      <c r="B12" s="235" t="s">
        <v>348</v>
      </c>
      <c r="C12" s="214" t="s">
        <v>211</v>
      </c>
      <c r="D12" s="214">
        <v>1</v>
      </c>
      <c r="E12" s="215"/>
      <c r="F12" s="237">
        <v>1</v>
      </c>
      <c r="G12" s="227"/>
      <c r="H12" s="230">
        <f>L12</f>
        <v>27000</v>
      </c>
      <c r="I12" s="233">
        <f>D12*F12*H12</f>
        <v>27000</v>
      </c>
      <c r="J12" s="233"/>
      <c r="K12" s="234">
        <f t="shared" si="0"/>
        <v>27000</v>
      </c>
      <c r="L12" s="163">
        <v>27000</v>
      </c>
      <c r="M12" s="163"/>
      <c r="N12" s="163"/>
      <c r="O12" s="90"/>
      <c r="P12" s="90"/>
      <c r="Q12" s="19"/>
      <c r="R12" s="19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s="3" customFormat="1" ht="18" customHeight="1">
      <c r="A13" s="207">
        <v>6</v>
      </c>
      <c r="B13" s="235" t="s">
        <v>163</v>
      </c>
      <c r="C13" s="214" t="str">
        <f>COVER!B21</f>
        <v>SSPC</v>
      </c>
      <c r="D13" s="214">
        <v>4</v>
      </c>
      <c r="E13" s="215"/>
      <c r="F13" s="237">
        <v>1</v>
      </c>
      <c r="G13" s="227"/>
      <c r="H13" s="228">
        <f>L13</f>
        <v>1720</v>
      </c>
      <c r="I13" s="233">
        <f>H13*F13*D13</f>
        <v>6880</v>
      </c>
      <c r="J13" s="233"/>
      <c r="K13" s="234">
        <f>J13+I13</f>
        <v>6880</v>
      </c>
      <c r="L13" s="198">
        <v>1720</v>
      </c>
      <c r="M13" s="199"/>
      <c r="N13" s="199"/>
      <c r="O13" s="199"/>
      <c r="P13" s="199"/>
      <c r="Q13" s="19"/>
      <c r="R13" s="19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s="3" customFormat="1" ht="18" customHeight="1">
      <c r="A14" s="207">
        <v>7</v>
      </c>
      <c r="B14" s="235" t="s">
        <v>350</v>
      </c>
      <c r="C14" s="214" t="s">
        <v>351</v>
      </c>
      <c r="D14" s="214">
        <v>2</v>
      </c>
      <c r="E14" s="215"/>
      <c r="F14" s="237">
        <v>1</v>
      </c>
      <c r="G14" s="227"/>
      <c r="H14" s="228">
        <v>2800</v>
      </c>
      <c r="I14" s="233">
        <f>D14*F14*H14</f>
        <v>5600</v>
      </c>
      <c r="J14" s="233"/>
      <c r="K14" s="234">
        <f>I14+J14</f>
        <v>5600</v>
      </c>
      <c r="L14" s="163"/>
      <c r="M14" s="163"/>
      <c r="N14" s="163"/>
      <c r="O14" s="90"/>
      <c r="P14" s="90"/>
      <c r="Q14" s="201" t="s">
        <v>374</v>
      </c>
      <c r="R14" s="19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s="3" customFormat="1" ht="18" customHeight="1">
      <c r="A15" s="207">
        <v>8</v>
      </c>
      <c r="B15" s="235" t="s">
        <v>386</v>
      </c>
      <c r="C15" s="214" t="str">
        <f>COVER!B22</f>
        <v>BODY MATERIAL</v>
      </c>
      <c r="D15" s="214">
        <v>1</v>
      </c>
      <c r="E15" s="215"/>
      <c r="F15" s="237">
        <v>2.12</v>
      </c>
      <c r="G15" s="227"/>
      <c r="H15" s="228">
        <f>IF(C15="SS400",M15,IF(C15="BODY MATERIAL",N15))</f>
        <v>14840</v>
      </c>
      <c r="I15" s="233">
        <f>H15</f>
        <v>14840</v>
      </c>
      <c r="J15" s="233"/>
      <c r="K15" s="234">
        <f>I15+J15</f>
        <v>14840</v>
      </c>
      <c r="L15" s="163" t="s">
        <v>361</v>
      </c>
      <c r="M15" s="198">
        <v>5500</v>
      </c>
      <c r="N15" s="198">
        <f>IF(AND(C15="BODY MATERIAL"),IF((H6&gt;0),H6*F15*2,IF((H7&gt;0),H7*F15*2,IF((H8&gt;0),H8*F15*2))))</f>
        <v>14840</v>
      </c>
      <c r="O15" s="198"/>
      <c r="P15" s="198"/>
      <c r="Q15" s="201" t="s">
        <v>374</v>
      </c>
      <c r="R15" s="164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s="3" customFormat="1" ht="18" customHeight="1">
      <c r="A16" s="207">
        <v>9</v>
      </c>
      <c r="B16" s="235" t="s">
        <v>217</v>
      </c>
      <c r="C16" s="214" t="str">
        <f>COVER!B23</f>
        <v>B8M</v>
      </c>
      <c r="D16" s="214">
        <v>4</v>
      </c>
      <c r="E16" s="215"/>
      <c r="F16" s="237"/>
      <c r="G16" s="227"/>
      <c r="H16" s="228">
        <f>IF(C16="B8",M16,IF(C16="B8M",N16,IF(C16="B7(다크로)",O16)))</f>
        <v>900</v>
      </c>
      <c r="I16" s="233">
        <f>H16*D16</f>
        <v>3600</v>
      </c>
      <c r="J16" s="233"/>
      <c r="K16" s="234">
        <f>J16+I16</f>
        <v>3600</v>
      </c>
      <c r="L16" s="163" t="s">
        <v>383</v>
      </c>
      <c r="M16" s="198">
        <v>600</v>
      </c>
      <c r="N16" s="198">
        <v>900</v>
      </c>
      <c r="O16" s="198">
        <v>750</v>
      </c>
      <c r="P16" s="198"/>
      <c r="Q16" s="204" t="s">
        <v>385</v>
      </c>
      <c r="R16" s="19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s="3" customFormat="1" ht="18" customHeight="1">
      <c r="A17" s="207">
        <v>10</v>
      </c>
      <c r="B17" s="235" t="s">
        <v>221</v>
      </c>
      <c r="C17" s="214" t="str">
        <f>COVER!B24</f>
        <v>ALBC2</v>
      </c>
      <c r="D17" s="214">
        <v>1</v>
      </c>
      <c r="E17" s="215"/>
      <c r="F17" s="237">
        <v>1</v>
      </c>
      <c r="G17" s="227"/>
      <c r="H17" s="228">
        <f>L17</f>
        <v>5500</v>
      </c>
      <c r="I17" s="233">
        <f>H17*F17</f>
        <v>5500</v>
      </c>
      <c r="J17" s="233"/>
      <c r="K17" s="234">
        <f>J17+I17</f>
        <v>5500</v>
      </c>
      <c r="L17" s="198">
        <v>5500</v>
      </c>
      <c r="M17" s="199"/>
      <c r="N17" s="198"/>
      <c r="O17" s="198"/>
      <c r="P17" s="198"/>
      <c r="Q17" s="202"/>
      <c r="R17" s="19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s="3" customFormat="1" ht="18" customHeight="1">
      <c r="A18" s="207">
        <v>11</v>
      </c>
      <c r="B18" s="235" t="s">
        <v>187</v>
      </c>
      <c r="C18" s="214" t="s">
        <v>353</v>
      </c>
      <c r="D18" s="214">
        <v>1</v>
      </c>
      <c r="E18" s="215"/>
      <c r="F18" s="237">
        <v>0.81</v>
      </c>
      <c r="G18" s="227"/>
      <c r="H18" s="228">
        <f>M18</f>
        <v>2700</v>
      </c>
      <c r="I18" s="233">
        <f>H18*D18</f>
        <v>2700</v>
      </c>
      <c r="J18" s="233"/>
      <c r="K18" s="234">
        <f>J18+I18</f>
        <v>2700</v>
      </c>
      <c r="L18" s="163" t="s">
        <v>359</v>
      </c>
      <c r="M18" s="163">
        <v>2700</v>
      </c>
      <c r="N18" s="163"/>
      <c r="O18" s="163"/>
      <c r="P18" s="163"/>
      <c r="Q18" s="205"/>
      <c r="R18" s="165"/>
      <c r="S18" s="145"/>
      <c r="T18" s="145"/>
      <c r="U18" s="145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s="3" customFormat="1" ht="18" customHeight="1">
      <c r="A19" s="207">
        <v>12</v>
      </c>
      <c r="B19" s="235" t="s">
        <v>189</v>
      </c>
      <c r="C19" s="214" t="str">
        <f>COVER!B26</f>
        <v>B8M</v>
      </c>
      <c r="D19" s="214">
        <v>4</v>
      </c>
      <c r="E19" s="215"/>
      <c r="F19" s="237"/>
      <c r="G19" s="227"/>
      <c r="H19" s="230">
        <f>IF(C19="B8",M19,IF(C19="B8M",N19))</f>
        <v>400</v>
      </c>
      <c r="I19" s="233">
        <f>H19*D19</f>
        <v>1600</v>
      </c>
      <c r="J19" s="233"/>
      <c r="K19" s="234">
        <f>I19+J19</f>
        <v>1600</v>
      </c>
      <c r="L19" s="163" t="s">
        <v>380</v>
      </c>
      <c r="M19" s="163">
        <v>200</v>
      </c>
      <c r="N19" s="163">
        <v>400</v>
      </c>
      <c r="O19" s="90"/>
      <c r="P19" s="90"/>
      <c r="Q19" s="204" t="s">
        <v>381</v>
      </c>
      <c r="R19" s="19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s="3" customFormat="1" ht="18" customHeight="1">
      <c r="A20" s="207">
        <v>13</v>
      </c>
      <c r="B20" s="235" t="s">
        <v>188</v>
      </c>
      <c r="C20" s="214" t="str">
        <f>COVER!B27</f>
        <v>B8M</v>
      </c>
      <c r="D20" s="214">
        <v>8</v>
      </c>
      <c r="E20" s="215"/>
      <c r="F20" s="237"/>
      <c r="G20" s="227"/>
      <c r="H20" s="228">
        <f>IF(C20="B8",M20,IF(C20="B8M",N20,IF(C20="B7(다크로)",O20)))</f>
        <v>2800</v>
      </c>
      <c r="I20" s="233">
        <f>H20*D20</f>
        <v>22400</v>
      </c>
      <c r="J20" s="233"/>
      <c r="K20" s="234">
        <f t="shared" ref="K20:K22" si="1">I20+J20</f>
        <v>22400</v>
      </c>
      <c r="L20" s="163" t="s">
        <v>393</v>
      </c>
      <c r="M20" s="163">
        <v>2000</v>
      </c>
      <c r="N20" s="163">
        <v>2800</v>
      </c>
      <c r="O20" s="163">
        <v>2000</v>
      </c>
      <c r="P20" s="90"/>
      <c r="Q20" s="204" t="s">
        <v>385</v>
      </c>
      <c r="R20" s="19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s="3" customFormat="1" ht="18" customHeight="1">
      <c r="A21" s="207">
        <v>14</v>
      </c>
      <c r="B21" s="235" t="s">
        <v>349</v>
      </c>
      <c r="C21" s="214"/>
      <c r="D21" s="214">
        <v>4</v>
      </c>
      <c r="E21" s="215"/>
      <c r="F21" s="237"/>
      <c r="G21" s="227"/>
      <c r="H21" s="228">
        <v>750</v>
      </c>
      <c r="I21" s="233">
        <f>H21*D21</f>
        <v>3000</v>
      </c>
      <c r="J21" s="241"/>
      <c r="K21" s="234">
        <f>I21+J21</f>
        <v>3000</v>
      </c>
      <c r="L21" s="163" t="s">
        <v>400</v>
      </c>
      <c r="M21" s="90"/>
      <c r="N21" s="90"/>
      <c r="O21" s="90"/>
      <c r="P21" s="90"/>
      <c r="Q21" s="201" t="s">
        <v>374</v>
      </c>
      <c r="R21" s="19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s="3" customFormat="1" ht="18" customHeight="1">
      <c r="A22" s="207">
        <v>15</v>
      </c>
      <c r="B22" s="235" t="s">
        <v>6</v>
      </c>
      <c r="C22" s="214" t="str">
        <f>COVER!B34</f>
        <v>10 BAR</v>
      </c>
      <c r="D22" s="214">
        <v>1</v>
      </c>
      <c r="E22" s="215"/>
      <c r="F22" s="237"/>
      <c r="G22" s="242"/>
      <c r="H22" s="228"/>
      <c r="I22" s="233">
        <f>IF(C22="10 BAR",M22,IF(C22="16 BAR",N22,IF(C22="20 BAR",O22)))</f>
        <v>589000</v>
      </c>
      <c r="J22" s="241"/>
      <c r="K22" s="234">
        <f t="shared" si="1"/>
        <v>589000</v>
      </c>
      <c r="L22" s="90"/>
      <c r="M22" s="163">
        <v>589000</v>
      </c>
      <c r="N22" s="163">
        <v>748000</v>
      </c>
      <c r="O22" s="163">
        <v>748000</v>
      </c>
      <c r="P22" s="90"/>
      <c r="Q22" s="19"/>
      <c r="R22" s="19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s="3" customFormat="1" ht="18" customHeight="1">
      <c r="A23" s="207">
        <v>16</v>
      </c>
      <c r="B23" s="235" t="s">
        <v>7</v>
      </c>
      <c r="C23" s="214" t="str">
        <f>COVER!B32</f>
        <v>기존 단가</v>
      </c>
      <c r="D23" s="214">
        <v>1</v>
      </c>
      <c r="E23" s="215"/>
      <c r="F23" s="237"/>
      <c r="G23" s="242"/>
      <c r="H23" s="228">
        <f>IF(COVER!B9="APPLICATION",0,IF(COVER!B32="기존 단가",L23,IF(COVER!B32="외주 2COATING",M23,IF(COVER!B32="외주 3COATING",N23))))</f>
        <v>165000</v>
      </c>
      <c r="I23" s="233">
        <f>H23</f>
        <v>165000</v>
      </c>
      <c r="J23" s="233"/>
      <c r="K23" s="234"/>
      <c r="L23" s="163">
        <v>165000</v>
      </c>
      <c r="M23" s="163">
        <f>IF(H6&gt;0,F6*520,IF(H7&gt;0,F7*520,IF(H8&gt;0,F8*520)))</f>
        <v>221000</v>
      </c>
      <c r="N23" s="163">
        <f>IF(H6&gt;0,F6*620,IF(H7&gt;0,F7*620,IF(H8&gt;0,F8*620)))</f>
        <v>263500</v>
      </c>
      <c r="O23" s="90"/>
      <c r="P23" s="182"/>
      <c r="Q23" s="19"/>
      <c r="R23" s="19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s="3" customFormat="1" ht="18" customHeight="1">
      <c r="A24" s="207">
        <v>17</v>
      </c>
      <c r="B24" s="235" t="s">
        <v>174</v>
      </c>
      <c r="C24" s="214"/>
      <c r="D24" s="214">
        <v>1</v>
      </c>
      <c r="E24" s="215"/>
      <c r="F24" s="237"/>
      <c r="G24" s="242"/>
      <c r="H24" s="228">
        <f>IF(COVER!B9="APPLICATION",0,IF(COVER!B9="N/A",L24))</f>
        <v>200000</v>
      </c>
      <c r="I24" s="233">
        <f>H24</f>
        <v>200000</v>
      </c>
      <c r="J24" s="234"/>
      <c r="K24" s="234"/>
      <c r="L24" s="211">
        <v>200000</v>
      </c>
      <c r="M24" s="90"/>
      <c r="N24" s="90"/>
      <c r="O24" s="90"/>
      <c r="P24" s="90"/>
      <c r="Q24" s="19"/>
      <c r="R24" s="19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s="3" customFormat="1" ht="18" customHeight="1">
      <c r="A25" s="207">
        <v>18</v>
      </c>
      <c r="B25" s="97" t="s">
        <v>175</v>
      </c>
      <c r="C25" s="14"/>
      <c r="D25" s="14"/>
      <c r="E25" s="15"/>
      <c r="F25" s="15"/>
      <c r="G25" s="15"/>
      <c r="H25" s="15"/>
      <c r="I25" s="98"/>
      <c r="J25" s="98"/>
      <c r="K25" s="16">
        <f>SUM(K6:K21)+SUM(K23:K24)</f>
        <v>3621695</v>
      </c>
      <c r="L25" s="185" t="s">
        <v>248</v>
      </c>
      <c r="M25" s="90"/>
      <c r="N25" s="90"/>
      <c r="O25" s="90"/>
      <c r="P25" s="90"/>
      <c r="Q25" s="19"/>
      <c r="R25" s="19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s="3" customFormat="1" ht="18" customHeight="1">
      <c r="A26" s="207">
        <v>18</v>
      </c>
      <c r="B26" s="97" t="s">
        <v>176</v>
      </c>
      <c r="C26" s="14"/>
      <c r="D26" s="14"/>
      <c r="E26" s="15"/>
      <c r="F26" s="15"/>
      <c r="G26" s="15"/>
      <c r="H26" s="15"/>
      <c r="I26" s="98"/>
      <c r="J26" s="98"/>
      <c r="K26" s="16">
        <f>SUM(K6:K21)+SUM(K23:K24)</f>
        <v>3621695</v>
      </c>
      <c r="L26" s="185" t="s">
        <v>248</v>
      </c>
      <c r="M26" s="90"/>
      <c r="N26" s="90"/>
      <c r="O26" s="90"/>
      <c r="P26" s="90"/>
      <c r="Q26" s="19"/>
      <c r="R26" s="19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s="3" customFormat="1" ht="18" customHeight="1">
      <c r="A27" s="207">
        <v>18</v>
      </c>
      <c r="B27" s="97" t="s">
        <v>177</v>
      </c>
      <c r="C27" s="14"/>
      <c r="D27" s="14"/>
      <c r="E27" s="15"/>
      <c r="F27" s="15"/>
      <c r="G27" s="15"/>
      <c r="H27" s="15"/>
      <c r="I27" s="98"/>
      <c r="J27" s="98"/>
      <c r="K27" s="16">
        <f>SUM(K6:K24)</f>
        <v>4210695</v>
      </c>
      <c r="L27" s="185" t="s">
        <v>248</v>
      </c>
      <c r="M27" s="90"/>
      <c r="N27" s="90"/>
      <c r="O27" s="90"/>
      <c r="P27" s="90"/>
      <c r="Q27" s="19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s="3" customFormat="1" ht="18" customHeight="1">
      <c r="A28" s="207">
        <v>19</v>
      </c>
      <c r="B28" s="235" t="s">
        <v>237</v>
      </c>
      <c r="C28" s="214" t="str">
        <f>COVER!B28</f>
        <v>REQUIRED</v>
      </c>
      <c r="D28" s="214">
        <v>0</v>
      </c>
      <c r="E28" s="215"/>
      <c r="F28" s="239"/>
      <c r="G28" s="215"/>
      <c r="H28" s="233">
        <f>IF(C28="REQUIRED",L28,IF(C28="N/A",0))</f>
        <v>0</v>
      </c>
      <c r="I28" s="233">
        <f>H28</f>
        <v>0</v>
      </c>
      <c r="J28" s="215"/>
      <c r="K28" s="234"/>
      <c r="L28" s="163"/>
      <c r="M28" s="90"/>
      <c r="N28" s="90"/>
      <c r="O28" s="90"/>
      <c r="P28" s="90"/>
      <c r="Q28" s="19"/>
      <c r="R28" s="19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s="3" customFormat="1" ht="18" customHeight="1">
      <c r="A29" s="207">
        <v>20</v>
      </c>
      <c r="B29" s="235" t="s">
        <v>180</v>
      </c>
      <c r="C29" s="214"/>
      <c r="D29" s="214">
        <v>0</v>
      </c>
      <c r="E29" s="215"/>
      <c r="F29" s="239"/>
      <c r="G29" s="215"/>
      <c r="H29" s="215"/>
      <c r="I29" s="215"/>
      <c r="J29" s="215"/>
      <c r="K29" s="234"/>
      <c r="L29" s="185"/>
      <c r="M29" s="90"/>
      <c r="N29" s="90"/>
      <c r="O29" s="90"/>
      <c r="P29" s="90"/>
      <c r="Q29" s="19"/>
      <c r="R29" s="19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s="3" customFormat="1" ht="18" customHeight="1">
      <c r="A30" s="207">
        <v>21</v>
      </c>
      <c r="B30" s="235" t="s">
        <v>178</v>
      </c>
      <c r="C30" s="214" t="str">
        <f>COVER!B35</f>
        <v>MOTOR</v>
      </c>
      <c r="D30" s="214">
        <v>1</v>
      </c>
      <c r="E30" s="215"/>
      <c r="F30" s="239"/>
      <c r="G30" s="215"/>
      <c r="H30" s="233">
        <f>IF(COVER!B9="APPLICATION",0,IF(COVER!B35="BARE",M30,(IF(COVER!B35="LEVER",M30,IF(COVER!B35="GEAR",N30,IF(COVER!B35="MOTOR",O30))))))</f>
        <v>230000</v>
      </c>
      <c r="I30" s="234">
        <f>H30</f>
        <v>230000</v>
      </c>
      <c r="J30" s="215"/>
      <c r="K30" s="234"/>
      <c r="L30" s="163">
        <v>286800</v>
      </c>
      <c r="M30" s="163">
        <v>115000</v>
      </c>
      <c r="N30" s="163">
        <v>115000</v>
      </c>
      <c r="O30" s="163">
        <v>230000</v>
      </c>
      <c r="P30" s="90"/>
      <c r="Q30" s="19"/>
      <c r="R30" s="19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s="3" customFormat="1" ht="18" customHeight="1">
      <c r="A31" s="207">
        <v>22</v>
      </c>
      <c r="B31" s="235"/>
      <c r="C31" s="214"/>
      <c r="D31" s="214"/>
      <c r="E31" s="215"/>
      <c r="F31" s="239"/>
      <c r="G31" s="215"/>
      <c r="H31" s="215"/>
      <c r="I31" s="215"/>
      <c r="J31" s="215"/>
      <c r="K31" s="234"/>
      <c r="L31" s="185"/>
      <c r="M31" s="90"/>
      <c r="N31" s="90"/>
      <c r="O31" s="90"/>
      <c r="P31" s="90"/>
      <c r="Q31" s="19"/>
      <c r="R31" s="19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s="3" customFormat="1" ht="18" customHeight="1">
      <c r="A32" s="207">
        <v>23</v>
      </c>
      <c r="B32" s="89" t="s">
        <v>179</v>
      </c>
      <c r="C32" s="14"/>
      <c r="D32" s="99"/>
      <c r="E32" s="15"/>
      <c r="F32" s="15"/>
      <c r="G32" s="15"/>
      <c r="H32" s="15"/>
      <c r="I32" s="100"/>
      <c r="J32" s="101"/>
      <c r="K32" s="100">
        <f>SUM(K28:K31)</f>
        <v>0</v>
      </c>
      <c r="L32" s="185" t="s">
        <v>249</v>
      </c>
      <c r="M32" s="90"/>
      <c r="N32" s="90"/>
      <c r="O32" s="90"/>
      <c r="P32" s="90"/>
      <c r="Q32" s="19"/>
      <c r="R32" s="19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s="3" customFormat="1" ht="18" customHeight="1">
      <c r="A33" s="186">
        <v>24</v>
      </c>
      <c r="B33" s="216" t="s">
        <v>252</v>
      </c>
      <c r="C33" s="217"/>
      <c r="D33" s="218"/>
      <c r="E33" s="219"/>
      <c r="F33" s="219"/>
      <c r="G33" s="219"/>
      <c r="H33" s="219"/>
      <c r="I33" s="220"/>
      <c r="J33" s="221"/>
      <c r="K33" s="220">
        <f>K25+K32</f>
        <v>3621695</v>
      </c>
      <c r="L33" s="185" t="s">
        <v>257</v>
      </c>
      <c r="M33" s="90"/>
      <c r="N33" s="90"/>
      <c r="O33" s="90"/>
      <c r="P33" s="90"/>
      <c r="Q33" s="19"/>
      <c r="R33" s="19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s="3" customFormat="1" ht="18" customHeight="1">
      <c r="A34" s="186">
        <v>24</v>
      </c>
      <c r="B34" s="216" t="s">
        <v>255</v>
      </c>
      <c r="C34" s="217"/>
      <c r="D34" s="218"/>
      <c r="E34" s="219"/>
      <c r="F34" s="219"/>
      <c r="G34" s="219"/>
      <c r="H34" s="219"/>
      <c r="I34" s="220"/>
      <c r="J34" s="221"/>
      <c r="K34" s="220">
        <f>K26+K32</f>
        <v>3621695</v>
      </c>
      <c r="L34" s="185" t="s">
        <v>257</v>
      </c>
      <c r="M34" s="90"/>
      <c r="N34" s="90"/>
      <c r="O34" s="90"/>
      <c r="P34" s="90"/>
      <c r="Q34" s="19"/>
      <c r="R34" s="19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s="3" customFormat="1" ht="18" customHeight="1">
      <c r="A35" s="186">
        <v>24</v>
      </c>
      <c r="B35" s="216" t="s">
        <v>256</v>
      </c>
      <c r="C35" s="217"/>
      <c r="D35" s="218"/>
      <c r="E35" s="219"/>
      <c r="F35" s="219"/>
      <c r="G35" s="219"/>
      <c r="H35" s="219"/>
      <c r="I35" s="220"/>
      <c r="J35" s="221"/>
      <c r="K35" s="220">
        <f>K27+K32</f>
        <v>4210695</v>
      </c>
      <c r="L35" s="185" t="s">
        <v>257</v>
      </c>
      <c r="M35" s="90"/>
      <c r="N35" s="90"/>
      <c r="O35" s="90"/>
      <c r="P35" s="90"/>
      <c r="Q35" s="19"/>
      <c r="R35" s="19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s="4" customFormat="1" ht="18" customHeight="1">
      <c r="A36" s="186">
        <v>25</v>
      </c>
      <c r="B36" s="102" t="s">
        <v>407</v>
      </c>
      <c r="C36" s="103"/>
      <c r="D36" s="103"/>
      <c r="E36" s="104"/>
      <c r="F36" s="105"/>
      <c r="G36" s="105"/>
      <c r="H36" s="106"/>
      <c r="I36" s="223" t="s">
        <v>41</v>
      </c>
      <c r="J36" s="223">
        <v>0.7</v>
      </c>
      <c r="K36" s="107">
        <f>(K25+K32)/J36</f>
        <v>5173850</v>
      </c>
      <c r="L36" s="185" t="s">
        <v>250</v>
      </c>
      <c r="M36" s="90"/>
      <c r="N36" s="90"/>
      <c r="O36" s="90"/>
      <c r="P36" s="90"/>
      <c r="Q36" s="19"/>
      <c r="R36" s="19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s="4" customFormat="1" ht="18" customHeight="1">
      <c r="A37" s="186">
        <v>25</v>
      </c>
      <c r="B37" s="102" t="s">
        <v>408</v>
      </c>
      <c r="C37" s="103"/>
      <c r="D37" s="103"/>
      <c r="E37" s="104"/>
      <c r="F37" s="105"/>
      <c r="G37" s="105"/>
      <c r="H37" s="106"/>
      <c r="I37" s="223" t="s">
        <v>41</v>
      </c>
      <c r="J37" s="223">
        <v>0.7</v>
      </c>
      <c r="K37" s="107">
        <f>(K26+K32)/J37</f>
        <v>5173850</v>
      </c>
      <c r="L37" s="185" t="s">
        <v>250</v>
      </c>
      <c r="M37" s="90"/>
      <c r="N37" s="90"/>
      <c r="O37" s="90"/>
      <c r="P37" s="90"/>
      <c r="Q37" s="19"/>
      <c r="R37" s="19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s="4" customFormat="1" ht="18" customHeight="1">
      <c r="A38" s="186">
        <v>25</v>
      </c>
      <c r="B38" s="102" t="s">
        <v>409</v>
      </c>
      <c r="C38" s="103"/>
      <c r="D38" s="103"/>
      <c r="E38" s="104"/>
      <c r="F38" s="105"/>
      <c r="G38" s="105"/>
      <c r="H38" s="106"/>
      <c r="I38" s="223" t="s">
        <v>41</v>
      </c>
      <c r="J38" s="223">
        <v>0.7</v>
      </c>
      <c r="K38" s="107">
        <f>(K27+K32)/J38</f>
        <v>6015278.5714285718</v>
      </c>
      <c r="L38" s="185" t="s">
        <v>250</v>
      </c>
      <c r="M38" s="90"/>
      <c r="N38" s="90"/>
      <c r="O38" s="90"/>
      <c r="P38" s="90"/>
      <c r="Q38" s="19"/>
      <c r="R38" s="19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s="4" customFormat="1" ht="18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57"/>
      <c r="M39" s="108"/>
      <c r="N39" s="108"/>
      <c r="O39" s="108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s="4" customFormat="1" ht="18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57"/>
      <c r="M40" s="108"/>
      <c r="N40" s="108"/>
      <c r="O40" s="108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s="4" customFormat="1" ht="18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57"/>
      <c r="M41" s="108"/>
      <c r="N41" s="108"/>
      <c r="O41" s="108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s="4" customFormat="1" ht="18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57"/>
      <c r="M42" s="108"/>
      <c r="N42" s="108"/>
      <c r="O42" s="108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s="4" customFormat="1" ht="18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57"/>
      <c r="M43" s="108"/>
      <c r="N43" s="108"/>
      <c r="O43" s="108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s="4" customFormat="1" ht="18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57"/>
      <c r="M44" s="108"/>
      <c r="N44" s="108"/>
      <c r="O44" s="108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s="4" customFormat="1" ht="18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57"/>
      <c r="M45" s="108"/>
      <c r="N45" s="108"/>
      <c r="O45" s="108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s="4" customFormat="1" ht="18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57"/>
      <c r="M46" s="108"/>
      <c r="N46" s="108"/>
      <c r="O46" s="108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s="4" customFormat="1" ht="12.75">
      <c r="A47" s="10"/>
      <c r="B47" s="10"/>
      <c r="C47" s="10"/>
      <c r="D47" s="109"/>
      <c r="E47" s="10"/>
      <c r="F47" s="10"/>
      <c r="G47" s="10"/>
      <c r="H47" s="10"/>
      <c r="I47" s="10"/>
      <c r="J47" s="10"/>
      <c r="K47" s="10"/>
      <c r="L47" s="108"/>
      <c r="M47" s="108"/>
      <c r="N47" s="108"/>
      <c r="O47" s="108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s="4" customFormat="1" ht="12.7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57"/>
      <c r="M48" s="108"/>
      <c r="N48" s="108"/>
      <c r="O48" s="108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s="4" customFormat="1" ht="12.7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57"/>
      <c r="M49" s="108"/>
      <c r="N49" s="108"/>
      <c r="O49" s="108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s="5" customForma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57"/>
      <c r="M50" s="87"/>
      <c r="N50" s="87"/>
      <c r="O50" s="8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s="5" customForma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57"/>
      <c r="M51" s="87"/>
      <c r="N51" s="87"/>
      <c r="O51" s="87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s="5" customForma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57"/>
      <c r="M52" s="87"/>
      <c r="N52" s="87"/>
      <c r="O52" s="87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</sheetData>
  <mergeCells count="4">
    <mergeCell ref="A1:K1"/>
    <mergeCell ref="D3:E3"/>
    <mergeCell ref="F3:H3"/>
    <mergeCell ref="L4:P4"/>
  </mergeCells>
  <phoneticPr fontId="7" type="noConversion"/>
  <pageMargins left="0.75" right="0.75" top="1" bottom="1" header="0.5" footer="0.5"/>
  <pageSetup paperSize="9" scale="62" orientation="portrait" r:id="rId1"/>
  <headerFooter alignWithMargins="0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AE52"/>
  <sheetViews>
    <sheetView view="pageBreakPreview" zoomScale="85" zoomScaleNormal="100" zoomScaleSheetLayoutView="85" workbookViewId="0">
      <selection activeCell="M23" sqref="M23"/>
    </sheetView>
  </sheetViews>
  <sheetFormatPr defaultColWidth="8.88671875" defaultRowHeight="13.5"/>
  <cols>
    <col min="1" max="1" width="5.26171875" style="10" customWidth="1"/>
    <col min="2" max="2" width="20.23046875" style="10" bestFit="1" customWidth="1"/>
    <col min="3" max="3" width="14.3828125" style="10" bestFit="1" customWidth="1"/>
    <col min="4" max="4" width="3.7421875" style="10" customWidth="1"/>
    <col min="5" max="5" width="8.30078125" style="10" customWidth="1"/>
    <col min="6" max="6" width="6.1953125" style="10" customWidth="1"/>
    <col min="7" max="7" width="5.73046875" style="10" customWidth="1"/>
    <col min="8" max="8" width="9.8203125" style="10" bestFit="1" customWidth="1"/>
    <col min="9" max="9" width="10.9921875" style="10" customWidth="1"/>
    <col min="10" max="10" width="12.74609375" style="10" bestFit="1" customWidth="1"/>
    <col min="11" max="11" width="18.125" style="10" bestFit="1" customWidth="1"/>
    <col min="12" max="12" width="20.46484375" style="157" bestFit="1" customWidth="1"/>
    <col min="13" max="13" width="13.796875" style="87" customWidth="1"/>
    <col min="14" max="14" width="12.16015625" style="87" bestFit="1" customWidth="1"/>
    <col min="15" max="15" width="9.703125" style="87" customWidth="1"/>
    <col min="16" max="16" width="12.16015625" style="8" bestFit="1" customWidth="1"/>
    <col min="17" max="18" width="15.43359375" style="8" bestFit="1" customWidth="1"/>
    <col min="19" max="19" width="8.88671875" style="8"/>
    <col min="20" max="20" width="17.07421875" style="8" bestFit="1" customWidth="1"/>
    <col min="21" max="31" width="8.88671875" style="8"/>
    <col min="32" max="16384" width="8.88671875" style="2"/>
  </cols>
  <sheetData>
    <row r="1" spans="1:31" ht="24" thickTop="1" thickBot="1">
      <c r="A1" s="336" t="s">
        <v>190</v>
      </c>
      <c r="B1" s="337"/>
      <c r="C1" s="337"/>
      <c r="D1" s="337"/>
      <c r="E1" s="337"/>
      <c r="F1" s="337"/>
      <c r="G1" s="337"/>
      <c r="H1" s="337"/>
      <c r="I1" s="337"/>
      <c r="J1" s="337"/>
      <c r="K1" s="338"/>
      <c r="M1" s="7"/>
    </row>
    <row r="2" spans="1:31" ht="14.45" customHeight="1" thickTop="1" thickBot="1">
      <c r="A2" s="158"/>
      <c r="B2" s="158"/>
      <c r="C2" s="115"/>
      <c r="E2" s="115"/>
      <c r="F2" s="115"/>
      <c r="G2" s="115"/>
    </row>
    <row r="3" spans="1:31" ht="15" thickTop="1" thickBot="1">
      <c r="A3" s="184" t="s">
        <v>191</v>
      </c>
      <c r="B3" s="183" t="s">
        <v>303</v>
      </c>
      <c r="C3" s="184" t="s">
        <v>192</v>
      </c>
      <c r="D3" s="339" t="s">
        <v>193</v>
      </c>
      <c r="E3" s="340"/>
      <c r="F3" s="341" t="s">
        <v>194</v>
      </c>
      <c r="G3" s="339"/>
      <c r="H3" s="339"/>
      <c r="I3" s="187" t="s">
        <v>310</v>
      </c>
      <c r="J3" s="184" t="s">
        <v>197</v>
      </c>
      <c r="K3" s="183" t="s">
        <v>314</v>
      </c>
    </row>
    <row r="4" spans="1:31" ht="19.149999999999999" customHeight="1" thickTop="1" thickBot="1">
      <c r="J4" s="197" t="s">
        <v>332</v>
      </c>
      <c r="K4" s="189">
        <v>1060</v>
      </c>
      <c r="L4" s="342" t="s">
        <v>207</v>
      </c>
      <c r="M4" s="343"/>
      <c r="N4" s="343"/>
      <c r="O4" s="343"/>
      <c r="P4" s="343"/>
    </row>
    <row r="5" spans="1:31" s="3" customFormat="1" ht="25.15" customHeight="1" thickTop="1">
      <c r="A5" s="9" t="s">
        <v>1</v>
      </c>
      <c r="B5" s="9" t="s">
        <v>164</v>
      </c>
      <c r="C5" s="88" t="s">
        <v>165</v>
      </c>
      <c r="D5" s="89" t="s">
        <v>166</v>
      </c>
      <c r="E5" s="9" t="s">
        <v>167</v>
      </c>
      <c r="F5" s="9" t="s">
        <v>168</v>
      </c>
      <c r="G5" s="9" t="s">
        <v>169</v>
      </c>
      <c r="H5" s="9" t="s">
        <v>170</v>
      </c>
      <c r="I5" s="123" t="s">
        <v>171</v>
      </c>
      <c r="J5" s="195" t="s">
        <v>172</v>
      </c>
      <c r="K5" s="196" t="s">
        <v>173</v>
      </c>
      <c r="L5" s="90" t="s">
        <v>198</v>
      </c>
      <c r="M5" s="121" t="s">
        <v>199</v>
      </c>
      <c r="N5" s="90" t="s">
        <v>38</v>
      </c>
      <c r="O5" s="90" t="s">
        <v>200</v>
      </c>
      <c r="P5" s="90" t="s">
        <v>201</v>
      </c>
      <c r="Q5" s="90" t="s">
        <v>265</v>
      </c>
      <c r="R5" s="90" t="s">
        <v>266</v>
      </c>
      <c r="S5" s="10"/>
      <c r="T5" s="191" t="s">
        <v>331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s="3" customFormat="1" ht="18" customHeight="1">
      <c r="A6" s="186">
        <v>1</v>
      </c>
      <c r="B6" s="224" t="s">
        <v>181</v>
      </c>
      <c r="C6" s="225">
        <f>COVER!B13</f>
        <v>0</v>
      </c>
      <c r="D6" s="226">
        <v>1</v>
      </c>
      <c r="E6" s="215"/>
      <c r="F6" s="227">
        <f>(272+340)/2</f>
        <v>306</v>
      </c>
      <c r="G6" s="227"/>
      <c r="H6" s="228">
        <f>COVER!C13</f>
        <v>0</v>
      </c>
      <c r="I6" s="229">
        <f>D6*F6*H6</f>
        <v>0</v>
      </c>
      <c r="J6" s="230"/>
      <c r="K6" s="231">
        <f t="shared" ref="K6:K12" si="0">I6+J6</f>
        <v>0</v>
      </c>
      <c r="L6" s="209">
        <v>182160</v>
      </c>
      <c r="M6" s="209">
        <v>215280</v>
      </c>
      <c r="N6" s="163"/>
      <c r="O6" s="90"/>
      <c r="P6" s="90"/>
      <c r="Q6" s="19"/>
      <c r="R6" s="19"/>
      <c r="S6" s="10"/>
      <c r="T6" s="10">
        <v>275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s="3" customFormat="1" ht="18" customHeight="1">
      <c r="A7" s="186">
        <v>1</v>
      </c>
      <c r="B7" s="224" t="s">
        <v>182</v>
      </c>
      <c r="C7" s="225" t="str">
        <f>COVER!B14</f>
        <v>A536 Gr65-45-12</v>
      </c>
      <c r="D7" s="226">
        <v>1</v>
      </c>
      <c r="E7" s="215"/>
      <c r="F7" s="227">
        <f>508</f>
        <v>508</v>
      </c>
      <c r="G7" s="227"/>
      <c r="H7" s="228">
        <f>COVER!C14</f>
        <v>3500</v>
      </c>
      <c r="I7" s="229">
        <f>D7*F7*H7</f>
        <v>1778000</v>
      </c>
      <c r="J7" s="230"/>
      <c r="K7" s="231">
        <f t="shared" si="0"/>
        <v>1778000</v>
      </c>
      <c r="L7" s="209">
        <v>288420</v>
      </c>
      <c r="M7" s="209">
        <v>340860</v>
      </c>
      <c r="N7" s="185"/>
      <c r="O7" s="90"/>
      <c r="P7" s="90"/>
      <c r="Q7" s="19"/>
      <c r="R7" s="19"/>
      <c r="S7" s="10"/>
      <c r="T7" s="10">
        <v>440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s="3" customFormat="1" ht="18" customHeight="1">
      <c r="A8" s="186">
        <v>1</v>
      </c>
      <c r="B8" s="224" t="s">
        <v>183</v>
      </c>
      <c r="C8" s="225">
        <f>COVER!B15</f>
        <v>0</v>
      </c>
      <c r="D8" s="226">
        <v>1</v>
      </c>
      <c r="E8" s="215"/>
      <c r="F8" s="227">
        <v>459</v>
      </c>
      <c r="G8" s="227"/>
      <c r="H8" s="228">
        <f>COVER!C15</f>
        <v>0</v>
      </c>
      <c r="I8" s="229">
        <f>D8*F8*H8</f>
        <v>0</v>
      </c>
      <c r="J8" s="230"/>
      <c r="K8" s="231">
        <f t="shared" si="0"/>
        <v>0</v>
      </c>
      <c r="L8" s="163">
        <v>290000</v>
      </c>
      <c r="M8" s="209">
        <v>340860</v>
      </c>
      <c r="N8" s="185"/>
      <c r="O8" s="90"/>
      <c r="P8" s="90"/>
      <c r="Q8" s="19"/>
      <c r="R8" s="19"/>
      <c r="S8" s="10"/>
      <c r="T8" s="10">
        <v>470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s="3" customFormat="1" ht="18" customHeight="1">
      <c r="A9" s="186">
        <v>2</v>
      </c>
      <c r="B9" s="232" t="s">
        <v>2</v>
      </c>
      <c r="C9" s="225" t="str">
        <f>COVER!B16</f>
        <v>A351 CF8M</v>
      </c>
      <c r="D9" s="226">
        <v>1</v>
      </c>
      <c r="E9" s="215"/>
      <c r="F9" s="227">
        <f>IF(COVER!B34="10 BAR",Q9,IF(COVER!B34="16 BAR",R9,IF(COVER!B34="20 BAR",R9)))</f>
        <v>172</v>
      </c>
      <c r="G9" s="227"/>
      <c r="H9" s="228">
        <f>COVER!C16</f>
        <v>12000</v>
      </c>
      <c r="I9" s="233">
        <f>D9*F9*H9</f>
        <v>2064000</v>
      </c>
      <c r="J9" s="230"/>
      <c r="K9" s="234">
        <f t="shared" si="0"/>
        <v>2064000</v>
      </c>
      <c r="L9" s="163">
        <v>102800</v>
      </c>
      <c r="M9" s="209">
        <f>L9</f>
        <v>102800</v>
      </c>
      <c r="N9" s="209">
        <f>M9</f>
        <v>102800</v>
      </c>
      <c r="O9" s="209">
        <f>N9*1.3</f>
        <v>133640</v>
      </c>
      <c r="P9" s="209">
        <f>O9*1.3</f>
        <v>173732</v>
      </c>
      <c r="Q9" s="19">
        <v>172</v>
      </c>
      <c r="R9" s="19">
        <v>172</v>
      </c>
      <c r="S9" s="10"/>
      <c r="T9" s="10">
        <v>148</v>
      </c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 s="3" customFormat="1" ht="18" customHeight="1">
      <c r="A10" s="207">
        <v>3</v>
      </c>
      <c r="B10" s="235" t="s">
        <v>3</v>
      </c>
      <c r="C10" s="236" t="str">
        <f>COVER!B18</f>
        <v>EPDM</v>
      </c>
      <c r="D10" s="214">
        <v>1</v>
      </c>
      <c r="E10" s="215"/>
      <c r="F10" s="227">
        <v>1</v>
      </c>
      <c r="G10" s="227"/>
      <c r="H10" s="228">
        <f>IF(C10="NBR",L10,IF(C10="EPDM",L10,IF(C10="VITON",M10)))</f>
        <v>152855</v>
      </c>
      <c r="I10" s="233">
        <f>H10*F10*D10</f>
        <v>152855</v>
      </c>
      <c r="J10" s="230"/>
      <c r="K10" s="234">
        <f t="shared" si="0"/>
        <v>152855</v>
      </c>
      <c r="L10" s="163">
        <v>152855</v>
      </c>
      <c r="M10" s="163">
        <v>1800000</v>
      </c>
      <c r="N10" s="163">
        <v>916800</v>
      </c>
      <c r="O10" s="163"/>
      <c r="P10" s="163"/>
      <c r="Q10" s="19"/>
      <c r="R10" s="1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s="3" customFormat="1" ht="18" customHeight="1">
      <c r="A11" s="207">
        <v>4</v>
      </c>
      <c r="B11" s="235" t="s">
        <v>333</v>
      </c>
      <c r="C11" s="214" t="str">
        <f>COVER!B17</f>
        <v>A564T630</v>
      </c>
      <c r="D11" s="214">
        <v>1</v>
      </c>
      <c r="E11" s="215"/>
      <c r="F11" s="243">
        <v>34</v>
      </c>
      <c r="G11" s="238"/>
      <c r="H11" s="228">
        <f>COVER!C17</f>
        <v>10000</v>
      </c>
      <c r="I11" s="233">
        <f>D11*F11*H11</f>
        <v>340000</v>
      </c>
      <c r="J11" s="233"/>
      <c r="K11" s="234">
        <f t="shared" si="0"/>
        <v>340000</v>
      </c>
      <c r="L11" s="163" t="s">
        <v>346</v>
      </c>
      <c r="M11" s="163">
        <v>18000</v>
      </c>
      <c r="N11" s="163">
        <v>50000</v>
      </c>
      <c r="O11" s="163">
        <f>ROUNDUP(P11/1.3,-2)</f>
        <v>73100</v>
      </c>
      <c r="P11" s="163">
        <v>95000</v>
      </c>
      <c r="Q11" s="18">
        <v>32.56</v>
      </c>
      <c r="R11" s="18"/>
      <c r="S11" s="108"/>
      <c r="T11" s="10">
        <v>38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s="3" customFormat="1" ht="18" customHeight="1">
      <c r="A12" s="207">
        <v>5</v>
      </c>
      <c r="B12" s="235" t="s">
        <v>348</v>
      </c>
      <c r="C12" s="214" t="s">
        <v>211</v>
      </c>
      <c r="D12" s="214">
        <v>1</v>
      </c>
      <c r="E12" s="215"/>
      <c r="F12" s="237">
        <v>1</v>
      </c>
      <c r="G12" s="227"/>
      <c r="H12" s="230">
        <f>L12</f>
        <v>41000</v>
      </c>
      <c r="I12" s="233">
        <f>D12*F12*H12</f>
        <v>41000</v>
      </c>
      <c r="J12" s="233"/>
      <c r="K12" s="234">
        <f t="shared" si="0"/>
        <v>41000</v>
      </c>
      <c r="L12" s="163">
        <v>41000</v>
      </c>
      <c r="M12" s="163"/>
      <c r="N12" s="163"/>
      <c r="O12" s="90"/>
      <c r="P12" s="90"/>
      <c r="Q12" s="19"/>
      <c r="R12" s="19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s="3" customFormat="1" ht="18" customHeight="1">
      <c r="A13" s="207">
        <v>6</v>
      </c>
      <c r="B13" s="235" t="s">
        <v>163</v>
      </c>
      <c r="C13" s="214" t="str">
        <f>COVER!B21</f>
        <v>SSPC</v>
      </c>
      <c r="D13" s="214">
        <v>4</v>
      </c>
      <c r="E13" s="215"/>
      <c r="F13" s="237">
        <v>1</v>
      </c>
      <c r="G13" s="227"/>
      <c r="H13" s="228">
        <f>L13</f>
        <v>2640</v>
      </c>
      <c r="I13" s="233">
        <f>H13*F13*D13</f>
        <v>10560</v>
      </c>
      <c r="J13" s="233"/>
      <c r="K13" s="234">
        <f>J13+I13</f>
        <v>10560</v>
      </c>
      <c r="L13" s="198">
        <v>2640</v>
      </c>
      <c r="M13" s="199"/>
      <c r="N13" s="199"/>
      <c r="O13" s="199"/>
      <c r="P13" s="199"/>
      <c r="Q13" s="19"/>
      <c r="R13" s="19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s="3" customFormat="1" ht="18" customHeight="1">
      <c r="A14" s="207">
        <v>7</v>
      </c>
      <c r="B14" s="235" t="s">
        <v>350</v>
      </c>
      <c r="C14" s="214" t="s">
        <v>351</v>
      </c>
      <c r="D14" s="214">
        <v>2</v>
      </c>
      <c r="E14" s="215"/>
      <c r="F14" s="237">
        <v>1</v>
      </c>
      <c r="G14" s="227"/>
      <c r="H14" s="228">
        <v>2800</v>
      </c>
      <c r="I14" s="233">
        <f>D14*F14*H14</f>
        <v>5600</v>
      </c>
      <c r="J14" s="233"/>
      <c r="K14" s="234">
        <f>I14+J14</f>
        <v>5600</v>
      </c>
      <c r="L14" s="163"/>
      <c r="M14" s="163"/>
      <c r="N14" s="163"/>
      <c r="O14" s="163"/>
      <c r="P14" s="163"/>
      <c r="Q14" s="201" t="s">
        <v>374</v>
      </c>
      <c r="R14" s="19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s="3" customFormat="1" ht="18" customHeight="1">
      <c r="A15" s="207">
        <v>8</v>
      </c>
      <c r="B15" s="235" t="s">
        <v>386</v>
      </c>
      <c r="C15" s="214" t="str">
        <f>COVER!B22</f>
        <v>BODY MATERIAL</v>
      </c>
      <c r="D15" s="214">
        <v>1</v>
      </c>
      <c r="E15" s="215"/>
      <c r="F15" s="237">
        <v>2.46</v>
      </c>
      <c r="G15" s="227"/>
      <c r="H15" s="228">
        <f>IF(C15="SS400",M15,IF(C15="BODY MATERIAL",N15))</f>
        <v>17220</v>
      </c>
      <c r="I15" s="233">
        <f>H15</f>
        <v>17220</v>
      </c>
      <c r="J15" s="233"/>
      <c r="K15" s="234">
        <f>I15+J15</f>
        <v>17220</v>
      </c>
      <c r="L15" s="163" t="s">
        <v>363</v>
      </c>
      <c r="M15" s="198">
        <v>6500</v>
      </c>
      <c r="N15" s="198">
        <f>IF(AND(C15="BODY MATERIAL"),IF((H6&gt;0),H6*F15*2,IF((H7&gt;0),H7*F15*2,IF((H8&gt;0),H8*F15*2))))</f>
        <v>17220</v>
      </c>
      <c r="O15" s="198"/>
      <c r="P15" s="198"/>
      <c r="Q15" s="201" t="s">
        <v>374</v>
      </c>
      <c r="R15" s="164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s="3" customFormat="1" ht="18" customHeight="1">
      <c r="A16" s="207">
        <v>9</v>
      </c>
      <c r="B16" s="235" t="s">
        <v>217</v>
      </c>
      <c r="C16" s="214" t="str">
        <f>COVER!B23</f>
        <v>B8M</v>
      </c>
      <c r="D16" s="214">
        <v>4</v>
      </c>
      <c r="E16" s="215"/>
      <c r="F16" s="237"/>
      <c r="G16" s="227"/>
      <c r="H16" s="228">
        <f>IF(C16="B8",M16,IF(C16="B8M",N16,IF(C16="B7(다크로)",O16)))</f>
        <v>900</v>
      </c>
      <c r="I16" s="233">
        <f>H16*D16</f>
        <v>3600</v>
      </c>
      <c r="J16" s="233"/>
      <c r="K16" s="234">
        <f>J16+I16</f>
        <v>3600</v>
      </c>
      <c r="L16" s="163" t="s">
        <v>384</v>
      </c>
      <c r="M16" s="198">
        <v>600</v>
      </c>
      <c r="N16" s="198">
        <v>900</v>
      </c>
      <c r="O16" s="198">
        <v>750</v>
      </c>
      <c r="P16" s="198"/>
      <c r="Q16" s="204" t="s">
        <v>385</v>
      </c>
      <c r="R16" s="19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s="3" customFormat="1" ht="18" customHeight="1">
      <c r="A17" s="207">
        <v>10</v>
      </c>
      <c r="B17" s="235" t="s">
        <v>221</v>
      </c>
      <c r="C17" s="214" t="str">
        <f>COVER!B24</f>
        <v>ALBC2</v>
      </c>
      <c r="D17" s="214">
        <v>1</v>
      </c>
      <c r="E17" s="215"/>
      <c r="F17" s="237">
        <v>1</v>
      </c>
      <c r="G17" s="227"/>
      <c r="H17" s="228">
        <f>L17</f>
        <v>12200</v>
      </c>
      <c r="I17" s="233">
        <f>H17*F17</f>
        <v>12200</v>
      </c>
      <c r="J17" s="233"/>
      <c r="K17" s="234">
        <f>J17+I17</f>
        <v>12200</v>
      </c>
      <c r="L17" s="198">
        <v>12200</v>
      </c>
      <c r="M17" s="199"/>
      <c r="N17" s="198"/>
      <c r="O17" s="198"/>
      <c r="P17" s="198"/>
      <c r="Q17" s="202"/>
      <c r="R17" s="19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s="3" customFormat="1" ht="18" customHeight="1">
      <c r="A18" s="207">
        <v>11</v>
      </c>
      <c r="B18" s="235" t="s">
        <v>187</v>
      </c>
      <c r="C18" s="214" t="s">
        <v>353</v>
      </c>
      <c r="D18" s="214">
        <v>1</v>
      </c>
      <c r="E18" s="215"/>
      <c r="F18" s="237">
        <v>1.45</v>
      </c>
      <c r="G18" s="227"/>
      <c r="H18" s="228">
        <f>M18</f>
        <v>4500</v>
      </c>
      <c r="I18" s="233">
        <f>H18*D18</f>
        <v>4500</v>
      </c>
      <c r="J18" s="233"/>
      <c r="K18" s="234">
        <f>J18+I18</f>
        <v>4500</v>
      </c>
      <c r="L18" s="163" t="s">
        <v>362</v>
      </c>
      <c r="M18" s="163">
        <v>4500</v>
      </c>
      <c r="N18" s="163"/>
      <c r="O18" s="163"/>
      <c r="P18" s="163"/>
      <c r="Q18" s="205"/>
      <c r="R18" s="165"/>
      <c r="S18" s="145"/>
      <c r="T18" s="145"/>
      <c r="U18" s="145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s="3" customFormat="1" ht="18" customHeight="1">
      <c r="A19" s="207">
        <v>12</v>
      </c>
      <c r="B19" s="235" t="s">
        <v>189</v>
      </c>
      <c r="C19" s="214" t="str">
        <f>COVER!B26</f>
        <v>B8M</v>
      </c>
      <c r="D19" s="214">
        <v>4</v>
      </c>
      <c r="E19" s="215"/>
      <c r="F19" s="237"/>
      <c r="G19" s="227"/>
      <c r="H19" s="230">
        <f>IF(C19="B8",M19,IF(C19="B8M",N19))</f>
        <v>500</v>
      </c>
      <c r="I19" s="233">
        <f>H19*D19</f>
        <v>2000</v>
      </c>
      <c r="J19" s="233"/>
      <c r="K19" s="234">
        <f>I19+J19</f>
        <v>2000</v>
      </c>
      <c r="L19" s="163" t="s">
        <v>382</v>
      </c>
      <c r="M19" s="163">
        <v>200</v>
      </c>
      <c r="N19" s="163">
        <v>500</v>
      </c>
      <c r="O19" s="163"/>
      <c r="P19" s="163"/>
      <c r="Q19" s="204" t="s">
        <v>381</v>
      </c>
      <c r="R19" s="19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s="3" customFormat="1" ht="18" customHeight="1">
      <c r="A20" s="207">
        <v>13</v>
      </c>
      <c r="B20" s="235" t="s">
        <v>188</v>
      </c>
      <c r="C20" s="214" t="str">
        <f>COVER!B27</f>
        <v>B8M</v>
      </c>
      <c r="D20" s="214">
        <v>8</v>
      </c>
      <c r="E20" s="215"/>
      <c r="F20" s="237"/>
      <c r="G20" s="227"/>
      <c r="H20" s="228">
        <f>IF(C20="B8",M20,IF(C20="B8M",N20,IF(C20="B7(다크로)",O20)))</f>
        <v>2800</v>
      </c>
      <c r="I20" s="233">
        <f>H20*D20</f>
        <v>22400</v>
      </c>
      <c r="J20" s="233"/>
      <c r="K20" s="234">
        <f t="shared" ref="K20:K22" si="1">I20+J20</f>
        <v>22400</v>
      </c>
      <c r="L20" s="163" t="s">
        <v>394</v>
      </c>
      <c r="M20" s="163">
        <v>2000</v>
      </c>
      <c r="N20" s="163">
        <v>2800</v>
      </c>
      <c r="O20" s="163">
        <v>2000</v>
      </c>
      <c r="P20" s="163"/>
      <c r="Q20" s="204" t="s">
        <v>385</v>
      </c>
      <c r="R20" s="19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s="3" customFormat="1" ht="18" customHeight="1">
      <c r="A21" s="207">
        <v>14</v>
      </c>
      <c r="B21" s="235" t="s">
        <v>349</v>
      </c>
      <c r="C21" s="214"/>
      <c r="D21" s="214">
        <v>4</v>
      </c>
      <c r="E21" s="215"/>
      <c r="F21" s="237"/>
      <c r="G21" s="227"/>
      <c r="H21" s="228">
        <v>800</v>
      </c>
      <c r="I21" s="233">
        <f>H21*D21</f>
        <v>3200</v>
      </c>
      <c r="J21" s="241"/>
      <c r="K21" s="234">
        <f>I21+J21</f>
        <v>3200</v>
      </c>
      <c r="L21" s="163" t="s">
        <v>402</v>
      </c>
      <c r="M21" s="163"/>
      <c r="N21" s="163"/>
      <c r="O21" s="163"/>
      <c r="P21" s="163"/>
      <c r="Q21" s="201" t="s">
        <v>374</v>
      </c>
      <c r="R21" s="19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s="3" customFormat="1" ht="18" customHeight="1">
      <c r="A22" s="207">
        <v>15</v>
      </c>
      <c r="B22" s="235" t="s">
        <v>6</v>
      </c>
      <c r="C22" s="214" t="str">
        <f>COVER!B34</f>
        <v>10 BAR</v>
      </c>
      <c r="D22" s="214">
        <v>1</v>
      </c>
      <c r="E22" s="215"/>
      <c r="F22" s="237"/>
      <c r="G22" s="242"/>
      <c r="H22" s="228"/>
      <c r="I22" s="233">
        <f>IF(C22="10 BAR",M22,IF(C22="16 BAR",N22,IF(C22="20 BAR",O22)))</f>
        <v>589000</v>
      </c>
      <c r="J22" s="241"/>
      <c r="K22" s="234">
        <f t="shared" si="1"/>
        <v>589000</v>
      </c>
      <c r="L22" s="163"/>
      <c r="M22" s="163">
        <v>589000</v>
      </c>
      <c r="N22" s="163">
        <v>748000</v>
      </c>
      <c r="O22" s="163">
        <v>748000</v>
      </c>
      <c r="P22" s="163"/>
      <c r="Q22" s="19"/>
      <c r="R22" s="19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s="3" customFormat="1" ht="18" customHeight="1">
      <c r="A23" s="207">
        <v>16</v>
      </c>
      <c r="B23" s="235" t="s">
        <v>7</v>
      </c>
      <c r="C23" s="214" t="str">
        <f>COVER!B32</f>
        <v>기존 단가</v>
      </c>
      <c r="D23" s="214">
        <v>1</v>
      </c>
      <c r="E23" s="215"/>
      <c r="F23" s="237"/>
      <c r="G23" s="242"/>
      <c r="H23" s="228">
        <f>IF(COVER!B9="APPLICATION",0,IF(COVER!B32="기존 단가",L23,IF(COVER!B32="외주 2COATING",M23,IF(COVER!B32="외주 3COATING",N23))))</f>
        <v>200000</v>
      </c>
      <c r="I23" s="233">
        <f>H23</f>
        <v>200000</v>
      </c>
      <c r="J23" s="233"/>
      <c r="K23" s="234"/>
      <c r="L23" s="163">
        <v>200000</v>
      </c>
      <c r="M23" s="163">
        <f>IF(H6&gt;0,F6*520,IF(H7&gt;0,F7*520,IF(H8&gt;0,F8*520)))</f>
        <v>264160</v>
      </c>
      <c r="N23" s="163">
        <f>IF(H6&gt;0,F6*620,IF(H7&gt;0,F7*620,IF(H8&gt;0,F8*620)))</f>
        <v>314960</v>
      </c>
      <c r="O23" s="90"/>
      <c r="P23" s="182"/>
      <c r="Q23" s="19"/>
      <c r="R23" s="19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s="3" customFormat="1" ht="18" customHeight="1">
      <c r="A24" s="207">
        <v>17</v>
      </c>
      <c r="B24" s="235" t="s">
        <v>174</v>
      </c>
      <c r="C24" s="214"/>
      <c r="D24" s="214">
        <v>1</v>
      </c>
      <c r="E24" s="215"/>
      <c r="F24" s="237"/>
      <c r="G24" s="242"/>
      <c r="H24" s="228">
        <f>IF(COVER!B9="APPLICATION",0,IF(COVER!B9="N/A",L24))</f>
        <v>250000</v>
      </c>
      <c r="I24" s="233">
        <f>H24</f>
        <v>250000</v>
      </c>
      <c r="J24" s="234"/>
      <c r="K24" s="234"/>
      <c r="L24" s="211">
        <v>250000</v>
      </c>
      <c r="M24" s="90"/>
      <c r="N24" s="90"/>
      <c r="O24" s="90"/>
      <c r="P24" s="90"/>
      <c r="Q24" s="19"/>
      <c r="R24" s="19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s="3" customFormat="1" ht="18" customHeight="1">
      <c r="A25" s="207">
        <v>18</v>
      </c>
      <c r="B25" s="97" t="s">
        <v>175</v>
      </c>
      <c r="C25" s="14"/>
      <c r="D25" s="14"/>
      <c r="E25" s="15"/>
      <c r="F25" s="15"/>
      <c r="G25" s="15"/>
      <c r="H25" s="15"/>
      <c r="I25" s="98"/>
      <c r="J25" s="98"/>
      <c r="K25" s="16">
        <f>SUM(K6:K21)+SUM(K23:K24)</f>
        <v>4457135</v>
      </c>
      <c r="L25" s="185" t="s">
        <v>248</v>
      </c>
      <c r="M25" s="90"/>
      <c r="N25" s="90"/>
      <c r="O25" s="90"/>
      <c r="P25" s="90"/>
      <c r="Q25" s="19"/>
      <c r="R25" s="19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s="3" customFormat="1" ht="18" customHeight="1">
      <c r="A26" s="207">
        <v>18</v>
      </c>
      <c r="B26" s="97" t="s">
        <v>176</v>
      </c>
      <c r="C26" s="14"/>
      <c r="D26" s="14"/>
      <c r="E26" s="15"/>
      <c r="F26" s="15"/>
      <c r="G26" s="15"/>
      <c r="H26" s="15"/>
      <c r="I26" s="98"/>
      <c r="J26" s="98"/>
      <c r="K26" s="16">
        <f>SUM(K6:K21)+SUM(K23:K24)</f>
        <v>4457135</v>
      </c>
      <c r="L26" s="185" t="s">
        <v>248</v>
      </c>
      <c r="M26" s="90"/>
      <c r="N26" s="90"/>
      <c r="O26" s="90"/>
      <c r="P26" s="90"/>
      <c r="Q26" s="19"/>
      <c r="R26" s="19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s="3" customFormat="1" ht="18" customHeight="1">
      <c r="A27" s="207">
        <v>18</v>
      </c>
      <c r="B27" s="97" t="s">
        <v>177</v>
      </c>
      <c r="C27" s="14"/>
      <c r="D27" s="14"/>
      <c r="E27" s="15"/>
      <c r="F27" s="15"/>
      <c r="G27" s="15"/>
      <c r="H27" s="15"/>
      <c r="I27" s="98"/>
      <c r="J27" s="98"/>
      <c r="K27" s="16">
        <f>SUM(K6:K24)</f>
        <v>5046135</v>
      </c>
      <c r="L27" s="185" t="s">
        <v>248</v>
      </c>
      <c r="M27" s="90"/>
      <c r="N27" s="90"/>
      <c r="O27" s="90"/>
      <c r="P27" s="90"/>
      <c r="Q27" s="19"/>
      <c r="R27" s="19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s="3" customFormat="1" ht="18" customHeight="1">
      <c r="A28" s="207">
        <v>19</v>
      </c>
      <c r="B28" s="235" t="s">
        <v>237</v>
      </c>
      <c r="C28" s="214" t="str">
        <f>COVER!B28</f>
        <v>REQUIRED</v>
      </c>
      <c r="D28" s="214">
        <v>0</v>
      </c>
      <c r="E28" s="215"/>
      <c r="F28" s="239"/>
      <c r="G28" s="215"/>
      <c r="H28" s="233">
        <f>IF(C28="REQUIRED",L28,IF(C28="N/A",0))</f>
        <v>0</v>
      </c>
      <c r="I28" s="233">
        <f>H28</f>
        <v>0</v>
      </c>
      <c r="J28" s="215"/>
      <c r="K28" s="234"/>
      <c r="L28" s="163"/>
      <c r="M28" s="90"/>
      <c r="N28" s="90"/>
      <c r="O28" s="90"/>
      <c r="P28" s="90"/>
      <c r="Q28" s="19"/>
      <c r="R28" s="19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s="3" customFormat="1" ht="18" customHeight="1">
      <c r="A29" s="207">
        <v>20</v>
      </c>
      <c r="B29" s="235" t="s">
        <v>180</v>
      </c>
      <c r="C29" s="214"/>
      <c r="D29" s="214">
        <v>0</v>
      </c>
      <c r="E29" s="215"/>
      <c r="F29" s="239"/>
      <c r="G29" s="215"/>
      <c r="H29" s="215"/>
      <c r="I29" s="215"/>
      <c r="J29" s="215"/>
      <c r="K29" s="234"/>
      <c r="L29" s="185"/>
      <c r="M29" s="90"/>
      <c r="N29" s="90"/>
      <c r="O29" s="90"/>
      <c r="P29" s="90"/>
      <c r="Q29" s="19"/>
      <c r="R29" s="19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s="3" customFormat="1" ht="18" customHeight="1">
      <c r="A30" s="207">
        <v>21</v>
      </c>
      <c r="B30" s="235" t="s">
        <v>178</v>
      </c>
      <c r="C30" s="214" t="str">
        <f>COVER!B35</f>
        <v>MOTOR</v>
      </c>
      <c r="D30" s="214">
        <v>1</v>
      </c>
      <c r="E30" s="215"/>
      <c r="F30" s="239"/>
      <c r="G30" s="215"/>
      <c r="H30" s="233">
        <f>IF(COVER!B9="APPLICATION",0,IF(COVER!B35="BARE",M30,(IF(COVER!B35="LEVER",M30,IF(COVER!B35="GEAR",N30,IF(COVER!B35="MOTOR",O30))))))</f>
        <v>280000</v>
      </c>
      <c r="I30" s="234">
        <f>H30</f>
        <v>280000</v>
      </c>
      <c r="J30" s="215"/>
      <c r="K30" s="234"/>
      <c r="L30" s="163">
        <v>286000</v>
      </c>
      <c r="M30" s="163">
        <v>135000</v>
      </c>
      <c r="N30" s="163">
        <v>135000</v>
      </c>
      <c r="O30" s="163">
        <v>280000</v>
      </c>
      <c r="P30" s="90"/>
      <c r="Q30" s="19"/>
      <c r="R30" s="19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s="3" customFormat="1" ht="18" customHeight="1">
      <c r="A31" s="207">
        <v>22</v>
      </c>
      <c r="B31" s="235"/>
      <c r="C31" s="214"/>
      <c r="D31" s="214"/>
      <c r="E31" s="215"/>
      <c r="F31" s="239"/>
      <c r="G31" s="215"/>
      <c r="H31" s="215"/>
      <c r="I31" s="215"/>
      <c r="J31" s="215"/>
      <c r="K31" s="234"/>
      <c r="L31" s="185"/>
      <c r="M31" s="90"/>
      <c r="N31" s="90"/>
      <c r="O31" s="90"/>
      <c r="P31" s="90"/>
      <c r="Q31" s="19"/>
      <c r="R31" s="19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s="3" customFormat="1" ht="18" customHeight="1">
      <c r="A32" s="207">
        <v>23</v>
      </c>
      <c r="B32" s="89" t="s">
        <v>179</v>
      </c>
      <c r="C32" s="14"/>
      <c r="D32" s="99"/>
      <c r="E32" s="15"/>
      <c r="F32" s="15"/>
      <c r="G32" s="15"/>
      <c r="H32" s="15"/>
      <c r="I32" s="100"/>
      <c r="J32" s="101"/>
      <c r="K32" s="100">
        <f>SUM(K28:K31)</f>
        <v>0</v>
      </c>
      <c r="L32" s="185" t="s">
        <v>249</v>
      </c>
      <c r="M32" s="90"/>
      <c r="N32" s="90"/>
      <c r="O32" s="90"/>
      <c r="P32" s="90"/>
      <c r="Q32" s="19"/>
      <c r="R32" s="19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s="3" customFormat="1" ht="18" customHeight="1">
      <c r="A33" s="186">
        <v>24</v>
      </c>
      <c r="B33" s="216" t="s">
        <v>252</v>
      </c>
      <c r="C33" s="217"/>
      <c r="D33" s="218"/>
      <c r="E33" s="219"/>
      <c r="F33" s="219"/>
      <c r="G33" s="219"/>
      <c r="H33" s="219"/>
      <c r="I33" s="220"/>
      <c r="J33" s="221"/>
      <c r="K33" s="220">
        <f>K25+K32</f>
        <v>4457135</v>
      </c>
      <c r="L33" s="185" t="s">
        <v>257</v>
      </c>
      <c r="M33" s="90"/>
      <c r="N33" s="90"/>
      <c r="O33" s="90"/>
      <c r="P33" s="90"/>
      <c r="Q33" s="19"/>
      <c r="R33" s="19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s="3" customFormat="1" ht="18" customHeight="1">
      <c r="A34" s="186">
        <v>24</v>
      </c>
      <c r="B34" s="216" t="s">
        <v>255</v>
      </c>
      <c r="C34" s="217"/>
      <c r="D34" s="218"/>
      <c r="E34" s="219"/>
      <c r="F34" s="219"/>
      <c r="G34" s="219"/>
      <c r="H34" s="219"/>
      <c r="I34" s="220"/>
      <c r="J34" s="221"/>
      <c r="K34" s="220">
        <f>K26+K32</f>
        <v>4457135</v>
      </c>
      <c r="L34" s="185" t="s">
        <v>257</v>
      </c>
      <c r="M34" s="90"/>
      <c r="N34" s="90"/>
      <c r="O34" s="90"/>
      <c r="P34" s="90"/>
      <c r="Q34" s="19"/>
      <c r="R34" s="19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s="3" customFormat="1" ht="18" customHeight="1">
      <c r="A35" s="186">
        <v>24</v>
      </c>
      <c r="B35" s="216" t="s">
        <v>256</v>
      </c>
      <c r="C35" s="217"/>
      <c r="D35" s="218"/>
      <c r="E35" s="219"/>
      <c r="F35" s="219"/>
      <c r="G35" s="219"/>
      <c r="H35" s="219"/>
      <c r="I35" s="220"/>
      <c r="J35" s="221"/>
      <c r="K35" s="220">
        <f>K27+K32</f>
        <v>5046135</v>
      </c>
      <c r="L35" s="185" t="s">
        <v>257</v>
      </c>
      <c r="M35" s="90"/>
      <c r="N35" s="90"/>
      <c r="O35" s="90"/>
      <c r="P35" s="90"/>
      <c r="Q35" s="19"/>
      <c r="R35" s="19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s="4" customFormat="1" ht="18" customHeight="1">
      <c r="A36" s="186">
        <v>25</v>
      </c>
      <c r="B36" s="102" t="s">
        <v>407</v>
      </c>
      <c r="C36" s="103"/>
      <c r="D36" s="103"/>
      <c r="E36" s="104"/>
      <c r="F36" s="105"/>
      <c r="G36" s="105"/>
      <c r="H36" s="106"/>
      <c r="I36" s="223" t="s">
        <v>41</v>
      </c>
      <c r="J36" s="223">
        <v>0.7</v>
      </c>
      <c r="K36" s="107">
        <f>(K25+K32)/J36</f>
        <v>6367335.7142857146</v>
      </c>
      <c r="L36" s="185" t="s">
        <v>250</v>
      </c>
      <c r="M36" s="90"/>
      <c r="N36" s="90"/>
      <c r="O36" s="90"/>
      <c r="P36" s="90"/>
      <c r="Q36" s="19"/>
      <c r="R36" s="19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s="4" customFormat="1" ht="18" customHeight="1">
      <c r="A37" s="186">
        <v>25</v>
      </c>
      <c r="B37" s="102" t="s">
        <v>408</v>
      </c>
      <c r="C37" s="103"/>
      <c r="D37" s="103"/>
      <c r="E37" s="104"/>
      <c r="F37" s="105"/>
      <c r="G37" s="105"/>
      <c r="H37" s="106"/>
      <c r="I37" s="223" t="s">
        <v>41</v>
      </c>
      <c r="J37" s="223">
        <v>0.7</v>
      </c>
      <c r="K37" s="107">
        <f>(K26+K32)/J37</f>
        <v>6367335.7142857146</v>
      </c>
      <c r="L37" s="185" t="s">
        <v>250</v>
      </c>
      <c r="M37" s="90"/>
      <c r="N37" s="90"/>
      <c r="O37" s="90"/>
      <c r="P37" s="90"/>
      <c r="Q37" s="19"/>
      <c r="R37" s="19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s="4" customFormat="1" ht="18" customHeight="1">
      <c r="A38" s="186">
        <v>25</v>
      </c>
      <c r="B38" s="102" t="s">
        <v>409</v>
      </c>
      <c r="C38" s="103"/>
      <c r="D38" s="103"/>
      <c r="E38" s="104"/>
      <c r="F38" s="105"/>
      <c r="G38" s="105"/>
      <c r="H38" s="106"/>
      <c r="I38" s="223" t="s">
        <v>41</v>
      </c>
      <c r="J38" s="223">
        <v>0.7</v>
      </c>
      <c r="K38" s="107">
        <f>(K27+K32)/J38</f>
        <v>7208764.2857142864</v>
      </c>
      <c r="L38" s="185" t="s">
        <v>250</v>
      </c>
      <c r="M38" s="90"/>
      <c r="N38" s="90"/>
      <c r="O38" s="90"/>
      <c r="P38" s="90"/>
      <c r="Q38" s="19"/>
      <c r="R38" s="19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s="4" customFormat="1" ht="18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57"/>
      <c r="M39" s="108"/>
      <c r="N39" s="108"/>
      <c r="O39" s="108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s="4" customFormat="1" ht="18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57"/>
      <c r="M40" s="108"/>
      <c r="N40" s="108"/>
      <c r="O40" s="108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s="4" customFormat="1" ht="18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57"/>
      <c r="M41" s="108"/>
      <c r="N41" s="108"/>
      <c r="O41" s="108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s="4" customFormat="1" ht="18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57"/>
      <c r="M42" s="108"/>
      <c r="N42" s="108"/>
      <c r="O42" s="108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s="4" customFormat="1" ht="18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57"/>
      <c r="M43" s="108"/>
      <c r="N43" s="108"/>
      <c r="O43" s="108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s="4" customFormat="1" ht="18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57"/>
      <c r="M44" s="108"/>
      <c r="N44" s="108"/>
      <c r="O44" s="108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s="4" customFormat="1" ht="18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57"/>
      <c r="M45" s="108"/>
      <c r="N45" s="108"/>
      <c r="O45" s="108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s="4" customFormat="1" ht="18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57"/>
      <c r="M46" s="108"/>
      <c r="N46" s="108"/>
      <c r="O46" s="108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s="4" customFormat="1" ht="12.75">
      <c r="A47" s="10"/>
      <c r="B47" s="10"/>
      <c r="C47" s="10"/>
      <c r="D47" s="109"/>
      <c r="E47" s="10"/>
      <c r="F47" s="10"/>
      <c r="G47" s="10"/>
      <c r="H47" s="10"/>
      <c r="I47" s="10"/>
      <c r="J47" s="10"/>
      <c r="K47" s="10"/>
      <c r="L47" s="108"/>
      <c r="M47" s="108"/>
      <c r="N47" s="108"/>
      <c r="O47" s="108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s="4" customFormat="1" ht="12.7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57"/>
      <c r="M48" s="108"/>
      <c r="N48" s="108"/>
      <c r="O48" s="108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s="4" customFormat="1" ht="12.7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57"/>
      <c r="M49" s="108"/>
      <c r="N49" s="108"/>
      <c r="O49" s="108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s="5" customForma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57"/>
      <c r="M50" s="87"/>
      <c r="N50" s="87"/>
      <c r="O50" s="8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s="5" customForma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57"/>
      <c r="M51" s="87"/>
      <c r="N51" s="87"/>
      <c r="O51" s="87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s="5" customForma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57"/>
      <c r="M52" s="87"/>
      <c r="N52" s="87"/>
      <c r="O52" s="87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</sheetData>
  <mergeCells count="4">
    <mergeCell ref="A1:K1"/>
    <mergeCell ref="D3:E3"/>
    <mergeCell ref="F3:H3"/>
    <mergeCell ref="L4:P4"/>
  </mergeCells>
  <phoneticPr fontId="7" type="noConversion"/>
  <pageMargins left="0.75" right="0.75" top="1" bottom="1" header="0.5" footer="0.5"/>
  <pageSetup paperSize="9" scale="62" orientation="portrait" r:id="rId1"/>
  <headerFooter alignWithMargins="0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</sheetPr>
  <dimension ref="A1:AE52"/>
  <sheetViews>
    <sheetView view="pageBreakPreview" zoomScale="85" zoomScaleNormal="100" zoomScaleSheetLayoutView="85" workbookViewId="0">
      <selection activeCell="M23" sqref="M23"/>
    </sheetView>
  </sheetViews>
  <sheetFormatPr defaultColWidth="8.88671875" defaultRowHeight="13.5"/>
  <cols>
    <col min="1" max="1" width="5.26171875" style="10" customWidth="1"/>
    <col min="2" max="2" width="20.23046875" style="10" bestFit="1" customWidth="1"/>
    <col min="3" max="3" width="14.3828125" style="10" bestFit="1" customWidth="1"/>
    <col min="4" max="4" width="3.7421875" style="10" customWidth="1"/>
    <col min="5" max="5" width="8.30078125" style="10" customWidth="1"/>
    <col min="6" max="6" width="6.1953125" style="10" customWidth="1"/>
    <col min="7" max="7" width="5.73046875" style="10" customWidth="1"/>
    <col min="8" max="8" width="9.8203125" style="10" bestFit="1" customWidth="1"/>
    <col min="9" max="9" width="10.9921875" style="10" customWidth="1"/>
    <col min="10" max="10" width="12.74609375" style="10" bestFit="1" customWidth="1"/>
    <col min="11" max="11" width="18.125" style="10" bestFit="1" customWidth="1"/>
    <col min="12" max="12" width="23.38671875" style="157" bestFit="1" customWidth="1"/>
    <col min="13" max="13" width="13.796875" style="87" customWidth="1"/>
    <col min="14" max="14" width="12.16015625" style="87" bestFit="1" customWidth="1"/>
    <col min="15" max="15" width="9.703125" style="87" customWidth="1"/>
    <col min="16" max="16" width="12.16015625" style="8" bestFit="1" customWidth="1"/>
    <col min="17" max="18" width="15.43359375" style="8" bestFit="1" customWidth="1"/>
    <col min="19" max="19" width="8.88671875" style="8"/>
    <col min="20" max="20" width="17.07421875" style="8" bestFit="1" customWidth="1"/>
    <col min="21" max="31" width="8.88671875" style="8"/>
    <col min="32" max="16384" width="8.88671875" style="2"/>
  </cols>
  <sheetData>
    <row r="1" spans="1:31" ht="24" thickTop="1" thickBot="1">
      <c r="A1" s="336" t="s">
        <v>190</v>
      </c>
      <c r="B1" s="337"/>
      <c r="C1" s="337"/>
      <c r="D1" s="337"/>
      <c r="E1" s="337"/>
      <c r="F1" s="337"/>
      <c r="G1" s="337"/>
      <c r="H1" s="337"/>
      <c r="I1" s="337"/>
      <c r="J1" s="337"/>
      <c r="K1" s="338"/>
      <c r="M1" s="7"/>
    </row>
    <row r="2" spans="1:31" ht="14.45" customHeight="1" thickTop="1" thickBot="1">
      <c r="A2" s="158"/>
      <c r="B2" s="158"/>
      <c r="C2" s="115"/>
      <c r="E2" s="115"/>
      <c r="F2" s="115"/>
      <c r="G2" s="115"/>
    </row>
    <row r="3" spans="1:31" ht="15" thickTop="1" thickBot="1">
      <c r="A3" s="184" t="s">
        <v>191</v>
      </c>
      <c r="B3" s="183" t="s">
        <v>304</v>
      </c>
      <c r="C3" s="184" t="s">
        <v>192</v>
      </c>
      <c r="D3" s="339" t="s">
        <v>193</v>
      </c>
      <c r="E3" s="340"/>
      <c r="F3" s="341" t="s">
        <v>194</v>
      </c>
      <c r="G3" s="339"/>
      <c r="H3" s="339"/>
      <c r="I3" s="187" t="s">
        <v>310</v>
      </c>
      <c r="J3" s="184" t="s">
        <v>197</v>
      </c>
      <c r="K3" s="188" t="s">
        <v>315</v>
      </c>
      <c r="L3" s="87"/>
    </row>
    <row r="4" spans="1:31" ht="19.149999999999999" customHeight="1" thickTop="1" thickBot="1">
      <c r="J4" s="197" t="s">
        <v>332</v>
      </c>
      <c r="K4" s="189">
        <v>1110</v>
      </c>
      <c r="L4" s="342" t="s">
        <v>207</v>
      </c>
      <c r="M4" s="343"/>
      <c r="N4" s="343"/>
      <c r="O4" s="343"/>
      <c r="P4" s="343"/>
    </row>
    <row r="5" spans="1:31" s="3" customFormat="1" ht="25.15" customHeight="1" thickTop="1">
      <c r="A5" s="9" t="s">
        <v>1</v>
      </c>
      <c r="B5" s="9" t="s">
        <v>164</v>
      </c>
      <c r="C5" s="88" t="s">
        <v>165</v>
      </c>
      <c r="D5" s="89" t="s">
        <v>166</v>
      </c>
      <c r="E5" s="9" t="s">
        <v>167</v>
      </c>
      <c r="F5" s="9" t="s">
        <v>168</v>
      </c>
      <c r="G5" s="9" t="s">
        <v>169</v>
      </c>
      <c r="H5" s="9" t="s">
        <v>170</v>
      </c>
      <c r="I5" s="123" t="s">
        <v>171</v>
      </c>
      <c r="J5" s="195" t="s">
        <v>172</v>
      </c>
      <c r="K5" s="196" t="s">
        <v>173</v>
      </c>
      <c r="L5" s="90" t="s">
        <v>198</v>
      </c>
      <c r="M5" s="121" t="s">
        <v>199</v>
      </c>
      <c r="N5" s="90" t="s">
        <v>38</v>
      </c>
      <c r="O5" s="90" t="s">
        <v>200</v>
      </c>
      <c r="P5" s="90" t="s">
        <v>201</v>
      </c>
      <c r="Q5" s="90" t="s">
        <v>265</v>
      </c>
      <c r="R5" s="90" t="s">
        <v>266</v>
      </c>
      <c r="S5" s="10"/>
      <c r="T5" s="191" t="s">
        <v>331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s="3" customFormat="1" ht="18" customHeight="1">
      <c r="A6" s="186">
        <v>1</v>
      </c>
      <c r="B6" s="224" t="s">
        <v>181</v>
      </c>
      <c r="C6" s="225">
        <f>COVER!B13</f>
        <v>0</v>
      </c>
      <c r="D6" s="226">
        <v>1</v>
      </c>
      <c r="E6" s="215"/>
      <c r="F6" s="227">
        <v>340</v>
      </c>
      <c r="G6" s="227"/>
      <c r="H6" s="228">
        <f>COVER!C13</f>
        <v>0</v>
      </c>
      <c r="I6" s="229">
        <f>D6*F6*H6</f>
        <v>0</v>
      </c>
      <c r="J6" s="230"/>
      <c r="K6" s="231">
        <f t="shared" ref="K6:K12" si="0">I6+J6</f>
        <v>0</v>
      </c>
      <c r="L6" s="209">
        <v>204930</v>
      </c>
      <c r="M6" s="209">
        <v>242190</v>
      </c>
      <c r="N6" s="163"/>
      <c r="O6" s="90"/>
      <c r="P6" s="90"/>
      <c r="Q6" s="19"/>
      <c r="R6" s="19"/>
      <c r="S6" s="10"/>
      <c r="T6" s="10">
        <v>310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s="3" customFormat="1" ht="18" customHeight="1">
      <c r="A7" s="186">
        <v>1</v>
      </c>
      <c r="B7" s="224" t="s">
        <v>182</v>
      </c>
      <c r="C7" s="225" t="str">
        <f>COVER!B14</f>
        <v>A536 Gr65-45-12</v>
      </c>
      <c r="D7" s="226">
        <v>1</v>
      </c>
      <c r="E7" s="215"/>
      <c r="F7" s="227">
        <f>570*1.05</f>
        <v>598.5</v>
      </c>
      <c r="G7" s="227"/>
      <c r="H7" s="228">
        <f>COVER!C14</f>
        <v>3500</v>
      </c>
      <c r="I7" s="229">
        <f>D7*F7*H7</f>
        <v>2094750</v>
      </c>
      <c r="J7" s="230"/>
      <c r="K7" s="231">
        <f t="shared" si="0"/>
        <v>2094750</v>
      </c>
      <c r="L7" s="209">
        <v>333960</v>
      </c>
      <c r="M7" s="209">
        <v>394680</v>
      </c>
      <c r="N7" s="185"/>
      <c r="O7" s="90"/>
      <c r="P7" s="90"/>
      <c r="Q7" s="19"/>
      <c r="R7" s="19"/>
      <c r="S7" s="10"/>
      <c r="T7" s="10">
        <v>440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s="3" customFormat="1" ht="18" customHeight="1">
      <c r="A8" s="186">
        <v>1</v>
      </c>
      <c r="B8" s="224" t="s">
        <v>183</v>
      </c>
      <c r="C8" s="225">
        <f>COVER!B15</f>
        <v>0</v>
      </c>
      <c r="D8" s="226">
        <v>1</v>
      </c>
      <c r="E8" s="215"/>
      <c r="F8" s="227">
        <v>484</v>
      </c>
      <c r="G8" s="227"/>
      <c r="H8" s="228">
        <f>COVER!C15</f>
        <v>0</v>
      </c>
      <c r="I8" s="229">
        <f>D8*F8*H8</f>
        <v>0</v>
      </c>
      <c r="J8" s="230"/>
      <c r="K8" s="231">
        <f t="shared" si="0"/>
        <v>0</v>
      </c>
      <c r="L8" s="209">
        <v>333960</v>
      </c>
      <c r="M8" s="209">
        <v>394680</v>
      </c>
      <c r="N8" s="185"/>
      <c r="O8" s="90"/>
      <c r="P8" s="90"/>
      <c r="Q8" s="19"/>
      <c r="R8" s="19"/>
      <c r="S8" s="10"/>
      <c r="T8" s="10">
        <v>408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s="3" customFormat="1" ht="18" customHeight="1">
      <c r="A9" s="186">
        <v>2</v>
      </c>
      <c r="B9" s="232" t="s">
        <v>2</v>
      </c>
      <c r="C9" s="225" t="str">
        <f>COVER!B16</f>
        <v>A351 CF8M</v>
      </c>
      <c r="D9" s="226">
        <v>1</v>
      </c>
      <c r="E9" s="215"/>
      <c r="F9" s="227">
        <f>IF(COVER!B34="10 BAR",Q9,IF(COVER!B34="16 BAR",R9,IF(COVER!B34="20 BAR",R9)))</f>
        <v>198</v>
      </c>
      <c r="G9" s="227"/>
      <c r="H9" s="228">
        <f>COVER!C16</f>
        <v>12000</v>
      </c>
      <c r="I9" s="233">
        <f>D9*F9*H9</f>
        <v>2376000</v>
      </c>
      <c r="J9" s="230"/>
      <c r="K9" s="234">
        <f t="shared" si="0"/>
        <v>2376000</v>
      </c>
      <c r="L9" s="163">
        <v>109400</v>
      </c>
      <c r="M9" s="209">
        <f>L9</f>
        <v>109400</v>
      </c>
      <c r="N9" s="209">
        <f>M9</f>
        <v>109400</v>
      </c>
      <c r="O9" s="209">
        <f>N9*1.3</f>
        <v>142220</v>
      </c>
      <c r="P9" s="209">
        <f>O9*1.3</f>
        <v>184886</v>
      </c>
      <c r="Q9" s="19">
        <v>198</v>
      </c>
      <c r="R9" s="19">
        <v>198</v>
      </c>
      <c r="S9" s="10"/>
      <c r="T9" s="10">
        <v>202</v>
      </c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 s="3" customFormat="1" ht="18" customHeight="1">
      <c r="A10" s="207">
        <v>3</v>
      </c>
      <c r="B10" s="235" t="s">
        <v>3</v>
      </c>
      <c r="C10" s="236" t="str">
        <f>COVER!B18</f>
        <v>EPDM</v>
      </c>
      <c r="D10" s="214">
        <v>1</v>
      </c>
      <c r="E10" s="215"/>
      <c r="F10" s="227">
        <v>1</v>
      </c>
      <c r="G10" s="227"/>
      <c r="H10" s="228">
        <f>IF(C10="NBR",L10,IF(C10="EPDM",L10,IF(C10="VITON",M10)))</f>
        <v>191045</v>
      </c>
      <c r="I10" s="233">
        <f>H10*F10*D10</f>
        <v>191045</v>
      </c>
      <c r="J10" s="230"/>
      <c r="K10" s="234">
        <f t="shared" si="0"/>
        <v>191045</v>
      </c>
      <c r="L10" s="163">
        <v>191045</v>
      </c>
      <c r="M10" s="163">
        <v>1890000</v>
      </c>
      <c r="N10" s="163">
        <v>1187500</v>
      </c>
      <c r="O10" s="163"/>
      <c r="P10" s="163"/>
      <c r="Q10" s="19"/>
      <c r="R10" s="1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s="3" customFormat="1" ht="18" customHeight="1">
      <c r="A11" s="207">
        <v>4</v>
      </c>
      <c r="B11" s="235" t="s">
        <v>333</v>
      </c>
      <c r="C11" s="214" t="str">
        <f>COVER!B17</f>
        <v>A564T630</v>
      </c>
      <c r="D11" s="214">
        <v>1</v>
      </c>
      <c r="E11" s="215"/>
      <c r="F11" s="243">
        <v>35</v>
      </c>
      <c r="G11" s="238"/>
      <c r="H11" s="228">
        <f>COVER!C17</f>
        <v>10000</v>
      </c>
      <c r="I11" s="233">
        <f>D11*F11*H11</f>
        <v>350000</v>
      </c>
      <c r="J11" s="233"/>
      <c r="K11" s="234">
        <f t="shared" si="0"/>
        <v>350000</v>
      </c>
      <c r="L11" s="163" t="s">
        <v>339</v>
      </c>
      <c r="M11" s="163">
        <v>24000</v>
      </c>
      <c r="N11" s="163">
        <v>60000</v>
      </c>
      <c r="O11" s="163">
        <f>ROUNDUP(P11/1.3,-2)</f>
        <v>73100</v>
      </c>
      <c r="P11" s="163">
        <v>95000</v>
      </c>
      <c r="Q11" s="18">
        <v>34.14</v>
      </c>
      <c r="R11" s="18"/>
      <c r="S11" s="108"/>
      <c r="T11" s="10">
        <v>38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s="3" customFormat="1" ht="18" customHeight="1">
      <c r="A12" s="207">
        <v>5</v>
      </c>
      <c r="B12" s="235" t="s">
        <v>348</v>
      </c>
      <c r="C12" s="214" t="s">
        <v>211</v>
      </c>
      <c r="D12" s="214">
        <v>1</v>
      </c>
      <c r="E12" s="215"/>
      <c r="F12" s="237">
        <v>1</v>
      </c>
      <c r="G12" s="227"/>
      <c r="H12" s="230">
        <f>L12</f>
        <v>43000</v>
      </c>
      <c r="I12" s="233">
        <f>D12*F12*H12</f>
        <v>43000</v>
      </c>
      <c r="J12" s="233"/>
      <c r="K12" s="234">
        <f t="shared" si="0"/>
        <v>43000</v>
      </c>
      <c r="L12" s="163">
        <v>43000</v>
      </c>
      <c r="M12" s="163"/>
      <c r="N12" s="163"/>
      <c r="O12" s="90"/>
      <c r="P12" s="90"/>
      <c r="Q12" s="19"/>
      <c r="R12" s="19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s="3" customFormat="1" ht="18" customHeight="1">
      <c r="A13" s="207">
        <v>6</v>
      </c>
      <c r="B13" s="235" t="s">
        <v>163</v>
      </c>
      <c r="C13" s="214" t="str">
        <f>COVER!B21</f>
        <v>SSPC</v>
      </c>
      <c r="D13" s="214">
        <v>4</v>
      </c>
      <c r="E13" s="215"/>
      <c r="F13" s="237">
        <v>1</v>
      </c>
      <c r="G13" s="227"/>
      <c r="H13" s="228">
        <f>L13</f>
        <v>2230</v>
      </c>
      <c r="I13" s="233">
        <f>H13*F13*D13</f>
        <v>8920</v>
      </c>
      <c r="J13" s="233"/>
      <c r="K13" s="234">
        <f>J13+I13</f>
        <v>8920</v>
      </c>
      <c r="L13" s="198">
        <v>2230</v>
      </c>
      <c r="M13" s="199"/>
      <c r="N13" s="199"/>
      <c r="O13" s="199"/>
      <c r="P13" s="199"/>
      <c r="Q13" s="19"/>
      <c r="R13" s="19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s="3" customFormat="1" ht="18" customHeight="1">
      <c r="A14" s="207">
        <v>7</v>
      </c>
      <c r="B14" s="235" t="s">
        <v>350</v>
      </c>
      <c r="C14" s="214" t="s">
        <v>351</v>
      </c>
      <c r="D14" s="214">
        <v>2</v>
      </c>
      <c r="E14" s="215"/>
      <c r="F14" s="237">
        <v>1</v>
      </c>
      <c r="G14" s="227"/>
      <c r="H14" s="228">
        <v>2800</v>
      </c>
      <c r="I14" s="233">
        <f>D14*F14*H14</f>
        <v>5600</v>
      </c>
      <c r="J14" s="233"/>
      <c r="K14" s="234">
        <f>I14+J14</f>
        <v>5600</v>
      </c>
      <c r="L14" s="210"/>
      <c r="M14" s="163"/>
      <c r="N14" s="163"/>
      <c r="O14" s="163"/>
      <c r="P14" s="163"/>
      <c r="Q14" s="201" t="s">
        <v>374</v>
      </c>
      <c r="R14" s="19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s="3" customFormat="1" ht="18" customHeight="1">
      <c r="A15" s="207">
        <v>8</v>
      </c>
      <c r="B15" s="235" t="s">
        <v>386</v>
      </c>
      <c r="C15" s="214" t="str">
        <f>COVER!B22</f>
        <v>BODY MATERIAL</v>
      </c>
      <c r="D15" s="214">
        <v>1</v>
      </c>
      <c r="E15" s="215"/>
      <c r="F15" s="237">
        <v>2.82</v>
      </c>
      <c r="G15" s="227"/>
      <c r="H15" s="228">
        <f>IF(C15="SS400",M15,IF(C15="BODY MATERIAL",N15))</f>
        <v>19740</v>
      </c>
      <c r="I15" s="233">
        <f>H15</f>
        <v>19740</v>
      </c>
      <c r="J15" s="233"/>
      <c r="K15" s="234">
        <f>I15+J15</f>
        <v>19740</v>
      </c>
      <c r="L15" s="163" t="s">
        <v>365</v>
      </c>
      <c r="M15" s="198">
        <v>7500</v>
      </c>
      <c r="N15" s="198">
        <f>IF(AND(C15="BODY MATERIAL"),IF((H6&gt;0),H6*F15*2,IF((H7&gt;0),H7*F15*2,IF((H8&gt;0),H8*F15*2))))</f>
        <v>19740</v>
      </c>
      <c r="O15" s="198"/>
      <c r="P15" s="198"/>
      <c r="Q15" s="201" t="s">
        <v>374</v>
      </c>
      <c r="R15" s="164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s="3" customFormat="1" ht="18" customHeight="1">
      <c r="A16" s="207">
        <v>9</v>
      </c>
      <c r="B16" s="235" t="s">
        <v>217</v>
      </c>
      <c r="C16" s="214" t="str">
        <f>COVER!B23</f>
        <v>B8M</v>
      </c>
      <c r="D16" s="214">
        <v>6</v>
      </c>
      <c r="E16" s="215"/>
      <c r="F16" s="237"/>
      <c r="G16" s="227"/>
      <c r="H16" s="228">
        <f>IF(C16="B8",M16,IF(C16="B8M",N16,IF(C16="B7(다크로)",O16)))</f>
        <v>900</v>
      </c>
      <c r="I16" s="233">
        <f>H16*D16</f>
        <v>5400</v>
      </c>
      <c r="J16" s="233"/>
      <c r="K16" s="234">
        <f>J16+I16</f>
        <v>5400</v>
      </c>
      <c r="L16" s="163" t="s">
        <v>384</v>
      </c>
      <c r="M16" s="198">
        <v>600</v>
      </c>
      <c r="N16" s="198">
        <v>900</v>
      </c>
      <c r="O16" s="198">
        <v>750</v>
      </c>
      <c r="P16" s="198"/>
      <c r="Q16" s="204" t="s">
        <v>385</v>
      </c>
      <c r="R16" s="19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s="3" customFormat="1" ht="18" customHeight="1">
      <c r="A17" s="207">
        <v>10</v>
      </c>
      <c r="B17" s="235" t="s">
        <v>221</v>
      </c>
      <c r="C17" s="214" t="str">
        <f>COVER!B24</f>
        <v>ALBC2</v>
      </c>
      <c r="D17" s="214">
        <v>1</v>
      </c>
      <c r="E17" s="215"/>
      <c r="F17" s="237">
        <v>1</v>
      </c>
      <c r="G17" s="227"/>
      <c r="H17" s="228">
        <f>L17</f>
        <v>14500</v>
      </c>
      <c r="I17" s="233">
        <f>H17*F17</f>
        <v>14500</v>
      </c>
      <c r="J17" s="233"/>
      <c r="K17" s="234">
        <f>J17+I17</f>
        <v>14500</v>
      </c>
      <c r="L17" s="198">
        <v>14500</v>
      </c>
      <c r="M17" s="199"/>
      <c r="N17" s="198"/>
      <c r="O17" s="198"/>
      <c r="P17" s="198"/>
      <c r="Q17" s="202"/>
      <c r="R17" s="19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s="3" customFormat="1" ht="18" customHeight="1">
      <c r="A18" s="207">
        <v>11</v>
      </c>
      <c r="B18" s="235" t="s">
        <v>187</v>
      </c>
      <c r="C18" s="214" t="s">
        <v>353</v>
      </c>
      <c r="D18" s="214">
        <v>1</v>
      </c>
      <c r="E18" s="215"/>
      <c r="F18" s="237">
        <v>1.67</v>
      </c>
      <c r="G18" s="227"/>
      <c r="H18" s="228">
        <f>M18</f>
        <v>5500</v>
      </c>
      <c r="I18" s="233">
        <f>H18*D18</f>
        <v>5500</v>
      </c>
      <c r="J18" s="233"/>
      <c r="K18" s="234">
        <f>J18+I18</f>
        <v>5500</v>
      </c>
      <c r="L18" s="163" t="s">
        <v>364</v>
      </c>
      <c r="M18" s="163">
        <v>5500</v>
      </c>
      <c r="N18" s="163"/>
      <c r="O18" s="163"/>
      <c r="P18" s="163"/>
      <c r="Q18" s="205"/>
      <c r="R18" s="165"/>
      <c r="S18" s="145"/>
      <c r="T18" s="145"/>
      <c r="U18" s="145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s="3" customFormat="1" ht="18" customHeight="1">
      <c r="A19" s="207">
        <v>12</v>
      </c>
      <c r="B19" s="235" t="s">
        <v>189</v>
      </c>
      <c r="C19" s="214" t="str">
        <f>COVER!B26</f>
        <v>B8M</v>
      </c>
      <c r="D19" s="214">
        <v>4</v>
      </c>
      <c r="E19" s="215"/>
      <c r="F19" s="237"/>
      <c r="G19" s="227"/>
      <c r="H19" s="230">
        <f>IF(C19="B8",M19,IF(C19="B8M",N19))</f>
        <v>500</v>
      </c>
      <c r="I19" s="233">
        <f>H19*D19</f>
        <v>2000</v>
      </c>
      <c r="J19" s="233"/>
      <c r="K19" s="234">
        <f>I19+J19</f>
        <v>2000</v>
      </c>
      <c r="L19" s="163" t="s">
        <v>382</v>
      </c>
      <c r="M19" s="163">
        <v>200</v>
      </c>
      <c r="N19" s="163">
        <v>500</v>
      </c>
      <c r="O19" s="163"/>
      <c r="P19" s="163"/>
      <c r="Q19" s="204" t="s">
        <v>381</v>
      </c>
      <c r="R19" s="19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s="3" customFormat="1" ht="18" customHeight="1">
      <c r="A20" s="207">
        <v>13</v>
      </c>
      <c r="B20" s="235" t="s">
        <v>188</v>
      </c>
      <c r="C20" s="214" t="str">
        <f>COVER!B27</f>
        <v>B8M</v>
      </c>
      <c r="D20" s="214">
        <v>8</v>
      </c>
      <c r="E20" s="215"/>
      <c r="F20" s="237"/>
      <c r="G20" s="227"/>
      <c r="H20" s="228">
        <f>IF(C20="B8",M20,IF(C20="B8M",N20,IF(C20="B7(다크로)",O20)))</f>
        <v>3000</v>
      </c>
      <c r="I20" s="233">
        <f>H20*D20</f>
        <v>24000</v>
      </c>
      <c r="J20" s="233"/>
      <c r="K20" s="234">
        <f t="shared" ref="K20:K22" si="1">I20+J20</f>
        <v>24000</v>
      </c>
      <c r="L20" s="163" t="s">
        <v>395</v>
      </c>
      <c r="M20" s="163">
        <v>2500</v>
      </c>
      <c r="N20" s="163">
        <v>3000</v>
      </c>
      <c r="O20" s="163">
        <v>2500</v>
      </c>
      <c r="P20" s="163"/>
      <c r="Q20" s="204" t="s">
        <v>385</v>
      </c>
      <c r="R20" s="19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s="3" customFormat="1" ht="18" customHeight="1">
      <c r="A21" s="207">
        <v>14</v>
      </c>
      <c r="B21" s="235" t="s">
        <v>349</v>
      </c>
      <c r="C21" s="214"/>
      <c r="D21" s="214">
        <v>4</v>
      </c>
      <c r="E21" s="215"/>
      <c r="F21" s="237"/>
      <c r="G21" s="227"/>
      <c r="H21" s="228">
        <v>850</v>
      </c>
      <c r="I21" s="233">
        <f>H21*D21</f>
        <v>3400</v>
      </c>
      <c r="J21" s="241"/>
      <c r="K21" s="234">
        <f>I21+J21</f>
        <v>3400</v>
      </c>
      <c r="L21" s="163" t="s">
        <v>402</v>
      </c>
      <c r="M21" s="163"/>
      <c r="N21" s="163"/>
      <c r="O21" s="163"/>
      <c r="P21" s="163"/>
      <c r="Q21" s="201" t="s">
        <v>374</v>
      </c>
      <c r="R21" s="19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s="3" customFormat="1" ht="18" customHeight="1">
      <c r="A22" s="207">
        <v>15</v>
      </c>
      <c r="B22" s="235" t="s">
        <v>6</v>
      </c>
      <c r="C22" s="214" t="str">
        <f>COVER!B34</f>
        <v>10 BAR</v>
      </c>
      <c r="D22" s="214">
        <v>1</v>
      </c>
      <c r="E22" s="215"/>
      <c r="F22" s="237"/>
      <c r="G22" s="242"/>
      <c r="H22" s="228"/>
      <c r="I22" s="233">
        <f>IF(C22="10 BAR",M22,IF(C22="16 BAR",N22,IF(C22="20 BAR",O22)))</f>
        <v>589000</v>
      </c>
      <c r="J22" s="241"/>
      <c r="K22" s="234">
        <f t="shared" si="1"/>
        <v>589000</v>
      </c>
      <c r="L22" s="163"/>
      <c r="M22" s="163">
        <v>589000</v>
      </c>
      <c r="N22" s="163">
        <v>748000</v>
      </c>
      <c r="O22" s="163">
        <v>1301000</v>
      </c>
      <c r="P22" s="163"/>
      <c r="Q22" s="19"/>
      <c r="R22" s="19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s="3" customFormat="1" ht="18" customHeight="1">
      <c r="A23" s="207">
        <v>16</v>
      </c>
      <c r="B23" s="235" t="s">
        <v>7</v>
      </c>
      <c r="C23" s="214" t="str">
        <f>COVER!B32</f>
        <v>기존 단가</v>
      </c>
      <c r="D23" s="214">
        <v>1</v>
      </c>
      <c r="E23" s="215"/>
      <c r="F23" s="237"/>
      <c r="G23" s="242"/>
      <c r="H23" s="228">
        <f>IF(COVER!B9="APPLICATION",0,IF(COVER!B32="기존 단가",L23,IF(COVER!B32="외주 2COATING",M23,IF(COVER!B32="외주 3COATING",N23))))</f>
        <v>216000</v>
      </c>
      <c r="I23" s="233">
        <f>H23</f>
        <v>216000</v>
      </c>
      <c r="J23" s="233"/>
      <c r="K23" s="234"/>
      <c r="L23" s="163">
        <v>216000</v>
      </c>
      <c r="M23" s="163">
        <f>IF(H6&gt;0,F6*520,IF(H7&gt;0,F7*520,IF(H8&gt;0,F8*520)))</f>
        <v>311220</v>
      </c>
      <c r="N23" s="163">
        <f>IF(H6&gt;0,F6*620,IF(H7&gt;0,F7*620,IF(H8&gt;0,F8*620)))</f>
        <v>371070</v>
      </c>
      <c r="O23" s="90"/>
      <c r="P23" s="182"/>
      <c r="Q23" s="19"/>
      <c r="R23" s="19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s="3" customFormat="1" ht="18" customHeight="1">
      <c r="A24" s="207">
        <v>17</v>
      </c>
      <c r="B24" s="235" t="s">
        <v>174</v>
      </c>
      <c r="C24" s="214"/>
      <c r="D24" s="214">
        <v>1</v>
      </c>
      <c r="E24" s="215"/>
      <c r="F24" s="237"/>
      <c r="G24" s="242"/>
      <c r="H24" s="228">
        <f>IF(COVER!B9="APPLICATION",0,IF(COVER!B9="N/A",L24))</f>
        <v>266000</v>
      </c>
      <c r="I24" s="233">
        <f>H24</f>
        <v>266000</v>
      </c>
      <c r="J24" s="234"/>
      <c r="K24" s="234"/>
      <c r="L24" s="211">
        <v>266000</v>
      </c>
      <c r="M24" s="90"/>
      <c r="N24" s="90"/>
      <c r="O24" s="90"/>
      <c r="P24" s="90"/>
      <c r="Q24" s="19"/>
      <c r="R24" s="19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s="3" customFormat="1" ht="18" customHeight="1">
      <c r="A25" s="207">
        <v>18</v>
      </c>
      <c r="B25" s="97" t="s">
        <v>175</v>
      </c>
      <c r="C25" s="14"/>
      <c r="D25" s="14"/>
      <c r="E25" s="15"/>
      <c r="F25" s="15"/>
      <c r="G25" s="15"/>
      <c r="H25" s="15"/>
      <c r="I25" s="98"/>
      <c r="J25" s="98"/>
      <c r="K25" s="16">
        <f>SUM(K6:K21)+SUM(K23:K24)</f>
        <v>5143855</v>
      </c>
      <c r="L25" s="185" t="s">
        <v>248</v>
      </c>
      <c r="M25" s="90"/>
      <c r="N25" s="90"/>
      <c r="O25" s="90"/>
      <c r="P25" s="90"/>
      <c r="Q25" s="19"/>
      <c r="R25" s="19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s="3" customFormat="1" ht="18" customHeight="1">
      <c r="A26" s="207">
        <v>18</v>
      </c>
      <c r="B26" s="97" t="s">
        <v>176</v>
      </c>
      <c r="C26" s="14"/>
      <c r="D26" s="14"/>
      <c r="E26" s="15"/>
      <c r="F26" s="15"/>
      <c r="G26" s="15"/>
      <c r="H26" s="15"/>
      <c r="I26" s="98"/>
      <c r="J26" s="98"/>
      <c r="K26" s="16">
        <f>SUM(K6:K21)+SUM(K23:K24)</f>
        <v>5143855</v>
      </c>
      <c r="L26" s="185" t="s">
        <v>248</v>
      </c>
      <c r="M26" s="90"/>
      <c r="N26" s="90"/>
      <c r="O26" s="90"/>
      <c r="P26" s="90"/>
      <c r="Q26" s="19"/>
      <c r="R26" s="19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s="3" customFormat="1" ht="18" customHeight="1">
      <c r="A27" s="207">
        <v>18</v>
      </c>
      <c r="B27" s="97" t="s">
        <v>177</v>
      </c>
      <c r="C27" s="14"/>
      <c r="D27" s="14"/>
      <c r="E27" s="15"/>
      <c r="F27" s="15"/>
      <c r="G27" s="15"/>
      <c r="H27" s="15"/>
      <c r="I27" s="98"/>
      <c r="J27" s="98"/>
      <c r="K27" s="16">
        <f>SUM(K6:K24)</f>
        <v>5732855</v>
      </c>
      <c r="L27" s="185" t="s">
        <v>248</v>
      </c>
      <c r="M27" s="90"/>
      <c r="N27" s="90"/>
      <c r="O27" s="90"/>
      <c r="P27" s="90"/>
      <c r="Q27" s="19"/>
      <c r="R27" s="19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s="3" customFormat="1" ht="18" customHeight="1">
      <c r="A28" s="207">
        <v>19</v>
      </c>
      <c r="B28" s="235" t="s">
        <v>237</v>
      </c>
      <c r="C28" s="214" t="str">
        <f>COVER!B28</f>
        <v>REQUIRED</v>
      </c>
      <c r="D28" s="214">
        <v>0</v>
      </c>
      <c r="E28" s="215"/>
      <c r="F28" s="239"/>
      <c r="G28" s="215"/>
      <c r="H28" s="233">
        <f>IF(C28="REQUIRED",L28,IF(C28="N/A",0))</f>
        <v>0</v>
      </c>
      <c r="I28" s="233">
        <f>H28</f>
        <v>0</v>
      </c>
      <c r="J28" s="215"/>
      <c r="K28" s="234"/>
      <c r="L28" s="163"/>
      <c r="M28" s="90"/>
      <c r="N28" s="90"/>
      <c r="O28" s="90"/>
      <c r="P28" s="90"/>
      <c r="Q28" s="19"/>
      <c r="R28" s="19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s="3" customFormat="1" ht="18" customHeight="1">
      <c r="A29" s="207">
        <v>20</v>
      </c>
      <c r="B29" s="235" t="s">
        <v>180</v>
      </c>
      <c r="C29" s="214"/>
      <c r="D29" s="214">
        <v>0</v>
      </c>
      <c r="E29" s="215"/>
      <c r="F29" s="239"/>
      <c r="G29" s="215"/>
      <c r="H29" s="215"/>
      <c r="I29" s="215"/>
      <c r="J29" s="215"/>
      <c r="K29" s="234"/>
      <c r="L29" s="185"/>
      <c r="M29" s="90"/>
      <c r="N29" s="90"/>
      <c r="O29" s="90"/>
      <c r="P29" s="90"/>
      <c r="Q29" s="19"/>
      <c r="R29" s="19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s="3" customFormat="1" ht="18" customHeight="1">
      <c r="A30" s="207">
        <v>21</v>
      </c>
      <c r="B30" s="235" t="s">
        <v>178</v>
      </c>
      <c r="C30" s="214" t="str">
        <f>COVER!B35</f>
        <v>MOTOR</v>
      </c>
      <c r="D30" s="214">
        <v>1</v>
      </c>
      <c r="E30" s="215"/>
      <c r="F30" s="239"/>
      <c r="G30" s="215"/>
      <c r="H30" s="233">
        <f>IF(COVER!B9="APPLICATION",0,IF(COVER!B35="BARE",M30,(IF(COVER!B35="LEVER",M30,IF(COVER!B35="GEAR",N30,IF(COVER!B35="MOTOR",O30))))))</f>
        <v>300000</v>
      </c>
      <c r="I30" s="234">
        <f>H30</f>
        <v>300000</v>
      </c>
      <c r="J30" s="215"/>
      <c r="K30" s="234"/>
      <c r="L30" s="163">
        <v>420000</v>
      </c>
      <c r="M30" s="163">
        <v>165000</v>
      </c>
      <c r="N30" s="163">
        <v>165000</v>
      </c>
      <c r="O30" s="163">
        <v>300000</v>
      </c>
      <c r="P30" s="90"/>
      <c r="Q30" s="19"/>
      <c r="R30" s="19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s="3" customFormat="1" ht="18" customHeight="1">
      <c r="A31" s="207">
        <v>22</v>
      </c>
      <c r="B31" s="235"/>
      <c r="C31" s="214"/>
      <c r="D31" s="214"/>
      <c r="E31" s="215"/>
      <c r="F31" s="239"/>
      <c r="G31" s="215"/>
      <c r="H31" s="215"/>
      <c r="I31" s="215"/>
      <c r="J31" s="215"/>
      <c r="K31" s="234"/>
      <c r="L31" s="185"/>
      <c r="M31" s="90"/>
      <c r="N31" s="90"/>
      <c r="O31" s="90"/>
      <c r="P31" s="90"/>
      <c r="Q31" s="19"/>
      <c r="R31" s="19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s="3" customFormat="1" ht="18" customHeight="1">
      <c r="A32" s="207">
        <v>23</v>
      </c>
      <c r="B32" s="89" t="s">
        <v>179</v>
      </c>
      <c r="C32" s="14"/>
      <c r="D32" s="99"/>
      <c r="E32" s="15"/>
      <c r="F32" s="15"/>
      <c r="G32" s="15"/>
      <c r="H32" s="15"/>
      <c r="I32" s="100"/>
      <c r="J32" s="101"/>
      <c r="K32" s="100">
        <f>SUM(K28:K31)</f>
        <v>0</v>
      </c>
      <c r="L32" s="185" t="s">
        <v>249</v>
      </c>
      <c r="M32" s="90"/>
      <c r="N32" s="90"/>
      <c r="O32" s="90"/>
      <c r="P32" s="90"/>
      <c r="Q32" s="19"/>
      <c r="R32" s="19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s="3" customFormat="1" ht="18" customHeight="1">
      <c r="A33" s="186">
        <v>24</v>
      </c>
      <c r="B33" s="216" t="s">
        <v>252</v>
      </c>
      <c r="C33" s="217"/>
      <c r="D33" s="218"/>
      <c r="E33" s="219"/>
      <c r="F33" s="219"/>
      <c r="G33" s="219"/>
      <c r="H33" s="219"/>
      <c r="I33" s="220"/>
      <c r="J33" s="221"/>
      <c r="K33" s="220">
        <f>K25+K32</f>
        <v>5143855</v>
      </c>
      <c r="L33" s="185" t="s">
        <v>257</v>
      </c>
      <c r="M33" s="90"/>
      <c r="N33" s="90"/>
      <c r="O33" s="90"/>
      <c r="P33" s="90"/>
      <c r="Q33" s="19"/>
      <c r="R33" s="19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s="3" customFormat="1" ht="18" customHeight="1">
      <c r="A34" s="186">
        <v>24</v>
      </c>
      <c r="B34" s="216" t="s">
        <v>255</v>
      </c>
      <c r="C34" s="217"/>
      <c r="D34" s="218"/>
      <c r="E34" s="219"/>
      <c r="F34" s="219"/>
      <c r="G34" s="219"/>
      <c r="H34" s="219"/>
      <c r="I34" s="220"/>
      <c r="J34" s="221"/>
      <c r="K34" s="220">
        <f>K26+K32</f>
        <v>5143855</v>
      </c>
      <c r="L34" s="185" t="s">
        <v>257</v>
      </c>
      <c r="M34" s="90"/>
      <c r="N34" s="90"/>
      <c r="O34" s="90"/>
      <c r="P34" s="90"/>
      <c r="Q34" s="19"/>
      <c r="R34" s="19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s="3" customFormat="1" ht="18" customHeight="1">
      <c r="A35" s="186">
        <v>24</v>
      </c>
      <c r="B35" s="216" t="s">
        <v>256</v>
      </c>
      <c r="C35" s="217"/>
      <c r="D35" s="218"/>
      <c r="E35" s="219"/>
      <c r="F35" s="219"/>
      <c r="G35" s="219"/>
      <c r="H35" s="219"/>
      <c r="I35" s="220"/>
      <c r="J35" s="221"/>
      <c r="K35" s="220">
        <f>K27+K32</f>
        <v>5732855</v>
      </c>
      <c r="L35" s="185" t="s">
        <v>257</v>
      </c>
      <c r="M35" s="90"/>
      <c r="N35" s="90"/>
      <c r="O35" s="90"/>
      <c r="P35" s="90"/>
      <c r="Q35" s="19"/>
      <c r="R35" s="19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s="4" customFormat="1" ht="18" customHeight="1">
      <c r="A36" s="186">
        <v>25</v>
      </c>
      <c r="B36" s="102" t="s">
        <v>407</v>
      </c>
      <c r="C36" s="103"/>
      <c r="D36" s="103"/>
      <c r="E36" s="104"/>
      <c r="F36" s="105"/>
      <c r="G36" s="105"/>
      <c r="H36" s="106"/>
      <c r="I36" s="223" t="s">
        <v>41</v>
      </c>
      <c r="J36" s="223">
        <v>0.7</v>
      </c>
      <c r="K36" s="107">
        <f>(K25+K32)/J36</f>
        <v>7348364.2857142864</v>
      </c>
      <c r="L36" s="185" t="s">
        <v>250</v>
      </c>
      <c r="M36" s="90"/>
      <c r="N36" s="90"/>
      <c r="O36" s="90"/>
      <c r="P36" s="90"/>
      <c r="Q36" s="19"/>
      <c r="R36" s="19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s="4" customFormat="1" ht="18" customHeight="1">
      <c r="A37" s="186">
        <v>25</v>
      </c>
      <c r="B37" s="102" t="s">
        <v>408</v>
      </c>
      <c r="C37" s="103"/>
      <c r="D37" s="103"/>
      <c r="E37" s="104"/>
      <c r="F37" s="105"/>
      <c r="G37" s="105"/>
      <c r="H37" s="106"/>
      <c r="I37" s="223" t="s">
        <v>41</v>
      </c>
      <c r="J37" s="223">
        <v>0.7</v>
      </c>
      <c r="K37" s="107">
        <f>(K26+K32)/J37</f>
        <v>7348364.2857142864</v>
      </c>
      <c r="L37" s="185" t="s">
        <v>250</v>
      </c>
      <c r="M37" s="90"/>
      <c r="N37" s="90"/>
      <c r="O37" s="90"/>
      <c r="P37" s="90"/>
      <c r="Q37" s="19"/>
      <c r="R37" s="19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s="4" customFormat="1" ht="18" customHeight="1">
      <c r="A38" s="186">
        <v>25</v>
      </c>
      <c r="B38" s="102" t="s">
        <v>409</v>
      </c>
      <c r="C38" s="103"/>
      <c r="D38" s="103"/>
      <c r="E38" s="104"/>
      <c r="F38" s="105"/>
      <c r="G38" s="105"/>
      <c r="H38" s="106"/>
      <c r="I38" s="223" t="s">
        <v>41</v>
      </c>
      <c r="J38" s="223">
        <v>0.7</v>
      </c>
      <c r="K38" s="107">
        <f>(K27+K32)/J38</f>
        <v>8189792.8571428573</v>
      </c>
      <c r="L38" s="185" t="s">
        <v>250</v>
      </c>
      <c r="M38" s="90"/>
      <c r="N38" s="90"/>
      <c r="O38" s="90"/>
      <c r="P38" s="90"/>
      <c r="Q38" s="19"/>
      <c r="R38" s="19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s="4" customFormat="1" ht="18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57"/>
      <c r="M39" s="108"/>
      <c r="N39" s="108"/>
      <c r="O39" s="108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s="4" customFormat="1" ht="18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57"/>
      <c r="M40" s="108"/>
      <c r="N40" s="108"/>
      <c r="O40" s="108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s="4" customFormat="1" ht="18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57"/>
      <c r="M41" s="108"/>
      <c r="N41" s="108"/>
      <c r="O41" s="108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s="4" customFormat="1" ht="18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57"/>
      <c r="M42" s="108"/>
      <c r="N42" s="108"/>
      <c r="O42" s="108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s="4" customFormat="1" ht="18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57"/>
      <c r="M43" s="108"/>
      <c r="N43" s="108"/>
      <c r="O43" s="108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s="4" customFormat="1" ht="18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57"/>
      <c r="M44" s="108"/>
      <c r="N44" s="108"/>
      <c r="O44" s="108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s="4" customFormat="1" ht="18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57"/>
      <c r="M45" s="108"/>
      <c r="N45" s="108"/>
      <c r="O45" s="108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s="4" customFormat="1" ht="18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57"/>
      <c r="M46" s="108"/>
      <c r="N46" s="108"/>
      <c r="O46" s="108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s="4" customFormat="1" ht="12.75">
      <c r="A47" s="10"/>
      <c r="B47" s="10"/>
      <c r="C47" s="10"/>
      <c r="D47" s="109"/>
      <c r="E47" s="10"/>
      <c r="F47" s="10"/>
      <c r="G47" s="10"/>
      <c r="H47" s="10"/>
      <c r="I47" s="10"/>
      <c r="J47" s="10"/>
      <c r="K47" s="10"/>
      <c r="L47" s="108"/>
      <c r="M47" s="108"/>
      <c r="N47" s="108"/>
      <c r="O47" s="108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s="4" customFormat="1" ht="12.7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57"/>
      <c r="M48" s="108"/>
      <c r="N48" s="108"/>
      <c r="O48" s="108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s="4" customFormat="1" ht="12.7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57"/>
      <c r="M49" s="108"/>
      <c r="N49" s="108"/>
      <c r="O49" s="108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s="5" customForma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57"/>
      <c r="M50" s="87"/>
      <c r="N50" s="87"/>
      <c r="O50" s="8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s="5" customForma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57"/>
      <c r="M51" s="87"/>
      <c r="N51" s="87"/>
      <c r="O51" s="87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s="5" customForma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57"/>
      <c r="M52" s="87"/>
      <c r="N52" s="87"/>
      <c r="O52" s="87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</sheetData>
  <mergeCells count="4">
    <mergeCell ref="A1:K1"/>
    <mergeCell ref="D3:E3"/>
    <mergeCell ref="F3:H3"/>
    <mergeCell ref="L4:P4"/>
  </mergeCells>
  <phoneticPr fontId="7" type="noConversion"/>
  <pageMargins left="0.75" right="0.75" top="1" bottom="1" header="0.5" footer="0.5"/>
  <pageSetup paperSize="9" scale="62" orientation="portrait" r:id="rId1"/>
  <headerFooter alignWithMargins="0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AE52"/>
  <sheetViews>
    <sheetView view="pageBreakPreview" zoomScale="85" zoomScaleNormal="100" zoomScaleSheetLayoutView="85" workbookViewId="0">
      <selection activeCell="M23" sqref="M23"/>
    </sheetView>
  </sheetViews>
  <sheetFormatPr defaultColWidth="8.88671875" defaultRowHeight="13.5"/>
  <cols>
    <col min="1" max="1" width="5.26171875" style="10" customWidth="1"/>
    <col min="2" max="2" width="20.23046875" style="10" bestFit="1" customWidth="1"/>
    <col min="3" max="3" width="14.3828125" style="10" bestFit="1" customWidth="1"/>
    <col min="4" max="4" width="3.7421875" style="10" customWidth="1"/>
    <col min="5" max="5" width="8.30078125" style="10" customWidth="1"/>
    <col min="6" max="6" width="6.1953125" style="10" customWidth="1"/>
    <col min="7" max="7" width="5.73046875" style="10" customWidth="1"/>
    <col min="8" max="8" width="9.8203125" style="10" customWidth="1"/>
    <col min="9" max="9" width="10.9921875" style="10" customWidth="1"/>
    <col min="10" max="10" width="12.74609375" style="10" bestFit="1" customWidth="1"/>
    <col min="11" max="11" width="18.125" style="10" bestFit="1" customWidth="1"/>
    <col min="12" max="12" width="18.9453125" style="157" bestFit="1" customWidth="1"/>
    <col min="13" max="13" width="13.796875" style="87" customWidth="1"/>
    <col min="14" max="14" width="12.16015625" style="87" bestFit="1" customWidth="1"/>
    <col min="15" max="15" width="9.703125" style="87" customWidth="1"/>
    <col min="16" max="16" width="12.16015625" style="8" bestFit="1" customWidth="1"/>
    <col min="17" max="18" width="15.43359375" style="8" bestFit="1" customWidth="1"/>
    <col min="19" max="19" width="8.88671875" style="8"/>
    <col min="20" max="20" width="17.07421875" style="8" bestFit="1" customWidth="1"/>
    <col min="21" max="31" width="8.88671875" style="8"/>
    <col min="32" max="16384" width="8.88671875" style="2"/>
  </cols>
  <sheetData>
    <row r="1" spans="1:31" ht="24" thickTop="1" thickBot="1">
      <c r="A1" s="336" t="s">
        <v>190</v>
      </c>
      <c r="B1" s="337"/>
      <c r="C1" s="337"/>
      <c r="D1" s="337"/>
      <c r="E1" s="337"/>
      <c r="F1" s="337"/>
      <c r="G1" s="337"/>
      <c r="H1" s="337"/>
      <c r="I1" s="337"/>
      <c r="J1" s="337"/>
      <c r="K1" s="338"/>
      <c r="M1" s="7"/>
    </row>
    <row r="2" spans="1:31" ht="14.45" customHeight="1" thickTop="1" thickBot="1">
      <c r="A2" s="158"/>
      <c r="B2" s="158"/>
      <c r="C2" s="115"/>
      <c r="E2" s="115"/>
      <c r="F2" s="115"/>
      <c r="G2" s="115"/>
      <c r="M2" s="87">
        <f>M7/L7</f>
        <v>1.1818564597407684</v>
      </c>
    </row>
    <row r="3" spans="1:31" ht="15" thickTop="1" thickBot="1">
      <c r="A3" s="184" t="s">
        <v>191</v>
      </c>
      <c r="B3" s="183" t="s">
        <v>305</v>
      </c>
      <c r="C3" s="184" t="s">
        <v>192</v>
      </c>
      <c r="D3" s="339" t="s">
        <v>193</v>
      </c>
      <c r="E3" s="340"/>
      <c r="F3" s="341" t="s">
        <v>194</v>
      </c>
      <c r="G3" s="339"/>
      <c r="H3" s="339"/>
      <c r="I3" s="187" t="s">
        <v>310</v>
      </c>
      <c r="J3" s="184" t="s">
        <v>197</v>
      </c>
      <c r="K3" s="183" t="s">
        <v>316</v>
      </c>
      <c r="M3" s="87">
        <f>L7/M7</f>
        <v>0.84612644095488787</v>
      </c>
    </row>
    <row r="4" spans="1:31" ht="19.149999999999999" customHeight="1" thickTop="1" thickBot="1">
      <c r="J4" s="197" t="s">
        <v>332</v>
      </c>
      <c r="K4" s="189">
        <v>1170</v>
      </c>
      <c r="L4" s="342" t="s">
        <v>207</v>
      </c>
      <c r="M4" s="343"/>
      <c r="N4" s="343"/>
      <c r="O4" s="343"/>
      <c r="P4" s="343"/>
    </row>
    <row r="5" spans="1:31" s="3" customFormat="1" ht="25.15" customHeight="1" thickTop="1">
      <c r="A5" s="9" t="s">
        <v>1</v>
      </c>
      <c r="B5" s="9" t="s">
        <v>164</v>
      </c>
      <c r="C5" s="88" t="s">
        <v>165</v>
      </c>
      <c r="D5" s="89" t="s">
        <v>166</v>
      </c>
      <c r="E5" s="9" t="s">
        <v>167</v>
      </c>
      <c r="F5" s="9" t="s">
        <v>168</v>
      </c>
      <c r="G5" s="9" t="s">
        <v>169</v>
      </c>
      <c r="H5" s="9" t="s">
        <v>170</v>
      </c>
      <c r="I5" s="123" t="s">
        <v>171</v>
      </c>
      <c r="J5" s="195" t="s">
        <v>172</v>
      </c>
      <c r="K5" s="196" t="s">
        <v>173</v>
      </c>
      <c r="L5" s="90" t="s">
        <v>198</v>
      </c>
      <c r="M5" s="121" t="s">
        <v>199</v>
      </c>
      <c r="N5" s="90" t="s">
        <v>38</v>
      </c>
      <c r="O5" s="90" t="s">
        <v>200</v>
      </c>
      <c r="P5" s="90" t="s">
        <v>201</v>
      </c>
      <c r="Q5" s="90" t="s">
        <v>265</v>
      </c>
      <c r="R5" s="90" t="s">
        <v>266</v>
      </c>
      <c r="S5" s="10"/>
      <c r="T5" s="191" t="s">
        <v>331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s="3" customFormat="1" ht="18" customHeight="1">
      <c r="A6" s="186">
        <v>1</v>
      </c>
      <c r="B6" s="224" t="s">
        <v>181</v>
      </c>
      <c r="C6" s="225">
        <f>COVER!B13</f>
        <v>0</v>
      </c>
      <c r="D6" s="226">
        <v>1</v>
      </c>
      <c r="E6" s="215"/>
      <c r="F6" s="227">
        <v>356</v>
      </c>
      <c r="G6" s="227"/>
      <c r="H6" s="228">
        <f>COVER!C13</f>
        <v>0</v>
      </c>
      <c r="I6" s="229">
        <f>D6*F6*H6</f>
        <v>0</v>
      </c>
      <c r="J6" s="230"/>
      <c r="K6" s="231">
        <f t="shared" ref="K6:K12" si="0">I6+J6</f>
        <v>0</v>
      </c>
      <c r="L6" s="209">
        <v>243854</v>
      </c>
      <c r="M6" s="209">
        <v>288191</v>
      </c>
      <c r="N6" s="163"/>
      <c r="O6" s="90"/>
      <c r="P6" s="90"/>
      <c r="Q6" s="19"/>
      <c r="R6" s="19"/>
      <c r="S6" s="10"/>
      <c r="T6" s="10">
        <v>370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s="3" customFormat="1" ht="18" customHeight="1">
      <c r="A7" s="186">
        <v>1</v>
      </c>
      <c r="B7" s="224" t="s">
        <v>182</v>
      </c>
      <c r="C7" s="225" t="str">
        <f>COVER!B14</f>
        <v>A536 Gr65-45-12</v>
      </c>
      <c r="D7" s="226">
        <v>1</v>
      </c>
      <c r="E7" s="215"/>
      <c r="F7" s="227">
        <v>638</v>
      </c>
      <c r="G7" s="227"/>
      <c r="H7" s="228">
        <f>COVER!C14</f>
        <v>3500</v>
      </c>
      <c r="I7" s="229">
        <f>D7*F7*H7</f>
        <v>2233000</v>
      </c>
      <c r="J7" s="230"/>
      <c r="K7" s="231">
        <f t="shared" si="0"/>
        <v>2233000</v>
      </c>
      <c r="L7" s="209">
        <v>372871</v>
      </c>
      <c r="M7" s="209">
        <v>440680</v>
      </c>
      <c r="N7" s="185"/>
      <c r="O7" s="90"/>
      <c r="P7" s="90"/>
      <c r="Q7" s="19"/>
      <c r="R7" s="19"/>
      <c r="S7" s="10"/>
      <c r="T7" s="10">
        <v>470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s="3" customFormat="1" ht="18" customHeight="1">
      <c r="A8" s="186">
        <v>1</v>
      </c>
      <c r="B8" s="224" t="s">
        <v>183</v>
      </c>
      <c r="C8" s="225">
        <f>COVER!B15</f>
        <v>0</v>
      </c>
      <c r="D8" s="226">
        <v>1</v>
      </c>
      <c r="E8" s="215"/>
      <c r="F8" s="227">
        <v>522</v>
      </c>
      <c r="G8" s="227"/>
      <c r="H8" s="228">
        <f>COVER!C15</f>
        <v>0</v>
      </c>
      <c r="I8" s="229">
        <f>D8*F8*H8</f>
        <v>0</v>
      </c>
      <c r="J8" s="230"/>
      <c r="K8" s="231">
        <f t="shared" si="0"/>
        <v>0</v>
      </c>
      <c r="L8" s="209">
        <v>372871</v>
      </c>
      <c r="M8" s="209">
        <v>440680</v>
      </c>
      <c r="N8" s="185"/>
      <c r="O8" s="90"/>
      <c r="P8" s="90"/>
      <c r="Q8" s="19"/>
      <c r="R8" s="19"/>
      <c r="S8" s="10"/>
      <c r="T8" s="10">
        <v>560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s="3" customFormat="1" ht="18" customHeight="1">
      <c r="A9" s="186">
        <v>2</v>
      </c>
      <c r="B9" s="232" t="s">
        <v>2</v>
      </c>
      <c r="C9" s="225" t="str">
        <f>COVER!B16</f>
        <v>A351 CF8M</v>
      </c>
      <c r="D9" s="226">
        <v>1</v>
      </c>
      <c r="E9" s="215"/>
      <c r="F9" s="227">
        <f>IF(COVER!B34="10 BAR",Q9,IF(COVER!B34="16 BAR",R9,IF(COVER!B34="20 BAR",R9)))</f>
        <v>216</v>
      </c>
      <c r="G9" s="227"/>
      <c r="H9" s="228">
        <f>COVER!C16</f>
        <v>12000</v>
      </c>
      <c r="I9" s="233">
        <f>D9*F9*H9</f>
        <v>2592000</v>
      </c>
      <c r="J9" s="230"/>
      <c r="K9" s="234">
        <f t="shared" si="0"/>
        <v>2592000</v>
      </c>
      <c r="L9" s="163">
        <v>146000</v>
      </c>
      <c r="M9" s="209">
        <f>L9</f>
        <v>146000</v>
      </c>
      <c r="N9" s="209">
        <f>M9</f>
        <v>146000</v>
      </c>
      <c r="O9" s="209">
        <f>N9*1.3</f>
        <v>189800</v>
      </c>
      <c r="P9" s="209">
        <f>O9*1.3</f>
        <v>246740</v>
      </c>
      <c r="Q9" s="19">
        <v>216</v>
      </c>
      <c r="R9" s="19">
        <v>216</v>
      </c>
      <c r="S9" s="10"/>
      <c r="T9" s="10">
        <v>215</v>
      </c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 s="3" customFormat="1" ht="18" customHeight="1">
      <c r="A10" s="207">
        <v>3</v>
      </c>
      <c r="B10" s="235" t="s">
        <v>3</v>
      </c>
      <c r="C10" s="236" t="str">
        <f>COVER!B18</f>
        <v>EPDM</v>
      </c>
      <c r="D10" s="214">
        <v>1</v>
      </c>
      <c r="E10" s="215"/>
      <c r="F10" s="227">
        <v>1</v>
      </c>
      <c r="G10" s="227"/>
      <c r="H10" s="228">
        <f>IF(C10="NBR",L10,IF(C10="EPDM",L10,IF(C10="VITON",M10)))</f>
        <v>209000</v>
      </c>
      <c r="I10" s="233">
        <f>H10*F10*D10</f>
        <v>209000</v>
      </c>
      <c r="J10" s="230"/>
      <c r="K10" s="234">
        <f t="shared" si="0"/>
        <v>209000</v>
      </c>
      <c r="L10" s="163">
        <v>209000</v>
      </c>
      <c r="M10" s="163">
        <v>4200000</v>
      </c>
      <c r="N10" s="163">
        <v>990000</v>
      </c>
      <c r="O10" s="163"/>
      <c r="P10" s="163"/>
      <c r="Q10" s="19"/>
      <c r="R10" s="1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s="3" customFormat="1" ht="18" customHeight="1">
      <c r="A11" s="207">
        <v>4</v>
      </c>
      <c r="B11" s="235" t="s">
        <v>333</v>
      </c>
      <c r="C11" s="214" t="str">
        <f>COVER!B17</f>
        <v>A564T630</v>
      </c>
      <c r="D11" s="214">
        <v>1</v>
      </c>
      <c r="E11" s="215"/>
      <c r="F11" s="243">
        <v>35</v>
      </c>
      <c r="G11" s="238"/>
      <c r="H11" s="228">
        <f>COVER!C17</f>
        <v>10000</v>
      </c>
      <c r="I11" s="233">
        <f>D11*F11*H11</f>
        <v>350000</v>
      </c>
      <c r="J11" s="233"/>
      <c r="K11" s="234">
        <f t="shared" si="0"/>
        <v>350000</v>
      </c>
      <c r="L11" s="163" t="s">
        <v>340</v>
      </c>
      <c r="M11" s="163">
        <v>24000</v>
      </c>
      <c r="N11" s="163">
        <v>60000</v>
      </c>
      <c r="O11" s="163">
        <f>ROUNDUP(P11/1.3,-2)</f>
        <v>80800</v>
      </c>
      <c r="P11" s="163">
        <v>105000</v>
      </c>
      <c r="Q11" s="18">
        <v>32.58</v>
      </c>
      <c r="R11" s="18"/>
      <c r="S11" s="108"/>
      <c r="T11" s="10">
        <v>46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s="3" customFormat="1" ht="18" customHeight="1">
      <c r="A12" s="207">
        <v>5</v>
      </c>
      <c r="B12" s="235" t="s">
        <v>348</v>
      </c>
      <c r="C12" s="214" t="s">
        <v>211</v>
      </c>
      <c r="D12" s="214">
        <v>1</v>
      </c>
      <c r="E12" s="215"/>
      <c r="F12" s="237">
        <v>1</v>
      </c>
      <c r="G12" s="227"/>
      <c r="H12" s="230">
        <f>L12</f>
        <v>39000</v>
      </c>
      <c r="I12" s="233">
        <f>D12*F12*H12</f>
        <v>39000</v>
      </c>
      <c r="J12" s="233"/>
      <c r="K12" s="234">
        <f t="shared" si="0"/>
        <v>39000</v>
      </c>
      <c r="L12" s="163">
        <v>39000</v>
      </c>
      <c r="M12" s="163"/>
      <c r="N12" s="163"/>
      <c r="O12" s="90"/>
      <c r="P12" s="90"/>
      <c r="Q12" s="19"/>
      <c r="R12" s="19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s="3" customFormat="1" ht="18" customHeight="1">
      <c r="A13" s="207">
        <v>6</v>
      </c>
      <c r="B13" s="235" t="s">
        <v>163</v>
      </c>
      <c r="C13" s="214" t="str">
        <f>COVER!B21</f>
        <v>SSPC</v>
      </c>
      <c r="D13" s="214">
        <v>4</v>
      </c>
      <c r="E13" s="215"/>
      <c r="F13" s="237">
        <v>1</v>
      </c>
      <c r="G13" s="227"/>
      <c r="H13" s="228">
        <f>L13</f>
        <v>2740</v>
      </c>
      <c r="I13" s="233">
        <f>H13*F13*D13</f>
        <v>10960</v>
      </c>
      <c r="J13" s="233"/>
      <c r="K13" s="234">
        <f>J13+I13</f>
        <v>10960</v>
      </c>
      <c r="L13" s="198">
        <v>2740</v>
      </c>
      <c r="M13" s="199"/>
      <c r="N13" s="199"/>
      <c r="O13" s="199"/>
      <c r="P13" s="199"/>
      <c r="Q13" s="19"/>
      <c r="R13" s="19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s="3" customFormat="1" ht="18" customHeight="1">
      <c r="A14" s="207">
        <v>7</v>
      </c>
      <c r="B14" s="235" t="s">
        <v>350</v>
      </c>
      <c r="C14" s="214" t="s">
        <v>351</v>
      </c>
      <c r="D14" s="214">
        <v>2</v>
      </c>
      <c r="E14" s="215"/>
      <c r="F14" s="237">
        <v>1</v>
      </c>
      <c r="G14" s="227"/>
      <c r="H14" s="228">
        <v>2800</v>
      </c>
      <c r="I14" s="233">
        <f>D14*F14*H14</f>
        <v>5600</v>
      </c>
      <c r="J14" s="233"/>
      <c r="K14" s="234">
        <f>I14+J14</f>
        <v>5600</v>
      </c>
      <c r="L14" s="163"/>
      <c r="M14" s="163"/>
      <c r="N14" s="163"/>
      <c r="O14" s="90"/>
      <c r="P14" s="90"/>
      <c r="Q14" s="201" t="s">
        <v>374</v>
      </c>
      <c r="R14" s="19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s="3" customFormat="1" ht="18" customHeight="1">
      <c r="A15" s="207">
        <v>8</v>
      </c>
      <c r="B15" s="235" t="s">
        <v>386</v>
      </c>
      <c r="C15" s="214" t="str">
        <f>COVER!B22</f>
        <v>BODY MATERIAL</v>
      </c>
      <c r="D15" s="214">
        <v>1</v>
      </c>
      <c r="E15" s="215"/>
      <c r="F15" s="237">
        <v>3.62</v>
      </c>
      <c r="G15" s="227"/>
      <c r="H15" s="228">
        <f>IF(C15="SS400",M15,IF(C15="BODY MATERIAL",N15))</f>
        <v>25340</v>
      </c>
      <c r="I15" s="233">
        <f>H15</f>
        <v>25340</v>
      </c>
      <c r="J15" s="233"/>
      <c r="K15" s="234">
        <f>I15+J15</f>
        <v>25340</v>
      </c>
      <c r="L15" s="163" t="s">
        <v>366</v>
      </c>
      <c r="M15" s="198">
        <v>9000</v>
      </c>
      <c r="N15" s="198">
        <f>IF(AND(C15="BODY MATERIAL"),IF((H6&gt;0),H6*F15*2,IF((H7&gt;0),H7*F15*2,IF((H8&gt;0),H8*F15*2))))</f>
        <v>25340</v>
      </c>
      <c r="O15" s="198"/>
      <c r="P15" s="198"/>
      <c r="Q15" s="201" t="s">
        <v>374</v>
      </c>
      <c r="R15" s="164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s="3" customFormat="1" ht="18" customHeight="1">
      <c r="A16" s="207">
        <v>9</v>
      </c>
      <c r="B16" s="235" t="s">
        <v>217</v>
      </c>
      <c r="C16" s="214" t="str">
        <f>COVER!B23</f>
        <v>B8M</v>
      </c>
      <c r="D16" s="214">
        <v>6</v>
      </c>
      <c r="E16" s="215"/>
      <c r="F16" s="237"/>
      <c r="G16" s="227"/>
      <c r="H16" s="228">
        <f>IF(C16="B8",M16,IF(C16="B8M",N16,IF(C16="B7(다크로)",O16)))</f>
        <v>1200</v>
      </c>
      <c r="I16" s="233">
        <f>H16*D16</f>
        <v>7200</v>
      </c>
      <c r="J16" s="233"/>
      <c r="K16" s="234">
        <f>J16+I16</f>
        <v>7200</v>
      </c>
      <c r="L16" s="163" t="s">
        <v>396</v>
      </c>
      <c r="M16" s="198">
        <v>600</v>
      </c>
      <c r="N16" s="198">
        <v>1200</v>
      </c>
      <c r="O16" s="198">
        <v>1000</v>
      </c>
      <c r="P16" s="198"/>
      <c r="Q16" s="204" t="s">
        <v>385</v>
      </c>
      <c r="R16" s="19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s="3" customFormat="1" ht="18" customHeight="1">
      <c r="A17" s="207">
        <v>10</v>
      </c>
      <c r="B17" s="235" t="s">
        <v>221</v>
      </c>
      <c r="C17" s="214" t="str">
        <f>COVER!B24</f>
        <v>ALBC2</v>
      </c>
      <c r="D17" s="214">
        <v>1</v>
      </c>
      <c r="E17" s="215"/>
      <c r="F17" s="237">
        <v>1</v>
      </c>
      <c r="G17" s="227"/>
      <c r="H17" s="228">
        <f>L17</f>
        <v>11500</v>
      </c>
      <c r="I17" s="233">
        <f>H17*F17</f>
        <v>11500</v>
      </c>
      <c r="J17" s="233"/>
      <c r="K17" s="234">
        <f>J17+I17</f>
        <v>11500</v>
      </c>
      <c r="L17" s="198">
        <v>11500</v>
      </c>
      <c r="M17" s="199"/>
      <c r="N17" s="198"/>
      <c r="O17" s="198"/>
      <c r="P17" s="198"/>
      <c r="Q17" s="202"/>
      <c r="R17" s="19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s="3" customFormat="1" ht="18" customHeight="1">
      <c r="A18" s="207">
        <v>11</v>
      </c>
      <c r="B18" s="235" t="s">
        <v>187</v>
      </c>
      <c r="C18" s="214" t="s">
        <v>353</v>
      </c>
      <c r="D18" s="214">
        <v>1</v>
      </c>
      <c r="E18" s="215"/>
      <c r="F18" s="237">
        <v>1.45</v>
      </c>
      <c r="G18" s="227"/>
      <c r="H18" s="228">
        <f>M18</f>
        <v>4500</v>
      </c>
      <c r="I18" s="233">
        <f>H18*D18</f>
        <v>4500</v>
      </c>
      <c r="J18" s="233"/>
      <c r="K18" s="234">
        <f>J18+I18</f>
        <v>4500</v>
      </c>
      <c r="L18" s="163" t="s">
        <v>362</v>
      </c>
      <c r="M18" s="163">
        <v>4500</v>
      </c>
      <c r="N18" s="163"/>
      <c r="O18" s="163"/>
      <c r="P18" s="163"/>
      <c r="Q18" s="205"/>
      <c r="R18" s="165"/>
      <c r="S18" s="145"/>
      <c r="T18" s="145"/>
      <c r="U18" s="145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s="3" customFormat="1" ht="18" customHeight="1">
      <c r="A19" s="207">
        <v>12</v>
      </c>
      <c r="B19" s="235" t="s">
        <v>189</v>
      </c>
      <c r="C19" s="214" t="str">
        <f>COVER!B26</f>
        <v>B8M</v>
      </c>
      <c r="D19" s="214">
        <v>4</v>
      </c>
      <c r="E19" s="215"/>
      <c r="F19" s="237"/>
      <c r="G19" s="227"/>
      <c r="H19" s="230">
        <f>IF(C19="B8",M19,IF(C19="B8M",N19))</f>
        <v>500</v>
      </c>
      <c r="I19" s="233">
        <f>H19*D19</f>
        <v>2000</v>
      </c>
      <c r="J19" s="233"/>
      <c r="K19" s="234">
        <f>I19+J19</f>
        <v>2000</v>
      </c>
      <c r="L19" s="163" t="s">
        <v>382</v>
      </c>
      <c r="M19" s="163">
        <v>200</v>
      </c>
      <c r="N19" s="163">
        <v>500</v>
      </c>
      <c r="O19" s="90"/>
      <c r="P19" s="90"/>
      <c r="Q19" s="204" t="s">
        <v>381</v>
      </c>
      <c r="R19" s="19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s="3" customFormat="1" ht="18" customHeight="1">
      <c r="A20" s="207">
        <v>13</v>
      </c>
      <c r="B20" s="235" t="s">
        <v>188</v>
      </c>
      <c r="C20" s="214" t="str">
        <f>COVER!B27</f>
        <v>B8M</v>
      </c>
      <c r="D20" s="214">
        <v>8</v>
      </c>
      <c r="E20" s="215"/>
      <c r="F20" s="237"/>
      <c r="G20" s="227"/>
      <c r="H20" s="228">
        <f>IF(C20="B8",M20,IF(C20="B8M",N20,IF(C20="B7(다크로)",O20)))</f>
        <v>3000</v>
      </c>
      <c r="I20" s="233">
        <f>H20*D20</f>
        <v>24000</v>
      </c>
      <c r="J20" s="233"/>
      <c r="K20" s="234">
        <f t="shared" ref="K20:K22" si="1">I20+J20</f>
        <v>24000</v>
      </c>
      <c r="L20" s="163" t="s">
        <v>395</v>
      </c>
      <c r="M20" s="163">
        <v>2500</v>
      </c>
      <c r="N20" s="163">
        <v>3000</v>
      </c>
      <c r="O20" s="163">
        <v>2500</v>
      </c>
      <c r="P20" s="163"/>
      <c r="Q20" s="204" t="s">
        <v>385</v>
      </c>
      <c r="R20" s="19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s="3" customFormat="1" ht="18" customHeight="1">
      <c r="A21" s="207">
        <v>14</v>
      </c>
      <c r="B21" s="235" t="s">
        <v>349</v>
      </c>
      <c r="C21" s="214"/>
      <c r="D21" s="214">
        <v>4</v>
      </c>
      <c r="E21" s="215"/>
      <c r="F21" s="237"/>
      <c r="G21" s="227"/>
      <c r="H21" s="228">
        <v>900</v>
      </c>
      <c r="I21" s="233">
        <f>H21*D21</f>
        <v>3600</v>
      </c>
      <c r="J21" s="241"/>
      <c r="K21" s="234">
        <f>I21+J21</f>
        <v>3600</v>
      </c>
      <c r="L21" s="163" t="s">
        <v>402</v>
      </c>
      <c r="M21" s="90"/>
      <c r="N21" s="90"/>
      <c r="O21" s="90"/>
      <c r="P21" s="90"/>
      <c r="Q21" s="201" t="s">
        <v>374</v>
      </c>
      <c r="R21" s="19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s="3" customFormat="1" ht="18" customHeight="1">
      <c r="A22" s="207">
        <v>15</v>
      </c>
      <c r="B22" s="235" t="s">
        <v>6</v>
      </c>
      <c r="C22" s="214" t="str">
        <f>COVER!B34</f>
        <v>10 BAR</v>
      </c>
      <c r="D22" s="214">
        <v>1</v>
      </c>
      <c r="E22" s="215"/>
      <c r="F22" s="237"/>
      <c r="G22" s="242"/>
      <c r="H22" s="228"/>
      <c r="I22" s="233">
        <f>IF(C22="10 BAR",M22,IF(C22="16 BAR",N22,IF(C22="20 BAR",O22)))</f>
        <v>748000</v>
      </c>
      <c r="J22" s="241"/>
      <c r="K22" s="234">
        <f t="shared" si="1"/>
        <v>748000</v>
      </c>
      <c r="L22" s="90"/>
      <c r="M22" s="163">
        <v>748000</v>
      </c>
      <c r="N22" s="163">
        <v>1301000</v>
      </c>
      <c r="O22" s="163">
        <v>1301000</v>
      </c>
      <c r="P22" s="90"/>
      <c r="Q22" s="19"/>
      <c r="R22" s="19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s="3" customFormat="1" ht="18" customHeight="1">
      <c r="A23" s="207">
        <v>16</v>
      </c>
      <c r="B23" s="235" t="s">
        <v>7</v>
      </c>
      <c r="C23" s="214" t="str">
        <f>COVER!B32</f>
        <v>기존 단가</v>
      </c>
      <c r="D23" s="214">
        <v>1</v>
      </c>
      <c r="E23" s="215"/>
      <c r="F23" s="237"/>
      <c r="G23" s="242"/>
      <c r="H23" s="228">
        <f>IF(COVER!B9="APPLICATION",0,IF(COVER!B32="기존 단가",L23,IF(COVER!B32="외주 2COATING",M23,IF(COVER!B32="외주 3COATING",N23))))</f>
        <v>232000</v>
      </c>
      <c r="I23" s="233">
        <f>H23</f>
        <v>232000</v>
      </c>
      <c r="J23" s="233"/>
      <c r="K23" s="234"/>
      <c r="L23" s="163">
        <v>232000</v>
      </c>
      <c r="M23" s="163">
        <f>IF(H6&gt;0,F6*520,IF(H7&gt;0,F7*520,IF(H8&gt;0,F8*520)))</f>
        <v>331760</v>
      </c>
      <c r="N23" s="163">
        <f>IF(H6&gt;0,F6*620,IF(H7&gt;0,F7*620,IF(H8&gt;0,F8*620)))</f>
        <v>395560</v>
      </c>
      <c r="O23" s="90"/>
      <c r="P23" s="182"/>
      <c r="Q23" s="19"/>
      <c r="R23" s="19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s="3" customFormat="1" ht="18" customHeight="1">
      <c r="A24" s="207">
        <v>17</v>
      </c>
      <c r="B24" s="235" t="s">
        <v>174</v>
      </c>
      <c r="C24" s="214"/>
      <c r="D24" s="214">
        <v>1</v>
      </c>
      <c r="E24" s="215"/>
      <c r="F24" s="237"/>
      <c r="G24" s="242"/>
      <c r="H24" s="228">
        <f>IF(COVER!B9="APPLICATION",0,IF(COVER!B9="N/A",L24))</f>
        <v>292000</v>
      </c>
      <c r="I24" s="233">
        <f>H24</f>
        <v>292000</v>
      </c>
      <c r="J24" s="234"/>
      <c r="K24" s="234"/>
      <c r="L24" s="211">
        <v>292000</v>
      </c>
      <c r="M24" s="90"/>
      <c r="N24" s="90"/>
      <c r="O24" s="90"/>
      <c r="P24" s="90"/>
      <c r="Q24" s="19"/>
      <c r="R24" s="19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s="3" customFormat="1" ht="18" customHeight="1">
      <c r="A25" s="207">
        <v>18</v>
      </c>
      <c r="B25" s="97" t="s">
        <v>175</v>
      </c>
      <c r="C25" s="14"/>
      <c r="D25" s="14"/>
      <c r="E25" s="15"/>
      <c r="F25" s="15"/>
      <c r="G25" s="15"/>
      <c r="H25" s="15"/>
      <c r="I25" s="98"/>
      <c r="J25" s="98"/>
      <c r="K25" s="16">
        <f>SUM(K6:K21)+SUM(K23:K24)</f>
        <v>5517700</v>
      </c>
      <c r="L25" s="185" t="s">
        <v>248</v>
      </c>
      <c r="M25" s="90"/>
      <c r="N25" s="90"/>
      <c r="O25" s="90"/>
      <c r="P25" s="90"/>
      <c r="Q25" s="19"/>
      <c r="R25" s="19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s="3" customFormat="1" ht="18" customHeight="1">
      <c r="A26" s="207">
        <v>18</v>
      </c>
      <c r="B26" s="97" t="s">
        <v>176</v>
      </c>
      <c r="C26" s="14"/>
      <c r="D26" s="14"/>
      <c r="E26" s="15"/>
      <c r="F26" s="15"/>
      <c r="G26" s="15"/>
      <c r="H26" s="15"/>
      <c r="I26" s="98"/>
      <c r="J26" s="98"/>
      <c r="K26" s="16">
        <f>SUM(K6:K21)+SUM(K23:K24)</f>
        <v>5517700</v>
      </c>
      <c r="L26" s="185" t="s">
        <v>248</v>
      </c>
      <c r="M26" s="90"/>
      <c r="N26" s="90"/>
      <c r="O26" s="90"/>
      <c r="P26" s="90"/>
      <c r="Q26" s="19"/>
      <c r="R26" s="19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s="3" customFormat="1" ht="18" customHeight="1">
      <c r="A27" s="207">
        <v>18</v>
      </c>
      <c r="B27" s="97" t="s">
        <v>177</v>
      </c>
      <c r="C27" s="14"/>
      <c r="D27" s="14"/>
      <c r="E27" s="15"/>
      <c r="F27" s="15"/>
      <c r="G27" s="15"/>
      <c r="H27" s="15"/>
      <c r="I27" s="98"/>
      <c r="J27" s="98"/>
      <c r="K27" s="16">
        <f>SUM(K6:K24)</f>
        <v>6265700</v>
      </c>
      <c r="L27" s="185" t="s">
        <v>248</v>
      </c>
      <c r="M27" s="90"/>
      <c r="N27" s="90"/>
      <c r="O27" s="90"/>
      <c r="P27" s="90"/>
      <c r="Q27" s="19"/>
      <c r="R27" s="19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s="3" customFormat="1" ht="18" customHeight="1">
      <c r="A28" s="207">
        <v>19</v>
      </c>
      <c r="B28" s="235" t="s">
        <v>237</v>
      </c>
      <c r="C28" s="214" t="str">
        <f>COVER!B28</f>
        <v>REQUIRED</v>
      </c>
      <c r="D28" s="214">
        <v>0</v>
      </c>
      <c r="E28" s="215"/>
      <c r="F28" s="239"/>
      <c r="G28" s="215"/>
      <c r="H28" s="233">
        <f>IF(C28="REQUIRED",L28,IF(C28="N/A",0))</f>
        <v>0</v>
      </c>
      <c r="I28" s="233">
        <f>H28</f>
        <v>0</v>
      </c>
      <c r="J28" s="215"/>
      <c r="K28" s="234"/>
      <c r="L28" s="163"/>
      <c r="M28" s="90"/>
      <c r="N28" s="90"/>
      <c r="O28" s="90"/>
      <c r="P28" s="90"/>
      <c r="Q28" s="19"/>
      <c r="R28" s="19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s="3" customFormat="1" ht="18" customHeight="1">
      <c r="A29" s="207">
        <v>20</v>
      </c>
      <c r="B29" s="235" t="s">
        <v>180</v>
      </c>
      <c r="C29" s="214"/>
      <c r="D29" s="214">
        <v>0</v>
      </c>
      <c r="E29" s="215"/>
      <c r="F29" s="239"/>
      <c r="G29" s="215"/>
      <c r="H29" s="215"/>
      <c r="I29" s="215"/>
      <c r="J29" s="215"/>
      <c r="K29" s="234"/>
      <c r="L29" s="185"/>
      <c r="M29" s="90"/>
      <c r="N29" s="90"/>
      <c r="O29" s="90"/>
      <c r="P29" s="90"/>
      <c r="Q29" s="19"/>
      <c r="R29" s="19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s="3" customFormat="1" ht="18" customHeight="1">
      <c r="A30" s="207">
        <v>21</v>
      </c>
      <c r="B30" s="235" t="s">
        <v>178</v>
      </c>
      <c r="C30" s="214" t="str">
        <f>COVER!B35</f>
        <v>MOTOR</v>
      </c>
      <c r="D30" s="214">
        <v>1</v>
      </c>
      <c r="E30" s="215"/>
      <c r="F30" s="239"/>
      <c r="G30" s="215"/>
      <c r="H30" s="233">
        <f>IF(COVER!B9="APPLICATION",0,IF(COVER!B35="BARE",M30,(IF(COVER!B35="LEVER",M30,IF(COVER!B35="GEAR",N30,IF(COVER!B35="MOTOR",O30))))))</f>
        <v>300000</v>
      </c>
      <c r="I30" s="234">
        <f>H30</f>
        <v>300000</v>
      </c>
      <c r="J30" s="215"/>
      <c r="K30" s="234"/>
      <c r="L30" s="163">
        <v>423200</v>
      </c>
      <c r="M30" s="163">
        <v>190000</v>
      </c>
      <c r="N30" s="163">
        <v>190000</v>
      </c>
      <c r="O30" s="163">
        <v>300000</v>
      </c>
      <c r="P30" s="90"/>
      <c r="Q30" s="19"/>
      <c r="R30" s="19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s="3" customFormat="1" ht="18" customHeight="1">
      <c r="A31" s="207">
        <v>22</v>
      </c>
      <c r="B31" s="235"/>
      <c r="C31" s="214"/>
      <c r="D31" s="214"/>
      <c r="E31" s="215"/>
      <c r="F31" s="239"/>
      <c r="G31" s="215"/>
      <c r="H31" s="215"/>
      <c r="I31" s="215"/>
      <c r="J31" s="215"/>
      <c r="K31" s="234"/>
      <c r="L31" s="185"/>
      <c r="M31" s="90"/>
      <c r="N31" s="90"/>
      <c r="O31" s="90"/>
      <c r="P31" s="90"/>
      <c r="Q31" s="19"/>
      <c r="R31" s="19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s="3" customFormat="1" ht="18" customHeight="1">
      <c r="A32" s="207">
        <v>23</v>
      </c>
      <c r="B32" s="89" t="s">
        <v>179</v>
      </c>
      <c r="C32" s="14"/>
      <c r="D32" s="99"/>
      <c r="E32" s="15"/>
      <c r="F32" s="15"/>
      <c r="G32" s="15"/>
      <c r="H32" s="15"/>
      <c r="I32" s="100"/>
      <c r="J32" s="101"/>
      <c r="K32" s="100">
        <f>SUM(K28:K31)</f>
        <v>0</v>
      </c>
      <c r="L32" s="185" t="s">
        <v>249</v>
      </c>
      <c r="M32" s="90"/>
      <c r="N32" s="90"/>
      <c r="O32" s="90"/>
      <c r="P32" s="90"/>
      <c r="Q32" s="19"/>
      <c r="R32" s="19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s="3" customFormat="1" ht="18" customHeight="1">
      <c r="A33" s="186">
        <v>24</v>
      </c>
      <c r="B33" s="216" t="s">
        <v>252</v>
      </c>
      <c r="C33" s="217"/>
      <c r="D33" s="218"/>
      <c r="E33" s="219"/>
      <c r="F33" s="219"/>
      <c r="G33" s="219"/>
      <c r="H33" s="219"/>
      <c r="I33" s="220"/>
      <c r="J33" s="221"/>
      <c r="K33" s="220">
        <f>K25+K32</f>
        <v>5517700</v>
      </c>
      <c r="L33" s="185" t="s">
        <v>257</v>
      </c>
      <c r="M33" s="90"/>
      <c r="N33" s="90"/>
      <c r="O33" s="90"/>
      <c r="P33" s="90"/>
      <c r="Q33" s="19"/>
      <c r="R33" s="19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s="3" customFormat="1" ht="18" customHeight="1">
      <c r="A34" s="186">
        <v>24</v>
      </c>
      <c r="B34" s="216" t="s">
        <v>255</v>
      </c>
      <c r="C34" s="217"/>
      <c r="D34" s="218"/>
      <c r="E34" s="219"/>
      <c r="F34" s="219"/>
      <c r="G34" s="219"/>
      <c r="H34" s="219"/>
      <c r="I34" s="220"/>
      <c r="J34" s="221"/>
      <c r="K34" s="220">
        <f>K26+K32</f>
        <v>5517700</v>
      </c>
      <c r="L34" s="185" t="s">
        <v>257</v>
      </c>
      <c r="M34" s="90"/>
      <c r="N34" s="90"/>
      <c r="O34" s="90"/>
      <c r="P34" s="90"/>
      <c r="Q34" s="19"/>
      <c r="R34" s="19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s="3" customFormat="1" ht="18" customHeight="1">
      <c r="A35" s="186">
        <v>24</v>
      </c>
      <c r="B35" s="216" t="s">
        <v>256</v>
      </c>
      <c r="C35" s="217"/>
      <c r="D35" s="218"/>
      <c r="E35" s="219"/>
      <c r="F35" s="219"/>
      <c r="G35" s="219"/>
      <c r="H35" s="219"/>
      <c r="I35" s="220"/>
      <c r="J35" s="221"/>
      <c r="K35" s="220">
        <f>K27+K32</f>
        <v>6265700</v>
      </c>
      <c r="L35" s="185" t="s">
        <v>257</v>
      </c>
      <c r="M35" s="90"/>
      <c r="N35" s="90"/>
      <c r="O35" s="90"/>
      <c r="P35" s="90"/>
      <c r="Q35" s="19"/>
      <c r="R35" s="19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s="4" customFormat="1" ht="18" customHeight="1">
      <c r="A36" s="186">
        <v>25</v>
      </c>
      <c r="B36" s="102" t="s">
        <v>407</v>
      </c>
      <c r="C36" s="103"/>
      <c r="D36" s="103"/>
      <c r="E36" s="104"/>
      <c r="F36" s="105"/>
      <c r="G36" s="105"/>
      <c r="H36" s="106"/>
      <c r="I36" s="223" t="s">
        <v>41</v>
      </c>
      <c r="J36" s="223">
        <v>0.7</v>
      </c>
      <c r="K36" s="107">
        <f>(K25+K32)/J36</f>
        <v>7882428.5714285718</v>
      </c>
      <c r="L36" s="185" t="s">
        <v>250</v>
      </c>
      <c r="M36" s="90"/>
      <c r="N36" s="90"/>
      <c r="O36" s="90"/>
      <c r="P36" s="90"/>
      <c r="Q36" s="19"/>
      <c r="R36" s="19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s="4" customFormat="1" ht="18" customHeight="1">
      <c r="A37" s="186">
        <v>25</v>
      </c>
      <c r="B37" s="102" t="s">
        <v>408</v>
      </c>
      <c r="C37" s="103"/>
      <c r="D37" s="103"/>
      <c r="E37" s="104"/>
      <c r="F37" s="105"/>
      <c r="G37" s="105"/>
      <c r="H37" s="106"/>
      <c r="I37" s="223" t="s">
        <v>41</v>
      </c>
      <c r="J37" s="223">
        <v>0.7</v>
      </c>
      <c r="K37" s="107">
        <f>(K26+K32)/J37</f>
        <v>7882428.5714285718</v>
      </c>
      <c r="L37" s="185" t="s">
        <v>250</v>
      </c>
      <c r="M37" s="90"/>
      <c r="N37" s="90"/>
      <c r="O37" s="90"/>
      <c r="P37" s="90"/>
      <c r="Q37" s="19"/>
      <c r="R37" s="19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s="4" customFormat="1" ht="18" customHeight="1">
      <c r="A38" s="186">
        <v>25</v>
      </c>
      <c r="B38" s="102" t="s">
        <v>409</v>
      </c>
      <c r="C38" s="103"/>
      <c r="D38" s="103"/>
      <c r="E38" s="104"/>
      <c r="F38" s="105"/>
      <c r="G38" s="105"/>
      <c r="H38" s="106"/>
      <c r="I38" s="223" t="s">
        <v>41</v>
      </c>
      <c r="J38" s="223">
        <v>0.7</v>
      </c>
      <c r="K38" s="107">
        <f>(K27+K32)/J38</f>
        <v>8951000</v>
      </c>
      <c r="L38" s="185" t="s">
        <v>250</v>
      </c>
      <c r="M38" s="90"/>
      <c r="N38" s="90"/>
      <c r="O38" s="90"/>
      <c r="P38" s="90"/>
      <c r="Q38" s="19"/>
      <c r="R38" s="19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s="4" customFormat="1" ht="18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57"/>
      <c r="M39" s="108"/>
      <c r="N39" s="108"/>
      <c r="O39" s="108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s="4" customFormat="1" ht="18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57"/>
      <c r="M40" s="108"/>
      <c r="N40" s="108"/>
      <c r="O40" s="108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s="4" customFormat="1" ht="18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57"/>
      <c r="M41" s="108"/>
      <c r="N41" s="108"/>
      <c r="O41" s="108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s="4" customFormat="1" ht="18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57"/>
      <c r="M42" s="108"/>
      <c r="N42" s="108"/>
      <c r="O42" s="108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s="4" customFormat="1" ht="18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57"/>
      <c r="M43" s="108"/>
      <c r="N43" s="108"/>
      <c r="O43" s="108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s="4" customFormat="1" ht="18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57"/>
      <c r="M44" s="108"/>
      <c r="N44" s="108"/>
      <c r="O44" s="108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s="4" customFormat="1" ht="18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57"/>
      <c r="M45" s="108"/>
      <c r="N45" s="108"/>
      <c r="O45" s="108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s="4" customFormat="1" ht="18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57"/>
      <c r="M46" s="108"/>
      <c r="N46" s="108"/>
      <c r="O46" s="108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s="4" customFormat="1" ht="12.75">
      <c r="A47" s="10"/>
      <c r="B47" s="10"/>
      <c r="C47" s="10"/>
      <c r="D47" s="109"/>
      <c r="E47" s="10"/>
      <c r="F47" s="10"/>
      <c r="G47" s="10"/>
      <c r="H47" s="10"/>
      <c r="I47" s="10"/>
      <c r="J47" s="10"/>
      <c r="K47" s="10"/>
      <c r="L47" s="108"/>
      <c r="M47" s="108"/>
      <c r="N47" s="108"/>
      <c r="O47" s="108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s="4" customFormat="1" ht="12.7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57"/>
      <c r="M48" s="108"/>
      <c r="N48" s="108"/>
      <c r="O48" s="108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s="4" customFormat="1" ht="12.7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57"/>
      <c r="M49" s="108"/>
      <c r="N49" s="108"/>
      <c r="O49" s="108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s="5" customForma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57"/>
      <c r="M50" s="87"/>
      <c r="N50" s="87"/>
      <c r="O50" s="8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s="5" customForma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57"/>
      <c r="M51" s="87"/>
      <c r="N51" s="87"/>
      <c r="O51" s="87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s="5" customForma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57"/>
      <c r="M52" s="87"/>
      <c r="N52" s="87"/>
      <c r="O52" s="87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</sheetData>
  <mergeCells count="4">
    <mergeCell ref="A1:K1"/>
    <mergeCell ref="D3:E3"/>
    <mergeCell ref="F3:H3"/>
    <mergeCell ref="L4:P4"/>
  </mergeCells>
  <phoneticPr fontId="7" type="noConversion"/>
  <pageMargins left="0.75" right="0.75" top="1" bottom="1" header="0.5" footer="0.5"/>
  <pageSetup paperSize="9" scale="62" orientation="portrait" r:id="rId1"/>
  <headerFooter alignWithMargins="0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A1:AE52"/>
  <sheetViews>
    <sheetView view="pageBreakPreview" zoomScale="85" zoomScaleNormal="100" zoomScaleSheetLayoutView="85" workbookViewId="0">
      <selection activeCell="M23" sqref="M23"/>
    </sheetView>
  </sheetViews>
  <sheetFormatPr defaultColWidth="8.88671875" defaultRowHeight="13.5"/>
  <cols>
    <col min="1" max="1" width="5.26171875" style="10" customWidth="1"/>
    <col min="2" max="2" width="20.23046875" style="10" bestFit="1" customWidth="1"/>
    <col min="3" max="3" width="14.3828125" style="10" bestFit="1" customWidth="1"/>
    <col min="4" max="4" width="3.7421875" style="10" customWidth="1"/>
    <col min="5" max="5" width="8.30078125" style="10" customWidth="1"/>
    <col min="6" max="6" width="6.1953125" style="10" customWidth="1"/>
    <col min="7" max="7" width="5.73046875" style="10" customWidth="1"/>
    <col min="8" max="8" width="8.30078125" style="10" bestFit="1" customWidth="1"/>
    <col min="9" max="9" width="10.9921875" style="10" customWidth="1"/>
    <col min="10" max="10" width="12.74609375" style="10" bestFit="1" customWidth="1"/>
    <col min="11" max="11" width="18.125" style="10" bestFit="1" customWidth="1"/>
    <col min="12" max="12" width="17.7734375" style="157" bestFit="1" customWidth="1"/>
    <col min="13" max="13" width="13.796875" style="87" customWidth="1"/>
    <col min="14" max="14" width="12.16015625" style="87" bestFit="1" customWidth="1"/>
    <col min="15" max="15" width="9.703125" style="87" customWidth="1"/>
    <col min="16" max="16" width="12.16015625" style="8" bestFit="1" customWidth="1"/>
    <col min="17" max="18" width="15.43359375" style="8" bestFit="1" customWidth="1"/>
    <col min="19" max="19" width="8.88671875" style="8"/>
    <col min="20" max="20" width="17.07421875" style="8" bestFit="1" customWidth="1"/>
    <col min="21" max="31" width="8.88671875" style="8"/>
    <col min="32" max="16384" width="8.88671875" style="2"/>
  </cols>
  <sheetData>
    <row r="1" spans="1:31" ht="24" thickTop="1" thickBot="1">
      <c r="A1" s="336" t="s">
        <v>190</v>
      </c>
      <c r="B1" s="337"/>
      <c r="C1" s="337"/>
      <c r="D1" s="337"/>
      <c r="E1" s="337"/>
      <c r="F1" s="337"/>
      <c r="G1" s="337"/>
      <c r="H1" s="337"/>
      <c r="I1" s="337"/>
      <c r="J1" s="337"/>
      <c r="K1" s="338"/>
      <c r="M1" s="7"/>
    </row>
    <row r="2" spans="1:31" ht="14.45" customHeight="1" thickTop="1" thickBot="1">
      <c r="A2" s="158"/>
      <c r="B2" s="158"/>
      <c r="C2" s="115"/>
      <c r="E2" s="115"/>
      <c r="F2" s="115"/>
      <c r="G2" s="115"/>
    </row>
    <row r="3" spans="1:31" ht="15" thickTop="1" thickBot="1">
      <c r="A3" s="184" t="s">
        <v>191</v>
      </c>
      <c r="B3" s="183" t="s">
        <v>306</v>
      </c>
      <c r="C3" s="184" t="s">
        <v>192</v>
      </c>
      <c r="D3" s="339" t="s">
        <v>193</v>
      </c>
      <c r="E3" s="340"/>
      <c r="F3" s="341" t="s">
        <v>194</v>
      </c>
      <c r="G3" s="339"/>
      <c r="H3" s="339"/>
      <c r="I3" s="187" t="s">
        <v>310</v>
      </c>
      <c r="J3" s="184" t="s">
        <v>197</v>
      </c>
      <c r="K3" s="188" t="s">
        <v>317</v>
      </c>
    </row>
    <row r="4" spans="1:31" ht="19.149999999999999" customHeight="1" thickTop="1" thickBot="1">
      <c r="J4" s="197" t="s">
        <v>332</v>
      </c>
      <c r="K4" s="189">
        <v>1240</v>
      </c>
      <c r="L4" s="342" t="s">
        <v>207</v>
      </c>
      <c r="M4" s="343"/>
      <c r="N4" s="343"/>
      <c r="O4" s="343"/>
      <c r="P4" s="343"/>
    </row>
    <row r="5" spans="1:31" s="3" customFormat="1" ht="25.15" customHeight="1" thickTop="1">
      <c r="A5" s="9" t="s">
        <v>1</v>
      </c>
      <c r="B5" s="9" t="s">
        <v>164</v>
      </c>
      <c r="C5" s="88" t="s">
        <v>165</v>
      </c>
      <c r="D5" s="89" t="s">
        <v>166</v>
      </c>
      <c r="E5" s="9" t="s">
        <v>167</v>
      </c>
      <c r="F5" s="9" t="s">
        <v>168</v>
      </c>
      <c r="G5" s="9" t="s">
        <v>169</v>
      </c>
      <c r="H5" s="9" t="s">
        <v>170</v>
      </c>
      <c r="I5" s="123" t="s">
        <v>171</v>
      </c>
      <c r="J5" s="195" t="s">
        <v>172</v>
      </c>
      <c r="K5" s="196" t="s">
        <v>173</v>
      </c>
      <c r="L5" s="90" t="s">
        <v>198</v>
      </c>
      <c r="M5" s="121" t="s">
        <v>199</v>
      </c>
      <c r="N5" s="90" t="s">
        <v>38</v>
      </c>
      <c r="O5" s="90" t="s">
        <v>200</v>
      </c>
      <c r="P5" s="90" t="s">
        <v>201</v>
      </c>
      <c r="Q5" s="90" t="s">
        <v>265</v>
      </c>
      <c r="R5" s="90" t="s">
        <v>266</v>
      </c>
      <c r="S5" s="10"/>
      <c r="T5" s="191" t="s">
        <v>331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s="3" customFormat="1" ht="18" customHeight="1">
      <c r="A6" s="186">
        <v>1</v>
      </c>
      <c r="B6" s="224" t="s">
        <v>181</v>
      </c>
      <c r="C6" s="225">
        <f>COVER!B13</f>
        <v>0</v>
      </c>
      <c r="D6" s="226">
        <v>1</v>
      </c>
      <c r="E6" s="215"/>
      <c r="F6" s="227">
        <f>(356+424)/2</f>
        <v>390</v>
      </c>
      <c r="G6" s="227"/>
      <c r="H6" s="228">
        <f>COVER!C13</f>
        <v>0</v>
      </c>
      <c r="I6" s="229">
        <f>D6*F6*H6</f>
        <v>0</v>
      </c>
      <c r="J6" s="230"/>
      <c r="K6" s="231">
        <f t="shared" ref="K6:K12" si="0">I6+J6</f>
        <v>0</v>
      </c>
      <c r="L6" s="209">
        <v>282762</v>
      </c>
      <c r="M6" s="209">
        <v>334190</v>
      </c>
      <c r="N6" s="163"/>
      <c r="O6" s="90"/>
      <c r="P6" s="90"/>
      <c r="Q6" s="19"/>
      <c r="R6" s="19"/>
      <c r="S6" s="10"/>
      <c r="T6" s="10">
        <v>400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s="3" customFormat="1" ht="18" customHeight="1">
      <c r="A7" s="186">
        <v>1</v>
      </c>
      <c r="B7" s="224" t="s">
        <v>182</v>
      </c>
      <c r="C7" s="225" t="str">
        <f>COVER!B14</f>
        <v>A536 Gr65-45-12</v>
      </c>
      <c r="D7" s="226">
        <v>1</v>
      </c>
      <c r="E7" s="215"/>
      <c r="F7" s="227">
        <v>688</v>
      </c>
      <c r="G7" s="227"/>
      <c r="H7" s="228">
        <f>COVER!C14</f>
        <v>3500</v>
      </c>
      <c r="I7" s="229">
        <f>D7*F7*H7</f>
        <v>2408000</v>
      </c>
      <c r="J7" s="230"/>
      <c r="K7" s="231">
        <f t="shared" si="0"/>
        <v>2408000</v>
      </c>
      <c r="L7" s="209">
        <v>411795</v>
      </c>
      <c r="M7" s="209">
        <v>486680</v>
      </c>
      <c r="N7" s="185"/>
      <c r="O7" s="90"/>
      <c r="P7" s="90"/>
      <c r="Q7" s="19"/>
      <c r="R7" s="19"/>
      <c r="S7" s="10"/>
      <c r="T7" s="10">
        <v>675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s="3" customFormat="1" ht="18" customHeight="1">
      <c r="A8" s="186">
        <v>1</v>
      </c>
      <c r="B8" s="224" t="s">
        <v>183</v>
      </c>
      <c r="C8" s="225">
        <f>COVER!B15</f>
        <v>0</v>
      </c>
      <c r="D8" s="226">
        <v>1</v>
      </c>
      <c r="E8" s="215"/>
      <c r="F8" s="227">
        <v>614</v>
      </c>
      <c r="G8" s="227"/>
      <c r="H8" s="228">
        <f>COVER!C15</f>
        <v>0</v>
      </c>
      <c r="I8" s="229">
        <f>D8*F8*H8</f>
        <v>0</v>
      </c>
      <c r="J8" s="230"/>
      <c r="K8" s="231">
        <f t="shared" si="0"/>
        <v>0</v>
      </c>
      <c r="L8" s="209">
        <v>411795</v>
      </c>
      <c r="M8" s="209">
        <v>486680</v>
      </c>
      <c r="N8" s="185"/>
      <c r="O8" s="90"/>
      <c r="P8" s="90"/>
      <c r="Q8" s="19"/>
      <c r="R8" s="19"/>
      <c r="S8" s="10"/>
      <c r="T8" s="10">
        <v>690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s="3" customFormat="1" ht="18" customHeight="1">
      <c r="A9" s="186">
        <v>2</v>
      </c>
      <c r="B9" s="232" t="s">
        <v>2</v>
      </c>
      <c r="C9" s="225" t="str">
        <f>COVER!B16</f>
        <v>A351 CF8M</v>
      </c>
      <c r="D9" s="226">
        <v>1</v>
      </c>
      <c r="E9" s="215"/>
      <c r="F9" s="227">
        <f>IF(COVER!B34="10 BAR",Q9,IF(COVER!B34="16 BAR",R9,IF(COVER!B34="20 BAR",R9)))</f>
        <v>222</v>
      </c>
      <c r="G9" s="227"/>
      <c r="H9" s="228">
        <f>COVER!C16</f>
        <v>12000</v>
      </c>
      <c r="I9" s="233">
        <f>D9*F9*H9</f>
        <v>2664000</v>
      </c>
      <c r="J9" s="230"/>
      <c r="K9" s="234">
        <f t="shared" si="0"/>
        <v>2664000</v>
      </c>
      <c r="L9" s="163">
        <v>192400</v>
      </c>
      <c r="M9" s="209">
        <f>L9</f>
        <v>192400</v>
      </c>
      <c r="N9" s="209">
        <f>M9</f>
        <v>192400</v>
      </c>
      <c r="O9" s="209">
        <f>N9*1.3</f>
        <v>250120</v>
      </c>
      <c r="P9" s="209">
        <f>O9*1.3</f>
        <v>325156</v>
      </c>
      <c r="Q9" s="19">
        <v>222</v>
      </c>
      <c r="R9" s="19">
        <v>222</v>
      </c>
      <c r="S9" s="10"/>
      <c r="T9" s="10">
        <v>265</v>
      </c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 s="3" customFormat="1" ht="18" customHeight="1">
      <c r="A10" s="207">
        <v>3</v>
      </c>
      <c r="B10" s="235" t="s">
        <v>3</v>
      </c>
      <c r="C10" s="236" t="str">
        <f>COVER!B18</f>
        <v>EPDM</v>
      </c>
      <c r="D10" s="214">
        <v>1</v>
      </c>
      <c r="E10" s="215"/>
      <c r="F10" s="227">
        <v>1</v>
      </c>
      <c r="G10" s="227"/>
      <c r="H10" s="228">
        <f>IF(C10="NBR",L10,IF(C10="EPDM",L10,IF(C10="VITON",M10)))</f>
        <v>219450</v>
      </c>
      <c r="I10" s="233">
        <f>H10*F10*D10</f>
        <v>219450</v>
      </c>
      <c r="J10" s="230"/>
      <c r="K10" s="234">
        <f t="shared" si="0"/>
        <v>219450</v>
      </c>
      <c r="L10" s="163">
        <v>219450</v>
      </c>
      <c r="M10" s="163" t="s">
        <v>202</v>
      </c>
      <c r="N10" s="163">
        <v>1125000</v>
      </c>
      <c r="O10" s="163"/>
      <c r="P10" s="163"/>
      <c r="Q10" s="19"/>
      <c r="R10" s="1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s="3" customFormat="1" ht="18" customHeight="1">
      <c r="A11" s="207">
        <v>4</v>
      </c>
      <c r="B11" s="235" t="s">
        <v>333</v>
      </c>
      <c r="C11" s="214" t="str">
        <f>COVER!B17</f>
        <v>A564T630</v>
      </c>
      <c r="D11" s="214">
        <v>1</v>
      </c>
      <c r="E11" s="215"/>
      <c r="F11" s="243">
        <v>50</v>
      </c>
      <c r="G11" s="238"/>
      <c r="H11" s="228">
        <f>COVER!C17</f>
        <v>10000</v>
      </c>
      <c r="I11" s="233">
        <f>D11*F11*H11</f>
        <v>500000</v>
      </c>
      <c r="J11" s="233"/>
      <c r="K11" s="234">
        <f t="shared" si="0"/>
        <v>500000</v>
      </c>
      <c r="L11" s="163" t="s">
        <v>341</v>
      </c>
      <c r="M11" s="163">
        <v>30000</v>
      </c>
      <c r="N11" s="163">
        <v>80000</v>
      </c>
      <c r="O11" s="163">
        <f>ROUNDUP(P11/1.3,-2)</f>
        <v>107700</v>
      </c>
      <c r="P11" s="163">
        <v>140000</v>
      </c>
      <c r="Q11" s="18">
        <v>48.59</v>
      </c>
      <c r="R11" s="18"/>
      <c r="S11" s="108"/>
      <c r="T11" s="10">
        <v>50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s="3" customFormat="1" ht="18" customHeight="1">
      <c r="A12" s="207">
        <v>5</v>
      </c>
      <c r="B12" s="235" t="s">
        <v>348</v>
      </c>
      <c r="C12" s="214" t="str">
        <f>COVER!B20</f>
        <v>ALBC2</v>
      </c>
      <c r="D12" s="214">
        <v>1</v>
      </c>
      <c r="E12" s="215"/>
      <c r="F12" s="237">
        <v>1</v>
      </c>
      <c r="G12" s="227"/>
      <c r="H12" s="230">
        <f>L12</f>
        <v>65500</v>
      </c>
      <c r="I12" s="233">
        <f>D12*F12*H12</f>
        <v>65500</v>
      </c>
      <c r="J12" s="233"/>
      <c r="K12" s="234">
        <f t="shared" si="0"/>
        <v>65500</v>
      </c>
      <c r="L12" s="163">
        <v>65500</v>
      </c>
      <c r="M12" s="163"/>
      <c r="N12" s="163"/>
      <c r="O12" s="90"/>
      <c r="P12" s="90"/>
      <c r="Q12" s="19"/>
      <c r="R12" s="19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s="3" customFormat="1" ht="18" customHeight="1">
      <c r="A13" s="207">
        <v>6</v>
      </c>
      <c r="B13" s="235" t="s">
        <v>163</v>
      </c>
      <c r="C13" s="214" t="str">
        <f>COVER!B21</f>
        <v>SSPC</v>
      </c>
      <c r="D13" s="214">
        <v>6</v>
      </c>
      <c r="E13" s="215"/>
      <c r="F13" s="237">
        <v>1</v>
      </c>
      <c r="G13" s="227"/>
      <c r="H13" s="228">
        <f>L13</f>
        <v>3460</v>
      </c>
      <c r="I13" s="233">
        <f>H13*F13*D13</f>
        <v>20760</v>
      </c>
      <c r="J13" s="233"/>
      <c r="K13" s="234">
        <f>J13+I13</f>
        <v>20760</v>
      </c>
      <c r="L13" s="198">
        <v>3460</v>
      </c>
      <c r="M13" s="199"/>
      <c r="N13" s="199"/>
      <c r="O13" s="199"/>
      <c r="P13" s="199"/>
      <c r="Q13" s="19"/>
      <c r="R13" s="19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s="3" customFormat="1" ht="18" customHeight="1">
      <c r="A14" s="207">
        <v>7</v>
      </c>
      <c r="B14" s="235" t="s">
        <v>350</v>
      </c>
      <c r="C14" s="214" t="s">
        <v>351</v>
      </c>
      <c r="D14" s="214">
        <v>2</v>
      </c>
      <c r="E14" s="215"/>
      <c r="F14" s="237">
        <v>1</v>
      </c>
      <c r="G14" s="227"/>
      <c r="H14" s="228">
        <v>3400</v>
      </c>
      <c r="I14" s="233">
        <f>D14*F14*H14</f>
        <v>6800</v>
      </c>
      <c r="J14" s="233"/>
      <c r="K14" s="234">
        <f>I14+J14</f>
        <v>6800</v>
      </c>
      <c r="L14" s="163"/>
      <c r="M14" s="163"/>
      <c r="N14" s="163"/>
      <c r="O14" s="163"/>
      <c r="P14" s="163"/>
      <c r="Q14" s="201" t="s">
        <v>374</v>
      </c>
      <c r="R14" s="19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s="3" customFormat="1" ht="18" customHeight="1">
      <c r="A15" s="207">
        <v>8</v>
      </c>
      <c r="B15" s="235" t="s">
        <v>386</v>
      </c>
      <c r="C15" s="214" t="str">
        <f>COVER!B22</f>
        <v>BODY MATERIAL</v>
      </c>
      <c r="D15" s="214">
        <v>1</v>
      </c>
      <c r="E15" s="215"/>
      <c r="F15" s="237">
        <v>3.84</v>
      </c>
      <c r="G15" s="227"/>
      <c r="H15" s="228">
        <f>IF(C15="SS400",M15,IF(C15="BODY MATERIAL",N15))</f>
        <v>26880</v>
      </c>
      <c r="I15" s="233">
        <f>H15</f>
        <v>26880</v>
      </c>
      <c r="J15" s="233"/>
      <c r="K15" s="234">
        <f>I15+J15</f>
        <v>26880</v>
      </c>
      <c r="L15" s="163" t="s">
        <v>368</v>
      </c>
      <c r="M15" s="198">
        <v>9500</v>
      </c>
      <c r="N15" s="198">
        <f>IF(AND(C15="BODY MATERIAL"),IF((H6&gt;0),H6*F15*2,IF((H7&gt;0),H7*F15*2,IF((H8&gt;0),H8*F15*2))))</f>
        <v>26880</v>
      </c>
      <c r="O15" s="198"/>
      <c r="P15" s="198"/>
      <c r="Q15" s="201" t="s">
        <v>374</v>
      </c>
      <c r="R15" s="164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s="3" customFormat="1" ht="18" customHeight="1">
      <c r="A16" s="207">
        <v>9</v>
      </c>
      <c r="B16" s="235" t="s">
        <v>217</v>
      </c>
      <c r="C16" s="214" t="str">
        <f>COVER!B23</f>
        <v>B8M</v>
      </c>
      <c r="D16" s="214">
        <v>6</v>
      </c>
      <c r="E16" s="215"/>
      <c r="F16" s="237"/>
      <c r="G16" s="227"/>
      <c r="H16" s="228">
        <f>IF(C16="B8",M16,IF(C16="B8M",N16,IF(C16="B7(다크로)",O16)))</f>
        <v>1200</v>
      </c>
      <c r="I16" s="233">
        <f>H16*D16</f>
        <v>7200</v>
      </c>
      <c r="J16" s="233"/>
      <c r="K16" s="234">
        <f>J16+I16</f>
        <v>7200</v>
      </c>
      <c r="L16" s="163" t="s">
        <v>396</v>
      </c>
      <c r="M16" s="198">
        <v>600</v>
      </c>
      <c r="N16" s="198">
        <v>1200</v>
      </c>
      <c r="O16" s="198">
        <v>1000</v>
      </c>
      <c r="P16" s="198"/>
      <c r="Q16" s="204" t="s">
        <v>385</v>
      </c>
      <c r="R16" s="19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s="3" customFormat="1" ht="18" customHeight="1">
      <c r="A17" s="207">
        <v>10</v>
      </c>
      <c r="B17" s="235" t="s">
        <v>221</v>
      </c>
      <c r="C17" s="214" t="str">
        <f>COVER!B24</f>
        <v>ALBC2</v>
      </c>
      <c r="D17" s="214">
        <v>1</v>
      </c>
      <c r="E17" s="215"/>
      <c r="F17" s="237">
        <v>1</v>
      </c>
      <c r="G17" s="227"/>
      <c r="H17" s="228">
        <f>L17</f>
        <v>16000</v>
      </c>
      <c r="I17" s="233">
        <f>H17*F17</f>
        <v>16000</v>
      </c>
      <c r="J17" s="233"/>
      <c r="K17" s="234">
        <f>J17+I17</f>
        <v>16000</v>
      </c>
      <c r="L17" s="198">
        <v>16000</v>
      </c>
      <c r="M17" s="199"/>
      <c r="N17" s="198"/>
      <c r="O17" s="198"/>
      <c r="P17" s="198"/>
      <c r="Q17" s="202"/>
      <c r="R17" s="19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s="3" customFormat="1" ht="18" customHeight="1">
      <c r="A18" s="207">
        <v>11</v>
      </c>
      <c r="B18" s="235" t="s">
        <v>187</v>
      </c>
      <c r="C18" s="214" t="s">
        <v>353</v>
      </c>
      <c r="D18" s="214">
        <v>1</v>
      </c>
      <c r="E18" s="215"/>
      <c r="F18" s="237">
        <v>2.02</v>
      </c>
      <c r="G18" s="227"/>
      <c r="H18" s="228">
        <f>M18</f>
        <v>6500</v>
      </c>
      <c r="I18" s="233">
        <f>H18*D18</f>
        <v>6500</v>
      </c>
      <c r="J18" s="233"/>
      <c r="K18" s="234">
        <f>J18+I18</f>
        <v>6500</v>
      </c>
      <c r="L18" s="163" t="s">
        <v>367</v>
      </c>
      <c r="M18" s="163">
        <v>6500</v>
      </c>
      <c r="N18" s="163"/>
      <c r="O18" s="163"/>
      <c r="P18" s="163"/>
      <c r="Q18" s="205"/>
      <c r="R18" s="165"/>
      <c r="S18" s="145"/>
      <c r="T18" s="145"/>
      <c r="U18" s="145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s="3" customFormat="1" ht="18" customHeight="1">
      <c r="A19" s="207">
        <v>12</v>
      </c>
      <c r="B19" s="235" t="s">
        <v>189</v>
      </c>
      <c r="C19" s="214" t="str">
        <f>COVER!B26</f>
        <v>B8M</v>
      </c>
      <c r="D19" s="214">
        <v>4</v>
      </c>
      <c r="E19" s="215"/>
      <c r="F19" s="237"/>
      <c r="G19" s="227"/>
      <c r="H19" s="230">
        <f>IF(C19="B8",M19,IF(C19="B8M",N19))</f>
        <v>500</v>
      </c>
      <c r="I19" s="233">
        <f>H19*D19</f>
        <v>2000</v>
      </c>
      <c r="J19" s="233"/>
      <c r="K19" s="234">
        <f>I19+J19</f>
        <v>2000</v>
      </c>
      <c r="L19" s="163" t="s">
        <v>382</v>
      </c>
      <c r="M19" s="163">
        <v>200</v>
      </c>
      <c r="N19" s="163">
        <v>500</v>
      </c>
      <c r="O19" s="163"/>
      <c r="P19" s="163"/>
      <c r="Q19" s="204" t="s">
        <v>381</v>
      </c>
      <c r="R19" s="19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s="3" customFormat="1" ht="18" customHeight="1">
      <c r="A20" s="207">
        <v>13</v>
      </c>
      <c r="B20" s="235" t="s">
        <v>188</v>
      </c>
      <c r="C20" s="214" t="str">
        <f>COVER!B27</f>
        <v>B8M</v>
      </c>
      <c r="D20" s="214">
        <v>8</v>
      </c>
      <c r="E20" s="215"/>
      <c r="F20" s="237"/>
      <c r="G20" s="227"/>
      <c r="H20" s="228">
        <f>IF(C20="B8",M20,IF(C20="B8M",N20,IF(C20="B7(다크로)",O20)))</f>
        <v>3000</v>
      </c>
      <c r="I20" s="233">
        <f>H20*D20</f>
        <v>24000</v>
      </c>
      <c r="J20" s="233"/>
      <c r="K20" s="234">
        <f t="shared" ref="K20:K22" si="1">I20+J20</f>
        <v>24000</v>
      </c>
      <c r="L20" s="163" t="s">
        <v>395</v>
      </c>
      <c r="M20" s="163">
        <v>2500</v>
      </c>
      <c r="N20" s="163">
        <v>3000</v>
      </c>
      <c r="O20" s="163">
        <v>2500</v>
      </c>
      <c r="P20" s="163"/>
      <c r="Q20" s="204" t="s">
        <v>385</v>
      </c>
      <c r="R20" s="19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s="3" customFormat="1" ht="18" customHeight="1">
      <c r="A21" s="207">
        <v>14</v>
      </c>
      <c r="B21" s="235" t="s">
        <v>349</v>
      </c>
      <c r="C21" s="214"/>
      <c r="D21" s="214">
        <v>4</v>
      </c>
      <c r="E21" s="215"/>
      <c r="F21" s="237"/>
      <c r="G21" s="227"/>
      <c r="H21" s="228">
        <v>950</v>
      </c>
      <c r="I21" s="233">
        <f>H21*D21</f>
        <v>3800</v>
      </c>
      <c r="J21" s="241"/>
      <c r="K21" s="234">
        <f>I21+J21</f>
        <v>3800</v>
      </c>
      <c r="L21" s="163" t="s">
        <v>402</v>
      </c>
      <c r="M21" s="163"/>
      <c r="N21" s="163"/>
      <c r="O21" s="163"/>
      <c r="P21" s="163"/>
      <c r="Q21" s="201" t="s">
        <v>374</v>
      </c>
      <c r="R21" s="19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s="3" customFormat="1" ht="18" customHeight="1">
      <c r="A22" s="207">
        <v>15</v>
      </c>
      <c r="B22" s="235" t="s">
        <v>6</v>
      </c>
      <c r="C22" s="214" t="str">
        <f>COVER!B34</f>
        <v>10 BAR</v>
      </c>
      <c r="D22" s="214">
        <v>1</v>
      </c>
      <c r="E22" s="215"/>
      <c r="F22" s="237"/>
      <c r="G22" s="242"/>
      <c r="H22" s="228"/>
      <c r="I22" s="233">
        <f>IF(C22="10 BAR",M22,IF(C22="16 BAR",N22,IF(C22="20 BAR",O22)))</f>
        <v>748000</v>
      </c>
      <c r="J22" s="241"/>
      <c r="K22" s="234">
        <f t="shared" si="1"/>
        <v>748000</v>
      </c>
      <c r="L22" s="163"/>
      <c r="M22" s="163">
        <v>748000</v>
      </c>
      <c r="N22" s="163">
        <v>1301000</v>
      </c>
      <c r="O22" s="163">
        <v>1301000</v>
      </c>
      <c r="P22" s="163"/>
      <c r="Q22" s="19"/>
      <c r="R22" s="19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s="3" customFormat="1" ht="18" customHeight="1">
      <c r="A23" s="207">
        <v>16</v>
      </c>
      <c r="B23" s="235" t="s">
        <v>7</v>
      </c>
      <c r="C23" s="214" t="str">
        <f>COVER!B32</f>
        <v>기존 단가</v>
      </c>
      <c r="D23" s="214">
        <v>1</v>
      </c>
      <c r="E23" s="215"/>
      <c r="F23" s="237"/>
      <c r="G23" s="242"/>
      <c r="H23" s="228">
        <f>IF(COVER!B9="APPLICATION",0,IF(COVER!B32="기존 단가",L23,IF(COVER!B32="외주 2COATING",M23,IF(COVER!B32="외주 3COATING",N23))))</f>
        <v>292000</v>
      </c>
      <c r="I23" s="233">
        <f>H23</f>
        <v>292000</v>
      </c>
      <c r="J23" s="233"/>
      <c r="K23" s="234"/>
      <c r="L23" s="163">
        <v>292000</v>
      </c>
      <c r="M23" s="163">
        <f>IF(H6&gt;0,F6*520,IF(H7&gt;0,F7*520,IF(H8&gt;0,F8*520)))</f>
        <v>357760</v>
      </c>
      <c r="N23" s="163">
        <f>IF(H6&gt;0,F6*620,IF(H7&gt;0,F7*620,IF(H8&gt;0,F8*620)))</f>
        <v>426560</v>
      </c>
      <c r="O23" s="90"/>
      <c r="P23" s="182"/>
      <c r="Q23" s="19"/>
      <c r="R23" s="19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s="3" customFormat="1" ht="18" customHeight="1">
      <c r="A24" s="207">
        <v>17</v>
      </c>
      <c r="B24" s="235" t="s">
        <v>174</v>
      </c>
      <c r="C24" s="214"/>
      <c r="D24" s="214">
        <v>1</v>
      </c>
      <c r="E24" s="215"/>
      <c r="F24" s="237"/>
      <c r="G24" s="242"/>
      <c r="H24" s="228">
        <f>IF(COVER!B9="APPLICATION",0,IF(COVER!B9="N/A",L24))</f>
        <v>352000</v>
      </c>
      <c r="I24" s="233">
        <f>H24</f>
        <v>352000</v>
      </c>
      <c r="J24" s="234"/>
      <c r="K24" s="234"/>
      <c r="L24" s="211">
        <v>352000</v>
      </c>
      <c r="M24" s="90"/>
      <c r="N24" s="90"/>
      <c r="O24" s="90"/>
      <c r="P24" s="90"/>
      <c r="Q24" s="19"/>
      <c r="R24" s="19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s="3" customFormat="1" ht="18" customHeight="1">
      <c r="A25" s="207">
        <v>18</v>
      </c>
      <c r="B25" s="97" t="s">
        <v>175</v>
      </c>
      <c r="C25" s="14"/>
      <c r="D25" s="14"/>
      <c r="E25" s="15"/>
      <c r="F25" s="15"/>
      <c r="G25" s="15"/>
      <c r="H25" s="15"/>
      <c r="I25" s="98"/>
      <c r="J25" s="98"/>
      <c r="K25" s="16">
        <f>SUM(K6:K21)+SUM(K23:K24)</f>
        <v>5970890</v>
      </c>
      <c r="L25" s="185" t="s">
        <v>248</v>
      </c>
      <c r="M25" s="90"/>
      <c r="N25" s="90"/>
      <c r="O25" s="90"/>
      <c r="P25" s="90"/>
      <c r="Q25" s="19"/>
      <c r="R25" s="19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s="3" customFormat="1" ht="18" customHeight="1">
      <c r="A26" s="207">
        <v>18</v>
      </c>
      <c r="B26" s="97" t="s">
        <v>176</v>
      </c>
      <c r="C26" s="14"/>
      <c r="D26" s="14"/>
      <c r="E26" s="15"/>
      <c r="F26" s="15"/>
      <c r="G26" s="15"/>
      <c r="H26" s="15"/>
      <c r="I26" s="98"/>
      <c r="J26" s="98"/>
      <c r="K26" s="16">
        <f>SUM(K6:K21)+SUM(K23:K24)</f>
        <v>5970890</v>
      </c>
      <c r="L26" s="185" t="s">
        <v>248</v>
      </c>
      <c r="M26" s="90"/>
      <c r="N26" s="90"/>
      <c r="O26" s="90"/>
      <c r="P26" s="90"/>
      <c r="Q26" s="19"/>
      <c r="R26" s="19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s="3" customFormat="1" ht="18" customHeight="1">
      <c r="A27" s="207">
        <v>18</v>
      </c>
      <c r="B27" s="97" t="s">
        <v>177</v>
      </c>
      <c r="C27" s="14"/>
      <c r="D27" s="14"/>
      <c r="E27" s="15"/>
      <c r="F27" s="15"/>
      <c r="G27" s="15"/>
      <c r="H27" s="15"/>
      <c r="I27" s="98"/>
      <c r="J27" s="98"/>
      <c r="K27" s="16">
        <f>SUM(K6:K24)</f>
        <v>6718890</v>
      </c>
      <c r="L27" s="185" t="s">
        <v>248</v>
      </c>
      <c r="M27" s="90"/>
      <c r="N27" s="90"/>
      <c r="O27" s="90"/>
      <c r="P27" s="90"/>
      <c r="Q27" s="19"/>
      <c r="R27" s="19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s="3" customFormat="1" ht="18" customHeight="1">
      <c r="A28" s="207">
        <v>19</v>
      </c>
      <c r="B28" s="235" t="s">
        <v>237</v>
      </c>
      <c r="C28" s="214" t="str">
        <f>COVER!B28</f>
        <v>REQUIRED</v>
      </c>
      <c r="D28" s="214">
        <v>0</v>
      </c>
      <c r="E28" s="215"/>
      <c r="F28" s="239"/>
      <c r="G28" s="215"/>
      <c r="H28" s="233">
        <f>IF(C28="REQUIRED",L28,IF(C28="N/A",0))</f>
        <v>0</v>
      </c>
      <c r="I28" s="233">
        <f>H28</f>
        <v>0</v>
      </c>
      <c r="J28" s="215"/>
      <c r="K28" s="234"/>
      <c r="L28" s="163"/>
      <c r="M28" s="90"/>
      <c r="N28" s="90"/>
      <c r="O28" s="90"/>
      <c r="P28" s="90"/>
      <c r="Q28" s="19"/>
      <c r="R28" s="19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s="3" customFormat="1" ht="18" customHeight="1">
      <c r="A29" s="207">
        <v>20</v>
      </c>
      <c r="B29" s="235" t="s">
        <v>180</v>
      </c>
      <c r="C29" s="214"/>
      <c r="D29" s="214">
        <v>0</v>
      </c>
      <c r="E29" s="215"/>
      <c r="F29" s="239"/>
      <c r="G29" s="215"/>
      <c r="H29" s="215"/>
      <c r="I29" s="215"/>
      <c r="J29" s="215"/>
      <c r="K29" s="234"/>
      <c r="L29" s="185"/>
      <c r="M29" s="90"/>
      <c r="N29" s="90"/>
      <c r="O29" s="90"/>
      <c r="P29" s="90"/>
      <c r="Q29" s="19"/>
      <c r="R29" s="19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s="3" customFormat="1" ht="18" customHeight="1">
      <c r="A30" s="207">
        <v>21</v>
      </c>
      <c r="B30" s="235" t="s">
        <v>178</v>
      </c>
      <c r="C30" s="214" t="str">
        <f>COVER!B35</f>
        <v>MOTOR</v>
      </c>
      <c r="D30" s="214">
        <v>1</v>
      </c>
      <c r="E30" s="215"/>
      <c r="F30" s="239"/>
      <c r="G30" s="215"/>
      <c r="H30" s="233">
        <f>IF(COVER!B9="APPLICATION",0,IF(COVER!B35="BARE",M30,(IF(COVER!B35="LEVER",M30,IF(COVER!B35="GEAR",N30,IF(COVER!B35="MOTOR",O30))))))</f>
        <v>360000</v>
      </c>
      <c r="I30" s="234">
        <f>H30</f>
        <v>360000</v>
      </c>
      <c r="J30" s="215"/>
      <c r="K30" s="234"/>
      <c r="L30" s="163">
        <v>487600</v>
      </c>
      <c r="M30" s="163">
        <v>230000</v>
      </c>
      <c r="N30" s="163">
        <v>230000</v>
      </c>
      <c r="O30" s="163">
        <v>360000</v>
      </c>
      <c r="P30" s="90"/>
      <c r="Q30" s="19"/>
      <c r="R30" s="19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s="3" customFormat="1" ht="18" customHeight="1">
      <c r="A31" s="207">
        <v>22</v>
      </c>
      <c r="B31" s="235"/>
      <c r="C31" s="214"/>
      <c r="D31" s="214"/>
      <c r="E31" s="215"/>
      <c r="F31" s="239"/>
      <c r="G31" s="215"/>
      <c r="H31" s="215"/>
      <c r="I31" s="215"/>
      <c r="J31" s="215"/>
      <c r="K31" s="234"/>
      <c r="L31" s="185"/>
      <c r="M31" s="90"/>
      <c r="N31" s="90"/>
      <c r="O31" s="90"/>
      <c r="P31" s="90"/>
      <c r="Q31" s="19"/>
      <c r="R31" s="19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s="3" customFormat="1" ht="18" customHeight="1">
      <c r="A32" s="207">
        <v>23</v>
      </c>
      <c r="B32" s="89" t="s">
        <v>179</v>
      </c>
      <c r="C32" s="14"/>
      <c r="D32" s="99"/>
      <c r="E32" s="15"/>
      <c r="F32" s="15"/>
      <c r="G32" s="15"/>
      <c r="H32" s="15"/>
      <c r="I32" s="100"/>
      <c r="J32" s="101"/>
      <c r="K32" s="100">
        <f>SUM(K28:K31)</f>
        <v>0</v>
      </c>
      <c r="L32" s="185" t="s">
        <v>249</v>
      </c>
      <c r="M32" s="90"/>
      <c r="N32" s="90"/>
      <c r="O32" s="90"/>
      <c r="P32" s="90"/>
      <c r="Q32" s="19"/>
      <c r="R32" s="19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s="3" customFormat="1" ht="18" customHeight="1">
      <c r="A33" s="186">
        <v>24</v>
      </c>
      <c r="B33" s="216" t="s">
        <v>252</v>
      </c>
      <c r="C33" s="217"/>
      <c r="D33" s="218"/>
      <c r="E33" s="219"/>
      <c r="F33" s="219"/>
      <c r="G33" s="219"/>
      <c r="H33" s="219"/>
      <c r="I33" s="220"/>
      <c r="J33" s="221"/>
      <c r="K33" s="220">
        <f>K25+K32</f>
        <v>5970890</v>
      </c>
      <c r="L33" s="185" t="s">
        <v>257</v>
      </c>
      <c r="M33" s="90"/>
      <c r="N33" s="90"/>
      <c r="O33" s="90"/>
      <c r="P33" s="90"/>
      <c r="Q33" s="19"/>
      <c r="R33" s="19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s="3" customFormat="1" ht="18" customHeight="1">
      <c r="A34" s="186">
        <v>24</v>
      </c>
      <c r="B34" s="216" t="s">
        <v>255</v>
      </c>
      <c r="C34" s="217"/>
      <c r="D34" s="218"/>
      <c r="E34" s="219"/>
      <c r="F34" s="219"/>
      <c r="G34" s="219"/>
      <c r="H34" s="219"/>
      <c r="I34" s="220"/>
      <c r="J34" s="221"/>
      <c r="K34" s="220">
        <f>K26+K32</f>
        <v>5970890</v>
      </c>
      <c r="L34" s="185" t="s">
        <v>257</v>
      </c>
      <c r="M34" s="90"/>
      <c r="N34" s="90"/>
      <c r="O34" s="90"/>
      <c r="P34" s="90"/>
      <c r="Q34" s="19"/>
      <c r="R34" s="19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s="3" customFormat="1" ht="18" customHeight="1">
      <c r="A35" s="186">
        <v>24</v>
      </c>
      <c r="B35" s="216" t="s">
        <v>256</v>
      </c>
      <c r="C35" s="217"/>
      <c r="D35" s="218"/>
      <c r="E35" s="219"/>
      <c r="F35" s="219"/>
      <c r="G35" s="219"/>
      <c r="H35" s="219"/>
      <c r="I35" s="220"/>
      <c r="J35" s="221"/>
      <c r="K35" s="220">
        <f>K27+K32</f>
        <v>6718890</v>
      </c>
      <c r="L35" s="185" t="s">
        <v>257</v>
      </c>
      <c r="M35" s="90"/>
      <c r="N35" s="90"/>
      <c r="O35" s="90"/>
      <c r="P35" s="90"/>
      <c r="Q35" s="19"/>
      <c r="R35" s="19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s="4" customFormat="1" ht="18" customHeight="1">
      <c r="A36" s="186">
        <v>25</v>
      </c>
      <c r="B36" s="102" t="s">
        <v>407</v>
      </c>
      <c r="C36" s="103"/>
      <c r="D36" s="103"/>
      <c r="E36" s="104"/>
      <c r="F36" s="105"/>
      <c r="G36" s="105"/>
      <c r="H36" s="106"/>
      <c r="I36" s="223" t="s">
        <v>41</v>
      </c>
      <c r="J36" s="223">
        <v>0.7</v>
      </c>
      <c r="K36" s="107">
        <f>(K25+K32)/J36</f>
        <v>8529842.8571428582</v>
      </c>
      <c r="L36" s="185" t="s">
        <v>250</v>
      </c>
      <c r="M36" s="90"/>
      <c r="N36" s="90"/>
      <c r="O36" s="90"/>
      <c r="P36" s="90"/>
      <c r="Q36" s="19"/>
      <c r="R36" s="19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s="4" customFormat="1" ht="18" customHeight="1">
      <c r="A37" s="186">
        <v>25</v>
      </c>
      <c r="B37" s="102" t="s">
        <v>408</v>
      </c>
      <c r="C37" s="103"/>
      <c r="D37" s="103"/>
      <c r="E37" s="104"/>
      <c r="F37" s="105"/>
      <c r="G37" s="105"/>
      <c r="H37" s="106"/>
      <c r="I37" s="223" t="s">
        <v>41</v>
      </c>
      <c r="J37" s="223">
        <v>0.7</v>
      </c>
      <c r="K37" s="107">
        <f>(K26+K32)/J37</f>
        <v>8529842.8571428582</v>
      </c>
      <c r="L37" s="185" t="s">
        <v>250</v>
      </c>
      <c r="M37" s="90"/>
      <c r="N37" s="90"/>
      <c r="O37" s="90"/>
      <c r="P37" s="90"/>
      <c r="Q37" s="19"/>
      <c r="R37" s="19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s="4" customFormat="1" ht="18" customHeight="1">
      <c r="A38" s="186">
        <v>25</v>
      </c>
      <c r="B38" s="102" t="s">
        <v>409</v>
      </c>
      <c r="C38" s="103"/>
      <c r="D38" s="103"/>
      <c r="E38" s="104"/>
      <c r="F38" s="105"/>
      <c r="G38" s="105"/>
      <c r="H38" s="106"/>
      <c r="I38" s="223" t="s">
        <v>41</v>
      </c>
      <c r="J38" s="223">
        <v>0.7</v>
      </c>
      <c r="K38" s="107">
        <f>(K27+K32)/J38</f>
        <v>9598414.2857142854</v>
      </c>
      <c r="L38" s="185" t="s">
        <v>250</v>
      </c>
      <c r="M38" s="90"/>
      <c r="N38" s="90"/>
      <c r="O38" s="90"/>
      <c r="P38" s="90"/>
      <c r="Q38" s="19"/>
      <c r="R38" s="19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s="4" customFormat="1" ht="18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57"/>
      <c r="M39" s="108"/>
      <c r="N39" s="108"/>
      <c r="O39" s="108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s="4" customFormat="1" ht="18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57"/>
      <c r="M40" s="108"/>
      <c r="N40" s="108"/>
      <c r="O40" s="108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s="4" customFormat="1" ht="18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57"/>
      <c r="M41" s="108"/>
      <c r="N41" s="108"/>
      <c r="O41" s="108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s="4" customFormat="1" ht="18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57"/>
      <c r="M42" s="108"/>
      <c r="N42" s="108"/>
      <c r="O42" s="108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s="4" customFormat="1" ht="18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57"/>
      <c r="M43" s="108"/>
      <c r="N43" s="108"/>
      <c r="O43" s="108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s="4" customFormat="1" ht="18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57"/>
      <c r="M44" s="108"/>
      <c r="N44" s="108"/>
      <c r="O44" s="108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s="4" customFormat="1" ht="18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57"/>
      <c r="M45" s="108"/>
      <c r="N45" s="108"/>
      <c r="O45" s="108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s="4" customFormat="1" ht="18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57"/>
      <c r="M46" s="108"/>
      <c r="N46" s="108"/>
      <c r="O46" s="108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s="4" customFormat="1" ht="12.75">
      <c r="A47" s="10"/>
      <c r="B47" s="10"/>
      <c r="C47" s="10"/>
      <c r="D47" s="109"/>
      <c r="E47" s="10"/>
      <c r="F47" s="10"/>
      <c r="G47" s="10"/>
      <c r="H47" s="10"/>
      <c r="I47" s="10"/>
      <c r="J47" s="10"/>
      <c r="K47" s="10"/>
      <c r="L47" s="108"/>
      <c r="M47" s="108"/>
      <c r="N47" s="108"/>
      <c r="O47" s="108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s="4" customFormat="1" ht="12.7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57"/>
      <c r="M48" s="108"/>
      <c r="N48" s="108"/>
      <c r="O48" s="108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s="4" customFormat="1" ht="12.7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57"/>
      <c r="M49" s="108"/>
      <c r="N49" s="108"/>
      <c r="O49" s="108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s="5" customForma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57"/>
      <c r="M50" s="87"/>
      <c r="N50" s="87"/>
      <c r="O50" s="8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s="5" customForma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57"/>
      <c r="M51" s="87"/>
      <c r="N51" s="87"/>
      <c r="O51" s="87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s="5" customForma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57"/>
      <c r="M52" s="87"/>
      <c r="N52" s="87"/>
      <c r="O52" s="87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</sheetData>
  <mergeCells count="4">
    <mergeCell ref="A1:K1"/>
    <mergeCell ref="D3:E3"/>
    <mergeCell ref="F3:H3"/>
    <mergeCell ref="L4:P4"/>
  </mergeCells>
  <phoneticPr fontId="7" type="noConversion"/>
  <pageMargins left="0.75" right="0.75" top="1" bottom="1" header="0.5" footer="0.5"/>
  <pageSetup paperSize="9" scale="62" orientation="portrait" r:id="rId1"/>
  <headerFooter alignWithMargins="0"/>
  <ignoredErrors>
    <ignoredError sqref="I13" formula="1"/>
    <ignoredError sqref="I10" evalError="1"/>
  </ignoredErrors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AE52"/>
  <sheetViews>
    <sheetView view="pageBreakPreview" zoomScale="85" zoomScaleNormal="100" zoomScaleSheetLayoutView="85" workbookViewId="0">
      <selection activeCell="F7" sqref="F7"/>
    </sheetView>
  </sheetViews>
  <sheetFormatPr defaultColWidth="8.88671875" defaultRowHeight="13.5"/>
  <cols>
    <col min="1" max="1" width="5.26171875" style="10" customWidth="1"/>
    <col min="2" max="2" width="20.23046875" style="10" bestFit="1" customWidth="1"/>
    <col min="3" max="3" width="14.3828125" style="10" bestFit="1" customWidth="1"/>
    <col min="4" max="4" width="3.7421875" style="10" customWidth="1"/>
    <col min="5" max="5" width="8.30078125" style="10" customWidth="1"/>
    <col min="6" max="6" width="6.1953125" style="10" customWidth="1"/>
    <col min="7" max="7" width="5.73046875" style="10" customWidth="1"/>
    <col min="8" max="8" width="8.30078125" style="10" bestFit="1" customWidth="1"/>
    <col min="9" max="9" width="10.9921875" style="10" customWidth="1"/>
    <col min="10" max="10" width="12.74609375" style="10" bestFit="1" customWidth="1"/>
    <col min="11" max="11" width="18.125" style="10" bestFit="1" customWidth="1"/>
    <col min="12" max="12" width="23.38671875" style="157" bestFit="1" customWidth="1"/>
    <col min="13" max="13" width="13.796875" style="87" customWidth="1"/>
    <col min="14" max="14" width="12.16015625" style="87" bestFit="1" customWidth="1"/>
    <col min="15" max="15" width="9.703125" style="87" customWidth="1"/>
    <col min="16" max="16" width="12.16015625" style="8" bestFit="1" customWidth="1"/>
    <col min="17" max="18" width="15.43359375" style="8" bestFit="1" customWidth="1"/>
    <col min="19" max="19" width="8.88671875" style="8"/>
    <col min="20" max="20" width="17.07421875" style="8" bestFit="1" customWidth="1"/>
    <col min="21" max="31" width="8.88671875" style="8"/>
    <col min="32" max="16384" width="8.88671875" style="2"/>
  </cols>
  <sheetData>
    <row r="1" spans="1:31" ht="24" thickTop="1" thickBot="1">
      <c r="A1" s="336" t="s">
        <v>190</v>
      </c>
      <c r="B1" s="337"/>
      <c r="C1" s="337"/>
      <c r="D1" s="337"/>
      <c r="E1" s="337"/>
      <c r="F1" s="337"/>
      <c r="G1" s="337"/>
      <c r="H1" s="337"/>
      <c r="I1" s="337"/>
      <c r="J1" s="337"/>
      <c r="K1" s="338"/>
      <c r="M1" s="7"/>
    </row>
    <row r="2" spans="1:31" ht="14.45" customHeight="1" thickTop="1" thickBot="1">
      <c r="A2" s="158"/>
      <c r="B2" s="158"/>
      <c r="C2" s="115"/>
      <c r="E2" s="115"/>
      <c r="F2" s="115"/>
      <c r="G2" s="115"/>
    </row>
    <row r="3" spans="1:31" ht="15" thickTop="1" thickBot="1">
      <c r="A3" s="184" t="s">
        <v>191</v>
      </c>
      <c r="B3" s="183" t="s">
        <v>307</v>
      </c>
      <c r="C3" s="184" t="s">
        <v>192</v>
      </c>
      <c r="D3" s="339" t="s">
        <v>193</v>
      </c>
      <c r="E3" s="340"/>
      <c r="F3" s="341" t="s">
        <v>194</v>
      </c>
      <c r="G3" s="339"/>
      <c r="H3" s="339"/>
      <c r="I3" s="187" t="s">
        <v>310</v>
      </c>
      <c r="J3" s="184" t="s">
        <v>197</v>
      </c>
      <c r="K3" s="183" t="s">
        <v>318</v>
      </c>
    </row>
    <row r="4" spans="1:31" ht="19.149999999999999" customHeight="1" thickTop="1" thickBot="1">
      <c r="G4" s="347" t="s">
        <v>435</v>
      </c>
      <c r="H4" s="348"/>
      <c r="I4" s="281" t="s">
        <v>436</v>
      </c>
      <c r="J4" s="197" t="s">
        <v>332</v>
      </c>
      <c r="K4" s="189">
        <v>1290</v>
      </c>
      <c r="L4" s="342" t="s">
        <v>207</v>
      </c>
      <c r="M4" s="343"/>
      <c r="N4" s="343"/>
      <c r="O4" s="343"/>
      <c r="P4" s="343"/>
    </row>
    <row r="5" spans="1:31" s="3" customFormat="1" ht="25.15" customHeight="1" thickTop="1">
      <c r="A5" s="9" t="s">
        <v>1</v>
      </c>
      <c r="B5" s="9" t="s">
        <v>164</v>
      </c>
      <c r="C5" s="88" t="s">
        <v>165</v>
      </c>
      <c r="D5" s="89" t="s">
        <v>166</v>
      </c>
      <c r="E5" s="9" t="s">
        <v>167</v>
      </c>
      <c r="F5" s="9" t="s">
        <v>168</v>
      </c>
      <c r="G5" s="9" t="s">
        <v>169</v>
      </c>
      <c r="H5" s="9" t="s">
        <v>170</v>
      </c>
      <c r="I5" s="123" t="s">
        <v>171</v>
      </c>
      <c r="J5" s="195" t="s">
        <v>172</v>
      </c>
      <c r="K5" s="196" t="s">
        <v>173</v>
      </c>
      <c r="L5" s="90" t="s">
        <v>198</v>
      </c>
      <c r="M5" s="121" t="s">
        <v>199</v>
      </c>
      <c r="N5" s="90" t="s">
        <v>38</v>
      </c>
      <c r="O5" s="90" t="s">
        <v>200</v>
      </c>
      <c r="P5" s="90" t="s">
        <v>201</v>
      </c>
      <c r="Q5" s="90" t="s">
        <v>265</v>
      </c>
      <c r="R5" s="90" t="s">
        <v>266</v>
      </c>
      <c r="S5" s="10"/>
      <c r="T5" s="191" t="s">
        <v>331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s="3" customFormat="1" ht="18" customHeight="1">
      <c r="A6" s="186">
        <v>1</v>
      </c>
      <c r="B6" s="244" t="s">
        <v>181</v>
      </c>
      <c r="C6" s="245">
        <f>COVER!B13</f>
        <v>0</v>
      </c>
      <c r="D6" s="246">
        <v>1</v>
      </c>
      <c r="E6" s="247"/>
      <c r="F6" s="248" t="s">
        <v>202</v>
      </c>
      <c r="G6" s="249"/>
      <c r="H6" s="250">
        <f>COVER!C13</f>
        <v>0</v>
      </c>
      <c r="I6" s="251" t="e">
        <f>D6*F6*H6</f>
        <v>#VALUE!</v>
      </c>
      <c r="J6" s="252"/>
      <c r="K6" s="253" t="e">
        <f t="shared" ref="K6:K12" si="0">I6+J6</f>
        <v>#VALUE!</v>
      </c>
      <c r="L6" s="209">
        <v>321689</v>
      </c>
      <c r="M6" s="185">
        <v>380178</v>
      </c>
      <c r="N6" s="163"/>
      <c r="O6" s="90"/>
      <c r="P6" s="90"/>
      <c r="Q6" s="19"/>
      <c r="R6" s="19"/>
      <c r="S6" s="10"/>
      <c r="T6" s="10">
        <v>437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s="3" customFormat="1" ht="18" customHeight="1">
      <c r="A7" s="186">
        <v>1</v>
      </c>
      <c r="B7" s="244" t="s">
        <v>182</v>
      </c>
      <c r="C7" s="245" t="str">
        <f>COVER!B14</f>
        <v>A536 Gr65-45-12</v>
      </c>
      <c r="D7" s="246">
        <v>1</v>
      </c>
      <c r="E7" s="247"/>
      <c r="F7" s="248" t="s">
        <v>202</v>
      </c>
      <c r="G7" s="249"/>
      <c r="H7" s="250">
        <f>COVER!C14</f>
        <v>3500</v>
      </c>
      <c r="I7" s="251" t="e">
        <f>D7*F7*H7</f>
        <v>#VALUE!</v>
      </c>
      <c r="J7" s="252"/>
      <c r="K7" s="253" t="e">
        <f t="shared" si="0"/>
        <v>#VALUE!</v>
      </c>
      <c r="L7" s="209">
        <v>450719</v>
      </c>
      <c r="M7" s="192">
        <v>532680</v>
      </c>
      <c r="N7" s="185"/>
      <c r="O7" s="90"/>
      <c r="P7" s="90"/>
      <c r="Q7" s="19"/>
      <c r="R7" s="19"/>
      <c r="S7" s="10"/>
      <c r="T7" s="10">
        <v>717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s="3" customFormat="1" ht="18" customHeight="1">
      <c r="A8" s="186">
        <v>1</v>
      </c>
      <c r="B8" s="224" t="s">
        <v>183</v>
      </c>
      <c r="C8" s="225">
        <f>COVER!B15</f>
        <v>0</v>
      </c>
      <c r="D8" s="226">
        <v>1</v>
      </c>
      <c r="E8" s="215"/>
      <c r="F8" s="227">
        <v>674</v>
      </c>
      <c r="G8" s="227"/>
      <c r="H8" s="228">
        <f>COVER!C15</f>
        <v>0</v>
      </c>
      <c r="I8" s="229">
        <f>D8*F8*H8</f>
        <v>0</v>
      </c>
      <c r="J8" s="230"/>
      <c r="K8" s="231">
        <f t="shared" si="0"/>
        <v>0</v>
      </c>
      <c r="L8" s="209">
        <v>450719</v>
      </c>
      <c r="M8" s="209">
        <v>532680</v>
      </c>
      <c r="N8" s="185"/>
      <c r="O8" s="90"/>
      <c r="P8" s="90"/>
      <c r="Q8" s="19"/>
      <c r="R8" s="19"/>
      <c r="S8" s="10"/>
      <c r="T8" s="10">
        <v>740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s="3" customFormat="1" ht="18" customHeight="1">
      <c r="A9" s="186">
        <v>2</v>
      </c>
      <c r="B9" s="232" t="s">
        <v>2</v>
      </c>
      <c r="C9" s="225" t="str">
        <f>COVER!B16</f>
        <v>A351 CF8M</v>
      </c>
      <c r="D9" s="226">
        <v>1</v>
      </c>
      <c r="E9" s="215"/>
      <c r="F9" s="227">
        <f>IF(COVER!B34="10 BAR",Q9,IF(COVER!B34="16 BAR",R9,IF(COVER!B34="20 BAR",R9)))</f>
        <v>308</v>
      </c>
      <c r="G9" s="227"/>
      <c r="H9" s="228">
        <f>COVER!C16</f>
        <v>12000</v>
      </c>
      <c r="I9" s="233">
        <f>D9*F9*H9</f>
        <v>3696000</v>
      </c>
      <c r="J9" s="230"/>
      <c r="K9" s="234">
        <f t="shared" si="0"/>
        <v>3696000</v>
      </c>
      <c r="L9" s="163">
        <v>192400</v>
      </c>
      <c r="M9" s="209">
        <f>L9</f>
        <v>192400</v>
      </c>
      <c r="N9" s="209">
        <f>M9</f>
        <v>192400</v>
      </c>
      <c r="O9" s="209">
        <f>N9*1.3</f>
        <v>250120</v>
      </c>
      <c r="P9" s="209">
        <f>O9*1.3</f>
        <v>325156</v>
      </c>
      <c r="Q9" s="19">
        <v>308</v>
      </c>
      <c r="R9" s="19">
        <v>308</v>
      </c>
      <c r="S9" s="10"/>
      <c r="T9" s="10">
        <v>295</v>
      </c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 s="3" customFormat="1" ht="18" customHeight="1">
      <c r="A10" s="207">
        <v>3</v>
      </c>
      <c r="B10" s="235" t="s">
        <v>3</v>
      </c>
      <c r="C10" s="236" t="str">
        <f>COVER!B18</f>
        <v>EPDM</v>
      </c>
      <c r="D10" s="214">
        <v>1</v>
      </c>
      <c r="E10" s="215"/>
      <c r="F10" s="227">
        <v>1</v>
      </c>
      <c r="G10" s="227"/>
      <c r="H10" s="228">
        <f>IF(C10="NBR",L10,IF(C10="EPDM",L10,IF(C10="VITON",M10)))</f>
        <v>240350</v>
      </c>
      <c r="I10" s="233">
        <f>H10*F10*D10</f>
        <v>240350</v>
      </c>
      <c r="J10" s="230"/>
      <c r="K10" s="234">
        <f t="shared" si="0"/>
        <v>240350</v>
      </c>
      <c r="L10" s="163">
        <v>240350</v>
      </c>
      <c r="M10" s="163" t="s">
        <v>202</v>
      </c>
      <c r="N10" s="163">
        <v>1260000</v>
      </c>
      <c r="O10" s="163"/>
      <c r="P10" s="163">
        <v>380000</v>
      </c>
      <c r="Q10" s="19"/>
      <c r="R10" s="1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s="3" customFormat="1" ht="18" customHeight="1">
      <c r="A11" s="207">
        <v>4</v>
      </c>
      <c r="B11" s="235" t="s">
        <v>333</v>
      </c>
      <c r="C11" s="214" t="str">
        <f>COVER!B17</f>
        <v>A564T630</v>
      </c>
      <c r="D11" s="214">
        <v>1</v>
      </c>
      <c r="E11" s="215"/>
      <c r="F11" s="243">
        <v>54</v>
      </c>
      <c r="G11" s="238"/>
      <c r="H11" s="228">
        <f>COVER!C17</f>
        <v>10000</v>
      </c>
      <c r="I11" s="233">
        <f>D11*F11*H11</f>
        <v>540000</v>
      </c>
      <c r="J11" s="233"/>
      <c r="K11" s="234">
        <f t="shared" si="0"/>
        <v>540000</v>
      </c>
      <c r="L11" s="163" t="s">
        <v>342</v>
      </c>
      <c r="M11" s="163">
        <v>35000</v>
      </c>
      <c r="N11" s="163">
        <v>88000</v>
      </c>
      <c r="O11" s="163">
        <f>ROUNDUP(P11/1.3,-2)</f>
        <v>115400</v>
      </c>
      <c r="P11" s="163">
        <v>150000</v>
      </c>
      <c r="Q11" s="18">
        <v>52.16</v>
      </c>
      <c r="R11" s="18"/>
      <c r="S11" s="108"/>
      <c r="T11" s="10">
        <v>59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s="3" customFormat="1" ht="18" customHeight="1">
      <c r="A12" s="207">
        <v>5</v>
      </c>
      <c r="B12" s="235" t="s">
        <v>348</v>
      </c>
      <c r="C12" s="214" t="s">
        <v>211</v>
      </c>
      <c r="D12" s="214">
        <v>1</v>
      </c>
      <c r="E12" s="215"/>
      <c r="F12" s="237">
        <v>1</v>
      </c>
      <c r="G12" s="227"/>
      <c r="H12" s="230">
        <f>L12</f>
        <v>70000</v>
      </c>
      <c r="I12" s="233">
        <f>D12*F12*H12</f>
        <v>70000</v>
      </c>
      <c r="J12" s="233"/>
      <c r="K12" s="234">
        <f t="shared" si="0"/>
        <v>70000</v>
      </c>
      <c r="L12" s="163">
        <v>70000</v>
      </c>
      <c r="M12" s="163"/>
      <c r="N12" s="163"/>
      <c r="O12" s="90"/>
      <c r="P12" s="90"/>
      <c r="Q12" s="19"/>
      <c r="R12" s="19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s="3" customFormat="1" ht="18" customHeight="1">
      <c r="A13" s="207">
        <v>6</v>
      </c>
      <c r="B13" s="235" t="s">
        <v>163</v>
      </c>
      <c r="C13" s="214" t="str">
        <f>COVER!B21</f>
        <v>SSPC</v>
      </c>
      <c r="D13" s="214">
        <v>4</v>
      </c>
      <c r="E13" s="215"/>
      <c r="F13" s="237">
        <v>1</v>
      </c>
      <c r="G13" s="227"/>
      <c r="H13" s="228">
        <f>L13</f>
        <v>2510</v>
      </c>
      <c r="I13" s="233">
        <f>H13*F13*D13</f>
        <v>10040</v>
      </c>
      <c r="J13" s="233"/>
      <c r="K13" s="234">
        <f>J13+I13</f>
        <v>10040</v>
      </c>
      <c r="L13" s="198">
        <v>2510</v>
      </c>
      <c r="M13" s="199"/>
      <c r="N13" s="199"/>
      <c r="O13" s="199"/>
      <c r="P13" s="199"/>
      <c r="Q13" s="19"/>
      <c r="R13" s="19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s="3" customFormat="1" ht="18" customHeight="1">
      <c r="A14" s="207">
        <v>7</v>
      </c>
      <c r="B14" s="235" t="s">
        <v>350</v>
      </c>
      <c r="C14" s="214" t="s">
        <v>351</v>
      </c>
      <c r="D14" s="214">
        <v>3</v>
      </c>
      <c r="E14" s="215"/>
      <c r="F14" s="237">
        <v>1</v>
      </c>
      <c r="G14" s="227"/>
      <c r="H14" s="228">
        <v>3700</v>
      </c>
      <c r="I14" s="233">
        <f>D14*F14*H14</f>
        <v>11100</v>
      </c>
      <c r="J14" s="233"/>
      <c r="K14" s="234">
        <f>I14+J14</f>
        <v>11100</v>
      </c>
      <c r="L14" s="163"/>
      <c r="M14" s="163"/>
      <c r="N14" s="163"/>
      <c r="O14" s="163"/>
      <c r="P14" s="163"/>
      <c r="Q14" s="201" t="s">
        <v>374</v>
      </c>
      <c r="R14" s="19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s="3" customFormat="1" ht="18" customHeight="1">
      <c r="A15" s="207">
        <v>8</v>
      </c>
      <c r="B15" s="235" t="s">
        <v>386</v>
      </c>
      <c r="C15" s="214" t="str">
        <f>COVER!B22</f>
        <v>BODY MATERIAL</v>
      </c>
      <c r="D15" s="214">
        <v>1</v>
      </c>
      <c r="E15" s="215"/>
      <c r="F15" s="237">
        <v>4.0599999999999996</v>
      </c>
      <c r="G15" s="227"/>
      <c r="H15" s="228">
        <f>IF(C15="SS400",M15,IF(C15="BODY MATERIAL",N15))</f>
        <v>28419.999999999996</v>
      </c>
      <c r="I15" s="233">
        <f>H15</f>
        <v>28419.999999999996</v>
      </c>
      <c r="J15" s="233"/>
      <c r="K15" s="234">
        <f>I15+J15</f>
        <v>28419.999999999996</v>
      </c>
      <c r="L15" s="163" t="s">
        <v>369</v>
      </c>
      <c r="M15" s="198">
        <v>10000</v>
      </c>
      <c r="N15" s="198">
        <f>IF(AND(C15="BODY MATERIAL"),IF((H6&gt;0),H6*F15*2,IF((H7&gt;0),H7*F15*2,IF((H8&gt;0),H8*F15*2))))</f>
        <v>28419.999999999996</v>
      </c>
      <c r="O15" s="198"/>
      <c r="P15" s="198"/>
      <c r="Q15" s="201" t="s">
        <v>374</v>
      </c>
      <c r="R15" s="164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s="3" customFormat="1" ht="18" customHeight="1">
      <c r="A16" s="207">
        <v>9</v>
      </c>
      <c r="B16" s="235" t="s">
        <v>217</v>
      </c>
      <c r="C16" s="214" t="str">
        <f>COVER!B23</f>
        <v>B8M</v>
      </c>
      <c r="D16" s="214">
        <v>6</v>
      </c>
      <c r="E16" s="215"/>
      <c r="F16" s="237"/>
      <c r="G16" s="227"/>
      <c r="H16" s="228">
        <f>IF(C16="B8",M16,IF(C16="B8M",N16,IF(C16="B7(다크로)",O16)))</f>
        <v>1200</v>
      </c>
      <c r="I16" s="233">
        <f>H16*D16</f>
        <v>7200</v>
      </c>
      <c r="J16" s="233"/>
      <c r="K16" s="234">
        <f>J16+I16</f>
        <v>7200</v>
      </c>
      <c r="L16" s="163" t="s">
        <v>396</v>
      </c>
      <c r="M16" s="198">
        <v>600</v>
      </c>
      <c r="N16" s="198">
        <v>1200</v>
      </c>
      <c r="O16" s="198">
        <v>1000</v>
      </c>
      <c r="P16" s="198"/>
      <c r="Q16" s="204" t="s">
        <v>385</v>
      </c>
      <c r="R16" s="19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s="3" customFormat="1" ht="18" customHeight="1">
      <c r="A17" s="207">
        <v>10</v>
      </c>
      <c r="B17" s="235" t="s">
        <v>221</v>
      </c>
      <c r="C17" s="214" t="str">
        <f>COVER!B24</f>
        <v>ALBC2</v>
      </c>
      <c r="D17" s="214">
        <v>1</v>
      </c>
      <c r="E17" s="215"/>
      <c r="F17" s="237">
        <v>1</v>
      </c>
      <c r="G17" s="227"/>
      <c r="H17" s="228">
        <f>L17</f>
        <v>17000</v>
      </c>
      <c r="I17" s="233">
        <f>H17*F17</f>
        <v>17000</v>
      </c>
      <c r="J17" s="233"/>
      <c r="K17" s="234">
        <f>J17+I17</f>
        <v>17000</v>
      </c>
      <c r="L17" s="198">
        <v>17000</v>
      </c>
      <c r="M17" s="199"/>
      <c r="N17" s="198"/>
      <c r="O17" s="198"/>
      <c r="P17" s="198"/>
      <c r="Q17" s="202"/>
      <c r="R17" s="19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s="3" customFormat="1" ht="18" customHeight="1">
      <c r="A18" s="207">
        <v>11</v>
      </c>
      <c r="B18" s="235" t="s">
        <v>187</v>
      </c>
      <c r="C18" s="214" t="s">
        <v>353</v>
      </c>
      <c r="D18" s="214">
        <v>1</v>
      </c>
      <c r="E18" s="215"/>
      <c r="F18" s="237">
        <v>2.02</v>
      </c>
      <c r="G18" s="227"/>
      <c r="H18" s="228">
        <f>M18</f>
        <v>6500</v>
      </c>
      <c r="I18" s="233">
        <f>H18</f>
        <v>6500</v>
      </c>
      <c r="J18" s="233"/>
      <c r="K18" s="234">
        <f>J18+I18</f>
        <v>6500</v>
      </c>
      <c r="L18" s="163" t="s">
        <v>367</v>
      </c>
      <c r="M18" s="163">
        <v>6500</v>
      </c>
      <c r="N18" s="163"/>
      <c r="O18" s="163"/>
      <c r="P18" s="163"/>
      <c r="Q18" s="205"/>
      <c r="R18" s="165"/>
      <c r="S18" s="145"/>
      <c r="T18" s="145"/>
      <c r="U18" s="145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s="3" customFormat="1" ht="18" customHeight="1">
      <c r="A19" s="207">
        <v>12</v>
      </c>
      <c r="B19" s="235" t="s">
        <v>189</v>
      </c>
      <c r="C19" s="214" t="str">
        <f>COVER!B26</f>
        <v>B8M</v>
      </c>
      <c r="D19" s="214">
        <v>4</v>
      </c>
      <c r="E19" s="215"/>
      <c r="F19" s="237"/>
      <c r="G19" s="227"/>
      <c r="H19" s="230">
        <f>IF(C19="B8",M19,IF(C19="B8M",N19))</f>
        <v>500</v>
      </c>
      <c r="I19" s="233">
        <f>H19*D19</f>
        <v>2000</v>
      </c>
      <c r="J19" s="233"/>
      <c r="K19" s="234">
        <f>I19+J19</f>
        <v>2000</v>
      </c>
      <c r="L19" s="163" t="s">
        <v>382</v>
      </c>
      <c r="M19" s="163">
        <v>200</v>
      </c>
      <c r="N19" s="163">
        <v>500</v>
      </c>
      <c r="O19" s="163"/>
      <c r="P19" s="163"/>
      <c r="Q19" s="204" t="s">
        <v>381</v>
      </c>
      <c r="R19" s="19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s="3" customFormat="1" ht="18" customHeight="1">
      <c r="A20" s="207">
        <v>13</v>
      </c>
      <c r="B20" s="235" t="s">
        <v>188</v>
      </c>
      <c r="C20" s="214" t="str">
        <f>COVER!B27</f>
        <v>B8M</v>
      </c>
      <c r="D20" s="214">
        <v>8</v>
      </c>
      <c r="E20" s="215"/>
      <c r="F20" s="237"/>
      <c r="G20" s="227"/>
      <c r="H20" s="228">
        <f>IF(C20="B8",M20,IF(C20="B8M",N20,IF(C20="B7(다크로)",O20)))</f>
        <v>3000</v>
      </c>
      <c r="I20" s="233">
        <f>H20*D20</f>
        <v>24000</v>
      </c>
      <c r="J20" s="233"/>
      <c r="K20" s="234">
        <f t="shared" ref="K20:K22" si="1">I20+J20</f>
        <v>24000</v>
      </c>
      <c r="L20" s="163" t="s">
        <v>395</v>
      </c>
      <c r="M20" s="163">
        <v>2500</v>
      </c>
      <c r="N20" s="163">
        <v>3000</v>
      </c>
      <c r="O20" s="163">
        <v>2500</v>
      </c>
      <c r="P20" s="163"/>
      <c r="Q20" s="204" t="s">
        <v>385</v>
      </c>
      <c r="R20" s="19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s="3" customFormat="1" ht="18" customHeight="1">
      <c r="A21" s="207">
        <v>14</v>
      </c>
      <c r="B21" s="235" t="s">
        <v>349</v>
      </c>
      <c r="C21" s="214"/>
      <c r="D21" s="214">
        <v>4</v>
      </c>
      <c r="E21" s="215"/>
      <c r="F21" s="237"/>
      <c r="G21" s="227"/>
      <c r="H21" s="228">
        <v>1000</v>
      </c>
      <c r="I21" s="233">
        <f>H21*D21</f>
        <v>4000</v>
      </c>
      <c r="J21" s="241"/>
      <c r="K21" s="234">
        <f>I21+J21</f>
        <v>4000</v>
      </c>
      <c r="L21" s="163" t="s">
        <v>400</v>
      </c>
      <c r="M21" s="163"/>
      <c r="N21" s="163"/>
      <c r="O21" s="163"/>
      <c r="P21" s="163"/>
      <c r="Q21" s="201" t="s">
        <v>374</v>
      </c>
      <c r="R21" s="19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s="3" customFormat="1" ht="18" customHeight="1">
      <c r="A22" s="207">
        <v>15</v>
      </c>
      <c r="B22" s="235" t="s">
        <v>6</v>
      </c>
      <c r="C22" s="214" t="str">
        <f>COVER!B34</f>
        <v>10 BAR</v>
      </c>
      <c r="D22" s="214">
        <v>1</v>
      </c>
      <c r="E22" s="215"/>
      <c r="F22" s="237"/>
      <c r="G22" s="242"/>
      <c r="H22" s="228"/>
      <c r="I22" s="233">
        <f>IF(C22="10 BAR",M22,IF(C22="16 BAR",N22,IF(C22="20 BAR",O22)))</f>
        <v>748000</v>
      </c>
      <c r="J22" s="241"/>
      <c r="K22" s="234">
        <f t="shared" si="1"/>
        <v>748000</v>
      </c>
      <c r="L22" s="163"/>
      <c r="M22" s="163">
        <v>748000</v>
      </c>
      <c r="N22" s="163">
        <v>1301000</v>
      </c>
      <c r="O22" s="163">
        <v>1823000</v>
      </c>
      <c r="P22" s="163"/>
      <c r="Q22" s="19"/>
      <c r="R22" s="19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s="3" customFormat="1" ht="18" customHeight="1">
      <c r="A23" s="207">
        <v>16</v>
      </c>
      <c r="B23" s="235" t="s">
        <v>7</v>
      </c>
      <c r="C23" s="214" t="str">
        <f>COVER!B32</f>
        <v>기존 단가</v>
      </c>
      <c r="D23" s="214">
        <v>1</v>
      </c>
      <c r="E23" s="215"/>
      <c r="F23" s="237"/>
      <c r="G23" s="242"/>
      <c r="H23" s="228">
        <f>IF(COVER!B9="APPLICATION",0,IF(COVER!B32="기존 단가",L23,IF(COVER!B32="외주 2COATING",M23,IF(COVER!B32="외주 3COATING",N23))))</f>
        <v>352000</v>
      </c>
      <c r="I23" s="233">
        <f>H23</f>
        <v>352000</v>
      </c>
      <c r="J23" s="233"/>
      <c r="K23" s="234"/>
      <c r="L23" s="163">
        <v>352000</v>
      </c>
      <c r="M23" s="163" t="e">
        <f>IF(H6&gt;0,F6*520,IF(H7&gt;0,F7*520,IF(H8&gt;0,F8*520)))</f>
        <v>#VALUE!</v>
      </c>
      <c r="N23" s="163" t="e">
        <f>IF(H6&gt;0,F6*620,IF(H7&gt;0,F7*620,IF(H8&gt;0,F8*620)))</f>
        <v>#VALUE!</v>
      </c>
      <c r="O23" s="90"/>
      <c r="P23" s="182"/>
      <c r="Q23" s="19"/>
      <c r="R23" s="19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s="3" customFormat="1" ht="18" customHeight="1">
      <c r="A24" s="207">
        <v>17</v>
      </c>
      <c r="B24" s="235" t="s">
        <v>174</v>
      </c>
      <c r="C24" s="214"/>
      <c r="D24" s="214">
        <v>1</v>
      </c>
      <c r="E24" s="215"/>
      <c r="F24" s="237"/>
      <c r="G24" s="242"/>
      <c r="H24" s="228">
        <f>IF(COVER!B9="APPLICATION",0,IF(COVER!B9="N/A",L24))</f>
        <v>412000</v>
      </c>
      <c r="I24" s="233">
        <f>H24</f>
        <v>412000</v>
      </c>
      <c r="J24" s="234"/>
      <c r="K24" s="234"/>
      <c r="L24" s="211">
        <v>412000</v>
      </c>
      <c r="M24" s="90"/>
      <c r="N24" s="90"/>
      <c r="O24" s="90"/>
      <c r="P24" s="90"/>
      <c r="Q24" s="19"/>
      <c r="R24" s="19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s="3" customFormat="1" ht="18" customHeight="1">
      <c r="A25" s="207">
        <v>18</v>
      </c>
      <c r="B25" s="97" t="s">
        <v>175</v>
      </c>
      <c r="C25" s="14"/>
      <c r="D25" s="14"/>
      <c r="E25" s="15"/>
      <c r="F25" s="15"/>
      <c r="G25" s="15"/>
      <c r="H25" s="15"/>
      <c r="I25" s="98"/>
      <c r="J25" s="98"/>
      <c r="K25" s="16">
        <f>SUM(K8:K21)+SUM(K23:K24)</f>
        <v>4656610</v>
      </c>
      <c r="L25" s="185" t="s">
        <v>248</v>
      </c>
      <c r="M25" s="90"/>
      <c r="N25" s="90"/>
      <c r="O25" s="90"/>
      <c r="P25" s="90"/>
      <c r="Q25" s="19"/>
      <c r="R25" s="19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s="3" customFormat="1" ht="18" customHeight="1">
      <c r="A26" s="207">
        <v>18</v>
      </c>
      <c r="B26" s="97" t="s">
        <v>176</v>
      </c>
      <c r="C26" s="14"/>
      <c r="D26" s="14"/>
      <c r="E26" s="15"/>
      <c r="F26" s="15"/>
      <c r="G26" s="15"/>
      <c r="H26" s="15"/>
      <c r="I26" s="98"/>
      <c r="J26" s="98"/>
      <c r="K26" s="16">
        <f>SUM(K8:K21)+SUM(K23:K24)</f>
        <v>4656610</v>
      </c>
      <c r="L26" s="185" t="s">
        <v>248</v>
      </c>
      <c r="M26" s="90"/>
      <c r="N26" s="90"/>
      <c r="O26" s="90"/>
      <c r="P26" s="90"/>
      <c r="Q26" s="19"/>
      <c r="R26" s="19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s="3" customFormat="1" ht="18" customHeight="1">
      <c r="A27" s="207">
        <v>18</v>
      </c>
      <c r="B27" s="97" t="s">
        <v>177</v>
      </c>
      <c r="C27" s="14"/>
      <c r="D27" s="14"/>
      <c r="E27" s="15"/>
      <c r="F27" s="15"/>
      <c r="G27" s="15"/>
      <c r="H27" s="15"/>
      <c r="I27" s="98"/>
      <c r="J27" s="98"/>
      <c r="K27" s="16">
        <f>SUM(K8:K24)</f>
        <v>5404610</v>
      </c>
      <c r="L27" s="185" t="s">
        <v>248</v>
      </c>
      <c r="M27" s="90"/>
      <c r="N27" s="90"/>
      <c r="O27" s="90"/>
      <c r="P27" s="90"/>
      <c r="Q27" s="19"/>
      <c r="R27" s="19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s="3" customFormat="1" ht="18" customHeight="1">
      <c r="A28" s="207">
        <v>19</v>
      </c>
      <c r="B28" s="235" t="s">
        <v>237</v>
      </c>
      <c r="C28" s="214" t="str">
        <f>COVER!B28</f>
        <v>REQUIRED</v>
      </c>
      <c r="D28" s="214">
        <v>0</v>
      </c>
      <c r="E28" s="215"/>
      <c r="F28" s="239"/>
      <c r="G28" s="215"/>
      <c r="H28" s="233">
        <f>IF(C28="REQUIRED",L28,IF(C28="N/A",0))</f>
        <v>0</v>
      </c>
      <c r="I28" s="233">
        <f>H28</f>
        <v>0</v>
      </c>
      <c r="J28" s="215"/>
      <c r="K28" s="234"/>
      <c r="L28" s="163"/>
      <c r="M28" s="90"/>
      <c r="N28" s="90"/>
      <c r="O28" s="90"/>
      <c r="P28" s="90"/>
      <c r="Q28" s="19"/>
      <c r="R28" s="19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s="3" customFormat="1" ht="18" customHeight="1">
      <c r="A29" s="207">
        <v>20</v>
      </c>
      <c r="B29" s="235" t="s">
        <v>180</v>
      </c>
      <c r="C29" s="214"/>
      <c r="D29" s="214">
        <v>0</v>
      </c>
      <c r="E29" s="215"/>
      <c r="F29" s="239"/>
      <c r="G29" s="215"/>
      <c r="H29" s="215"/>
      <c r="I29" s="215"/>
      <c r="J29" s="215"/>
      <c r="K29" s="234"/>
      <c r="L29" s="185"/>
      <c r="M29" s="90"/>
      <c r="N29" s="90"/>
      <c r="O29" s="90"/>
      <c r="P29" s="90"/>
      <c r="Q29" s="19"/>
      <c r="R29" s="19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s="3" customFormat="1" ht="18" customHeight="1">
      <c r="A30" s="207">
        <v>21</v>
      </c>
      <c r="B30" s="235" t="s">
        <v>178</v>
      </c>
      <c r="C30" s="214" t="str">
        <f>COVER!B35</f>
        <v>MOTOR</v>
      </c>
      <c r="D30" s="214">
        <v>1</v>
      </c>
      <c r="E30" s="215"/>
      <c r="F30" s="239"/>
      <c r="G30" s="215"/>
      <c r="H30" s="233">
        <f>IF(COVER!B9="APPLICATION",0,IF(COVER!B35="BARE",M30,(IF(COVER!B35="LEVER",M30,IF(COVER!B35="GEAR",N30,IF(COVER!B35="MOTOR",O30))))))</f>
        <v>380000</v>
      </c>
      <c r="I30" s="234">
        <f>H30</f>
        <v>380000</v>
      </c>
      <c r="J30" s="215"/>
      <c r="K30" s="234"/>
      <c r="L30" s="163">
        <v>487600</v>
      </c>
      <c r="M30" s="163">
        <v>240000</v>
      </c>
      <c r="N30" s="163">
        <v>240000</v>
      </c>
      <c r="O30" s="163">
        <v>380000</v>
      </c>
      <c r="P30" s="90"/>
      <c r="Q30" s="19"/>
      <c r="R30" s="19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s="3" customFormat="1" ht="18" customHeight="1">
      <c r="A31" s="207">
        <v>22</v>
      </c>
      <c r="B31" s="235"/>
      <c r="C31" s="214"/>
      <c r="D31" s="214"/>
      <c r="E31" s="215"/>
      <c r="F31" s="239"/>
      <c r="G31" s="215"/>
      <c r="H31" s="215"/>
      <c r="I31" s="215"/>
      <c r="J31" s="215"/>
      <c r="K31" s="234"/>
      <c r="L31" s="185"/>
      <c r="M31" s="90"/>
      <c r="N31" s="90"/>
      <c r="O31" s="90"/>
      <c r="P31" s="90"/>
      <c r="Q31" s="19"/>
      <c r="R31" s="19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s="3" customFormat="1" ht="18" customHeight="1">
      <c r="A32" s="207">
        <v>23</v>
      </c>
      <c r="B32" s="89" t="s">
        <v>179</v>
      </c>
      <c r="C32" s="14"/>
      <c r="D32" s="99"/>
      <c r="E32" s="15"/>
      <c r="F32" s="15"/>
      <c r="G32" s="15"/>
      <c r="H32" s="15"/>
      <c r="I32" s="100"/>
      <c r="J32" s="101"/>
      <c r="K32" s="100">
        <f>SUM(K28:K31)</f>
        <v>0</v>
      </c>
      <c r="L32" s="185" t="s">
        <v>249</v>
      </c>
      <c r="M32" s="90"/>
      <c r="N32" s="90"/>
      <c r="O32" s="90"/>
      <c r="P32" s="90"/>
      <c r="Q32" s="19"/>
      <c r="R32" s="19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s="3" customFormat="1" ht="18" customHeight="1">
      <c r="A33" s="186">
        <v>24</v>
      </c>
      <c r="B33" s="216" t="s">
        <v>252</v>
      </c>
      <c r="C33" s="217"/>
      <c r="D33" s="218"/>
      <c r="E33" s="219"/>
      <c r="F33" s="219"/>
      <c r="G33" s="219"/>
      <c r="H33" s="219"/>
      <c r="I33" s="220"/>
      <c r="J33" s="221"/>
      <c r="K33" s="220">
        <f>K25+K32</f>
        <v>4656610</v>
      </c>
      <c r="L33" s="185" t="s">
        <v>257</v>
      </c>
      <c r="M33" s="90"/>
      <c r="N33" s="90"/>
      <c r="O33" s="90"/>
      <c r="P33" s="90"/>
      <c r="Q33" s="19"/>
      <c r="R33" s="19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s="3" customFormat="1" ht="18" customHeight="1">
      <c r="A34" s="186">
        <v>24</v>
      </c>
      <c r="B34" s="216" t="s">
        <v>255</v>
      </c>
      <c r="C34" s="217"/>
      <c r="D34" s="218"/>
      <c r="E34" s="219"/>
      <c r="F34" s="219"/>
      <c r="G34" s="219"/>
      <c r="H34" s="219"/>
      <c r="I34" s="220"/>
      <c r="J34" s="221"/>
      <c r="K34" s="220">
        <f>K26+K32</f>
        <v>4656610</v>
      </c>
      <c r="L34" s="185" t="s">
        <v>257</v>
      </c>
      <c r="M34" s="90"/>
      <c r="N34" s="90"/>
      <c r="O34" s="90"/>
      <c r="P34" s="90"/>
      <c r="Q34" s="19"/>
      <c r="R34" s="19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s="3" customFormat="1" ht="18" customHeight="1">
      <c r="A35" s="186">
        <v>24</v>
      </c>
      <c r="B35" s="216" t="s">
        <v>256</v>
      </c>
      <c r="C35" s="217"/>
      <c r="D35" s="218"/>
      <c r="E35" s="219"/>
      <c r="F35" s="219"/>
      <c r="G35" s="219"/>
      <c r="H35" s="219"/>
      <c r="I35" s="220"/>
      <c r="J35" s="221"/>
      <c r="K35" s="220">
        <f>K27+K32</f>
        <v>5404610</v>
      </c>
      <c r="L35" s="185" t="s">
        <v>257</v>
      </c>
      <c r="M35" s="90"/>
      <c r="N35" s="90"/>
      <c r="O35" s="90"/>
      <c r="P35" s="90"/>
      <c r="Q35" s="19"/>
      <c r="R35" s="19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s="4" customFormat="1" ht="18" customHeight="1">
      <c r="A36" s="186">
        <v>25</v>
      </c>
      <c r="B36" s="102" t="s">
        <v>407</v>
      </c>
      <c r="C36" s="103"/>
      <c r="D36" s="103"/>
      <c r="E36" s="104"/>
      <c r="F36" s="105"/>
      <c r="G36" s="105"/>
      <c r="H36" s="106"/>
      <c r="I36" s="223" t="s">
        <v>41</v>
      </c>
      <c r="J36" s="223">
        <v>0.7</v>
      </c>
      <c r="K36" s="107">
        <f>(K25+K32)/J36</f>
        <v>6652300</v>
      </c>
      <c r="L36" s="185" t="s">
        <v>250</v>
      </c>
      <c r="M36" s="90"/>
      <c r="N36" s="90"/>
      <c r="O36" s="90"/>
      <c r="P36" s="90"/>
      <c r="Q36" s="19"/>
      <c r="R36" s="19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s="4" customFormat="1" ht="18" customHeight="1">
      <c r="A37" s="186">
        <v>25</v>
      </c>
      <c r="B37" s="102" t="s">
        <v>408</v>
      </c>
      <c r="C37" s="103"/>
      <c r="D37" s="103"/>
      <c r="E37" s="104"/>
      <c r="F37" s="105"/>
      <c r="G37" s="105"/>
      <c r="H37" s="106"/>
      <c r="I37" s="223" t="s">
        <v>41</v>
      </c>
      <c r="J37" s="223">
        <v>0.7</v>
      </c>
      <c r="K37" s="107">
        <f>(K26+K32)/J37</f>
        <v>6652300</v>
      </c>
      <c r="L37" s="185" t="s">
        <v>250</v>
      </c>
      <c r="M37" s="90"/>
      <c r="N37" s="90"/>
      <c r="O37" s="90"/>
      <c r="P37" s="90"/>
      <c r="Q37" s="19"/>
      <c r="R37" s="19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s="4" customFormat="1" ht="18" customHeight="1">
      <c r="A38" s="186">
        <v>25</v>
      </c>
      <c r="B38" s="102" t="s">
        <v>409</v>
      </c>
      <c r="C38" s="103"/>
      <c r="D38" s="103"/>
      <c r="E38" s="104"/>
      <c r="F38" s="105"/>
      <c r="G38" s="105"/>
      <c r="H38" s="106"/>
      <c r="I38" s="223" t="s">
        <v>41</v>
      </c>
      <c r="J38" s="223">
        <v>0.7</v>
      </c>
      <c r="K38" s="107">
        <f>(K27+K32)/J38</f>
        <v>7720871.4285714291</v>
      </c>
      <c r="L38" s="185" t="s">
        <v>250</v>
      </c>
      <c r="M38" s="90"/>
      <c r="N38" s="90"/>
      <c r="O38" s="90"/>
      <c r="P38" s="90"/>
      <c r="Q38" s="19"/>
      <c r="R38" s="19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s="4" customFormat="1" ht="18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57"/>
      <c r="M39" s="108"/>
      <c r="N39" s="108"/>
      <c r="O39" s="108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s="4" customFormat="1" ht="18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57"/>
      <c r="M40" s="108"/>
      <c r="N40" s="108"/>
      <c r="O40" s="108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s="4" customFormat="1" ht="18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57"/>
      <c r="M41" s="108"/>
      <c r="N41" s="108"/>
      <c r="O41" s="108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s="4" customFormat="1" ht="18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57"/>
      <c r="M42" s="108"/>
      <c r="N42" s="108"/>
      <c r="O42" s="108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s="4" customFormat="1" ht="18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57"/>
      <c r="M43" s="108"/>
      <c r="N43" s="108"/>
      <c r="O43" s="108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s="4" customFormat="1" ht="18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57"/>
      <c r="M44" s="108"/>
      <c r="N44" s="108"/>
      <c r="O44" s="108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s="4" customFormat="1" ht="18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57"/>
      <c r="M45" s="108"/>
      <c r="N45" s="108"/>
      <c r="O45" s="108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s="4" customFormat="1" ht="18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57"/>
      <c r="M46" s="108"/>
      <c r="N46" s="108"/>
      <c r="O46" s="108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s="4" customFormat="1" ht="12.75">
      <c r="A47" s="10"/>
      <c r="B47" s="10"/>
      <c r="C47" s="10"/>
      <c r="D47" s="109"/>
      <c r="E47" s="10"/>
      <c r="F47" s="10"/>
      <c r="G47" s="10"/>
      <c r="H47" s="10"/>
      <c r="I47" s="10"/>
      <c r="J47" s="10"/>
      <c r="K47" s="10"/>
      <c r="L47" s="108"/>
      <c r="M47" s="108"/>
      <c r="N47" s="108"/>
      <c r="O47" s="108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s="4" customFormat="1" ht="12.7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57"/>
      <c r="M48" s="108"/>
      <c r="N48" s="108"/>
      <c r="O48" s="108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s="4" customFormat="1" ht="12.7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57"/>
      <c r="M49" s="108"/>
      <c r="N49" s="108"/>
      <c r="O49" s="108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s="5" customForma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57"/>
      <c r="M50" s="87"/>
      <c r="N50" s="87"/>
      <c r="O50" s="8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s="5" customForma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57"/>
      <c r="M51" s="87"/>
      <c r="N51" s="87"/>
      <c r="O51" s="87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s="5" customForma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57"/>
      <c r="M52" s="87"/>
      <c r="N52" s="87"/>
      <c r="O52" s="87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</sheetData>
  <mergeCells count="5">
    <mergeCell ref="A1:K1"/>
    <mergeCell ref="D3:E3"/>
    <mergeCell ref="F3:H3"/>
    <mergeCell ref="L4:P4"/>
    <mergeCell ref="G4:H4"/>
  </mergeCells>
  <phoneticPr fontId="7" type="noConversion"/>
  <pageMargins left="0.75" right="0.75" top="1" bottom="1" header="0.5" footer="0.5"/>
  <pageSetup paperSize="9" scale="62" orientation="portrait" r:id="rId1"/>
  <headerFooter alignWithMargins="0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A1:AE56"/>
  <sheetViews>
    <sheetView tabSelected="1" view="pageBreakPreview" topLeftCell="A13" zoomScale="85" zoomScaleNormal="100" zoomScaleSheetLayoutView="85" workbookViewId="0">
      <selection activeCell="E7" sqref="E7"/>
    </sheetView>
  </sheetViews>
  <sheetFormatPr defaultColWidth="8.88671875" defaultRowHeight="13.5"/>
  <cols>
    <col min="1" max="1" width="5.26171875" style="10" customWidth="1"/>
    <col min="2" max="2" width="20.23046875" style="10" bestFit="1" customWidth="1"/>
    <col min="3" max="3" width="14.3828125" style="10" bestFit="1" customWidth="1"/>
    <col min="4" max="4" width="3.7421875" style="10" customWidth="1"/>
    <col min="5" max="5" width="8.30078125" style="10" customWidth="1"/>
    <col min="6" max="6" width="6.1953125" style="10" customWidth="1"/>
    <col min="7" max="7" width="5.73046875" style="10" customWidth="1"/>
    <col min="8" max="8" width="8.30078125" style="10" bestFit="1" customWidth="1"/>
    <col min="9" max="9" width="10.9921875" style="10" customWidth="1"/>
    <col min="10" max="10" width="12.74609375" style="10" bestFit="1" customWidth="1"/>
    <col min="11" max="11" width="18.125" style="10" bestFit="1" customWidth="1"/>
    <col min="12" max="12" width="25.4921875" style="157" bestFit="1" customWidth="1"/>
    <col min="13" max="13" width="13.796875" style="87" customWidth="1"/>
    <col min="14" max="14" width="12.16015625" style="87" bestFit="1" customWidth="1"/>
    <col min="15" max="15" width="9.703125" style="87" customWidth="1"/>
    <col min="16" max="16" width="12.16015625" style="8" bestFit="1" customWidth="1"/>
    <col min="17" max="18" width="15.43359375" style="8" bestFit="1" customWidth="1"/>
    <col min="19" max="19" width="8.88671875" style="8"/>
    <col min="20" max="20" width="17.07421875" style="8" bestFit="1" customWidth="1"/>
    <col min="21" max="31" width="8.88671875" style="8"/>
    <col min="32" max="16384" width="8.88671875" style="2"/>
  </cols>
  <sheetData>
    <row r="1" spans="1:31" ht="24" thickTop="1" thickBot="1">
      <c r="A1" s="336" t="s">
        <v>190</v>
      </c>
      <c r="B1" s="337"/>
      <c r="C1" s="337"/>
      <c r="D1" s="337"/>
      <c r="E1" s="337"/>
      <c r="F1" s="337"/>
      <c r="G1" s="337"/>
      <c r="H1" s="337"/>
      <c r="I1" s="337"/>
      <c r="J1" s="337"/>
      <c r="K1" s="338"/>
      <c r="M1" s="7"/>
    </row>
    <row r="2" spans="1:31" ht="14.45" customHeight="1" thickTop="1" thickBot="1">
      <c r="A2" s="158"/>
      <c r="B2" s="158"/>
      <c r="C2" s="115"/>
      <c r="E2" s="115"/>
      <c r="F2" s="115"/>
      <c r="G2" s="115"/>
    </row>
    <row r="3" spans="1:31" ht="15" thickTop="1" thickBot="1">
      <c r="A3" s="264" t="s">
        <v>191</v>
      </c>
      <c r="B3" s="263" t="s">
        <v>413</v>
      </c>
      <c r="C3" s="264" t="s">
        <v>192</v>
      </c>
      <c r="D3" s="339" t="s">
        <v>193</v>
      </c>
      <c r="E3" s="340"/>
      <c r="F3" s="341" t="s">
        <v>194</v>
      </c>
      <c r="G3" s="339"/>
      <c r="H3" s="339"/>
      <c r="I3" s="187" t="s">
        <v>310</v>
      </c>
      <c r="J3" s="264" t="s">
        <v>197</v>
      </c>
      <c r="K3" s="188" t="s">
        <v>414</v>
      </c>
    </row>
    <row r="4" spans="1:31" ht="19.149999999999999" customHeight="1" thickTop="1" thickBot="1">
      <c r="G4" s="347" t="s">
        <v>435</v>
      </c>
      <c r="H4" s="348"/>
      <c r="I4" s="281" t="s">
        <v>437</v>
      </c>
      <c r="J4" s="197" t="s">
        <v>332</v>
      </c>
      <c r="K4" s="263">
        <v>1346</v>
      </c>
      <c r="L4" s="342" t="s">
        <v>207</v>
      </c>
      <c r="M4" s="343"/>
      <c r="N4" s="343"/>
      <c r="O4" s="343"/>
      <c r="P4" s="343"/>
    </row>
    <row r="5" spans="1:31" s="3" customFormat="1" ht="25.15" customHeight="1" thickTop="1">
      <c r="A5" s="9" t="s">
        <v>1</v>
      </c>
      <c r="B5" s="9" t="s">
        <v>164</v>
      </c>
      <c r="C5" s="88" t="s">
        <v>165</v>
      </c>
      <c r="D5" s="89" t="s">
        <v>166</v>
      </c>
      <c r="E5" s="9" t="s">
        <v>167</v>
      </c>
      <c r="F5" s="9" t="s">
        <v>168</v>
      </c>
      <c r="G5" s="9" t="s">
        <v>169</v>
      </c>
      <c r="H5" s="9" t="s">
        <v>170</v>
      </c>
      <c r="I5" s="123" t="s">
        <v>171</v>
      </c>
      <c r="J5" s="195" t="s">
        <v>172</v>
      </c>
      <c r="K5" s="196" t="s">
        <v>173</v>
      </c>
      <c r="L5" s="90" t="s">
        <v>198</v>
      </c>
      <c r="M5" s="121" t="s">
        <v>199</v>
      </c>
      <c r="N5" s="90" t="s">
        <v>38</v>
      </c>
      <c r="O5" s="90" t="s">
        <v>200</v>
      </c>
      <c r="P5" s="90" t="s">
        <v>201</v>
      </c>
      <c r="Q5" s="90" t="s">
        <v>265</v>
      </c>
      <c r="R5" s="90" t="s">
        <v>266</v>
      </c>
      <c r="S5" s="10"/>
      <c r="T5" s="191" t="s">
        <v>331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s="3" customFormat="1" ht="18" customHeight="1">
      <c r="A6" s="207">
        <v>1</v>
      </c>
      <c r="B6" s="244" t="s">
        <v>181</v>
      </c>
      <c r="C6" s="245">
        <f>COVER!B13</f>
        <v>0</v>
      </c>
      <c r="D6" s="246">
        <v>1</v>
      </c>
      <c r="E6" s="247"/>
      <c r="F6" s="248" t="s">
        <v>202</v>
      </c>
      <c r="G6" s="249"/>
      <c r="H6" s="250">
        <f>COVER!C13</f>
        <v>0</v>
      </c>
      <c r="I6" s="251" t="e">
        <f>D6*F6*H6</f>
        <v>#VALUE!</v>
      </c>
      <c r="J6" s="252"/>
      <c r="K6" s="253" t="e">
        <f t="shared" ref="K6:K12" si="0">I6+J6</f>
        <v>#VALUE!</v>
      </c>
      <c r="L6" s="344" t="s">
        <v>202</v>
      </c>
      <c r="M6" s="345"/>
      <c r="N6" s="345"/>
      <c r="O6" s="345"/>
      <c r="P6" s="346"/>
      <c r="Q6" s="19"/>
      <c r="R6" s="19"/>
      <c r="S6" s="10"/>
      <c r="T6" s="10">
        <v>438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s="3" customFormat="1" ht="18" customHeight="1">
      <c r="A7" s="207">
        <v>1</v>
      </c>
      <c r="B7" s="244" t="s">
        <v>182</v>
      </c>
      <c r="C7" s="245" t="str">
        <f>COVER!B14</f>
        <v>A536 Gr65-45-12</v>
      </c>
      <c r="D7" s="246">
        <v>1</v>
      </c>
      <c r="E7" s="247"/>
      <c r="F7" s="248">
        <v>1040</v>
      </c>
      <c r="G7" s="249"/>
      <c r="H7" s="250">
        <f>COVER!C14</f>
        <v>3500</v>
      </c>
      <c r="I7" s="251">
        <f>D7*F7*H7</f>
        <v>3640000</v>
      </c>
      <c r="J7" s="252"/>
      <c r="K7" s="253">
        <f t="shared" si="0"/>
        <v>3640000</v>
      </c>
      <c r="L7" s="163"/>
      <c r="M7" s="163"/>
      <c r="N7" s="265"/>
      <c r="O7" s="90"/>
      <c r="P7" s="90"/>
      <c r="Q7" s="19"/>
      <c r="R7" s="19"/>
      <c r="S7" s="10"/>
      <c r="T7" s="10">
        <v>944.7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s="3" customFormat="1" ht="18" customHeight="1">
      <c r="A8" s="207">
        <v>1</v>
      </c>
      <c r="B8" s="224" t="s">
        <v>183</v>
      </c>
      <c r="C8" s="225">
        <f>COVER!B15</f>
        <v>0</v>
      </c>
      <c r="D8" s="226">
        <v>1</v>
      </c>
      <c r="E8" s="215"/>
      <c r="F8" s="227">
        <f>675*1.05</f>
        <v>708.75</v>
      </c>
      <c r="G8" s="227"/>
      <c r="H8" s="228">
        <f>COVER!C15</f>
        <v>0</v>
      </c>
      <c r="I8" s="229">
        <f>D8*F8*H8</f>
        <v>0</v>
      </c>
      <c r="J8" s="230"/>
      <c r="K8" s="231">
        <f t="shared" si="0"/>
        <v>0</v>
      </c>
      <c r="L8" s="265">
        <v>489555</v>
      </c>
      <c r="M8" s="265">
        <v>578680</v>
      </c>
      <c r="N8" s="265"/>
      <c r="O8" s="90"/>
      <c r="P8" s="90"/>
      <c r="Q8" s="19"/>
      <c r="R8" s="19"/>
      <c r="S8" s="10"/>
      <c r="T8" s="10">
        <v>700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s="3" customFormat="1" ht="18" customHeight="1">
      <c r="A9" s="207">
        <v>2</v>
      </c>
      <c r="B9" s="232" t="s">
        <v>2</v>
      </c>
      <c r="C9" s="225" t="str">
        <f>COVER!B16</f>
        <v>A351 CF8M</v>
      </c>
      <c r="D9" s="226">
        <v>1</v>
      </c>
      <c r="E9" s="215"/>
      <c r="F9" s="227">
        <f>IF(COVER!B34="10 BAR",Q9,IF(COVER!B34="16 BAR",R9,IF(COVER!B34="20 BAR",R9)))</f>
        <v>315</v>
      </c>
      <c r="G9" s="227"/>
      <c r="H9" s="228">
        <f>COVER!C16</f>
        <v>12000</v>
      </c>
      <c r="I9" s="233">
        <f>D9*F9*H9</f>
        <v>3780000</v>
      </c>
      <c r="J9" s="230"/>
      <c r="K9" s="234">
        <f t="shared" si="0"/>
        <v>3780000</v>
      </c>
      <c r="L9" s="163">
        <v>250000</v>
      </c>
      <c r="M9" s="163">
        <v>250000</v>
      </c>
      <c r="N9" s="163">
        <v>250000</v>
      </c>
      <c r="O9" s="265">
        <f>N9*1.3</f>
        <v>325000</v>
      </c>
      <c r="P9" s="265">
        <f>O9*1.3</f>
        <v>422500</v>
      </c>
      <c r="Q9" s="202">
        <v>315</v>
      </c>
      <c r="R9" s="202">
        <v>315</v>
      </c>
      <c r="S9" s="10"/>
      <c r="T9" s="10">
        <v>360</v>
      </c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 s="3" customFormat="1" ht="18" customHeight="1">
      <c r="A10" s="207">
        <v>3</v>
      </c>
      <c r="B10" s="235" t="s">
        <v>3</v>
      </c>
      <c r="C10" s="236" t="str">
        <f>COVER!B18</f>
        <v>EPDM</v>
      </c>
      <c r="D10" s="214">
        <v>1</v>
      </c>
      <c r="E10" s="215"/>
      <c r="F10" s="227">
        <v>1</v>
      </c>
      <c r="G10" s="227"/>
      <c r="H10" s="228">
        <f>IF(C10="NBR",L10,IF(C10="EPDM",L10,IF(C10="VITON",M10)))</f>
        <v>261250</v>
      </c>
      <c r="I10" s="233">
        <f>H10*F10*D10</f>
        <v>261250</v>
      </c>
      <c r="J10" s="230"/>
      <c r="K10" s="234">
        <f t="shared" si="0"/>
        <v>261250</v>
      </c>
      <c r="L10" s="163">
        <v>261250</v>
      </c>
      <c r="M10" s="163" t="s">
        <v>202</v>
      </c>
      <c r="N10" s="163">
        <v>1440000</v>
      </c>
      <c r="O10" s="163">
        <v>660100</v>
      </c>
      <c r="P10" s="163"/>
      <c r="Q10" s="202"/>
      <c r="R10" s="202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s="3" customFormat="1" ht="18" customHeight="1">
      <c r="A11" s="207">
        <v>4</v>
      </c>
      <c r="B11" s="235" t="s">
        <v>333</v>
      </c>
      <c r="C11" s="214" t="str">
        <f>COVER!B17</f>
        <v>A564T630</v>
      </c>
      <c r="D11" s="214">
        <v>1</v>
      </c>
      <c r="E11" s="215"/>
      <c r="F11" s="243">
        <v>58</v>
      </c>
      <c r="G11" s="238"/>
      <c r="H11" s="228">
        <f>COVER!C17</f>
        <v>10000</v>
      </c>
      <c r="I11" s="233">
        <f>D11*F11*H11</f>
        <v>580000</v>
      </c>
      <c r="J11" s="233"/>
      <c r="K11" s="234">
        <f t="shared" si="0"/>
        <v>580000</v>
      </c>
      <c r="L11" s="163" t="s">
        <v>418</v>
      </c>
      <c r="M11" s="163">
        <v>35000</v>
      </c>
      <c r="N11" s="163">
        <v>90000</v>
      </c>
      <c r="O11" s="163">
        <f>ROUNDUP(P11/1.3,-2)</f>
        <v>115400</v>
      </c>
      <c r="P11" s="163">
        <v>150000</v>
      </c>
      <c r="Q11" s="204">
        <f>32.12+22.48</f>
        <v>54.599999999999994</v>
      </c>
      <c r="R11" s="204"/>
      <c r="S11" s="108"/>
      <c r="T11" s="10">
        <v>60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s="3" customFormat="1" ht="18" customHeight="1">
      <c r="A12" s="207">
        <v>5</v>
      </c>
      <c r="B12" s="235" t="s">
        <v>348</v>
      </c>
      <c r="C12" s="214" t="s">
        <v>211</v>
      </c>
      <c r="D12" s="214">
        <v>1</v>
      </c>
      <c r="E12" s="215"/>
      <c r="F12" s="237">
        <v>1</v>
      </c>
      <c r="G12" s="227"/>
      <c r="H12" s="230">
        <f>L12</f>
        <v>70000</v>
      </c>
      <c r="I12" s="233">
        <f>D12*F12*H12</f>
        <v>70000</v>
      </c>
      <c r="J12" s="233"/>
      <c r="K12" s="234">
        <f t="shared" si="0"/>
        <v>70000</v>
      </c>
      <c r="L12" s="163">
        <v>70000</v>
      </c>
      <c r="M12" s="163"/>
      <c r="N12" s="163"/>
      <c r="O12" s="163"/>
      <c r="P12" s="163"/>
      <c r="Q12" s="202"/>
      <c r="R12" s="202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s="3" customFormat="1" ht="18" customHeight="1">
      <c r="A13" s="207">
        <v>6</v>
      </c>
      <c r="B13" s="235" t="s">
        <v>163</v>
      </c>
      <c r="C13" s="214" t="str">
        <f>COVER!B21</f>
        <v>SSPC</v>
      </c>
      <c r="D13" s="214">
        <v>6</v>
      </c>
      <c r="E13" s="215"/>
      <c r="F13" s="237">
        <v>1</v>
      </c>
      <c r="G13" s="227"/>
      <c r="H13" s="228">
        <f>L13</f>
        <v>2510</v>
      </c>
      <c r="I13" s="233">
        <f>H13*F13*D13</f>
        <v>15060</v>
      </c>
      <c r="J13" s="233"/>
      <c r="K13" s="234">
        <f>J13+I13</f>
        <v>15060</v>
      </c>
      <c r="L13" s="198">
        <v>2510</v>
      </c>
      <c r="M13" s="199"/>
      <c r="N13" s="199"/>
      <c r="O13" s="199"/>
      <c r="P13" s="199"/>
      <c r="Q13" s="19"/>
      <c r="R13" s="19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s="3" customFormat="1" ht="18" customHeight="1">
      <c r="A14" s="207">
        <v>7</v>
      </c>
      <c r="B14" s="235" t="s">
        <v>350</v>
      </c>
      <c r="C14" s="214" t="s">
        <v>351</v>
      </c>
      <c r="D14" s="214">
        <v>3</v>
      </c>
      <c r="E14" s="215"/>
      <c r="F14" s="237">
        <v>1</v>
      </c>
      <c r="G14" s="227"/>
      <c r="H14" s="228">
        <v>5300</v>
      </c>
      <c r="I14" s="233">
        <f>D14*F14*H14</f>
        <v>15900</v>
      </c>
      <c r="J14" s="233"/>
      <c r="K14" s="234">
        <f>I14+J14</f>
        <v>15900</v>
      </c>
      <c r="L14" s="90"/>
      <c r="M14" s="90"/>
      <c r="N14" s="90"/>
      <c r="O14" s="90"/>
      <c r="P14" s="90"/>
      <c r="Q14" s="18" t="s">
        <v>417</v>
      </c>
      <c r="R14" s="19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s="3" customFormat="1" ht="18" customHeight="1">
      <c r="A15" s="207">
        <v>8</v>
      </c>
      <c r="B15" s="235" t="s">
        <v>386</v>
      </c>
      <c r="C15" s="214" t="str">
        <f>COVER!B22</f>
        <v>BODY MATERIAL</v>
      </c>
      <c r="D15" s="214">
        <v>1</v>
      </c>
      <c r="E15" s="215"/>
      <c r="F15" s="237">
        <v>4.0599999999999996</v>
      </c>
      <c r="G15" s="227"/>
      <c r="H15" s="228">
        <f>IF(C15="SS400",M15,IF(C15="BODY MATERIAL",N15))</f>
        <v>28419.999999999996</v>
      </c>
      <c r="I15" s="233">
        <f>H15</f>
        <v>28419.999999999996</v>
      </c>
      <c r="J15" s="233"/>
      <c r="K15" s="234">
        <f>I15+J15</f>
        <v>28419.999999999996</v>
      </c>
      <c r="L15" s="163" t="s">
        <v>369</v>
      </c>
      <c r="M15" s="198">
        <v>12000</v>
      </c>
      <c r="N15" s="198">
        <f>IF(AND(C15="BODY MATERIAL"),IF((H6&gt;0),H6*F15*2,IF((H7&gt;0),H7*F15*2,IF((H8&gt;0),H8*F15*2))))</f>
        <v>28419.999999999996</v>
      </c>
      <c r="O15" s="198"/>
      <c r="P15" s="198"/>
      <c r="Q15" s="18" t="s">
        <v>417</v>
      </c>
      <c r="R15" s="164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s="3" customFormat="1" ht="18" customHeight="1">
      <c r="A16" s="207">
        <v>9</v>
      </c>
      <c r="B16" s="235" t="s">
        <v>217</v>
      </c>
      <c r="C16" s="214" t="str">
        <f>COVER!B23</f>
        <v>B8M</v>
      </c>
      <c r="D16" s="214">
        <v>6</v>
      </c>
      <c r="E16" s="215"/>
      <c r="F16" s="237"/>
      <c r="G16" s="227"/>
      <c r="H16" s="228">
        <f>IF(C16="B8",M16,IF(C16="B8M",N16,IF(C16="B7(다크로)",O16)))</f>
        <v>1200</v>
      </c>
      <c r="I16" s="233">
        <f>H16*D16</f>
        <v>7200</v>
      </c>
      <c r="J16" s="233"/>
      <c r="K16" s="234">
        <f>J16+I16</f>
        <v>7200</v>
      </c>
      <c r="L16" s="163" t="s">
        <v>398</v>
      </c>
      <c r="M16" s="198">
        <v>600</v>
      </c>
      <c r="N16" s="198">
        <v>1200</v>
      </c>
      <c r="O16" s="198">
        <v>1000</v>
      </c>
      <c r="P16" s="198"/>
      <c r="Q16" s="18" t="s">
        <v>385</v>
      </c>
      <c r="R16" s="19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s="3" customFormat="1" ht="18" customHeight="1">
      <c r="A17" s="207">
        <v>10</v>
      </c>
      <c r="B17" s="235" t="s">
        <v>221</v>
      </c>
      <c r="C17" s="214" t="str">
        <f>COVER!B24</f>
        <v>ALBC2</v>
      </c>
      <c r="D17" s="214">
        <v>1</v>
      </c>
      <c r="E17" s="215"/>
      <c r="F17" s="237">
        <v>1</v>
      </c>
      <c r="G17" s="227"/>
      <c r="H17" s="228">
        <f>L17</f>
        <v>19000</v>
      </c>
      <c r="I17" s="233">
        <f>H17*F17</f>
        <v>19000</v>
      </c>
      <c r="J17" s="233"/>
      <c r="K17" s="234">
        <f>J17+I17</f>
        <v>19000</v>
      </c>
      <c r="L17" s="198">
        <v>19000</v>
      </c>
      <c r="M17" s="198"/>
      <c r="N17" s="198"/>
      <c r="O17" s="198"/>
      <c r="P17" s="198"/>
      <c r="Q17" s="19"/>
      <c r="R17" s="19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s="3" customFormat="1" ht="18" customHeight="1">
      <c r="A18" s="207">
        <v>11</v>
      </c>
      <c r="B18" s="235" t="s">
        <v>187</v>
      </c>
      <c r="C18" s="214" t="s">
        <v>353</v>
      </c>
      <c r="D18" s="214">
        <v>1</v>
      </c>
      <c r="E18" s="215"/>
      <c r="F18" s="237">
        <v>2.0299999999999998</v>
      </c>
      <c r="G18" s="227"/>
      <c r="H18" s="228">
        <f>M18</f>
        <v>8000</v>
      </c>
      <c r="I18" s="233">
        <f>H18*D18</f>
        <v>8000</v>
      </c>
      <c r="J18" s="233"/>
      <c r="K18" s="234">
        <f>J18+I18</f>
        <v>8000</v>
      </c>
      <c r="L18" s="163" t="s">
        <v>367</v>
      </c>
      <c r="M18" s="163">
        <v>8000</v>
      </c>
      <c r="N18" s="163"/>
      <c r="O18" s="163"/>
      <c r="P18" s="163"/>
      <c r="Q18" s="268"/>
      <c r="R18" s="165"/>
      <c r="S18" s="145"/>
      <c r="T18" s="145"/>
      <c r="U18" s="145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s="3" customFormat="1" ht="18" customHeight="1">
      <c r="A19" s="207">
        <v>12</v>
      </c>
      <c r="B19" s="235" t="s">
        <v>189</v>
      </c>
      <c r="C19" s="214" t="str">
        <f>COVER!B26</f>
        <v>B8M</v>
      </c>
      <c r="D19" s="214">
        <v>4</v>
      </c>
      <c r="E19" s="215"/>
      <c r="F19" s="237"/>
      <c r="G19" s="227"/>
      <c r="H19" s="230">
        <f>IF(C19="B8",M19,IF(C19="B8M",N19))</f>
        <v>500</v>
      </c>
      <c r="I19" s="233">
        <f>H19*D19</f>
        <v>2000</v>
      </c>
      <c r="J19" s="233"/>
      <c r="K19" s="234">
        <f>I19+J19</f>
        <v>2000</v>
      </c>
      <c r="L19" s="163" t="s">
        <v>382</v>
      </c>
      <c r="M19" s="163">
        <v>200</v>
      </c>
      <c r="N19" s="163">
        <v>500</v>
      </c>
      <c r="O19" s="163"/>
      <c r="P19" s="163"/>
      <c r="Q19" s="18" t="s">
        <v>381</v>
      </c>
      <c r="R19" s="19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s="3" customFormat="1" ht="18" customHeight="1">
      <c r="A20" s="207">
        <v>13</v>
      </c>
      <c r="B20" s="235" t="s">
        <v>188</v>
      </c>
      <c r="C20" s="214" t="str">
        <f>COVER!B27</f>
        <v>B8M</v>
      </c>
      <c r="D20" s="214">
        <v>8</v>
      </c>
      <c r="E20" s="215"/>
      <c r="F20" s="237"/>
      <c r="G20" s="227"/>
      <c r="H20" s="228">
        <f>IF(C20="B8",M20,IF(C20="B8M",N20,IF(C20="B7(다크로)",O20)))</f>
        <v>3000</v>
      </c>
      <c r="I20" s="233">
        <f>H20*D20</f>
        <v>24000</v>
      </c>
      <c r="J20" s="233"/>
      <c r="K20" s="234">
        <f t="shared" ref="K20:K22" si="1">I20+J20</f>
        <v>24000</v>
      </c>
      <c r="L20" s="163" t="s">
        <v>395</v>
      </c>
      <c r="M20" s="163">
        <v>2500</v>
      </c>
      <c r="N20" s="163">
        <v>3000</v>
      </c>
      <c r="O20" s="163">
        <v>2500</v>
      </c>
      <c r="P20" s="90"/>
      <c r="Q20" s="18" t="s">
        <v>385</v>
      </c>
      <c r="R20" s="19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s="3" customFormat="1" ht="18" customHeight="1">
      <c r="A21" s="207">
        <v>14</v>
      </c>
      <c r="B21" s="235" t="s">
        <v>349</v>
      </c>
      <c r="C21" s="214"/>
      <c r="D21" s="214">
        <v>4</v>
      </c>
      <c r="E21" s="215"/>
      <c r="F21" s="237"/>
      <c r="G21" s="227"/>
      <c r="H21" s="228">
        <v>1100</v>
      </c>
      <c r="I21" s="233">
        <f>H21*D21</f>
        <v>4400</v>
      </c>
      <c r="J21" s="241"/>
      <c r="K21" s="234">
        <f>I21+J21</f>
        <v>4400</v>
      </c>
      <c r="L21" s="163" t="s">
        <v>400</v>
      </c>
      <c r="M21" s="90"/>
      <c r="N21" s="90"/>
      <c r="O21" s="90"/>
      <c r="P21" s="90"/>
      <c r="Q21" s="18" t="s">
        <v>417</v>
      </c>
      <c r="R21" s="19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s="3" customFormat="1" ht="18" customHeight="1">
      <c r="A22" s="207">
        <v>15</v>
      </c>
      <c r="B22" s="235" t="s">
        <v>6</v>
      </c>
      <c r="C22" s="214" t="str">
        <f>COVER!B34</f>
        <v>10 BAR</v>
      </c>
      <c r="D22" s="214">
        <v>1</v>
      </c>
      <c r="E22" s="215"/>
      <c r="F22" s="237"/>
      <c r="G22" s="242"/>
      <c r="H22" s="228"/>
      <c r="I22" s="233">
        <f>IF(C22="10 BAR",M22,IF(C22="16 BAR",N22,IF(C22="20 BAR",O22)))</f>
        <v>748000</v>
      </c>
      <c r="J22" s="241"/>
      <c r="K22" s="234">
        <f t="shared" si="1"/>
        <v>748000</v>
      </c>
      <c r="L22" s="90"/>
      <c r="M22" s="90">
        <v>748000</v>
      </c>
      <c r="N22" s="90">
        <v>1301000</v>
      </c>
      <c r="O22" s="90">
        <v>1823000</v>
      </c>
      <c r="P22" s="90"/>
      <c r="Q22" s="19"/>
      <c r="R22" s="19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s="3" customFormat="1" ht="18" customHeight="1">
      <c r="A23" s="207">
        <v>16</v>
      </c>
      <c r="B23" s="235" t="s">
        <v>7</v>
      </c>
      <c r="C23" s="214" t="str">
        <f>COVER!B32</f>
        <v>기존 단가</v>
      </c>
      <c r="D23" s="214">
        <v>1</v>
      </c>
      <c r="E23" s="215"/>
      <c r="F23" s="237"/>
      <c r="G23" s="242"/>
      <c r="H23" s="228">
        <f>IF(COVER!B9="APPLICATION",0,IF(COVER!B32="기존 단가",L23,IF(COVER!B32="외주 2COATING",M23,IF(COVER!B32="외주 3COATING",N23))))</f>
        <v>352000</v>
      </c>
      <c r="I23" s="233">
        <f>H23</f>
        <v>352000</v>
      </c>
      <c r="J23" s="233"/>
      <c r="K23" s="234"/>
      <c r="L23" s="90">
        <v>352000</v>
      </c>
      <c r="M23" s="90">
        <f>IF(H6&gt;0,F6*520,IF(H7&gt;0,F7*520,IF(H8&gt;0,F8*520)))</f>
        <v>540800</v>
      </c>
      <c r="N23" s="90">
        <f>IF(H6&gt;0,F6*620,IF(H7&gt;0,F7*620,IF(H8&gt;0,F8*620)))</f>
        <v>644800</v>
      </c>
      <c r="O23" s="90"/>
      <c r="P23" s="182"/>
      <c r="Q23" s="19"/>
      <c r="R23" s="19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s="3" customFormat="1" ht="18" customHeight="1">
      <c r="A24" s="207">
        <v>17</v>
      </c>
      <c r="B24" s="235" t="s">
        <v>174</v>
      </c>
      <c r="C24" s="214"/>
      <c r="D24" s="214">
        <v>1</v>
      </c>
      <c r="E24" s="215"/>
      <c r="F24" s="237"/>
      <c r="G24" s="242"/>
      <c r="H24" s="228">
        <f>IF(COVER!B9="APPLICATION",0,IF(COVER!B9="N/A",L24))</f>
        <v>452000</v>
      </c>
      <c r="I24" s="233">
        <f>H24</f>
        <v>452000</v>
      </c>
      <c r="J24" s="234"/>
      <c r="K24" s="234"/>
      <c r="L24" s="90">
        <v>452000</v>
      </c>
      <c r="M24" s="90"/>
      <c r="N24" s="90"/>
      <c r="O24" s="90"/>
      <c r="P24" s="90"/>
      <c r="Q24" s="19"/>
      <c r="R24" s="19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s="3" customFormat="1" ht="18" customHeight="1">
      <c r="A25" s="207">
        <v>18</v>
      </c>
      <c r="B25" s="97" t="s">
        <v>175</v>
      </c>
      <c r="C25" s="14"/>
      <c r="D25" s="14"/>
      <c r="E25" s="15"/>
      <c r="F25" s="15"/>
      <c r="G25" s="15"/>
      <c r="H25" s="15"/>
      <c r="I25" s="98"/>
      <c r="J25" s="98"/>
      <c r="K25" s="16">
        <f>SUM(K8:K21)+SUM(K23:K24)</f>
        <v>4815230</v>
      </c>
      <c r="L25" s="90" t="s">
        <v>248</v>
      </c>
      <c r="M25" s="90"/>
      <c r="N25" s="90"/>
      <c r="O25" s="90"/>
      <c r="P25" s="90"/>
      <c r="Q25" s="19"/>
      <c r="R25" s="19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s="3" customFormat="1" ht="18" customHeight="1">
      <c r="A26" s="207">
        <v>18</v>
      </c>
      <c r="B26" s="97" t="s">
        <v>176</v>
      </c>
      <c r="C26" s="14"/>
      <c r="D26" s="14"/>
      <c r="E26" s="15"/>
      <c r="F26" s="15"/>
      <c r="G26" s="15"/>
      <c r="H26" s="15"/>
      <c r="I26" s="98"/>
      <c r="J26" s="98"/>
      <c r="K26" s="16">
        <f>SUM(K8:K21)+SUM(K23:K24)</f>
        <v>4815230</v>
      </c>
      <c r="L26" s="90" t="s">
        <v>248</v>
      </c>
      <c r="M26" s="90"/>
      <c r="N26" s="90"/>
      <c r="O26" s="90"/>
      <c r="P26" s="90"/>
      <c r="Q26" s="19"/>
      <c r="R26" s="19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s="3" customFormat="1" ht="18" customHeight="1">
      <c r="A27" s="207">
        <v>18</v>
      </c>
      <c r="B27" s="97" t="s">
        <v>177</v>
      </c>
      <c r="C27" s="14"/>
      <c r="D27" s="14"/>
      <c r="E27" s="15"/>
      <c r="F27" s="15"/>
      <c r="G27" s="15"/>
      <c r="H27" s="15"/>
      <c r="I27" s="98"/>
      <c r="J27" s="98"/>
      <c r="K27" s="16">
        <f>SUM(K8:K24)</f>
        <v>5563230</v>
      </c>
      <c r="L27" s="90" t="s">
        <v>248</v>
      </c>
      <c r="M27" s="90"/>
      <c r="N27" s="90"/>
      <c r="O27" s="90"/>
      <c r="P27" s="90"/>
      <c r="Q27" s="19"/>
      <c r="R27" s="19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s="3" customFormat="1" ht="18" customHeight="1">
      <c r="A28" s="207">
        <v>19</v>
      </c>
      <c r="B28" s="235" t="s">
        <v>237</v>
      </c>
      <c r="C28" s="214" t="str">
        <f>COVER!B28</f>
        <v>REQUIRED</v>
      </c>
      <c r="D28" s="214">
        <v>0</v>
      </c>
      <c r="E28" s="215"/>
      <c r="F28" s="239"/>
      <c r="G28" s="215"/>
      <c r="H28" s="233">
        <f>IF(C28="REQUIRED",L28,IF(C28="N/A",0))</f>
        <v>0</v>
      </c>
      <c r="I28" s="233">
        <f>H28</f>
        <v>0</v>
      </c>
      <c r="J28" s="215"/>
      <c r="K28" s="234"/>
      <c r="L28" s="90"/>
      <c r="M28" s="90"/>
      <c r="N28" s="90"/>
      <c r="O28" s="90"/>
      <c r="P28" s="90"/>
      <c r="Q28" s="19"/>
      <c r="R28" s="19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s="3" customFormat="1" ht="18" customHeight="1">
      <c r="A29" s="207">
        <v>20</v>
      </c>
      <c r="B29" s="235" t="s">
        <v>180</v>
      </c>
      <c r="C29" s="214"/>
      <c r="D29" s="214">
        <v>0</v>
      </c>
      <c r="E29" s="215"/>
      <c r="F29" s="239"/>
      <c r="G29" s="215"/>
      <c r="H29" s="215"/>
      <c r="I29" s="215"/>
      <c r="J29" s="215"/>
      <c r="K29" s="234"/>
      <c r="L29" s="90"/>
      <c r="M29" s="90"/>
      <c r="N29" s="90"/>
      <c r="O29" s="90"/>
      <c r="P29" s="90"/>
      <c r="Q29" s="19"/>
      <c r="R29" s="19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s="3" customFormat="1" ht="18" customHeight="1">
      <c r="A30" s="207">
        <v>21</v>
      </c>
      <c r="B30" s="235" t="s">
        <v>178</v>
      </c>
      <c r="C30" s="214" t="str">
        <f>COVER!B35</f>
        <v>MOTOR</v>
      </c>
      <c r="D30" s="214">
        <v>1</v>
      </c>
      <c r="E30" s="215"/>
      <c r="F30" s="239"/>
      <c r="G30" s="215"/>
      <c r="H30" s="233">
        <f>IF(COVER!B9="APPLICATION",0,IF(COVER!B35="BARE",M30,(IF(COVER!B35="LEVER",M30,IF(COVER!B35="GEAR",N30,IF(COVER!B35="MOTOR",O30))))))</f>
        <v>400000</v>
      </c>
      <c r="I30" s="234">
        <f>H30</f>
        <v>400000</v>
      </c>
      <c r="J30" s="215"/>
      <c r="K30" s="234"/>
      <c r="L30" s="90">
        <v>500000</v>
      </c>
      <c r="M30" s="90">
        <v>300000</v>
      </c>
      <c r="N30" s="90">
        <v>300000</v>
      </c>
      <c r="O30" s="90">
        <v>400000</v>
      </c>
      <c r="P30" s="90"/>
      <c r="Q30" s="19"/>
      <c r="R30" s="19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s="3" customFormat="1" ht="18" customHeight="1">
      <c r="A31" s="207">
        <v>22</v>
      </c>
      <c r="B31" s="235"/>
      <c r="C31" s="214"/>
      <c r="D31" s="214"/>
      <c r="E31" s="215"/>
      <c r="F31" s="239"/>
      <c r="G31" s="215"/>
      <c r="H31" s="215"/>
      <c r="I31" s="215"/>
      <c r="J31" s="215"/>
      <c r="K31" s="234"/>
      <c r="L31" s="265"/>
      <c r="M31" s="90"/>
      <c r="N31" s="163"/>
      <c r="O31" s="90"/>
      <c r="P31" s="90"/>
      <c r="Q31" s="19"/>
      <c r="R31" s="19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s="3" customFormat="1" ht="18" customHeight="1">
      <c r="A32" s="207">
        <v>23</v>
      </c>
      <c r="B32" s="89" t="s">
        <v>179</v>
      </c>
      <c r="C32" s="14"/>
      <c r="D32" s="99"/>
      <c r="E32" s="15"/>
      <c r="F32" s="15"/>
      <c r="G32" s="15"/>
      <c r="H32" s="15"/>
      <c r="I32" s="100"/>
      <c r="J32" s="101"/>
      <c r="K32" s="100">
        <f>SUM(K28:K31)</f>
        <v>0</v>
      </c>
      <c r="L32" s="265" t="s">
        <v>249</v>
      </c>
      <c r="M32" s="90"/>
      <c r="N32" s="90"/>
      <c r="O32" s="90"/>
      <c r="P32" s="90"/>
      <c r="Q32" s="19"/>
      <c r="R32" s="19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s="3" customFormat="1" ht="18" customHeight="1">
      <c r="A33" s="207">
        <v>24</v>
      </c>
      <c r="B33" s="216" t="s">
        <v>252</v>
      </c>
      <c r="C33" s="217"/>
      <c r="D33" s="218"/>
      <c r="E33" s="219"/>
      <c r="F33" s="219"/>
      <c r="G33" s="219"/>
      <c r="H33" s="219"/>
      <c r="I33" s="220"/>
      <c r="J33" s="221"/>
      <c r="K33" s="220">
        <f>K25+K32</f>
        <v>4815230</v>
      </c>
      <c r="L33" s="265" t="s">
        <v>257</v>
      </c>
      <c r="M33" s="90"/>
      <c r="N33" s="90"/>
      <c r="O33" s="90"/>
      <c r="P33" s="90"/>
      <c r="Q33" s="19"/>
      <c r="R33" s="19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s="3" customFormat="1" ht="18" customHeight="1">
      <c r="A34" s="207">
        <v>24</v>
      </c>
      <c r="B34" s="216" t="s">
        <v>255</v>
      </c>
      <c r="C34" s="217"/>
      <c r="D34" s="218"/>
      <c r="E34" s="219"/>
      <c r="F34" s="219"/>
      <c r="G34" s="219"/>
      <c r="H34" s="219"/>
      <c r="I34" s="220"/>
      <c r="J34" s="221"/>
      <c r="K34" s="220">
        <f>K26+K32</f>
        <v>4815230</v>
      </c>
      <c r="L34" s="265" t="s">
        <v>257</v>
      </c>
      <c r="M34" s="90"/>
      <c r="N34" s="90"/>
      <c r="O34" s="90"/>
      <c r="P34" s="90"/>
      <c r="Q34" s="19"/>
      <c r="R34" s="19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s="3" customFormat="1" ht="18" customHeight="1">
      <c r="A35" s="207">
        <v>24</v>
      </c>
      <c r="B35" s="216" t="s">
        <v>256</v>
      </c>
      <c r="C35" s="217"/>
      <c r="D35" s="218"/>
      <c r="E35" s="219"/>
      <c r="F35" s="219"/>
      <c r="G35" s="219"/>
      <c r="H35" s="219"/>
      <c r="I35" s="220"/>
      <c r="J35" s="221"/>
      <c r="K35" s="220">
        <f>K27+K32</f>
        <v>5563230</v>
      </c>
      <c r="L35" s="265" t="s">
        <v>257</v>
      </c>
      <c r="M35" s="90"/>
      <c r="N35" s="90"/>
      <c r="O35" s="90"/>
      <c r="P35" s="90"/>
      <c r="Q35" s="19"/>
      <c r="R35" s="19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s="4" customFormat="1" ht="18" customHeight="1">
      <c r="A36" s="207">
        <v>25</v>
      </c>
      <c r="B36" s="102" t="s">
        <v>407</v>
      </c>
      <c r="C36" s="103"/>
      <c r="D36" s="103"/>
      <c r="E36" s="104"/>
      <c r="F36" s="105"/>
      <c r="G36" s="105"/>
      <c r="H36" s="106"/>
      <c r="I36" s="223" t="s">
        <v>41</v>
      </c>
      <c r="J36" s="223">
        <v>0.7</v>
      </c>
      <c r="K36" s="107">
        <f>(K25+K32)/J36</f>
        <v>6878900</v>
      </c>
      <c r="L36" s="265" t="s">
        <v>250</v>
      </c>
      <c r="M36" s="90"/>
      <c r="N36" s="90"/>
      <c r="O36" s="90"/>
      <c r="P36" s="90"/>
      <c r="Q36" s="19"/>
      <c r="R36" s="19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s="4" customFormat="1" ht="18" customHeight="1">
      <c r="A37" s="207">
        <v>25</v>
      </c>
      <c r="B37" s="102" t="s">
        <v>408</v>
      </c>
      <c r="C37" s="103"/>
      <c r="D37" s="103"/>
      <c r="E37" s="104"/>
      <c r="F37" s="105"/>
      <c r="G37" s="105"/>
      <c r="H37" s="106"/>
      <c r="I37" s="223" t="s">
        <v>41</v>
      </c>
      <c r="J37" s="223">
        <v>0.7</v>
      </c>
      <c r="K37" s="107">
        <f>(K26+K32)/J37</f>
        <v>6878900</v>
      </c>
      <c r="L37" s="265" t="s">
        <v>250</v>
      </c>
      <c r="M37" s="90"/>
      <c r="N37" s="90"/>
      <c r="O37" s="90"/>
      <c r="P37" s="90"/>
      <c r="Q37" s="19"/>
      <c r="R37" s="19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s="4" customFormat="1" ht="18" customHeight="1">
      <c r="A38" s="207">
        <v>25</v>
      </c>
      <c r="B38" s="102" t="s">
        <v>409</v>
      </c>
      <c r="C38" s="103"/>
      <c r="D38" s="103"/>
      <c r="E38" s="104"/>
      <c r="F38" s="105"/>
      <c r="G38" s="105"/>
      <c r="H38" s="106"/>
      <c r="I38" s="223" t="s">
        <v>41</v>
      </c>
      <c r="J38" s="223">
        <v>0.7</v>
      </c>
      <c r="K38" s="107">
        <f>(K27+K32)/J38</f>
        <v>7947471.4285714291</v>
      </c>
      <c r="L38" s="265" t="s">
        <v>250</v>
      </c>
      <c r="M38" s="90"/>
      <c r="N38" s="90"/>
      <c r="O38" s="90"/>
      <c r="P38" s="90"/>
      <c r="Q38" s="19"/>
      <c r="R38" s="19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s="4" customFormat="1" ht="18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57"/>
      <c r="M39" s="108"/>
      <c r="N39" s="108"/>
      <c r="O39" s="108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s="4" customFormat="1" ht="18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57"/>
      <c r="M40" s="108"/>
      <c r="N40" s="108"/>
      <c r="O40" s="108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s="4" customFormat="1" ht="18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57"/>
      <c r="M41" s="108"/>
      <c r="N41" s="108"/>
      <c r="O41" s="108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s="4" customFormat="1" ht="18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57"/>
      <c r="M42" s="108"/>
      <c r="N42" s="108"/>
      <c r="O42" s="108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s="4" customFormat="1" ht="18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57"/>
      <c r="M43" s="108"/>
      <c r="N43" s="108"/>
      <c r="O43" s="108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s="4" customFormat="1" ht="18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57"/>
      <c r="M44" s="108"/>
      <c r="N44" s="108"/>
      <c r="O44" s="108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s="4" customFormat="1" ht="18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57"/>
      <c r="M45" s="108"/>
      <c r="N45" s="108"/>
      <c r="O45" s="108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s="4" customFormat="1" ht="18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57"/>
      <c r="M46" s="108"/>
      <c r="N46" s="108"/>
      <c r="O46" s="108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s="4" customFormat="1" ht="12.75">
      <c r="A47" s="10"/>
      <c r="B47" s="10"/>
      <c r="C47" s="10"/>
      <c r="D47" s="109"/>
      <c r="E47" s="10"/>
      <c r="F47" s="10"/>
      <c r="G47" s="10"/>
      <c r="H47" s="10"/>
      <c r="I47" s="10"/>
      <c r="J47" s="10"/>
      <c r="K47" s="10"/>
      <c r="L47" s="108"/>
      <c r="M47" s="108"/>
      <c r="N47" s="108"/>
      <c r="O47" s="108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s="4" customFormat="1" ht="12.7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57"/>
      <c r="M48" s="108"/>
      <c r="N48" s="108">
        <v>16000</v>
      </c>
      <c r="O48" s="108">
        <v>25000</v>
      </c>
      <c r="P48" s="10">
        <f>N48/O48</f>
        <v>0.64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s="4" customFormat="1" ht="12.7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57"/>
      <c r="M49" s="108"/>
      <c r="N49" s="108">
        <v>24000</v>
      </c>
      <c r="O49" s="108">
        <v>37500</v>
      </c>
      <c r="P49" s="10">
        <f>N49/O49</f>
        <v>0.64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s="5" customForma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57"/>
      <c r="M50" s="87"/>
      <c r="N50" s="87"/>
      <c r="O50" s="8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s="5" customForma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57"/>
      <c r="M51" s="87"/>
      <c r="N51" s="87">
        <v>22000</v>
      </c>
      <c r="O51" s="87">
        <v>36000</v>
      </c>
      <c r="P51" s="10">
        <f>N51/O51</f>
        <v>0.61111111111111116</v>
      </c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s="5" customForma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57"/>
      <c r="M52" s="87"/>
      <c r="N52" s="87">
        <v>33000</v>
      </c>
      <c r="O52" s="87">
        <v>54000</v>
      </c>
      <c r="P52" s="10">
        <f>N52/O52</f>
        <v>0.61111111111111116</v>
      </c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4" spans="1:31">
      <c r="N54" s="87">
        <v>37000</v>
      </c>
      <c r="O54" s="87">
        <v>55000</v>
      </c>
      <c r="P54" s="8">
        <f>N54/O54</f>
        <v>0.67272727272727273</v>
      </c>
    </row>
    <row r="56" spans="1:31">
      <c r="P56" s="8">
        <f>O54*0.67</f>
        <v>36850</v>
      </c>
    </row>
  </sheetData>
  <mergeCells count="6">
    <mergeCell ref="A1:K1"/>
    <mergeCell ref="D3:E3"/>
    <mergeCell ref="F3:H3"/>
    <mergeCell ref="L4:P4"/>
    <mergeCell ref="L6:P6"/>
    <mergeCell ref="G4:H4"/>
  </mergeCells>
  <phoneticPr fontId="7" type="noConversion"/>
  <pageMargins left="0.75" right="0.75" top="1" bottom="1" header="0.5" footer="0.5"/>
  <pageSetup paperSize="9" scale="62" orientation="portrait" r:id="rId1"/>
  <headerFooter alignWithMargins="0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AE56"/>
  <sheetViews>
    <sheetView view="pageBreakPreview" zoomScale="85" zoomScaleNormal="100" zoomScaleSheetLayoutView="85" workbookViewId="0">
      <selection activeCell="M23" sqref="M23"/>
    </sheetView>
  </sheetViews>
  <sheetFormatPr defaultColWidth="8.88671875" defaultRowHeight="13.5"/>
  <cols>
    <col min="1" max="1" width="5.26171875" style="10" customWidth="1"/>
    <col min="2" max="2" width="20.23046875" style="10" bestFit="1" customWidth="1"/>
    <col min="3" max="3" width="14.3828125" style="10" bestFit="1" customWidth="1"/>
    <col min="4" max="4" width="3.7421875" style="10" customWidth="1"/>
    <col min="5" max="5" width="8.30078125" style="10" customWidth="1"/>
    <col min="6" max="6" width="6.1953125" style="10" customWidth="1"/>
    <col min="7" max="7" width="5.73046875" style="10" customWidth="1"/>
    <col min="8" max="8" width="8.30078125" style="10" bestFit="1" customWidth="1"/>
    <col min="9" max="9" width="10.9921875" style="10" customWidth="1"/>
    <col min="10" max="10" width="12.74609375" style="10" bestFit="1" customWidth="1"/>
    <col min="11" max="11" width="18.125" style="10" bestFit="1" customWidth="1"/>
    <col min="12" max="12" width="25.4921875" style="157" bestFit="1" customWidth="1"/>
    <col min="13" max="13" width="13.796875" style="87" customWidth="1"/>
    <col min="14" max="14" width="12.16015625" style="87" bestFit="1" customWidth="1"/>
    <col min="15" max="15" width="9.703125" style="87" customWidth="1"/>
    <col min="16" max="16" width="12.16015625" style="8" bestFit="1" customWidth="1"/>
    <col min="17" max="18" width="15.43359375" style="8" bestFit="1" customWidth="1"/>
    <col min="19" max="19" width="8.88671875" style="8"/>
    <col min="20" max="20" width="17.07421875" style="8" bestFit="1" customWidth="1"/>
    <col min="21" max="31" width="8.88671875" style="8"/>
    <col min="32" max="16384" width="8.88671875" style="2"/>
  </cols>
  <sheetData>
    <row r="1" spans="1:31" ht="24" thickTop="1" thickBot="1">
      <c r="A1" s="336" t="s">
        <v>190</v>
      </c>
      <c r="B1" s="337"/>
      <c r="C1" s="337"/>
      <c r="D1" s="337"/>
      <c r="E1" s="337"/>
      <c r="F1" s="337"/>
      <c r="G1" s="337"/>
      <c r="H1" s="337"/>
      <c r="I1" s="337"/>
      <c r="J1" s="337"/>
      <c r="K1" s="338"/>
      <c r="M1" s="7"/>
    </row>
    <row r="2" spans="1:31" ht="14.45" customHeight="1" thickTop="1" thickBot="1">
      <c r="A2" s="158"/>
      <c r="B2" s="158"/>
      <c r="C2" s="115"/>
      <c r="E2" s="115"/>
      <c r="F2" s="115"/>
      <c r="G2" s="115"/>
    </row>
    <row r="3" spans="1:31" ht="15" thickTop="1" thickBot="1">
      <c r="A3" s="184" t="s">
        <v>191</v>
      </c>
      <c r="B3" s="183" t="s">
        <v>308</v>
      </c>
      <c r="C3" s="184" t="s">
        <v>192</v>
      </c>
      <c r="D3" s="339" t="s">
        <v>193</v>
      </c>
      <c r="E3" s="340"/>
      <c r="F3" s="341" t="s">
        <v>194</v>
      </c>
      <c r="G3" s="339"/>
      <c r="H3" s="339"/>
      <c r="I3" s="187" t="s">
        <v>310</v>
      </c>
      <c r="J3" s="184" t="s">
        <v>197</v>
      </c>
      <c r="K3" s="188" t="s">
        <v>320</v>
      </c>
    </row>
    <row r="4" spans="1:31" ht="19.149999999999999" customHeight="1" thickTop="1" thickBot="1">
      <c r="G4" s="347" t="s">
        <v>435</v>
      </c>
      <c r="H4" s="348"/>
      <c r="I4" s="281" t="s">
        <v>437</v>
      </c>
      <c r="J4" s="197" t="s">
        <v>332</v>
      </c>
      <c r="K4" s="189">
        <v>1405</v>
      </c>
      <c r="L4" s="342" t="s">
        <v>207</v>
      </c>
      <c r="M4" s="343"/>
      <c r="N4" s="343"/>
      <c r="O4" s="343"/>
      <c r="P4" s="343"/>
    </row>
    <row r="5" spans="1:31" s="3" customFormat="1" ht="25.15" customHeight="1" thickTop="1">
      <c r="A5" s="9" t="s">
        <v>1</v>
      </c>
      <c r="B5" s="9" t="s">
        <v>164</v>
      </c>
      <c r="C5" s="88" t="s">
        <v>165</v>
      </c>
      <c r="D5" s="89" t="s">
        <v>166</v>
      </c>
      <c r="E5" s="9" t="s">
        <v>167</v>
      </c>
      <c r="F5" s="9" t="s">
        <v>168</v>
      </c>
      <c r="G5" s="9" t="s">
        <v>169</v>
      </c>
      <c r="H5" s="9" t="s">
        <v>170</v>
      </c>
      <c r="I5" s="123" t="s">
        <v>171</v>
      </c>
      <c r="J5" s="195" t="s">
        <v>172</v>
      </c>
      <c r="K5" s="196" t="s">
        <v>173</v>
      </c>
      <c r="L5" s="90" t="s">
        <v>198</v>
      </c>
      <c r="M5" s="121" t="s">
        <v>199</v>
      </c>
      <c r="N5" s="90" t="s">
        <v>38</v>
      </c>
      <c r="O5" s="90" t="s">
        <v>200</v>
      </c>
      <c r="P5" s="90" t="s">
        <v>201</v>
      </c>
      <c r="Q5" s="90" t="s">
        <v>265</v>
      </c>
      <c r="R5" s="90" t="s">
        <v>266</v>
      </c>
      <c r="S5" s="10"/>
      <c r="T5" s="191" t="s">
        <v>331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s="3" customFormat="1" ht="18" customHeight="1">
      <c r="A6" s="186">
        <v>1</v>
      </c>
      <c r="B6" s="244" t="s">
        <v>181</v>
      </c>
      <c r="C6" s="245">
        <f>COVER!B13</f>
        <v>0</v>
      </c>
      <c r="D6" s="246">
        <v>1</v>
      </c>
      <c r="E6" s="247"/>
      <c r="F6" s="248">
        <v>1000</v>
      </c>
      <c r="G6" s="249"/>
      <c r="H6" s="250">
        <f>COVER!C13</f>
        <v>0</v>
      </c>
      <c r="I6" s="251">
        <f>D6*F6*H6</f>
        <v>0</v>
      </c>
      <c r="J6" s="252"/>
      <c r="K6" s="253">
        <f t="shared" ref="K6:K12" si="0">I6+J6</f>
        <v>0</v>
      </c>
      <c r="L6" s="344" t="s">
        <v>202</v>
      </c>
      <c r="M6" s="345"/>
      <c r="N6" s="345"/>
      <c r="O6" s="345"/>
      <c r="P6" s="346"/>
      <c r="Q6" s="19"/>
      <c r="R6" s="19"/>
      <c r="S6" s="10"/>
      <c r="T6" s="10">
        <v>570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s="3" customFormat="1" ht="18" customHeight="1">
      <c r="A7" s="186">
        <v>1</v>
      </c>
      <c r="B7" s="244" t="s">
        <v>182</v>
      </c>
      <c r="C7" s="245" t="str">
        <f>COVER!B14</f>
        <v>A536 Gr65-45-12</v>
      </c>
      <c r="D7" s="246">
        <v>1</v>
      </c>
      <c r="E7" s="247"/>
      <c r="F7" s="248" t="s">
        <v>202</v>
      </c>
      <c r="G7" s="249"/>
      <c r="H7" s="250">
        <f>COVER!C14</f>
        <v>3500</v>
      </c>
      <c r="I7" s="251" t="e">
        <f>D7*F7*H7</f>
        <v>#VALUE!</v>
      </c>
      <c r="J7" s="252"/>
      <c r="K7" s="253" t="e">
        <f t="shared" si="0"/>
        <v>#VALUE!</v>
      </c>
      <c r="L7" s="163"/>
      <c r="M7" s="163"/>
      <c r="N7" s="185"/>
      <c r="O7" s="90"/>
      <c r="P7" s="90"/>
      <c r="Q7" s="19"/>
      <c r="R7" s="19"/>
      <c r="S7" s="10"/>
      <c r="T7" s="10">
        <v>856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s="3" customFormat="1" ht="18" customHeight="1">
      <c r="A8" s="186">
        <v>1</v>
      </c>
      <c r="B8" s="224" t="s">
        <v>183</v>
      </c>
      <c r="C8" s="225">
        <f>COVER!B15</f>
        <v>0</v>
      </c>
      <c r="D8" s="226">
        <v>1</v>
      </c>
      <c r="E8" s="215"/>
      <c r="F8" s="227">
        <v>890</v>
      </c>
      <c r="G8" s="227"/>
      <c r="H8" s="228">
        <f>COVER!C15</f>
        <v>0</v>
      </c>
      <c r="I8" s="229">
        <f>D8*F8*H8</f>
        <v>0</v>
      </c>
      <c r="J8" s="230"/>
      <c r="K8" s="231">
        <f t="shared" si="0"/>
        <v>0</v>
      </c>
      <c r="L8" s="185">
        <v>527505</v>
      </c>
      <c r="M8" s="209">
        <v>623415</v>
      </c>
      <c r="N8" s="185"/>
      <c r="O8" s="90"/>
      <c r="P8" s="90"/>
      <c r="Q8" s="19"/>
      <c r="R8" s="19"/>
      <c r="S8" s="10"/>
      <c r="T8" s="10">
        <v>856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s="3" customFormat="1" ht="18" customHeight="1">
      <c r="A9" s="186">
        <v>2</v>
      </c>
      <c r="B9" s="232" t="s">
        <v>2</v>
      </c>
      <c r="C9" s="225" t="str">
        <f>COVER!B16</f>
        <v>A351 CF8M</v>
      </c>
      <c r="D9" s="226">
        <v>1</v>
      </c>
      <c r="E9" s="215"/>
      <c r="F9" s="227">
        <f>IF(COVER!B34="10 BAR",Q9,IF(COVER!B34="16 BAR",R9,IF(COVER!B34="20 BAR",R9)))</f>
        <v>347</v>
      </c>
      <c r="G9" s="227"/>
      <c r="H9" s="228">
        <f>COVER!C16</f>
        <v>12000</v>
      </c>
      <c r="I9" s="233">
        <f>D9*F9*H9</f>
        <v>4164000</v>
      </c>
      <c r="J9" s="230"/>
      <c r="K9" s="234">
        <f t="shared" si="0"/>
        <v>4164000</v>
      </c>
      <c r="L9" s="163">
        <v>270000</v>
      </c>
      <c r="M9" s="209">
        <f>L9</f>
        <v>270000</v>
      </c>
      <c r="N9" s="209">
        <f>M9</f>
        <v>270000</v>
      </c>
      <c r="O9" s="209">
        <f>N9*1.3</f>
        <v>351000</v>
      </c>
      <c r="P9" s="209">
        <f>O9*1.3</f>
        <v>456300</v>
      </c>
      <c r="Q9" s="19">
        <v>347</v>
      </c>
      <c r="R9" s="19">
        <v>347</v>
      </c>
      <c r="S9" s="10"/>
      <c r="T9" s="10">
        <v>450</v>
      </c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 s="3" customFormat="1" ht="18" customHeight="1">
      <c r="A10" s="207">
        <v>3</v>
      </c>
      <c r="B10" s="235" t="s">
        <v>3</v>
      </c>
      <c r="C10" s="236" t="str">
        <f>COVER!B18</f>
        <v>EPDM</v>
      </c>
      <c r="D10" s="214">
        <v>1</v>
      </c>
      <c r="E10" s="215"/>
      <c r="F10" s="227">
        <v>1</v>
      </c>
      <c r="G10" s="227"/>
      <c r="H10" s="228">
        <f>IF(C10="NBR",L10,IF(C10="EPDM",L10,IF(C10="VITON",M10)))</f>
        <v>282150</v>
      </c>
      <c r="I10" s="233">
        <f>H10*F10*D10</f>
        <v>282150</v>
      </c>
      <c r="J10" s="230"/>
      <c r="K10" s="234">
        <f t="shared" si="0"/>
        <v>282150</v>
      </c>
      <c r="L10" s="163">
        <v>282150</v>
      </c>
      <c r="M10" s="163" t="s">
        <v>202</v>
      </c>
      <c r="N10" s="163">
        <v>1620000</v>
      </c>
      <c r="O10" s="163">
        <v>731055</v>
      </c>
      <c r="P10" s="163"/>
      <c r="Q10" s="19"/>
      <c r="R10" s="1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s="3" customFormat="1" ht="18" customHeight="1">
      <c r="A11" s="207">
        <v>4</v>
      </c>
      <c r="B11" s="235" t="s">
        <v>333</v>
      </c>
      <c r="C11" s="214" t="str">
        <f>COVER!B17</f>
        <v>A564T630</v>
      </c>
      <c r="D11" s="214">
        <v>1</v>
      </c>
      <c r="E11" s="215"/>
      <c r="F11" s="243">
        <v>90</v>
      </c>
      <c r="G11" s="238"/>
      <c r="H11" s="228">
        <f>COVER!C17</f>
        <v>10000</v>
      </c>
      <c r="I11" s="233">
        <f>D11*F11*H11</f>
        <v>900000</v>
      </c>
      <c r="J11" s="233"/>
      <c r="K11" s="234">
        <f t="shared" si="0"/>
        <v>900000</v>
      </c>
      <c r="L11" s="163" t="s">
        <v>343</v>
      </c>
      <c r="M11" s="163">
        <v>40000</v>
      </c>
      <c r="N11" s="163">
        <v>110000</v>
      </c>
      <c r="O11" s="163">
        <f>ROUNDUP(P11/1.3,-2)</f>
        <v>138500</v>
      </c>
      <c r="P11" s="163">
        <v>180000</v>
      </c>
      <c r="Q11" s="18">
        <v>87.62</v>
      </c>
      <c r="R11" s="18"/>
      <c r="S11" s="108"/>
      <c r="T11" s="10">
        <v>98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s="3" customFormat="1" ht="18" customHeight="1">
      <c r="A12" s="207">
        <v>5</v>
      </c>
      <c r="B12" s="235" t="s">
        <v>348</v>
      </c>
      <c r="C12" s="214" t="s">
        <v>211</v>
      </c>
      <c r="D12" s="214">
        <v>1</v>
      </c>
      <c r="E12" s="215"/>
      <c r="F12" s="237">
        <v>1</v>
      </c>
      <c r="G12" s="227"/>
      <c r="H12" s="230">
        <f>L12</f>
        <v>60500</v>
      </c>
      <c r="I12" s="233">
        <f>D12*F12*H12</f>
        <v>60500</v>
      </c>
      <c r="J12" s="233"/>
      <c r="K12" s="234">
        <f t="shared" si="0"/>
        <v>60500</v>
      </c>
      <c r="L12" s="163">
        <v>60500</v>
      </c>
      <c r="M12" s="163"/>
      <c r="N12" s="163"/>
      <c r="O12" s="90"/>
      <c r="P12" s="90"/>
      <c r="Q12" s="19"/>
      <c r="R12" s="19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s="3" customFormat="1" ht="18" customHeight="1">
      <c r="A13" s="207">
        <v>6</v>
      </c>
      <c r="B13" s="235" t="s">
        <v>163</v>
      </c>
      <c r="C13" s="214" t="str">
        <f>COVER!B21</f>
        <v>SSPC</v>
      </c>
      <c r="D13" s="214">
        <v>4</v>
      </c>
      <c r="E13" s="215"/>
      <c r="F13" s="237">
        <v>1</v>
      </c>
      <c r="G13" s="227"/>
      <c r="H13" s="228">
        <f>L13</f>
        <v>4830</v>
      </c>
      <c r="I13" s="233">
        <f>H13*F13*D13</f>
        <v>19320</v>
      </c>
      <c r="J13" s="233"/>
      <c r="K13" s="234">
        <f>J13+I13</f>
        <v>19320</v>
      </c>
      <c r="L13" s="198">
        <v>4830</v>
      </c>
      <c r="M13" s="199"/>
      <c r="N13" s="199"/>
      <c r="O13" s="199"/>
      <c r="P13" s="199"/>
      <c r="Q13" s="19"/>
      <c r="R13" s="19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s="3" customFormat="1" ht="18" customHeight="1">
      <c r="A14" s="207">
        <v>7</v>
      </c>
      <c r="B14" s="235" t="s">
        <v>350</v>
      </c>
      <c r="C14" s="214" t="s">
        <v>351</v>
      </c>
      <c r="D14" s="214">
        <v>3</v>
      </c>
      <c r="E14" s="215"/>
      <c r="F14" s="237">
        <v>1</v>
      </c>
      <c r="G14" s="227"/>
      <c r="H14" s="228">
        <v>5300</v>
      </c>
      <c r="I14" s="233">
        <f>D14*F14*H14</f>
        <v>15900</v>
      </c>
      <c r="J14" s="233"/>
      <c r="K14" s="234">
        <f>I14+J14</f>
        <v>15900</v>
      </c>
      <c r="L14" s="163"/>
      <c r="M14" s="163"/>
      <c r="N14" s="163"/>
      <c r="O14" s="90"/>
      <c r="P14" s="90"/>
      <c r="Q14" s="201" t="s">
        <v>374</v>
      </c>
      <c r="R14" s="19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s="3" customFormat="1" ht="18" customHeight="1">
      <c r="A15" s="207">
        <v>8</v>
      </c>
      <c r="B15" s="235" t="s">
        <v>386</v>
      </c>
      <c r="C15" s="214" t="str">
        <f>COVER!B22</f>
        <v>BODY MATERIAL</v>
      </c>
      <c r="D15" s="214">
        <v>1</v>
      </c>
      <c r="E15" s="215"/>
      <c r="F15" s="237">
        <v>5.53</v>
      </c>
      <c r="G15" s="227"/>
      <c r="H15" s="228">
        <f>IF(C15="SS400",M15,IF(C15="BODY MATERIAL",N15))</f>
        <v>38710</v>
      </c>
      <c r="I15" s="233">
        <f>H15</f>
        <v>38710</v>
      </c>
      <c r="J15" s="233"/>
      <c r="K15" s="234">
        <f>I15+J15</f>
        <v>38710</v>
      </c>
      <c r="L15" s="163" t="s">
        <v>371</v>
      </c>
      <c r="M15" s="198">
        <v>12000</v>
      </c>
      <c r="N15" s="198">
        <f>IF(AND(C15="BODY MATERIAL"),IF((H6&gt;0),H6*F15*2,IF((H7&gt;0),H7*F15*2,IF((H8&gt;0),H8*F15*2))))</f>
        <v>38710</v>
      </c>
      <c r="O15" s="198"/>
      <c r="P15" s="198"/>
      <c r="Q15" s="201" t="s">
        <v>374</v>
      </c>
      <c r="R15" s="164"/>
      <c r="S15" s="10"/>
      <c r="T15" s="10"/>
      <c r="U15" s="10"/>
      <c r="V15" s="267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s="3" customFormat="1" ht="18" customHeight="1">
      <c r="A16" s="207">
        <v>9</v>
      </c>
      <c r="B16" s="235" t="s">
        <v>217</v>
      </c>
      <c r="C16" s="214" t="str">
        <f>COVER!B23</f>
        <v>B8M</v>
      </c>
      <c r="D16" s="214">
        <v>6</v>
      </c>
      <c r="E16" s="215"/>
      <c r="F16" s="237"/>
      <c r="G16" s="227"/>
      <c r="H16" s="228">
        <f>IF(C16="B8",M16,IF(C16="B8M",N16,IF(C16="B7(다크로)",O16)))</f>
        <v>1200</v>
      </c>
      <c r="I16" s="233">
        <f>H16*D16</f>
        <v>7200</v>
      </c>
      <c r="J16" s="233"/>
      <c r="K16" s="234">
        <f>J16+I16</f>
        <v>7200</v>
      </c>
      <c r="L16" s="163" t="s">
        <v>398</v>
      </c>
      <c r="M16" s="198">
        <v>600</v>
      </c>
      <c r="N16" s="198">
        <v>1200</v>
      </c>
      <c r="O16" s="198">
        <v>1000</v>
      </c>
      <c r="P16" s="198"/>
      <c r="Q16" s="204" t="s">
        <v>385</v>
      </c>
      <c r="R16" s="19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s="3" customFormat="1" ht="18" customHeight="1">
      <c r="A17" s="207">
        <v>10</v>
      </c>
      <c r="B17" s="235" t="s">
        <v>221</v>
      </c>
      <c r="C17" s="214" t="str">
        <f>COVER!B24</f>
        <v>ALBC2</v>
      </c>
      <c r="D17" s="214">
        <v>1</v>
      </c>
      <c r="E17" s="215"/>
      <c r="F17" s="237">
        <v>1</v>
      </c>
      <c r="G17" s="227"/>
      <c r="H17" s="228">
        <f>L17</f>
        <v>19000</v>
      </c>
      <c r="I17" s="233">
        <f>H17*F17</f>
        <v>19000</v>
      </c>
      <c r="J17" s="233"/>
      <c r="K17" s="234">
        <f>J17+I17</f>
        <v>19000</v>
      </c>
      <c r="L17" s="198">
        <v>19000</v>
      </c>
      <c r="M17" s="199"/>
      <c r="N17" s="198"/>
      <c r="O17" s="198"/>
      <c r="P17" s="198"/>
      <c r="Q17" s="202"/>
      <c r="R17" s="19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s="3" customFormat="1" ht="18" customHeight="1">
      <c r="A18" s="207">
        <v>11</v>
      </c>
      <c r="B18" s="235" t="s">
        <v>187</v>
      </c>
      <c r="C18" s="214" t="s">
        <v>353</v>
      </c>
      <c r="D18" s="214">
        <v>1</v>
      </c>
      <c r="E18" s="215"/>
      <c r="F18" s="237">
        <v>2.41</v>
      </c>
      <c r="G18" s="227"/>
      <c r="H18" s="228">
        <f>M18</f>
        <v>8000</v>
      </c>
      <c r="I18" s="233">
        <f>H18*D18</f>
        <v>8000</v>
      </c>
      <c r="J18" s="233"/>
      <c r="K18" s="234">
        <f>J18+I18</f>
        <v>8000</v>
      </c>
      <c r="L18" s="163" t="s">
        <v>370</v>
      </c>
      <c r="M18" s="163">
        <v>8000</v>
      </c>
      <c r="N18" s="163"/>
      <c r="O18" s="163"/>
      <c r="P18" s="163"/>
      <c r="Q18" s="205"/>
      <c r="R18" s="165"/>
      <c r="S18" s="145"/>
      <c r="T18" s="145"/>
      <c r="U18" s="145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s="3" customFormat="1" ht="18" customHeight="1">
      <c r="A19" s="207">
        <v>12</v>
      </c>
      <c r="B19" s="235" t="s">
        <v>189</v>
      </c>
      <c r="C19" s="214" t="str">
        <f>COVER!B26</f>
        <v>B8M</v>
      </c>
      <c r="D19" s="214">
        <v>4</v>
      </c>
      <c r="E19" s="215"/>
      <c r="F19" s="237"/>
      <c r="G19" s="227"/>
      <c r="H19" s="230">
        <f>IF(C19="B8",M19,IF(C19="B8M",N19))</f>
        <v>500</v>
      </c>
      <c r="I19" s="233">
        <f>H19*D19</f>
        <v>2000</v>
      </c>
      <c r="J19" s="233"/>
      <c r="K19" s="234">
        <f>I19+J19</f>
        <v>2000</v>
      </c>
      <c r="L19" s="163" t="s">
        <v>382</v>
      </c>
      <c r="M19" s="163">
        <v>200</v>
      </c>
      <c r="N19" s="163">
        <v>500</v>
      </c>
      <c r="O19" s="90"/>
      <c r="P19" s="90"/>
      <c r="Q19" s="204" t="s">
        <v>381</v>
      </c>
      <c r="R19" s="19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s="3" customFormat="1" ht="18" customHeight="1">
      <c r="A20" s="207">
        <v>13</v>
      </c>
      <c r="B20" s="235" t="s">
        <v>188</v>
      </c>
      <c r="C20" s="214" t="str">
        <f>COVER!B27</f>
        <v>B8M</v>
      </c>
      <c r="D20" s="214">
        <v>8</v>
      </c>
      <c r="E20" s="215"/>
      <c r="F20" s="237"/>
      <c r="G20" s="227"/>
      <c r="H20" s="228">
        <f>IF(C20="B8",M20,IF(C20="B8M",N20,IF(C20="B7(다크로)",O20)))</f>
        <v>6300</v>
      </c>
      <c r="I20" s="233">
        <f>H20*D20</f>
        <v>50400</v>
      </c>
      <c r="J20" s="233"/>
      <c r="K20" s="234">
        <f t="shared" ref="K20:K22" si="1">I20+J20</f>
        <v>50400</v>
      </c>
      <c r="L20" s="163" t="s">
        <v>397</v>
      </c>
      <c r="M20" s="163">
        <v>6000</v>
      </c>
      <c r="N20" s="163">
        <v>6300</v>
      </c>
      <c r="O20" s="163">
        <v>3300</v>
      </c>
      <c r="P20" s="90"/>
      <c r="Q20" s="204" t="s">
        <v>385</v>
      </c>
      <c r="R20" s="19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s="3" customFormat="1" ht="18" customHeight="1">
      <c r="A21" s="207">
        <v>14</v>
      </c>
      <c r="B21" s="235" t="s">
        <v>349</v>
      </c>
      <c r="C21" s="214"/>
      <c r="D21" s="214">
        <v>4</v>
      </c>
      <c r="E21" s="215"/>
      <c r="F21" s="237"/>
      <c r="G21" s="227"/>
      <c r="H21" s="228">
        <v>1100</v>
      </c>
      <c r="I21" s="233">
        <f>H21*D21</f>
        <v>4400</v>
      </c>
      <c r="J21" s="241"/>
      <c r="K21" s="234">
        <f>I21+J21</f>
        <v>4400</v>
      </c>
      <c r="L21" s="163" t="s">
        <v>401</v>
      </c>
      <c r="M21" s="90"/>
      <c r="N21" s="90"/>
      <c r="O21" s="90"/>
      <c r="P21" s="90"/>
      <c r="Q21" s="201" t="s">
        <v>374</v>
      </c>
      <c r="R21" s="19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s="3" customFormat="1" ht="18" customHeight="1">
      <c r="A22" s="207">
        <v>15</v>
      </c>
      <c r="B22" s="235" t="s">
        <v>6</v>
      </c>
      <c r="C22" s="214" t="str">
        <f>COVER!B34</f>
        <v>10 BAR</v>
      </c>
      <c r="D22" s="214">
        <v>1</v>
      </c>
      <c r="E22" s="215"/>
      <c r="F22" s="237"/>
      <c r="G22" s="242"/>
      <c r="H22" s="228"/>
      <c r="I22" s="233">
        <f>IF(C22="10 BAR",M22,IF(C22="16 BAR",N22,IF(C22="20 BAR",O22)))</f>
        <v>748000</v>
      </c>
      <c r="J22" s="241"/>
      <c r="K22" s="234">
        <f t="shared" si="1"/>
        <v>748000</v>
      </c>
      <c r="L22" s="90"/>
      <c r="M22" s="163">
        <v>748000</v>
      </c>
      <c r="N22" s="163">
        <v>1823000</v>
      </c>
      <c r="O22" s="163">
        <v>1823000</v>
      </c>
      <c r="P22" s="90"/>
      <c r="Q22" s="19"/>
      <c r="R22" s="19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s="3" customFormat="1" ht="18" customHeight="1">
      <c r="A23" s="207">
        <v>16</v>
      </c>
      <c r="B23" s="235" t="s">
        <v>7</v>
      </c>
      <c r="C23" s="214" t="str">
        <f>COVER!B32</f>
        <v>기존 단가</v>
      </c>
      <c r="D23" s="214">
        <v>1</v>
      </c>
      <c r="E23" s="215"/>
      <c r="F23" s="237"/>
      <c r="G23" s="242"/>
      <c r="H23" s="228">
        <f>IF(COVER!B9="APPLICATION",0,IF(COVER!B32="기존 단가",L23,IF(COVER!B32="외주 2COATING",M23,IF(COVER!B32="외주 3COATING",N23))))</f>
        <v>352000</v>
      </c>
      <c r="I23" s="233">
        <f>H23</f>
        <v>352000</v>
      </c>
      <c r="J23" s="233"/>
      <c r="K23" s="234"/>
      <c r="L23" s="163">
        <v>352000</v>
      </c>
      <c r="M23" s="163" t="e">
        <f>IF(H6&gt;0,F6*520,IF(H7&gt;0,F7*520,IF(H8&gt;0,F8*520)))</f>
        <v>#VALUE!</v>
      </c>
      <c r="N23" s="163" t="e">
        <f>IF(H6&gt;0,F6*620,IF(H7&gt;0,F7*620,IF(H8&gt;0,F8*620)))</f>
        <v>#VALUE!</v>
      </c>
      <c r="O23" s="90"/>
      <c r="P23" s="182"/>
      <c r="Q23" s="19"/>
      <c r="R23" s="19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s="3" customFormat="1" ht="18" customHeight="1">
      <c r="A24" s="207">
        <v>17</v>
      </c>
      <c r="B24" s="235" t="s">
        <v>174</v>
      </c>
      <c r="C24" s="214"/>
      <c r="D24" s="214">
        <v>1</v>
      </c>
      <c r="E24" s="215"/>
      <c r="F24" s="237"/>
      <c r="G24" s="242"/>
      <c r="H24" s="228">
        <f>IF(COVER!B9="APPLICATION",0,IF(COVER!B9="N/A",L24))</f>
        <v>452000</v>
      </c>
      <c r="I24" s="233">
        <f>H24</f>
        <v>452000</v>
      </c>
      <c r="J24" s="234"/>
      <c r="K24" s="234"/>
      <c r="L24" s="211">
        <v>452000</v>
      </c>
      <c r="M24" s="90"/>
      <c r="N24" s="90"/>
      <c r="O24" s="90"/>
      <c r="P24" s="90"/>
      <c r="Q24" s="19"/>
      <c r="R24" s="19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s="3" customFormat="1" ht="18" customHeight="1">
      <c r="A25" s="207">
        <v>18</v>
      </c>
      <c r="B25" s="97" t="s">
        <v>175</v>
      </c>
      <c r="C25" s="14"/>
      <c r="D25" s="14"/>
      <c r="E25" s="15"/>
      <c r="F25" s="15"/>
      <c r="G25" s="15"/>
      <c r="H25" s="15"/>
      <c r="I25" s="98"/>
      <c r="J25" s="98"/>
      <c r="K25" s="16">
        <f>SUM(K8:K21)+SUM(K23:K24)</f>
        <v>5571580</v>
      </c>
      <c r="L25" s="185" t="s">
        <v>248</v>
      </c>
      <c r="M25" s="90"/>
      <c r="N25" s="90"/>
      <c r="O25" s="90"/>
      <c r="P25" s="90"/>
      <c r="Q25" s="19"/>
      <c r="R25" s="19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s="3" customFormat="1" ht="18" customHeight="1">
      <c r="A26" s="207">
        <v>18</v>
      </c>
      <c r="B26" s="97" t="s">
        <v>176</v>
      </c>
      <c r="C26" s="14"/>
      <c r="D26" s="14"/>
      <c r="E26" s="15"/>
      <c r="F26" s="15"/>
      <c r="G26" s="15"/>
      <c r="H26" s="15"/>
      <c r="I26" s="98"/>
      <c r="J26" s="98"/>
      <c r="K26" s="16">
        <f>SUM(K8:K21)+SUM(K23:K24)</f>
        <v>5571580</v>
      </c>
      <c r="L26" s="185" t="s">
        <v>248</v>
      </c>
      <c r="M26" s="90"/>
      <c r="N26" s="90"/>
      <c r="O26" s="90"/>
      <c r="P26" s="90"/>
      <c r="Q26" s="19"/>
      <c r="R26" s="19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s="3" customFormat="1" ht="18" customHeight="1">
      <c r="A27" s="207">
        <v>18</v>
      </c>
      <c r="B27" s="97" t="s">
        <v>177</v>
      </c>
      <c r="C27" s="14"/>
      <c r="D27" s="14"/>
      <c r="E27" s="15"/>
      <c r="F27" s="15"/>
      <c r="G27" s="15"/>
      <c r="H27" s="15"/>
      <c r="I27" s="98"/>
      <c r="J27" s="98"/>
      <c r="K27" s="16">
        <f>SUM(K8:K24)</f>
        <v>6319580</v>
      </c>
      <c r="L27" s="185" t="s">
        <v>248</v>
      </c>
      <c r="M27" s="90"/>
      <c r="N27" s="90"/>
      <c r="O27" s="90"/>
      <c r="P27" s="90"/>
      <c r="Q27" s="19"/>
      <c r="R27" s="19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s="3" customFormat="1" ht="18" customHeight="1">
      <c r="A28" s="207">
        <v>19</v>
      </c>
      <c r="B28" s="235" t="s">
        <v>237</v>
      </c>
      <c r="C28" s="214" t="str">
        <f>COVER!B28</f>
        <v>REQUIRED</v>
      </c>
      <c r="D28" s="214">
        <v>0</v>
      </c>
      <c r="E28" s="215"/>
      <c r="F28" s="239"/>
      <c r="G28" s="215"/>
      <c r="H28" s="233">
        <f>IF(C28="REQUIRED",L28,IF(C28="N/A",0))</f>
        <v>0</v>
      </c>
      <c r="I28" s="233">
        <f>H28</f>
        <v>0</v>
      </c>
      <c r="J28" s="215"/>
      <c r="K28" s="234"/>
      <c r="L28" s="163"/>
      <c r="M28" s="90"/>
      <c r="N28" s="90"/>
      <c r="O28" s="90"/>
      <c r="P28" s="90"/>
      <c r="Q28" s="19"/>
      <c r="R28" s="19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s="3" customFormat="1" ht="18" customHeight="1">
      <c r="A29" s="207">
        <v>20</v>
      </c>
      <c r="B29" s="235" t="s">
        <v>180</v>
      </c>
      <c r="C29" s="214"/>
      <c r="D29" s="214">
        <v>0</v>
      </c>
      <c r="E29" s="215"/>
      <c r="F29" s="239"/>
      <c r="G29" s="215"/>
      <c r="H29" s="215"/>
      <c r="I29" s="215"/>
      <c r="J29" s="215"/>
      <c r="K29" s="234"/>
      <c r="L29" s="185"/>
      <c r="M29" s="90"/>
      <c r="N29" s="90"/>
      <c r="O29" s="90"/>
      <c r="P29" s="90"/>
      <c r="Q29" s="19"/>
      <c r="R29" s="19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s="3" customFormat="1" ht="18" customHeight="1">
      <c r="A30" s="207">
        <v>21</v>
      </c>
      <c r="B30" s="235" t="s">
        <v>178</v>
      </c>
      <c r="C30" s="214" t="str">
        <f>COVER!B35</f>
        <v>MOTOR</v>
      </c>
      <c r="D30" s="214">
        <v>1</v>
      </c>
      <c r="E30" s="215"/>
      <c r="F30" s="239"/>
      <c r="G30" s="215"/>
      <c r="H30" s="233">
        <f>IF(COVER!B9="APPLICATION",0,IF(COVER!B35="BARE",M30,(IF(COVER!B35="LEVER",M30,IF(COVER!B35="GEAR",N30,IF(COVER!B35="MOTOR",O30))))))</f>
        <v>400000</v>
      </c>
      <c r="I30" s="234">
        <f>H30</f>
        <v>400000</v>
      </c>
      <c r="J30" s="215"/>
      <c r="K30" s="234"/>
      <c r="L30" s="163">
        <v>500000</v>
      </c>
      <c r="M30" s="163">
        <v>300000</v>
      </c>
      <c r="N30" s="163">
        <v>300000</v>
      </c>
      <c r="O30" s="163">
        <v>400000</v>
      </c>
      <c r="P30" s="90"/>
      <c r="Q30" s="19"/>
      <c r="R30" s="19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s="3" customFormat="1" ht="18" customHeight="1">
      <c r="A31" s="207">
        <v>22</v>
      </c>
      <c r="B31" s="235"/>
      <c r="C31" s="214"/>
      <c r="D31" s="214"/>
      <c r="E31" s="215"/>
      <c r="F31" s="239"/>
      <c r="G31" s="215"/>
      <c r="H31" s="215"/>
      <c r="I31" s="215"/>
      <c r="J31" s="215"/>
      <c r="K31" s="234"/>
      <c r="L31" s="185"/>
      <c r="M31" s="90"/>
      <c r="N31" s="163"/>
      <c r="O31" s="90"/>
      <c r="P31" s="90"/>
      <c r="Q31" s="19"/>
      <c r="R31" s="19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s="3" customFormat="1" ht="18" customHeight="1">
      <c r="A32" s="207">
        <v>23</v>
      </c>
      <c r="B32" s="89" t="s">
        <v>179</v>
      </c>
      <c r="C32" s="14"/>
      <c r="D32" s="99"/>
      <c r="E32" s="15"/>
      <c r="F32" s="15"/>
      <c r="G32" s="15"/>
      <c r="H32" s="15"/>
      <c r="I32" s="100"/>
      <c r="J32" s="101"/>
      <c r="K32" s="100">
        <f>SUM(K28:K31)</f>
        <v>0</v>
      </c>
      <c r="L32" s="185" t="s">
        <v>249</v>
      </c>
      <c r="M32" s="90"/>
      <c r="N32" s="90"/>
      <c r="O32" s="90"/>
      <c r="P32" s="90"/>
      <c r="Q32" s="19"/>
      <c r="R32" s="19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s="3" customFormat="1" ht="18" customHeight="1">
      <c r="A33" s="186">
        <v>24</v>
      </c>
      <c r="B33" s="216" t="s">
        <v>252</v>
      </c>
      <c r="C33" s="217"/>
      <c r="D33" s="218"/>
      <c r="E33" s="219"/>
      <c r="F33" s="219"/>
      <c r="G33" s="219"/>
      <c r="H33" s="219"/>
      <c r="I33" s="220"/>
      <c r="J33" s="221"/>
      <c r="K33" s="220">
        <f>K25+K32</f>
        <v>5571580</v>
      </c>
      <c r="L33" s="185" t="s">
        <v>257</v>
      </c>
      <c r="M33" s="90"/>
      <c r="N33" s="90"/>
      <c r="O33" s="90"/>
      <c r="P33" s="90"/>
      <c r="Q33" s="19"/>
      <c r="R33" s="19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s="3" customFormat="1" ht="18" customHeight="1">
      <c r="A34" s="186">
        <v>24</v>
      </c>
      <c r="B34" s="216" t="s">
        <v>255</v>
      </c>
      <c r="C34" s="217"/>
      <c r="D34" s="218"/>
      <c r="E34" s="219"/>
      <c r="F34" s="219"/>
      <c r="G34" s="219"/>
      <c r="H34" s="219"/>
      <c r="I34" s="220"/>
      <c r="J34" s="221"/>
      <c r="K34" s="220">
        <f>K26+K32</f>
        <v>5571580</v>
      </c>
      <c r="L34" s="185" t="s">
        <v>257</v>
      </c>
      <c r="M34" s="90"/>
      <c r="N34" s="90"/>
      <c r="O34" s="90"/>
      <c r="P34" s="90"/>
      <c r="Q34" s="19"/>
      <c r="R34" s="19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s="3" customFormat="1" ht="18" customHeight="1">
      <c r="A35" s="186">
        <v>24</v>
      </c>
      <c r="B35" s="216" t="s">
        <v>256</v>
      </c>
      <c r="C35" s="217"/>
      <c r="D35" s="218"/>
      <c r="E35" s="219"/>
      <c r="F35" s="219"/>
      <c r="G35" s="219"/>
      <c r="H35" s="219"/>
      <c r="I35" s="220"/>
      <c r="J35" s="221"/>
      <c r="K35" s="220">
        <f>K27+K32</f>
        <v>6319580</v>
      </c>
      <c r="L35" s="185" t="s">
        <v>257</v>
      </c>
      <c r="M35" s="90"/>
      <c r="N35" s="90"/>
      <c r="O35" s="90"/>
      <c r="P35" s="90"/>
      <c r="Q35" s="19"/>
      <c r="R35" s="19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s="4" customFormat="1" ht="18" customHeight="1">
      <c r="A36" s="186">
        <v>25</v>
      </c>
      <c r="B36" s="102" t="s">
        <v>407</v>
      </c>
      <c r="C36" s="103"/>
      <c r="D36" s="103"/>
      <c r="E36" s="104"/>
      <c r="F36" s="105"/>
      <c r="G36" s="105"/>
      <c r="H36" s="106"/>
      <c r="I36" s="223" t="s">
        <v>41</v>
      </c>
      <c r="J36" s="223">
        <v>0.7</v>
      </c>
      <c r="K36" s="107">
        <f>(K25+K32)/J36</f>
        <v>7959400.0000000009</v>
      </c>
      <c r="L36" s="185" t="s">
        <v>250</v>
      </c>
      <c r="M36" s="90"/>
      <c r="N36" s="90"/>
      <c r="O36" s="90"/>
      <c r="P36" s="90"/>
      <c r="Q36" s="19"/>
      <c r="R36" s="19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s="4" customFormat="1" ht="18" customHeight="1">
      <c r="A37" s="186">
        <v>25</v>
      </c>
      <c r="B37" s="102" t="s">
        <v>408</v>
      </c>
      <c r="C37" s="103"/>
      <c r="D37" s="103"/>
      <c r="E37" s="104"/>
      <c r="F37" s="105"/>
      <c r="G37" s="105"/>
      <c r="H37" s="106"/>
      <c r="I37" s="223" t="s">
        <v>41</v>
      </c>
      <c r="J37" s="223">
        <v>0.7</v>
      </c>
      <c r="K37" s="107">
        <f>(K26+K32)/J37</f>
        <v>7959400.0000000009</v>
      </c>
      <c r="L37" s="185" t="s">
        <v>250</v>
      </c>
      <c r="M37" s="90"/>
      <c r="N37" s="90"/>
      <c r="O37" s="90"/>
      <c r="P37" s="90"/>
      <c r="Q37" s="19"/>
      <c r="R37" s="19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s="4" customFormat="1" ht="18" customHeight="1">
      <c r="A38" s="186">
        <v>25</v>
      </c>
      <c r="B38" s="102" t="s">
        <v>409</v>
      </c>
      <c r="C38" s="103"/>
      <c r="D38" s="103"/>
      <c r="E38" s="104"/>
      <c r="F38" s="105"/>
      <c r="G38" s="105"/>
      <c r="H38" s="106"/>
      <c r="I38" s="223" t="s">
        <v>41</v>
      </c>
      <c r="J38" s="223">
        <v>0.7</v>
      </c>
      <c r="K38" s="107">
        <f>(K27+K32)/J38</f>
        <v>9027971.4285714291</v>
      </c>
      <c r="L38" s="185" t="s">
        <v>250</v>
      </c>
      <c r="M38" s="90"/>
      <c r="N38" s="90"/>
      <c r="O38" s="90"/>
      <c r="P38" s="90"/>
      <c r="Q38" s="19"/>
      <c r="R38" s="19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s="4" customFormat="1" ht="18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57"/>
      <c r="M39" s="108"/>
      <c r="N39" s="108"/>
      <c r="O39" s="108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s="4" customFormat="1" ht="18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57"/>
      <c r="M40" s="108"/>
      <c r="N40" s="108"/>
      <c r="O40" s="108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s="4" customFormat="1" ht="18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57"/>
      <c r="M41" s="108"/>
      <c r="N41" s="108"/>
      <c r="O41" s="108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s="4" customFormat="1" ht="18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57"/>
      <c r="M42" s="108"/>
      <c r="N42" s="108"/>
      <c r="O42" s="108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s="4" customFormat="1" ht="18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57"/>
      <c r="M43" s="108"/>
      <c r="N43" s="108"/>
      <c r="O43" s="108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s="4" customFormat="1" ht="18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57"/>
      <c r="M44" s="108"/>
      <c r="N44" s="108"/>
      <c r="O44" s="108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s="4" customFormat="1" ht="18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57"/>
      <c r="M45" s="108"/>
      <c r="N45" s="108"/>
      <c r="O45" s="108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s="4" customFormat="1" ht="18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57"/>
      <c r="M46" s="108"/>
      <c r="N46" s="108"/>
      <c r="O46" s="108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s="4" customFormat="1" ht="12.75">
      <c r="A47" s="10"/>
      <c r="B47" s="10"/>
      <c r="C47" s="10"/>
      <c r="D47" s="109"/>
      <c r="E47" s="10"/>
      <c r="F47" s="10"/>
      <c r="G47" s="10"/>
      <c r="H47" s="10"/>
      <c r="I47" s="10"/>
      <c r="J47" s="10"/>
      <c r="K47" s="10"/>
      <c r="L47" s="108"/>
      <c r="M47" s="108"/>
      <c r="N47" s="108"/>
      <c r="O47" s="108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s="4" customFormat="1" ht="12.7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57"/>
      <c r="M48" s="108"/>
      <c r="N48" s="108">
        <v>16000</v>
      </c>
      <c r="O48" s="108">
        <v>25000</v>
      </c>
      <c r="P48" s="10">
        <f>N48/O48</f>
        <v>0.64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s="4" customFormat="1" ht="12.7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57"/>
      <c r="M49" s="108"/>
      <c r="N49" s="108">
        <v>24000</v>
      </c>
      <c r="O49" s="108">
        <v>37500</v>
      </c>
      <c r="P49" s="10">
        <f>N49/O49</f>
        <v>0.64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s="5" customForma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57"/>
      <c r="M50" s="87"/>
      <c r="N50" s="87"/>
      <c r="O50" s="8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s="5" customForma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57"/>
      <c r="M51" s="87"/>
      <c r="N51" s="87">
        <v>22000</v>
      </c>
      <c r="O51" s="87">
        <v>36000</v>
      </c>
      <c r="P51" s="10">
        <f>N51/O51</f>
        <v>0.61111111111111116</v>
      </c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s="5" customForma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57"/>
      <c r="M52" s="87"/>
      <c r="N52" s="87">
        <v>33000</v>
      </c>
      <c r="O52" s="87">
        <v>54000</v>
      </c>
      <c r="P52" s="10">
        <f>N52/O52</f>
        <v>0.61111111111111116</v>
      </c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4" spans="1:31">
      <c r="N54" s="87">
        <v>37000</v>
      </c>
      <c r="O54" s="87">
        <v>55000</v>
      </c>
      <c r="P54" s="8">
        <f>N54/O54</f>
        <v>0.67272727272727273</v>
      </c>
    </row>
    <row r="56" spans="1:31">
      <c r="P56" s="8">
        <f>O54*0.67</f>
        <v>36850</v>
      </c>
    </row>
  </sheetData>
  <mergeCells count="6">
    <mergeCell ref="A1:K1"/>
    <mergeCell ref="D3:E3"/>
    <mergeCell ref="F3:H3"/>
    <mergeCell ref="L4:P4"/>
    <mergeCell ref="L6:P6"/>
    <mergeCell ref="G4:H4"/>
  </mergeCells>
  <phoneticPr fontId="7" type="noConversion"/>
  <pageMargins left="0.75" right="0.75" top="1" bottom="1" header="0.5" footer="0.5"/>
  <pageSetup paperSize="9" scale="62" orientation="portrait" r:id="rId1"/>
  <headerFooter alignWithMargins="0"/>
  <ignoredErrors>
    <ignoredError sqref="I13 K13" formula="1"/>
  </ignoredError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00"/>
  </sheetPr>
  <dimension ref="A1:AE52"/>
  <sheetViews>
    <sheetView view="pageBreakPreview" zoomScale="85" zoomScaleNormal="100" zoomScaleSheetLayoutView="85" workbookViewId="0">
      <selection activeCell="M23" sqref="M23"/>
    </sheetView>
  </sheetViews>
  <sheetFormatPr defaultColWidth="8.88671875" defaultRowHeight="13.5"/>
  <cols>
    <col min="1" max="1" width="5.26171875" style="10" customWidth="1"/>
    <col min="2" max="2" width="20.23046875" style="10" bestFit="1" customWidth="1"/>
    <col min="3" max="3" width="14.3828125" style="10" bestFit="1" customWidth="1"/>
    <col min="4" max="4" width="3.7421875" style="10" customWidth="1"/>
    <col min="5" max="5" width="8.30078125" style="10" customWidth="1"/>
    <col min="6" max="6" width="6.1953125" style="10" customWidth="1"/>
    <col min="7" max="7" width="5.73046875" style="10" customWidth="1"/>
    <col min="8" max="8" width="8.30078125" style="10" bestFit="1" customWidth="1"/>
    <col min="9" max="9" width="10.9921875" style="10" customWidth="1"/>
    <col min="10" max="10" width="12.74609375" style="10" bestFit="1" customWidth="1"/>
    <col min="11" max="11" width="18.125" style="10" bestFit="1" customWidth="1"/>
    <col min="12" max="12" width="22.453125" style="157" bestFit="1" customWidth="1"/>
    <col min="13" max="13" width="13.796875" style="87" customWidth="1"/>
    <col min="14" max="14" width="12.16015625" style="87" bestFit="1" customWidth="1"/>
    <col min="15" max="15" width="9.703125" style="87" customWidth="1"/>
    <col min="16" max="16" width="12.16015625" style="8" bestFit="1" customWidth="1"/>
    <col min="17" max="18" width="15.43359375" style="8" bestFit="1" customWidth="1"/>
    <col min="19" max="19" width="8.88671875" style="8"/>
    <col min="20" max="20" width="17.07421875" style="8" bestFit="1" customWidth="1"/>
    <col min="21" max="31" width="8.88671875" style="8"/>
    <col min="32" max="16384" width="8.88671875" style="2"/>
  </cols>
  <sheetData>
    <row r="1" spans="1:31" ht="24" thickTop="1" thickBot="1">
      <c r="A1" s="336" t="s">
        <v>190</v>
      </c>
      <c r="B1" s="337"/>
      <c r="C1" s="337"/>
      <c r="D1" s="337"/>
      <c r="E1" s="337"/>
      <c r="F1" s="337"/>
      <c r="G1" s="337"/>
      <c r="H1" s="337"/>
      <c r="I1" s="337"/>
      <c r="J1" s="337"/>
      <c r="K1" s="338"/>
      <c r="M1" s="7"/>
    </row>
    <row r="2" spans="1:31" ht="14.45" customHeight="1" thickTop="1" thickBot="1">
      <c r="A2" s="158"/>
      <c r="B2" s="158"/>
      <c r="C2" s="115"/>
      <c r="E2" s="115"/>
      <c r="F2" s="115"/>
      <c r="G2" s="115"/>
    </row>
    <row r="3" spans="1:31" ht="15" thickTop="1" thickBot="1">
      <c r="A3" s="184" t="s">
        <v>191</v>
      </c>
      <c r="B3" s="183" t="s">
        <v>309</v>
      </c>
      <c r="C3" s="184" t="s">
        <v>192</v>
      </c>
      <c r="D3" s="339" t="s">
        <v>193</v>
      </c>
      <c r="E3" s="340"/>
      <c r="F3" s="341" t="s">
        <v>194</v>
      </c>
      <c r="G3" s="339"/>
      <c r="H3" s="339"/>
      <c r="I3" s="187" t="s">
        <v>310</v>
      </c>
      <c r="J3" s="184" t="s">
        <v>197</v>
      </c>
      <c r="K3" s="183" t="s">
        <v>319</v>
      </c>
      <c r="M3" s="87">
        <v>15000000</v>
      </c>
      <c r="N3" s="87">
        <f>M3/0.7</f>
        <v>21428571.428571429</v>
      </c>
    </row>
    <row r="4" spans="1:31" ht="19.149999999999999" customHeight="1" thickTop="1" thickBot="1">
      <c r="G4" s="347" t="s">
        <v>435</v>
      </c>
      <c r="H4" s="348"/>
      <c r="I4" s="281" t="s">
        <v>438</v>
      </c>
      <c r="J4" s="197" t="s">
        <v>332</v>
      </c>
      <c r="K4" s="189">
        <v>1510</v>
      </c>
      <c r="L4" s="342" t="s">
        <v>207</v>
      </c>
      <c r="M4" s="343"/>
      <c r="N4" s="343"/>
      <c r="O4" s="343"/>
      <c r="P4" s="343"/>
    </row>
    <row r="5" spans="1:31" s="3" customFormat="1" ht="25.15" customHeight="1" thickTop="1">
      <c r="A5" s="9" t="s">
        <v>1</v>
      </c>
      <c r="B5" s="9" t="s">
        <v>164</v>
      </c>
      <c r="C5" s="88" t="s">
        <v>165</v>
      </c>
      <c r="D5" s="89" t="s">
        <v>166</v>
      </c>
      <c r="E5" s="9" t="s">
        <v>167</v>
      </c>
      <c r="F5" s="9" t="s">
        <v>168</v>
      </c>
      <c r="G5" s="9" t="s">
        <v>169</v>
      </c>
      <c r="H5" s="9" t="s">
        <v>170</v>
      </c>
      <c r="I5" s="123" t="s">
        <v>171</v>
      </c>
      <c r="J5" s="195" t="s">
        <v>172</v>
      </c>
      <c r="K5" s="196" t="s">
        <v>173</v>
      </c>
      <c r="L5" s="90" t="s">
        <v>198</v>
      </c>
      <c r="M5" s="121" t="s">
        <v>199</v>
      </c>
      <c r="N5" s="90" t="s">
        <v>38</v>
      </c>
      <c r="O5" s="90" t="s">
        <v>200</v>
      </c>
      <c r="P5" s="90" t="s">
        <v>201</v>
      </c>
      <c r="Q5" s="90" t="s">
        <v>265</v>
      </c>
      <c r="R5" s="90" t="s">
        <v>266</v>
      </c>
      <c r="S5" s="10"/>
      <c r="T5" s="191" t="s">
        <v>331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s="3" customFormat="1" ht="18" customHeight="1">
      <c r="A6" s="186">
        <v>1</v>
      </c>
      <c r="B6" s="244" t="s">
        <v>181</v>
      </c>
      <c r="C6" s="245">
        <f>COVER!B13</f>
        <v>0</v>
      </c>
      <c r="D6" s="246">
        <v>1</v>
      </c>
      <c r="E6" s="247"/>
      <c r="F6" s="248">
        <v>1230</v>
      </c>
      <c r="G6" s="249"/>
      <c r="H6" s="250">
        <f>COVER!C13</f>
        <v>0</v>
      </c>
      <c r="I6" s="251">
        <f>D6*F6*H6</f>
        <v>0</v>
      </c>
      <c r="J6" s="252"/>
      <c r="K6" s="253">
        <f t="shared" ref="K6:K12" si="0">I6+J6</f>
        <v>0</v>
      </c>
      <c r="L6" s="344" t="s">
        <v>202</v>
      </c>
      <c r="M6" s="345"/>
      <c r="N6" s="345"/>
      <c r="O6" s="345"/>
      <c r="P6" s="346"/>
      <c r="Q6" s="19"/>
      <c r="R6" s="19"/>
      <c r="S6" s="10"/>
      <c r="T6" s="10">
        <v>680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s="3" customFormat="1" ht="18" customHeight="1">
      <c r="A7" s="186">
        <v>1</v>
      </c>
      <c r="B7" s="244" t="s">
        <v>182</v>
      </c>
      <c r="C7" s="245" t="str">
        <f>COVER!B14</f>
        <v>A536 Gr65-45-12</v>
      </c>
      <c r="D7" s="246">
        <v>1</v>
      </c>
      <c r="E7" s="247"/>
      <c r="F7" s="248" t="s">
        <v>202</v>
      </c>
      <c r="G7" s="249"/>
      <c r="H7" s="250">
        <f>COVER!C14</f>
        <v>3500</v>
      </c>
      <c r="I7" s="251" t="e">
        <f>D7*F7*H7</f>
        <v>#VALUE!</v>
      </c>
      <c r="J7" s="252"/>
      <c r="K7" s="253" t="e">
        <f t="shared" si="0"/>
        <v>#VALUE!</v>
      </c>
      <c r="L7" s="163"/>
      <c r="M7" s="163"/>
      <c r="N7" s="185"/>
      <c r="O7" s="90"/>
      <c r="P7" s="90"/>
      <c r="Q7" s="19"/>
      <c r="R7" s="19"/>
      <c r="S7" s="10"/>
      <c r="T7" s="10">
        <v>680</v>
      </c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s="3" customFormat="1" ht="18" customHeight="1">
      <c r="A8" s="186">
        <v>1</v>
      </c>
      <c r="B8" s="224" t="s">
        <v>183</v>
      </c>
      <c r="C8" s="225">
        <f>COVER!B15</f>
        <v>0</v>
      </c>
      <c r="D8" s="226">
        <v>1</v>
      </c>
      <c r="E8" s="215"/>
      <c r="F8" s="227">
        <v>990</v>
      </c>
      <c r="G8" s="227"/>
      <c r="H8" s="228">
        <f>COVER!C15</f>
        <v>0</v>
      </c>
      <c r="I8" s="229">
        <f>D8*F8*H8</f>
        <v>0</v>
      </c>
      <c r="J8" s="230"/>
      <c r="K8" s="231">
        <f t="shared" si="0"/>
        <v>0</v>
      </c>
      <c r="L8" s="185">
        <v>685756.5</v>
      </c>
      <c r="M8" s="209">
        <v>810439.5</v>
      </c>
      <c r="N8" s="185"/>
      <c r="O8" s="90"/>
      <c r="P8" s="90"/>
      <c r="Q8" s="19"/>
      <c r="R8" s="19"/>
      <c r="S8" s="10"/>
      <c r="T8" s="10">
        <v>1100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s="3" customFormat="1" ht="18" customHeight="1">
      <c r="A9" s="186">
        <v>2</v>
      </c>
      <c r="B9" s="232" t="s">
        <v>2</v>
      </c>
      <c r="C9" s="225" t="str">
        <f>COVER!B16</f>
        <v>A351 CF8M</v>
      </c>
      <c r="D9" s="226">
        <v>1</v>
      </c>
      <c r="E9" s="215"/>
      <c r="F9" s="227">
        <f>IF(COVER!B34="10 BAR",Q9,IF(COVER!B34="16 BAR",R9,IF(COVER!B34="20 BAR",R9)))</f>
        <v>462</v>
      </c>
      <c r="G9" s="227"/>
      <c r="H9" s="228">
        <f>COVER!C16</f>
        <v>12000</v>
      </c>
      <c r="I9" s="233">
        <f>D9*F9*H9</f>
        <v>5544000</v>
      </c>
      <c r="J9" s="230"/>
      <c r="K9" s="234">
        <f t="shared" si="0"/>
        <v>5544000</v>
      </c>
      <c r="L9" s="163">
        <v>272000</v>
      </c>
      <c r="M9" s="209">
        <f>L9</f>
        <v>272000</v>
      </c>
      <c r="N9" s="209">
        <f>M9</f>
        <v>272000</v>
      </c>
      <c r="O9" s="209">
        <f>N9*1.3</f>
        <v>353600</v>
      </c>
      <c r="P9" s="209">
        <f>O9*1.3</f>
        <v>459680</v>
      </c>
      <c r="Q9" s="19">
        <v>462</v>
      </c>
      <c r="R9" s="19">
        <v>462</v>
      </c>
      <c r="S9" s="10"/>
      <c r="T9" s="10">
        <v>600</v>
      </c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 s="3" customFormat="1" ht="18" customHeight="1">
      <c r="A10" s="207">
        <v>3</v>
      </c>
      <c r="B10" s="235" t="s">
        <v>3</v>
      </c>
      <c r="C10" s="236" t="str">
        <f>COVER!B18</f>
        <v>EPDM</v>
      </c>
      <c r="D10" s="214">
        <v>1</v>
      </c>
      <c r="E10" s="215"/>
      <c r="F10" s="227">
        <v>1</v>
      </c>
      <c r="G10" s="227"/>
      <c r="H10" s="228">
        <f>IF(C10="NBR",L10,IF(C10="EPDM",L10,IF(C10="VITON",M10)))</f>
        <v>397100</v>
      </c>
      <c r="I10" s="233">
        <f>H10*F10*D10</f>
        <v>397100</v>
      </c>
      <c r="J10" s="230"/>
      <c r="K10" s="234">
        <f t="shared" si="0"/>
        <v>397100</v>
      </c>
      <c r="L10" s="163">
        <v>397100</v>
      </c>
      <c r="M10" s="163" t="s">
        <v>202</v>
      </c>
      <c r="N10" s="163" t="s">
        <v>202</v>
      </c>
      <c r="O10" s="163"/>
      <c r="P10" s="163">
        <v>650000</v>
      </c>
      <c r="Q10" s="19"/>
      <c r="R10" s="1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s="3" customFormat="1" ht="18" customHeight="1">
      <c r="A11" s="207">
        <v>4</v>
      </c>
      <c r="B11" s="235" t="s">
        <v>333</v>
      </c>
      <c r="C11" s="214" t="str">
        <f>COVER!B17</f>
        <v>A564T630</v>
      </c>
      <c r="D11" s="214">
        <v>1</v>
      </c>
      <c r="E11" s="215"/>
      <c r="F11" s="243">
        <v>118</v>
      </c>
      <c r="G11" s="238"/>
      <c r="H11" s="228">
        <f>COVER!C17</f>
        <v>10000</v>
      </c>
      <c r="I11" s="233">
        <f>D11*F11*H11</f>
        <v>1180000</v>
      </c>
      <c r="J11" s="233"/>
      <c r="K11" s="234">
        <f t="shared" si="0"/>
        <v>1180000</v>
      </c>
      <c r="L11" s="163" t="s">
        <v>344</v>
      </c>
      <c r="M11" s="163">
        <v>45000</v>
      </c>
      <c r="N11" s="163">
        <v>120000</v>
      </c>
      <c r="O11" s="163">
        <f>ROUNDUP(P11/1.3,-2)</f>
        <v>153900</v>
      </c>
      <c r="P11" s="163">
        <v>200000</v>
      </c>
      <c r="Q11" s="18">
        <v>115.85</v>
      </c>
      <c r="R11" s="18"/>
      <c r="S11" s="108"/>
      <c r="T11" s="10">
        <v>100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s="3" customFormat="1" ht="18" customHeight="1">
      <c r="A12" s="207">
        <v>5</v>
      </c>
      <c r="B12" s="235" t="s">
        <v>348</v>
      </c>
      <c r="C12" s="214" t="s">
        <v>211</v>
      </c>
      <c r="D12" s="214">
        <v>1</v>
      </c>
      <c r="E12" s="215"/>
      <c r="F12" s="237">
        <v>1</v>
      </c>
      <c r="G12" s="227"/>
      <c r="H12" s="230">
        <f>L12</f>
        <v>70000</v>
      </c>
      <c r="I12" s="233">
        <f>D12*F12*H12</f>
        <v>70000</v>
      </c>
      <c r="J12" s="233"/>
      <c r="K12" s="234">
        <f t="shared" si="0"/>
        <v>70000</v>
      </c>
      <c r="L12" s="163">
        <v>70000</v>
      </c>
      <c r="M12" s="163"/>
      <c r="N12" s="163"/>
      <c r="O12" s="90"/>
      <c r="P12" s="90"/>
      <c r="Q12" s="19"/>
      <c r="R12" s="19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s="3" customFormat="1" ht="18" customHeight="1">
      <c r="A13" s="207">
        <v>6</v>
      </c>
      <c r="B13" s="235" t="s">
        <v>163</v>
      </c>
      <c r="C13" s="214" t="str">
        <f>COVER!B21</f>
        <v>SSPC</v>
      </c>
      <c r="D13" s="214">
        <v>4</v>
      </c>
      <c r="E13" s="215"/>
      <c r="F13" s="237">
        <v>1</v>
      </c>
      <c r="G13" s="227"/>
      <c r="H13" s="228">
        <f>L13</f>
        <v>5520</v>
      </c>
      <c r="I13" s="233">
        <f>H13*F13*D13</f>
        <v>22080</v>
      </c>
      <c r="J13" s="233"/>
      <c r="K13" s="234">
        <f>J13+I13</f>
        <v>22080</v>
      </c>
      <c r="L13" s="198">
        <v>5520</v>
      </c>
      <c r="M13" s="199"/>
      <c r="N13" s="199"/>
      <c r="O13" s="199"/>
      <c r="P13" s="199"/>
      <c r="Q13" s="19"/>
      <c r="R13" s="19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s="3" customFormat="1" ht="18" customHeight="1">
      <c r="A14" s="207">
        <v>7</v>
      </c>
      <c r="B14" s="235" t="s">
        <v>350</v>
      </c>
      <c r="C14" s="214" t="s">
        <v>351</v>
      </c>
      <c r="D14" s="214">
        <v>3</v>
      </c>
      <c r="E14" s="215"/>
      <c r="F14" s="237">
        <v>1</v>
      </c>
      <c r="G14" s="227"/>
      <c r="H14" s="228">
        <v>5300</v>
      </c>
      <c r="I14" s="233">
        <f>D14*F14*H14</f>
        <v>15900</v>
      </c>
      <c r="J14" s="233"/>
      <c r="K14" s="234">
        <f>I14+J14</f>
        <v>15900</v>
      </c>
      <c r="L14" s="163"/>
      <c r="M14" s="163"/>
      <c r="N14" s="163"/>
      <c r="O14" s="90"/>
      <c r="P14" s="90"/>
      <c r="Q14" s="201" t="s">
        <v>374</v>
      </c>
      <c r="R14" s="19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s="3" customFormat="1" ht="18" customHeight="1">
      <c r="A15" s="207">
        <v>8</v>
      </c>
      <c r="B15" s="235" t="s">
        <v>386</v>
      </c>
      <c r="C15" s="214" t="str">
        <f>COVER!B22</f>
        <v>BODY MATERIAL</v>
      </c>
      <c r="D15" s="214">
        <v>1</v>
      </c>
      <c r="E15" s="215"/>
      <c r="F15" s="237">
        <v>8.2899999999999991</v>
      </c>
      <c r="G15" s="227"/>
      <c r="H15" s="228">
        <f>IF(C15="SS400",M15,IF(C15="BODY MATERIAL",N15))</f>
        <v>58029.999999999993</v>
      </c>
      <c r="I15" s="233">
        <f>H15</f>
        <v>58029.999999999993</v>
      </c>
      <c r="J15" s="233"/>
      <c r="K15" s="234">
        <f>I15+J15</f>
        <v>58029.999999999993</v>
      </c>
      <c r="L15" s="163" t="s">
        <v>373</v>
      </c>
      <c r="M15" s="198">
        <v>13500</v>
      </c>
      <c r="N15" s="198">
        <f>IF(AND(C15="BODY MATERIAL"),IF((H6&gt;0),H6*F15*2,IF((H7&gt;0),H7*F15*2,IF((H8&gt;0),H8*F15*2))))</f>
        <v>58029.999999999993</v>
      </c>
      <c r="O15" s="198"/>
      <c r="P15" s="198"/>
      <c r="Q15" s="201" t="s">
        <v>374</v>
      </c>
      <c r="R15" s="164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s="3" customFormat="1" ht="18" customHeight="1">
      <c r="A16" s="207">
        <v>9</v>
      </c>
      <c r="B16" s="235" t="s">
        <v>217</v>
      </c>
      <c r="C16" s="214" t="str">
        <f>COVER!B23</f>
        <v>B8M</v>
      </c>
      <c r="D16" s="214">
        <v>6</v>
      </c>
      <c r="E16" s="215"/>
      <c r="F16" s="237"/>
      <c r="G16" s="227"/>
      <c r="H16" s="228">
        <f>IF(C16="B8",M16,IF(C16="B8M",N16,IF(C16="B7(다크로)",O16)))</f>
        <v>2900</v>
      </c>
      <c r="I16" s="233">
        <f>H16*D16</f>
        <v>17400</v>
      </c>
      <c r="J16" s="233"/>
      <c r="K16" s="234">
        <f>J16+I16</f>
        <v>17400</v>
      </c>
      <c r="L16" s="163" t="s">
        <v>393</v>
      </c>
      <c r="M16" s="198">
        <v>2400</v>
      </c>
      <c r="N16" s="198">
        <v>2900</v>
      </c>
      <c r="O16" s="198">
        <v>2000</v>
      </c>
      <c r="P16" s="198"/>
      <c r="Q16" s="204" t="s">
        <v>385</v>
      </c>
      <c r="R16" s="19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s="3" customFormat="1" ht="18" customHeight="1">
      <c r="A17" s="207">
        <v>10</v>
      </c>
      <c r="B17" s="235" t="s">
        <v>221</v>
      </c>
      <c r="C17" s="214" t="str">
        <f>COVER!B24</f>
        <v>ALBC2</v>
      </c>
      <c r="D17" s="214">
        <v>1</v>
      </c>
      <c r="E17" s="215"/>
      <c r="F17" s="237">
        <v>1</v>
      </c>
      <c r="G17" s="227"/>
      <c r="H17" s="228">
        <f>L17</f>
        <v>21000</v>
      </c>
      <c r="I17" s="233">
        <f>H17*F17</f>
        <v>21000</v>
      </c>
      <c r="J17" s="233"/>
      <c r="K17" s="234">
        <f>J17+I17</f>
        <v>21000</v>
      </c>
      <c r="L17" s="198">
        <v>21000</v>
      </c>
      <c r="M17" s="199"/>
      <c r="N17" s="198"/>
      <c r="O17" s="198"/>
      <c r="P17" s="198"/>
      <c r="Q17" s="202"/>
      <c r="R17" s="19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s="3" customFormat="1" ht="18" customHeight="1">
      <c r="A18" s="207">
        <v>11</v>
      </c>
      <c r="B18" s="235" t="s">
        <v>187</v>
      </c>
      <c r="C18" s="214" t="s">
        <v>353</v>
      </c>
      <c r="D18" s="214">
        <v>1</v>
      </c>
      <c r="E18" s="215"/>
      <c r="F18" s="237">
        <v>2.69</v>
      </c>
      <c r="G18" s="227"/>
      <c r="H18" s="228">
        <f>M18</f>
        <v>9500</v>
      </c>
      <c r="I18" s="233">
        <f>H18*D18</f>
        <v>9500</v>
      </c>
      <c r="J18" s="233"/>
      <c r="K18" s="234">
        <f>J18+I18</f>
        <v>9500</v>
      </c>
      <c r="L18" s="163" t="s">
        <v>372</v>
      </c>
      <c r="M18" s="163">
        <v>9500</v>
      </c>
      <c r="N18" s="163"/>
      <c r="O18" s="163"/>
      <c r="P18" s="163"/>
      <c r="Q18" s="205"/>
      <c r="R18" s="165"/>
      <c r="S18" s="145"/>
      <c r="T18" s="145"/>
      <c r="U18" s="145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s="3" customFormat="1" ht="18" customHeight="1">
      <c r="A19" s="207">
        <v>12</v>
      </c>
      <c r="B19" s="235" t="s">
        <v>189</v>
      </c>
      <c r="C19" s="214" t="str">
        <f>COVER!B26</f>
        <v>B8M</v>
      </c>
      <c r="D19" s="214">
        <v>6</v>
      </c>
      <c r="E19" s="215"/>
      <c r="F19" s="237"/>
      <c r="G19" s="227"/>
      <c r="H19" s="230">
        <f>IF(C19="B8",M19,IF(C19="B8M",N19))</f>
        <v>500</v>
      </c>
      <c r="I19" s="233">
        <f>H19*D19</f>
        <v>3000</v>
      </c>
      <c r="J19" s="233"/>
      <c r="K19" s="234">
        <f>I19+J19</f>
        <v>3000</v>
      </c>
      <c r="L19" s="163" t="s">
        <v>382</v>
      </c>
      <c r="M19" s="163">
        <v>200</v>
      </c>
      <c r="N19" s="163">
        <v>500</v>
      </c>
      <c r="O19" s="90"/>
      <c r="P19" s="90"/>
      <c r="Q19" s="204" t="s">
        <v>381</v>
      </c>
      <c r="R19" s="19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s="3" customFormat="1" ht="18" customHeight="1">
      <c r="A20" s="207">
        <v>13</v>
      </c>
      <c r="B20" s="235" t="s">
        <v>188</v>
      </c>
      <c r="C20" s="214" t="str">
        <f>COVER!B27</f>
        <v>B8M</v>
      </c>
      <c r="D20" s="214">
        <v>8</v>
      </c>
      <c r="E20" s="215"/>
      <c r="F20" s="237"/>
      <c r="G20" s="227"/>
      <c r="H20" s="228">
        <f>IF(C20="B8",M20,IF(C20="B8M",N20,IF(C20="B7(다크로)",O20)))</f>
        <v>6500</v>
      </c>
      <c r="I20" s="233">
        <f>H20*D20</f>
        <v>52000</v>
      </c>
      <c r="J20" s="233"/>
      <c r="K20" s="234">
        <f t="shared" ref="K20:K22" si="1">I20+J20</f>
        <v>52000</v>
      </c>
      <c r="L20" s="163" t="s">
        <v>399</v>
      </c>
      <c r="M20" s="163">
        <v>6000</v>
      </c>
      <c r="N20" s="163">
        <v>6500</v>
      </c>
      <c r="O20" s="163">
        <v>3500</v>
      </c>
      <c r="P20" s="90"/>
      <c r="Q20" s="204" t="s">
        <v>385</v>
      </c>
      <c r="R20" s="19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s="3" customFormat="1" ht="18" customHeight="1">
      <c r="A21" s="207">
        <v>14</v>
      </c>
      <c r="B21" s="235" t="s">
        <v>349</v>
      </c>
      <c r="C21" s="214"/>
      <c r="D21" s="214">
        <v>4</v>
      </c>
      <c r="E21" s="215"/>
      <c r="F21" s="237"/>
      <c r="G21" s="227"/>
      <c r="H21" s="228">
        <v>1200</v>
      </c>
      <c r="I21" s="233">
        <f>H21*D21</f>
        <v>4800</v>
      </c>
      <c r="J21" s="241"/>
      <c r="K21" s="234">
        <f>I21+J21</f>
        <v>4800</v>
      </c>
      <c r="L21" s="163" t="s">
        <v>401</v>
      </c>
      <c r="M21" s="90"/>
      <c r="N21" s="90"/>
      <c r="O21" s="90"/>
      <c r="P21" s="90"/>
      <c r="Q21" s="201" t="s">
        <v>374</v>
      </c>
      <c r="R21" s="19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s="3" customFormat="1" ht="18" customHeight="1">
      <c r="A22" s="207">
        <v>15</v>
      </c>
      <c r="B22" s="235" t="s">
        <v>6</v>
      </c>
      <c r="C22" s="214" t="str">
        <f>COVER!B34</f>
        <v>10 BAR</v>
      </c>
      <c r="D22" s="214">
        <v>1</v>
      </c>
      <c r="E22" s="215"/>
      <c r="F22" s="237"/>
      <c r="G22" s="242"/>
      <c r="H22" s="228"/>
      <c r="I22" s="233">
        <f>IF(C22="10 BAR",M22,IF(C22="16 BAR",N22,IF(C22="20 BAR",O22)))</f>
        <v>1301000</v>
      </c>
      <c r="J22" s="241"/>
      <c r="K22" s="234">
        <f t="shared" si="1"/>
        <v>1301000</v>
      </c>
      <c r="L22" s="90"/>
      <c r="M22" s="163">
        <v>1301000</v>
      </c>
      <c r="N22" s="163">
        <v>1823000</v>
      </c>
      <c r="O22" s="163">
        <v>1823000</v>
      </c>
      <c r="P22" s="90"/>
      <c r="Q22" s="19"/>
      <c r="R22" s="19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s="3" customFormat="1" ht="18" customHeight="1">
      <c r="A23" s="207">
        <v>16</v>
      </c>
      <c r="B23" s="235" t="s">
        <v>7</v>
      </c>
      <c r="C23" s="214" t="str">
        <f>COVER!B32</f>
        <v>기존 단가</v>
      </c>
      <c r="D23" s="214">
        <v>1</v>
      </c>
      <c r="E23" s="215"/>
      <c r="F23" s="237"/>
      <c r="G23" s="242"/>
      <c r="H23" s="228">
        <f>IF(COVER!B9="APPLICATION",0,IF(COVER!B32="기존 단가",L23,IF(COVER!B32="외주 2COATING",M23,IF(COVER!B32="외주 3COATING",N23))))</f>
        <v>352000</v>
      </c>
      <c r="I23" s="233">
        <f>H23</f>
        <v>352000</v>
      </c>
      <c r="J23" s="233"/>
      <c r="K23" s="234"/>
      <c r="L23" s="163">
        <v>352000</v>
      </c>
      <c r="M23" s="163" t="e">
        <f>IF(H6&gt;0,F6*520,IF(H7&gt;0,F7*520,IF(H8&gt;0,F8*520)))</f>
        <v>#VALUE!</v>
      </c>
      <c r="N23" s="163" t="e">
        <f>IF(H6&gt;0,F6*620,IF(H7&gt;0,F7*620,IF(H8&gt;0,F8*620)))</f>
        <v>#VALUE!</v>
      </c>
      <c r="O23" s="90"/>
      <c r="P23" s="182"/>
      <c r="Q23" s="19"/>
      <c r="R23" s="19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s="3" customFormat="1" ht="18" customHeight="1">
      <c r="A24" s="207">
        <v>17</v>
      </c>
      <c r="B24" s="235" t="s">
        <v>174</v>
      </c>
      <c r="C24" s="214"/>
      <c r="D24" s="214">
        <v>1</v>
      </c>
      <c r="E24" s="215"/>
      <c r="F24" s="237"/>
      <c r="G24" s="242"/>
      <c r="H24" s="228">
        <f>IF(COVER!B9="APPLICATION",0,IF(COVER!B9="N/A",L24))</f>
        <v>452000</v>
      </c>
      <c r="I24" s="233">
        <f>H24</f>
        <v>452000</v>
      </c>
      <c r="J24" s="234"/>
      <c r="K24" s="234"/>
      <c r="L24" s="211">
        <v>452000</v>
      </c>
      <c r="M24" s="90"/>
      <c r="N24" s="90"/>
      <c r="O24" s="90"/>
      <c r="P24" s="90"/>
      <c r="Q24" s="19"/>
      <c r="R24" s="19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s="3" customFormat="1" ht="18" customHeight="1">
      <c r="A25" s="207">
        <v>18</v>
      </c>
      <c r="B25" s="97" t="s">
        <v>175</v>
      </c>
      <c r="C25" s="14"/>
      <c r="D25" s="14"/>
      <c r="E25" s="15"/>
      <c r="F25" s="15"/>
      <c r="G25" s="15"/>
      <c r="H25" s="15"/>
      <c r="I25" s="98"/>
      <c r="J25" s="98"/>
      <c r="K25" s="16">
        <f>SUM(K8:K21)+SUM(K23:K24)</f>
        <v>7394810</v>
      </c>
      <c r="L25" s="185" t="s">
        <v>248</v>
      </c>
      <c r="M25" s="90"/>
      <c r="N25" s="90"/>
      <c r="O25" s="90"/>
      <c r="P25" s="90"/>
      <c r="Q25" s="19"/>
      <c r="R25" s="19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s="3" customFormat="1" ht="18" customHeight="1">
      <c r="A26" s="207">
        <v>18</v>
      </c>
      <c r="B26" s="97" t="s">
        <v>176</v>
      </c>
      <c r="C26" s="14"/>
      <c r="D26" s="14"/>
      <c r="E26" s="15"/>
      <c r="F26" s="15"/>
      <c r="G26" s="15"/>
      <c r="H26" s="15"/>
      <c r="I26" s="98"/>
      <c r="J26" s="98"/>
      <c r="K26" s="16">
        <f>SUM(K8:K21)+SUM(K23:K24)</f>
        <v>7394810</v>
      </c>
      <c r="L26" s="185" t="s">
        <v>248</v>
      </c>
      <c r="M26" s="90"/>
      <c r="N26" s="90"/>
      <c r="O26" s="90"/>
      <c r="P26" s="90"/>
      <c r="Q26" s="19"/>
      <c r="R26" s="19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s="3" customFormat="1" ht="18" customHeight="1">
      <c r="A27" s="207">
        <v>18</v>
      </c>
      <c r="B27" s="97" t="s">
        <v>177</v>
      </c>
      <c r="C27" s="14"/>
      <c r="D27" s="14"/>
      <c r="E27" s="15"/>
      <c r="F27" s="15"/>
      <c r="G27" s="15"/>
      <c r="H27" s="15"/>
      <c r="I27" s="98"/>
      <c r="J27" s="98"/>
      <c r="K27" s="16">
        <f>SUM(K8:K24)</f>
        <v>8695810</v>
      </c>
      <c r="L27" s="185" t="s">
        <v>248</v>
      </c>
      <c r="M27" s="90"/>
      <c r="N27" s="90"/>
      <c r="O27" s="90"/>
      <c r="P27" s="90"/>
      <c r="Q27" s="19"/>
      <c r="R27" s="19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s="3" customFormat="1" ht="18" customHeight="1">
      <c r="A28" s="207">
        <v>19</v>
      </c>
      <c r="B28" s="235" t="s">
        <v>237</v>
      </c>
      <c r="C28" s="214" t="str">
        <f>COVER!B28</f>
        <v>REQUIRED</v>
      </c>
      <c r="D28" s="214">
        <v>0</v>
      </c>
      <c r="E28" s="215"/>
      <c r="F28" s="239"/>
      <c r="G28" s="215"/>
      <c r="H28" s="233">
        <f>IF(C28="REQUIRED",L28,IF(C28="N/A",0))</f>
        <v>0</v>
      </c>
      <c r="I28" s="233">
        <f>H28</f>
        <v>0</v>
      </c>
      <c r="J28" s="215"/>
      <c r="K28" s="234"/>
      <c r="L28" s="163"/>
      <c r="M28" s="90"/>
      <c r="N28" s="90"/>
      <c r="O28" s="90"/>
      <c r="P28" s="90"/>
      <c r="Q28" s="19"/>
      <c r="R28" s="19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s="3" customFormat="1" ht="18" customHeight="1">
      <c r="A29" s="207">
        <v>20</v>
      </c>
      <c r="B29" s="235" t="s">
        <v>180</v>
      </c>
      <c r="C29" s="214"/>
      <c r="D29" s="214">
        <v>0</v>
      </c>
      <c r="E29" s="215"/>
      <c r="F29" s="239"/>
      <c r="G29" s="215"/>
      <c r="H29" s="215"/>
      <c r="I29" s="215"/>
      <c r="J29" s="215"/>
      <c r="K29" s="234"/>
      <c r="L29" s="185"/>
      <c r="M29" s="90"/>
      <c r="N29" s="90"/>
      <c r="O29" s="90"/>
      <c r="P29" s="90"/>
      <c r="Q29" s="19"/>
      <c r="R29" s="19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s="3" customFormat="1" ht="18" customHeight="1">
      <c r="A30" s="207">
        <v>21</v>
      </c>
      <c r="B30" s="235" t="s">
        <v>178</v>
      </c>
      <c r="C30" s="214" t="str">
        <f>COVER!B35</f>
        <v>MOTOR</v>
      </c>
      <c r="D30" s="214">
        <v>1</v>
      </c>
      <c r="E30" s="215"/>
      <c r="F30" s="239"/>
      <c r="G30" s="215"/>
      <c r="H30" s="233">
        <f>IF(COVER!B9="APPLICATION",0,IF(COVER!B35="BARE",M30,(IF(COVER!B35="LEVER",M30,IF(COVER!B35="GEAR",N30,IF(COVER!B35="MOTOR",O30))))))</f>
        <v>450000</v>
      </c>
      <c r="I30" s="234">
        <f>H30</f>
        <v>450000</v>
      </c>
      <c r="J30" s="215"/>
      <c r="K30" s="234"/>
      <c r="L30" s="163">
        <v>550000</v>
      </c>
      <c r="M30" s="163">
        <v>350000</v>
      </c>
      <c r="N30" s="163">
        <v>350000</v>
      </c>
      <c r="O30" s="163">
        <v>450000</v>
      </c>
      <c r="P30" s="90"/>
      <c r="Q30" s="19"/>
      <c r="R30" s="19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s="3" customFormat="1" ht="18" customHeight="1">
      <c r="A31" s="207">
        <v>22</v>
      </c>
      <c r="B31" s="235"/>
      <c r="C31" s="214"/>
      <c r="D31" s="214"/>
      <c r="E31" s="215"/>
      <c r="F31" s="239"/>
      <c r="G31" s="215"/>
      <c r="H31" s="215"/>
      <c r="I31" s="215"/>
      <c r="J31" s="215"/>
      <c r="K31" s="234"/>
      <c r="L31" s="185"/>
      <c r="M31" s="90"/>
      <c r="N31" s="163"/>
      <c r="O31" s="90"/>
      <c r="P31" s="90"/>
      <c r="Q31" s="19"/>
      <c r="R31" s="19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s="3" customFormat="1" ht="18" customHeight="1">
      <c r="A32" s="207">
        <v>23</v>
      </c>
      <c r="B32" s="89" t="s">
        <v>179</v>
      </c>
      <c r="C32" s="14"/>
      <c r="D32" s="99"/>
      <c r="E32" s="15"/>
      <c r="F32" s="15"/>
      <c r="G32" s="15"/>
      <c r="H32" s="15"/>
      <c r="I32" s="100"/>
      <c r="J32" s="101"/>
      <c r="K32" s="100">
        <f>SUM(K28:K31)</f>
        <v>0</v>
      </c>
      <c r="L32" s="185" t="s">
        <v>249</v>
      </c>
      <c r="M32" s="90"/>
      <c r="N32" s="90"/>
      <c r="O32" s="90"/>
      <c r="P32" s="90"/>
      <c r="Q32" s="19"/>
      <c r="R32" s="19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s="3" customFormat="1" ht="18" customHeight="1">
      <c r="A33" s="186">
        <v>24</v>
      </c>
      <c r="B33" s="216" t="s">
        <v>252</v>
      </c>
      <c r="C33" s="217"/>
      <c r="D33" s="218"/>
      <c r="E33" s="219"/>
      <c r="F33" s="219"/>
      <c r="G33" s="219"/>
      <c r="H33" s="219"/>
      <c r="I33" s="220"/>
      <c r="J33" s="221"/>
      <c r="K33" s="220">
        <f>K25+K32</f>
        <v>7394810</v>
      </c>
      <c r="L33" s="185" t="s">
        <v>257</v>
      </c>
      <c r="M33" s="90"/>
      <c r="N33" s="90"/>
      <c r="O33" s="90"/>
      <c r="P33" s="90"/>
      <c r="Q33" s="19"/>
      <c r="R33" s="19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s="3" customFormat="1" ht="18" customHeight="1">
      <c r="A34" s="186">
        <v>24</v>
      </c>
      <c r="B34" s="216" t="s">
        <v>255</v>
      </c>
      <c r="C34" s="217"/>
      <c r="D34" s="218"/>
      <c r="E34" s="219"/>
      <c r="F34" s="219"/>
      <c r="G34" s="219"/>
      <c r="H34" s="219"/>
      <c r="I34" s="220"/>
      <c r="J34" s="221"/>
      <c r="K34" s="220">
        <f>K26+K32</f>
        <v>7394810</v>
      </c>
      <c r="L34" s="185" t="s">
        <v>257</v>
      </c>
      <c r="M34" s="90"/>
      <c r="N34" s="90"/>
      <c r="O34" s="90"/>
      <c r="P34" s="90"/>
      <c r="Q34" s="19"/>
      <c r="R34" s="19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s="3" customFormat="1" ht="18" customHeight="1">
      <c r="A35" s="186">
        <v>24</v>
      </c>
      <c r="B35" s="216" t="s">
        <v>256</v>
      </c>
      <c r="C35" s="217"/>
      <c r="D35" s="218"/>
      <c r="E35" s="219"/>
      <c r="F35" s="219"/>
      <c r="G35" s="219"/>
      <c r="H35" s="219"/>
      <c r="I35" s="220"/>
      <c r="J35" s="221"/>
      <c r="K35" s="220">
        <f>K27+K32</f>
        <v>8695810</v>
      </c>
      <c r="L35" s="185" t="s">
        <v>257</v>
      </c>
      <c r="M35" s="90"/>
      <c r="N35" s="90"/>
      <c r="O35" s="90"/>
      <c r="P35" s="90"/>
      <c r="Q35" s="19"/>
      <c r="R35" s="19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s="4" customFormat="1" ht="18" customHeight="1">
      <c r="A36" s="186">
        <v>25</v>
      </c>
      <c r="B36" s="102" t="s">
        <v>407</v>
      </c>
      <c r="C36" s="103"/>
      <c r="D36" s="103"/>
      <c r="E36" s="104"/>
      <c r="F36" s="105"/>
      <c r="G36" s="105"/>
      <c r="H36" s="106"/>
      <c r="I36" s="223" t="s">
        <v>41</v>
      </c>
      <c r="J36" s="223">
        <v>0.7</v>
      </c>
      <c r="K36" s="107">
        <f>(K25+K32)/J36</f>
        <v>10564014.285714287</v>
      </c>
      <c r="L36" s="185" t="s">
        <v>250</v>
      </c>
      <c r="M36" s="90"/>
      <c r="N36" s="90"/>
      <c r="O36" s="90"/>
      <c r="P36" s="90"/>
      <c r="Q36" s="19"/>
      <c r="R36" s="19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s="4" customFormat="1" ht="18" customHeight="1">
      <c r="A37" s="186">
        <v>25</v>
      </c>
      <c r="B37" s="102" t="s">
        <v>408</v>
      </c>
      <c r="C37" s="103"/>
      <c r="D37" s="103"/>
      <c r="E37" s="104"/>
      <c r="F37" s="105"/>
      <c r="G37" s="105"/>
      <c r="H37" s="106"/>
      <c r="I37" s="223" t="s">
        <v>41</v>
      </c>
      <c r="J37" s="223">
        <v>0.7</v>
      </c>
      <c r="K37" s="107">
        <f>(K26+K32)/J37</f>
        <v>10564014.285714287</v>
      </c>
      <c r="L37" s="185" t="s">
        <v>250</v>
      </c>
      <c r="M37" s="90"/>
      <c r="N37" s="90"/>
      <c r="O37" s="90"/>
      <c r="P37" s="90"/>
      <c r="Q37" s="19"/>
      <c r="R37" s="19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s="4" customFormat="1" ht="18" customHeight="1">
      <c r="A38" s="186">
        <v>25</v>
      </c>
      <c r="B38" s="102" t="s">
        <v>409</v>
      </c>
      <c r="C38" s="103"/>
      <c r="D38" s="103"/>
      <c r="E38" s="104"/>
      <c r="F38" s="105"/>
      <c r="G38" s="105"/>
      <c r="H38" s="106"/>
      <c r="I38" s="223" t="s">
        <v>41</v>
      </c>
      <c r="J38" s="223">
        <v>0.7</v>
      </c>
      <c r="K38" s="107">
        <f>(K27+K32)/J38</f>
        <v>12422585.714285715</v>
      </c>
      <c r="L38" s="185" t="s">
        <v>250</v>
      </c>
      <c r="M38" s="90"/>
      <c r="N38" s="90"/>
      <c r="O38" s="90"/>
      <c r="P38" s="90"/>
      <c r="Q38" s="19"/>
      <c r="R38" s="19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s="4" customFormat="1" ht="18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57"/>
      <c r="M39" s="108"/>
      <c r="N39" s="108"/>
      <c r="O39" s="108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s="4" customFormat="1" ht="18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57"/>
      <c r="M40" s="108"/>
      <c r="N40" s="108"/>
      <c r="O40" s="108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s="4" customFormat="1" ht="18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57"/>
      <c r="M41" s="108"/>
      <c r="N41" s="108"/>
      <c r="O41" s="108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s="4" customFormat="1" ht="18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57"/>
      <c r="M42" s="108"/>
      <c r="N42" s="108"/>
      <c r="O42" s="108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s="4" customFormat="1" ht="18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57"/>
      <c r="M43" s="108"/>
      <c r="N43" s="108"/>
      <c r="O43" s="108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s="4" customFormat="1" ht="18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57"/>
      <c r="M44" s="108"/>
      <c r="N44" s="108"/>
      <c r="O44" s="108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s="4" customFormat="1" ht="18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57"/>
      <c r="M45" s="108"/>
      <c r="N45" s="108"/>
      <c r="O45" s="108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s="4" customFormat="1" ht="18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57"/>
      <c r="M46" s="108"/>
      <c r="N46" s="108"/>
      <c r="O46" s="108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s="4" customFormat="1" ht="12.75">
      <c r="A47" s="10"/>
      <c r="B47" s="10"/>
      <c r="C47" s="10"/>
      <c r="D47" s="109"/>
      <c r="E47" s="10"/>
      <c r="F47" s="10"/>
      <c r="G47" s="10"/>
      <c r="H47" s="10"/>
      <c r="I47" s="10"/>
      <c r="J47" s="10"/>
      <c r="K47" s="10"/>
      <c r="L47" s="108"/>
      <c r="M47" s="108"/>
      <c r="N47" s="108"/>
      <c r="O47" s="108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s="4" customFormat="1" ht="12.7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57"/>
      <c r="M48" s="108"/>
      <c r="N48" s="108"/>
      <c r="O48" s="108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s="4" customFormat="1" ht="12.7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57"/>
      <c r="M49" s="108"/>
      <c r="N49" s="108"/>
      <c r="O49" s="108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s="5" customForma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57"/>
      <c r="M50" s="87"/>
      <c r="N50" s="87"/>
      <c r="O50" s="8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s="5" customForma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57"/>
      <c r="M51" s="87"/>
      <c r="N51" s="87"/>
      <c r="O51" s="87"/>
      <c r="P51" s="10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s="5" customForma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57"/>
      <c r="M52" s="87"/>
      <c r="N52" s="87"/>
      <c r="O52" s="87"/>
      <c r="P52" s="10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</sheetData>
  <mergeCells count="6">
    <mergeCell ref="A1:K1"/>
    <mergeCell ref="D3:E3"/>
    <mergeCell ref="F3:H3"/>
    <mergeCell ref="L4:P4"/>
    <mergeCell ref="L6:P6"/>
    <mergeCell ref="G4:H4"/>
  </mergeCells>
  <phoneticPr fontId="7" type="noConversion"/>
  <pageMargins left="0.75" right="0.75" top="1" bottom="1" header="0.5" footer="0.5"/>
  <pageSetup paperSize="9" scale="62" orientation="portrait" r:id="rId1"/>
  <headerFooter alignWithMargins="0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</sheetPr>
  <dimension ref="A1:AE52"/>
  <sheetViews>
    <sheetView view="pageBreakPreview" topLeftCell="A4" zoomScale="85" zoomScaleNormal="100" zoomScaleSheetLayoutView="85" workbookViewId="0">
      <selection activeCell="M23" sqref="M23"/>
    </sheetView>
  </sheetViews>
  <sheetFormatPr defaultColWidth="8.88671875" defaultRowHeight="13.5"/>
  <cols>
    <col min="1" max="1" width="5.26171875" style="10" customWidth="1"/>
    <col min="2" max="2" width="20.23046875" style="10" bestFit="1" customWidth="1"/>
    <col min="3" max="3" width="14.3828125" style="10" bestFit="1" customWidth="1"/>
    <col min="4" max="4" width="3.7421875" style="10" customWidth="1"/>
    <col min="5" max="5" width="8.30078125" style="10" customWidth="1"/>
    <col min="6" max="6" width="7.83203125" style="10" bestFit="1" customWidth="1"/>
    <col min="7" max="7" width="5.73046875" style="10" customWidth="1"/>
    <col min="8" max="8" width="9.703125" style="10" bestFit="1" customWidth="1"/>
    <col min="9" max="9" width="10.9921875" style="10" customWidth="1"/>
    <col min="10" max="10" width="12.74609375" style="10" bestFit="1" customWidth="1"/>
    <col min="11" max="11" width="18.125" style="10" bestFit="1" customWidth="1"/>
    <col min="12" max="12" width="22.453125" style="157" bestFit="1" customWidth="1"/>
    <col min="13" max="13" width="13.796875" style="87" customWidth="1"/>
    <col min="14" max="14" width="12.16015625" style="87" bestFit="1" customWidth="1"/>
    <col min="15" max="15" width="9.703125" style="87" customWidth="1"/>
    <col min="16" max="16" width="12.16015625" style="8" bestFit="1" customWidth="1"/>
    <col min="17" max="18" width="15.43359375" style="8" bestFit="1" customWidth="1"/>
    <col min="19" max="19" width="8.88671875" style="8"/>
    <col min="20" max="20" width="17.07421875" style="8" bestFit="1" customWidth="1"/>
    <col min="21" max="31" width="8.88671875" style="8"/>
    <col min="32" max="16384" width="8.88671875" style="2"/>
  </cols>
  <sheetData>
    <row r="1" spans="1:31" ht="24.75" thickTop="1" thickBot="1">
      <c r="A1" s="336" t="s">
        <v>190</v>
      </c>
      <c r="B1" s="337"/>
      <c r="C1" s="337"/>
      <c r="D1" s="337"/>
      <c r="E1" s="337"/>
      <c r="F1" s="337"/>
      <c r="G1" s="337"/>
      <c r="H1" s="337"/>
      <c r="I1" s="337"/>
      <c r="J1" s="337"/>
      <c r="K1" s="338"/>
      <c r="L1" s="270" t="s">
        <v>420</v>
      </c>
      <c r="M1" s="271"/>
      <c r="N1" s="270" t="s">
        <v>421</v>
      </c>
      <c r="O1" s="269"/>
    </row>
    <row r="2" spans="1:31" ht="14.45" customHeight="1" thickTop="1" thickBot="1">
      <c r="A2" s="158"/>
      <c r="B2" s="158"/>
      <c r="C2" s="115"/>
      <c r="E2" s="115"/>
      <c r="F2" s="115"/>
      <c r="G2" s="115"/>
    </row>
    <row r="3" spans="1:31" ht="15" thickTop="1" thickBot="1">
      <c r="A3" s="264" t="s">
        <v>191</v>
      </c>
      <c r="B3" s="263" t="s">
        <v>419</v>
      </c>
      <c r="C3" s="264" t="s">
        <v>192</v>
      </c>
      <c r="D3" s="339" t="s">
        <v>193</v>
      </c>
      <c r="E3" s="340"/>
      <c r="F3" s="341" t="s">
        <v>194</v>
      </c>
      <c r="G3" s="339"/>
      <c r="H3" s="339"/>
      <c r="I3" s="187" t="s">
        <v>416</v>
      </c>
      <c r="J3" s="264" t="s">
        <v>197</v>
      </c>
      <c r="K3" s="188" t="s">
        <v>415</v>
      </c>
    </row>
    <row r="4" spans="1:31" ht="19.149999999999999" customHeight="1" thickTop="1" thickBot="1">
      <c r="G4" s="347" t="s">
        <v>435</v>
      </c>
      <c r="H4" s="348"/>
      <c r="I4" s="280" t="s">
        <v>434</v>
      </c>
      <c r="J4" s="197" t="s">
        <v>332</v>
      </c>
      <c r="K4" s="263">
        <v>2032</v>
      </c>
      <c r="L4" s="342" t="s">
        <v>207</v>
      </c>
      <c r="M4" s="343"/>
      <c r="N4" s="343"/>
      <c r="O4" s="343"/>
      <c r="P4" s="343"/>
    </row>
    <row r="5" spans="1:31" s="3" customFormat="1" ht="25.15" customHeight="1" thickTop="1">
      <c r="A5" s="9" t="s">
        <v>1</v>
      </c>
      <c r="B5" s="9" t="s">
        <v>164</v>
      </c>
      <c r="C5" s="88" t="s">
        <v>165</v>
      </c>
      <c r="D5" s="89" t="s">
        <v>166</v>
      </c>
      <c r="E5" s="9" t="s">
        <v>167</v>
      </c>
      <c r="F5" s="9" t="s">
        <v>168</v>
      </c>
      <c r="G5" s="196" t="s">
        <v>169</v>
      </c>
      <c r="H5" s="196" t="s">
        <v>170</v>
      </c>
      <c r="I5" s="123" t="s">
        <v>171</v>
      </c>
      <c r="J5" s="195" t="s">
        <v>172</v>
      </c>
      <c r="K5" s="196" t="s">
        <v>173</v>
      </c>
      <c r="L5" s="90" t="s">
        <v>198</v>
      </c>
      <c r="M5" s="121" t="s">
        <v>199</v>
      </c>
      <c r="N5" s="90" t="s">
        <v>38</v>
      </c>
      <c r="O5" s="90" t="s">
        <v>200</v>
      </c>
      <c r="P5" s="90" t="s">
        <v>201</v>
      </c>
      <c r="Q5" s="90" t="s">
        <v>265</v>
      </c>
      <c r="R5" s="90" t="s">
        <v>266</v>
      </c>
      <c r="S5" s="10"/>
      <c r="T5" s="191" t="s">
        <v>331</v>
      </c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s="3" customFormat="1" ht="18" customHeight="1">
      <c r="A6" s="207">
        <v>1</v>
      </c>
      <c r="B6" s="244" t="s">
        <v>181</v>
      </c>
      <c r="C6" s="245">
        <f>COVER!B13</f>
        <v>0</v>
      </c>
      <c r="D6" s="246">
        <v>1</v>
      </c>
      <c r="E6" s="247"/>
      <c r="F6" s="248" t="s">
        <v>202</v>
      </c>
      <c r="G6" s="249"/>
      <c r="H6" s="250">
        <f>COVER!C13</f>
        <v>0</v>
      </c>
      <c r="I6" s="251" t="e">
        <f>D6*F6*H6</f>
        <v>#VALUE!</v>
      </c>
      <c r="J6" s="252" t="b">
        <f>IF(AND(H6&gt;0),IF(C6="A536 Gr65-45-12",L6,IF(C6="A216 WCB",M6,IF(C6="A395 Gr65-15-15",L6))))</f>
        <v>0</v>
      </c>
      <c r="K6" s="253" t="e">
        <f t="shared" ref="K6:K12" si="0">I6+J6</f>
        <v>#VALUE!</v>
      </c>
      <c r="L6" s="344" t="s">
        <v>202</v>
      </c>
      <c r="M6" s="345"/>
      <c r="N6" s="345"/>
      <c r="O6" s="345"/>
      <c r="P6" s="346"/>
      <c r="Q6" s="19"/>
      <c r="R6" s="19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s="3" customFormat="1" ht="18" customHeight="1">
      <c r="A7" s="207">
        <v>1</v>
      </c>
      <c r="B7" s="244" t="s">
        <v>182</v>
      </c>
      <c r="C7" s="245" t="str">
        <f>COVER!B14</f>
        <v>A536 Gr65-45-12</v>
      </c>
      <c r="D7" s="246">
        <v>1</v>
      </c>
      <c r="E7" s="247"/>
      <c r="F7" s="248" t="s">
        <v>202</v>
      </c>
      <c r="G7" s="249"/>
      <c r="H7" s="250">
        <f>COVER!C14</f>
        <v>3500</v>
      </c>
      <c r="I7" s="251" t="e">
        <f>D7*F7*H7</f>
        <v>#VALUE!</v>
      </c>
      <c r="J7" s="252">
        <f>IF(AND(H7&gt;0),IF(C7="A536 Gr65-45-12",L7,IF(C7="A216 WCB",M7,IF(C7="A395 Gr65-15-15",L7))))</f>
        <v>0</v>
      </c>
      <c r="K7" s="253" t="e">
        <f t="shared" si="0"/>
        <v>#VALUE!</v>
      </c>
      <c r="L7" s="163"/>
      <c r="M7" s="163"/>
      <c r="N7" s="265"/>
      <c r="O7" s="90"/>
      <c r="P7" s="90"/>
      <c r="Q7" s="19"/>
      <c r="R7" s="19"/>
      <c r="S7" s="275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s="3" customFormat="1" ht="18" customHeight="1">
      <c r="A8" s="207">
        <v>1</v>
      </c>
      <c r="B8" s="224" t="s">
        <v>183</v>
      </c>
      <c r="C8" s="225">
        <f>COVER!B15</f>
        <v>0</v>
      </c>
      <c r="D8" s="226">
        <v>1</v>
      </c>
      <c r="E8" s="215"/>
      <c r="F8" s="227">
        <v>1942</v>
      </c>
      <c r="G8" s="227"/>
      <c r="H8" s="228">
        <f>COVER!C15</f>
        <v>0</v>
      </c>
      <c r="I8" s="229">
        <f>D8*F8*H8</f>
        <v>0</v>
      </c>
      <c r="J8" s="230" t="b">
        <f>IF(AND(H8&gt;0),IF(C8="A536 Gr65-45-12",L8,IF(C8="A216 WCB",M8,IF(C8="A395 Gr65-15-15",L8))))</f>
        <v>0</v>
      </c>
      <c r="K8" s="231">
        <f t="shared" si="0"/>
        <v>0</v>
      </c>
      <c r="L8" s="265">
        <v>1300000</v>
      </c>
      <c r="M8" s="265">
        <f>L8*1.15</f>
        <v>1495000</v>
      </c>
      <c r="N8" s="163" t="s">
        <v>404</v>
      </c>
      <c r="O8" s="163" t="s">
        <v>404</v>
      </c>
      <c r="P8" s="163" t="s">
        <v>404</v>
      </c>
      <c r="Q8" s="272">
        <v>1758</v>
      </c>
      <c r="R8" s="272">
        <v>1758</v>
      </c>
      <c r="S8" s="276" t="s">
        <v>432</v>
      </c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s="3" customFormat="1" ht="18" customHeight="1">
      <c r="A9" s="207">
        <v>2</v>
      </c>
      <c r="B9" s="232" t="s">
        <v>2</v>
      </c>
      <c r="C9" s="225" t="str">
        <f>COVER!B16</f>
        <v>A351 CF8M</v>
      </c>
      <c r="D9" s="226">
        <v>1</v>
      </c>
      <c r="E9" s="215"/>
      <c r="F9" s="227">
        <v>1126</v>
      </c>
      <c r="G9" s="227"/>
      <c r="H9" s="228">
        <f>COVER!C16</f>
        <v>12000</v>
      </c>
      <c r="I9" s="233">
        <f>D9*F9*H9</f>
        <v>13512000</v>
      </c>
      <c r="J9" s="230">
        <f>J8*0.6+210000*1.3</f>
        <v>273000</v>
      </c>
      <c r="K9" s="234">
        <f t="shared" si="0"/>
        <v>13785000</v>
      </c>
      <c r="L9" s="265">
        <v>1000000</v>
      </c>
      <c r="M9" s="273" t="s">
        <v>202</v>
      </c>
      <c r="N9" s="163" t="s">
        <v>404</v>
      </c>
      <c r="O9" s="163" t="s">
        <v>404</v>
      </c>
      <c r="P9" s="163" t="s">
        <v>404</v>
      </c>
      <c r="Q9" s="272">
        <v>1030</v>
      </c>
      <c r="R9" s="272">
        <v>1030</v>
      </c>
      <c r="S9" s="276" t="s">
        <v>432</v>
      </c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 s="3" customFormat="1" ht="18" customHeight="1">
      <c r="A10" s="207">
        <v>3</v>
      </c>
      <c r="B10" s="235" t="s">
        <v>3</v>
      </c>
      <c r="C10" s="236" t="str">
        <f>COVER!B18</f>
        <v>EPDM</v>
      </c>
      <c r="D10" s="214">
        <v>1</v>
      </c>
      <c r="E10" s="215"/>
      <c r="F10" s="227">
        <v>1</v>
      </c>
      <c r="G10" s="227"/>
      <c r="H10" s="228">
        <f>IF(C10="NBR",L10,IF(C10="EPDM",L10,IF(C10="VITON",M10)))</f>
        <v>1350000</v>
      </c>
      <c r="I10" s="233">
        <f>H10*F10*D10</f>
        <v>1350000</v>
      </c>
      <c r="J10" s="230"/>
      <c r="K10" s="234">
        <f t="shared" si="0"/>
        <v>1350000</v>
      </c>
      <c r="L10" s="163">
        <v>1350000</v>
      </c>
      <c r="M10" s="273" t="s">
        <v>202</v>
      </c>
      <c r="N10" s="163" t="s">
        <v>404</v>
      </c>
      <c r="O10" s="163" t="s">
        <v>404</v>
      </c>
      <c r="P10" s="163" t="s">
        <v>404</v>
      </c>
      <c r="Q10" s="202"/>
      <c r="R10" s="202"/>
      <c r="S10" s="275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s="3" customFormat="1" ht="18" customHeight="1">
      <c r="A11" s="207">
        <v>4</v>
      </c>
      <c r="B11" s="235" t="s">
        <v>333</v>
      </c>
      <c r="C11" s="214" t="str">
        <f>COVER!B17</f>
        <v>A564T630</v>
      </c>
      <c r="D11" s="214">
        <v>1</v>
      </c>
      <c r="E11" s="215"/>
      <c r="F11" s="243">
        <f>Q11*1.1</f>
        <v>216.678</v>
      </c>
      <c r="G11" s="238"/>
      <c r="H11" s="228">
        <f>COVER!C17</f>
        <v>10000</v>
      </c>
      <c r="I11" s="233">
        <f>D11*F11*H11</f>
        <v>2166780</v>
      </c>
      <c r="J11" s="233">
        <f>P11</f>
        <v>380000</v>
      </c>
      <c r="K11" s="234">
        <f t="shared" si="0"/>
        <v>2546780</v>
      </c>
      <c r="L11" s="163" t="s">
        <v>427</v>
      </c>
      <c r="M11" s="163"/>
      <c r="N11" s="163"/>
      <c r="O11" s="163"/>
      <c r="P11" s="266">
        <v>380000</v>
      </c>
      <c r="Q11" s="204">
        <f>118.02+78.96</f>
        <v>196.98</v>
      </c>
      <c r="R11" s="204"/>
      <c r="S11" s="277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s="3" customFormat="1" ht="18" customHeight="1">
      <c r="A12" s="207">
        <v>5</v>
      </c>
      <c r="B12" s="235" t="s">
        <v>348</v>
      </c>
      <c r="C12" s="214" t="s">
        <v>426</v>
      </c>
      <c r="D12" s="214">
        <v>4</v>
      </c>
      <c r="E12" s="215"/>
      <c r="F12" s="237">
        <v>1</v>
      </c>
      <c r="G12" s="227"/>
      <c r="H12" s="230">
        <v>23000</v>
      </c>
      <c r="I12" s="233">
        <f>D12*F12*H12</f>
        <v>92000</v>
      </c>
      <c r="J12" s="233">
        <v>0</v>
      </c>
      <c r="K12" s="234">
        <f t="shared" si="0"/>
        <v>92000</v>
      </c>
      <c r="L12" s="163" t="s">
        <v>429</v>
      </c>
      <c r="M12" s="163"/>
      <c r="N12" s="163"/>
      <c r="O12" s="90"/>
      <c r="P12" s="90"/>
      <c r="Q12" s="274" t="s">
        <v>431</v>
      </c>
      <c r="R12" s="19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s="3" customFormat="1" ht="18" customHeight="1">
      <c r="A13" s="207">
        <v>6</v>
      </c>
      <c r="B13" s="235" t="s">
        <v>163</v>
      </c>
      <c r="C13" s="214" t="s">
        <v>425</v>
      </c>
      <c r="D13" s="214">
        <v>2</v>
      </c>
      <c r="E13" s="215"/>
      <c r="F13" s="237">
        <v>1</v>
      </c>
      <c r="G13" s="227"/>
      <c r="H13" s="228">
        <v>199000</v>
      </c>
      <c r="I13" s="233">
        <f>H13*F13*D13</f>
        <v>398000</v>
      </c>
      <c r="J13" s="233">
        <v>0</v>
      </c>
      <c r="K13" s="234">
        <f>J13+I13</f>
        <v>398000</v>
      </c>
      <c r="L13" s="163" t="s">
        <v>430</v>
      </c>
      <c r="M13" s="199"/>
      <c r="N13" s="199"/>
      <c r="O13" s="199"/>
      <c r="P13" s="199"/>
      <c r="Q13" s="274" t="s">
        <v>431</v>
      </c>
      <c r="R13" s="19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s="3" customFormat="1" ht="18" customHeight="1">
      <c r="A14" s="207">
        <v>7</v>
      </c>
      <c r="B14" s="235" t="s">
        <v>350</v>
      </c>
      <c r="C14" s="214" t="s">
        <v>351</v>
      </c>
      <c r="D14" s="214">
        <v>3</v>
      </c>
      <c r="E14" s="215"/>
      <c r="F14" s="237">
        <v>1</v>
      </c>
      <c r="G14" s="227"/>
      <c r="H14" s="228">
        <v>7500</v>
      </c>
      <c r="I14" s="233">
        <f>D14*F14*H14</f>
        <v>22500</v>
      </c>
      <c r="J14" s="233"/>
      <c r="K14" s="234">
        <f>I14+J14</f>
        <v>22500</v>
      </c>
      <c r="L14" s="163"/>
      <c r="M14" s="163"/>
      <c r="N14" s="163"/>
      <c r="O14" s="90"/>
      <c r="P14" s="90"/>
      <c r="Q14" s="201" t="s">
        <v>374</v>
      </c>
      <c r="R14" s="19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s="3" customFormat="1" ht="18" customHeight="1">
      <c r="A15" s="207">
        <v>8</v>
      </c>
      <c r="B15" s="235" t="s">
        <v>386</v>
      </c>
      <c r="C15" s="214" t="str">
        <f>COVER!B22</f>
        <v>BODY MATERIAL</v>
      </c>
      <c r="D15" s="214">
        <v>1</v>
      </c>
      <c r="E15" s="215"/>
      <c r="F15" s="237">
        <v>24</v>
      </c>
      <c r="G15" s="227"/>
      <c r="H15" s="228">
        <f>IF(C15="SS400",M15,IF(C15="BODY MATERIAL",N15))</f>
        <v>168000</v>
      </c>
      <c r="I15" s="233">
        <f>H15</f>
        <v>168000</v>
      </c>
      <c r="J15" s="233">
        <f>I15*0.3</f>
        <v>50400</v>
      </c>
      <c r="K15" s="234">
        <f>I15+J15</f>
        <v>218400</v>
      </c>
      <c r="L15" s="163"/>
      <c r="M15" s="198">
        <f>F15*1200</f>
        <v>28800</v>
      </c>
      <c r="N15" s="198">
        <f>IF(AND(C15="BODY MATERIAL"),IF((H6&gt;0),H6*F15*2,IF((H7&gt;0),H7*F15*2,IF((H8&gt;0),H8*F15*2))))</f>
        <v>168000</v>
      </c>
      <c r="O15" s="198"/>
      <c r="P15" s="198"/>
      <c r="Q15" s="201" t="s">
        <v>374</v>
      </c>
      <c r="R15" s="164"/>
      <c r="S15" s="10"/>
      <c r="T15" s="10"/>
      <c r="U15" s="10">
        <f>210000*1.3</f>
        <v>273000</v>
      </c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s="3" customFormat="1" ht="18" customHeight="1">
      <c r="A16" s="207">
        <v>9</v>
      </c>
      <c r="B16" s="235" t="s">
        <v>217</v>
      </c>
      <c r="C16" s="214" t="str">
        <f>COVER!B23</f>
        <v>B8M</v>
      </c>
      <c r="D16" s="214">
        <v>6</v>
      </c>
      <c r="E16" s="215"/>
      <c r="F16" s="237"/>
      <c r="G16" s="227"/>
      <c r="H16" s="228">
        <f>IF(C16="B8",M16,IF(C16="B8M",N16,IF(C16="B7(다크로)",O16)))</f>
        <v>6500</v>
      </c>
      <c r="I16" s="233">
        <f>H16*D16</f>
        <v>39000</v>
      </c>
      <c r="J16" s="233"/>
      <c r="K16" s="234">
        <f>J16+I16</f>
        <v>39000</v>
      </c>
      <c r="L16" s="163" t="s">
        <v>393</v>
      </c>
      <c r="M16" s="198">
        <v>4500</v>
      </c>
      <c r="N16" s="198">
        <v>6500</v>
      </c>
      <c r="O16" s="198">
        <v>2900</v>
      </c>
      <c r="P16" s="198"/>
      <c r="Q16" s="204" t="s">
        <v>385</v>
      </c>
      <c r="R16" s="19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s="3" customFormat="1" ht="18" customHeight="1">
      <c r="A17" s="207">
        <v>10</v>
      </c>
      <c r="B17" s="235" t="s">
        <v>221</v>
      </c>
      <c r="C17" s="214" t="s">
        <v>426</v>
      </c>
      <c r="D17" s="214">
        <v>2</v>
      </c>
      <c r="E17" s="215"/>
      <c r="F17" s="237">
        <v>1</v>
      </c>
      <c r="G17" s="227"/>
      <c r="H17" s="228">
        <f>34200+55600</f>
        <v>89800</v>
      </c>
      <c r="I17" s="233">
        <f>H17*F17</f>
        <v>89800</v>
      </c>
      <c r="J17" s="233">
        <v>0</v>
      </c>
      <c r="K17" s="234">
        <f>J17+I17</f>
        <v>89800</v>
      </c>
      <c r="L17" s="198"/>
      <c r="M17" s="199"/>
      <c r="N17" s="198"/>
      <c r="O17" s="198"/>
      <c r="P17" s="198"/>
      <c r="Q17" s="202"/>
      <c r="R17" s="19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s="3" customFormat="1" ht="18" customHeight="1">
      <c r="A18" s="207">
        <v>11</v>
      </c>
      <c r="B18" s="235" t="s">
        <v>187</v>
      </c>
      <c r="C18" s="214" t="s">
        <v>353</v>
      </c>
      <c r="D18" s="214">
        <v>1</v>
      </c>
      <c r="E18" s="215"/>
      <c r="F18" s="237">
        <f>34/4</f>
        <v>8.5</v>
      </c>
      <c r="G18" s="227"/>
      <c r="H18" s="228">
        <f>M18</f>
        <v>10200</v>
      </c>
      <c r="I18" s="233">
        <f>H18*D18</f>
        <v>10200</v>
      </c>
      <c r="J18" s="233">
        <f>I18*0.5</f>
        <v>5100</v>
      </c>
      <c r="K18" s="234">
        <f>J18+I18</f>
        <v>15300</v>
      </c>
      <c r="L18" s="163"/>
      <c r="M18" s="163">
        <f>F18*1200</f>
        <v>10200</v>
      </c>
      <c r="N18" s="163"/>
      <c r="O18" s="163"/>
      <c r="P18" s="163"/>
      <c r="Q18" s="205"/>
      <c r="R18" s="165"/>
      <c r="S18" s="145"/>
      <c r="T18" s="145"/>
      <c r="U18" s="145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 s="3" customFormat="1" ht="18" customHeight="1">
      <c r="A19" s="207">
        <v>12</v>
      </c>
      <c r="B19" s="235" t="s">
        <v>189</v>
      </c>
      <c r="C19" s="214" t="str">
        <f>COVER!B26</f>
        <v>B8M</v>
      </c>
      <c r="D19" s="214">
        <v>6</v>
      </c>
      <c r="E19" s="215"/>
      <c r="F19" s="237"/>
      <c r="G19" s="227"/>
      <c r="H19" s="230">
        <f>IF(C19="B8",M19,IF(C19="B8M",N19))</f>
        <v>2200</v>
      </c>
      <c r="I19" s="233">
        <f>H19*D19</f>
        <v>13200</v>
      </c>
      <c r="J19" s="233"/>
      <c r="K19" s="234">
        <f>I19+J19</f>
        <v>13200</v>
      </c>
      <c r="L19" s="163" t="s">
        <v>422</v>
      </c>
      <c r="M19" s="163">
        <v>1200</v>
      </c>
      <c r="N19" s="163">
        <v>2200</v>
      </c>
      <c r="O19" s="198">
        <v>1000</v>
      </c>
      <c r="P19" s="90"/>
      <c r="Q19" s="204" t="s">
        <v>381</v>
      </c>
      <c r="R19" s="19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s="3" customFormat="1" ht="18" customHeight="1">
      <c r="A20" s="207">
        <v>13</v>
      </c>
      <c r="B20" s="235" t="s">
        <v>188</v>
      </c>
      <c r="C20" s="214" t="str">
        <f>COVER!B27</f>
        <v>B8M</v>
      </c>
      <c r="D20" s="214">
        <v>8</v>
      </c>
      <c r="E20" s="215"/>
      <c r="F20" s="237"/>
      <c r="G20" s="227"/>
      <c r="H20" s="228">
        <f>IF(C20="B8",M20,IF(C20="B8M",N20,IF(C20="B7(다크로)",O20)))</f>
        <v>9000</v>
      </c>
      <c r="I20" s="233">
        <f>H20*D20</f>
        <v>72000</v>
      </c>
      <c r="J20" s="233"/>
      <c r="K20" s="234">
        <f t="shared" ref="K20:K24" si="1">I20+J20</f>
        <v>72000</v>
      </c>
      <c r="L20" s="163" t="s">
        <v>424</v>
      </c>
      <c r="M20" s="163">
        <v>7800</v>
      </c>
      <c r="N20" s="163">
        <v>9000</v>
      </c>
      <c r="O20" s="198">
        <v>4500</v>
      </c>
      <c r="P20" s="90"/>
      <c r="Q20" s="204" t="s">
        <v>423</v>
      </c>
      <c r="R20" s="19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s="3" customFormat="1" ht="18" customHeight="1">
      <c r="A21" s="207">
        <v>14</v>
      </c>
      <c r="B21" s="235" t="s">
        <v>349</v>
      </c>
      <c r="C21" s="214"/>
      <c r="D21" s="214">
        <v>8</v>
      </c>
      <c r="E21" s="215"/>
      <c r="F21" s="237"/>
      <c r="G21" s="227"/>
      <c r="H21" s="228">
        <v>1500</v>
      </c>
      <c r="I21" s="233">
        <f>H21*D21</f>
        <v>12000</v>
      </c>
      <c r="J21" s="241"/>
      <c r="K21" s="234">
        <f>I21+J21</f>
        <v>12000</v>
      </c>
      <c r="L21" s="163" t="s">
        <v>428</v>
      </c>
      <c r="M21" s="90"/>
      <c r="N21" s="90"/>
      <c r="O21" s="90"/>
      <c r="P21" s="90"/>
      <c r="Q21" s="201" t="s">
        <v>374</v>
      </c>
      <c r="R21" s="19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s="3" customFormat="1" ht="18" customHeight="1">
      <c r="A22" s="207">
        <v>15</v>
      </c>
      <c r="B22" s="235" t="s">
        <v>6</v>
      </c>
      <c r="C22" s="214" t="str">
        <f>COVER!B34</f>
        <v>10 BAR</v>
      </c>
      <c r="D22" s="214">
        <v>1</v>
      </c>
      <c r="E22" s="215"/>
      <c r="F22" s="237"/>
      <c r="G22" s="242"/>
      <c r="H22" s="228"/>
      <c r="I22" s="233">
        <f>IF(C22="10 BAR",M22,IF(C22="16 BAR",N22,IF(C22="20 BAR",O22)))</f>
        <v>1823000</v>
      </c>
      <c r="J22" s="241"/>
      <c r="K22" s="234">
        <f t="shared" si="1"/>
        <v>1823000</v>
      </c>
      <c r="L22" s="90"/>
      <c r="M22" s="163">
        <v>1823000</v>
      </c>
      <c r="N22" s="163">
        <v>3508000</v>
      </c>
      <c r="O22" s="163">
        <v>5200000</v>
      </c>
      <c r="P22" s="90"/>
      <c r="Q22" s="279" t="s">
        <v>433</v>
      </c>
      <c r="R22" s="19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s="3" customFormat="1" ht="18" customHeight="1">
      <c r="A23" s="207">
        <v>16</v>
      </c>
      <c r="B23" s="235" t="s">
        <v>7</v>
      </c>
      <c r="C23" s="214" t="str">
        <f>COVER!B32</f>
        <v>기존 단가</v>
      </c>
      <c r="D23" s="214">
        <v>1</v>
      </c>
      <c r="E23" s="215"/>
      <c r="F23" s="237"/>
      <c r="G23" s="242"/>
      <c r="H23" s="228">
        <f>IF(COVER!B9="APPLICATION",0,IF(COVER!B32="기존 단가",L23,IF(COVER!B32="외주 2COATING",M23,IF(COVER!B32="외주 3COATING",N23))))</f>
        <v>1470000</v>
      </c>
      <c r="I23" s="233">
        <f>H23</f>
        <v>1470000</v>
      </c>
      <c r="J23" s="233"/>
      <c r="K23" s="234">
        <f t="shared" si="1"/>
        <v>1470000</v>
      </c>
      <c r="L23" s="163">
        <v>1470000</v>
      </c>
      <c r="M23" s="163" t="e">
        <f>IF(H6&gt;0,F6*520,IF(H7&gt;0,F7*520,IF(H8&gt;0,F8*520)))</f>
        <v>#VALUE!</v>
      </c>
      <c r="N23" s="163" t="e">
        <f>IF(H6&gt;0,F6*620,IF(H7&gt;0,F7*620,IF(H8&gt;0,F8*620)))</f>
        <v>#VALUE!</v>
      </c>
      <c r="O23" s="90"/>
      <c r="P23" s="182"/>
      <c r="Q23" s="19"/>
      <c r="R23" s="19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s="3" customFormat="1" ht="18" customHeight="1">
      <c r="A24" s="207">
        <v>17</v>
      </c>
      <c r="B24" s="235" t="s">
        <v>174</v>
      </c>
      <c r="C24" s="214"/>
      <c r="D24" s="214">
        <v>1</v>
      </c>
      <c r="E24" s="215"/>
      <c r="F24" s="237"/>
      <c r="G24" s="242"/>
      <c r="H24" s="228">
        <f>IF(COVER!B9="APPLICATION",0,IF(COVER!B9="N/A",L24))</f>
        <v>1470000</v>
      </c>
      <c r="I24" s="233">
        <f>H24</f>
        <v>1470000</v>
      </c>
      <c r="J24" s="234"/>
      <c r="K24" s="234">
        <f t="shared" si="1"/>
        <v>1470000</v>
      </c>
      <c r="L24" s="163">
        <v>1470000</v>
      </c>
      <c r="M24" s="90"/>
      <c r="N24" s="90"/>
      <c r="O24" s="90"/>
      <c r="P24" s="90"/>
      <c r="Q24" s="19"/>
      <c r="R24" s="19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s="3" customFormat="1" ht="18" customHeight="1">
      <c r="A25" s="207">
        <v>18</v>
      </c>
      <c r="B25" s="97" t="s">
        <v>175</v>
      </c>
      <c r="C25" s="14"/>
      <c r="D25" s="14"/>
      <c r="E25" s="15"/>
      <c r="F25" s="15"/>
      <c r="G25" s="15"/>
      <c r="H25" s="15"/>
      <c r="I25" s="98"/>
      <c r="J25" s="98"/>
      <c r="K25" s="16">
        <f>SUM(K8:K21)+SUM(K23:K24)</f>
        <v>21593980</v>
      </c>
      <c r="L25" s="265" t="s">
        <v>248</v>
      </c>
      <c r="M25" s="90"/>
      <c r="N25" s="90"/>
      <c r="O25" s="90"/>
      <c r="P25" s="90"/>
      <c r="Q25" s="19"/>
      <c r="R25" s="19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s="3" customFormat="1" ht="18" customHeight="1">
      <c r="A26" s="207">
        <v>18</v>
      </c>
      <c r="B26" s="97" t="s">
        <v>176</v>
      </c>
      <c r="C26" s="14"/>
      <c r="D26" s="14"/>
      <c r="E26" s="15"/>
      <c r="F26" s="15"/>
      <c r="G26" s="15"/>
      <c r="H26" s="15"/>
      <c r="I26" s="98"/>
      <c r="J26" s="98"/>
      <c r="K26" s="16">
        <f>SUM(K8:K21)+SUM(K23:K24)</f>
        <v>21593980</v>
      </c>
      <c r="L26" s="265" t="s">
        <v>248</v>
      </c>
      <c r="M26" s="90"/>
      <c r="N26" s="90"/>
      <c r="O26" s="90"/>
      <c r="P26" s="90"/>
      <c r="Q26" s="19"/>
      <c r="R26" s="19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s="3" customFormat="1" ht="18" customHeight="1">
      <c r="A27" s="207">
        <v>18</v>
      </c>
      <c r="B27" s="97" t="s">
        <v>177</v>
      </c>
      <c r="C27" s="14"/>
      <c r="D27" s="14"/>
      <c r="E27" s="15"/>
      <c r="F27" s="15"/>
      <c r="G27" s="15"/>
      <c r="H27" s="15"/>
      <c r="I27" s="98"/>
      <c r="J27" s="98"/>
      <c r="K27" s="16">
        <f>SUM(K8:K24)</f>
        <v>23416980</v>
      </c>
      <c r="L27" s="265" t="s">
        <v>248</v>
      </c>
      <c r="M27" s="90"/>
      <c r="N27" s="90"/>
      <c r="O27" s="90"/>
      <c r="P27" s="90"/>
      <c r="Q27" s="19"/>
      <c r="R27" s="19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s="3" customFormat="1" ht="18" customHeight="1">
      <c r="A28" s="207">
        <v>19</v>
      </c>
      <c r="B28" s="235" t="s">
        <v>237</v>
      </c>
      <c r="C28" s="214" t="str">
        <f>COVER!B28</f>
        <v>REQUIRED</v>
      </c>
      <c r="D28" s="214">
        <v>0</v>
      </c>
      <c r="E28" s="215"/>
      <c r="F28" s="239"/>
      <c r="G28" s="215"/>
      <c r="H28" s="233">
        <f>IF(C28="REQUIRED",L28,IF(C28="N/A",0))</f>
        <v>0</v>
      </c>
      <c r="I28" s="233">
        <f>H28</f>
        <v>0</v>
      </c>
      <c r="J28" s="215"/>
      <c r="K28" s="234">
        <f>I28+J28</f>
        <v>0</v>
      </c>
      <c r="L28" s="163"/>
      <c r="M28" s="90"/>
      <c r="N28" s="90"/>
      <c r="O28" s="90"/>
      <c r="P28" s="90"/>
      <c r="Q28" s="19"/>
      <c r="R28" s="19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s="3" customFormat="1" ht="18" customHeight="1">
      <c r="A29" s="207">
        <v>20</v>
      </c>
      <c r="B29" s="235" t="s">
        <v>180</v>
      </c>
      <c r="C29" s="214"/>
      <c r="D29" s="214">
        <v>0</v>
      </c>
      <c r="E29" s="215"/>
      <c r="F29" s="239"/>
      <c r="G29" s="215"/>
      <c r="H29" s="215"/>
      <c r="I29" s="215"/>
      <c r="J29" s="215"/>
      <c r="K29" s="234"/>
      <c r="L29" s="265"/>
      <c r="M29" s="90"/>
      <c r="N29" s="90"/>
      <c r="O29" s="90"/>
      <c r="P29" s="90"/>
      <c r="Q29" s="19"/>
      <c r="R29" s="19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s="3" customFormat="1" ht="18" customHeight="1">
      <c r="A30" s="207">
        <v>21</v>
      </c>
      <c r="B30" s="235" t="s">
        <v>178</v>
      </c>
      <c r="C30" s="214" t="str">
        <f>COVER!B35</f>
        <v>MOTOR</v>
      </c>
      <c r="D30" s="214">
        <v>1</v>
      </c>
      <c r="E30" s="215"/>
      <c r="F30" s="239"/>
      <c r="G30" s="215"/>
      <c r="H30" s="233">
        <f>IF(COVER!B9="APPLICATION",0,IF(COVER!B35="BARE",M30,(IF(COVER!B35="LEVER",M30,IF(COVER!B35="GEAR",N30,IF(COVER!B35="MOTOR",O30))))))</f>
        <v>950000</v>
      </c>
      <c r="I30" s="234">
        <f>H30</f>
        <v>950000</v>
      </c>
      <c r="J30" s="215"/>
      <c r="K30" s="234">
        <f t="shared" ref="K30" si="2">I30+J30</f>
        <v>950000</v>
      </c>
      <c r="L30" s="163"/>
      <c r="M30" s="163">
        <v>700000</v>
      </c>
      <c r="N30" s="163">
        <v>700000</v>
      </c>
      <c r="O30" s="163">
        <v>950000</v>
      </c>
      <c r="P30" s="90"/>
      <c r="Q30" s="19"/>
      <c r="R30" s="19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s="3" customFormat="1" ht="18" customHeight="1">
      <c r="A31" s="207">
        <v>22</v>
      </c>
      <c r="B31" s="235"/>
      <c r="C31" s="214"/>
      <c r="D31" s="214"/>
      <c r="E31" s="215"/>
      <c r="F31" s="239"/>
      <c r="G31" s="215"/>
      <c r="H31" s="233"/>
      <c r="I31" s="234"/>
      <c r="J31" s="215"/>
      <c r="K31" s="234"/>
      <c r="L31" s="163"/>
      <c r="M31" s="163"/>
      <c r="N31" s="163"/>
      <c r="O31" s="198"/>
      <c r="P31" s="90"/>
      <c r="Q31" s="204"/>
      <c r="R31" s="19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s="3" customFormat="1" ht="18" customHeight="1">
      <c r="A32" s="207">
        <v>23</v>
      </c>
      <c r="B32" s="89" t="s">
        <v>179</v>
      </c>
      <c r="C32" s="14"/>
      <c r="D32" s="99"/>
      <c r="E32" s="15"/>
      <c r="F32" s="15"/>
      <c r="G32" s="15"/>
      <c r="H32" s="15"/>
      <c r="I32" s="100"/>
      <c r="J32" s="101"/>
      <c r="K32" s="100">
        <f>SUM(K28:K31)</f>
        <v>950000</v>
      </c>
      <c r="L32" s="265" t="s">
        <v>249</v>
      </c>
      <c r="M32" s="90"/>
      <c r="N32" s="90"/>
      <c r="O32" s="90"/>
      <c r="P32" s="90"/>
      <c r="Q32" s="19"/>
      <c r="R32" s="19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s="3" customFormat="1" ht="18" customHeight="1">
      <c r="A33" s="207">
        <v>24</v>
      </c>
      <c r="B33" s="216" t="s">
        <v>252</v>
      </c>
      <c r="C33" s="217"/>
      <c r="D33" s="218"/>
      <c r="E33" s="219"/>
      <c r="F33" s="219"/>
      <c r="G33" s="219"/>
      <c r="H33" s="219"/>
      <c r="I33" s="220"/>
      <c r="J33" s="221"/>
      <c r="K33" s="220">
        <f>K25+K32</f>
        <v>22543980</v>
      </c>
      <c r="L33" s="265" t="s">
        <v>257</v>
      </c>
      <c r="M33" s="90"/>
      <c r="N33" s="90"/>
      <c r="O33" s="90"/>
      <c r="P33" s="90"/>
      <c r="Q33" s="19"/>
      <c r="R33" s="19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s="3" customFormat="1" ht="18" customHeight="1">
      <c r="A34" s="207">
        <v>24</v>
      </c>
      <c r="B34" s="216" t="s">
        <v>255</v>
      </c>
      <c r="C34" s="217"/>
      <c r="D34" s="218"/>
      <c r="E34" s="219"/>
      <c r="F34" s="219"/>
      <c r="G34" s="219"/>
      <c r="H34" s="219"/>
      <c r="I34" s="220"/>
      <c r="J34" s="221"/>
      <c r="K34" s="220">
        <f>K26+K32</f>
        <v>22543980</v>
      </c>
      <c r="L34" s="265" t="s">
        <v>257</v>
      </c>
      <c r="M34" s="90"/>
      <c r="N34" s="90"/>
      <c r="O34" s="90"/>
      <c r="P34" s="90"/>
      <c r="Q34" s="19"/>
      <c r="R34" s="19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s="3" customFormat="1" ht="18" customHeight="1">
      <c r="A35" s="207">
        <v>24</v>
      </c>
      <c r="B35" s="216" t="s">
        <v>256</v>
      </c>
      <c r="C35" s="217"/>
      <c r="D35" s="218"/>
      <c r="E35" s="219"/>
      <c r="F35" s="219"/>
      <c r="G35" s="219"/>
      <c r="H35" s="219"/>
      <c r="I35" s="220"/>
      <c r="J35" s="221"/>
      <c r="K35" s="220">
        <f>K27+K32</f>
        <v>24366980</v>
      </c>
      <c r="L35" s="265" t="s">
        <v>257</v>
      </c>
      <c r="M35" s="278"/>
      <c r="N35" s="90"/>
      <c r="O35" s="90"/>
      <c r="P35" s="90"/>
      <c r="Q35" s="19"/>
      <c r="R35" s="19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s="4" customFormat="1" ht="18" customHeight="1">
      <c r="A36" s="207">
        <v>25</v>
      </c>
      <c r="B36" s="102" t="s">
        <v>407</v>
      </c>
      <c r="C36" s="103"/>
      <c r="D36" s="103"/>
      <c r="E36" s="104"/>
      <c r="F36" s="105"/>
      <c r="G36" s="105"/>
      <c r="H36" s="106"/>
      <c r="I36" s="223" t="s">
        <v>41</v>
      </c>
      <c r="J36" s="223">
        <f>COVER!$B$10</f>
        <v>1.3</v>
      </c>
      <c r="K36" s="107">
        <f>(K25+K32)*J36</f>
        <v>29307174</v>
      </c>
      <c r="L36" s="265" t="s">
        <v>250</v>
      </c>
      <c r="M36" s="90"/>
      <c r="N36" s="90"/>
      <c r="O36" s="90"/>
      <c r="P36" s="90"/>
      <c r="Q36" s="19"/>
      <c r="R36" s="19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s="4" customFormat="1" ht="18" customHeight="1">
      <c r="A37" s="207">
        <v>25</v>
      </c>
      <c r="B37" s="102" t="s">
        <v>408</v>
      </c>
      <c r="C37" s="103"/>
      <c r="D37" s="103"/>
      <c r="E37" s="104"/>
      <c r="F37" s="105"/>
      <c r="G37" s="105"/>
      <c r="H37" s="106"/>
      <c r="I37" s="223" t="s">
        <v>41</v>
      </c>
      <c r="J37" s="223">
        <f>COVER!$B$10</f>
        <v>1.3</v>
      </c>
      <c r="K37" s="107">
        <f>(K26+K32)*J37</f>
        <v>29307174</v>
      </c>
      <c r="L37" s="265" t="s">
        <v>250</v>
      </c>
      <c r="M37" s="90"/>
      <c r="N37" s="90"/>
      <c r="O37" s="90"/>
      <c r="P37" s="90"/>
      <c r="Q37" s="19"/>
      <c r="R37" s="19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s="4" customFormat="1" ht="18" customHeight="1">
      <c r="A38" s="207">
        <v>25</v>
      </c>
      <c r="B38" s="102" t="s">
        <v>409</v>
      </c>
      <c r="C38" s="103"/>
      <c r="D38" s="103"/>
      <c r="E38" s="104"/>
      <c r="F38" s="105"/>
      <c r="G38" s="105"/>
      <c r="H38" s="106"/>
      <c r="I38" s="223" t="s">
        <v>41</v>
      </c>
      <c r="J38" s="223">
        <f>COVER!$B$10</f>
        <v>1.3</v>
      </c>
      <c r="K38" s="107">
        <f>(K27+K32)*J38</f>
        <v>31677074</v>
      </c>
      <c r="L38" s="265" t="s">
        <v>250</v>
      </c>
      <c r="M38" s="90"/>
      <c r="N38" s="90"/>
      <c r="O38" s="90"/>
      <c r="P38" s="90"/>
      <c r="Q38" s="19"/>
      <c r="R38" s="19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s="4" customFormat="1" ht="18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57"/>
      <c r="M39" s="108"/>
      <c r="N39" s="108"/>
      <c r="O39" s="108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s="4" customFormat="1" ht="18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57"/>
      <c r="M40" s="108"/>
      <c r="N40" s="108"/>
      <c r="O40" s="108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s="4" customFormat="1" ht="18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57"/>
      <c r="M41" s="108"/>
      <c r="N41" s="108"/>
      <c r="O41" s="108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s="4" customFormat="1" ht="18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57"/>
      <c r="M42" s="108"/>
      <c r="N42" s="108"/>
      <c r="O42" s="108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s="4" customFormat="1" ht="18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57"/>
      <c r="M43" s="108"/>
      <c r="N43" s="108"/>
      <c r="O43" s="108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s="4" customFormat="1" ht="18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57"/>
      <c r="M44" s="108"/>
      <c r="N44" s="108"/>
      <c r="O44" s="108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s="4" customFormat="1" ht="18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57"/>
      <c r="M45" s="108"/>
      <c r="N45" s="108"/>
      <c r="O45" s="108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s="4" customFormat="1" ht="18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57"/>
      <c r="M46" s="108"/>
      <c r="N46" s="108"/>
      <c r="O46" s="108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s="4" customFormat="1" ht="12.75">
      <c r="A47" s="10"/>
      <c r="B47" s="10"/>
      <c r="C47" s="10"/>
      <c r="D47" s="109"/>
      <c r="E47" s="10"/>
      <c r="F47" s="10"/>
      <c r="G47" s="10"/>
      <c r="H47" s="10"/>
      <c r="I47" s="10"/>
      <c r="J47" s="10"/>
      <c r="K47" s="10"/>
      <c r="L47" s="108"/>
      <c r="M47" s="108"/>
      <c r="N47" s="108"/>
      <c r="O47" s="108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s="4" customFormat="1" ht="12.7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57"/>
      <c r="M48" s="108"/>
      <c r="N48" s="108"/>
      <c r="O48" s="108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s="4" customFormat="1" ht="12.7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57"/>
      <c r="M49" s="108"/>
      <c r="N49" s="108"/>
      <c r="O49" s="108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s="5" customForma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57"/>
      <c r="M50" s="87"/>
      <c r="N50" s="87"/>
      <c r="O50" s="8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s="5" customForma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57"/>
      <c r="M51" s="87"/>
      <c r="N51" s="87"/>
      <c r="O51" s="87"/>
      <c r="P51" s="10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s="5" customForma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57"/>
      <c r="M52" s="87"/>
      <c r="N52" s="87"/>
      <c r="O52" s="87"/>
      <c r="P52" s="10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</sheetData>
  <mergeCells count="6">
    <mergeCell ref="A1:K1"/>
    <mergeCell ref="D3:E3"/>
    <mergeCell ref="F3:H3"/>
    <mergeCell ref="L4:P4"/>
    <mergeCell ref="L6:P6"/>
    <mergeCell ref="G4:H4"/>
  </mergeCells>
  <phoneticPr fontId="7" type="noConversion"/>
  <pageMargins left="0.75" right="0.75" top="1" bottom="1" header="0.5" footer="0.5"/>
  <pageSetup paperSize="9" scale="62" orientation="portrait" r:id="rId1"/>
  <headerFooter alignWithMargins="0"/>
  <ignoredErrors>
    <ignoredError sqref="K13" formula="1"/>
  </ignoredErrors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D52"/>
  <sheetViews>
    <sheetView view="pageBreakPreview" zoomScale="85" zoomScaleNormal="100" zoomScaleSheetLayoutView="85" workbookViewId="0">
      <selection activeCell="R30" sqref="R30"/>
    </sheetView>
  </sheetViews>
  <sheetFormatPr defaultColWidth="8.88671875" defaultRowHeight="13.5"/>
  <cols>
    <col min="1" max="1" width="5.26171875" style="10" customWidth="1"/>
    <col min="2" max="2" width="20.23046875" style="10" bestFit="1" customWidth="1"/>
    <col min="3" max="3" width="14.3828125" style="10" bestFit="1" customWidth="1"/>
    <col min="4" max="4" width="3.7421875" style="10" customWidth="1"/>
    <col min="5" max="5" width="8.30078125" style="10" customWidth="1"/>
    <col min="6" max="6" width="7.83203125" style="10" bestFit="1" customWidth="1"/>
    <col min="7" max="7" width="5.73046875" style="10" customWidth="1"/>
    <col min="8" max="8" width="9.703125" style="10" bestFit="1" customWidth="1"/>
    <col min="9" max="9" width="10.9921875" style="10" customWidth="1"/>
    <col min="10" max="10" width="12.74609375" style="10" bestFit="1" customWidth="1"/>
    <col min="11" max="11" width="18.125" style="10" bestFit="1" customWidth="1"/>
    <col min="12" max="12" width="22.453125" style="157" bestFit="1" customWidth="1"/>
    <col min="13" max="13" width="13.796875" style="87" customWidth="1"/>
    <col min="14" max="14" width="12.16015625" style="87" bestFit="1" customWidth="1"/>
    <col min="15" max="15" width="9.703125" style="87" customWidth="1"/>
    <col min="16" max="16" width="12.16015625" style="8" bestFit="1" customWidth="1"/>
    <col min="17" max="18" width="15.43359375" style="8" bestFit="1" customWidth="1"/>
    <col min="19" max="19" width="8.88671875" style="8"/>
    <col min="20" max="20" width="12.74609375" style="8" bestFit="1" customWidth="1"/>
    <col min="21" max="21" width="6.078125" style="8" bestFit="1" customWidth="1"/>
    <col min="22" max="22" width="10.171875" style="8" bestFit="1" customWidth="1"/>
    <col min="23" max="23" width="7.83203125" style="8" bestFit="1" customWidth="1"/>
    <col min="24" max="24" width="14.3828125" style="8" bestFit="1" customWidth="1"/>
    <col min="25" max="30" width="8.88671875" style="8"/>
    <col min="31" max="16384" width="8.88671875" style="2"/>
  </cols>
  <sheetData>
    <row r="1" spans="1:30" ht="24.75" thickTop="1" thickBot="1">
      <c r="A1" s="336" t="s">
        <v>190</v>
      </c>
      <c r="B1" s="337"/>
      <c r="C1" s="337"/>
      <c r="D1" s="337"/>
      <c r="E1" s="337"/>
      <c r="F1" s="337"/>
      <c r="G1" s="337"/>
      <c r="H1" s="337"/>
      <c r="I1" s="337"/>
      <c r="J1" s="337"/>
      <c r="K1" s="338"/>
      <c r="L1" s="270" t="s">
        <v>458</v>
      </c>
      <c r="M1" s="271"/>
      <c r="N1" s="270"/>
      <c r="O1" s="269"/>
    </row>
    <row r="2" spans="1:30" ht="14.45" customHeight="1" thickTop="1" thickBot="1">
      <c r="A2" s="158"/>
      <c r="B2" s="158"/>
      <c r="C2" s="115"/>
      <c r="E2" s="115"/>
      <c r="F2" s="115"/>
      <c r="G2" s="115"/>
    </row>
    <row r="3" spans="1:30" ht="15" thickTop="1" thickBot="1">
      <c r="A3" s="287" t="s">
        <v>191</v>
      </c>
      <c r="B3" s="286" t="s">
        <v>419</v>
      </c>
      <c r="C3" s="287" t="s">
        <v>192</v>
      </c>
      <c r="D3" s="339" t="s">
        <v>193</v>
      </c>
      <c r="E3" s="340"/>
      <c r="F3" s="341" t="s">
        <v>194</v>
      </c>
      <c r="G3" s="339"/>
      <c r="H3" s="339"/>
      <c r="I3" s="187" t="s">
        <v>416</v>
      </c>
      <c r="J3" s="287" t="s">
        <v>197</v>
      </c>
      <c r="K3" s="188" t="s">
        <v>415</v>
      </c>
    </row>
    <row r="4" spans="1:30" ht="19.149999999999999" customHeight="1" thickTop="1" thickBot="1">
      <c r="G4" s="347" t="s">
        <v>435</v>
      </c>
      <c r="H4" s="348"/>
      <c r="I4" s="280" t="s">
        <v>457</v>
      </c>
      <c r="J4" s="197" t="s">
        <v>332</v>
      </c>
      <c r="K4" s="286">
        <v>2197</v>
      </c>
      <c r="L4" s="342" t="s">
        <v>207</v>
      </c>
      <c r="M4" s="343"/>
      <c r="N4" s="343"/>
      <c r="O4" s="343"/>
      <c r="P4" s="343"/>
    </row>
    <row r="5" spans="1:30" s="3" customFormat="1" ht="25.15" customHeight="1" thickTop="1" thickBot="1">
      <c r="A5" s="9" t="s">
        <v>1</v>
      </c>
      <c r="B5" s="9" t="s">
        <v>164</v>
      </c>
      <c r="C5" s="88" t="s">
        <v>165</v>
      </c>
      <c r="D5" s="89" t="s">
        <v>166</v>
      </c>
      <c r="E5" s="9" t="s">
        <v>167</v>
      </c>
      <c r="F5" s="9" t="s">
        <v>168</v>
      </c>
      <c r="G5" s="196" t="s">
        <v>169</v>
      </c>
      <c r="H5" s="196" t="s">
        <v>170</v>
      </c>
      <c r="I5" s="123" t="s">
        <v>171</v>
      </c>
      <c r="J5" s="195" t="s">
        <v>172</v>
      </c>
      <c r="K5" s="196" t="s">
        <v>173</v>
      </c>
      <c r="L5" s="90" t="s">
        <v>198</v>
      </c>
      <c r="M5" s="121" t="s">
        <v>199</v>
      </c>
      <c r="N5" s="90" t="s">
        <v>38</v>
      </c>
      <c r="O5" s="90" t="s">
        <v>200</v>
      </c>
      <c r="P5" s="90" t="s">
        <v>201</v>
      </c>
      <c r="Q5" s="90" t="s">
        <v>265</v>
      </c>
      <c r="R5" s="90" t="s">
        <v>266</v>
      </c>
      <c r="S5" s="10"/>
      <c r="T5" s="349" t="s">
        <v>441</v>
      </c>
      <c r="U5" s="349"/>
      <c r="V5" s="349"/>
      <c r="W5" s="350">
        <v>43414</v>
      </c>
      <c r="X5" s="350"/>
      <c r="Y5" s="10"/>
      <c r="Z5" s="10"/>
      <c r="AA5" s="10"/>
      <c r="AB5" s="10"/>
      <c r="AC5" s="10"/>
      <c r="AD5" s="10"/>
    </row>
    <row r="6" spans="1:30" s="3" customFormat="1" ht="18" customHeight="1" thickTop="1" thickBot="1">
      <c r="A6" s="207">
        <v>1</v>
      </c>
      <c r="B6" s="244" t="s">
        <v>181</v>
      </c>
      <c r="C6" s="245">
        <f>COVER!B13</f>
        <v>0</v>
      </c>
      <c r="D6" s="246">
        <v>1</v>
      </c>
      <c r="E6" s="247"/>
      <c r="F6" s="248" t="s">
        <v>202</v>
      </c>
      <c r="G6" s="249"/>
      <c r="H6" s="250">
        <f>COVER!C13</f>
        <v>0</v>
      </c>
      <c r="I6" s="251" t="e">
        <f>D6*F6*H6</f>
        <v>#VALUE!</v>
      </c>
      <c r="J6" s="252" t="b">
        <f>IF(AND(H6&gt;0),IF(C6="A536 Gr65-45-12",L6,IF(C6="A216 WCB",M6,IF(C6="A395 Gr65-15-15",L6))))</f>
        <v>0</v>
      </c>
      <c r="K6" s="253" t="e">
        <f t="shared" ref="K6:K12" si="0">I6+J6</f>
        <v>#VALUE!</v>
      </c>
      <c r="L6" s="344" t="s">
        <v>202</v>
      </c>
      <c r="M6" s="345"/>
      <c r="N6" s="345"/>
      <c r="O6" s="345"/>
      <c r="P6" s="346"/>
      <c r="Q6" s="19"/>
      <c r="R6" s="19"/>
      <c r="S6" s="10"/>
      <c r="T6" s="289" t="s">
        <v>442</v>
      </c>
      <c r="U6" s="290" t="s">
        <v>443</v>
      </c>
      <c r="V6" s="290" t="s">
        <v>444</v>
      </c>
      <c r="W6" s="290" t="s">
        <v>192</v>
      </c>
      <c r="X6" s="291" t="s">
        <v>445</v>
      </c>
      <c r="Y6" s="10"/>
      <c r="Z6" s="10"/>
      <c r="AA6" s="10"/>
      <c r="AB6" s="10"/>
      <c r="AC6" s="10"/>
      <c r="AD6" s="10"/>
    </row>
    <row r="7" spans="1:30" s="3" customFormat="1" ht="18" customHeight="1" thickTop="1" thickBot="1">
      <c r="A7" s="207">
        <v>1</v>
      </c>
      <c r="B7" s="244" t="s">
        <v>182</v>
      </c>
      <c r="C7" s="245" t="str">
        <f>COVER!B14</f>
        <v>A536 Gr65-45-12</v>
      </c>
      <c r="D7" s="246">
        <v>1</v>
      </c>
      <c r="E7" s="247"/>
      <c r="F7" s="248" t="s">
        <v>202</v>
      </c>
      <c r="G7" s="249"/>
      <c r="H7" s="250">
        <f>COVER!C14</f>
        <v>3500</v>
      </c>
      <c r="I7" s="251" t="e">
        <f>D7*F7*H7</f>
        <v>#VALUE!</v>
      </c>
      <c r="J7" s="252">
        <f>IF(AND(H7&gt;0),IF(C7="A536 Gr65-45-12",L7,IF(C7="A216 WCB",M7,IF(C7="A395 Gr65-15-15",L7))))</f>
        <v>0</v>
      </c>
      <c r="K7" s="253" t="e">
        <f t="shared" si="0"/>
        <v>#VALUE!</v>
      </c>
      <c r="L7" s="163"/>
      <c r="M7" s="163"/>
      <c r="N7" s="288"/>
      <c r="O7" s="90"/>
      <c r="P7" s="90"/>
      <c r="Q7" s="19"/>
      <c r="R7" s="19"/>
      <c r="S7" s="275"/>
      <c r="T7" s="290" t="s">
        <v>446</v>
      </c>
      <c r="U7" s="290">
        <v>280</v>
      </c>
      <c r="V7" s="290">
        <v>66.7</v>
      </c>
      <c r="W7" s="290" t="s">
        <v>193</v>
      </c>
      <c r="X7" s="291">
        <v>2074</v>
      </c>
      <c r="Y7" s="10"/>
      <c r="Z7" s="10"/>
      <c r="AA7" s="10"/>
      <c r="AB7" s="10"/>
      <c r="AC7" s="10"/>
      <c r="AD7" s="10"/>
    </row>
    <row r="8" spans="1:30" s="3" customFormat="1" ht="18" customHeight="1" thickTop="1" thickBot="1">
      <c r="A8" s="207">
        <v>1</v>
      </c>
      <c r="B8" s="124" t="s">
        <v>183</v>
      </c>
      <c r="C8" s="125">
        <f>COVER!B15</f>
        <v>0</v>
      </c>
      <c r="D8" s="126">
        <v>1</v>
      </c>
      <c r="E8" s="127"/>
      <c r="F8" s="112">
        <f>2074*1.1</f>
        <v>2281.4</v>
      </c>
      <c r="G8" s="112"/>
      <c r="H8" s="128">
        <f>COVER!C15</f>
        <v>0</v>
      </c>
      <c r="I8" s="129">
        <f>D8*F8*H8</f>
        <v>0</v>
      </c>
      <c r="J8" s="130">
        <f>L8</f>
        <v>1400000</v>
      </c>
      <c r="K8" s="131">
        <f t="shared" si="0"/>
        <v>1400000</v>
      </c>
      <c r="L8" s="288">
        <v>1400000</v>
      </c>
      <c r="M8" s="288">
        <f>L8*1.15</f>
        <v>1609999.9999999998</v>
      </c>
      <c r="N8" s="163" t="s">
        <v>404</v>
      </c>
      <c r="O8" s="163" t="s">
        <v>404</v>
      </c>
      <c r="P8" s="163" t="s">
        <v>404</v>
      </c>
      <c r="Q8" s="272"/>
      <c r="R8" s="272"/>
      <c r="S8" s="276"/>
      <c r="T8" s="290" t="s">
        <v>447</v>
      </c>
      <c r="U8" s="290">
        <v>400</v>
      </c>
      <c r="V8" s="290">
        <v>67</v>
      </c>
      <c r="W8" s="290" t="s">
        <v>193</v>
      </c>
      <c r="X8" s="291">
        <v>2470</v>
      </c>
      <c r="Y8" s="10"/>
      <c r="Z8" s="10"/>
      <c r="AA8" s="10"/>
      <c r="AB8" s="10"/>
      <c r="AC8" s="10"/>
      <c r="AD8" s="10"/>
    </row>
    <row r="9" spans="1:30" s="3" customFormat="1" ht="18" customHeight="1" thickTop="1" thickBot="1">
      <c r="A9" s="207">
        <v>2</v>
      </c>
      <c r="B9" s="132" t="s">
        <v>2</v>
      </c>
      <c r="C9" s="125" t="str">
        <f>COVER!B16</f>
        <v>A351 CF8M</v>
      </c>
      <c r="D9" s="126">
        <v>1</v>
      </c>
      <c r="E9" s="127"/>
      <c r="F9" s="112">
        <v>1440</v>
      </c>
      <c r="G9" s="112"/>
      <c r="H9" s="128">
        <f>COVER!C16</f>
        <v>12000</v>
      </c>
      <c r="I9" s="94">
        <f>D9*F9*H9</f>
        <v>17280000</v>
      </c>
      <c r="J9" s="130">
        <f>J8*0.6+240000*1.3</f>
        <v>1152000</v>
      </c>
      <c r="K9" s="111">
        <f t="shared" si="0"/>
        <v>18432000</v>
      </c>
      <c r="L9" s="288">
        <v>1000000</v>
      </c>
      <c r="M9" s="273" t="s">
        <v>202</v>
      </c>
      <c r="N9" s="163" t="s">
        <v>404</v>
      </c>
      <c r="O9" s="163" t="s">
        <v>404</v>
      </c>
      <c r="P9" s="163" t="s">
        <v>404</v>
      </c>
      <c r="Q9" s="272"/>
      <c r="R9" s="272"/>
      <c r="S9" s="276"/>
      <c r="T9" s="10"/>
      <c r="U9" s="292"/>
      <c r="V9" s="292"/>
      <c r="W9" s="292"/>
      <c r="X9" s="292"/>
      <c r="Y9" s="10"/>
      <c r="Z9" s="10"/>
      <c r="AA9" s="10"/>
      <c r="AB9" s="10"/>
      <c r="AC9" s="10"/>
      <c r="AD9" s="10"/>
    </row>
    <row r="10" spans="1:30" s="3" customFormat="1" ht="18" customHeight="1" thickTop="1" thickBot="1">
      <c r="A10" s="207">
        <v>3</v>
      </c>
      <c r="B10" s="133" t="s">
        <v>3</v>
      </c>
      <c r="C10" s="134" t="str">
        <f>COVER!B18</f>
        <v>EPDM</v>
      </c>
      <c r="D10" s="110">
        <v>1</v>
      </c>
      <c r="E10" s="127"/>
      <c r="F10" s="112">
        <v>1</v>
      </c>
      <c r="G10" s="112"/>
      <c r="H10" s="128">
        <f>IF(C10="NBR",L10,IF(C10="EPDM",L10,IF(C10="VITON",M10)))</f>
        <v>1404000</v>
      </c>
      <c r="I10" s="94">
        <f>H10*F10*D10</f>
        <v>1404000</v>
      </c>
      <c r="J10" s="130"/>
      <c r="K10" s="111">
        <f t="shared" si="0"/>
        <v>1404000</v>
      </c>
      <c r="L10" s="163">
        <v>1404000</v>
      </c>
      <c r="M10" s="273" t="s">
        <v>202</v>
      </c>
      <c r="N10" s="163" t="s">
        <v>404</v>
      </c>
      <c r="O10" s="163" t="s">
        <v>404</v>
      </c>
      <c r="P10" s="163" t="s">
        <v>404</v>
      </c>
      <c r="Q10" s="202"/>
      <c r="R10" s="202"/>
      <c r="S10" s="275"/>
      <c r="T10" s="349" t="s">
        <v>448</v>
      </c>
      <c r="U10" s="349"/>
      <c r="V10" s="349"/>
      <c r="W10" s="350">
        <v>43414</v>
      </c>
      <c r="X10" s="350"/>
      <c r="Y10" s="10"/>
      <c r="Z10" s="10"/>
      <c r="AA10" s="10"/>
      <c r="AB10" s="10"/>
      <c r="AC10" s="10"/>
      <c r="AD10" s="10"/>
    </row>
    <row r="11" spans="1:30" s="3" customFormat="1" ht="18" customHeight="1" thickTop="1" thickBot="1">
      <c r="A11" s="207">
        <v>4</v>
      </c>
      <c r="B11" s="295" t="s">
        <v>333</v>
      </c>
      <c r="C11" s="296" t="str">
        <f>COVER!B17</f>
        <v>A564T630</v>
      </c>
      <c r="D11" s="296">
        <v>1</v>
      </c>
      <c r="E11" s="297"/>
      <c r="F11" s="303">
        <v>280</v>
      </c>
      <c r="G11" s="304"/>
      <c r="H11" s="305">
        <f>COVER!C17</f>
        <v>10000</v>
      </c>
      <c r="I11" s="301">
        <f>D11*F11*H11</f>
        <v>2800000</v>
      </c>
      <c r="J11" s="301">
        <v>400000</v>
      </c>
      <c r="K11" s="302">
        <f t="shared" si="0"/>
        <v>3200000</v>
      </c>
      <c r="L11" s="163"/>
      <c r="M11" s="163"/>
      <c r="N11" s="163"/>
      <c r="O11" s="163"/>
      <c r="P11" s="288">
        <v>380000</v>
      </c>
      <c r="Q11" s="204">
        <f>118.02+78.96</f>
        <v>196.98</v>
      </c>
      <c r="R11" s="204"/>
      <c r="S11" s="277"/>
      <c r="T11" s="290" t="s">
        <v>442</v>
      </c>
      <c r="U11" s="290" t="s">
        <v>449</v>
      </c>
      <c r="V11" s="290" t="s">
        <v>450</v>
      </c>
      <c r="W11" s="290"/>
      <c r="X11" s="293" t="s">
        <v>451</v>
      </c>
      <c r="Y11" s="10"/>
      <c r="Z11" s="10"/>
      <c r="AA11" s="10"/>
      <c r="AB11" s="10"/>
      <c r="AC11" s="10"/>
      <c r="AD11" s="10"/>
    </row>
    <row r="12" spans="1:30" s="3" customFormat="1" ht="18" customHeight="1" thickTop="1" thickBot="1">
      <c r="A12" s="207">
        <v>5</v>
      </c>
      <c r="B12" s="295" t="s">
        <v>348</v>
      </c>
      <c r="C12" s="296" t="s">
        <v>426</v>
      </c>
      <c r="D12" s="296">
        <v>4</v>
      </c>
      <c r="E12" s="297"/>
      <c r="F12" s="298">
        <v>1</v>
      </c>
      <c r="G12" s="299"/>
      <c r="H12" s="300">
        <v>33000</v>
      </c>
      <c r="I12" s="301">
        <f>D12*F12*H12</f>
        <v>132000</v>
      </c>
      <c r="J12" s="301">
        <v>0</v>
      </c>
      <c r="K12" s="302">
        <f t="shared" si="0"/>
        <v>132000</v>
      </c>
      <c r="L12" s="163" t="s">
        <v>429</v>
      </c>
      <c r="M12" s="163"/>
      <c r="N12" s="163"/>
      <c r="O12" s="90"/>
      <c r="P12" s="90"/>
      <c r="Q12" s="274" t="s">
        <v>431</v>
      </c>
      <c r="R12" s="19"/>
      <c r="S12" s="10"/>
      <c r="T12" s="294" t="s">
        <v>452</v>
      </c>
      <c r="U12" s="290" t="s">
        <v>453</v>
      </c>
      <c r="V12" s="290" t="s">
        <v>454</v>
      </c>
      <c r="W12" s="290"/>
      <c r="X12" s="291">
        <v>1412</v>
      </c>
      <c r="Y12" s="10"/>
      <c r="Z12" s="10"/>
      <c r="AA12" s="10"/>
      <c r="AB12" s="10"/>
      <c r="AC12" s="10"/>
      <c r="AD12" s="10"/>
    </row>
    <row r="13" spans="1:30" s="3" customFormat="1" ht="18" customHeight="1" thickTop="1" thickBot="1">
      <c r="A13" s="207">
        <v>6</v>
      </c>
      <c r="B13" s="295" t="s">
        <v>163</v>
      </c>
      <c r="C13" s="296" t="s">
        <v>425</v>
      </c>
      <c r="D13" s="296">
        <v>2</v>
      </c>
      <c r="E13" s="297"/>
      <c r="F13" s="298">
        <v>1</v>
      </c>
      <c r="G13" s="299"/>
      <c r="H13" s="305">
        <v>220000</v>
      </c>
      <c r="I13" s="301">
        <f>H13*F13*D13</f>
        <v>440000</v>
      </c>
      <c r="J13" s="301">
        <v>0</v>
      </c>
      <c r="K13" s="302">
        <f>J13+I13</f>
        <v>440000</v>
      </c>
      <c r="L13" s="163" t="s">
        <v>430</v>
      </c>
      <c r="M13" s="199"/>
      <c r="N13" s="199"/>
      <c r="O13" s="199"/>
      <c r="P13" s="199"/>
      <c r="Q13" s="274" t="s">
        <v>431</v>
      </c>
      <c r="R13" s="19"/>
      <c r="S13" s="10"/>
      <c r="T13" s="294" t="s">
        <v>446</v>
      </c>
      <c r="U13" s="290" t="s">
        <v>455</v>
      </c>
      <c r="V13" s="290" t="s">
        <v>454</v>
      </c>
      <c r="W13" s="290"/>
      <c r="X13" s="291">
        <v>1440</v>
      </c>
      <c r="Y13" s="10"/>
      <c r="Z13" s="10"/>
      <c r="AA13" s="10"/>
      <c r="AB13" s="10"/>
      <c r="AC13" s="10"/>
      <c r="AD13" s="10"/>
    </row>
    <row r="14" spans="1:30" s="3" customFormat="1" ht="18" customHeight="1" thickTop="1" thickBot="1">
      <c r="A14" s="207">
        <v>7</v>
      </c>
      <c r="B14" s="295" t="s">
        <v>350</v>
      </c>
      <c r="C14" s="296" t="s">
        <v>351</v>
      </c>
      <c r="D14" s="296">
        <v>3</v>
      </c>
      <c r="E14" s="297"/>
      <c r="F14" s="298">
        <v>1</v>
      </c>
      <c r="G14" s="299"/>
      <c r="H14" s="305">
        <v>10500</v>
      </c>
      <c r="I14" s="301">
        <f>D14*F14*H14</f>
        <v>31500</v>
      </c>
      <c r="J14" s="301"/>
      <c r="K14" s="302">
        <f>I14+J14</f>
        <v>31500</v>
      </c>
      <c r="L14" s="163"/>
      <c r="M14" s="163"/>
      <c r="N14" s="163"/>
      <c r="O14" s="90"/>
      <c r="P14" s="90"/>
      <c r="Q14" s="201" t="s">
        <v>374</v>
      </c>
      <c r="R14" s="19"/>
      <c r="S14" s="10"/>
      <c r="T14" s="294" t="s">
        <v>447</v>
      </c>
      <c r="U14" s="290" t="s">
        <v>456</v>
      </c>
      <c r="V14" s="290" t="s">
        <v>454</v>
      </c>
      <c r="W14" s="290"/>
      <c r="X14" s="291">
        <v>1335</v>
      </c>
      <c r="Y14" s="10"/>
      <c r="Z14" s="10"/>
      <c r="AA14" s="10"/>
      <c r="AB14" s="10"/>
      <c r="AC14" s="10"/>
      <c r="AD14" s="10"/>
    </row>
    <row r="15" spans="1:30" s="3" customFormat="1" ht="18" customHeight="1" thickTop="1">
      <c r="A15" s="207">
        <v>8</v>
      </c>
      <c r="B15" s="295" t="s">
        <v>386</v>
      </c>
      <c r="C15" s="296" t="str">
        <f>COVER!B22</f>
        <v>BODY MATERIAL</v>
      </c>
      <c r="D15" s="296">
        <v>1</v>
      </c>
      <c r="E15" s="297"/>
      <c r="F15" s="298">
        <v>32</v>
      </c>
      <c r="G15" s="299"/>
      <c r="H15" s="305">
        <f>IF(C15="SS400",M15,IF(C15="BODY MATERIAL",N15))</f>
        <v>224000</v>
      </c>
      <c r="I15" s="301">
        <f>H15</f>
        <v>224000</v>
      </c>
      <c r="J15" s="301">
        <f>I15*0.3</f>
        <v>67200</v>
      </c>
      <c r="K15" s="302">
        <f>I15+J15</f>
        <v>291200</v>
      </c>
      <c r="L15" s="163"/>
      <c r="M15" s="198">
        <f>F15*1200</f>
        <v>38400</v>
      </c>
      <c r="N15" s="198">
        <f>IF(AND(C15="BODY MATERIAL"),IF((H6&gt;0),H6*F15*2,IF((H7&gt;0),H7*F15*2,IF((H8&gt;0),H8*F15*2))))</f>
        <v>224000</v>
      </c>
      <c r="O15" s="198"/>
      <c r="P15" s="198"/>
      <c r="Q15" s="201" t="s">
        <v>374</v>
      </c>
      <c r="R15" s="164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s="3" customFormat="1" ht="18" customHeight="1">
      <c r="A16" s="207">
        <v>9</v>
      </c>
      <c r="B16" s="295" t="s">
        <v>217</v>
      </c>
      <c r="C16" s="296" t="str">
        <f>COVER!B23</f>
        <v>B8M</v>
      </c>
      <c r="D16" s="296">
        <v>8</v>
      </c>
      <c r="E16" s="297"/>
      <c r="F16" s="298"/>
      <c r="G16" s="299"/>
      <c r="H16" s="305">
        <f>IF(C16="B8",M16,IF(C16="B8M",N16,IF(C16="B7(다크로)",O16)))</f>
        <v>8500</v>
      </c>
      <c r="I16" s="301">
        <f>H16*D16</f>
        <v>68000</v>
      </c>
      <c r="J16" s="301"/>
      <c r="K16" s="302">
        <f>J16+I16</f>
        <v>68000</v>
      </c>
      <c r="L16" s="163" t="s">
        <v>393</v>
      </c>
      <c r="M16" s="198">
        <v>6500</v>
      </c>
      <c r="N16" s="198">
        <v>8500</v>
      </c>
      <c r="O16" s="198">
        <v>4900</v>
      </c>
      <c r="P16" s="198"/>
      <c r="Q16" s="204" t="s">
        <v>385</v>
      </c>
      <c r="R16" s="19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s="3" customFormat="1" ht="18" customHeight="1">
      <c r="A17" s="207">
        <v>10</v>
      </c>
      <c r="B17" s="295" t="s">
        <v>221</v>
      </c>
      <c r="C17" s="296" t="s">
        <v>426</v>
      </c>
      <c r="D17" s="296">
        <v>2</v>
      </c>
      <c r="E17" s="297"/>
      <c r="F17" s="298">
        <v>1</v>
      </c>
      <c r="G17" s="299"/>
      <c r="H17" s="305">
        <f>34200+55600+15200</f>
        <v>105000</v>
      </c>
      <c r="I17" s="301">
        <f>H17*F17</f>
        <v>105000</v>
      </c>
      <c r="J17" s="301">
        <v>0</v>
      </c>
      <c r="K17" s="302">
        <f>J17+I17</f>
        <v>105000</v>
      </c>
      <c r="L17" s="198"/>
      <c r="M17" s="199"/>
      <c r="N17" s="198"/>
      <c r="O17" s="198"/>
      <c r="P17" s="198"/>
      <c r="Q17" s="202"/>
      <c r="R17" s="19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s="3" customFormat="1" ht="18" customHeight="1">
      <c r="A18" s="207">
        <v>11</v>
      </c>
      <c r="B18" s="295" t="s">
        <v>187</v>
      </c>
      <c r="C18" s="296" t="s">
        <v>353</v>
      </c>
      <c r="D18" s="296">
        <v>1</v>
      </c>
      <c r="E18" s="297"/>
      <c r="F18" s="298">
        <f>34/4</f>
        <v>8.5</v>
      </c>
      <c r="G18" s="299"/>
      <c r="H18" s="305">
        <f>M18</f>
        <v>15200</v>
      </c>
      <c r="I18" s="301">
        <f>H18*D18</f>
        <v>15200</v>
      </c>
      <c r="J18" s="301">
        <f>I18*0.5</f>
        <v>7600</v>
      </c>
      <c r="K18" s="302">
        <f>J18+I18</f>
        <v>22800</v>
      </c>
      <c r="L18" s="163"/>
      <c r="M18" s="163">
        <v>15200</v>
      </c>
      <c r="N18" s="163"/>
      <c r="O18" s="163"/>
      <c r="P18" s="163"/>
      <c r="Q18" s="205"/>
      <c r="R18" s="165"/>
      <c r="S18" s="145"/>
      <c r="T18" s="145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s="3" customFormat="1" ht="18" customHeight="1">
      <c r="A19" s="307">
        <v>12</v>
      </c>
      <c r="B19" s="295" t="s">
        <v>189</v>
      </c>
      <c r="C19" s="296" t="str">
        <f>COVER!B26</f>
        <v>B8M</v>
      </c>
      <c r="D19" s="296">
        <v>6</v>
      </c>
      <c r="E19" s="297"/>
      <c r="F19" s="298"/>
      <c r="G19" s="299"/>
      <c r="H19" s="300">
        <f>IF(C19="B8",M19,IF(C19="B8M",N19))</f>
        <v>2200</v>
      </c>
      <c r="I19" s="301">
        <f>H19*D19</f>
        <v>13200</v>
      </c>
      <c r="J19" s="301"/>
      <c r="K19" s="302">
        <f>I19+J19</f>
        <v>13200</v>
      </c>
      <c r="L19" s="163" t="s">
        <v>422</v>
      </c>
      <c r="M19" s="163">
        <v>1200</v>
      </c>
      <c r="N19" s="163">
        <v>2200</v>
      </c>
      <c r="O19" s="198">
        <v>1000</v>
      </c>
      <c r="P19" s="90"/>
      <c r="Q19" s="204" t="s">
        <v>381</v>
      </c>
      <c r="R19" s="19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s="3" customFormat="1" ht="18" customHeight="1">
      <c r="A20" s="207">
        <v>13</v>
      </c>
      <c r="B20" s="295" t="s">
        <v>188</v>
      </c>
      <c r="C20" s="296" t="str">
        <f>COVER!B27</f>
        <v>B8M</v>
      </c>
      <c r="D20" s="296">
        <v>8</v>
      </c>
      <c r="E20" s="297"/>
      <c r="F20" s="298"/>
      <c r="G20" s="299"/>
      <c r="H20" s="305">
        <f>IF(C20="B8",M20,IF(C20="B8M",N20,IF(C20="B7(다크로)",O20)))</f>
        <v>11500</v>
      </c>
      <c r="I20" s="301">
        <f>H20*D20</f>
        <v>92000</v>
      </c>
      <c r="J20" s="301"/>
      <c r="K20" s="302">
        <f t="shared" ref="K20:K24" si="1">I20+J20</f>
        <v>92000</v>
      </c>
      <c r="L20" s="163" t="s">
        <v>424</v>
      </c>
      <c r="M20" s="163">
        <v>9800</v>
      </c>
      <c r="N20" s="163">
        <v>11500</v>
      </c>
      <c r="O20" s="198">
        <v>7000</v>
      </c>
      <c r="P20" s="90"/>
      <c r="Q20" s="204" t="s">
        <v>423</v>
      </c>
      <c r="R20" s="19"/>
      <c r="S20" s="10"/>
      <c r="T20" s="10"/>
      <c r="U20" s="10"/>
      <c r="V20" s="306"/>
      <c r="W20" s="10"/>
      <c r="X20" s="10"/>
      <c r="Y20" s="10"/>
      <c r="Z20" s="10"/>
      <c r="AA20" s="10"/>
      <c r="AB20" s="10"/>
      <c r="AC20" s="10"/>
      <c r="AD20" s="10"/>
    </row>
    <row r="21" spans="1:30" s="3" customFormat="1" ht="18" customHeight="1">
      <c r="A21" s="207">
        <v>14</v>
      </c>
      <c r="B21" s="295" t="s">
        <v>349</v>
      </c>
      <c r="C21" s="296"/>
      <c r="D21" s="296">
        <v>8</v>
      </c>
      <c r="E21" s="297"/>
      <c r="F21" s="298"/>
      <c r="G21" s="299"/>
      <c r="H21" s="305">
        <v>2000</v>
      </c>
      <c r="I21" s="301">
        <f>H21*D21</f>
        <v>16000</v>
      </c>
      <c r="J21" s="308"/>
      <c r="K21" s="302">
        <f>I21+J21</f>
        <v>16000</v>
      </c>
      <c r="L21" s="163" t="s">
        <v>428</v>
      </c>
      <c r="M21" s="90"/>
      <c r="N21" s="90"/>
      <c r="O21" s="90"/>
      <c r="P21" s="90"/>
      <c r="Q21" s="201" t="s">
        <v>374</v>
      </c>
      <c r="R21" s="19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s="3" customFormat="1" ht="18" customHeight="1">
      <c r="A22" s="207">
        <v>15</v>
      </c>
      <c r="B22" s="295" t="s">
        <v>6</v>
      </c>
      <c r="C22" s="296" t="str">
        <f>COVER!B34</f>
        <v>10 BAR</v>
      </c>
      <c r="D22" s="296">
        <v>1</v>
      </c>
      <c r="E22" s="297"/>
      <c r="F22" s="298"/>
      <c r="G22" s="309"/>
      <c r="H22" s="305"/>
      <c r="I22" s="301">
        <f>IF(C22="10 BAR",M22,IF(C22="16 BAR",N22,IF(C22="20 BAR",O22)))</f>
        <v>1688000</v>
      </c>
      <c r="J22" s="308"/>
      <c r="K22" s="302">
        <f t="shared" si="1"/>
        <v>1688000</v>
      </c>
      <c r="L22" s="90"/>
      <c r="M22" s="163">
        <v>1688000</v>
      </c>
      <c r="N22" s="163">
        <v>4815000</v>
      </c>
      <c r="O22" s="163">
        <v>4815000</v>
      </c>
      <c r="P22" s="90"/>
      <c r="Q22" s="279" t="s">
        <v>433</v>
      </c>
      <c r="R22" s="19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s="3" customFormat="1" ht="18" customHeight="1">
      <c r="A23" s="207">
        <v>16</v>
      </c>
      <c r="B23" s="295" t="s">
        <v>7</v>
      </c>
      <c r="C23" s="296" t="str">
        <f>COVER!B32</f>
        <v>기존 단가</v>
      </c>
      <c r="D23" s="296">
        <v>1</v>
      </c>
      <c r="E23" s="297"/>
      <c r="F23" s="298"/>
      <c r="G23" s="309"/>
      <c r="H23" s="305">
        <f>IF(COVER!B9="APPLICATION",0,IF(COVER!B32="기존 단가",L23,IF(COVER!B32="외주 2COATING",M23,IF(COVER!B32="외주 3COATING",N23))))</f>
        <v>1470000</v>
      </c>
      <c r="I23" s="301">
        <f>H23</f>
        <v>1470000</v>
      </c>
      <c r="J23" s="301"/>
      <c r="K23" s="302">
        <f t="shared" si="1"/>
        <v>1470000</v>
      </c>
      <c r="L23" s="163">
        <v>1470000</v>
      </c>
      <c r="M23" s="163" t="e">
        <f>IF(H6&gt;0,F6*520,IF(H7&gt;0,F7*520,IF(H8&gt;0,F8*520)))</f>
        <v>#VALUE!</v>
      </c>
      <c r="N23" s="163" t="e">
        <f>IF(H6&gt;0,F6*620,IF(H7&gt;0,F7*620,IF(H8&gt;0,F8*620)))</f>
        <v>#VALUE!</v>
      </c>
      <c r="O23" s="90"/>
      <c r="P23" s="182"/>
      <c r="Q23" s="19"/>
      <c r="R23" s="19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s="3" customFormat="1" ht="18" customHeight="1">
      <c r="A24" s="207">
        <v>17</v>
      </c>
      <c r="B24" s="295" t="s">
        <v>459</v>
      </c>
      <c r="C24" s="296"/>
      <c r="D24" s="296">
        <v>1</v>
      </c>
      <c r="E24" s="297"/>
      <c r="F24" s="298"/>
      <c r="G24" s="309"/>
      <c r="H24" s="305">
        <f>IF(COVER!B9="APPLICATION",0,IF(COVER!B9="N/A",L24))</f>
        <v>1470000</v>
      </c>
      <c r="I24" s="301">
        <f>H24</f>
        <v>1470000</v>
      </c>
      <c r="J24" s="302"/>
      <c r="K24" s="302">
        <f t="shared" si="1"/>
        <v>1470000</v>
      </c>
      <c r="L24" s="163">
        <v>1470000</v>
      </c>
      <c r="M24" s="90"/>
      <c r="N24" s="90"/>
      <c r="O24" s="90"/>
      <c r="P24" s="90"/>
      <c r="Q24" s="19"/>
      <c r="R24" s="19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s="3" customFormat="1" ht="18" customHeight="1">
      <c r="A25" s="207">
        <v>18</v>
      </c>
      <c r="B25" s="97" t="s">
        <v>175</v>
      </c>
      <c r="C25" s="14"/>
      <c r="D25" s="14"/>
      <c r="E25" s="15"/>
      <c r="F25" s="15"/>
      <c r="G25" s="15"/>
      <c r="H25" s="15"/>
      <c r="I25" s="98"/>
      <c r="J25" s="98"/>
      <c r="K25" s="16">
        <f>SUM(K8:K21)+SUM(K23:K24)</f>
        <v>28587700</v>
      </c>
      <c r="L25" s="288" t="s">
        <v>248</v>
      </c>
      <c r="M25" s="90"/>
      <c r="N25" s="90"/>
      <c r="O25" s="90"/>
      <c r="P25" s="90"/>
      <c r="Q25" s="19"/>
      <c r="R25" s="19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s="3" customFormat="1" ht="18" customHeight="1">
      <c r="A26" s="207">
        <v>18</v>
      </c>
      <c r="B26" s="97" t="s">
        <v>176</v>
      </c>
      <c r="C26" s="14"/>
      <c r="D26" s="14"/>
      <c r="E26" s="15"/>
      <c r="F26" s="15"/>
      <c r="G26" s="15"/>
      <c r="H26" s="15"/>
      <c r="I26" s="98"/>
      <c r="J26" s="98"/>
      <c r="K26" s="16">
        <f>SUM(K8:K21)+SUM(K23:K24)</f>
        <v>28587700</v>
      </c>
      <c r="L26" s="288" t="s">
        <v>248</v>
      </c>
      <c r="M26" s="90"/>
      <c r="N26" s="90"/>
      <c r="O26" s="90"/>
      <c r="P26" s="90"/>
      <c r="Q26" s="19"/>
      <c r="R26" s="19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s="3" customFormat="1" ht="18" customHeight="1">
      <c r="A27" s="207">
        <v>18</v>
      </c>
      <c r="B27" s="97" t="s">
        <v>177</v>
      </c>
      <c r="C27" s="14"/>
      <c r="D27" s="14"/>
      <c r="E27" s="15"/>
      <c r="F27" s="15"/>
      <c r="G27" s="15"/>
      <c r="H27" s="15"/>
      <c r="I27" s="98"/>
      <c r="J27" s="98"/>
      <c r="K27" s="16">
        <f>SUM(K8:K24)</f>
        <v>30275700</v>
      </c>
      <c r="L27" s="288" t="s">
        <v>248</v>
      </c>
      <c r="M27" s="90"/>
      <c r="N27" s="90"/>
      <c r="O27" s="90"/>
      <c r="P27" s="90"/>
      <c r="Q27" s="19"/>
      <c r="R27" s="19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s="3" customFormat="1" ht="18" customHeight="1">
      <c r="A28" s="207">
        <v>19</v>
      </c>
      <c r="B28" s="235" t="s">
        <v>237</v>
      </c>
      <c r="C28" s="214" t="str">
        <f>COVER!B28</f>
        <v>REQUIRED</v>
      </c>
      <c r="D28" s="214">
        <v>0</v>
      </c>
      <c r="E28" s="215"/>
      <c r="F28" s="239"/>
      <c r="G28" s="215"/>
      <c r="H28" s="233">
        <f>IF(C28="REQUIRED",L28,IF(C28="N/A",0))</f>
        <v>0</v>
      </c>
      <c r="I28" s="233">
        <f>H28</f>
        <v>0</v>
      </c>
      <c r="J28" s="215"/>
      <c r="K28" s="234">
        <f>I28+J28</f>
        <v>0</v>
      </c>
      <c r="L28" s="163"/>
      <c r="M28" s="90"/>
      <c r="N28" s="90"/>
      <c r="O28" s="90"/>
      <c r="P28" s="90"/>
      <c r="Q28" s="19"/>
      <c r="R28" s="19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s="3" customFormat="1" ht="18" customHeight="1">
      <c r="A29" s="207">
        <v>20</v>
      </c>
      <c r="B29" s="235" t="s">
        <v>180</v>
      </c>
      <c r="C29" s="214"/>
      <c r="D29" s="214">
        <v>0</v>
      </c>
      <c r="E29" s="215"/>
      <c r="F29" s="239"/>
      <c r="G29" s="215"/>
      <c r="H29" s="215"/>
      <c r="I29" s="215"/>
      <c r="J29" s="215"/>
      <c r="K29" s="234"/>
      <c r="L29" s="288"/>
      <c r="M29" s="90"/>
      <c r="N29" s="90"/>
      <c r="O29" s="90"/>
      <c r="P29" s="90"/>
      <c r="Q29" s="19"/>
      <c r="R29" s="19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s="3" customFormat="1" ht="18" customHeight="1">
      <c r="A30" s="207">
        <v>21</v>
      </c>
      <c r="B30" s="133" t="s">
        <v>178</v>
      </c>
      <c r="C30" s="110" t="str">
        <f>COVER!B35</f>
        <v>MOTOR</v>
      </c>
      <c r="D30" s="110">
        <v>1</v>
      </c>
      <c r="E30" s="127"/>
      <c r="F30" s="135"/>
      <c r="G30" s="127"/>
      <c r="H30" s="94">
        <f>IF(COVER!B9="APPLICATION",0,IF(COVER!B35="BARE",M30,(IF(COVER!B35="LEVER",M30,IF(COVER!B35="GEAR",N30,IF(COVER!B35="MOTOR",O30))))))</f>
        <v>1100000</v>
      </c>
      <c r="I30" s="111">
        <f>H30</f>
        <v>1100000</v>
      </c>
      <c r="J30" s="127"/>
      <c r="K30" s="111">
        <f t="shared" ref="K30" si="2">I30+J30</f>
        <v>1100000</v>
      </c>
      <c r="L30" s="163"/>
      <c r="M30" s="163">
        <v>800000</v>
      </c>
      <c r="N30" s="163">
        <v>800000</v>
      </c>
      <c r="O30" s="163">
        <v>1100000</v>
      </c>
      <c r="P30" s="90"/>
      <c r="Q30" s="19"/>
      <c r="R30" s="19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s="3" customFormat="1" ht="18" customHeight="1">
      <c r="A31" s="207">
        <v>22</v>
      </c>
      <c r="B31" s="235"/>
      <c r="C31" s="214"/>
      <c r="D31" s="214"/>
      <c r="E31" s="215"/>
      <c r="F31" s="239"/>
      <c r="G31" s="215"/>
      <c r="H31" s="233"/>
      <c r="I31" s="234"/>
      <c r="J31" s="215"/>
      <c r="K31" s="234"/>
      <c r="L31" s="163"/>
      <c r="M31" s="163"/>
      <c r="N31" s="163"/>
      <c r="O31" s="198"/>
      <c r="P31" s="90"/>
      <c r="Q31" s="204"/>
      <c r="R31" s="19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s="3" customFormat="1" ht="18" customHeight="1">
      <c r="A32" s="207">
        <v>23</v>
      </c>
      <c r="B32" s="89" t="s">
        <v>179</v>
      </c>
      <c r="C32" s="14"/>
      <c r="D32" s="99"/>
      <c r="E32" s="15"/>
      <c r="F32" s="15"/>
      <c r="G32" s="15"/>
      <c r="H32" s="15"/>
      <c r="I32" s="100"/>
      <c r="J32" s="101"/>
      <c r="K32" s="100">
        <f>SUM(K28:K31)</f>
        <v>1100000</v>
      </c>
      <c r="L32" s="288" t="s">
        <v>249</v>
      </c>
      <c r="M32" s="90"/>
      <c r="N32" s="90"/>
      <c r="O32" s="90"/>
      <c r="P32" s="90"/>
      <c r="Q32" s="19"/>
      <c r="R32" s="19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s="3" customFormat="1" ht="18" customHeight="1">
      <c r="A33" s="207">
        <v>24</v>
      </c>
      <c r="B33" s="216" t="s">
        <v>252</v>
      </c>
      <c r="C33" s="217"/>
      <c r="D33" s="218"/>
      <c r="E33" s="219"/>
      <c r="F33" s="219"/>
      <c r="G33" s="219"/>
      <c r="H33" s="219"/>
      <c r="I33" s="220"/>
      <c r="J33" s="221"/>
      <c r="K33" s="220">
        <f>K25+K32</f>
        <v>29687700</v>
      </c>
      <c r="L33" s="288" t="s">
        <v>257</v>
      </c>
      <c r="M33" s="90"/>
      <c r="N33" s="90"/>
      <c r="O33" s="90"/>
      <c r="P33" s="90"/>
      <c r="Q33" s="19"/>
      <c r="R33" s="19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s="3" customFormat="1" ht="18" customHeight="1">
      <c r="A34" s="207">
        <v>24</v>
      </c>
      <c r="B34" s="216" t="s">
        <v>255</v>
      </c>
      <c r="C34" s="217"/>
      <c r="D34" s="218"/>
      <c r="E34" s="219"/>
      <c r="F34" s="219"/>
      <c r="G34" s="219"/>
      <c r="H34" s="219"/>
      <c r="I34" s="220"/>
      <c r="J34" s="221"/>
      <c r="K34" s="220">
        <f>K26+K32</f>
        <v>29687700</v>
      </c>
      <c r="L34" s="288" t="s">
        <v>257</v>
      </c>
      <c r="M34" s="90"/>
      <c r="N34" s="90"/>
      <c r="O34" s="90"/>
      <c r="P34" s="90"/>
      <c r="Q34" s="19"/>
      <c r="R34" s="19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s="3" customFormat="1" ht="18" customHeight="1">
      <c r="A35" s="207">
        <v>24</v>
      </c>
      <c r="B35" s="216" t="s">
        <v>256</v>
      </c>
      <c r="C35" s="217"/>
      <c r="D35" s="218"/>
      <c r="E35" s="219"/>
      <c r="F35" s="219"/>
      <c r="G35" s="219"/>
      <c r="H35" s="219"/>
      <c r="I35" s="220"/>
      <c r="J35" s="221"/>
      <c r="K35" s="220">
        <f>K27+K32</f>
        <v>31375700</v>
      </c>
      <c r="L35" s="288" t="s">
        <v>257</v>
      </c>
      <c r="M35" s="278"/>
      <c r="N35" s="90"/>
      <c r="O35" s="90"/>
      <c r="P35" s="90"/>
      <c r="Q35" s="19"/>
      <c r="R35" s="19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s="4" customFormat="1" ht="18" customHeight="1">
      <c r="A36" s="207">
        <v>25</v>
      </c>
      <c r="B36" s="102" t="s">
        <v>407</v>
      </c>
      <c r="C36" s="103"/>
      <c r="D36" s="103"/>
      <c r="E36" s="104"/>
      <c r="F36" s="105"/>
      <c r="G36" s="105"/>
      <c r="H36" s="106"/>
      <c r="I36" s="223" t="s">
        <v>41</v>
      </c>
      <c r="J36" s="223">
        <f>COVER!$B$10</f>
        <v>1.3</v>
      </c>
      <c r="K36" s="107">
        <f>(K25+K32)*J36</f>
        <v>38594010</v>
      </c>
      <c r="L36" s="288" t="s">
        <v>250</v>
      </c>
      <c r="M36" s="90"/>
      <c r="N36" s="90"/>
      <c r="O36" s="90"/>
      <c r="P36" s="90"/>
      <c r="Q36" s="19"/>
      <c r="R36" s="19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s="4" customFormat="1" ht="18" customHeight="1">
      <c r="A37" s="207">
        <v>25</v>
      </c>
      <c r="B37" s="102" t="s">
        <v>408</v>
      </c>
      <c r="C37" s="103"/>
      <c r="D37" s="103"/>
      <c r="E37" s="104"/>
      <c r="F37" s="105"/>
      <c r="G37" s="105"/>
      <c r="H37" s="106"/>
      <c r="I37" s="223" t="s">
        <v>41</v>
      </c>
      <c r="J37" s="223">
        <f>COVER!$B$10</f>
        <v>1.3</v>
      </c>
      <c r="K37" s="107">
        <f>(K26+K32)*J37</f>
        <v>38594010</v>
      </c>
      <c r="L37" s="288" t="s">
        <v>250</v>
      </c>
      <c r="M37" s="90"/>
      <c r="N37" s="90"/>
      <c r="O37" s="90"/>
      <c r="P37" s="90"/>
      <c r="Q37" s="19"/>
      <c r="R37" s="19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s="4" customFormat="1" ht="18" customHeight="1">
      <c r="A38" s="207">
        <v>25</v>
      </c>
      <c r="B38" s="102" t="s">
        <v>409</v>
      </c>
      <c r="C38" s="103"/>
      <c r="D38" s="103"/>
      <c r="E38" s="104"/>
      <c r="F38" s="105"/>
      <c r="G38" s="105"/>
      <c r="H38" s="106"/>
      <c r="I38" s="223" t="s">
        <v>41</v>
      </c>
      <c r="J38" s="223">
        <f>COVER!$B$10</f>
        <v>1.3</v>
      </c>
      <c r="K38" s="107">
        <f>(K27+K32)*J38</f>
        <v>40788410</v>
      </c>
      <c r="L38" s="288" t="s">
        <v>250</v>
      </c>
      <c r="M38" s="90"/>
      <c r="N38" s="90"/>
      <c r="O38" s="90"/>
      <c r="P38" s="90"/>
      <c r="Q38" s="19"/>
      <c r="R38" s="19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s="4" customFormat="1" ht="18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57"/>
      <c r="M39" s="108"/>
      <c r="N39" s="108"/>
      <c r="O39" s="108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s="4" customFormat="1" ht="18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57"/>
      <c r="M40" s="108"/>
      <c r="N40" s="108"/>
      <c r="O40" s="108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s="4" customFormat="1" ht="18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57"/>
      <c r="M41" s="108"/>
      <c r="N41" s="108"/>
      <c r="O41" s="108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s="4" customFormat="1" ht="18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57"/>
      <c r="M42" s="108"/>
      <c r="N42" s="108"/>
      <c r="O42" s="108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s="4" customFormat="1" ht="18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57"/>
      <c r="M43" s="108"/>
      <c r="N43" s="108"/>
      <c r="O43" s="108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s="4" customFormat="1" ht="18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57"/>
      <c r="M44" s="108"/>
      <c r="N44" s="108"/>
      <c r="O44" s="108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s="4" customFormat="1" ht="18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57"/>
      <c r="M45" s="108"/>
      <c r="N45" s="108"/>
      <c r="O45" s="108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s="4" customFormat="1" ht="18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57"/>
      <c r="M46" s="108"/>
      <c r="N46" s="108"/>
      <c r="O46" s="108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s="4" customFormat="1" ht="12.75">
      <c r="A47" s="10"/>
      <c r="B47" s="10"/>
      <c r="C47" s="10"/>
      <c r="D47" s="109"/>
      <c r="E47" s="10"/>
      <c r="F47" s="10"/>
      <c r="G47" s="10"/>
      <c r="H47" s="10"/>
      <c r="I47" s="10"/>
      <c r="J47" s="10"/>
      <c r="K47" s="10"/>
      <c r="L47" s="108"/>
      <c r="M47" s="108"/>
      <c r="N47" s="108"/>
      <c r="O47" s="108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s="4" customFormat="1" ht="12.7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57"/>
      <c r="M48" s="108"/>
      <c r="N48" s="108"/>
      <c r="O48" s="108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s="4" customFormat="1" ht="12.7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57"/>
      <c r="M49" s="108"/>
      <c r="N49" s="108"/>
      <c r="O49" s="108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s="5" customForma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57"/>
      <c r="M50" s="87"/>
      <c r="N50" s="87"/>
      <c r="O50" s="87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30" s="5" customForma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57"/>
      <c r="M51" s="87"/>
      <c r="N51" s="87"/>
      <c r="O51" s="87"/>
      <c r="P51" s="10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1:30" s="5" customForma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57"/>
      <c r="M52" s="87"/>
      <c r="N52" s="87"/>
      <c r="O52" s="87"/>
      <c r="P52" s="10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</sheetData>
  <mergeCells count="10">
    <mergeCell ref="T5:V5"/>
    <mergeCell ref="W5:X5"/>
    <mergeCell ref="T10:V10"/>
    <mergeCell ref="W10:X10"/>
    <mergeCell ref="A1:K1"/>
    <mergeCell ref="D3:E3"/>
    <mergeCell ref="F3:H3"/>
    <mergeCell ref="G4:H4"/>
    <mergeCell ref="L4:P4"/>
    <mergeCell ref="L6:P6"/>
  </mergeCells>
  <phoneticPr fontId="7" type="noConversion"/>
  <pageMargins left="0.75" right="0.75" top="1" bottom="1" header="0.5" footer="0.5"/>
  <pageSetup paperSize="9" scale="62" orientation="portrait" r:id="rId1"/>
  <headerFooter alignWithMargins="0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A1:AE54"/>
  <sheetViews>
    <sheetView view="pageBreakPreview" zoomScale="70" zoomScaleNormal="100" zoomScaleSheetLayoutView="70" workbookViewId="0">
      <selection activeCell="N29" sqref="N29"/>
    </sheetView>
  </sheetViews>
  <sheetFormatPr defaultColWidth="8.88671875" defaultRowHeight="13.5"/>
  <cols>
    <col min="1" max="1" width="5.26171875" style="10" customWidth="1"/>
    <col min="2" max="2" width="20.23046875" style="10" bestFit="1" customWidth="1"/>
    <col min="3" max="3" width="14.3828125" style="10" bestFit="1" customWidth="1"/>
    <col min="4" max="4" width="3.7421875" style="10" customWidth="1"/>
    <col min="5" max="5" width="8.30078125" style="10" customWidth="1"/>
    <col min="6" max="6" width="6.1953125" style="10" customWidth="1"/>
    <col min="7" max="7" width="5.73046875" style="10" customWidth="1"/>
    <col min="8" max="8" width="6.78125" style="10" customWidth="1"/>
    <col min="9" max="9" width="10.9921875" style="10" customWidth="1"/>
    <col min="10" max="10" width="12.74609375" style="10" bestFit="1" customWidth="1"/>
    <col min="11" max="11" width="18.125" style="10" bestFit="1" customWidth="1"/>
    <col min="12" max="12" width="14.265625" style="86" bestFit="1" customWidth="1"/>
    <col min="13" max="13" width="13.796875" style="87" customWidth="1"/>
    <col min="14" max="14" width="12.16015625" style="87" bestFit="1" customWidth="1"/>
    <col min="15" max="15" width="9.703125" style="87" customWidth="1"/>
    <col min="16" max="16" width="12.16015625" style="8" bestFit="1" customWidth="1"/>
    <col min="17" max="18" width="15.203125" style="8" customWidth="1"/>
    <col min="19" max="31" width="8.88671875" style="8"/>
    <col min="32" max="16384" width="8.88671875" style="2"/>
  </cols>
  <sheetData>
    <row r="1" spans="1:31" ht="24" thickTop="1" thickBot="1">
      <c r="A1" s="336" t="s">
        <v>190</v>
      </c>
      <c r="B1" s="337"/>
      <c r="C1" s="337"/>
      <c r="D1" s="337"/>
      <c r="E1" s="337"/>
      <c r="F1" s="337"/>
      <c r="G1" s="337"/>
      <c r="H1" s="337"/>
      <c r="I1" s="337"/>
      <c r="J1" s="337"/>
      <c r="K1" s="338"/>
      <c r="M1" s="7"/>
    </row>
    <row r="2" spans="1:31" ht="14.45" customHeight="1" thickTop="1" thickBot="1">
      <c r="A2" s="116"/>
      <c r="B2" s="116"/>
      <c r="C2" s="115"/>
      <c r="E2" s="115"/>
      <c r="F2" s="115"/>
      <c r="G2" s="115"/>
    </row>
    <row r="3" spans="1:31" ht="15" thickTop="1" thickBot="1">
      <c r="A3" s="117" t="s">
        <v>191</v>
      </c>
      <c r="B3" s="119" t="s">
        <v>196</v>
      </c>
      <c r="C3" s="117" t="s">
        <v>192</v>
      </c>
      <c r="D3" s="339" t="s">
        <v>193</v>
      </c>
      <c r="E3" s="340"/>
      <c r="F3" s="341" t="s">
        <v>194</v>
      </c>
      <c r="G3" s="339"/>
      <c r="H3" s="339"/>
      <c r="I3" s="119" t="s">
        <v>195</v>
      </c>
      <c r="J3" s="117" t="s">
        <v>197</v>
      </c>
      <c r="K3" s="118" t="s">
        <v>208</v>
      </c>
    </row>
    <row r="4" spans="1:31" ht="19.149999999999999" customHeight="1" thickTop="1">
      <c r="L4" s="351" t="s">
        <v>207</v>
      </c>
      <c r="M4" s="343"/>
      <c r="N4" s="343"/>
      <c r="O4" s="343"/>
      <c r="P4" s="343"/>
      <c r="Q4" s="168"/>
      <c r="R4" s="169"/>
    </row>
    <row r="5" spans="1:31" s="3" customFormat="1" ht="25.15" customHeight="1">
      <c r="A5" s="9" t="s">
        <v>1</v>
      </c>
      <c r="B5" s="9" t="s">
        <v>164</v>
      </c>
      <c r="C5" s="88" t="s">
        <v>165</v>
      </c>
      <c r="D5" s="89" t="s">
        <v>166</v>
      </c>
      <c r="E5" s="9" t="s">
        <v>167</v>
      </c>
      <c r="F5" s="9" t="s">
        <v>168</v>
      </c>
      <c r="G5" s="9" t="s">
        <v>169</v>
      </c>
      <c r="H5" s="9" t="s">
        <v>170</v>
      </c>
      <c r="I5" s="123" t="s">
        <v>171</v>
      </c>
      <c r="J5" s="123" t="s">
        <v>172</v>
      </c>
      <c r="K5" s="9" t="s">
        <v>173</v>
      </c>
      <c r="L5" s="90" t="s">
        <v>198</v>
      </c>
      <c r="M5" s="121" t="s">
        <v>199</v>
      </c>
      <c r="N5" s="90" t="s">
        <v>38</v>
      </c>
      <c r="O5" s="90" t="s">
        <v>200</v>
      </c>
      <c r="P5" s="90" t="s">
        <v>201</v>
      </c>
      <c r="Q5" s="90" t="s">
        <v>265</v>
      </c>
      <c r="R5" s="90" t="s">
        <v>266</v>
      </c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s="3" customFormat="1" ht="18" customHeight="1">
      <c r="A6" s="11">
        <v>1</v>
      </c>
      <c r="B6" s="124" t="s">
        <v>181</v>
      </c>
      <c r="C6" s="125">
        <f>COVER!B13</f>
        <v>0</v>
      </c>
      <c r="D6" s="126">
        <v>1</v>
      </c>
      <c r="E6" s="127"/>
      <c r="F6" s="112">
        <v>3.8</v>
      </c>
      <c r="G6" s="112"/>
      <c r="H6" s="128">
        <f>COVER!C13</f>
        <v>0</v>
      </c>
      <c r="I6" s="129">
        <f>D6*F6*H6</f>
        <v>0</v>
      </c>
      <c r="J6" s="130" t="b">
        <f>IF(AND(H6&gt;0),IF(C6="A536 Gr65-45-12",L6,IF(C6="A216 WCB",M6,IF(C6="A395 Gr65-15-15",L6))))</f>
        <v>0</v>
      </c>
      <c r="K6" s="131">
        <f>I6+J6</f>
        <v>0</v>
      </c>
      <c r="L6" s="90">
        <v>10000</v>
      </c>
      <c r="M6" s="90">
        <v>15000</v>
      </c>
      <c r="N6" s="90">
        <v>30000</v>
      </c>
      <c r="O6" s="90"/>
      <c r="P6" s="90"/>
      <c r="Q6" s="19"/>
      <c r="R6" s="19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s="3" customFormat="1" ht="18" customHeight="1">
      <c r="A7" s="11">
        <v>1</v>
      </c>
      <c r="B7" s="124" t="s">
        <v>182</v>
      </c>
      <c r="C7" s="125" t="str">
        <f>COVER!B14</f>
        <v>A536 Gr65-45-12</v>
      </c>
      <c r="D7" s="126">
        <v>1</v>
      </c>
      <c r="E7" s="127"/>
      <c r="F7" s="112">
        <v>5.5</v>
      </c>
      <c r="G7" s="112"/>
      <c r="H7" s="128">
        <f>COVER!C14</f>
        <v>3500</v>
      </c>
      <c r="I7" s="129">
        <f>D7*F7*H7</f>
        <v>19250</v>
      </c>
      <c r="J7" s="130">
        <f>IF(AND(H7&gt;0),IF(C7="A536 Gr65-45-12",L7,IF(C7="A216 WCB",M7,IF(C7="A395 Gr65-15-15",L7))))</f>
        <v>16000</v>
      </c>
      <c r="K7" s="131">
        <f>I7+J7</f>
        <v>35250</v>
      </c>
      <c r="L7" s="90">
        <v>16000</v>
      </c>
      <c r="M7" s="90">
        <v>24000</v>
      </c>
      <c r="N7" s="122">
        <v>48000</v>
      </c>
      <c r="O7" s="90"/>
      <c r="P7" s="90"/>
      <c r="Q7" s="19"/>
      <c r="R7" s="19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s="3" customFormat="1" ht="18" customHeight="1">
      <c r="A8" s="11">
        <v>1</v>
      </c>
      <c r="B8" s="124" t="s">
        <v>183</v>
      </c>
      <c r="C8" s="125">
        <f>COVER!B15</f>
        <v>0</v>
      </c>
      <c r="D8" s="126">
        <v>1</v>
      </c>
      <c r="E8" s="127"/>
      <c r="F8" s="112">
        <v>9</v>
      </c>
      <c r="G8" s="112"/>
      <c r="H8" s="128">
        <f>COVER!C15</f>
        <v>0</v>
      </c>
      <c r="I8" s="129">
        <f>D8*F8*H8</f>
        <v>0</v>
      </c>
      <c r="J8" s="130" t="b">
        <f>IF(AND(H8&gt;0),IF(C8="A536 Gr65-45-12",L8,IF(C8="A216 WCB",M8,IF(C8="A395 Gr65-15-15",L8))))</f>
        <v>0</v>
      </c>
      <c r="K8" s="131">
        <f>I8+J8</f>
        <v>0</v>
      </c>
      <c r="L8" s="90">
        <v>17000</v>
      </c>
      <c r="M8" s="90">
        <v>25500</v>
      </c>
      <c r="N8" s="122">
        <f>M8*2</f>
        <v>51000</v>
      </c>
      <c r="O8" s="90"/>
      <c r="P8" s="90"/>
      <c r="Q8" s="19"/>
      <c r="R8" s="19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s="3" customFormat="1" ht="18" customHeight="1">
      <c r="A9" s="11">
        <v>2</v>
      </c>
      <c r="B9" s="132" t="s">
        <v>2</v>
      </c>
      <c r="C9" s="125" t="str">
        <f>COVER!B16</f>
        <v>A351 CF8M</v>
      </c>
      <c r="D9" s="126">
        <v>1</v>
      </c>
      <c r="E9" s="127"/>
      <c r="F9" s="112">
        <f>IF(COVER!B34="10 BAR",Q9,IF(COVER!B34="16 BAR",R9,IF(COVER!B34="20 BAR",R9)))</f>
        <v>0.3</v>
      </c>
      <c r="G9" s="112"/>
      <c r="H9" s="128">
        <f>COVER!C16</f>
        <v>12000</v>
      </c>
      <c r="I9" s="94">
        <f>D9*F9*H9</f>
        <v>3600</v>
      </c>
      <c r="J9" s="130">
        <f>IF(C9="A351 CF8",N9,IF(C9="A351 CF8M",N9,IF(C9="A351 CF3",N9,IF(C9="A351 CF3M",N9,IF(C9="B148 C95800",M9,IF(C9="A890 4A",O9,IF(C9="A890 5A",P9)))))))+260</f>
        <v>3760</v>
      </c>
      <c r="K9" s="111">
        <f>I9+J9</f>
        <v>7360</v>
      </c>
      <c r="L9" s="90"/>
      <c r="M9" s="90">
        <v>3500</v>
      </c>
      <c r="N9" s="90">
        <v>3500</v>
      </c>
      <c r="O9" s="90">
        <v>9000</v>
      </c>
      <c r="P9" s="90"/>
      <c r="Q9" s="19">
        <v>0.3</v>
      </c>
      <c r="R9" s="19">
        <v>0.3</v>
      </c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 s="3" customFormat="1" ht="18" customHeight="1">
      <c r="A10" s="11">
        <v>3</v>
      </c>
      <c r="B10" s="133" t="s">
        <v>3</v>
      </c>
      <c r="C10" s="134" t="str">
        <f>COVER!B18</f>
        <v>EPDM</v>
      </c>
      <c r="D10" s="110">
        <v>1</v>
      </c>
      <c r="E10" s="127"/>
      <c r="F10" s="112">
        <v>1</v>
      </c>
      <c r="G10" s="112"/>
      <c r="H10" s="128"/>
      <c r="I10" s="94"/>
      <c r="J10" s="130">
        <f>IF(C10="NBR",L10,IF(C10="EPDM",L10,IF(C10="VITON",M10)))</f>
        <v>805</v>
      </c>
      <c r="K10" s="111">
        <f>J10</f>
        <v>805</v>
      </c>
      <c r="L10" s="90">
        <v>805</v>
      </c>
      <c r="M10" s="90">
        <v>9500</v>
      </c>
      <c r="N10" s="90">
        <v>6000</v>
      </c>
      <c r="O10" s="90" t="s">
        <v>202</v>
      </c>
      <c r="P10" s="90" t="s">
        <v>202</v>
      </c>
      <c r="Q10" s="19"/>
      <c r="R10" s="19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s="3" customFormat="1" ht="18" customHeight="1">
      <c r="A11" s="11">
        <v>4</v>
      </c>
      <c r="B11" s="133" t="s">
        <v>203</v>
      </c>
      <c r="C11" s="110" t="str">
        <f>COVER!B17</f>
        <v>A564T630</v>
      </c>
      <c r="D11" s="110">
        <v>1</v>
      </c>
      <c r="E11" s="127"/>
      <c r="F11" s="137">
        <v>0.26</v>
      </c>
      <c r="G11" s="138"/>
      <c r="H11" s="128">
        <f>COVER!C17</f>
        <v>10000</v>
      </c>
      <c r="I11" s="94">
        <f>D11*F11*H11</f>
        <v>2600</v>
      </c>
      <c r="J11" s="94">
        <f>M11</f>
        <v>3000</v>
      </c>
      <c r="K11" s="111">
        <f>I11+J11</f>
        <v>5600</v>
      </c>
      <c r="L11" s="90" t="s">
        <v>204</v>
      </c>
      <c r="M11" s="90">
        <v>3000</v>
      </c>
      <c r="N11" s="90"/>
      <c r="O11" s="90"/>
      <c r="P11" s="90"/>
      <c r="Q11" s="18"/>
      <c r="R11" s="18"/>
      <c r="S11" s="108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s="3" customFormat="1" ht="18" customHeight="1">
      <c r="A12" s="11">
        <v>5</v>
      </c>
      <c r="B12" s="133" t="s">
        <v>184</v>
      </c>
      <c r="C12" s="110" t="str">
        <f>COVER!B19</f>
        <v>NBR</v>
      </c>
      <c r="D12" s="110">
        <v>1</v>
      </c>
      <c r="E12" s="127"/>
      <c r="F12" s="137">
        <v>1</v>
      </c>
      <c r="G12" s="112"/>
      <c r="H12" s="130">
        <f>IF(C12="NBR",L12+N12,IF(C12="EPDM",L12+N12,IF(C12="VITON",M12+N12)))</f>
        <v>290</v>
      </c>
      <c r="I12" s="94">
        <f>D12*F12*H12</f>
        <v>290</v>
      </c>
      <c r="J12" s="94"/>
      <c r="K12" s="111">
        <f>I12+J12</f>
        <v>290</v>
      </c>
      <c r="L12" s="90">
        <v>120</v>
      </c>
      <c r="M12" s="90">
        <v>970</v>
      </c>
      <c r="N12" s="90">
        <v>170</v>
      </c>
      <c r="O12" s="90"/>
      <c r="P12" s="90"/>
      <c r="Q12" s="19"/>
      <c r="R12" s="19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s="3" customFormat="1" ht="18" customHeight="1">
      <c r="A13" s="11">
        <v>6</v>
      </c>
      <c r="B13" s="133" t="s">
        <v>163</v>
      </c>
      <c r="C13" s="110"/>
      <c r="D13" s="110">
        <v>0</v>
      </c>
      <c r="E13" s="127"/>
      <c r="F13" s="112"/>
      <c r="G13" s="112"/>
      <c r="H13" s="128"/>
      <c r="I13" s="94"/>
      <c r="J13" s="94"/>
      <c r="K13" s="111"/>
      <c r="L13" s="344" t="s">
        <v>202</v>
      </c>
      <c r="M13" s="345"/>
      <c r="N13" s="345"/>
      <c r="O13" s="345"/>
      <c r="P13" s="346"/>
      <c r="Q13" s="19"/>
      <c r="R13" s="19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s="3" customFormat="1" ht="18" customHeight="1">
      <c r="A14" s="11">
        <v>7</v>
      </c>
      <c r="B14" s="133" t="s">
        <v>4</v>
      </c>
      <c r="C14" s="110" t="str">
        <f>C11</f>
        <v>A564T630</v>
      </c>
      <c r="D14" s="110">
        <v>1</v>
      </c>
      <c r="E14" s="127"/>
      <c r="F14" s="137">
        <v>1</v>
      </c>
      <c r="G14" s="112"/>
      <c r="H14" s="128">
        <f>L14</f>
        <v>1400</v>
      </c>
      <c r="I14" s="94">
        <f>D14*F14*H14</f>
        <v>1400</v>
      </c>
      <c r="J14" s="94"/>
      <c r="K14" s="111">
        <f>I14+J14</f>
        <v>1400</v>
      </c>
      <c r="L14" s="90">
        <v>1400</v>
      </c>
      <c r="M14" s="90"/>
      <c r="N14" s="90"/>
      <c r="O14" s="90"/>
      <c r="P14" s="90"/>
      <c r="Q14" s="19"/>
      <c r="R14" s="19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s="3" customFormat="1" ht="18" customHeight="1">
      <c r="A15" s="11">
        <v>8</v>
      </c>
      <c r="B15" s="133" t="s">
        <v>162</v>
      </c>
      <c r="C15" s="110" t="str">
        <f>COVER!B22</f>
        <v>BODY MATERIAL</v>
      </c>
      <c r="D15" s="110">
        <v>0</v>
      </c>
      <c r="E15" s="127"/>
      <c r="F15" s="127"/>
      <c r="G15" s="112"/>
      <c r="H15" s="128"/>
      <c r="I15" s="94"/>
      <c r="J15" s="94"/>
      <c r="K15" s="111"/>
      <c r="L15" s="344" t="s">
        <v>202</v>
      </c>
      <c r="M15" s="345"/>
      <c r="N15" s="345"/>
      <c r="O15" s="345"/>
      <c r="P15" s="346"/>
      <c r="Q15" s="164"/>
      <c r="R15" s="164"/>
      <c r="S15" s="141" t="s">
        <v>240</v>
      </c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s="3" customFormat="1" ht="18" customHeight="1">
      <c r="A16" s="11">
        <v>9</v>
      </c>
      <c r="B16" s="133" t="s">
        <v>185</v>
      </c>
      <c r="C16" s="110" t="str">
        <f>COVER!B23</f>
        <v>B8M</v>
      </c>
      <c r="D16" s="110">
        <v>0</v>
      </c>
      <c r="E16" s="127"/>
      <c r="F16" s="135"/>
      <c r="G16" s="112"/>
      <c r="H16" s="128"/>
      <c r="I16" s="94"/>
      <c r="J16" s="94"/>
      <c r="K16" s="111"/>
      <c r="L16" s="344" t="s">
        <v>202</v>
      </c>
      <c r="M16" s="345"/>
      <c r="N16" s="345"/>
      <c r="O16" s="345"/>
      <c r="P16" s="346"/>
      <c r="Q16" s="19"/>
      <c r="R16" s="19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s="3" customFormat="1" ht="18" customHeight="1">
      <c r="A17" s="11">
        <v>10</v>
      </c>
      <c r="B17" s="133" t="s">
        <v>186</v>
      </c>
      <c r="C17" s="110" t="str">
        <f>COVER!B24</f>
        <v>ALBC2</v>
      </c>
      <c r="D17" s="110">
        <v>0</v>
      </c>
      <c r="E17" s="127"/>
      <c r="F17" s="135"/>
      <c r="G17" s="112"/>
      <c r="H17" s="128"/>
      <c r="I17" s="94"/>
      <c r="J17" s="94"/>
      <c r="K17" s="111"/>
      <c r="L17" s="344" t="s">
        <v>202</v>
      </c>
      <c r="M17" s="345"/>
      <c r="N17" s="345"/>
      <c r="O17" s="345"/>
      <c r="P17" s="346"/>
      <c r="Q17" s="19"/>
      <c r="R17" s="19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1:31" s="3" customFormat="1" ht="18" customHeight="1">
      <c r="A18" s="11">
        <v>11</v>
      </c>
      <c r="B18" s="133" t="s">
        <v>187</v>
      </c>
      <c r="C18" s="110" t="str">
        <f>COVER!B25</f>
        <v>SS400</v>
      </c>
      <c r="D18" s="110">
        <v>1</v>
      </c>
      <c r="E18" s="127"/>
      <c r="F18" s="135"/>
      <c r="G18" s="112"/>
      <c r="H18" s="128">
        <v>1300</v>
      </c>
      <c r="I18" s="94">
        <f>H18*D18</f>
        <v>1300</v>
      </c>
      <c r="J18" s="94"/>
      <c r="K18" s="111">
        <f>I18</f>
        <v>1300</v>
      </c>
      <c r="L18" s="90"/>
      <c r="M18" s="90"/>
      <c r="N18" s="90"/>
      <c r="O18" s="90"/>
      <c r="P18" s="90"/>
      <c r="Q18" s="165"/>
      <c r="R18" s="165"/>
      <c r="S18" s="145" t="s">
        <v>245</v>
      </c>
      <c r="T18" s="145"/>
      <c r="U18" s="145" t="s">
        <v>246</v>
      </c>
      <c r="V18" s="145"/>
      <c r="W18" s="145" t="s">
        <v>247</v>
      </c>
      <c r="X18" s="145"/>
      <c r="Y18" s="145"/>
      <c r="Z18" s="145"/>
      <c r="AA18" s="145"/>
      <c r="AB18" s="10"/>
      <c r="AC18" s="10"/>
      <c r="AD18" s="10"/>
      <c r="AE18" s="10"/>
    </row>
    <row r="19" spans="1:31" s="3" customFormat="1" ht="18" customHeight="1">
      <c r="A19" s="11">
        <v>12</v>
      </c>
      <c r="B19" s="133" t="s">
        <v>189</v>
      </c>
      <c r="C19" s="110" t="str">
        <f>COVER!B26</f>
        <v>B8M</v>
      </c>
      <c r="D19" s="110">
        <v>2</v>
      </c>
      <c r="E19" s="127"/>
      <c r="F19" s="135"/>
      <c r="G19" s="112"/>
      <c r="H19" s="128">
        <v>200</v>
      </c>
      <c r="I19" s="94">
        <f>H19*D19</f>
        <v>400</v>
      </c>
      <c r="J19" s="94"/>
      <c r="K19" s="111">
        <f>I19</f>
        <v>400</v>
      </c>
      <c r="L19" s="90"/>
      <c r="M19" s="90"/>
      <c r="N19" s="90"/>
      <c r="O19" s="90"/>
      <c r="P19" s="90"/>
      <c r="Q19" s="19"/>
      <c r="R19" s="19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s="3" customFormat="1" ht="18" customHeight="1">
      <c r="A20" s="11">
        <v>13</v>
      </c>
      <c r="B20" s="133" t="s">
        <v>188</v>
      </c>
      <c r="C20" s="110" t="str">
        <f>COVER!B27</f>
        <v>B8M</v>
      </c>
      <c r="D20" s="110">
        <v>4</v>
      </c>
      <c r="E20" s="127"/>
      <c r="F20" s="135"/>
      <c r="G20" s="112"/>
      <c r="H20" s="128">
        <f>IF(C20="B8",M20,IF(C20="B8M",N20,IF(C20="B7(다크로)",O20)))</f>
        <v>350</v>
      </c>
      <c r="I20" s="94">
        <f>H20*D20</f>
        <v>1400</v>
      </c>
      <c r="J20" s="94"/>
      <c r="K20" s="111">
        <f>I20</f>
        <v>1400</v>
      </c>
      <c r="L20" s="161" t="s">
        <v>275</v>
      </c>
      <c r="M20" s="90">
        <v>300</v>
      </c>
      <c r="N20" s="90">
        <v>350</v>
      </c>
      <c r="O20" s="90">
        <v>300</v>
      </c>
      <c r="P20" s="90"/>
      <c r="Q20" s="19"/>
      <c r="R20" s="19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s="3" customFormat="1" ht="18" customHeight="1">
      <c r="A21" s="11">
        <v>14</v>
      </c>
      <c r="B21" s="133" t="s">
        <v>238</v>
      </c>
      <c r="C21" s="110" t="str">
        <f>COVER!B28</f>
        <v>REQUIRED</v>
      </c>
      <c r="D21" s="110">
        <v>0</v>
      </c>
      <c r="E21" s="127"/>
      <c r="F21" s="135"/>
      <c r="G21" s="127"/>
      <c r="H21" s="127"/>
      <c r="I21" s="127"/>
      <c r="J21" s="127"/>
      <c r="K21" s="111"/>
      <c r="L21" s="344" t="s">
        <v>202</v>
      </c>
      <c r="M21" s="345"/>
      <c r="N21" s="345"/>
      <c r="O21" s="345"/>
      <c r="P21" s="346"/>
      <c r="Q21" s="19"/>
      <c r="R21" s="19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s="3" customFormat="1" ht="18" customHeight="1">
      <c r="A22" s="11">
        <v>15</v>
      </c>
      <c r="B22" s="133" t="s">
        <v>239</v>
      </c>
      <c r="C22" s="110" t="e">
        <f>COVER!#REF!</f>
        <v>#REF!</v>
      </c>
      <c r="D22" s="110">
        <v>0</v>
      </c>
      <c r="E22" s="127"/>
      <c r="F22" s="135"/>
      <c r="G22" s="127"/>
      <c r="H22" s="127"/>
      <c r="I22" s="127"/>
      <c r="J22" s="127"/>
      <c r="K22" s="111"/>
      <c r="L22" s="344" t="s">
        <v>202</v>
      </c>
      <c r="M22" s="345"/>
      <c r="N22" s="345"/>
      <c r="O22" s="345"/>
      <c r="P22" s="346"/>
      <c r="Q22" s="19"/>
      <c r="R22" s="19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 s="3" customFormat="1" ht="18" customHeight="1">
      <c r="A23" s="11">
        <v>16</v>
      </c>
      <c r="B23" s="133" t="s">
        <v>5</v>
      </c>
      <c r="C23" s="110" t="s">
        <v>38</v>
      </c>
      <c r="D23" s="110">
        <v>1</v>
      </c>
      <c r="E23" s="127"/>
      <c r="F23" s="135">
        <v>1</v>
      </c>
      <c r="G23" s="112"/>
      <c r="H23" s="128"/>
      <c r="I23" s="94">
        <v>6000</v>
      </c>
      <c r="J23" s="95"/>
      <c r="K23" s="111">
        <f>I23</f>
        <v>6000</v>
      </c>
      <c r="L23" s="90"/>
      <c r="M23" s="90"/>
      <c r="N23" s="90"/>
      <c r="O23" s="90"/>
      <c r="P23" s="90"/>
      <c r="Q23" s="19"/>
      <c r="R23" s="19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s="3" customFormat="1" ht="18" customHeight="1">
      <c r="A24" s="11">
        <v>17</v>
      </c>
      <c r="B24" s="133" t="s">
        <v>6</v>
      </c>
      <c r="C24" s="110" t="str">
        <f>COVER!B34</f>
        <v>10 BAR</v>
      </c>
      <c r="D24" s="110">
        <v>1</v>
      </c>
      <c r="E24" s="127"/>
      <c r="F24" s="135">
        <v>4.5</v>
      </c>
      <c r="G24" s="146"/>
      <c r="H24" s="128"/>
      <c r="I24" s="94">
        <f>IF(C24="10 BAR",M24,IF(C24="16 BAR",N24,IF(C24="20 BAR",O24)))</f>
        <v>85500</v>
      </c>
      <c r="J24" s="95"/>
      <c r="K24" s="111">
        <f>I24</f>
        <v>85500</v>
      </c>
      <c r="L24" s="163"/>
      <c r="M24" s="90">
        <v>85500</v>
      </c>
      <c r="N24" s="90">
        <v>85500</v>
      </c>
      <c r="O24" s="90">
        <v>85500</v>
      </c>
      <c r="P24" s="90"/>
      <c r="Q24" s="19"/>
      <c r="R24" s="19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s="3" customFormat="1" ht="18" customHeight="1">
      <c r="A25" s="11">
        <v>18</v>
      </c>
      <c r="B25" s="133" t="s">
        <v>7</v>
      </c>
      <c r="C25" s="110" t="str">
        <f>COVER!B32</f>
        <v>기존 단가</v>
      </c>
      <c r="D25" s="110">
        <v>1</v>
      </c>
      <c r="E25" s="127"/>
      <c r="F25" s="135">
        <v>4</v>
      </c>
      <c r="G25" s="146"/>
      <c r="H25" s="128">
        <f>IF(COVER!B9="APPLICATION",0,IF(COVER!B32="기존 단가",L25,IF(COVER!B32="외주 2COATING",M25,IF(COVER!B32="외주 3COATING",N25))))</f>
        <v>5000</v>
      </c>
      <c r="I25" s="94">
        <f>H25</f>
        <v>5000</v>
      </c>
      <c r="J25" s="94"/>
      <c r="K25" s="111">
        <f>I25+J25</f>
        <v>5000</v>
      </c>
      <c r="L25" s="90">
        <v>5000</v>
      </c>
      <c r="M25" s="90">
        <f>IF(H6&gt;0,F6*520,IF(H7&gt;0,F7*520,IF(H8&gt;0,F8*520)))</f>
        <v>2860</v>
      </c>
      <c r="N25" s="90">
        <f>IF(H6&gt;0,F6*620,IF(H7&gt;0,F7*620,IF(H8&gt;0,F8*620)))</f>
        <v>3410</v>
      </c>
      <c r="O25" s="90"/>
      <c r="P25" s="182"/>
      <c r="Q25" s="19"/>
      <c r="R25" s="19"/>
      <c r="S25" s="141" t="s">
        <v>290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s="3" customFormat="1" ht="18" customHeight="1">
      <c r="A26" s="11">
        <v>19</v>
      </c>
      <c r="B26" s="12" t="s">
        <v>174</v>
      </c>
      <c r="C26" s="13"/>
      <c r="D26" s="13">
        <v>1</v>
      </c>
      <c r="E26" s="19"/>
      <c r="F26" s="93">
        <v>5</v>
      </c>
      <c r="G26" s="96"/>
      <c r="H26" s="91">
        <f>IF(COVER!B9="APPLICATION",0,IF(COVER!B9="N/A",L26))</f>
        <v>0</v>
      </c>
      <c r="I26" s="20">
        <f>H26</f>
        <v>0</v>
      </c>
      <c r="J26" s="92"/>
      <c r="K26" s="92">
        <f>I26+J26</f>
        <v>0</v>
      </c>
      <c r="L26" s="90"/>
      <c r="M26" s="90"/>
      <c r="N26" s="90"/>
      <c r="O26" s="90"/>
      <c r="P26" s="90"/>
      <c r="Q26" s="19"/>
      <c r="R26" s="19"/>
      <c r="S26" s="141" t="s">
        <v>291</v>
      </c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s="3" customFormat="1" ht="18" customHeight="1">
      <c r="A27" s="11">
        <v>20</v>
      </c>
      <c r="B27" s="97" t="s">
        <v>175</v>
      </c>
      <c r="C27" s="14"/>
      <c r="D27" s="14"/>
      <c r="E27" s="15"/>
      <c r="F27" s="15"/>
      <c r="G27" s="15"/>
      <c r="H27" s="15"/>
      <c r="I27" s="98"/>
      <c r="J27" s="98"/>
      <c r="K27" s="16">
        <f>SUM(K6:K20)+SUM(K25:K26)</f>
        <v>58805</v>
      </c>
      <c r="L27" s="122" t="s">
        <v>248</v>
      </c>
      <c r="M27" s="90"/>
      <c r="N27" s="90"/>
      <c r="O27" s="90"/>
      <c r="P27" s="90"/>
      <c r="Q27" s="19"/>
      <c r="R27" s="19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s="3" customFormat="1" ht="18" customHeight="1">
      <c r="A28" s="11">
        <v>20</v>
      </c>
      <c r="B28" s="97" t="s">
        <v>176</v>
      </c>
      <c r="C28" s="14"/>
      <c r="D28" s="14"/>
      <c r="E28" s="15"/>
      <c r="F28" s="15"/>
      <c r="G28" s="15"/>
      <c r="H28" s="15"/>
      <c r="I28" s="98"/>
      <c r="J28" s="98"/>
      <c r="K28" s="16">
        <f>SUM(K6:K23)+SUM(K25:K26)</f>
        <v>64805</v>
      </c>
      <c r="L28" s="122" t="s">
        <v>248</v>
      </c>
      <c r="M28" s="90"/>
      <c r="N28" s="90"/>
      <c r="O28" s="90"/>
      <c r="P28" s="90"/>
      <c r="Q28" s="19"/>
      <c r="R28" s="19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s="3" customFormat="1" ht="18" customHeight="1">
      <c r="A29" s="11">
        <v>20</v>
      </c>
      <c r="B29" s="97" t="s">
        <v>177</v>
      </c>
      <c r="C29" s="14"/>
      <c r="D29" s="14"/>
      <c r="E29" s="15"/>
      <c r="F29" s="15"/>
      <c r="G29" s="15"/>
      <c r="H29" s="15"/>
      <c r="I29" s="98"/>
      <c r="J29" s="98"/>
      <c r="K29" s="16">
        <f>SUM(K6:K20)+SUM(K24:K26)</f>
        <v>144305</v>
      </c>
      <c r="L29" s="122" t="s">
        <v>248</v>
      </c>
      <c r="M29" s="90"/>
      <c r="N29" s="90"/>
      <c r="O29" s="90"/>
      <c r="P29" s="90"/>
      <c r="Q29" s="19"/>
      <c r="R29" s="19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1:31" s="3" customFormat="1" ht="18" customHeight="1">
      <c r="A30" s="11">
        <v>21</v>
      </c>
      <c r="B30" s="133" t="s">
        <v>237</v>
      </c>
      <c r="C30" s="110" t="e">
        <f>COVER!#REF!</f>
        <v>#REF!</v>
      </c>
      <c r="D30" s="110">
        <v>0</v>
      </c>
      <c r="E30" s="127"/>
      <c r="F30" s="135"/>
      <c r="G30" s="127"/>
      <c r="H30" s="127" t="e">
        <f>IF(C30="REQUIRED",L30)</f>
        <v>#REF!</v>
      </c>
      <c r="I30" s="127" t="e">
        <f>H30</f>
        <v>#REF!</v>
      </c>
      <c r="J30" s="127"/>
      <c r="K30" s="111" t="e">
        <f>I30+J30</f>
        <v>#REF!</v>
      </c>
      <c r="L30" s="90">
        <v>2800</v>
      </c>
      <c r="M30" s="90"/>
      <c r="N30" s="90"/>
      <c r="O30" s="90"/>
      <c r="P30" s="90"/>
      <c r="Q30" s="19"/>
      <c r="R30" s="19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s="3" customFormat="1" ht="18" customHeight="1">
      <c r="A31" s="11">
        <v>22</v>
      </c>
      <c r="B31" s="12" t="s">
        <v>180</v>
      </c>
      <c r="C31" s="13"/>
      <c r="D31" s="13">
        <v>0</v>
      </c>
      <c r="E31" s="19"/>
      <c r="F31" s="93"/>
      <c r="G31" s="19"/>
      <c r="H31" s="19"/>
      <c r="I31" s="19"/>
      <c r="J31" s="19"/>
      <c r="K31" s="92"/>
      <c r="L31" s="122"/>
      <c r="M31" s="90"/>
      <c r="N31" s="90"/>
      <c r="O31" s="90"/>
      <c r="P31" s="90"/>
      <c r="Q31" s="19"/>
      <c r="R31" s="19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1:31" s="3" customFormat="1" ht="18" customHeight="1">
      <c r="A32" s="11">
        <v>23</v>
      </c>
      <c r="B32" s="133" t="s">
        <v>178</v>
      </c>
      <c r="C32" s="110" t="str">
        <f>COVER!B35</f>
        <v>MOTOR</v>
      </c>
      <c r="D32" s="110">
        <v>1</v>
      </c>
      <c r="E32" s="127"/>
      <c r="F32" s="135"/>
      <c r="G32" s="127"/>
      <c r="H32" s="94">
        <f>IF(COVER!B9="APPLICATION",0,IF(COVER!B35="LEVER",M32,IF(COVER!B35="GEAR",N32,IF(COVER!B35="MOTOR",O32))))</f>
        <v>0</v>
      </c>
      <c r="I32" s="111">
        <f>H32</f>
        <v>0</v>
      </c>
      <c r="J32" s="127"/>
      <c r="K32" s="111">
        <f>I32+J32</f>
        <v>0</v>
      </c>
      <c r="L32" s="122"/>
      <c r="M32" s="181"/>
      <c r="N32" s="90"/>
      <c r="O32" s="90"/>
      <c r="P32" s="90"/>
      <c r="Q32" s="19"/>
      <c r="R32" s="19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s="3" customFormat="1" ht="18" customHeight="1">
      <c r="A33" s="11">
        <v>24</v>
      </c>
      <c r="B33" s="12"/>
      <c r="C33" s="13"/>
      <c r="D33" s="13"/>
      <c r="E33" s="19"/>
      <c r="F33" s="93"/>
      <c r="G33" s="19"/>
      <c r="H33" s="19"/>
      <c r="I33" s="19"/>
      <c r="J33" s="19"/>
      <c r="K33" s="92"/>
      <c r="L33" s="122"/>
      <c r="M33" s="90"/>
      <c r="N33" s="90"/>
      <c r="O33" s="90"/>
      <c r="P33" s="90"/>
      <c r="Q33" s="19"/>
      <c r="R33" s="19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s="3" customFormat="1" ht="18" customHeight="1">
      <c r="A34" s="11">
        <v>25</v>
      </c>
      <c r="B34" s="89" t="s">
        <v>179</v>
      </c>
      <c r="C34" s="14"/>
      <c r="D34" s="99"/>
      <c r="E34" s="15"/>
      <c r="F34" s="15"/>
      <c r="G34" s="15"/>
      <c r="H34" s="15"/>
      <c r="I34" s="100"/>
      <c r="J34" s="101"/>
      <c r="K34" s="100" t="e">
        <f>SUM(K30:K33)</f>
        <v>#REF!</v>
      </c>
      <c r="L34" s="122" t="s">
        <v>249</v>
      </c>
      <c r="M34" s="90"/>
      <c r="N34" s="90"/>
      <c r="O34" s="90"/>
      <c r="P34" s="90"/>
      <c r="Q34" s="19"/>
      <c r="R34" s="19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s="3" customFormat="1" ht="18" customHeight="1">
      <c r="A35" s="11">
        <v>26</v>
      </c>
      <c r="B35" s="147" t="s">
        <v>252</v>
      </c>
      <c r="C35" s="148"/>
      <c r="D35" s="149"/>
      <c r="E35" s="150"/>
      <c r="F35" s="150"/>
      <c r="G35" s="150"/>
      <c r="H35" s="150"/>
      <c r="I35" s="151"/>
      <c r="J35" s="152"/>
      <c r="K35" s="151" t="e">
        <f>K27+K34</f>
        <v>#REF!</v>
      </c>
      <c r="L35" s="122" t="s">
        <v>257</v>
      </c>
      <c r="M35" s="90"/>
      <c r="N35" s="90"/>
      <c r="O35" s="90"/>
      <c r="P35" s="90"/>
      <c r="Q35" s="19"/>
      <c r="R35" s="19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s="3" customFormat="1" ht="18" customHeight="1">
      <c r="A36" s="11">
        <v>26</v>
      </c>
      <c r="B36" s="147" t="s">
        <v>255</v>
      </c>
      <c r="C36" s="148"/>
      <c r="D36" s="149"/>
      <c r="E36" s="150"/>
      <c r="F36" s="150"/>
      <c r="G36" s="150"/>
      <c r="H36" s="150"/>
      <c r="I36" s="151"/>
      <c r="J36" s="152"/>
      <c r="K36" s="151" t="e">
        <f>K28+K34</f>
        <v>#REF!</v>
      </c>
      <c r="L36" s="122" t="s">
        <v>257</v>
      </c>
      <c r="M36" s="90"/>
      <c r="N36" s="90"/>
      <c r="O36" s="90"/>
      <c r="P36" s="90"/>
      <c r="Q36" s="19"/>
      <c r="R36" s="19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s="3" customFormat="1" ht="18" customHeight="1">
      <c r="A37" s="11">
        <v>26</v>
      </c>
      <c r="B37" s="147" t="s">
        <v>256</v>
      </c>
      <c r="C37" s="148"/>
      <c r="D37" s="149"/>
      <c r="E37" s="150"/>
      <c r="F37" s="150"/>
      <c r="G37" s="150"/>
      <c r="H37" s="150"/>
      <c r="I37" s="151"/>
      <c r="J37" s="152"/>
      <c r="K37" s="151" t="e">
        <f>K29+K34</f>
        <v>#REF!</v>
      </c>
      <c r="L37" s="122" t="s">
        <v>257</v>
      </c>
      <c r="M37" s="90"/>
      <c r="N37" s="90"/>
      <c r="O37" s="90"/>
      <c r="P37" s="90"/>
      <c r="Q37" s="19"/>
      <c r="R37" s="19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s="4" customFormat="1" ht="18" customHeight="1">
      <c r="A38" s="11">
        <v>27</v>
      </c>
      <c r="B38" s="102" t="s">
        <v>253</v>
      </c>
      <c r="C38" s="103"/>
      <c r="D38" s="103"/>
      <c r="E38" s="104"/>
      <c r="F38" s="105"/>
      <c r="G38" s="105"/>
      <c r="H38" s="106"/>
      <c r="I38" s="104" t="s">
        <v>41</v>
      </c>
      <c r="J38" s="104">
        <f>COVER!$B$10</f>
        <v>1.3</v>
      </c>
      <c r="K38" s="107" t="e">
        <f>(K27+K34)*J38</f>
        <v>#REF!</v>
      </c>
      <c r="L38" s="122" t="s">
        <v>250</v>
      </c>
      <c r="M38" s="90"/>
      <c r="N38" s="90"/>
      <c r="O38" s="90"/>
      <c r="P38" s="90"/>
      <c r="Q38" s="19"/>
      <c r="R38" s="19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s="4" customFormat="1" ht="18" customHeight="1">
      <c r="A39" s="11">
        <v>27</v>
      </c>
      <c r="B39" s="102" t="s">
        <v>251</v>
      </c>
      <c r="C39" s="103"/>
      <c r="D39" s="103"/>
      <c r="E39" s="104"/>
      <c r="F39" s="105"/>
      <c r="G39" s="105"/>
      <c r="H39" s="106"/>
      <c r="I39" s="104" t="s">
        <v>41</v>
      </c>
      <c r="J39" s="104">
        <f>COVER!$B$10</f>
        <v>1.3</v>
      </c>
      <c r="K39" s="107" t="e">
        <f>(K28+K34)*J39</f>
        <v>#REF!</v>
      </c>
      <c r="L39" s="122" t="s">
        <v>250</v>
      </c>
      <c r="M39" s="90"/>
      <c r="N39" s="90"/>
      <c r="O39" s="90"/>
      <c r="P39" s="90"/>
      <c r="Q39" s="19"/>
      <c r="R39" s="19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s="4" customFormat="1" ht="18" customHeight="1">
      <c r="A40" s="11">
        <v>27</v>
      </c>
      <c r="B40" s="102" t="s">
        <v>254</v>
      </c>
      <c r="C40" s="103"/>
      <c r="D40" s="103"/>
      <c r="E40" s="104"/>
      <c r="F40" s="105"/>
      <c r="G40" s="105"/>
      <c r="H40" s="106"/>
      <c r="I40" s="104" t="s">
        <v>41</v>
      </c>
      <c r="J40" s="104">
        <f>COVER!$B$10</f>
        <v>1.3</v>
      </c>
      <c r="K40" s="107" t="e">
        <f>(K29+K34)*J40</f>
        <v>#REF!</v>
      </c>
      <c r="L40" s="122" t="s">
        <v>250</v>
      </c>
      <c r="M40" s="90"/>
      <c r="N40" s="90"/>
      <c r="O40" s="90"/>
      <c r="P40" s="90"/>
      <c r="Q40" s="19"/>
      <c r="R40" s="19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s="4" customFormat="1" ht="18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86"/>
      <c r="M41" s="108"/>
      <c r="N41" s="108"/>
      <c r="O41" s="108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s="4" customFormat="1" ht="18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86"/>
      <c r="M42" s="108"/>
      <c r="N42" s="108"/>
      <c r="O42" s="108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 spans="1:31" s="4" customFormat="1" ht="18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86"/>
      <c r="M43" s="108"/>
      <c r="N43" s="108"/>
      <c r="O43" s="108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 spans="1:31" s="4" customFormat="1" ht="18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86"/>
      <c r="M44" s="108"/>
      <c r="N44" s="108"/>
      <c r="O44" s="108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s="4" customFormat="1" ht="18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86"/>
      <c r="M45" s="108"/>
      <c r="N45" s="108"/>
      <c r="O45" s="108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s="4" customFormat="1" ht="18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86"/>
      <c r="M46" s="108"/>
      <c r="N46" s="108"/>
      <c r="O46" s="108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s="4" customFormat="1" ht="18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86"/>
      <c r="M47" s="108"/>
      <c r="N47" s="108"/>
      <c r="O47" s="108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s="4" customFormat="1" ht="18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86"/>
      <c r="M48" s="108"/>
      <c r="N48" s="108"/>
      <c r="O48" s="108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s="4" customFormat="1" ht="12.75">
      <c r="A49" s="10"/>
      <c r="B49" s="10"/>
      <c r="C49" s="10"/>
      <c r="D49" s="109"/>
      <c r="E49" s="10"/>
      <c r="F49" s="10"/>
      <c r="G49" s="10"/>
      <c r="H49" s="10"/>
      <c r="I49" s="10"/>
      <c r="J49" s="10"/>
      <c r="K49" s="10"/>
      <c r="L49" s="108"/>
      <c r="M49" s="108"/>
      <c r="N49" s="108"/>
      <c r="O49" s="108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s="4" customFormat="1" ht="12.7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86"/>
      <c r="M50" s="108"/>
      <c r="N50" s="108"/>
      <c r="O50" s="108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 spans="1:31" s="4" customFormat="1" ht="12.7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86"/>
      <c r="M51" s="108"/>
      <c r="N51" s="108"/>
      <c r="O51" s="108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 spans="1:31" s="5" customForma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86"/>
      <c r="M52" s="87"/>
      <c r="N52" s="87"/>
      <c r="O52" s="87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spans="1:31" s="5" customForma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86"/>
      <c r="M53" s="87"/>
      <c r="N53" s="87"/>
      <c r="O53" s="87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spans="1:31" s="5" customForma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86"/>
      <c r="M54" s="87"/>
      <c r="N54" s="87"/>
      <c r="O54" s="87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</sheetData>
  <mergeCells count="10">
    <mergeCell ref="L17:P17"/>
    <mergeCell ref="L16:P16"/>
    <mergeCell ref="L21:P21"/>
    <mergeCell ref="L22:P22"/>
    <mergeCell ref="A1:K1"/>
    <mergeCell ref="D3:E3"/>
    <mergeCell ref="F3:H3"/>
    <mergeCell ref="L4:P4"/>
    <mergeCell ref="L13:P13"/>
    <mergeCell ref="L15:P15"/>
  </mergeCells>
  <phoneticPr fontId="7" type="noConversion"/>
  <pageMargins left="0.75" right="0.75" top="1" bottom="1" header="0.5" footer="0.5"/>
  <pageSetup paperSize="9" scale="62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워크시트</vt:lpstr>
      </vt:variant>
      <vt:variant>
        <vt:i4>31</vt:i4>
      </vt:variant>
      <vt:variant>
        <vt:lpstr>이름 지정된 범위</vt:lpstr>
      </vt:variant>
      <vt:variant>
        <vt:i4>31</vt:i4>
      </vt:variant>
    </vt:vector>
  </HeadingPairs>
  <TitlesOfParts>
    <vt:vector size="62" baseType="lpstr">
      <vt:lpstr>COVER</vt:lpstr>
      <vt:lpstr>주조단가</vt:lpstr>
      <vt:lpstr>50A</vt:lpstr>
      <vt:lpstr>65A</vt:lpstr>
      <vt:lpstr>80A</vt:lpstr>
      <vt:lpstr>100A</vt:lpstr>
      <vt:lpstr>125A</vt:lpstr>
      <vt:lpstr>150A</vt:lpstr>
      <vt:lpstr>200A</vt:lpstr>
      <vt:lpstr>250A</vt:lpstr>
      <vt:lpstr>300A</vt:lpstr>
      <vt:lpstr>350A</vt:lpstr>
      <vt:lpstr>400A</vt:lpstr>
      <vt:lpstr>450A</vt:lpstr>
      <vt:lpstr>500A</vt:lpstr>
      <vt:lpstr>550A</vt:lpstr>
      <vt:lpstr>600A</vt:lpstr>
      <vt:lpstr>650A</vt:lpstr>
      <vt:lpstr>700A</vt:lpstr>
      <vt:lpstr>750A</vt:lpstr>
      <vt:lpstr>800A</vt:lpstr>
      <vt:lpstr>850A</vt:lpstr>
      <vt:lpstr>900A</vt:lpstr>
      <vt:lpstr>950A</vt:lpstr>
      <vt:lpstr>1000A</vt:lpstr>
      <vt:lpstr>1050A</vt:lpstr>
      <vt:lpstr>1100A</vt:lpstr>
      <vt:lpstr>1200A</vt:lpstr>
      <vt:lpstr>1650A</vt:lpstr>
      <vt:lpstr>1800A</vt:lpstr>
      <vt:lpstr>SAMPLE</vt:lpstr>
      <vt:lpstr>1000A!Print_Area</vt:lpstr>
      <vt:lpstr>100A!Print_Area</vt:lpstr>
      <vt:lpstr>1050A!Print_Area</vt:lpstr>
      <vt:lpstr>1100A!Print_Area</vt:lpstr>
      <vt:lpstr>1200A!Print_Area</vt:lpstr>
      <vt:lpstr>125A!Print_Area</vt:lpstr>
      <vt:lpstr>150A!Print_Area</vt:lpstr>
      <vt:lpstr>1650A!Print_Area</vt:lpstr>
      <vt:lpstr>1800A!Print_Area</vt:lpstr>
      <vt:lpstr>200A!Print_Area</vt:lpstr>
      <vt:lpstr>250A!Print_Area</vt:lpstr>
      <vt:lpstr>300A!Print_Area</vt:lpstr>
      <vt:lpstr>350A!Print_Area</vt:lpstr>
      <vt:lpstr>400A!Print_Area</vt:lpstr>
      <vt:lpstr>450A!Print_Area</vt:lpstr>
      <vt:lpstr>500A!Print_Area</vt:lpstr>
      <vt:lpstr>50A!Print_Area</vt:lpstr>
      <vt:lpstr>550A!Print_Area</vt:lpstr>
      <vt:lpstr>600A!Print_Area</vt:lpstr>
      <vt:lpstr>650A!Print_Area</vt:lpstr>
      <vt:lpstr>65A!Print_Area</vt:lpstr>
      <vt:lpstr>700A!Print_Area</vt:lpstr>
      <vt:lpstr>750A!Print_Area</vt:lpstr>
      <vt:lpstr>800A!Print_Area</vt:lpstr>
      <vt:lpstr>80A!Print_Area</vt:lpstr>
      <vt:lpstr>850A!Print_Area</vt:lpstr>
      <vt:lpstr>900A!Print_Area</vt:lpstr>
      <vt:lpstr>950A!Print_Area</vt:lpstr>
      <vt:lpstr>COVER!Print_Area</vt:lpstr>
      <vt:lpstr>SAMPLE!Print_Area</vt:lpstr>
      <vt:lpstr>주조단가!Print_Area</vt:lpstr>
    </vt:vector>
  </TitlesOfParts>
  <Company>hhi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hhi</dc:creator>
  <cp:lastModifiedBy>정성한</cp:lastModifiedBy>
  <cp:lastPrinted>2021-07-15T08:13:41Z</cp:lastPrinted>
  <dcterms:created xsi:type="dcterms:W3CDTF">2006-01-20T06:33:32Z</dcterms:created>
  <dcterms:modified xsi:type="dcterms:W3CDTF">2022-12-18T23:59:20Z</dcterms:modified>
</cp:coreProperties>
</file>